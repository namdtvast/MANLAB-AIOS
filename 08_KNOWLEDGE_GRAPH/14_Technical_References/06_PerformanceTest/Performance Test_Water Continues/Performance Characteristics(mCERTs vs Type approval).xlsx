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9320" windowHeight="12120" activeTab="1"/>
  </bookViews>
  <sheets>
    <sheet name="mCERTs" sheetId="1" r:id="rId1"/>
    <sheet name="KOREA" sheetId="2" r:id="rId2"/>
    <sheet name="Index ...EPA Method" sheetId="3" r:id="rId3"/>
  </sheets>
  <definedNames>
    <definedName name="_xlnm.Print_Area" localSheetId="0">mCERTs!$A$1:$K$23</definedName>
  </definedNames>
  <calcPr calcId="145621"/>
</workbook>
</file>

<file path=xl/calcChain.xml><?xml version="1.0" encoding="utf-8"?>
<calcChain xmlns="http://schemas.openxmlformats.org/spreadsheetml/2006/main">
  <c r="A23" i="1" l="1"/>
  <c r="A22" i="1"/>
  <c r="A21" i="1"/>
</calcChain>
</file>

<file path=xl/comments1.xml><?xml version="1.0" encoding="utf-8"?>
<comments xmlns="http://schemas.openxmlformats.org/spreadsheetml/2006/main">
  <authors>
    <author>Windows User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 xml:space="preserve">A dissolved oxygen CWM shall be tested to check for the effect of chlorides present in the sample. </t>
        </r>
      </text>
    </comment>
    <comment ref="A19" authorId="0">
      <text>
        <r>
          <rPr>
            <b/>
            <sz val="9"/>
            <color indexed="81"/>
            <rFont val="Tahoma"/>
            <family val="2"/>
          </rPr>
          <t xml:space="preserve">Where an instrument operates in a batch mode based on the development of a chemical reaction to the sample over a fixed period of time, the response time and warm-up drift tests may be omitted.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>
      <text>
        <r>
          <rPr>
            <b/>
            <sz val="9"/>
            <color indexed="81"/>
            <rFont val="Tahoma"/>
            <family val="2"/>
          </rPr>
          <t>Where an instrument operates in a batch mode based on the development of a chemical reaction to the sample over a fixed period of time, the response time and warm-up drift tests may be omitted.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<sst xmlns="http://schemas.openxmlformats.org/spreadsheetml/2006/main" count="237" uniqueCount="174">
  <si>
    <t>Temp</t>
    <phoneticPr fontId="2" type="noConversion"/>
  </si>
  <si>
    <t>Mean Error</t>
    <phoneticPr fontId="2" type="noConversion"/>
  </si>
  <si>
    <t>Linearity</t>
    <phoneticPr fontId="2" type="noConversion"/>
  </si>
  <si>
    <t>Repeatibility</t>
    <phoneticPr fontId="2" type="noConversion"/>
  </si>
  <si>
    <t>Drift</t>
    <phoneticPr fontId="2" type="noConversion"/>
  </si>
  <si>
    <t>Response time</t>
    <phoneticPr fontId="2" type="noConversion"/>
  </si>
  <si>
    <t>Voltage impedance</t>
    <phoneticPr fontId="2" type="noConversion"/>
  </si>
  <si>
    <t>Supply voltage</t>
    <phoneticPr fontId="2" type="noConversion"/>
  </si>
  <si>
    <t>Ambient temp.,</t>
    <phoneticPr fontId="2" type="noConversion"/>
  </si>
  <si>
    <t>Relative humidity</t>
    <phoneticPr fontId="2" type="noConversion"/>
  </si>
  <si>
    <t>Incident light</t>
    <phoneticPr fontId="2" type="noConversion"/>
  </si>
  <si>
    <t>Sample temp.,</t>
    <phoneticPr fontId="2" type="noConversion"/>
  </si>
  <si>
    <t>Sample flow rate</t>
    <phoneticPr fontId="2" type="noConversion"/>
  </si>
  <si>
    <t>Sample pressure</t>
    <phoneticPr fontId="2" type="noConversion"/>
  </si>
  <si>
    <t>Initial warm up</t>
    <phoneticPr fontId="2" type="noConversion"/>
  </si>
  <si>
    <t>℃</t>
    <phoneticPr fontId="2" type="noConversion"/>
  </si>
  <si>
    <t>Sample matrix effect</t>
    <phoneticPr fontId="2" type="noConversion"/>
  </si>
  <si>
    <t>pH</t>
    <phoneticPr fontId="2" type="noConversion"/>
  </si>
  <si>
    <t>pH units</t>
    <phoneticPr fontId="2" type="noConversion"/>
  </si>
  <si>
    <t>Conduvtivity</t>
    <phoneticPr fontId="2" type="noConversion"/>
  </si>
  <si>
    <t>% of Span</t>
    <phoneticPr fontId="2" type="noConversion"/>
  </si>
  <si>
    <t>Turbidity</t>
    <phoneticPr fontId="2" type="noConversion"/>
  </si>
  <si>
    <t>2 
(or 0.2 FTU)</t>
    <phoneticPr fontId="2" type="noConversion"/>
  </si>
  <si>
    <t>1
(or 0.1 FTU)</t>
    <phoneticPr fontId="2" type="noConversion"/>
  </si>
  <si>
    <t>DO</t>
    <phoneticPr fontId="2" type="noConversion"/>
  </si>
  <si>
    <t>% of reading</t>
    <phoneticPr fontId="2" type="noConversion"/>
  </si>
  <si>
    <t>5
(or 0.2 mg/L or 2 % sat)</t>
    <phoneticPr fontId="2" type="noConversion"/>
  </si>
  <si>
    <t>2.5
(or 0.1 mg/L or 1 % sat)</t>
    <phoneticPr fontId="2" type="noConversion"/>
  </si>
  <si>
    <t>COD</t>
    <phoneticPr fontId="2" type="noConversion"/>
  </si>
  <si>
    <t>TOC</t>
    <phoneticPr fontId="2" type="noConversion"/>
  </si>
  <si>
    <t>10
(or 10 mg/L)</t>
    <phoneticPr fontId="2" type="noConversion"/>
  </si>
  <si>
    <t>10
(or 0.2 mg/L)</t>
    <phoneticPr fontId="2" type="noConversion"/>
  </si>
  <si>
    <t>5
(or 5 mg/L)</t>
    <phoneticPr fontId="2" type="noConversion"/>
  </si>
  <si>
    <t>5
(or 0.1 mg/L)</t>
    <phoneticPr fontId="2" type="noConversion"/>
  </si>
  <si>
    <t xml:space="preserve"> </t>
    <phoneticPr fontId="2" type="noConversion"/>
  </si>
  <si>
    <t>3 % span</t>
    <phoneticPr fontId="2" type="noConversion"/>
  </si>
  <si>
    <t>Ammonia as N</t>
    <phoneticPr fontId="2" type="noConversion"/>
  </si>
  <si>
    <t>10
(or 0.03 mg/L-    as N)</t>
    <phoneticPr fontId="2" type="noConversion"/>
  </si>
  <si>
    <t>5
(or 0.015 mg/L-    as N)</t>
    <phoneticPr fontId="2" type="noConversion"/>
  </si>
  <si>
    <t>NO3, NO2, TON as N</t>
    <phoneticPr fontId="2" type="noConversion"/>
  </si>
  <si>
    <t>5
(or 0.2 mg/L-    as N)</t>
    <phoneticPr fontId="2" type="noConversion"/>
  </si>
  <si>
    <t>2.5
(or 0.1 mg/L-    as N)</t>
    <phoneticPr fontId="2" type="noConversion"/>
  </si>
  <si>
    <t>TP, o-phosphate</t>
    <phoneticPr fontId="2" type="noConversion"/>
  </si>
  <si>
    <t>5
(or 0.025 mg/L- as P)</t>
    <phoneticPr fontId="2" type="noConversion"/>
  </si>
  <si>
    <t>10
(or 0.05 mg/L- as P)</t>
    <phoneticPr fontId="2" type="noConversion"/>
  </si>
  <si>
    <t>Repeatability is standard deviation of the measurements taken at reference conditions</t>
    <phoneticPr fontId="2" type="noConversion"/>
  </si>
  <si>
    <t>For any individual test point, the error, x, is the difference between the value given by the CWM and the conventional true value</t>
  </si>
  <si>
    <t>expressed as the maximum change in error over the period of the test.</t>
  </si>
  <si>
    <t>Performance Characteristics for CWMs</t>
    <phoneticPr fontId="2" type="noConversion"/>
  </si>
  <si>
    <t>pH</t>
    <phoneticPr fontId="2" type="noConversion"/>
  </si>
  <si>
    <t>SS</t>
    <phoneticPr fontId="2" type="noConversion"/>
  </si>
  <si>
    <t>DO</t>
    <phoneticPr fontId="2" type="noConversion"/>
  </si>
  <si>
    <t>COD</t>
    <phoneticPr fontId="2" type="noConversion"/>
  </si>
  <si>
    <t>BOD</t>
    <phoneticPr fontId="2" type="noConversion"/>
  </si>
  <si>
    <t>TN</t>
    <phoneticPr fontId="2" type="noConversion"/>
  </si>
  <si>
    <t xml:space="preserve">TP </t>
    <phoneticPr fontId="2" type="noConversion"/>
  </si>
  <si>
    <t>TOC</t>
    <phoneticPr fontId="2" type="noConversion"/>
  </si>
  <si>
    <t>Turbidity</t>
    <phoneticPr fontId="2" type="noConversion"/>
  </si>
  <si>
    <t>pH units</t>
    <phoneticPr fontId="2" type="noConversion"/>
  </si>
  <si>
    <t>% of span</t>
    <phoneticPr fontId="2" type="noConversion"/>
  </si>
  <si>
    <t>Measuring Range</t>
    <phoneticPr fontId="2" type="noConversion"/>
  </si>
  <si>
    <t>0 ~ 14</t>
    <phoneticPr fontId="2" type="noConversion"/>
  </si>
  <si>
    <t>0 ~ 1,000 mg/L</t>
    <phoneticPr fontId="2" type="noConversion"/>
  </si>
  <si>
    <t>0 ~ 20 mg/L</t>
    <phoneticPr fontId="2" type="noConversion"/>
  </si>
  <si>
    <t>0 ~ 250 mg/L</t>
    <phoneticPr fontId="2" type="noConversion"/>
  </si>
  <si>
    <t>0 ~ 200 mg/L</t>
    <phoneticPr fontId="2" type="noConversion"/>
  </si>
  <si>
    <t>0 ~ 100 mg/L</t>
    <phoneticPr fontId="2" type="noConversion"/>
  </si>
  <si>
    <t>0 ~ 10 NTU (drinking water)</t>
    <phoneticPr fontId="2" type="noConversion"/>
  </si>
  <si>
    <t>Measurement Principle</t>
    <phoneticPr fontId="2" type="noConversion"/>
  </si>
  <si>
    <t>Glass or
Antimony electrode</t>
    <phoneticPr fontId="2" type="noConversion"/>
  </si>
  <si>
    <t xml:space="preserve">gravimetric analysis, 
light scattered method </t>
    <phoneticPr fontId="2" type="noConversion"/>
  </si>
  <si>
    <t>Polarographic or 
galvanic (membrane)</t>
    <phoneticPr fontId="2" type="noConversion"/>
  </si>
  <si>
    <t>KMnO4</t>
    <phoneticPr fontId="2" type="noConversion"/>
  </si>
  <si>
    <t>DO sensor</t>
    <phoneticPr fontId="2" type="noConversion"/>
  </si>
  <si>
    <t>UV absorption or Cd-reduction</t>
    <phoneticPr fontId="2" type="noConversion"/>
  </si>
  <si>
    <t>combustion or wet chemical oxidation</t>
    <phoneticPr fontId="2" type="noConversion"/>
  </si>
  <si>
    <t>light scattered method
(Nephelometry)</t>
    <phoneticPr fontId="2" type="noConversion"/>
  </si>
  <si>
    <t>Detection Limit</t>
    <phoneticPr fontId="2" type="noConversion"/>
  </si>
  <si>
    <t>1 mg/L</t>
    <phoneticPr fontId="2" type="noConversion"/>
  </si>
  <si>
    <t>0.1 mg/L</t>
    <phoneticPr fontId="2" type="noConversion"/>
  </si>
  <si>
    <t>0.05 mg/L</t>
    <phoneticPr fontId="2" type="noConversion"/>
  </si>
  <si>
    <t>0.1 NTU  (drinking water)</t>
    <phoneticPr fontId="2" type="noConversion"/>
  </si>
  <si>
    <t>Repeatability</t>
    <phoneticPr fontId="2" type="noConversion"/>
  </si>
  <si>
    <t>0.3 mg/L</t>
    <phoneticPr fontId="2" type="noConversion"/>
  </si>
  <si>
    <t>Span Drift</t>
    <phoneticPr fontId="2" type="noConversion"/>
  </si>
  <si>
    <t>0.2 mg/L</t>
    <phoneticPr fontId="2" type="noConversion"/>
  </si>
  <si>
    <t>Zero Drift</t>
    <phoneticPr fontId="2" type="noConversion"/>
  </si>
  <si>
    <t>Linearity</t>
    <phoneticPr fontId="2" type="noConversion"/>
  </si>
  <si>
    <t>± 0.1</t>
    <phoneticPr fontId="2" type="noConversion"/>
  </si>
  <si>
    <t>± 5%</t>
    <phoneticPr fontId="2" type="noConversion"/>
  </si>
  <si>
    <t>-</t>
    <phoneticPr fontId="2" type="noConversion"/>
  </si>
  <si>
    <t>Response Time</t>
    <phoneticPr fontId="2" type="noConversion"/>
  </si>
  <si>
    <t>30 sec (t90)</t>
    <phoneticPr fontId="2" type="noConversion"/>
  </si>
  <si>
    <t>2 min(t90)</t>
    <phoneticPr fontId="2" type="noConversion"/>
  </si>
  <si>
    <t>15 min(t90)</t>
    <phoneticPr fontId="2" type="noConversion"/>
  </si>
  <si>
    <t>10 min(t90)</t>
    <phoneticPr fontId="2" type="noConversion"/>
  </si>
  <si>
    <t>Glucose test</t>
    <phoneticPr fontId="2" type="noConversion"/>
  </si>
  <si>
    <t xml:space="preserve">± 5 % </t>
    <phoneticPr fontId="2" type="noConversion"/>
  </si>
  <si>
    <t>Interference test</t>
    <phoneticPr fontId="2" type="noConversion"/>
  </si>
  <si>
    <t>Recovery test</t>
    <phoneticPr fontId="2" type="noConversion"/>
  </si>
  <si>
    <t>Temp., compensation</t>
    <phoneticPr fontId="2" type="noConversion"/>
  </si>
  <si>
    <t>± 0.3 mg/L</t>
    <phoneticPr fontId="2" type="noConversion"/>
  </si>
  <si>
    <t xml:space="preserve">Equivalence Input </t>
    <phoneticPr fontId="2" type="noConversion"/>
  </si>
  <si>
    <t>Voltage Regulation</t>
    <phoneticPr fontId="2" type="noConversion"/>
  </si>
  <si>
    <t>Insulation resistance</t>
    <phoneticPr fontId="2" type="noConversion"/>
  </si>
  <si>
    <t>Withstanding voltage test</t>
    <phoneticPr fontId="2" type="noConversion"/>
  </si>
  <si>
    <t>should be normal</t>
    <phoneticPr fontId="2" type="noConversion"/>
  </si>
  <si>
    <t>RelativeAccuracy</t>
    <phoneticPr fontId="2" type="noConversion"/>
  </si>
  <si>
    <t>±10 %</t>
    <phoneticPr fontId="2" type="noConversion"/>
  </si>
  <si>
    <t>±30 %</t>
    <phoneticPr fontId="2" type="noConversion"/>
  </si>
  <si>
    <t>±20 %</t>
    <phoneticPr fontId="2" type="noConversion"/>
  </si>
  <si>
    <t xml:space="preserve">±20 % </t>
    <phoneticPr fontId="2" type="noConversion"/>
  </si>
  <si>
    <t xml:space="preserve">±10 % </t>
    <phoneticPr fontId="2" type="noConversion"/>
  </si>
  <si>
    <t>Performance test
(168 h)</t>
    <phoneticPr fontId="2" type="noConversion"/>
  </si>
  <si>
    <t>Zero driff: 0.2 pH</t>
    <phoneticPr fontId="2" type="noConversion"/>
  </si>
  <si>
    <t>Zero driff: 7 %</t>
    <phoneticPr fontId="2" type="noConversion"/>
  </si>
  <si>
    <t>Zero driff: 0.3 mg/L</t>
    <phoneticPr fontId="2" type="noConversion"/>
  </si>
  <si>
    <t>Zero driff: 5 %</t>
    <phoneticPr fontId="2" type="noConversion"/>
  </si>
  <si>
    <t>Span drift: 0.2 pH</t>
    <phoneticPr fontId="2" type="noConversion"/>
  </si>
  <si>
    <t>Span drift: 7 %</t>
    <phoneticPr fontId="2" type="noConversion"/>
  </si>
  <si>
    <t>Span drift: 0.5 mg/L</t>
    <phoneticPr fontId="2" type="noConversion"/>
  </si>
  <si>
    <t>Span drift: 5 %</t>
    <phoneticPr fontId="2" type="noConversion"/>
  </si>
  <si>
    <t>Parameter</t>
    <phoneticPr fontId="2" type="noConversion"/>
  </si>
  <si>
    <t>pH</t>
    <phoneticPr fontId="2" type="noConversion"/>
  </si>
  <si>
    <t>Continuous Monitoring (Electrometric)</t>
    <phoneticPr fontId="2" type="noConversion"/>
  </si>
  <si>
    <t>Electrometric</t>
    <phoneticPr fontId="2" type="noConversion"/>
  </si>
  <si>
    <t>SS</t>
    <phoneticPr fontId="2" type="noConversion"/>
  </si>
  <si>
    <t>Gravimetric</t>
    <phoneticPr fontId="2" type="noConversion"/>
  </si>
  <si>
    <t>160.1 ~ 160.4</t>
    <phoneticPr fontId="2" type="noConversion"/>
  </si>
  <si>
    <t>Temperature</t>
    <phoneticPr fontId="2" type="noConversion"/>
  </si>
  <si>
    <t>Thermometric</t>
    <phoneticPr fontId="2" type="noConversion"/>
  </si>
  <si>
    <t>Nephelometric</t>
    <phoneticPr fontId="2" type="noConversion"/>
  </si>
  <si>
    <t>Turbidity</t>
    <phoneticPr fontId="2" type="noConversion"/>
  </si>
  <si>
    <t>COD</t>
    <phoneticPr fontId="2" type="noConversion"/>
  </si>
  <si>
    <t>Colorimetric</t>
    <phoneticPr fontId="2" type="noConversion"/>
  </si>
  <si>
    <t>Semi-Automated Colorimetric</t>
    <phoneticPr fontId="2" type="noConversion"/>
  </si>
  <si>
    <t>Titrimetric, High Level</t>
    <phoneticPr fontId="2" type="noConversion"/>
  </si>
  <si>
    <t>Titrimetric, Low Level</t>
    <phoneticPr fontId="2" type="noConversion"/>
  </si>
  <si>
    <t>Titrimetric, Mid- Level</t>
    <phoneticPr fontId="2" type="noConversion"/>
  </si>
  <si>
    <t>TOC</t>
    <phoneticPr fontId="2" type="noConversion"/>
  </si>
  <si>
    <t>Combustion or Oxidation</t>
    <phoneticPr fontId="2" type="noConversion"/>
  </si>
  <si>
    <t>UV Promoted</t>
    <phoneticPr fontId="2" type="noConversion"/>
  </si>
  <si>
    <t>Ammonia 
as N</t>
    <phoneticPr fontId="2" type="noConversion"/>
  </si>
  <si>
    <t>Semi-Automated Colorimetry</t>
    <phoneticPr fontId="2" type="noConversion"/>
  </si>
  <si>
    <t>Colorimetric, Titrimetric</t>
    <phoneticPr fontId="2" type="noConversion"/>
  </si>
  <si>
    <t>Potentiometric</t>
    <phoneticPr fontId="2" type="noConversion"/>
  </si>
  <si>
    <t>Membrane Electrode (Probe)</t>
    <phoneticPr fontId="2" type="noConversion"/>
  </si>
  <si>
    <t>DO</t>
    <phoneticPr fontId="2" type="noConversion"/>
  </si>
  <si>
    <t>Colorimetric, Brucine</t>
    <phoneticPr fontId="2" type="noConversion"/>
  </si>
  <si>
    <t>Nitrate
(as nitrogen)</t>
    <phoneticPr fontId="2" type="noConversion"/>
  </si>
  <si>
    <t>orthphosphate
(as P)</t>
    <phoneticPr fontId="2" type="noConversion"/>
  </si>
  <si>
    <t>Automated Colorimetry</t>
  </si>
  <si>
    <t>Phosphorus</t>
    <phoneticPr fontId="2" type="noConversion"/>
  </si>
  <si>
    <t>All Forms - Colorimetric/Automated</t>
  </si>
  <si>
    <t>manual colorimetric/1 reagent</t>
    <phoneticPr fontId="2" type="noConversion"/>
  </si>
  <si>
    <t>colorimetric/ 2 reagents</t>
    <phoneticPr fontId="2" type="noConversion"/>
  </si>
  <si>
    <t>Total - Colorimetric/Automated</t>
    <phoneticPr fontId="2" type="noConversion"/>
  </si>
  <si>
    <t>Orthophosphate by automated colorimetric</t>
    <phoneticPr fontId="2" type="noConversion"/>
  </si>
  <si>
    <t>Nitrogen</t>
    <phoneticPr fontId="2" type="noConversion"/>
  </si>
  <si>
    <t>Nitrate-Nitrite - Colorimetric/Hydra</t>
    <phoneticPr fontId="2" type="noConversion"/>
  </si>
  <si>
    <t>Nitrate-Nitrate</t>
    <phoneticPr fontId="2" type="noConversion"/>
  </si>
  <si>
    <t>by Automated Colorimetry</t>
    <phoneticPr fontId="2" type="noConversion"/>
  </si>
  <si>
    <t>Nitrate-Nitrite
 (as N)</t>
    <phoneticPr fontId="2" type="noConversion"/>
  </si>
  <si>
    <t>Colorimetric/Cadmium</t>
    <phoneticPr fontId="2" type="noConversion"/>
  </si>
  <si>
    <t>Manual Cadmium</t>
    <phoneticPr fontId="2" type="noConversion"/>
  </si>
  <si>
    <t>Nitrate 
(as Nitrogen)</t>
    <phoneticPr fontId="2" type="noConversion"/>
  </si>
  <si>
    <t>Spectrophotometric</t>
    <phoneticPr fontId="2" type="noConversion"/>
  </si>
  <si>
    <t>Method</t>
    <phoneticPr fontId="2" type="noConversion"/>
  </si>
  <si>
    <t>EPA Number</t>
    <phoneticPr fontId="2" type="noConversion"/>
  </si>
  <si>
    <t>Method Number Index to EPA Test Methods</t>
    <phoneticPr fontId="2" type="noConversion"/>
  </si>
  <si>
    <t>* CWMs: continuous water monitors</t>
    <phoneticPr fontId="2" type="noConversion"/>
  </si>
  <si>
    <r>
      <rPr>
        <sz val="10"/>
        <color theme="1"/>
        <rFont val="Times New Roman"/>
        <family val="1"/>
      </rPr>
      <t xml:space="preserve">Combined performance </t>
    </r>
    <r>
      <rPr>
        <sz val="11"/>
        <color theme="1"/>
        <rFont val="Times New Roman"/>
        <family val="1"/>
      </rPr>
      <t>characteristic</t>
    </r>
    <phoneticPr fontId="2" type="noConversion"/>
  </si>
  <si>
    <r>
      <rPr>
        <sz val="11"/>
        <color rgb="FFFF0000"/>
        <rFont val="Times New Roman"/>
        <family val="1"/>
      </rPr>
      <t>ISE or</t>
    </r>
    <r>
      <rPr>
        <sz val="11"/>
        <color theme="1"/>
        <rFont val="Times New Roman"/>
        <family val="1"/>
      </rPr>
      <t xml:space="preserve"> Absorption Spectroscopy (Ascorbic acid reduction)</t>
    </r>
    <phoneticPr fontId="2" type="noConversion"/>
  </si>
  <si>
    <r>
      <t xml:space="preserve">&gt; 2 </t>
    </r>
    <r>
      <rPr>
        <sz val="11"/>
        <color theme="1"/>
        <rFont val="맑은 고딕"/>
        <family val="2"/>
        <charset val="129"/>
      </rPr>
      <t>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</si>
</sst>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_-* #,##0.0_-;\-* #,##0.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바탕"/>
      <family val="1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5"/>
      <color theme="1"/>
      <name val="Times New Roman"/>
      <family val="1"/>
    </font>
    <font>
      <sz val="11"/>
      <color theme="1"/>
      <name val="맑은 고딕"/>
      <family val="2"/>
      <charset val="129"/>
    </font>
    <font>
      <sz val="14"/>
      <color theme="1"/>
      <name val="Times New Roman"/>
      <family val="1"/>
    </font>
    <font>
      <sz val="14"/>
      <color theme="1"/>
      <name val="맑은 고딕"/>
      <family val="2"/>
      <charset val="129"/>
      <scheme val="minor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176" fontId="3" fillId="0" borderId="0" xfId="1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176" fontId="4" fillId="0" borderId="1" xfId="1" applyNumberFormat="1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76" fontId="4" fillId="0" borderId="1" xfId="0" applyNumberFormat="1" applyFont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W25"/>
  <sheetViews>
    <sheetView view="pageLayout" topLeftCell="A4" zoomScaleNormal="100" workbookViewId="0">
      <selection activeCell="G3" sqref="G3:I3"/>
    </sheetView>
  </sheetViews>
  <sheetFormatPr defaultRowHeight="16.5" x14ac:dyDescent="0.3"/>
  <cols>
    <col min="1" max="1" width="16.375" style="2" customWidth="1"/>
    <col min="2" max="2" width="6.5" style="2" customWidth="1"/>
    <col min="3" max="3" width="7.75" style="2" customWidth="1"/>
    <col min="4" max="4" width="9.625" style="2" customWidth="1"/>
    <col min="5" max="5" width="10.625" style="2" customWidth="1"/>
    <col min="6" max="6" width="10.75" style="2" customWidth="1"/>
    <col min="7" max="7" width="9.5" style="2" customWidth="1"/>
    <col min="8" max="8" width="11" style="2" customWidth="1"/>
    <col min="9" max="9" width="12.875" style="2" customWidth="1"/>
    <col min="10" max="10" width="11" style="2" customWidth="1"/>
    <col min="11" max="11" width="13.75" style="2" customWidth="1"/>
    <col min="12" max="17" width="9" style="1"/>
    <col min="18" max="23" width="9" style="2"/>
  </cols>
  <sheetData>
    <row r="1" spans="1:21" ht="19.5" x14ac:dyDescent="0.3">
      <c r="A1" s="33" t="s">
        <v>48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21" ht="6" customHeight="1" x14ac:dyDescent="0.3"/>
    <row r="3" spans="1:21" ht="30" x14ac:dyDescent="0.3">
      <c r="A3" s="11"/>
      <c r="B3" s="12" t="s">
        <v>0</v>
      </c>
      <c r="C3" s="12" t="s">
        <v>17</v>
      </c>
      <c r="D3" s="12" t="s">
        <v>19</v>
      </c>
      <c r="E3" s="12" t="s">
        <v>21</v>
      </c>
      <c r="F3" s="12" t="s">
        <v>24</v>
      </c>
      <c r="G3" s="12" t="s">
        <v>28</v>
      </c>
      <c r="H3" s="12" t="s">
        <v>29</v>
      </c>
      <c r="I3" s="13" t="s">
        <v>36</v>
      </c>
      <c r="J3" s="13" t="s">
        <v>39</v>
      </c>
      <c r="K3" s="13" t="s">
        <v>42</v>
      </c>
      <c r="L3" s="6"/>
      <c r="M3" s="6"/>
      <c r="N3" s="6"/>
      <c r="O3" s="6"/>
      <c r="P3" s="6"/>
      <c r="Q3" s="6"/>
      <c r="R3" s="5"/>
      <c r="S3" s="5"/>
      <c r="T3" s="5"/>
      <c r="U3" s="5"/>
    </row>
    <row r="4" spans="1:21" x14ac:dyDescent="0.3">
      <c r="A4" s="11"/>
      <c r="B4" s="14" t="s">
        <v>15</v>
      </c>
      <c r="C4" s="15" t="s">
        <v>18</v>
      </c>
      <c r="D4" s="15" t="s">
        <v>20</v>
      </c>
      <c r="E4" s="15" t="s">
        <v>20</v>
      </c>
      <c r="F4" s="15" t="s">
        <v>25</v>
      </c>
      <c r="G4" s="15" t="s">
        <v>25</v>
      </c>
      <c r="H4" s="15" t="s">
        <v>25</v>
      </c>
      <c r="I4" s="15" t="s">
        <v>25</v>
      </c>
      <c r="J4" s="15" t="s">
        <v>25</v>
      </c>
      <c r="K4" s="15" t="s">
        <v>25</v>
      </c>
      <c r="L4" s="5"/>
      <c r="M4" s="5"/>
      <c r="N4" s="6"/>
      <c r="O4" s="6"/>
      <c r="P4" s="6"/>
      <c r="Q4" s="6"/>
      <c r="R4" s="5"/>
      <c r="S4" s="5"/>
      <c r="T4" s="5"/>
      <c r="U4" s="5"/>
    </row>
    <row r="5" spans="1:21" ht="60" customHeight="1" x14ac:dyDescent="0.3">
      <c r="A5" s="11" t="s">
        <v>1</v>
      </c>
      <c r="B5" s="16">
        <v>0.3</v>
      </c>
      <c r="C5" s="16">
        <v>0.2</v>
      </c>
      <c r="D5" s="16">
        <v>1</v>
      </c>
      <c r="E5" s="17" t="s">
        <v>22</v>
      </c>
      <c r="F5" s="17" t="s">
        <v>26</v>
      </c>
      <c r="G5" s="17" t="s">
        <v>30</v>
      </c>
      <c r="H5" s="17" t="s">
        <v>31</v>
      </c>
      <c r="I5" s="17" t="s">
        <v>37</v>
      </c>
      <c r="J5" s="17" t="s">
        <v>40</v>
      </c>
      <c r="K5" s="17" t="s">
        <v>44</v>
      </c>
      <c r="L5" s="8"/>
      <c r="M5" s="8"/>
      <c r="N5" s="8"/>
      <c r="O5" s="8"/>
      <c r="P5" s="8"/>
      <c r="Q5" s="8"/>
      <c r="R5" s="7"/>
      <c r="S5" s="9"/>
      <c r="T5" s="9"/>
      <c r="U5" s="5"/>
    </row>
    <row r="6" spans="1:21" x14ac:dyDescent="0.3">
      <c r="A6" s="11" t="s">
        <v>2</v>
      </c>
      <c r="B6" s="16">
        <v>0.2</v>
      </c>
      <c r="C6" s="16">
        <v>0.1</v>
      </c>
      <c r="D6" s="16">
        <v>0.2</v>
      </c>
      <c r="E6" s="16">
        <v>1</v>
      </c>
      <c r="F6" s="16">
        <v>2.5</v>
      </c>
      <c r="G6" s="16">
        <v>5</v>
      </c>
      <c r="H6" s="16">
        <v>5</v>
      </c>
      <c r="I6" s="16">
        <v>5</v>
      </c>
      <c r="J6" s="16">
        <v>2.5</v>
      </c>
      <c r="K6" s="16">
        <v>5</v>
      </c>
      <c r="L6" s="8"/>
      <c r="M6" s="8"/>
      <c r="N6" s="8"/>
      <c r="O6" s="8"/>
      <c r="P6" s="8"/>
      <c r="Q6" s="8"/>
      <c r="R6" s="7"/>
      <c r="S6" s="9"/>
      <c r="T6" s="9"/>
      <c r="U6" s="5"/>
    </row>
    <row r="7" spans="1:21" ht="45" x14ac:dyDescent="0.3">
      <c r="A7" s="11" t="s">
        <v>3</v>
      </c>
      <c r="B7" s="16">
        <v>0.2</v>
      </c>
      <c r="C7" s="16">
        <v>0.1</v>
      </c>
      <c r="D7" s="16">
        <v>0.5</v>
      </c>
      <c r="E7" s="17" t="s">
        <v>23</v>
      </c>
      <c r="F7" s="17" t="s">
        <v>27</v>
      </c>
      <c r="G7" s="17" t="s">
        <v>32</v>
      </c>
      <c r="H7" s="17" t="s">
        <v>33</v>
      </c>
      <c r="I7" s="17" t="s">
        <v>38</v>
      </c>
      <c r="J7" s="17" t="s">
        <v>41</v>
      </c>
      <c r="K7" s="17" t="s">
        <v>43</v>
      </c>
      <c r="L7" s="8"/>
      <c r="M7" s="8"/>
      <c r="N7" s="8"/>
      <c r="O7" s="8"/>
      <c r="P7" s="8"/>
      <c r="Q7" s="8"/>
      <c r="R7" s="7"/>
      <c r="S7" s="9"/>
      <c r="T7" s="9"/>
      <c r="U7" s="5"/>
    </row>
    <row r="8" spans="1:21" x14ac:dyDescent="0.3">
      <c r="A8" s="11" t="s">
        <v>16</v>
      </c>
      <c r="B8" s="16">
        <v>0</v>
      </c>
      <c r="C8" s="16">
        <v>0</v>
      </c>
      <c r="D8" s="16">
        <v>0</v>
      </c>
      <c r="E8" s="16">
        <v>0</v>
      </c>
      <c r="F8" s="16">
        <v>2.5</v>
      </c>
      <c r="G8" s="16">
        <v>5</v>
      </c>
      <c r="H8" s="16" t="s">
        <v>35</v>
      </c>
      <c r="I8" s="16">
        <v>5</v>
      </c>
      <c r="J8" s="16">
        <v>2.5</v>
      </c>
      <c r="K8" s="16">
        <v>5</v>
      </c>
      <c r="L8" s="8"/>
      <c r="M8" s="8"/>
      <c r="N8" s="8"/>
      <c r="O8" s="8"/>
      <c r="P8" s="8"/>
      <c r="Q8" s="8"/>
      <c r="R8" s="7"/>
      <c r="S8" s="9"/>
      <c r="T8" s="9"/>
      <c r="U8" s="5"/>
    </row>
    <row r="9" spans="1:21" x14ac:dyDescent="0.3">
      <c r="A9" s="11" t="s">
        <v>4</v>
      </c>
      <c r="B9" s="16">
        <v>0.2</v>
      </c>
      <c r="C9" s="16">
        <v>0.1</v>
      </c>
      <c r="D9" s="16">
        <v>0.5</v>
      </c>
      <c r="E9" s="16">
        <v>1</v>
      </c>
      <c r="F9" s="16">
        <v>2.5</v>
      </c>
      <c r="G9" s="16">
        <v>5</v>
      </c>
      <c r="H9" s="16">
        <v>5</v>
      </c>
      <c r="I9" s="16">
        <v>5</v>
      </c>
      <c r="J9" s="16">
        <v>2.5</v>
      </c>
      <c r="K9" s="16">
        <v>5</v>
      </c>
      <c r="L9" s="8"/>
      <c r="M9" s="8"/>
      <c r="N9" s="8"/>
      <c r="O9" s="8"/>
      <c r="P9" s="8"/>
      <c r="Q9" s="8"/>
      <c r="R9" s="7"/>
      <c r="S9" s="9"/>
      <c r="T9" s="9"/>
      <c r="U9" s="5"/>
    </row>
    <row r="10" spans="1:21" x14ac:dyDescent="0.3">
      <c r="A10" s="11" t="s">
        <v>6</v>
      </c>
      <c r="B10" s="16">
        <v>0.2</v>
      </c>
      <c r="C10" s="16">
        <v>0.05</v>
      </c>
      <c r="D10" s="16">
        <v>0.5</v>
      </c>
      <c r="E10" s="16">
        <v>0.5</v>
      </c>
      <c r="F10" s="16">
        <v>1</v>
      </c>
      <c r="G10" s="16">
        <v>2.5</v>
      </c>
      <c r="H10" s="16">
        <v>2.5</v>
      </c>
      <c r="I10" s="16">
        <v>2.5</v>
      </c>
      <c r="J10" s="16">
        <v>1</v>
      </c>
      <c r="K10" s="16">
        <v>2.5</v>
      </c>
      <c r="L10" s="8"/>
      <c r="M10" s="8"/>
      <c r="N10" s="8"/>
      <c r="O10" s="8"/>
      <c r="P10" s="8"/>
      <c r="Q10" s="8"/>
      <c r="R10" s="7"/>
      <c r="S10" s="9"/>
      <c r="T10" s="9"/>
      <c r="U10" s="5"/>
    </row>
    <row r="11" spans="1:21" x14ac:dyDescent="0.3">
      <c r="A11" s="11" t="s">
        <v>7</v>
      </c>
      <c r="B11" s="16">
        <v>0.2</v>
      </c>
      <c r="C11" s="16">
        <v>0.05</v>
      </c>
      <c r="D11" s="16">
        <v>0.25</v>
      </c>
      <c r="E11" s="16">
        <v>0.5</v>
      </c>
      <c r="F11" s="16">
        <v>1</v>
      </c>
      <c r="G11" s="16">
        <v>2.5</v>
      </c>
      <c r="H11" s="16">
        <v>2.5</v>
      </c>
      <c r="I11" s="16">
        <v>2.5</v>
      </c>
      <c r="J11" s="16">
        <v>1</v>
      </c>
      <c r="K11" s="16">
        <v>2.5</v>
      </c>
      <c r="L11" s="8"/>
      <c r="M11" s="8"/>
      <c r="N11" s="8"/>
      <c r="O11" s="8"/>
      <c r="P11" s="8"/>
      <c r="Q11" s="8"/>
      <c r="R11" s="7"/>
      <c r="S11" s="9"/>
      <c r="T11" s="9"/>
      <c r="U11" s="5"/>
    </row>
    <row r="12" spans="1:21" x14ac:dyDescent="0.3">
      <c r="A12" s="11" t="s">
        <v>8</v>
      </c>
      <c r="B12" s="16">
        <v>0.2</v>
      </c>
      <c r="C12" s="16">
        <v>0.1</v>
      </c>
      <c r="D12" s="16">
        <v>0.5</v>
      </c>
      <c r="E12" s="16">
        <v>1</v>
      </c>
      <c r="F12" s="16">
        <v>2.5</v>
      </c>
      <c r="G12" s="16">
        <v>5</v>
      </c>
      <c r="H12" s="16">
        <v>5</v>
      </c>
      <c r="I12" s="16">
        <v>5</v>
      </c>
      <c r="J12" s="16">
        <v>2.5</v>
      </c>
      <c r="K12" s="16">
        <v>5</v>
      </c>
      <c r="L12" s="8"/>
      <c r="M12" s="8"/>
      <c r="N12" s="8"/>
      <c r="O12" s="8"/>
      <c r="P12" s="8"/>
      <c r="Q12" s="8"/>
      <c r="R12" s="7"/>
      <c r="S12" s="9"/>
      <c r="T12" s="9"/>
      <c r="U12" s="5"/>
    </row>
    <row r="13" spans="1:21" x14ac:dyDescent="0.3">
      <c r="A13" s="11" t="s">
        <v>9</v>
      </c>
      <c r="B13" s="16">
        <v>0.2</v>
      </c>
      <c r="C13" s="16">
        <v>0.1</v>
      </c>
      <c r="D13" s="16">
        <v>0.5</v>
      </c>
      <c r="E13" s="16">
        <v>1</v>
      </c>
      <c r="F13" s="16">
        <v>2.5</v>
      </c>
      <c r="G13" s="16">
        <v>5</v>
      </c>
      <c r="H13" s="16">
        <v>5</v>
      </c>
      <c r="I13" s="16">
        <v>5</v>
      </c>
      <c r="J13" s="16">
        <v>2.5</v>
      </c>
      <c r="K13" s="16">
        <v>5</v>
      </c>
      <c r="L13" s="8"/>
      <c r="M13" s="8"/>
      <c r="N13" s="8"/>
      <c r="O13" s="8"/>
      <c r="P13" s="8"/>
      <c r="Q13" s="8"/>
      <c r="R13" s="7"/>
      <c r="S13" s="9"/>
      <c r="T13" s="9"/>
      <c r="U13" s="5"/>
    </row>
    <row r="14" spans="1:21" x14ac:dyDescent="0.3">
      <c r="A14" s="11" t="s">
        <v>10</v>
      </c>
      <c r="B14" s="16">
        <v>0.2</v>
      </c>
      <c r="C14" s="16">
        <v>0.05</v>
      </c>
      <c r="D14" s="16">
        <v>0.25</v>
      </c>
      <c r="E14" s="16">
        <v>1</v>
      </c>
      <c r="F14" s="16">
        <v>1</v>
      </c>
      <c r="G14" s="16">
        <v>2.5</v>
      </c>
      <c r="H14" s="16">
        <v>2.5</v>
      </c>
      <c r="I14" s="16">
        <v>2.5</v>
      </c>
      <c r="J14" s="16">
        <v>1</v>
      </c>
      <c r="K14" s="16">
        <v>2.5</v>
      </c>
      <c r="L14" s="8"/>
      <c r="M14" s="8"/>
      <c r="N14" s="8"/>
      <c r="O14" s="8"/>
      <c r="P14" s="8"/>
      <c r="Q14" s="8"/>
      <c r="R14" s="7"/>
      <c r="S14" s="9"/>
      <c r="T14" s="9"/>
      <c r="U14" s="5"/>
    </row>
    <row r="15" spans="1:21" x14ac:dyDescent="0.3">
      <c r="A15" s="11" t="s">
        <v>11</v>
      </c>
      <c r="B15" s="16">
        <v>0</v>
      </c>
      <c r="C15" s="16">
        <v>0.1</v>
      </c>
      <c r="D15" s="16">
        <v>0.5</v>
      </c>
      <c r="E15" s="16">
        <v>1</v>
      </c>
      <c r="F15" s="16">
        <v>2.5</v>
      </c>
      <c r="G15" s="16">
        <v>5</v>
      </c>
      <c r="H15" s="16">
        <v>5</v>
      </c>
      <c r="I15" s="16">
        <v>5</v>
      </c>
      <c r="J15" s="16">
        <v>2.5</v>
      </c>
      <c r="K15" s="16">
        <v>5</v>
      </c>
      <c r="L15" s="8"/>
      <c r="M15" s="8"/>
      <c r="N15" s="8"/>
      <c r="O15" s="8"/>
      <c r="P15" s="8"/>
      <c r="Q15" s="8"/>
      <c r="R15" s="7"/>
      <c r="S15" s="9"/>
      <c r="T15" s="9"/>
      <c r="U15" s="5"/>
    </row>
    <row r="16" spans="1:21" x14ac:dyDescent="0.3">
      <c r="A16" s="11" t="s">
        <v>12</v>
      </c>
      <c r="B16" s="16">
        <v>0</v>
      </c>
      <c r="C16" s="16">
        <v>0.05</v>
      </c>
      <c r="D16" s="16">
        <v>0.2</v>
      </c>
      <c r="E16" s="16">
        <v>0.5</v>
      </c>
      <c r="F16" s="16">
        <v>1</v>
      </c>
      <c r="G16" s="16">
        <v>2.5</v>
      </c>
      <c r="H16" s="16">
        <v>2.5</v>
      </c>
      <c r="I16" s="16">
        <v>2.5</v>
      </c>
      <c r="J16" s="16">
        <v>1</v>
      </c>
      <c r="K16" s="16">
        <v>2.5</v>
      </c>
      <c r="L16" s="8"/>
      <c r="M16" s="8"/>
      <c r="N16" s="8"/>
      <c r="O16" s="8"/>
      <c r="P16" s="8"/>
      <c r="Q16" s="8"/>
      <c r="R16" s="7"/>
      <c r="S16" s="9"/>
      <c r="T16" s="9"/>
      <c r="U16" s="5"/>
    </row>
    <row r="17" spans="1:21" x14ac:dyDescent="0.3">
      <c r="A17" s="11" t="s">
        <v>13</v>
      </c>
      <c r="B17" s="16">
        <v>0</v>
      </c>
      <c r="C17" s="16">
        <v>0.05</v>
      </c>
      <c r="D17" s="16">
        <v>0.2</v>
      </c>
      <c r="E17" s="16">
        <v>0.5</v>
      </c>
      <c r="F17" s="16">
        <v>1</v>
      </c>
      <c r="G17" s="16">
        <v>2.5</v>
      </c>
      <c r="H17" s="16">
        <v>2.5</v>
      </c>
      <c r="I17" s="16">
        <v>2.5</v>
      </c>
      <c r="J17" s="16">
        <v>1</v>
      </c>
      <c r="K17" s="16">
        <v>2.5</v>
      </c>
      <c r="L17" s="8"/>
      <c r="M17" s="8"/>
      <c r="N17" s="8"/>
      <c r="O17" s="8"/>
      <c r="P17" s="8"/>
      <c r="Q17" s="8"/>
      <c r="R17" s="7"/>
      <c r="S17" s="9"/>
      <c r="T17" s="9"/>
      <c r="U17" s="5"/>
    </row>
    <row r="18" spans="1:21" ht="27.75" x14ac:dyDescent="0.3">
      <c r="A18" s="18" t="s">
        <v>171</v>
      </c>
      <c r="B18" s="19">
        <v>0.5</v>
      </c>
      <c r="C18" s="16">
        <v>0.3</v>
      </c>
      <c r="D18" s="16">
        <v>1.5</v>
      </c>
      <c r="E18" s="16">
        <v>2.5</v>
      </c>
      <c r="F18" s="16">
        <v>6</v>
      </c>
      <c r="G18" s="16">
        <v>12</v>
      </c>
      <c r="H18" s="16">
        <v>12</v>
      </c>
      <c r="I18" s="16">
        <v>12</v>
      </c>
      <c r="J18" s="16">
        <v>6</v>
      </c>
      <c r="K18" s="16">
        <v>12</v>
      </c>
      <c r="L18" s="8"/>
      <c r="M18" s="8"/>
      <c r="N18" s="8"/>
      <c r="O18" s="8"/>
      <c r="P18" s="8"/>
      <c r="Q18" s="8"/>
      <c r="R18" s="7"/>
      <c r="S18" s="9"/>
      <c r="T18" s="9"/>
      <c r="U18" s="5"/>
    </row>
    <row r="19" spans="1:21" x14ac:dyDescent="0.3">
      <c r="A19" s="11" t="s">
        <v>5</v>
      </c>
      <c r="B19" s="12"/>
      <c r="C19" s="19"/>
      <c r="D19" s="19"/>
      <c r="E19" s="19"/>
      <c r="F19" s="19"/>
      <c r="G19" s="19" t="s">
        <v>34</v>
      </c>
      <c r="H19" s="19"/>
      <c r="I19" s="19"/>
      <c r="J19" s="19"/>
      <c r="K19" s="19"/>
      <c r="L19" s="10"/>
      <c r="M19" s="10"/>
      <c r="N19" s="10"/>
      <c r="O19" s="10"/>
      <c r="P19" s="10"/>
      <c r="Q19" s="10"/>
      <c r="R19" s="9"/>
      <c r="S19" s="9"/>
      <c r="T19" s="9"/>
      <c r="U19" s="5"/>
    </row>
    <row r="20" spans="1:21" x14ac:dyDescent="0.3">
      <c r="A20" s="11" t="s">
        <v>14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0"/>
      <c r="M20" s="10"/>
      <c r="N20" s="10"/>
      <c r="O20" s="10"/>
      <c r="P20" s="10"/>
      <c r="Q20" s="10"/>
      <c r="R20" s="9"/>
      <c r="S20" s="9"/>
      <c r="T20" s="9"/>
      <c r="U20" s="5"/>
    </row>
    <row r="21" spans="1:21" x14ac:dyDescent="0.3">
      <c r="A21" s="11" t="str">
        <f>A5</f>
        <v>Mean Error</v>
      </c>
      <c r="B21" s="30" t="s">
        <v>46</v>
      </c>
      <c r="C21" s="31"/>
      <c r="D21" s="31"/>
      <c r="E21" s="31"/>
      <c r="F21" s="31"/>
      <c r="G21" s="31"/>
      <c r="H21" s="31"/>
      <c r="I21" s="31"/>
      <c r="J21" s="31"/>
      <c r="K21" s="32"/>
      <c r="L21" s="10"/>
      <c r="M21" s="10"/>
      <c r="N21" s="10"/>
      <c r="O21" s="10"/>
      <c r="P21" s="10"/>
      <c r="Q21" s="10"/>
      <c r="R21" s="9"/>
      <c r="S21" s="9"/>
      <c r="T21" s="9"/>
      <c r="U21" s="5"/>
    </row>
    <row r="22" spans="1:21" x14ac:dyDescent="0.3">
      <c r="A22" s="11" t="str">
        <f>A7</f>
        <v>Repeatibility</v>
      </c>
      <c r="B22" s="30" t="s">
        <v>45</v>
      </c>
      <c r="C22" s="31"/>
      <c r="D22" s="31"/>
      <c r="E22" s="31"/>
      <c r="F22" s="31"/>
      <c r="G22" s="31"/>
      <c r="H22" s="31"/>
      <c r="I22" s="31"/>
      <c r="J22" s="31"/>
      <c r="K22" s="32"/>
      <c r="L22" s="4"/>
      <c r="M22" s="4"/>
      <c r="N22" s="4"/>
      <c r="O22" s="4"/>
      <c r="P22" s="4"/>
      <c r="Q22" s="4"/>
      <c r="R22" s="3"/>
      <c r="S22" s="3"/>
      <c r="T22" s="3"/>
    </row>
    <row r="23" spans="1:21" x14ac:dyDescent="0.3">
      <c r="A23" s="11" t="str">
        <f>A9</f>
        <v>Drift</v>
      </c>
      <c r="B23" s="30" t="s">
        <v>47</v>
      </c>
      <c r="C23" s="31"/>
      <c r="D23" s="31"/>
      <c r="E23" s="31"/>
      <c r="F23" s="31"/>
      <c r="G23" s="31"/>
      <c r="H23" s="31"/>
      <c r="I23" s="31"/>
      <c r="J23" s="31"/>
      <c r="K23" s="32"/>
      <c r="L23" s="4"/>
      <c r="M23" s="4"/>
      <c r="N23" s="4"/>
      <c r="O23" s="4"/>
      <c r="P23" s="4"/>
      <c r="Q23" s="4"/>
      <c r="R23" s="3"/>
      <c r="S23" s="3"/>
      <c r="T23" s="3"/>
    </row>
    <row r="24" spans="1:2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  <c r="M24" s="4"/>
      <c r="N24" s="4"/>
      <c r="O24" s="4"/>
      <c r="P24" s="4"/>
      <c r="Q24" s="4"/>
      <c r="R24" s="3"/>
      <c r="S24" s="3"/>
      <c r="T24" s="3"/>
    </row>
    <row r="25" spans="1:21" x14ac:dyDescent="0.3">
      <c r="A25" s="2" t="s">
        <v>170</v>
      </c>
    </row>
  </sheetData>
  <mergeCells count="4">
    <mergeCell ref="B21:K21"/>
    <mergeCell ref="B22:K22"/>
    <mergeCell ref="B23:K23"/>
    <mergeCell ref="A1:K1"/>
  </mergeCells>
  <phoneticPr fontId="2" type="noConversion"/>
  <pageMargins left="0.7" right="0.7" top="0.75" bottom="0.75" header="0.3" footer="0.3"/>
  <pageSetup paperSize="9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2:J23"/>
  <sheetViews>
    <sheetView tabSelected="1" view="pageLayout" zoomScale="75" zoomScaleNormal="100" zoomScalePageLayoutView="75" workbookViewId="0">
      <selection activeCell="F26" sqref="F26:G26"/>
    </sheetView>
  </sheetViews>
  <sheetFormatPr defaultRowHeight="15" x14ac:dyDescent="0.3"/>
  <cols>
    <col min="1" max="1" width="21.375" style="22" customWidth="1"/>
    <col min="2" max="9" width="16.75" style="5" customWidth="1"/>
    <col min="10" max="10" width="22.5" style="5" customWidth="1"/>
    <col min="11" max="16384" width="9" style="2"/>
  </cols>
  <sheetData>
    <row r="2" spans="1:10" x14ac:dyDescent="0.3">
      <c r="A2" s="26"/>
      <c r="B2" s="27" t="s">
        <v>49</v>
      </c>
      <c r="C2" s="27" t="s">
        <v>50</v>
      </c>
      <c r="D2" s="27" t="s">
        <v>51</v>
      </c>
      <c r="E2" s="27" t="s">
        <v>52</v>
      </c>
      <c r="F2" s="27" t="s">
        <v>53</v>
      </c>
      <c r="G2" s="27" t="s">
        <v>54</v>
      </c>
      <c r="H2" s="27" t="s">
        <v>55</v>
      </c>
      <c r="I2" s="27" t="s">
        <v>56</v>
      </c>
      <c r="J2" s="27" t="s">
        <v>57</v>
      </c>
    </row>
    <row r="3" spans="1:10" x14ac:dyDescent="0.3">
      <c r="A3" s="26"/>
      <c r="B3" s="27"/>
      <c r="C3" s="27"/>
      <c r="D3" s="27"/>
      <c r="E3" s="27"/>
      <c r="F3" s="27"/>
      <c r="G3" s="27"/>
      <c r="H3" s="27"/>
      <c r="I3" s="27"/>
      <c r="J3" s="27"/>
    </row>
    <row r="4" spans="1:10" x14ac:dyDescent="0.3">
      <c r="A4" s="26"/>
      <c r="B4" s="27" t="s">
        <v>58</v>
      </c>
      <c r="C4" s="27" t="s">
        <v>59</v>
      </c>
      <c r="D4" s="27"/>
      <c r="E4" s="27"/>
      <c r="F4" s="27"/>
      <c r="G4" s="27"/>
      <c r="H4" s="27"/>
      <c r="I4" s="27"/>
      <c r="J4" s="27"/>
    </row>
    <row r="5" spans="1:10" ht="26.25" customHeight="1" x14ac:dyDescent="0.3">
      <c r="A5" s="26" t="s">
        <v>60</v>
      </c>
      <c r="B5" s="27" t="s">
        <v>61</v>
      </c>
      <c r="C5" s="27" t="s">
        <v>62</v>
      </c>
      <c r="D5" s="27" t="s">
        <v>63</v>
      </c>
      <c r="E5" s="27" t="s">
        <v>64</v>
      </c>
      <c r="F5" s="27" t="s">
        <v>65</v>
      </c>
      <c r="G5" s="27" t="s">
        <v>66</v>
      </c>
      <c r="H5" s="27" t="s">
        <v>63</v>
      </c>
      <c r="I5" s="27" t="s">
        <v>66</v>
      </c>
      <c r="J5" s="28" t="s">
        <v>67</v>
      </c>
    </row>
    <row r="6" spans="1:10" ht="60" x14ac:dyDescent="0.3">
      <c r="A6" s="26" t="s">
        <v>68</v>
      </c>
      <c r="B6" s="28" t="s">
        <v>69</v>
      </c>
      <c r="C6" s="28" t="s">
        <v>70</v>
      </c>
      <c r="D6" s="28" t="s">
        <v>71</v>
      </c>
      <c r="E6" s="28" t="s">
        <v>72</v>
      </c>
      <c r="F6" s="28" t="s">
        <v>73</v>
      </c>
      <c r="G6" s="28" t="s">
        <v>74</v>
      </c>
      <c r="H6" s="28" t="s">
        <v>172</v>
      </c>
      <c r="I6" s="28" t="s">
        <v>75</v>
      </c>
      <c r="J6" s="28" t="s">
        <v>76</v>
      </c>
    </row>
    <row r="7" spans="1:10" x14ac:dyDescent="0.3">
      <c r="A7" s="26" t="s">
        <v>77</v>
      </c>
      <c r="B7" s="27">
        <v>0.1</v>
      </c>
      <c r="C7" s="27" t="s">
        <v>78</v>
      </c>
      <c r="D7" s="27" t="s">
        <v>79</v>
      </c>
      <c r="E7" s="27" t="s">
        <v>78</v>
      </c>
      <c r="F7" s="27" t="s">
        <v>78</v>
      </c>
      <c r="G7" s="27" t="s">
        <v>78</v>
      </c>
      <c r="H7" s="27" t="s">
        <v>80</v>
      </c>
      <c r="I7" s="27" t="s">
        <v>79</v>
      </c>
      <c r="J7" s="27" t="s">
        <v>81</v>
      </c>
    </row>
    <row r="8" spans="1:10" x14ac:dyDescent="0.3">
      <c r="A8" s="26" t="s">
        <v>82</v>
      </c>
      <c r="B8" s="27">
        <v>0.1</v>
      </c>
      <c r="C8" s="20">
        <v>0.03</v>
      </c>
      <c r="D8" s="27" t="s">
        <v>83</v>
      </c>
      <c r="E8" s="20">
        <v>0.03</v>
      </c>
      <c r="F8" s="20">
        <v>0.03</v>
      </c>
      <c r="G8" s="20">
        <v>0.03</v>
      </c>
      <c r="H8" s="20">
        <v>0.03</v>
      </c>
      <c r="I8" s="20">
        <v>0.03</v>
      </c>
      <c r="J8" s="20">
        <v>0.02</v>
      </c>
    </row>
    <row r="9" spans="1:10" x14ac:dyDescent="0.3">
      <c r="A9" s="26" t="s">
        <v>84</v>
      </c>
      <c r="B9" s="27">
        <v>0.1</v>
      </c>
      <c r="C9" s="20">
        <v>0.05</v>
      </c>
      <c r="D9" s="27" t="s">
        <v>85</v>
      </c>
      <c r="E9" s="20">
        <v>0.05</v>
      </c>
      <c r="F9" s="20">
        <v>0.05</v>
      </c>
      <c r="G9" s="20">
        <v>0.05</v>
      </c>
      <c r="H9" s="20">
        <v>0.05</v>
      </c>
      <c r="I9" s="20">
        <v>0.05</v>
      </c>
      <c r="J9" s="20">
        <v>0.03</v>
      </c>
    </row>
    <row r="10" spans="1:10" x14ac:dyDescent="0.3">
      <c r="A10" s="26" t="s">
        <v>86</v>
      </c>
      <c r="B10" s="27">
        <v>0.1</v>
      </c>
      <c r="C10" s="20">
        <v>0.05</v>
      </c>
      <c r="D10" s="27" t="s">
        <v>83</v>
      </c>
      <c r="E10" s="20">
        <v>0.05</v>
      </c>
      <c r="F10" s="20">
        <v>0.05</v>
      </c>
      <c r="G10" s="20">
        <v>0.05</v>
      </c>
      <c r="H10" s="20">
        <v>0.05</v>
      </c>
      <c r="I10" s="20">
        <v>0.05</v>
      </c>
      <c r="J10" s="20">
        <v>0.03</v>
      </c>
    </row>
    <row r="11" spans="1:10" x14ac:dyDescent="0.3">
      <c r="A11" s="26" t="s">
        <v>87</v>
      </c>
      <c r="B11" s="27" t="s">
        <v>88</v>
      </c>
      <c r="C11" s="20" t="s">
        <v>89</v>
      </c>
      <c r="D11" s="27" t="s">
        <v>90</v>
      </c>
      <c r="E11" s="20" t="s">
        <v>89</v>
      </c>
      <c r="F11" s="20" t="s">
        <v>90</v>
      </c>
      <c r="G11" s="20" t="s">
        <v>89</v>
      </c>
      <c r="H11" s="20" t="s">
        <v>89</v>
      </c>
      <c r="I11" s="20" t="s">
        <v>89</v>
      </c>
      <c r="J11" s="20" t="s">
        <v>89</v>
      </c>
    </row>
    <row r="12" spans="1:10" x14ac:dyDescent="0.3">
      <c r="A12" s="26" t="s">
        <v>91</v>
      </c>
      <c r="B12" s="27" t="s">
        <v>92</v>
      </c>
      <c r="C12" s="20" t="s">
        <v>90</v>
      </c>
      <c r="D12" s="27" t="s">
        <v>93</v>
      </c>
      <c r="E12" s="27" t="s">
        <v>90</v>
      </c>
      <c r="F12" s="27" t="s">
        <v>90</v>
      </c>
      <c r="G12" s="27"/>
      <c r="H12" s="27"/>
      <c r="I12" s="27" t="s">
        <v>94</v>
      </c>
      <c r="J12" s="27" t="s">
        <v>95</v>
      </c>
    </row>
    <row r="13" spans="1:10" x14ac:dyDescent="0.3">
      <c r="A13" s="26" t="s">
        <v>96</v>
      </c>
      <c r="B13" s="27"/>
      <c r="C13" s="20"/>
      <c r="D13" s="27"/>
      <c r="E13" s="20" t="s">
        <v>97</v>
      </c>
      <c r="F13" s="20" t="s">
        <v>90</v>
      </c>
      <c r="G13" s="27"/>
      <c r="H13" s="27"/>
      <c r="I13" s="27"/>
      <c r="J13" s="27"/>
    </row>
    <row r="14" spans="1:10" x14ac:dyDescent="0.3">
      <c r="A14" s="26" t="s">
        <v>98</v>
      </c>
      <c r="B14" s="27"/>
      <c r="C14" s="20"/>
      <c r="D14" s="29" t="s">
        <v>101</v>
      </c>
      <c r="E14" s="29"/>
      <c r="F14" s="27"/>
      <c r="G14" s="27"/>
      <c r="H14" s="27"/>
      <c r="I14" s="21">
        <v>0.05</v>
      </c>
      <c r="J14" s="21"/>
    </row>
    <row r="15" spans="1:10" x14ac:dyDescent="0.3">
      <c r="A15" s="26" t="s">
        <v>99</v>
      </c>
      <c r="B15" s="27"/>
      <c r="C15" s="20"/>
      <c r="D15" s="27"/>
      <c r="E15" s="27"/>
      <c r="F15" s="27"/>
      <c r="G15" s="27"/>
      <c r="H15" s="27"/>
      <c r="I15" s="21">
        <v>0.9</v>
      </c>
      <c r="J15" s="27"/>
    </row>
    <row r="16" spans="1:10" x14ac:dyDescent="0.3">
      <c r="A16" s="26" t="s">
        <v>100</v>
      </c>
      <c r="B16" s="27" t="s">
        <v>88</v>
      </c>
      <c r="C16" s="20" t="s">
        <v>90</v>
      </c>
      <c r="D16" s="27" t="s">
        <v>101</v>
      </c>
      <c r="E16" s="27" t="s">
        <v>90</v>
      </c>
      <c r="F16" s="20" t="s">
        <v>90</v>
      </c>
      <c r="G16" s="27"/>
      <c r="H16" s="27"/>
      <c r="I16" s="27"/>
      <c r="J16" s="27"/>
    </row>
    <row r="17" spans="1:10" x14ac:dyDescent="0.3">
      <c r="A17" s="26" t="s">
        <v>102</v>
      </c>
      <c r="B17" s="27" t="s">
        <v>88</v>
      </c>
      <c r="C17" s="20" t="s">
        <v>90</v>
      </c>
      <c r="D17" s="27" t="s">
        <v>90</v>
      </c>
      <c r="E17" s="20" t="s">
        <v>90</v>
      </c>
      <c r="F17" s="20"/>
      <c r="G17" s="27"/>
      <c r="H17" s="27"/>
      <c r="I17" s="27"/>
      <c r="J17" s="27"/>
    </row>
    <row r="18" spans="1:10" x14ac:dyDescent="0.3">
      <c r="A18" s="26" t="s">
        <v>103</v>
      </c>
      <c r="B18" s="27">
        <v>0.1</v>
      </c>
      <c r="C18" s="20"/>
      <c r="D18" s="27" t="s">
        <v>85</v>
      </c>
      <c r="E18" s="20">
        <v>0.03</v>
      </c>
      <c r="F18" s="20">
        <v>0.03</v>
      </c>
      <c r="G18" s="20">
        <v>0.03</v>
      </c>
      <c r="H18" s="20">
        <v>0.03</v>
      </c>
      <c r="I18" s="20">
        <v>0.03</v>
      </c>
      <c r="J18" s="27"/>
    </row>
    <row r="19" spans="1:10" ht="16.5" x14ac:dyDescent="0.3">
      <c r="A19" s="26" t="s">
        <v>104</v>
      </c>
      <c r="B19" s="27" t="s">
        <v>173</v>
      </c>
      <c r="C19" s="27" t="s">
        <v>173</v>
      </c>
      <c r="D19" s="27" t="s">
        <v>173</v>
      </c>
      <c r="E19" s="27" t="s">
        <v>173</v>
      </c>
      <c r="F19" s="27" t="s">
        <v>173</v>
      </c>
      <c r="G19" s="27" t="s">
        <v>173</v>
      </c>
      <c r="H19" s="27" t="s">
        <v>173</v>
      </c>
      <c r="I19" s="27" t="s">
        <v>173</v>
      </c>
      <c r="J19" s="27" t="s">
        <v>173</v>
      </c>
    </row>
    <row r="20" spans="1:10" x14ac:dyDescent="0.3">
      <c r="A20" s="26" t="s">
        <v>105</v>
      </c>
      <c r="B20" s="27" t="s">
        <v>106</v>
      </c>
      <c r="C20" s="27" t="s">
        <v>106</v>
      </c>
      <c r="D20" s="27" t="s">
        <v>106</v>
      </c>
      <c r="E20" s="27" t="s">
        <v>106</v>
      </c>
      <c r="F20" s="27" t="s">
        <v>106</v>
      </c>
      <c r="G20" s="27" t="s">
        <v>106</v>
      </c>
      <c r="H20" s="27" t="s">
        <v>106</v>
      </c>
      <c r="I20" s="27" t="s">
        <v>106</v>
      </c>
      <c r="J20" s="27" t="s">
        <v>106</v>
      </c>
    </row>
    <row r="21" spans="1:10" x14ac:dyDescent="0.3">
      <c r="A21" s="26" t="s">
        <v>107</v>
      </c>
      <c r="B21" s="27" t="s">
        <v>108</v>
      </c>
      <c r="C21" s="20" t="s">
        <v>109</v>
      </c>
      <c r="D21" s="27" t="s">
        <v>110</v>
      </c>
      <c r="E21" s="27" t="s">
        <v>111</v>
      </c>
      <c r="F21" s="27" t="s">
        <v>109</v>
      </c>
      <c r="G21" s="27" t="s">
        <v>111</v>
      </c>
      <c r="H21" s="27" t="s">
        <v>111</v>
      </c>
      <c r="I21" s="27" t="s">
        <v>112</v>
      </c>
      <c r="J21" s="27"/>
    </row>
    <row r="22" spans="1:10" x14ac:dyDescent="0.3">
      <c r="A22" s="35" t="s">
        <v>113</v>
      </c>
      <c r="B22" s="27" t="s">
        <v>114</v>
      </c>
      <c r="C22" s="27" t="s">
        <v>115</v>
      </c>
      <c r="D22" s="27" t="s">
        <v>116</v>
      </c>
      <c r="E22" s="27" t="s">
        <v>115</v>
      </c>
      <c r="F22" s="27" t="s">
        <v>115</v>
      </c>
      <c r="G22" s="27" t="s">
        <v>115</v>
      </c>
      <c r="H22" s="27" t="s">
        <v>115</v>
      </c>
      <c r="I22" s="27" t="s">
        <v>115</v>
      </c>
      <c r="J22" s="27" t="s">
        <v>117</v>
      </c>
    </row>
    <row r="23" spans="1:10" x14ac:dyDescent="0.3">
      <c r="A23" s="36"/>
      <c r="B23" s="27" t="s">
        <v>118</v>
      </c>
      <c r="C23" s="27" t="s">
        <v>119</v>
      </c>
      <c r="D23" s="27" t="s">
        <v>120</v>
      </c>
      <c r="E23" s="27" t="s">
        <v>119</v>
      </c>
      <c r="F23" s="27" t="s">
        <v>119</v>
      </c>
      <c r="G23" s="27" t="s">
        <v>119</v>
      </c>
      <c r="H23" s="27" t="s">
        <v>119</v>
      </c>
      <c r="I23" s="27" t="s">
        <v>119</v>
      </c>
      <c r="J23" s="27" t="s">
        <v>121</v>
      </c>
    </row>
  </sheetData>
  <mergeCells count="1">
    <mergeCell ref="A22:A23"/>
  </mergeCells>
  <phoneticPr fontId="2" type="noConversion"/>
  <pageMargins left="0.7" right="0.7" top="0.75" bottom="0.75" header="0.3" footer="0.3"/>
  <pageSetup paperSize="8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E32"/>
  <sheetViews>
    <sheetView topLeftCell="A10" workbookViewId="0">
      <selection activeCell="C40" sqref="C39:C40"/>
    </sheetView>
  </sheetViews>
  <sheetFormatPr defaultRowHeight="16.5" x14ac:dyDescent="0.3"/>
  <cols>
    <col min="2" max="2" width="14" style="2" customWidth="1"/>
    <col min="3" max="3" width="41.125" style="2" customWidth="1"/>
    <col min="4" max="4" width="12.375" style="2" customWidth="1"/>
    <col min="5" max="5" width="9" style="2"/>
  </cols>
  <sheetData>
    <row r="1" spans="2:5" s="24" customFormat="1" ht="20.25" x14ac:dyDescent="0.3">
      <c r="B1" s="23"/>
      <c r="C1" s="23" t="s">
        <v>169</v>
      </c>
      <c r="D1" s="23"/>
      <c r="E1" s="23"/>
    </row>
    <row r="3" spans="2:5" x14ac:dyDescent="0.3">
      <c r="B3" s="12" t="s">
        <v>122</v>
      </c>
      <c r="C3" s="12" t="s">
        <v>167</v>
      </c>
      <c r="D3" s="12" t="s">
        <v>168</v>
      </c>
    </row>
    <row r="4" spans="2:5" x14ac:dyDescent="0.3">
      <c r="B4" s="11" t="s">
        <v>129</v>
      </c>
      <c r="C4" s="11" t="s">
        <v>130</v>
      </c>
      <c r="D4" s="11">
        <v>170.1</v>
      </c>
    </row>
    <row r="5" spans="2:5" x14ac:dyDescent="0.3">
      <c r="B5" s="37" t="s">
        <v>123</v>
      </c>
      <c r="C5" s="11" t="s">
        <v>125</v>
      </c>
      <c r="D5" s="11">
        <v>150.1</v>
      </c>
    </row>
    <row r="6" spans="2:5" x14ac:dyDescent="0.3">
      <c r="B6" s="37"/>
      <c r="C6" s="11" t="s">
        <v>124</v>
      </c>
      <c r="D6" s="11">
        <v>150.19999999999999</v>
      </c>
    </row>
    <row r="7" spans="2:5" x14ac:dyDescent="0.3">
      <c r="B7" s="11" t="s">
        <v>126</v>
      </c>
      <c r="C7" s="11" t="s">
        <v>127</v>
      </c>
      <c r="D7" s="25" t="s">
        <v>128</v>
      </c>
    </row>
    <row r="8" spans="2:5" x14ac:dyDescent="0.3">
      <c r="B8" s="11" t="s">
        <v>147</v>
      </c>
      <c r="C8" s="11" t="s">
        <v>146</v>
      </c>
      <c r="D8" s="25">
        <v>360.1</v>
      </c>
    </row>
    <row r="9" spans="2:5" x14ac:dyDescent="0.3">
      <c r="B9" s="37" t="s">
        <v>133</v>
      </c>
      <c r="C9" s="11" t="s">
        <v>134</v>
      </c>
      <c r="D9" s="11">
        <v>410.4</v>
      </c>
    </row>
    <row r="10" spans="2:5" x14ac:dyDescent="0.3">
      <c r="B10" s="37"/>
      <c r="C10" s="11" t="s">
        <v>135</v>
      </c>
      <c r="D10" s="11">
        <v>410.4</v>
      </c>
    </row>
    <row r="11" spans="2:5" x14ac:dyDescent="0.3">
      <c r="B11" s="37"/>
      <c r="C11" s="11" t="s">
        <v>136</v>
      </c>
      <c r="D11" s="11">
        <v>410.3</v>
      </c>
    </row>
    <row r="12" spans="2:5" x14ac:dyDescent="0.3">
      <c r="B12" s="37"/>
      <c r="C12" s="11" t="s">
        <v>137</v>
      </c>
      <c r="D12" s="11">
        <v>410.2</v>
      </c>
    </row>
    <row r="13" spans="2:5" x14ac:dyDescent="0.3">
      <c r="B13" s="37"/>
      <c r="C13" s="11" t="s">
        <v>138</v>
      </c>
      <c r="D13" s="11">
        <v>410.1</v>
      </c>
    </row>
    <row r="14" spans="2:5" x14ac:dyDescent="0.3">
      <c r="B14" s="37" t="s">
        <v>139</v>
      </c>
      <c r="C14" s="11" t="s">
        <v>140</v>
      </c>
      <c r="D14" s="11">
        <v>415.1</v>
      </c>
    </row>
    <row r="15" spans="2:5" x14ac:dyDescent="0.3">
      <c r="B15" s="37"/>
      <c r="C15" s="11" t="s">
        <v>141</v>
      </c>
      <c r="D15" s="11">
        <v>415.2</v>
      </c>
    </row>
    <row r="16" spans="2:5" ht="33" customHeight="1" x14ac:dyDescent="0.3">
      <c r="B16" s="38" t="s">
        <v>142</v>
      </c>
      <c r="C16" s="11" t="s">
        <v>134</v>
      </c>
      <c r="D16" s="11">
        <v>350.1</v>
      </c>
    </row>
    <row r="17" spans="2:4" x14ac:dyDescent="0.3">
      <c r="B17" s="38"/>
      <c r="C17" s="11" t="s">
        <v>143</v>
      </c>
      <c r="D17" s="11">
        <v>350.1</v>
      </c>
    </row>
    <row r="18" spans="2:4" x14ac:dyDescent="0.3">
      <c r="B18" s="38"/>
      <c r="C18" s="11" t="s">
        <v>144</v>
      </c>
      <c r="D18" s="11">
        <v>350.2</v>
      </c>
    </row>
    <row r="19" spans="2:4" x14ac:dyDescent="0.3">
      <c r="B19" s="38"/>
      <c r="C19" s="11" t="s">
        <v>145</v>
      </c>
      <c r="D19" s="11">
        <v>350.3</v>
      </c>
    </row>
    <row r="20" spans="2:4" ht="30" x14ac:dyDescent="0.3">
      <c r="B20" s="18" t="s">
        <v>149</v>
      </c>
      <c r="C20" s="11" t="s">
        <v>148</v>
      </c>
      <c r="D20" s="11">
        <v>352.1</v>
      </c>
    </row>
    <row r="21" spans="2:4" x14ac:dyDescent="0.3">
      <c r="B21" s="11" t="s">
        <v>158</v>
      </c>
      <c r="C21" s="11" t="s">
        <v>159</v>
      </c>
      <c r="D21" s="11">
        <v>353.1</v>
      </c>
    </row>
    <row r="22" spans="2:4" x14ac:dyDescent="0.3">
      <c r="B22" s="11" t="s">
        <v>160</v>
      </c>
      <c r="C22" s="11" t="s">
        <v>161</v>
      </c>
      <c r="D22" s="11">
        <v>353.2</v>
      </c>
    </row>
    <row r="23" spans="2:4" ht="33" customHeight="1" x14ac:dyDescent="0.3">
      <c r="B23" s="38" t="s">
        <v>162</v>
      </c>
      <c r="C23" s="11" t="s">
        <v>163</v>
      </c>
      <c r="D23" s="11">
        <v>353.2</v>
      </c>
    </row>
    <row r="24" spans="2:4" x14ac:dyDescent="0.3">
      <c r="B24" s="38"/>
      <c r="C24" s="11" t="s">
        <v>164</v>
      </c>
      <c r="D24" s="11">
        <v>353.3</v>
      </c>
    </row>
    <row r="25" spans="2:4" ht="30" x14ac:dyDescent="0.3">
      <c r="B25" s="18" t="s">
        <v>165</v>
      </c>
      <c r="C25" s="11" t="s">
        <v>166</v>
      </c>
      <c r="D25" s="11">
        <v>363.6</v>
      </c>
    </row>
    <row r="26" spans="2:4" ht="30" x14ac:dyDescent="0.3">
      <c r="B26" s="18" t="s">
        <v>150</v>
      </c>
      <c r="C26" s="11" t="s">
        <v>151</v>
      </c>
      <c r="D26" s="11">
        <v>365.1</v>
      </c>
    </row>
    <row r="27" spans="2:4" x14ac:dyDescent="0.3">
      <c r="B27" s="37" t="s">
        <v>152</v>
      </c>
      <c r="C27" s="11" t="s">
        <v>153</v>
      </c>
      <c r="D27" s="11">
        <v>365.1</v>
      </c>
    </row>
    <row r="28" spans="2:4" x14ac:dyDescent="0.3">
      <c r="B28" s="37"/>
      <c r="C28" s="11" t="s">
        <v>154</v>
      </c>
      <c r="D28" s="11">
        <v>365.2</v>
      </c>
    </row>
    <row r="29" spans="2:4" x14ac:dyDescent="0.3">
      <c r="B29" s="37"/>
      <c r="C29" s="11" t="s">
        <v>155</v>
      </c>
      <c r="D29" s="11">
        <v>365.3</v>
      </c>
    </row>
    <row r="30" spans="2:4" x14ac:dyDescent="0.3">
      <c r="B30" s="37"/>
      <c r="C30" s="11" t="s">
        <v>156</v>
      </c>
      <c r="D30" s="11">
        <v>365.4</v>
      </c>
    </row>
    <row r="31" spans="2:4" x14ac:dyDescent="0.3">
      <c r="B31" s="37"/>
      <c r="C31" s="11" t="s">
        <v>157</v>
      </c>
      <c r="D31" s="11">
        <v>365.5</v>
      </c>
    </row>
    <row r="32" spans="2:4" x14ac:dyDescent="0.3">
      <c r="B32" s="11" t="s">
        <v>132</v>
      </c>
      <c r="C32" s="11" t="s">
        <v>131</v>
      </c>
      <c r="D32" s="11">
        <v>180.1</v>
      </c>
    </row>
  </sheetData>
  <mergeCells count="6">
    <mergeCell ref="B27:B31"/>
    <mergeCell ref="B5:B6"/>
    <mergeCell ref="B9:B13"/>
    <mergeCell ref="B14:B15"/>
    <mergeCell ref="B16:B19"/>
    <mergeCell ref="B23:B2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mCERTs</vt:lpstr>
      <vt:lpstr>KOREA</vt:lpstr>
      <vt:lpstr>Index ...EPA Method</vt:lpstr>
      <vt:lpstr>mCERTs!Print_Area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GY.HONG</cp:lastModifiedBy>
  <cp:lastPrinted>2013-06-26T23:19:16Z</cp:lastPrinted>
  <dcterms:created xsi:type="dcterms:W3CDTF">2013-06-25T01:27:12Z</dcterms:created>
  <dcterms:modified xsi:type="dcterms:W3CDTF">2013-06-30T06:55:59Z</dcterms:modified>
</cp:coreProperties>
</file>