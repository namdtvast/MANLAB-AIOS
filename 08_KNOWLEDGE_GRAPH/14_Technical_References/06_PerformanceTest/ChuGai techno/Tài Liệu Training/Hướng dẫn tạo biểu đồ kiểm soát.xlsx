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53222"/>
  <mc:AlternateContent xmlns:mc="http://schemas.openxmlformats.org/markup-compatibility/2006">
    <mc:Choice Requires="x15">
      <x15ac:absPath xmlns:x15ac="http://schemas.microsoft.com/office/spreadsheetml/2010/11/ac" url="C:\Users\TOAN NGUYEN\Desktop\QA, QC\"/>
    </mc:Choice>
  </mc:AlternateContent>
  <bookViews>
    <workbookView xWindow="0" yWindow="0" windowWidth="20490" windowHeight="7755" activeTab="1"/>
  </bookViews>
  <sheets>
    <sheet name="NH3" sheetId="1" r:id="rId1"/>
    <sheet name="Cl" sheetId="4" r:id="rId2"/>
    <sheet name="NO2" sheetId="2" r:id="rId3"/>
    <sheet name="NO3" sheetId="3" r:id="rId4"/>
    <sheet name="SO4" sheetId="5" r:id="rId5"/>
  </sheets>
  <calcPr calcId="152511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purl.oclc.org/ooxml/spreadsheetml/main">
  <c r="D30" i="4" l="1"/>
  <c r="E30" i="4"/>
  <c r="F30" i="4"/>
  <c r="G30" i="4"/>
  <c r="H30" i="4"/>
  <c r="J30" i="4"/>
  <c r="K30" i="4"/>
  <c r="L30" i="4"/>
  <c r="M30" i="4"/>
  <c r="N30" i="4"/>
  <c r="C30" i="4"/>
  <c r="D29" i="4"/>
  <c r="E29" i="4"/>
  <c r="F29" i="4"/>
  <c r="G29" i="4"/>
  <c r="H29" i="4"/>
  <c r="J29" i="4"/>
  <c r="K29" i="4"/>
  <c r="L29" i="4"/>
  <c r="M29" i="4"/>
  <c r="N29" i="4"/>
  <c r="C29" i="4"/>
  <c r="D28" i="4"/>
  <c r="E28" i="4"/>
  <c r="F28" i="4"/>
  <c r="G28" i="4"/>
  <c r="H28" i="4"/>
  <c r="J28" i="4"/>
  <c r="K28" i="4"/>
  <c r="L28" i="4"/>
  <c r="M28" i="4"/>
  <c r="N28" i="4"/>
  <c r="C28" i="4"/>
  <c r="AJ15" i="1" l="1"/>
  <c r="Y15" i="1"/>
  <c r="Z15" i="1"/>
  <c r="AA15" i="1"/>
  <c r="AB15" i="1"/>
  <c r="AC15" i="1"/>
  <c r="AD15" i="1"/>
  <c r="AE15" i="1"/>
  <c r="AF15" i="1"/>
  <c r="AG15" i="1"/>
  <c r="AH15" i="1"/>
  <c r="AI15" i="1"/>
  <c r="X15" i="1"/>
  <c r="AD14" i="1" l="1"/>
  <c r="X14" i="1"/>
  <c r="AF14" i="1"/>
  <c r="AG14" i="1"/>
  <c r="AH14" i="1"/>
  <c r="AI14" i="1"/>
  <c r="AJ14" i="1"/>
  <c r="AE14" i="1"/>
  <c r="Y14" i="1"/>
  <c r="Z14" i="1"/>
  <c r="AA14" i="1"/>
  <c r="AB14" i="1"/>
  <c r="AC14" i="1"/>
  <c r="Y13" i="1"/>
  <c r="Z13" i="1"/>
  <c r="AA13" i="1"/>
  <c r="AB13" i="1"/>
  <c r="AC13" i="1"/>
  <c r="AD13" i="1"/>
  <c r="X13" i="1"/>
  <c r="O29" i="2" l="1"/>
  <c r="N29" i="2"/>
  <c r="M29" i="2"/>
  <c r="L29" i="2"/>
  <c r="K29" i="2"/>
  <c r="J29" i="2"/>
  <c r="I29" i="2"/>
  <c r="H29" i="2"/>
  <c r="G29" i="2"/>
  <c r="F29" i="2"/>
  <c r="E29" i="2"/>
  <c r="D29" i="2"/>
  <c r="C29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AE13" i="1"/>
  <c r="AJ13" i="1"/>
  <c r="AI13" i="1"/>
  <c r="AH13" i="1"/>
  <c r="AG13" i="1"/>
  <c r="AF13" i="1"/>
  <c r="M20" i="1" l="1"/>
  <c r="M19" i="1"/>
  <c r="P5" i="1" s="1"/>
  <c r="P25" i="1" l="1"/>
  <c r="P8" i="1"/>
  <c r="M22" i="1"/>
  <c r="R7" i="1" s="1"/>
  <c r="P21" i="1"/>
  <c r="P4" i="1"/>
  <c r="P33" i="1"/>
  <c r="P17" i="1"/>
  <c r="P29" i="1"/>
  <c r="P13" i="1"/>
  <c r="R23" i="1"/>
  <c r="M23" i="1"/>
  <c r="P32" i="1"/>
  <c r="P28" i="1"/>
  <c r="P24" i="1"/>
  <c r="P20" i="1"/>
  <c r="P16" i="1"/>
  <c r="P11" i="1"/>
  <c r="P7" i="1"/>
  <c r="R30" i="1"/>
  <c r="R22" i="1"/>
  <c r="R14" i="1"/>
  <c r="R5" i="1"/>
  <c r="M24" i="1"/>
  <c r="P31" i="1"/>
  <c r="P27" i="1"/>
  <c r="P23" i="1"/>
  <c r="P19" i="1"/>
  <c r="P15" i="1"/>
  <c r="P10" i="1"/>
  <c r="P6" i="1"/>
  <c r="R33" i="1"/>
  <c r="R25" i="1"/>
  <c r="R17" i="1"/>
  <c r="R8" i="1"/>
  <c r="R27" i="1"/>
  <c r="R10" i="1"/>
  <c r="M21" i="1"/>
  <c r="P3" i="1"/>
  <c r="P30" i="1"/>
  <c r="P26" i="1"/>
  <c r="P22" i="1"/>
  <c r="P18" i="1"/>
  <c r="P14" i="1"/>
  <c r="P9" i="1"/>
  <c r="R32" i="1"/>
  <c r="R24" i="1"/>
  <c r="R16" i="1"/>
  <c r="R20" i="1" l="1"/>
  <c r="R6" i="1"/>
  <c r="R4" i="1"/>
  <c r="R21" i="1"/>
  <c r="R3" i="1"/>
  <c r="R18" i="1"/>
  <c r="R15" i="1"/>
  <c r="R11" i="1"/>
  <c r="R28" i="1"/>
  <c r="R19" i="1"/>
  <c r="R13" i="1"/>
  <c r="R29" i="1"/>
  <c r="R9" i="1"/>
  <c r="R26" i="1"/>
  <c r="R31" i="1"/>
  <c r="Q6" i="1"/>
  <c r="Q10" i="1"/>
  <c r="Q15" i="1"/>
  <c r="Q19" i="1"/>
  <c r="Q23" i="1"/>
  <c r="Q27" i="1"/>
  <c r="Q31" i="1"/>
  <c r="Q5" i="1"/>
  <c r="Q14" i="1"/>
  <c r="Q22" i="1"/>
  <c r="Q30" i="1"/>
  <c r="Q7" i="1"/>
  <c r="Q11" i="1"/>
  <c r="Q16" i="1"/>
  <c r="Q20" i="1"/>
  <c r="Q24" i="1"/>
  <c r="Q28" i="1"/>
  <c r="Q32" i="1"/>
  <c r="Q4" i="1"/>
  <c r="Q8" i="1"/>
  <c r="Q13" i="1"/>
  <c r="Q17" i="1"/>
  <c r="Q21" i="1"/>
  <c r="Q25" i="1"/>
  <c r="Q29" i="1"/>
  <c r="Q33" i="1"/>
  <c r="Q3" i="1"/>
  <c r="Q9" i="1"/>
  <c r="Q18" i="1"/>
  <c r="Q26" i="1"/>
  <c r="S4" i="1"/>
  <c r="S8" i="1"/>
  <c r="S13" i="1"/>
  <c r="S17" i="1"/>
  <c r="S21" i="1"/>
  <c r="S25" i="1"/>
  <c r="S29" i="1"/>
  <c r="S33" i="1"/>
  <c r="S3" i="1"/>
  <c r="S7" i="1"/>
  <c r="S11" i="1"/>
  <c r="S16" i="1"/>
  <c r="S20" i="1"/>
  <c r="S24" i="1"/>
  <c r="S32" i="1"/>
  <c r="S5" i="1"/>
  <c r="S9" i="1"/>
  <c r="S14" i="1"/>
  <c r="S18" i="1"/>
  <c r="S22" i="1"/>
  <c r="S26" i="1"/>
  <c r="S30" i="1"/>
  <c r="S6" i="1"/>
  <c r="S10" i="1"/>
  <c r="S15" i="1"/>
  <c r="S19" i="1"/>
  <c r="S23" i="1"/>
  <c r="S27" i="1"/>
  <c r="S31" i="1"/>
  <c r="S28" i="1"/>
  <c r="T5" i="1"/>
  <c r="T9" i="1"/>
  <c r="T14" i="1"/>
  <c r="T18" i="1"/>
  <c r="T22" i="1"/>
  <c r="T26" i="1"/>
  <c r="T30" i="1"/>
  <c r="T4" i="1"/>
  <c r="T8" i="1"/>
  <c r="T13" i="1"/>
  <c r="T17" i="1"/>
  <c r="T21" i="1"/>
  <c r="T25" i="1"/>
  <c r="T29" i="1"/>
  <c r="T33" i="1"/>
  <c r="T6" i="1"/>
  <c r="T10" i="1"/>
  <c r="T15" i="1"/>
  <c r="T19" i="1"/>
  <c r="T23" i="1"/>
  <c r="T27" i="1"/>
  <c r="T31" i="1"/>
  <c r="T7" i="1"/>
  <c r="T11" i="1"/>
  <c r="T16" i="1"/>
  <c r="T20" i="1"/>
  <c r="T24" i="1"/>
  <c r="T28" i="1"/>
  <c r="T32" i="1"/>
  <c r="T3" i="1"/>
</calcChain>
</file>

<file path=xl/sharedStrings.xml><?xml version="1.0" encoding="utf-8"?>
<sst xmlns="http://purl.oclc.org/ooxml/spreadsheetml/main" count="159" uniqueCount="76">
  <si>
    <t>BIỂU ĐỒ KIỂM SOÁT Cl</t>
  </si>
  <si>
    <t>BIỂU ĐỒ KIỂM SOÁT NO2</t>
  </si>
  <si>
    <t>BIỂU ĐỒ KIỂM SOÁT NO3</t>
  </si>
  <si>
    <t>BIỂU ĐỒ KIỂM SOÁT SO4</t>
  </si>
  <si>
    <t>Dung dịch H2O2 (1+9): Pha 100 mL H2O2 đậm đặc vào 900 mL nước tinh khiết. Bảo quản nơi tối và thoáng mát.</t>
  </si>
  <si>
    <t>- Dung dịch H2O2 (1+99): Pha 10 mL H2O2 đậm đặc vào 990 mL nước tinh khiết. Bảo quản nơi tối và thoáng mát.</t>
  </si>
  <si>
    <t>Dung dịch 0.005mol/L H2SO4 – H2O2 (1+99): Cho 800mL nước tinh khiết vào bình định mức 1000mL, thêm 5 mL dung dịch H2SO4 (1+17) và 10mL dung dịch H2O2 đậm đặc, sau đó thêm nước tinh khiết đến vạch, lắc đều.</t>
  </si>
  <si>
    <t>Nước tinh khiết</t>
  </si>
  <si>
    <t>Cách dựng đường chuẩn: 0.1-1ppm, 1-10ppm</t>
  </si>
  <si>
    <t>100ppm</t>
  </si>
  <si>
    <t>10ppm</t>
  </si>
  <si>
    <t>8ppm</t>
  </si>
  <si>
    <t>6 ppm</t>
  </si>
  <si>
    <t>4 ppm</t>
  </si>
  <si>
    <t>2 ppm</t>
  </si>
  <si>
    <t>1 ppm</t>
  </si>
  <si>
    <t>0.8 ppm</t>
  </si>
  <si>
    <t>0.6 ppm</t>
  </si>
  <si>
    <t>0.4 ppm</t>
  </si>
  <si>
    <t>0.2 ppm</t>
  </si>
  <si>
    <t>0.1 ppm</t>
  </si>
  <si>
    <r>
      <t xml:space="preserve">Hút </t>
    </r>
    <r>
      <rPr>
        <b/>
        <sz val="11"/>
        <color theme="1"/>
        <rFont val="Times New Roman"/>
        <family val="1"/>
      </rPr>
      <t xml:space="preserve">10 </t>
    </r>
    <r>
      <rPr>
        <sz val="11"/>
        <color theme="1"/>
        <rFont val="Times New Roman"/>
        <family val="1"/>
      </rPr>
      <t xml:space="preserve">ml dung dịch </t>
    </r>
    <r>
      <rPr>
        <b/>
        <sz val="11"/>
        <color theme="1"/>
        <rFont val="Times New Roman"/>
        <family val="1"/>
      </rPr>
      <t>1000</t>
    </r>
    <r>
      <rPr>
        <sz val="11"/>
        <color theme="1"/>
        <rFont val="Times New Roman"/>
        <family val="1"/>
      </rPr>
      <t xml:space="preserve"> mg/l =&gt; định mức </t>
    </r>
    <r>
      <rPr>
        <b/>
        <sz val="11"/>
        <color theme="1"/>
        <rFont val="Times New Roman"/>
        <family val="1"/>
      </rPr>
      <t xml:space="preserve">100 </t>
    </r>
    <r>
      <rPr>
        <sz val="11"/>
        <color theme="1"/>
        <rFont val="Times New Roman"/>
        <family val="1"/>
      </rPr>
      <t>ml</t>
    </r>
  </si>
  <si>
    <r>
      <t xml:space="preserve">Hút </t>
    </r>
    <r>
      <rPr>
        <b/>
        <sz val="11"/>
        <color theme="1"/>
        <rFont val="Times New Roman"/>
        <family val="1"/>
      </rPr>
      <t xml:space="preserve">25 </t>
    </r>
    <r>
      <rPr>
        <sz val="11"/>
        <color theme="1"/>
        <rFont val="Times New Roman"/>
        <family val="1"/>
      </rPr>
      <t xml:space="preserve">ml dung dịch </t>
    </r>
    <r>
      <rPr>
        <b/>
        <sz val="11"/>
        <color theme="1"/>
        <rFont val="Times New Roman"/>
        <family val="1"/>
      </rPr>
      <t>100</t>
    </r>
    <r>
      <rPr>
        <sz val="11"/>
        <color theme="1"/>
        <rFont val="Times New Roman"/>
        <family val="1"/>
      </rPr>
      <t xml:space="preserve"> mg/l =&gt; định mức </t>
    </r>
    <r>
      <rPr>
        <b/>
        <sz val="11"/>
        <color theme="1"/>
        <rFont val="Times New Roman"/>
        <family val="1"/>
      </rPr>
      <t xml:space="preserve">250 </t>
    </r>
    <r>
      <rPr>
        <sz val="11"/>
        <color theme="1"/>
        <rFont val="Times New Roman"/>
        <family val="1"/>
      </rPr>
      <t>ml</t>
    </r>
  </si>
  <si>
    <r>
      <t xml:space="preserve">Hút </t>
    </r>
    <r>
      <rPr>
        <b/>
        <sz val="11"/>
        <color theme="1"/>
        <rFont val="Times New Roman"/>
        <family val="1"/>
      </rPr>
      <t xml:space="preserve">40 </t>
    </r>
    <r>
      <rPr>
        <sz val="11"/>
        <color theme="1"/>
        <rFont val="Times New Roman"/>
        <family val="1"/>
      </rPr>
      <t xml:space="preserve">ml dung dịch </t>
    </r>
    <r>
      <rPr>
        <b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 xml:space="preserve"> mg/l =&gt; định mức </t>
    </r>
    <r>
      <rPr>
        <b/>
        <sz val="11"/>
        <color theme="1"/>
        <rFont val="Times New Roman"/>
        <family val="1"/>
      </rPr>
      <t xml:space="preserve">50 </t>
    </r>
    <r>
      <rPr>
        <sz val="11"/>
        <color theme="1"/>
        <rFont val="Times New Roman"/>
        <family val="1"/>
      </rPr>
      <t>ml</t>
    </r>
  </si>
  <si>
    <r>
      <t xml:space="preserve">Hút </t>
    </r>
    <r>
      <rPr>
        <b/>
        <sz val="11"/>
        <color theme="1"/>
        <rFont val="Times New Roman"/>
        <family val="1"/>
      </rPr>
      <t xml:space="preserve">30 </t>
    </r>
    <r>
      <rPr>
        <sz val="11"/>
        <color theme="1"/>
        <rFont val="Times New Roman"/>
        <family val="1"/>
      </rPr>
      <t xml:space="preserve">ml dung dịch </t>
    </r>
    <r>
      <rPr>
        <b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 xml:space="preserve"> mg/l =&gt; định mức </t>
    </r>
    <r>
      <rPr>
        <b/>
        <sz val="11"/>
        <color theme="1"/>
        <rFont val="Times New Roman"/>
        <family val="1"/>
      </rPr>
      <t xml:space="preserve">50 </t>
    </r>
    <r>
      <rPr>
        <sz val="11"/>
        <color theme="1"/>
        <rFont val="Times New Roman"/>
        <family val="1"/>
      </rPr>
      <t>ml</t>
    </r>
  </si>
  <si>
    <r>
      <t xml:space="preserve">Hút </t>
    </r>
    <r>
      <rPr>
        <b/>
        <sz val="11"/>
        <color theme="1"/>
        <rFont val="Times New Roman"/>
        <family val="1"/>
      </rPr>
      <t xml:space="preserve">20 </t>
    </r>
    <r>
      <rPr>
        <sz val="11"/>
        <color theme="1"/>
        <rFont val="Times New Roman"/>
        <family val="1"/>
      </rPr>
      <t xml:space="preserve">ml dung dịch </t>
    </r>
    <r>
      <rPr>
        <b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 xml:space="preserve"> mg/l =&gt; định mức </t>
    </r>
    <r>
      <rPr>
        <b/>
        <sz val="11"/>
        <color theme="1"/>
        <rFont val="Times New Roman"/>
        <family val="1"/>
      </rPr>
      <t xml:space="preserve">50 </t>
    </r>
    <r>
      <rPr>
        <sz val="11"/>
        <color theme="1"/>
        <rFont val="Times New Roman"/>
        <family val="1"/>
      </rPr>
      <t>ml</t>
    </r>
  </si>
  <si>
    <r>
      <t xml:space="preserve">Hút </t>
    </r>
    <r>
      <rPr>
        <b/>
        <sz val="11"/>
        <color theme="1"/>
        <rFont val="Times New Roman"/>
        <family val="1"/>
      </rPr>
      <t xml:space="preserve">10 </t>
    </r>
    <r>
      <rPr>
        <sz val="11"/>
        <color theme="1"/>
        <rFont val="Times New Roman"/>
        <family val="1"/>
      </rPr>
      <t xml:space="preserve">ml dung dịch </t>
    </r>
    <r>
      <rPr>
        <b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 xml:space="preserve"> mg/l =&gt; định mức </t>
    </r>
    <r>
      <rPr>
        <b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ml</t>
    </r>
  </si>
  <si>
    <r>
      <t xml:space="preserve">Hút </t>
    </r>
    <r>
      <rPr>
        <b/>
        <sz val="11"/>
        <color theme="1"/>
        <rFont val="Times New Roman"/>
        <family val="1"/>
      </rPr>
      <t>25</t>
    </r>
    <r>
      <rPr>
        <sz val="11"/>
        <color theme="1"/>
        <rFont val="Times New Roman"/>
        <family val="1"/>
      </rPr>
      <t xml:space="preserve"> ml dung dịch </t>
    </r>
    <r>
      <rPr>
        <b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 xml:space="preserve"> mg/l =&gt; định mức </t>
    </r>
    <r>
      <rPr>
        <b/>
        <sz val="11"/>
        <color theme="1"/>
        <rFont val="Times New Roman"/>
        <family val="1"/>
      </rPr>
      <t>250</t>
    </r>
    <r>
      <rPr>
        <sz val="11"/>
        <color theme="1"/>
        <rFont val="Times New Roman"/>
        <family val="1"/>
      </rPr>
      <t xml:space="preserve"> ml</t>
    </r>
  </si>
  <si>
    <r>
      <t xml:space="preserve">Hút </t>
    </r>
    <r>
      <rPr>
        <b/>
        <sz val="11"/>
        <color theme="1"/>
        <rFont val="Times New Roman"/>
        <family val="1"/>
      </rPr>
      <t>40</t>
    </r>
    <r>
      <rPr>
        <sz val="11"/>
        <color theme="1"/>
        <rFont val="Times New Roman"/>
        <family val="1"/>
      </rPr>
      <t xml:space="preserve"> ml dung dịch </t>
    </r>
    <r>
      <rPr>
        <b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mg/l =&gt; định mức </t>
    </r>
    <r>
      <rPr>
        <b/>
        <sz val="11"/>
        <color theme="1"/>
        <rFont val="Times New Roman"/>
        <family val="1"/>
      </rPr>
      <t xml:space="preserve">50 </t>
    </r>
    <r>
      <rPr>
        <sz val="11"/>
        <color theme="1"/>
        <rFont val="Times New Roman"/>
        <family val="1"/>
      </rPr>
      <t>ml</t>
    </r>
  </si>
  <si>
    <r>
      <t xml:space="preserve">Hút </t>
    </r>
    <r>
      <rPr>
        <b/>
        <sz val="11"/>
        <color theme="1"/>
        <rFont val="Times New Roman"/>
        <family val="1"/>
      </rPr>
      <t>30</t>
    </r>
    <r>
      <rPr>
        <sz val="11"/>
        <color theme="1"/>
        <rFont val="Times New Roman"/>
        <family val="1"/>
      </rPr>
      <t xml:space="preserve"> ml dung dịch </t>
    </r>
    <r>
      <rPr>
        <b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mg/l =&gt; định mức </t>
    </r>
    <r>
      <rPr>
        <b/>
        <sz val="11"/>
        <color theme="1"/>
        <rFont val="Times New Roman"/>
        <family val="1"/>
      </rPr>
      <t xml:space="preserve">50 </t>
    </r>
    <r>
      <rPr>
        <sz val="11"/>
        <color theme="1"/>
        <rFont val="Times New Roman"/>
        <family val="1"/>
      </rPr>
      <t>ml</t>
    </r>
  </si>
  <si>
    <r>
      <t xml:space="preserve">Hút </t>
    </r>
    <r>
      <rPr>
        <b/>
        <sz val="11"/>
        <color theme="1"/>
        <rFont val="Times New Roman"/>
        <family val="1"/>
      </rPr>
      <t>20</t>
    </r>
    <r>
      <rPr>
        <sz val="11"/>
        <color theme="1"/>
        <rFont val="Times New Roman"/>
        <family val="1"/>
      </rPr>
      <t xml:space="preserve"> ml dung dịch </t>
    </r>
    <r>
      <rPr>
        <b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mg/l =&gt; định mức </t>
    </r>
    <r>
      <rPr>
        <b/>
        <sz val="11"/>
        <color theme="1"/>
        <rFont val="Times New Roman"/>
        <family val="1"/>
      </rPr>
      <t xml:space="preserve">50 </t>
    </r>
    <r>
      <rPr>
        <sz val="11"/>
        <color theme="1"/>
        <rFont val="Times New Roman"/>
        <family val="1"/>
      </rPr>
      <t>ml</t>
    </r>
  </si>
  <si>
    <r>
      <t xml:space="preserve">Hút </t>
    </r>
    <r>
      <rPr>
        <b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 xml:space="preserve"> ml dung dịch </t>
    </r>
    <r>
      <rPr>
        <b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mg/l =&gt; định mức </t>
    </r>
    <r>
      <rPr>
        <b/>
        <sz val="11"/>
        <color theme="1"/>
        <rFont val="Times New Roman"/>
        <family val="1"/>
      </rPr>
      <t xml:space="preserve">50 </t>
    </r>
    <r>
      <rPr>
        <sz val="11"/>
        <color theme="1"/>
        <rFont val="Times New Roman"/>
        <family val="1"/>
      </rPr>
      <t>ml</t>
    </r>
  </si>
  <si>
    <r>
      <t xml:space="preserve">Hút </t>
    </r>
    <r>
      <rPr>
        <b/>
        <sz val="11"/>
        <color theme="1"/>
        <rFont val="Times New Roman"/>
        <family val="1"/>
      </rPr>
      <t xml:space="preserve">10 </t>
    </r>
    <r>
      <rPr>
        <sz val="11"/>
        <color theme="1"/>
        <rFont val="Times New Roman"/>
        <family val="1"/>
      </rPr>
      <t xml:space="preserve">ml dung dịch </t>
    </r>
    <r>
      <rPr>
        <b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mg/l =&gt; định mức </t>
    </r>
    <r>
      <rPr>
        <b/>
        <sz val="11"/>
        <color theme="1"/>
        <rFont val="Times New Roman"/>
        <family val="1"/>
      </rPr>
      <t>100</t>
    </r>
    <r>
      <rPr>
        <sz val="11"/>
        <color theme="1"/>
        <rFont val="Times New Roman"/>
        <family val="1"/>
      </rPr>
      <t xml:space="preserve"> ml</t>
    </r>
  </si>
  <si>
    <t xml:space="preserve">Tất cả định mức bằng nước siêu tinh khiết </t>
  </si>
  <si>
    <r>
      <rPr>
        <b/>
        <sz val="11"/>
        <color theme="1"/>
        <rFont val="Times New Roman"/>
        <family val="1"/>
      </rPr>
      <t>Dung dịch hấp thụ NH3 (H3BO3 5g/L)</t>
    </r>
    <r>
      <rPr>
        <sz val="11"/>
        <color theme="1"/>
        <rFont val="Times New Roman"/>
        <family val="1"/>
      </rPr>
      <t>: Hòa tan 5g H3BO3 vào nước tinh khiết, định mức bằng nước thành 1L</t>
    </r>
  </si>
  <si>
    <t>-</t>
  </si>
  <si>
    <t>Chuẩn gốc 1000ppm</t>
  </si>
  <si>
    <t>Cách tạo mẫu kiểm soát ( mẫu QC)</t>
  </si>
  <si>
    <t>Do đường chuẩn thấp nhất là 1ppm nên ta sẽ tạo mẫu kiểm soát là 1 ppm bằng chuẩn thương mại</t>
  </si>
  <si>
    <t>Cứ mỗi 10 mẫu, thì phân tích mẫu kiểm soát, hoặc trước khi kết thúc đo mẫu thì đo mẫu kiểm soát.</t>
  </si>
  <si>
    <t>Nếu tiến hành phân tích 3 mẫu thì làm 1 mẫu QC cho phép thử nghiệm đó.</t>
  </si>
  <si>
    <t>Mẫu kiểm soát được tiến hành phân tích theo quy trình vận hành chuẩn.</t>
  </si>
  <si>
    <t>Các mẫu kiểm soát nên:</t>
  </si>
  <si>
    <t>+ Tham gia vào toàn bộ quá trình đo</t>
  </si>
  <si>
    <t>+ Giống với mẫu thật</t>
  </si>
  <si>
    <t>+ Bền theo thời gian</t>
  </si>
  <si>
    <t>+ Đủ cho năm</t>
  </si>
  <si>
    <t>+ Nồng độ phân tích phù hợp</t>
  </si>
  <si>
    <t xml:space="preserve">=&gt; Do các yêu cầu trên nên ta tạo ra mẫu kiểm soát ( mẫu QC) bằng cách:  </t>
  </si>
  <si>
    <r>
      <t xml:space="preserve">spike 1 lượng chất chuẩn từ chuẩn thương mại vào nền mẫu là dung dich hấp thụ của chất cần phân tích để tạo ra mẫu kiểm soát có nồng độ </t>
    </r>
    <r>
      <rPr>
        <b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mg/l</t>
    </r>
  </si>
  <si>
    <t>sd</t>
  </si>
  <si>
    <r>
      <rPr>
        <b/>
        <sz val="11"/>
        <rFont val="Times New Roman"/>
        <family val="1"/>
      </rPr>
      <t>UW</t>
    </r>
    <r>
      <rPr>
        <sz val="11"/>
        <rFont val="Times New Roman"/>
        <family val="1"/>
      </rPr>
      <t xml:space="preserve"> = CL + 2sd</t>
    </r>
  </si>
  <si>
    <r>
      <rPr>
        <b/>
        <sz val="11"/>
        <rFont val="Times New Roman"/>
        <family val="1"/>
      </rPr>
      <t>LW</t>
    </r>
    <r>
      <rPr>
        <sz val="11"/>
        <rFont val="Times New Roman"/>
        <family val="1"/>
      </rPr>
      <t xml:space="preserve"> = CL - 2sd</t>
    </r>
  </si>
  <si>
    <r>
      <rPr>
        <b/>
        <sz val="11"/>
        <rFont val="Times New Roman"/>
        <family val="1"/>
      </rPr>
      <t>UC</t>
    </r>
    <r>
      <rPr>
        <sz val="11"/>
        <rFont val="Times New Roman"/>
        <family val="1"/>
      </rPr>
      <t xml:space="preserve"> = CL + 3sd</t>
    </r>
  </si>
  <si>
    <r>
      <rPr>
        <b/>
        <sz val="11"/>
        <rFont val="Times New Roman"/>
        <family val="1"/>
      </rPr>
      <t>LC</t>
    </r>
    <r>
      <rPr>
        <sz val="11"/>
        <rFont val="Times New Roman"/>
        <family val="1"/>
      </rPr>
      <t xml:space="preserve"> = CL - 3sd</t>
    </r>
  </si>
  <si>
    <t>số lần đo</t>
  </si>
  <si>
    <t>C (mg/l)</t>
  </si>
  <si>
    <t>CL = mean</t>
  </si>
  <si>
    <t>Dữ liệu cần có để vẽ biểu đồ kiểm soát</t>
  </si>
  <si>
    <t>Mean</t>
  </si>
  <si>
    <t>2ppm</t>
  </si>
  <si>
    <t>4ppm</t>
  </si>
  <si>
    <t>6ppm</t>
  </si>
  <si>
    <t>0.1ppm</t>
  </si>
  <si>
    <t>0.2ppm</t>
  </si>
  <si>
    <t>0.4ppm</t>
  </si>
  <si>
    <t>0.6ppm</t>
  </si>
  <si>
    <t>0.8ppm</t>
  </si>
  <si>
    <t>1ppm</t>
  </si>
  <si>
    <t>Thời gian</t>
  </si>
  <si>
    <t>STT</t>
  </si>
  <si>
    <t>Diện tích peak</t>
  </si>
  <si>
    <t>K</t>
  </si>
  <si>
    <t>AVG</t>
  </si>
  <si>
    <t>SD</t>
  </si>
  <si>
    <t>RSD(10%)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</si>
</sst>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mc:Ignorable="x14ac">
  <numFmts count="5">
    <numFmt numFmtId="164" formatCode="#,##0.000"/>
    <numFmt numFmtId="165" formatCode="#,##0.000000"/>
    <numFmt numFmtId="166" formatCode="0.000"/>
    <numFmt numFmtId="167" formatCode="0.000000"/>
    <numFmt numFmtId="168" formatCode="0.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/>
    <xf numFmtId="0" fontId="4" fillId="0" borderId="0" xfId="0" applyFont="1" applyFill="1" applyBorder="1" applyAlignment="1"/>
    <xf numFmtId="0" fontId="4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quotePrefix="1"/>
    <xf numFmtId="0" fontId="3" fillId="0" borderId="0" xfId="0" quotePrefix="1" applyFont="1"/>
    <xf numFmtId="0" fontId="3" fillId="0" borderId="0" xfId="0" quotePrefix="1" applyFont="1" applyAlignment="1">
      <alignment horizontal="left" wrapText="1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1" fillId="0" borderId="2" xfId="0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/>
    <xf numFmtId="2" fontId="0" fillId="0" borderId="2" xfId="0" applyNumberFormat="1" applyBorder="1"/>
    <xf numFmtId="0" fontId="5" fillId="0" borderId="1" xfId="0" applyFont="1" applyFill="1" applyBorder="1" applyAlignment="1">
      <alignment horizontal="right"/>
    </xf>
    <xf numFmtId="0" fontId="5" fillId="0" borderId="1" xfId="0" applyFont="1" applyFill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2" fontId="3" fillId="0" borderId="1" xfId="0" applyNumberFormat="1" applyFont="1" applyBorder="1"/>
    <xf numFmtId="3" fontId="3" fillId="0" borderId="1" xfId="0" applyNumberFormat="1" applyFont="1" applyBorder="1"/>
    <xf numFmtId="0" fontId="3" fillId="0" borderId="0" xfId="0" applyFont="1" applyBorder="1" applyAlignment="1">
      <alignment horizontal="center"/>
    </xf>
    <xf numFmtId="2" fontId="3" fillId="0" borderId="0" xfId="0" applyNumberFormat="1" applyFont="1" applyBorder="1"/>
    <xf numFmtId="0" fontId="5" fillId="0" borderId="2" xfId="0" applyFont="1" applyFill="1" applyBorder="1"/>
    <xf numFmtId="166" fontId="3" fillId="0" borderId="1" xfId="0" applyNumberFormat="1" applyFont="1" applyBorder="1"/>
    <xf numFmtId="14" fontId="3" fillId="0" borderId="1" xfId="0" applyNumberFormat="1" applyFont="1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/>
    <xf numFmtId="0" fontId="3" fillId="0" borderId="1" xfId="0" applyFont="1" applyBorder="1" applyAlignment="1">
      <alignment horizontal="center"/>
    </xf>
    <xf numFmtId="167" fontId="3" fillId="0" borderId="1" xfId="0" applyNumberFormat="1" applyFont="1" applyFill="1" applyBorder="1"/>
    <xf numFmtId="167" fontId="3" fillId="0" borderId="1" xfId="0" applyNumberFormat="1" applyFont="1" applyBorder="1"/>
    <xf numFmtId="166" fontId="0" fillId="0" borderId="1" xfId="0" applyNumberFormat="1" applyBorder="1"/>
    <xf numFmtId="14" fontId="3" fillId="0" borderId="3" xfId="0" applyNumberFormat="1" applyFont="1" applyBorder="1"/>
    <xf numFmtId="0" fontId="0" fillId="0" borderId="1" xfId="0" quotePrefix="1" applyBorder="1"/>
    <xf numFmtId="9" fontId="0" fillId="0" borderId="0" xfId="0" applyNumberFormat="1"/>
    <xf numFmtId="168" fontId="0" fillId="0" borderId="1" xfId="0" applyNumberFormat="1" applyBorder="1"/>
    <xf numFmtId="0" fontId="3" fillId="2" borderId="1" xfId="0" applyFont="1" applyFill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quotePrefix="1" applyFont="1" applyAlignment="1">
      <alignment horizontal="left" wrapText="1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worksheet" Target="worksheets/sheet5.xml"/><Relationship Id="rId4" Type="http://purl.oclc.org/ooxml/officeDocument/relationships/worksheet" Target="worksheets/sheet4.xml"/><Relationship Id="rId9" Type="http://purl.oclc.org/ooxml/officeDocument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%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BIỂU ĐỒ KIỂM SOÁT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%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413441277586799E-2"/>
          <c:y val="0.12986587496961227"/>
          <c:w val="0.89161579961932269"/>
          <c:h val="0.68726545414508267"/>
        </c:manualLayout>
      </c:layout>
      <c:lineChart>
        <c:grouping val="stacked"/>
        <c:varyColors val="0"/>
        <c:ser>
          <c:idx val="5"/>
          <c:order val="4"/>
          <c:tx>
            <c:strRef>
              <c:f>'NH3'!$O$2</c:f>
              <c:strCache>
                <c:ptCount val="1"/>
                <c:pt idx="0">
                  <c:v>C (mg/l)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%">
                    <a:schemeClr val="accent6">
                      <a:satMod val="103%"/>
                      <a:lumMod val="102%"/>
                      <a:tint val="94%"/>
                    </a:schemeClr>
                  </a:gs>
                  <a:gs pos="50%">
                    <a:schemeClr val="accent6">
                      <a:satMod val="110%"/>
                      <a:lumMod val="100%"/>
                      <a:shade val="100%"/>
                    </a:schemeClr>
                  </a:gs>
                  <a:gs pos="100%">
                    <a:schemeClr val="accent6">
                      <a:lumMod val="99%"/>
                      <a:satMod val="120%"/>
                      <a:shade val="78%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numRef>
              <c:f>'NH3'!$N$3:$N$33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 formatCode="#,##0">
                  <c:v>17</c:v>
                </c:pt>
                <c:pt idx="18" formatCode="#,##0">
                  <c:v>18</c:v>
                </c:pt>
                <c:pt idx="19" formatCode="#,##0">
                  <c:v>19</c:v>
                </c:pt>
                <c:pt idx="20" formatCode="#,##0">
                  <c:v>20</c:v>
                </c:pt>
                <c:pt idx="21" formatCode="#,##0">
                  <c:v>21</c:v>
                </c:pt>
                <c:pt idx="22" formatCode="#,##0">
                  <c:v>22</c:v>
                </c:pt>
                <c:pt idx="23" formatCode="#,##0">
                  <c:v>23</c:v>
                </c:pt>
                <c:pt idx="24" formatCode="#,##0">
                  <c:v>24</c:v>
                </c:pt>
                <c:pt idx="25" formatCode="#,##0">
                  <c:v>25</c:v>
                </c:pt>
                <c:pt idx="26" formatCode="#,##0">
                  <c:v>26</c:v>
                </c:pt>
                <c:pt idx="27" formatCode="#,##0">
                  <c:v>27</c:v>
                </c:pt>
                <c:pt idx="28" formatCode="#,##0">
                  <c:v>28</c:v>
                </c:pt>
                <c:pt idx="29" formatCode="#,##0">
                  <c:v>29</c:v>
                </c:pt>
                <c:pt idx="30" formatCode="#,##0">
                  <c:v>30</c:v>
                </c:pt>
              </c:numCache>
            </c:numRef>
          </c:cat>
          <c:val>
            <c:numRef>
              <c:f>'NH3'!$O$3:$O$33</c:f>
              <c:numCache>
                <c:formatCode>#,##0.000</c:formatCode>
                <c:ptCount val="31"/>
                <c:pt idx="0">
                  <c:v>1.01</c:v>
                </c:pt>
                <c:pt idx="1">
                  <c:v>1.05</c:v>
                </c:pt>
                <c:pt idx="2">
                  <c:v>1.1200000000000001</c:v>
                </c:pt>
                <c:pt idx="3">
                  <c:v>0.94</c:v>
                </c:pt>
                <c:pt idx="4">
                  <c:v>1.0229999999999999</c:v>
                </c:pt>
                <c:pt idx="5">
                  <c:v>1.04</c:v>
                </c:pt>
                <c:pt idx="6">
                  <c:v>1.0349999999999999</c:v>
                </c:pt>
                <c:pt idx="7">
                  <c:v>1.0369999999999999</c:v>
                </c:pt>
                <c:pt idx="8">
                  <c:v>0.95599999999999996</c:v>
                </c:pt>
                <c:pt idx="10">
                  <c:v>1.042</c:v>
                </c:pt>
                <c:pt idx="11">
                  <c:v>1.0309999999999999</c:v>
                </c:pt>
                <c:pt idx="12">
                  <c:v>1.21</c:v>
                </c:pt>
                <c:pt idx="13">
                  <c:v>0.95599999999999996</c:v>
                </c:pt>
                <c:pt idx="14">
                  <c:v>1.105</c:v>
                </c:pt>
                <c:pt idx="15">
                  <c:v>0.88100000000000001</c:v>
                </c:pt>
                <c:pt idx="16">
                  <c:v>1.052</c:v>
                </c:pt>
                <c:pt idx="17">
                  <c:v>1.0549999999999999</c:v>
                </c:pt>
                <c:pt idx="18">
                  <c:v>0.97399999999999998</c:v>
                </c:pt>
                <c:pt idx="19">
                  <c:v>1.08</c:v>
                </c:pt>
                <c:pt idx="20">
                  <c:v>1.0149999999999999</c:v>
                </c:pt>
                <c:pt idx="21">
                  <c:v>1.214</c:v>
                </c:pt>
                <c:pt idx="22">
                  <c:v>1.0469999999999999</c:v>
                </c:pt>
                <c:pt idx="23">
                  <c:v>1.0289999999999999</c:v>
                </c:pt>
                <c:pt idx="24">
                  <c:v>1.05</c:v>
                </c:pt>
                <c:pt idx="25">
                  <c:v>1.2410000000000001</c:v>
                </c:pt>
                <c:pt idx="26">
                  <c:v>1.2290000000000001</c:v>
                </c:pt>
                <c:pt idx="27">
                  <c:v>1.0429999999999999</c:v>
                </c:pt>
                <c:pt idx="28">
                  <c:v>1.0509999999999999</c:v>
                </c:pt>
                <c:pt idx="29">
                  <c:v>1.0640000000000001</c:v>
                </c:pt>
                <c:pt idx="30">
                  <c:v>1.1859999999999999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727632"/>
        <c:axId val="315733904"/>
      </c:lineChart>
      <c:scatterChart>
        <c:scatterStyle val="smoothMarker"/>
        <c:varyColors val="0"/>
        <c:ser>
          <c:idx val="0"/>
          <c:order val="0"/>
          <c:tx>
            <c:strRef>
              <c:f>'NH3'!$P$2</c:f>
              <c:strCache>
                <c:ptCount val="1"/>
                <c:pt idx="0">
                  <c:v>Mean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Pt>
            <c:idx val="23"/>
            <c:marker>
              <c:symbol val="none"/>
            </c:marker>
            <c:bubble3D val="0"/>
          </c:dPt>
          <c:xVal>
            <c:numRef>
              <c:f>'NH3'!$N$3:$N$33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 formatCode="#,##0">
                  <c:v>17</c:v>
                </c:pt>
                <c:pt idx="18" formatCode="#,##0">
                  <c:v>18</c:v>
                </c:pt>
                <c:pt idx="19" formatCode="#,##0">
                  <c:v>19</c:v>
                </c:pt>
                <c:pt idx="20" formatCode="#,##0">
                  <c:v>20</c:v>
                </c:pt>
                <c:pt idx="21" formatCode="#,##0">
                  <c:v>21</c:v>
                </c:pt>
                <c:pt idx="22" formatCode="#,##0">
                  <c:v>22</c:v>
                </c:pt>
                <c:pt idx="23" formatCode="#,##0">
                  <c:v>23</c:v>
                </c:pt>
                <c:pt idx="24" formatCode="#,##0">
                  <c:v>24</c:v>
                </c:pt>
                <c:pt idx="25" formatCode="#,##0">
                  <c:v>25</c:v>
                </c:pt>
                <c:pt idx="26" formatCode="#,##0">
                  <c:v>26</c:v>
                </c:pt>
                <c:pt idx="27" formatCode="#,##0">
                  <c:v>27</c:v>
                </c:pt>
                <c:pt idx="28" formatCode="#,##0">
                  <c:v>28</c:v>
                </c:pt>
                <c:pt idx="29" formatCode="#,##0">
                  <c:v>29</c:v>
                </c:pt>
                <c:pt idx="30" formatCode="#,##0">
                  <c:v>30</c:v>
                </c:pt>
              </c:numCache>
            </c:numRef>
          </c:xVal>
          <c:yVal>
            <c:numRef>
              <c:f>'NH3'!$P$3:$P$33</c:f>
              <c:numCache>
                <c:formatCode>#,##0.000000</c:formatCode>
                <c:ptCount val="31"/>
                <c:pt idx="0">
                  <c:v>1.0588666666666666</c:v>
                </c:pt>
                <c:pt idx="1">
                  <c:v>1.0588666666666666</c:v>
                </c:pt>
                <c:pt idx="2">
                  <c:v>1.0588666666666666</c:v>
                </c:pt>
                <c:pt idx="3">
                  <c:v>1.0588666666666666</c:v>
                </c:pt>
                <c:pt idx="4">
                  <c:v>1.0588666666666666</c:v>
                </c:pt>
                <c:pt idx="5">
                  <c:v>1.0588666666666666</c:v>
                </c:pt>
                <c:pt idx="6">
                  <c:v>1.0588666666666666</c:v>
                </c:pt>
                <c:pt idx="7">
                  <c:v>1.0588666666666666</c:v>
                </c:pt>
                <c:pt idx="8">
                  <c:v>1.0588666666666666</c:v>
                </c:pt>
                <c:pt idx="10">
                  <c:v>1.0588666666666666</c:v>
                </c:pt>
                <c:pt idx="11">
                  <c:v>1.0588666666666666</c:v>
                </c:pt>
                <c:pt idx="12">
                  <c:v>1.0588666666666666</c:v>
                </c:pt>
                <c:pt idx="13">
                  <c:v>1.0588666666666666</c:v>
                </c:pt>
                <c:pt idx="14">
                  <c:v>1.0588666666666666</c:v>
                </c:pt>
                <c:pt idx="15">
                  <c:v>1.0588666666666666</c:v>
                </c:pt>
                <c:pt idx="16">
                  <c:v>1.0588666666666666</c:v>
                </c:pt>
                <c:pt idx="17">
                  <c:v>1.0588666666666666</c:v>
                </c:pt>
                <c:pt idx="18">
                  <c:v>1.0588666666666666</c:v>
                </c:pt>
                <c:pt idx="19">
                  <c:v>1.0588666666666666</c:v>
                </c:pt>
                <c:pt idx="20">
                  <c:v>1.0588666666666666</c:v>
                </c:pt>
                <c:pt idx="21">
                  <c:v>1.0588666666666666</c:v>
                </c:pt>
                <c:pt idx="22">
                  <c:v>1.0588666666666666</c:v>
                </c:pt>
                <c:pt idx="23">
                  <c:v>1.0588666666666666</c:v>
                </c:pt>
                <c:pt idx="24">
                  <c:v>1.0588666666666666</c:v>
                </c:pt>
                <c:pt idx="25">
                  <c:v>1.0588666666666666</c:v>
                </c:pt>
                <c:pt idx="26">
                  <c:v>1.0588666666666666</c:v>
                </c:pt>
                <c:pt idx="27">
                  <c:v>1.0588666666666666</c:v>
                </c:pt>
                <c:pt idx="28">
                  <c:v>1.0588666666666666</c:v>
                </c:pt>
                <c:pt idx="29">
                  <c:v>1.0588666666666666</c:v>
                </c:pt>
                <c:pt idx="30">
                  <c:v>1.0588666666666666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'NH3'!$Q$2</c:f>
              <c:strCache>
                <c:ptCount val="1"/>
                <c:pt idx="0">
                  <c:v>UW = CL + 2sd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'NH3'!$N$3:$N$33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 formatCode="#,##0">
                  <c:v>17</c:v>
                </c:pt>
                <c:pt idx="18" formatCode="#,##0">
                  <c:v>18</c:v>
                </c:pt>
                <c:pt idx="19" formatCode="#,##0">
                  <c:v>19</c:v>
                </c:pt>
                <c:pt idx="20" formatCode="#,##0">
                  <c:v>20</c:v>
                </c:pt>
                <c:pt idx="21" formatCode="#,##0">
                  <c:v>21</c:v>
                </c:pt>
                <c:pt idx="22" formatCode="#,##0">
                  <c:v>22</c:v>
                </c:pt>
                <c:pt idx="23" formatCode="#,##0">
                  <c:v>23</c:v>
                </c:pt>
                <c:pt idx="24" formatCode="#,##0">
                  <c:v>24</c:v>
                </c:pt>
                <c:pt idx="25" formatCode="#,##0">
                  <c:v>25</c:v>
                </c:pt>
                <c:pt idx="26" formatCode="#,##0">
                  <c:v>26</c:v>
                </c:pt>
                <c:pt idx="27" formatCode="#,##0">
                  <c:v>27</c:v>
                </c:pt>
                <c:pt idx="28" formatCode="#,##0">
                  <c:v>28</c:v>
                </c:pt>
                <c:pt idx="29" formatCode="#,##0">
                  <c:v>29</c:v>
                </c:pt>
                <c:pt idx="30" formatCode="#,##0">
                  <c:v>30</c:v>
                </c:pt>
              </c:numCache>
            </c:numRef>
          </c:xVal>
          <c:yVal>
            <c:numRef>
              <c:f>'NH3'!$Q$3:$Q$33</c:f>
              <c:numCache>
                <c:formatCode>0.00</c:formatCode>
                <c:ptCount val="31"/>
                <c:pt idx="0">
                  <c:v>1.2311885253744514</c:v>
                </c:pt>
                <c:pt idx="1">
                  <c:v>1.2311885253744514</c:v>
                </c:pt>
                <c:pt idx="2">
                  <c:v>1.2311885253744514</c:v>
                </c:pt>
                <c:pt idx="3">
                  <c:v>1.2311885253744514</c:v>
                </c:pt>
                <c:pt idx="4">
                  <c:v>1.2311885253744514</c:v>
                </c:pt>
                <c:pt idx="5">
                  <c:v>1.2311885253744514</c:v>
                </c:pt>
                <c:pt idx="6">
                  <c:v>1.2311885253744514</c:v>
                </c:pt>
                <c:pt idx="7">
                  <c:v>1.2311885253744514</c:v>
                </c:pt>
                <c:pt idx="8">
                  <c:v>1.2311885253744514</c:v>
                </c:pt>
                <c:pt idx="10">
                  <c:v>1.2311885253744514</c:v>
                </c:pt>
                <c:pt idx="11">
                  <c:v>1.2311885253744514</c:v>
                </c:pt>
                <c:pt idx="12">
                  <c:v>1.2311885253744514</c:v>
                </c:pt>
                <c:pt idx="13">
                  <c:v>1.2311885253744514</c:v>
                </c:pt>
                <c:pt idx="14">
                  <c:v>1.2311885253744514</c:v>
                </c:pt>
                <c:pt idx="15">
                  <c:v>1.2311885253744514</c:v>
                </c:pt>
                <c:pt idx="16">
                  <c:v>1.2311885253744514</c:v>
                </c:pt>
                <c:pt idx="17">
                  <c:v>1.2311885253744514</c:v>
                </c:pt>
                <c:pt idx="18">
                  <c:v>1.2311885253744514</c:v>
                </c:pt>
                <c:pt idx="19">
                  <c:v>1.2311885253744514</c:v>
                </c:pt>
                <c:pt idx="20">
                  <c:v>1.2311885253744514</c:v>
                </c:pt>
                <c:pt idx="21">
                  <c:v>1.2311885253744514</c:v>
                </c:pt>
                <c:pt idx="22">
                  <c:v>1.2311885253744514</c:v>
                </c:pt>
                <c:pt idx="23">
                  <c:v>1.2311885253744514</c:v>
                </c:pt>
                <c:pt idx="24">
                  <c:v>1.2311885253744514</c:v>
                </c:pt>
                <c:pt idx="25">
                  <c:v>1.2311885253744514</c:v>
                </c:pt>
                <c:pt idx="26">
                  <c:v>1.2311885253744514</c:v>
                </c:pt>
                <c:pt idx="27">
                  <c:v>1.2311885253744514</c:v>
                </c:pt>
                <c:pt idx="28">
                  <c:v>1.2311885253744514</c:v>
                </c:pt>
                <c:pt idx="29">
                  <c:v>1.2311885253744514</c:v>
                </c:pt>
                <c:pt idx="30">
                  <c:v>1.2311885253744514</c:v>
                </c:pt>
              </c:numCache>
            </c:numRef>
          </c:yVal>
          <c:smooth val="1"/>
        </c:ser>
        <c:ser>
          <c:idx val="3"/>
          <c:order val="2"/>
          <c:tx>
            <c:strRef>
              <c:f>'NH3'!$S$2</c:f>
              <c:strCache>
                <c:ptCount val="1"/>
                <c:pt idx="0">
                  <c:v>UC = CL + 3sd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'NH3'!$N$3:$N$33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 formatCode="#,##0">
                  <c:v>17</c:v>
                </c:pt>
                <c:pt idx="18" formatCode="#,##0">
                  <c:v>18</c:v>
                </c:pt>
                <c:pt idx="19" formatCode="#,##0">
                  <c:v>19</c:v>
                </c:pt>
                <c:pt idx="20" formatCode="#,##0">
                  <c:v>20</c:v>
                </c:pt>
                <c:pt idx="21" formatCode="#,##0">
                  <c:v>21</c:v>
                </c:pt>
                <c:pt idx="22" formatCode="#,##0">
                  <c:v>22</c:v>
                </c:pt>
                <c:pt idx="23" formatCode="#,##0">
                  <c:v>23</c:v>
                </c:pt>
                <c:pt idx="24" formatCode="#,##0">
                  <c:v>24</c:v>
                </c:pt>
                <c:pt idx="25" formatCode="#,##0">
                  <c:v>25</c:v>
                </c:pt>
                <c:pt idx="26" formatCode="#,##0">
                  <c:v>26</c:v>
                </c:pt>
                <c:pt idx="27" formatCode="#,##0">
                  <c:v>27</c:v>
                </c:pt>
                <c:pt idx="28" formatCode="#,##0">
                  <c:v>28</c:v>
                </c:pt>
                <c:pt idx="29" formatCode="#,##0">
                  <c:v>29</c:v>
                </c:pt>
                <c:pt idx="30" formatCode="#,##0">
                  <c:v>30</c:v>
                </c:pt>
              </c:numCache>
            </c:numRef>
          </c:xVal>
          <c:yVal>
            <c:numRef>
              <c:f>'NH3'!$S$3:$S$33</c:f>
              <c:numCache>
                <c:formatCode>0.00</c:formatCode>
                <c:ptCount val="31"/>
                <c:pt idx="0">
                  <c:v>1.317349454728344</c:v>
                </c:pt>
                <c:pt idx="1">
                  <c:v>1.317349454728344</c:v>
                </c:pt>
                <c:pt idx="2">
                  <c:v>1.317349454728344</c:v>
                </c:pt>
                <c:pt idx="3">
                  <c:v>1.317349454728344</c:v>
                </c:pt>
                <c:pt idx="4">
                  <c:v>1.317349454728344</c:v>
                </c:pt>
                <c:pt idx="5">
                  <c:v>1.317349454728344</c:v>
                </c:pt>
                <c:pt idx="6">
                  <c:v>1.317349454728344</c:v>
                </c:pt>
                <c:pt idx="7">
                  <c:v>1.317349454728344</c:v>
                </c:pt>
                <c:pt idx="8">
                  <c:v>1.317349454728344</c:v>
                </c:pt>
                <c:pt idx="10">
                  <c:v>1.317349454728344</c:v>
                </c:pt>
                <c:pt idx="11">
                  <c:v>1.317349454728344</c:v>
                </c:pt>
                <c:pt idx="12">
                  <c:v>1.317349454728344</c:v>
                </c:pt>
                <c:pt idx="13">
                  <c:v>1.317349454728344</c:v>
                </c:pt>
                <c:pt idx="14">
                  <c:v>1.317349454728344</c:v>
                </c:pt>
                <c:pt idx="15">
                  <c:v>1.317349454728344</c:v>
                </c:pt>
                <c:pt idx="16">
                  <c:v>1.317349454728344</c:v>
                </c:pt>
                <c:pt idx="17">
                  <c:v>1.317349454728344</c:v>
                </c:pt>
                <c:pt idx="18">
                  <c:v>1.317349454728344</c:v>
                </c:pt>
                <c:pt idx="19">
                  <c:v>1.317349454728344</c:v>
                </c:pt>
                <c:pt idx="20">
                  <c:v>1.317349454728344</c:v>
                </c:pt>
                <c:pt idx="21">
                  <c:v>1.317349454728344</c:v>
                </c:pt>
                <c:pt idx="22">
                  <c:v>1.317349454728344</c:v>
                </c:pt>
                <c:pt idx="23">
                  <c:v>1.317349454728344</c:v>
                </c:pt>
                <c:pt idx="24">
                  <c:v>1.317349454728344</c:v>
                </c:pt>
                <c:pt idx="25">
                  <c:v>1.317349454728344</c:v>
                </c:pt>
                <c:pt idx="26">
                  <c:v>1.317349454728344</c:v>
                </c:pt>
                <c:pt idx="27">
                  <c:v>1.317349454728344</c:v>
                </c:pt>
                <c:pt idx="28">
                  <c:v>1.317349454728344</c:v>
                </c:pt>
                <c:pt idx="29">
                  <c:v>1.317349454728344</c:v>
                </c:pt>
                <c:pt idx="30">
                  <c:v>1.317349454728344</c:v>
                </c:pt>
              </c:numCache>
            </c:numRef>
          </c:yVal>
          <c:smooth val="1"/>
        </c:ser>
        <c:ser>
          <c:idx val="4"/>
          <c:order val="3"/>
          <c:tx>
            <c:strRef>
              <c:f>'NH3'!$T$2</c:f>
              <c:strCache>
                <c:ptCount val="1"/>
                <c:pt idx="0">
                  <c:v>LC = CL - 3sd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'NH3'!$N$3:$N$33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 formatCode="#,##0">
                  <c:v>17</c:v>
                </c:pt>
                <c:pt idx="18" formatCode="#,##0">
                  <c:v>18</c:v>
                </c:pt>
                <c:pt idx="19" formatCode="#,##0">
                  <c:v>19</c:v>
                </c:pt>
                <c:pt idx="20" formatCode="#,##0">
                  <c:v>20</c:v>
                </c:pt>
                <c:pt idx="21" formatCode="#,##0">
                  <c:v>21</c:v>
                </c:pt>
                <c:pt idx="22" formatCode="#,##0">
                  <c:v>22</c:v>
                </c:pt>
                <c:pt idx="23" formatCode="#,##0">
                  <c:v>23</c:v>
                </c:pt>
                <c:pt idx="24" formatCode="#,##0">
                  <c:v>24</c:v>
                </c:pt>
                <c:pt idx="25" formatCode="#,##0">
                  <c:v>25</c:v>
                </c:pt>
                <c:pt idx="26" formatCode="#,##0">
                  <c:v>26</c:v>
                </c:pt>
                <c:pt idx="27" formatCode="#,##0">
                  <c:v>27</c:v>
                </c:pt>
                <c:pt idx="28" formatCode="#,##0">
                  <c:v>28</c:v>
                </c:pt>
                <c:pt idx="29" formatCode="#,##0">
                  <c:v>29</c:v>
                </c:pt>
                <c:pt idx="30" formatCode="#,##0">
                  <c:v>30</c:v>
                </c:pt>
              </c:numCache>
            </c:numRef>
          </c:xVal>
          <c:yVal>
            <c:numRef>
              <c:f>'NH3'!$T$3:$T$33</c:f>
              <c:numCache>
                <c:formatCode>0.00</c:formatCode>
                <c:ptCount val="31"/>
                <c:pt idx="0">
                  <c:v>0.80038387860498927</c:v>
                </c:pt>
                <c:pt idx="1">
                  <c:v>0.80038387860498927</c:v>
                </c:pt>
                <c:pt idx="2">
                  <c:v>0.80038387860498927</c:v>
                </c:pt>
                <c:pt idx="3">
                  <c:v>0.80038387860498927</c:v>
                </c:pt>
                <c:pt idx="4">
                  <c:v>0.80038387860498927</c:v>
                </c:pt>
                <c:pt idx="5">
                  <c:v>0.80038387860498927</c:v>
                </c:pt>
                <c:pt idx="6">
                  <c:v>0.80038387860498927</c:v>
                </c:pt>
                <c:pt idx="7">
                  <c:v>0.80038387860498927</c:v>
                </c:pt>
                <c:pt idx="8">
                  <c:v>0.80038387860498927</c:v>
                </c:pt>
                <c:pt idx="10">
                  <c:v>0.80038387860498927</c:v>
                </c:pt>
                <c:pt idx="11">
                  <c:v>0.80038387860498927</c:v>
                </c:pt>
                <c:pt idx="12">
                  <c:v>0.80038387860498927</c:v>
                </c:pt>
                <c:pt idx="13">
                  <c:v>0.80038387860498927</c:v>
                </c:pt>
                <c:pt idx="14">
                  <c:v>0.80038387860498927</c:v>
                </c:pt>
                <c:pt idx="15">
                  <c:v>0.80038387860498927</c:v>
                </c:pt>
                <c:pt idx="16">
                  <c:v>0.80038387860498927</c:v>
                </c:pt>
                <c:pt idx="17">
                  <c:v>0.80038387860498927</c:v>
                </c:pt>
                <c:pt idx="18">
                  <c:v>0.80038387860498927</c:v>
                </c:pt>
                <c:pt idx="19">
                  <c:v>0.80038387860498927</c:v>
                </c:pt>
                <c:pt idx="20">
                  <c:v>0.80038387860498927</c:v>
                </c:pt>
                <c:pt idx="21">
                  <c:v>0.80038387860498927</c:v>
                </c:pt>
                <c:pt idx="22">
                  <c:v>0.80038387860498927</c:v>
                </c:pt>
                <c:pt idx="23">
                  <c:v>0.80038387860498927</c:v>
                </c:pt>
                <c:pt idx="24">
                  <c:v>0.80038387860498927</c:v>
                </c:pt>
                <c:pt idx="25">
                  <c:v>0.80038387860498927</c:v>
                </c:pt>
                <c:pt idx="26">
                  <c:v>0.80038387860498927</c:v>
                </c:pt>
                <c:pt idx="27">
                  <c:v>0.80038387860498927</c:v>
                </c:pt>
                <c:pt idx="28">
                  <c:v>0.80038387860498927</c:v>
                </c:pt>
                <c:pt idx="29">
                  <c:v>0.80038387860498927</c:v>
                </c:pt>
                <c:pt idx="30">
                  <c:v>0.80038387860498927</c:v>
                </c:pt>
              </c:numCache>
            </c:numRef>
          </c:yVal>
          <c:smooth val="1"/>
        </c:ser>
        <c:ser>
          <c:idx val="2"/>
          <c:order val="5"/>
          <c:tx>
            <c:strRef>
              <c:f>'NH3'!$R$2</c:f>
              <c:strCache>
                <c:ptCount val="1"/>
                <c:pt idx="0">
                  <c:v>LW = CL - 2sd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'NH3'!$N$3:$N$33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 formatCode="#,##0">
                  <c:v>17</c:v>
                </c:pt>
                <c:pt idx="18" formatCode="#,##0">
                  <c:v>18</c:v>
                </c:pt>
                <c:pt idx="19" formatCode="#,##0">
                  <c:v>19</c:v>
                </c:pt>
                <c:pt idx="20" formatCode="#,##0">
                  <c:v>20</c:v>
                </c:pt>
                <c:pt idx="21" formatCode="#,##0">
                  <c:v>21</c:v>
                </c:pt>
                <c:pt idx="22" formatCode="#,##0">
                  <c:v>22</c:v>
                </c:pt>
                <c:pt idx="23" formatCode="#,##0">
                  <c:v>23</c:v>
                </c:pt>
                <c:pt idx="24" formatCode="#,##0">
                  <c:v>24</c:v>
                </c:pt>
                <c:pt idx="25" formatCode="#,##0">
                  <c:v>25</c:v>
                </c:pt>
                <c:pt idx="26" formatCode="#,##0">
                  <c:v>26</c:v>
                </c:pt>
                <c:pt idx="27" formatCode="#,##0">
                  <c:v>27</c:v>
                </c:pt>
                <c:pt idx="28" formatCode="#,##0">
                  <c:v>28</c:v>
                </c:pt>
                <c:pt idx="29" formatCode="#,##0">
                  <c:v>29</c:v>
                </c:pt>
                <c:pt idx="30" formatCode="#,##0">
                  <c:v>30</c:v>
                </c:pt>
              </c:numCache>
            </c:numRef>
          </c:xVal>
          <c:yVal>
            <c:numRef>
              <c:f>'NH3'!$R$3:$R$33</c:f>
              <c:numCache>
                <c:formatCode>0.00</c:formatCode>
                <c:ptCount val="31"/>
                <c:pt idx="0">
                  <c:v>0.8865448079588818</c:v>
                </c:pt>
                <c:pt idx="1">
                  <c:v>0.8865448079588818</c:v>
                </c:pt>
                <c:pt idx="2">
                  <c:v>0.8865448079588818</c:v>
                </c:pt>
                <c:pt idx="3">
                  <c:v>0.8865448079588818</c:v>
                </c:pt>
                <c:pt idx="4">
                  <c:v>0.8865448079588818</c:v>
                </c:pt>
                <c:pt idx="5">
                  <c:v>0.8865448079588818</c:v>
                </c:pt>
                <c:pt idx="6">
                  <c:v>0.8865448079588818</c:v>
                </c:pt>
                <c:pt idx="7">
                  <c:v>0.8865448079588818</c:v>
                </c:pt>
                <c:pt idx="8">
                  <c:v>0.8865448079588818</c:v>
                </c:pt>
                <c:pt idx="10">
                  <c:v>0.8865448079588818</c:v>
                </c:pt>
                <c:pt idx="11">
                  <c:v>0.8865448079588818</c:v>
                </c:pt>
                <c:pt idx="12">
                  <c:v>0.8865448079588818</c:v>
                </c:pt>
                <c:pt idx="13">
                  <c:v>0.8865448079588818</c:v>
                </c:pt>
                <c:pt idx="14">
                  <c:v>0.8865448079588818</c:v>
                </c:pt>
                <c:pt idx="15">
                  <c:v>0.8865448079588818</c:v>
                </c:pt>
                <c:pt idx="16">
                  <c:v>0.8865448079588818</c:v>
                </c:pt>
                <c:pt idx="17">
                  <c:v>0.8865448079588818</c:v>
                </c:pt>
                <c:pt idx="18">
                  <c:v>0.8865448079588818</c:v>
                </c:pt>
                <c:pt idx="19">
                  <c:v>0.8865448079588818</c:v>
                </c:pt>
                <c:pt idx="20">
                  <c:v>0.8865448079588818</c:v>
                </c:pt>
                <c:pt idx="21">
                  <c:v>0.8865448079588818</c:v>
                </c:pt>
                <c:pt idx="22">
                  <c:v>0.8865448079588818</c:v>
                </c:pt>
                <c:pt idx="23">
                  <c:v>0.8865448079588818</c:v>
                </c:pt>
                <c:pt idx="24">
                  <c:v>0.8865448079588818</c:v>
                </c:pt>
                <c:pt idx="25">
                  <c:v>0.8865448079588818</c:v>
                </c:pt>
                <c:pt idx="26">
                  <c:v>0.8865448079588818</c:v>
                </c:pt>
                <c:pt idx="27">
                  <c:v>0.8865448079588818</c:v>
                </c:pt>
                <c:pt idx="28">
                  <c:v>0.8865448079588818</c:v>
                </c:pt>
                <c:pt idx="29">
                  <c:v>0.8865448079588818</c:v>
                </c:pt>
                <c:pt idx="30">
                  <c:v>0.8865448079588818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727632"/>
        <c:axId val="315733904"/>
      </c:scatterChart>
      <c:catAx>
        <c:axId val="31572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733904"/>
        <c:crosses val="autoZero"/>
        <c:auto val="1"/>
        <c:lblAlgn val="ctr"/>
        <c:lblOffset val="100"/>
        <c:noMultiLvlLbl val="0"/>
      </c:catAx>
      <c:valAx>
        <c:axId val="315733904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72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%"/>
            <a:lumOff val="85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%"/>
            <a:lumOff val="25%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%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%"/>
            <a:lumOff val="95%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%"/>
            <a:lumOff val="25%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%"/>
            <a:lumOff val="65%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%"/>
            <a:lumOff val="40%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purl.oclc.org/ooxml/officeDocument/relationships/chart" Target="../charts/chart1.xml"/><Relationship Id="rId1" Type="http://purl.oclc.org/ooxml/officeDocument/relationships/image" Target="../media/image1.png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9</xdr:col>
      <xdr:colOff>838200</xdr:colOff>
      <xdr:row>18</xdr:row>
      <xdr:rowOff>19050</xdr:rowOff>
    </xdr:from>
    <xdr:to>
      <xdr:col>9</xdr:col>
      <xdr:colOff>923925</xdr:colOff>
      <xdr:row>19</xdr:row>
      <xdr:rowOff>38100</xdr:rowOff>
    </xdr:to>
    <xdr:pic>
      <xdr:nvPicPr>
        <xdr:cNvPr id="6" name="Picture 29"/>
        <xdr:cNvPicPr>
          <a:picLocks noChangeAspect="1" noChangeArrowheads="1"/>
        </xdr:cNvPicPr>
      </xdr:nvPicPr>
      <xdr:blipFill>
        <a:blip xmlns:r="http://purl.oclc.org/ooxml/officeDocument/relationships" r:embed="rId1">
          <a:clrChange>
            <a:clrFrom>
              <a:srgbClr val="FFFFFF"/>
            </a:clrFrom>
            <a:clrTo>
              <a:srgbClr val="FFFFFF">
                <a:alpha val="0%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0825" y="459105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504825</xdr:colOff>
      <xdr:row>32</xdr:row>
      <xdr:rowOff>85726</xdr:rowOff>
    </xdr:from>
    <xdr:to>
      <xdr:col>10</xdr:col>
      <xdr:colOff>504825</xdr:colOff>
      <xdr:row>54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AK62"/>
  <sheetViews>
    <sheetView topLeftCell="U1" workbookViewId="0">
      <selection activeCell="AI18" sqref="AI18"/>
    </sheetView>
  </sheetViews>
  <sheetFormatPr defaultRowHeight="15" x14ac:dyDescent="0.25"/>
  <cols>
    <col min="1" max="1" width="1.85546875" customWidth="1"/>
    <col min="2" max="2" width="9.42578125" style="1" bestFit="1" customWidth="1"/>
    <col min="3" max="3" width="18.28515625" style="1" customWidth="1"/>
    <col min="4" max="8" width="9.140625" style="1"/>
    <col min="9" max="9" width="11.140625" style="1" customWidth="1"/>
    <col min="10" max="10" width="14.85546875" bestFit="1" customWidth="1"/>
    <col min="11" max="11" width="8.140625" bestFit="1" customWidth="1"/>
    <col min="13" max="13" width="12.85546875" customWidth="1"/>
    <col min="14" max="15" width="9.140625" style="1" customWidth="1"/>
    <col min="16" max="16" width="10.42578125" style="1" customWidth="1"/>
    <col min="17" max="17" width="14.85546875" style="1" customWidth="1"/>
    <col min="18" max="18" width="14.28515625" style="1" customWidth="1"/>
    <col min="19" max="19" width="14.42578125" style="1" customWidth="1"/>
    <col min="20" max="21" width="13.85546875" style="1" customWidth="1"/>
    <col min="22" max="22" width="5.5703125" style="1" customWidth="1"/>
    <col min="23" max="23" width="16.28515625" style="1" customWidth="1"/>
    <col min="24" max="35" width="9.140625" style="1"/>
    <col min="36" max="36" width="10.7109375" customWidth="1"/>
  </cols>
  <sheetData>
    <row r="1" spans="1:37" x14ac:dyDescent="0.25">
      <c r="A1" s="8" t="s">
        <v>35</v>
      </c>
      <c r="B1" s="44" t="s">
        <v>34</v>
      </c>
      <c r="C1" s="44"/>
      <c r="D1" s="44"/>
      <c r="E1" s="44"/>
      <c r="F1" s="44"/>
      <c r="G1" s="44"/>
      <c r="H1" s="44"/>
      <c r="I1" s="44"/>
      <c r="J1" s="14" t="s">
        <v>55</v>
      </c>
      <c r="K1" s="15" t="s">
        <v>56</v>
      </c>
      <c r="L1" s="14" t="s">
        <v>55</v>
      </c>
      <c r="M1" s="17" t="s">
        <v>56</v>
      </c>
      <c r="N1" s="43" t="s">
        <v>58</v>
      </c>
      <c r="O1" s="43"/>
      <c r="P1" s="43"/>
      <c r="Q1" s="43"/>
      <c r="R1" s="43"/>
      <c r="S1" s="43"/>
      <c r="T1" s="43"/>
      <c r="U1" s="27"/>
      <c r="V1" s="46" t="s">
        <v>70</v>
      </c>
      <c r="W1" s="46" t="s">
        <v>69</v>
      </c>
      <c r="X1" s="43" t="s">
        <v>71</v>
      </c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</row>
    <row r="2" spans="1:37" x14ac:dyDescent="0.25">
      <c r="B2" s="44"/>
      <c r="C2" s="44"/>
      <c r="D2" s="44"/>
      <c r="E2" s="44"/>
      <c r="F2" s="44"/>
      <c r="G2" s="44"/>
      <c r="H2" s="44"/>
      <c r="I2" s="44"/>
      <c r="J2" s="13">
        <v>1</v>
      </c>
      <c r="K2" s="12">
        <v>1.01</v>
      </c>
      <c r="L2" s="13">
        <v>15</v>
      </c>
      <c r="M2" s="18">
        <v>0.88100000000000001</v>
      </c>
      <c r="N2" s="21" t="s">
        <v>55</v>
      </c>
      <c r="O2" s="16" t="s">
        <v>56</v>
      </c>
      <c r="P2" s="16" t="s">
        <v>59</v>
      </c>
      <c r="Q2" s="22" t="s">
        <v>51</v>
      </c>
      <c r="R2" s="22" t="s">
        <v>52</v>
      </c>
      <c r="S2" s="22" t="s">
        <v>53</v>
      </c>
      <c r="T2" s="29" t="s">
        <v>54</v>
      </c>
      <c r="U2" s="5"/>
      <c r="V2" s="47"/>
      <c r="W2" s="47"/>
      <c r="X2" s="16" t="s">
        <v>63</v>
      </c>
      <c r="Y2" s="16" t="s">
        <v>64</v>
      </c>
      <c r="Z2" s="16" t="s">
        <v>65</v>
      </c>
      <c r="AA2" s="16" t="s">
        <v>66</v>
      </c>
      <c r="AB2" s="16" t="s">
        <v>67</v>
      </c>
      <c r="AC2" s="16" t="s">
        <v>68</v>
      </c>
      <c r="AD2" s="34" t="s">
        <v>72</v>
      </c>
      <c r="AE2" s="16" t="s">
        <v>60</v>
      </c>
      <c r="AF2" s="16" t="s">
        <v>61</v>
      </c>
      <c r="AG2" s="16" t="s">
        <v>62</v>
      </c>
      <c r="AH2" s="16" t="s">
        <v>11</v>
      </c>
      <c r="AI2" s="16" t="s">
        <v>10</v>
      </c>
      <c r="AJ2" s="32" t="s">
        <v>72</v>
      </c>
    </row>
    <row r="3" spans="1:37" x14ac:dyDescent="0.25">
      <c r="A3" s="8" t="s">
        <v>35</v>
      </c>
      <c r="B3" s="1" t="s">
        <v>8</v>
      </c>
      <c r="J3" s="13">
        <v>2</v>
      </c>
      <c r="K3" s="12">
        <v>1.05</v>
      </c>
      <c r="L3" s="13">
        <v>16</v>
      </c>
      <c r="M3" s="18">
        <v>1.052</v>
      </c>
      <c r="N3" s="16">
        <v>1</v>
      </c>
      <c r="O3" s="23">
        <v>1.01</v>
      </c>
      <c r="P3" s="24">
        <f t="shared" ref="P3:P11" si="0">$M$19</f>
        <v>1.0588666666666666</v>
      </c>
      <c r="Q3" s="25">
        <f t="shared" ref="Q3:Q11" si="1">$M$21</f>
        <v>1.2311885253744514</v>
      </c>
      <c r="R3" s="25">
        <f t="shared" ref="R3:R11" si="2">$M$22</f>
        <v>0.8865448079588818</v>
      </c>
      <c r="S3" s="25">
        <f t="shared" ref="S3:S11" si="3">$M$23</f>
        <v>1.317349454728344</v>
      </c>
      <c r="T3" s="25">
        <f t="shared" ref="T3:T11" si="4">$M$24</f>
        <v>0.80038387860498927</v>
      </c>
      <c r="U3" s="28"/>
      <c r="V3" s="16">
        <v>1</v>
      </c>
      <c r="W3" s="31" t="d">
        <v>2015-02-26</v>
      </c>
      <c r="X3" s="16"/>
      <c r="Y3" s="16"/>
      <c r="Z3" s="16"/>
      <c r="AA3" s="16"/>
      <c r="AB3" s="16"/>
      <c r="AC3" s="16"/>
      <c r="AD3" s="16"/>
      <c r="AE3" s="30">
        <v>29.05</v>
      </c>
      <c r="AF3" s="30">
        <v>49.057000000000002</v>
      </c>
      <c r="AG3" s="16">
        <v>66.846999999999994</v>
      </c>
      <c r="AH3" s="16">
        <v>82.76</v>
      </c>
      <c r="AI3" s="16">
        <v>97.962999999999994</v>
      </c>
      <c r="AJ3" s="33">
        <v>-0.42068699999999998</v>
      </c>
    </row>
    <row r="4" spans="1:37" x14ac:dyDescent="0.25">
      <c r="B4" s="1" t="s">
        <v>36</v>
      </c>
      <c r="J4" s="13">
        <v>3</v>
      </c>
      <c r="K4" s="12">
        <v>1.1200000000000001</v>
      </c>
      <c r="L4" s="13">
        <v>17</v>
      </c>
      <c r="M4" s="18">
        <v>1.0549999999999999</v>
      </c>
      <c r="N4" s="16">
        <v>2</v>
      </c>
      <c r="O4" s="23">
        <v>1.05</v>
      </c>
      <c r="P4" s="24">
        <f t="shared" si="0"/>
        <v>1.0588666666666666</v>
      </c>
      <c r="Q4" s="25">
        <f t="shared" si="1"/>
        <v>1.2311885253744514</v>
      </c>
      <c r="R4" s="25">
        <f t="shared" si="2"/>
        <v>0.8865448079588818</v>
      </c>
      <c r="S4" s="25">
        <f t="shared" si="3"/>
        <v>1.317349454728344</v>
      </c>
      <c r="T4" s="25">
        <f t="shared" si="4"/>
        <v>0.80038387860498927</v>
      </c>
      <c r="U4" s="28"/>
      <c r="V4" s="16">
        <v>2</v>
      </c>
      <c r="W4" s="31" t="d">
        <v>2015-02-27</v>
      </c>
      <c r="X4" s="16"/>
      <c r="Y4" s="16"/>
      <c r="Z4" s="16"/>
      <c r="AA4" s="16"/>
      <c r="AB4" s="16"/>
      <c r="AC4" s="16"/>
      <c r="AD4" s="16"/>
      <c r="AE4" s="16">
        <v>28.992999999999999</v>
      </c>
      <c r="AF4" s="16">
        <v>49.476999999999997</v>
      </c>
      <c r="AG4" s="16">
        <v>67.006</v>
      </c>
      <c r="AH4" s="16">
        <v>82.927999999999997</v>
      </c>
      <c r="AI4" s="16">
        <v>99.405000000000001</v>
      </c>
      <c r="AJ4" s="11"/>
    </row>
    <row r="5" spans="1:37" x14ac:dyDescent="0.25">
      <c r="B5" s="7" t="s">
        <v>9</v>
      </c>
      <c r="C5" s="1" t="s">
        <v>21</v>
      </c>
      <c r="J5" s="13">
        <v>4</v>
      </c>
      <c r="K5" s="12">
        <v>0.94</v>
      </c>
      <c r="L5" s="13">
        <v>18</v>
      </c>
      <c r="M5" s="18">
        <v>0.97399999999999998</v>
      </c>
      <c r="N5" s="16">
        <v>3</v>
      </c>
      <c r="O5" s="23">
        <v>1.1200000000000001</v>
      </c>
      <c r="P5" s="24">
        <f t="shared" si="0"/>
        <v>1.0588666666666666</v>
      </c>
      <c r="Q5" s="25">
        <f t="shared" si="1"/>
        <v>1.2311885253744514</v>
      </c>
      <c r="R5" s="25">
        <f t="shared" si="2"/>
        <v>0.8865448079588818</v>
      </c>
      <c r="S5" s="25">
        <f t="shared" si="3"/>
        <v>1.317349454728344</v>
      </c>
      <c r="T5" s="25">
        <f t="shared" si="4"/>
        <v>0.80038387860498927</v>
      </c>
      <c r="U5" s="28"/>
      <c r="V5" s="16">
        <v>3</v>
      </c>
      <c r="W5" s="31" t="d">
        <v>2015-04-16</v>
      </c>
      <c r="X5" s="16"/>
      <c r="Y5" s="16"/>
      <c r="Z5" s="16"/>
      <c r="AA5" s="16"/>
      <c r="AB5" s="16"/>
      <c r="AC5" s="16"/>
      <c r="AD5" s="16"/>
      <c r="AE5" s="16">
        <v>29.553999999999998</v>
      </c>
      <c r="AF5" s="16">
        <v>50.668999999999997</v>
      </c>
      <c r="AG5" s="16">
        <v>67.489999999999995</v>
      </c>
      <c r="AH5" s="16">
        <v>85.34</v>
      </c>
      <c r="AI5" s="16">
        <v>98.698999999999998</v>
      </c>
      <c r="AJ5" s="11">
        <v>-0.45484200000000002</v>
      </c>
    </row>
    <row r="6" spans="1:37" x14ac:dyDescent="0.25">
      <c r="B6" s="7" t="s">
        <v>10</v>
      </c>
      <c r="C6" s="1" t="s">
        <v>22</v>
      </c>
      <c r="J6" s="13">
        <v>5</v>
      </c>
      <c r="K6" s="12">
        <v>1.0229999999999999</v>
      </c>
      <c r="L6" s="13">
        <v>19</v>
      </c>
      <c r="M6" s="18">
        <v>1.08</v>
      </c>
      <c r="N6" s="16">
        <v>4</v>
      </c>
      <c r="O6" s="23">
        <v>0.94</v>
      </c>
      <c r="P6" s="24">
        <f t="shared" si="0"/>
        <v>1.0588666666666666</v>
      </c>
      <c r="Q6" s="25">
        <f t="shared" si="1"/>
        <v>1.2311885253744514</v>
      </c>
      <c r="R6" s="25">
        <f t="shared" si="2"/>
        <v>0.8865448079588818</v>
      </c>
      <c r="S6" s="25">
        <f t="shared" si="3"/>
        <v>1.317349454728344</v>
      </c>
      <c r="T6" s="25">
        <f t="shared" si="4"/>
        <v>0.80038387860498927</v>
      </c>
      <c r="U6" s="28"/>
      <c r="V6" s="16">
        <v>4</v>
      </c>
      <c r="W6" s="31" t="d">
        <v>2015-04-21</v>
      </c>
      <c r="X6" s="16">
        <v>2.379</v>
      </c>
      <c r="Y6" s="16">
        <v>4.734</v>
      </c>
      <c r="Z6" s="16">
        <v>7.6840000000000002</v>
      </c>
      <c r="AA6" s="16">
        <v>10.692</v>
      </c>
      <c r="AB6" s="16">
        <v>13.798</v>
      </c>
      <c r="AC6" s="16">
        <v>16.707999999999998</v>
      </c>
      <c r="AD6" s="11">
        <v>-4.8505029999999998</v>
      </c>
      <c r="AE6" s="16"/>
      <c r="AF6" s="16"/>
      <c r="AG6" s="16"/>
      <c r="AH6" s="16"/>
      <c r="AI6" s="16"/>
      <c r="AJ6" s="11"/>
    </row>
    <row r="7" spans="1:37" x14ac:dyDescent="0.25">
      <c r="B7" s="7" t="s">
        <v>11</v>
      </c>
      <c r="C7" s="1" t="s">
        <v>23</v>
      </c>
      <c r="J7" s="13">
        <v>6</v>
      </c>
      <c r="K7" s="12">
        <v>1.04</v>
      </c>
      <c r="L7" s="13">
        <v>20</v>
      </c>
      <c r="M7" s="18">
        <v>1.0149999999999999</v>
      </c>
      <c r="N7" s="16">
        <v>5</v>
      </c>
      <c r="O7" s="23">
        <v>1.0229999999999999</v>
      </c>
      <c r="P7" s="24">
        <f t="shared" si="0"/>
        <v>1.0588666666666666</v>
      </c>
      <c r="Q7" s="25">
        <f t="shared" si="1"/>
        <v>1.2311885253744514</v>
      </c>
      <c r="R7" s="25">
        <f t="shared" si="2"/>
        <v>0.8865448079588818</v>
      </c>
      <c r="S7" s="25">
        <f t="shared" si="3"/>
        <v>1.317349454728344</v>
      </c>
      <c r="T7" s="25">
        <f t="shared" si="4"/>
        <v>0.80038387860498927</v>
      </c>
      <c r="U7" s="28"/>
      <c r="V7" s="16">
        <v>5</v>
      </c>
      <c r="W7" s="31" t="d">
        <v>2016-03-14</v>
      </c>
      <c r="X7" s="16"/>
      <c r="Y7" s="16"/>
      <c r="Z7" s="16"/>
      <c r="AA7" s="16"/>
      <c r="AB7" s="16"/>
      <c r="AC7" s="16"/>
      <c r="AD7" s="16"/>
      <c r="AE7" s="16">
        <v>29.141999999999999</v>
      </c>
      <c r="AF7" s="16">
        <v>50.265000000000001</v>
      </c>
      <c r="AG7" s="16">
        <v>68.168999999999997</v>
      </c>
      <c r="AH7" s="16">
        <v>84.753</v>
      </c>
      <c r="AI7" s="16">
        <v>99.986000000000004</v>
      </c>
      <c r="AJ7" s="11">
        <v>-0.42577199999999998</v>
      </c>
    </row>
    <row r="8" spans="1:37" x14ac:dyDescent="0.25">
      <c r="B8" s="7" t="s">
        <v>12</v>
      </c>
      <c r="C8" s="1" t="s">
        <v>24</v>
      </c>
      <c r="J8" s="13">
        <v>7</v>
      </c>
      <c r="K8" s="12">
        <v>1.0349999999999999</v>
      </c>
      <c r="L8" s="13">
        <v>21</v>
      </c>
      <c r="M8" s="18">
        <v>1.214</v>
      </c>
      <c r="N8" s="16">
        <v>6</v>
      </c>
      <c r="O8" s="23">
        <v>1.04</v>
      </c>
      <c r="P8" s="24">
        <f t="shared" si="0"/>
        <v>1.0588666666666666</v>
      </c>
      <c r="Q8" s="25">
        <f t="shared" si="1"/>
        <v>1.2311885253744514</v>
      </c>
      <c r="R8" s="25">
        <f t="shared" si="2"/>
        <v>0.8865448079588818</v>
      </c>
      <c r="S8" s="25">
        <f t="shared" si="3"/>
        <v>1.317349454728344</v>
      </c>
      <c r="T8" s="25">
        <f t="shared" si="4"/>
        <v>0.80038387860498927</v>
      </c>
      <c r="U8" s="28"/>
      <c r="V8" s="16">
        <v>6</v>
      </c>
      <c r="W8" s="31" t="d">
        <v>2016-03-17</v>
      </c>
      <c r="X8" s="16"/>
      <c r="Y8" s="16"/>
      <c r="Z8" s="16"/>
      <c r="AA8" s="16"/>
      <c r="AB8" s="16"/>
      <c r="AC8" s="16"/>
      <c r="AD8" s="16"/>
      <c r="AE8" s="16">
        <v>29.454000000000001</v>
      </c>
      <c r="AF8" s="16">
        <v>50.664999999999999</v>
      </c>
      <c r="AG8" s="16">
        <v>68.554000000000002</v>
      </c>
      <c r="AH8" s="16">
        <v>85.162000000000006</v>
      </c>
      <c r="AI8" s="16">
        <v>99.991</v>
      </c>
      <c r="AJ8" s="11">
        <v>-0.44295800000000002</v>
      </c>
    </row>
    <row r="9" spans="1:37" x14ac:dyDescent="0.25">
      <c r="B9" s="7" t="s">
        <v>13</v>
      </c>
      <c r="C9" s="1" t="s">
        <v>25</v>
      </c>
      <c r="J9" s="13">
        <v>8</v>
      </c>
      <c r="K9" s="12">
        <v>1.0369999999999999</v>
      </c>
      <c r="L9" s="13">
        <v>22</v>
      </c>
      <c r="M9" s="18">
        <v>1.0469999999999999</v>
      </c>
      <c r="N9" s="16">
        <v>7</v>
      </c>
      <c r="O9" s="23">
        <v>1.0349999999999999</v>
      </c>
      <c r="P9" s="24">
        <f t="shared" si="0"/>
        <v>1.0588666666666666</v>
      </c>
      <c r="Q9" s="25">
        <f t="shared" si="1"/>
        <v>1.2311885253744514</v>
      </c>
      <c r="R9" s="25">
        <f t="shared" si="2"/>
        <v>0.8865448079588818</v>
      </c>
      <c r="S9" s="25">
        <f t="shared" si="3"/>
        <v>1.317349454728344</v>
      </c>
      <c r="T9" s="25">
        <f t="shared" si="4"/>
        <v>0.80038387860498927</v>
      </c>
      <c r="U9" s="28"/>
      <c r="V9" s="16">
        <v>7</v>
      </c>
      <c r="W9" s="31" t="d">
        <v>2016-04-20</v>
      </c>
      <c r="X9" s="16"/>
      <c r="Y9" s="16"/>
      <c r="Z9" s="16"/>
      <c r="AA9" s="16"/>
      <c r="AB9" s="16"/>
      <c r="AC9" s="16"/>
      <c r="AD9" s="16"/>
      <c r="AE9" s="16">
        <v>28.863</v>
      </c>
      <c r="AF9" s="16">
        <v>49.494</v>
      </c>
      <c r="AG9" s="16">
        <v>67.168999999999997</v>
      </c>
      <c r="AH9" s="16">
        <v>83.332999999999998</v>
      </c>
      <c r="AI9" s="16">
        <v>98.326999999999998</v>
      </c>
      <c r="AJ9" s="11">
        <v>-0.42436200000000002</v>
      </c>
    </row>
    <row r="10" spans="1:37" x14ac:dyDescent="0.25">
      <c r="B10" s="7" t="s">
        <v>14</v>
      </c>
      <c r="C10" s="1" t="s">
        <v>26</v>
      </c>
      <c r="J10" s="13">
        <v>9</v>
      </c>
      <c r="K10" s="12">
        <v>0.95599999999999996</v>
      </c>
      <c r="L10" s="13">
        <v>23</v>
      </c>
      <c r="M10" s="18">
        <v>1.0289999999999999</v>
      </c>
      <c r="N10" s="16">
        <v>8</v>
      </c>
      <c r="O10" s="23">
        <v>1.0369999999999999</v>
      </c>
      <c r="P10" s="24">
        <f t="shared" si="0"/>
        <v>1.0588666666666666</v>
      </c>
      <c r="Q10" s="25">
        <f t="shared" si="1"/>
        <v>1.2311885253744514</v>
      </c>
      <c r="R10" s="25">
        <f t="shared" si="2"/>
        <v>0.8865448079588818</v>
      </c>
      <c r="S10" s="25">
        <f t="shared" si="3"/>
        <v>1.317349454728344</v>
      </c>
      <c r="T10" s="25">
        <f t="shared" si="4"/>
        <v>0.80038387860498927</v>
      </c>
      <c r="U10" s="28"/>
      <c r="V10" s="16">
        <v>8</v>
      </c>
      <c r="W10" s="31" t="d">
        <v>2016-05-04</v>
      </c>
      <c r="X10" s="16"/>
      <c r="Y10" s="16"/>
      <c r="Z10" s="16"/>
      <c r="AA10" s="16"/>
      <c r="AB10" s="16"/>
      <c r="AC10" s="16"/>
      <c r="AD10" s="16"/>
      <c r="AE10" s="16">
        <v>29.437000000000001</v>
      </c>
      <c r="AF10" s="16">
        <v>49.875</v>
      </c>
      <c r="AG10" s="16">
        <v>67.799000000000007</v>
      </c>
      <c r="AH10" s="16">
        <v>84.040999999999997</v>
      </c>
      <c r="AI10" s="16">
        <v>99.387</v>
      </c>
      <c r="AJ10" s="11">
        <v>-0.42805100000000001</v>
      </c>
    </row>
    <row r="11" spans="1:37" x14ac:dyDescent="0.25">
      <c r="B11" s="7" t="s">
        <v>15</v>
      </c>
      <c r="C11" s="1" t="s">
        <v>27</v>
      </c>
      <c r="J11" s="13">
        <v>10</v>
      </c>
      <c r="K11" s="12">
        <v>1.042</v>
      </c>
      <c r="L11" s="13">
        <v>24</v>
      </c>
      <c r="M11" s="18">
        <v>1.05</v>
      </c>
      <c r="N11" s="16">
        <v>9</v>
      </c>
      <c r="O11" s="23">
        <v>0.95599999999999996</v>
      </c>
      <c r="P11" s="24">
        <f t="shared" si="0"/>
        <v>1.0588666666666666</v>
      </c>
      <c r="Q11" s="25">
        <f t="shared" si="1"/>
        <v>1.2311885253744514</v>
      </c>
      <c r="R11" s="25">
        <f t="shared" si="2"/>
        <v>0.8865448079588818</v>
      </c>
      <c r="S11" s="25">
        <f t="shared" si="3"/>
        <v>1.317349454728344</v>
      </c>
      <c r="T11" s="25">
        <f t="shared" si="4"/>
        <v>0.80038387860498927</v>
      </c>
      <c r="U11" s="28"/>
      <c r="V11" s="16">
        <v>9</v>
      </c>
      <c r="W11" s="31" t="d">
        <v>2016-10-05</v>
      </c>
      <c r="X11" s="16">
        <v>2.3660000000000001</v>
      </c>
      <c r="Y11" s="16">
        <v>4.1769999999999996</v>
      </c>
      <c r="Z11" s="16">
        <v>7.9210000000000003</v>
      </c>
      <c r="AA11" s="16">
        <v>11.037000000000001</v>
      </c>
      <c r="AB11" s="16">
        <v>14.099</v>
      </c>
      <c r="AC11" s="30">
        <v>17.100000000000001</v>
      </c>
      <c r="AD11" s="11">
        <v>-4.296519</v>
      </c>
      <c r="AE11" s="16"/>
      <c r="AF11" s="16"/>
      <c r="AG11" s="16"/>
      <c r="AH11" s="16"/>
      <c r="AI11" s="16"/>
      <c r="AJ11" s="11"/>
    </row>
    <row r="12" spans="1:37" x14ac:dyDescent="0.25">
      <c r="B12" s="7"/>
      <c r="J12" s="13"/>
      <c r="K12" s="12"/>
      <c r="L12" s="13"/>
      <c r="M12" s="18"/>
      <c r="N12" s="16"/>
      <c r="O12" s="23"/>
      <c r="P12" s="24"/>
      <c r="Q12" s="25"/>
      <c r="R12" s="25"/>
      <c r="S12" s="25"/>
      <c r="T12" s="25"/>
      <c r="U12" s="28"/>
      <c r="V12" s="16">
        <v>10</v>
      </c>
      <c r="W12" s="38" t="d">
        <v>2016-12-15</v>
      </c>
      <c r="X12" s="16">
        <v>2.4020000000000001</v>
      </c>
      <c r="Y12" s="30">
        <v>4.1399999999999997</v>
      </c>
      <c r="Z12" s="30">
        <v>7.52</v>
      </c>
      <c r="AA12" s="30">
        <v>10.789</v>
      </c>
      <c r="AB12" s="16">
        <v>13.638999999999999</v>
      </c>
      <c r="AC12" s="30">
        <v>16.373000000000001</v>
      </c>
      <c r="AD12" s="39">
        <v>-4.5863100000000001</v>
      </c>
      <c r="AE12" s="16"/>
      <c r="AF12" s="16"/>
      <c r="AG12" s="16"/>
      <c r="AH12" s="16"/>
      <c r="AI12" s="16"/>
      <c r="AJ12" s="11"/>
    </row>
    <row r="13" spans="1:37" x14ac:dyDescent="0.25">
      <c r="B13" s="7" t="s">
        <v>16</v>
      </c>
      <c r="C13" s="1" t="s">
        <v>28</v>
      </c>
      <c r="J13" s="13">
        <v>11</v>
      </c>
      <c r="K13" s="12">
        <v>1.0309999999999999</v>
      </c>
      <c r="L13" s="13">
        <v>25</v>
      </c>
      <c r="M13" s="18">
        <v>1.2410000000000001</v>
      </c>
      <c r="N13" s="16">
        <v>10</v>
      </c>
      <c r="O13" s="23">
        <v>1.042</v>
      </c>
      <c r="P13" s="24">
        <f t="shared" ref="P13:P33" si="5">$M$19</f>
        <v>1.0588666666666666</v>
      </c>
      <c r="Q13" s="25">
        <f t="shared" ref="Q13:Q33" si="6">$M$21</f>
        <v>1.2311885253744514</v>
      </c>
      <c r="R13" s="25">
        <f t="shared" ref="R13:R33" si="7">$M$22</f>
        <v>0.8865448079588818</v>
      </c>
      <c r="S13" s="25">
        <f t="shared" ref="S13:S33" si="8">$M$23</f>
        <v>1.317349454728344</v>
      </c>
      <c r="T13" s="25">
        <f t="shared" ref="T13:T33" si="9">$M$24</f>
        <v>0.80038387860498927</v>
      </c>
      <c r="U13" s="28"/>
      <c r="V13" s="48" t="s">
        <v>73</v>
      </c>
      <c r="W13" s="49"/>
      <c r="X13" s="37">
        <f>AVERAGE(X3:X12)</f>
        <v>2.3823333333333334</v>
      </c>
      <c r="Y13" s="37">
        <f>AVERAGE(Y3:Y12)</f>
        <v>4.3503333333333325</v>
      </c>
      <c r="Z13" s="37">
        <f t="shared" ref="Z13:AD13" si="10">AVERAGE(Z3:Z12)</f>
        <v>7.708333333333333</v>
      </c>
      <c r="AA13" s="37">
        <f t="shared" si="10"/>
        <v>10.839333333333334</v>
      </c>
      <c r="AB13" s="37">
        <f t="shared" si="10"/>
        <v>13.845333333333334</v>
      </c>
      <c r="AC13" s="37">
        <f t="shared" si="10"/>
        <v>16.727</v>
      </c>
      <c r="AD13" s="41">
        <f t="shared" si="10"/>
        <v>-4.5777773333333336</v>
      </c>
      <c r="AE13" s="37">
        <f>AVERAGE(AE3:AE11)</f>
        <v>29.213285714285714</v>
      </c>
      <c r="AF13" s="37">
        <f t="shared" ref="AF13:AJ13" si="11">AVERAGE(AF3:AF11)</f>
        <v>49.928857142857133</v>
      </c>
      <c r="AG13" s="37">
        <f t="shared" si="11"/>
        <v>67.576285714285717</v>
      </c>
      <c r="AH13" s="37">
        <f t="shared" si="11"/>
        <v>84.045285714285711</v>
      </c>
      <c r="AI13" s="37">
        <f t="shared" si="11"/>
        <v>99.108285714285714</v>
      </c>
      <c r="AJ13" s="37">
        <f t="shared" si="11"/>
        <v>-0.43277866666666664</v>
      </c>
    </row>
    <row r="14" spans="1:37" x14ac:dyDescent="0.25">
      <c r="B14" s="7" t="s">
        <v>17</v>
      </c>
      <c r="C14" s="1" t="s">
        <v>29</v>
      </c>
      <c r="J14" s="13">
        <v>12</v>
      </c>
      <c r="K14" s="12">
        <v>1.21</v>
      </c>
      <c r="L14" s="13">
        <v>26</v>
      </c>
      <c r="M14" s="18">
        <v>1.2290000000000001</v>
      </c>
      <c r="N14" s="16">
        <v>11</v>
      </c>
      <c r="O14" s="23">
        <v>1.0309999999999999</v>
      </c>
      <c r="P14" s="24">
        <f t="shared" si="5"/>
        <v>1.0588666666666666</v>
      </c>
      <c r="Q14" s="25">
        <f t="shared" si="6"/>
        <v>1.2311885253744514</v>
      </c>
      <c r="R14" s="25">
        <f t="shared" si="7"/>
        <v>0.8865448079588818</v>
      </c>
      <c r="S14" s="25">
        <f t="shared" si="8"/>
        <v>1.317349454728344</v>
      </c>
      <c r="T14" s="25">
        <f t="shared" si="9"/>
        <v>0.80038387860498927</v>
      </c>
      <c r="U14" s="28"/>
      <c r="V14" s="48" t="s">
        <v>74</v>
      </c>
      <c r="W14" s="49"/>
      <c r="X14" s="11">
        <f>STDEVA(X3:X12)</f>
        <v>1.8230011885167118E-2</v>
      </c>
      <c r="Y14" s="11">
        <f t="shared" ref="Y14:AC14" si="12">STDEVA(Y3:Y12)</f>
        <v>0.33277970691334752</v>
      </c>
      <c r="Z14" s="11">
        <f t="shared" si="12"/>
        <v>0.20160439810017405</v>
      </c>
      <c r="AA14" s="11">
        <f t="shared" si="12"/>
        <v>0.17792226767140049</v>
      </c>
      <c r="AB14" s="11">
        <f t="shared" si="12"/>
        <v>0.23362434233900697</v>
      </c>
      <c r="AC14" s="11">
        <f t="shared" si="12"/>
        <v>0.36387223032267818</v>
      </c>
      <c r="AD14" s="11">
        <f>STDEVA(AD3:AD12)</f>
        <v>0.2770905499368993</v>
      </c>
      <c r="AE14" s="11">
        <f>STDEVA(AE3:AE12)</f>
        <v>0.26678562822718083</v>
      </c>
      <c r="AF14" s="11">
        <f t="shared" ref="AF14:AJ14" si="13">STDEVA(AF3:AF12)</f>
        <v>0.62703280843759834</v>
      </c>
      <c r="AG14" s="11">
        <f t="shared" si="13"/>
        <v>0.63077299516432528</v>
      </c>
      <c r="AH14" s="11">
        <f t="shared" si="13"/>
        <v>1.0670716493103487</v>
      </c>
      <c r="AI14" s="11">
        <f t="shared" si="13"/>
        <v>0.79633425023368332</v>
      </c>
      <c r="AJ14" s="11">
        <f t="shared" si="13"/>
        <v>1.3258223073499217E-2</v>
      </c>
      <c r="AK14" s="40"/>
    </row>
    <row r="15" spans="1:37" x14ac:dyDescent="0.25">
      <c r="B15" s="7" t="s">
        <v>18</v>
      </c>
      <c r="C15" s="1" t="s">
        <v>30</v>
      </c>
      <c r="J15" s="13">
        <v>13</v>
      </c>
      <c r="K15" s="12">
        <v>0.95599999999999996</v>
      </c>
      <c r="L15" s="13">
        <v>27</v>
      </c>
      <c r="M15" s="18">
        <v>1.0429999999999999</v>
      </c>
      <c r="N15" s="16">
        <v>12</v>
      </c>
      <c r="O15" s="23">
        <v>1.21</v>
      </c>
      <c r="P15" s="24">
        <f t="shared" si="5"/>
        <v>1.0588666666666666</v>
      </c>
      <c r="Q15" s="25">
        <f t="shared" si="6"/>
        <v>1.2311885253744514</v>
      </c>
      <c r="R15" s="25">
        <f t="shared" si="7"/>
        <v>0.8865448079588818</v>
      </c>
      <c r="S15" s="25">
        <f t="shared" si="8"/>
        <v>1.317349454728344</v>
      </c>
      <c r="T15" s="25">
        <f t="shared" si="9"/>
        <v>0.80038387860498927</v>
      </c>
      <c r="U15" s="28"/>
      <c r="V15" s="43" t="s">
        <v>75</v>
      </c>
      <c r="W15" s="43"/>
      <c r="X15" s="16">
        <f>(X14/X13)*100</f>
        <v>0.76521667350638523</v>
      </c>
      <c r="Y15" s="16">
        <f t="shared" ref="Y15:AI15" si="14">(Y14/Y13)*100</f>
        <v>7.649522034633689</v>
      </c>
      <c r="Z15" s="16">
        <f t="shared" si="14"/>
        <v>2.6154084077860418</v>
      </c>
      <c r="AA15" s="16">
        <f t="shared" si="14"/>
        <v>1.6414502829639011</v>
      </c>
      <c r="AB15" s="16">
        <f t="shared" si="14"/>
        <v>1.6873869101912096</v>
      </c>
      <c r="AC15" s="16">
        <f t="shared" si="14"/>
        <v>2.1753585838624869</v>
      </c>
      <c r="AD15" s="16">
        <f t="shared" si="14"/>
        <v>-6.0529494940535766</v>
      </c>
      <c r="AE15" s="16">
        <f t="shared" si="14"/>
        <v>0.91323389924851495</v>
      </c>
      <c r="AF15" s="16">
        <f t="shared" si="14"/>
        <v>1.2558525155973899</v>
      </c>
      <c r="AG15" s="16">
        <f t="shared" si="14"/>
        <v>0.93342359453026136</v>
      </c>
      <c r="AH15" s="16">
        <f t="shared" si="14"/>
        <v>1.2696389098347389</v>
      </c>
      <c r="AI15" s="16">
        <f t="shared" si="14"/>
        <v>0.80349916709224012</v>
      </c>
      <c r="AJ15" s="16">
        <f>(AJ14/AJ13)*100</f>
        <v>-3.0635112344183364</v>
      </c>
    </row>
    <row r="16" spans="1:37" x14ac:dyDescent="0.25">
      <c r="B16" s="7" t="s">
        <v>19</v>
      </c>
      <c r="C16" s="1" t="s">
        <v>31</v>
      </c>
      <c r="J16" s="13">
        <v>14</v>
      </c>
      <c r="K16" s="12">
        <v>1.105</v>
      </c>
      <c r="L16" s="13">
        <v>28</v>
      </c>
      <c r="M16" s="18">
        <v>1.0509999999999999</v>
      </c>
      <c r="N16" s="16">
        <v>13</v>
      </c>
      <c r="O16" s="23">
        <v>0.95599999999999996</v>
      </c>
      <c r="P16" s="24">
        <f t="shared" si="5"/>
        <v>1.0588666666666666</v>
      </c>
      <c r="Q16" s="25">
        <f t="shared" si="6"/>
        <v>1.2311885253744514</v>
      </c>
      <c r="R16" s="25">
        <f t="shared" si="7"/>
        <v>0.8865448079588818</v>
      </c>
      <c r="S16" s="25">
        <f t="shared" si="8"/>
        <v>1.317349454728344</v>
      </c>
      <c r="T16" s="25">
        <f t="shared" si="9"/>
        <v>0.80038387860498927</v>
      </c>
      <c r="U16" s="28"/>
    </row>
    <row r="17" spans="1:21" x14ac:dyDescent="0.25">
      <c r="B17" s="7" t="s">
        <v>20</v>
      </c>
      <c r="C17" s="1" t="s">
        <v>32</v>
      </c>
      <c r="J17" s="13">
        <v>15</v>
      </c>
      <c r="K17" s="12">
        <v>0.88100000000000001</v>
      </c>
      <c r="L17" s="13">
        <v>29</v>
      </c>
      <c r="M17" s="18">
        <v>1.0640000000000001</v>
      </c>
      <c r="N17" s="16">
        <v>14</v>
      </c>
      <c r="O17" s="23">
        <v>1.105</v>
      </c>
      <c r="P17" s="24">
        <f t="shared" si="5"/>
        <v>1.0588666666666666</v>
      </c>
      <c r="Q17" s="25">
        <f t="shared" si="6"/>
        <v>1.2311885253744514</v>
      </c>
      <c r="R17" s="25">
        <f t="shared" si="7"/>
        <v>0.8865448079588818</v>
      </c>
      <c r="S17" s="25">
        <f t="shared" si="8"/>
        <v>1.317349454728344</v>
      </c>
      <c r="T17" s="25">
        <f t="shared" si="9"/>
        <v>0.80038387860498927</v>
      </c>
      <c r="U17" s="28"/>
    </row>
    <row r="18" spans="1:21" x14ac:dyDescent="0.25">
      <c r="B18" s="1" t="s">
        <v>33</v>
      </c>
      <c r="J18" s="13">
        <v>16</v>
      </c>
      <c r="K18" s="12">
        <v>1.052</v>
      </c>
      <c r="L18" s="13">
        <v>30</v>
      </c>
      <c r="M18" s="18">
        <v>1.1859999999999999</v>
      </c>
      <c r="N18" s="16">
        <v>15</v>
      </c>
      <c r="O18" s="23">
        <v>0.88100000000000001</v>
      </c>
      <c r="P18" s="24">
        <f t="shared" si="5"/>
        <v>1.0588666666666666</v>
      </c>
      <c r="Q18" s="25">
        <f t="shared" si="6"/>
        <v>1.2311885253744514</v>
      </c>
      <c r="R18" s="25">
        <f t="shared" si="7"/>
        <v>0.8865448079588818</v>
      </c>
      <c r="S18" s="25">
        <f t="shared" si="8"/>
        <v>1.317349454728344</v>
      </c>
      <c r="T18" s="25">
        <f t="shared" si="9"/>
        <v>0.80038387860498927</v>
      </c>
      <c r="U18" s="28"/>
    </row>
    <row r="19" spans="1:21" x14ac:dyDescent="0.25">
      <c r="A19" s="8" t="s">
        <v>35</v>
      </c>
      <c r="B19" s="1" t="s">
        <v>37</v>
      </c>
      <c r="J19" s="11" t="s">
        <v>57</v>
      </c>
      <c r="K19" s="11"/>
      <c r="L19" s="11"/>
      <c r="M19" s="19">
        <f>AVERAGE(K2:K18,M4:M18)</f>
        <v>1.0588666666666666</v>
      </c>
      <c r="N19" s="16">
        <v>16</v>
      </c>
      <c r="O19" s="23">
        <v>1.052</v>
      </c>
      <c r="P19" s="24">
        <f t="shared" si="5"/>
        <v>1.0588666666666666</v>
      </c>
      <c r="Q19" s="25">
        <f t="shared" si="6"/>
        <v>1.2311885253744514</v>
      </c>
      <c r="R19" s="25">
        <f t="shared" si="7"/>
        <v>0.8865448079588818</v>
      </c>
      <c r="S19" s="25">
        <f t="shared" si="8"/>
        <v>1.317349454728344</v>
      </c>
      <c r="T19" s="25">
        <f t="shared" si="9"/>
        <v>0.80038387860498927</v>
      </c>
      <c r="U19" s="28"/>
    </row>
    <row r="20" spans="1:21" x14ac:dyDescent="0.25">
      <c r="B20" s="1" t="s">
        <v>38</v>
      </c>
      <c r="J20" s="11" t="s">
        <v>50</v>
      </c>
      <c r="K20" s="11"/>
      <c r="L20" s="11"/>
      <c r="M20" s="19">
        <f>STDEV(M4:M18,K2:K18)</f>
        <v>8.6160929353892426E-2</v>
      </c>
      <c r="N20" s="26">
        <v>17</v>
      </c>
      <c r="O20" s="23">
        <v>1.0549999999999999</v>
      </c>
      <c r="P20" s="24">
        <f t="shared" si="5"/>
        <v>1.0588666666666666</v>
      </c>
      <c r="Q20" s="25">
        <f t="shared" si="6"/>
        <v>1.2311885253744514</v>
      </c>
      <c r="R20" s="25">
        <f t="shared" si="7"/>
        <v>0.8865448079588818</v>
      </c>
      <c r="S20" s="25">
        <f t="shared" si="8"/>
        <v>1.317349454728344</v>
      </c>
      <c r="T20" s="25">
        <f t="shared" si="9"/>
        <v>0.80038387860498927</v>
      </c>
      <c r="U20" s="28"/>
    </row>
    <row r="21" spans="1:21" x14ac:dyDescent="0.25">
      <c r="B21" s="1" t="s">
        <v>41</v>
      </c>
      <c r="J21" s="11" t="s">
        <v>51</v>
      </c>
      <c r="K21" s="11"/>
      <c r="L21" s="11"/>
      <c r="M21" s="20">
        <f>$M$19+2*$M$20</f>
        <v>1.2311885253744514</v>
      </c>
      <c r="N21" s="26">
        <v>18</v>
      </c>
      <c r="O21" s="23">
        <v>0.97399999999999998</v>
      </c>
      <c r="P21" s="24">
        <f t="shared" si="5"/>
        <v>1.0588666666666666</v>
      </c>
      <c r="Q21" s="25">
        <f t="shared" si="6"/>
        <v>1.2311885253744514</v>
      </c>
      <c r="R21" s="25">
        <f t="shared" si="7"/>
        <v>0.8865448079588818</v>
      </c>
      <c r="S21" s="25">
        <f t="shared" si="8"/>
        <v>1.317349454728344</v>
      </c>
      <c r="T21" s="25">
        <f t="shared" si="9"/>
        <v>0.80038387860498927</v>
      </c>
      <c r="U21" s="28"/>
    </row>
    <row r="22" spans="1:21" x14ac:dyDescent="0.25">
      <c r="B22" s="1" t="s">
        <v>39</v>
      </c>
      <c r="J22" s="11" t="s">
        <v>52</v>
      </c>
      <c r="K22" s="11"/>
      <c r="L22" s="11"/>
      <c r="M22" s="20">
        <f>$M$19-2*$M$20</f>
        <v>0.8865448079588818</v>
      </c>
      <c r="N22" s="26">
        <v>19</v>
      </c>
      <c r="O22" s="23">
        <v>1.08</v>
      </c>
      <c r="P22" s="24">
        <f t="shared" si="5"/>
        <v>1.0588666666666666</v>
      </c>
      <c r="Q22" s="25">
        <f t="shared" si="6"/>
        <v>1.2311885253744514</v>
      </c>
      <c r="R22" s="25">
        <f t="shared" si="7"/>
        <v>0.8865448079588818</v>
      </c>
      <c r="S22" s="25">
        <f t="shared" si="8"/>
        <v>1.317349454728344</v>
      </c>
      <c r="T22" s="25">
        <f t="shared" si="9"/>
        <v>0.80038387860498927</v>
      </c>
      <c r="U22" s="28"/>
    </row>
    <row r="23" spans="1:21" x14ac:dyDescent="0.25">
      <c r="B23" s="1" t="s">
        <v>40</v>
      </c>
      <c r="J23" s="11" t="s">
        <v>53</v>
      </c>
      <c r="K23" s="11"/>
      <c r="L23" s="11"/>
      <c r="M23" s="20">
        <f>$M$19+3*$M$20</f>
        <v>1.317349454728344</v>
      </c>
      <c r="N23" s="26">
        <v>20</v>
      </c>
      <c r="O23" s="23">
        <v>1.0149999999999999</v>
      </c>
      <c r="P23" s="24">
        <f t="shared" si="5"/>
        <v>1.0588666666666666</v>
      </c>
      <c r="Q23" s="25">
        <f t="shared" si="6"/>
        <v>1.2311885253744514</v>
      </c>
      <c r="R23" s="25">
        <f t="shared" si="7"/>
        <v>0.8865448079588818</v>
      </c>
      <c r="S23" s="25">
        <f t="shared" si="8"/>
        <v>1.317349454728344</v>
      </c>
      <c r="T23" s="25">
        <f t="shared" si="9"/>
        <v>0.80038387860498927</v>
      </c>
      <c r="U23" s="28"/>
    </row>
    <row r="24" spans="1:21" x14ac:dyDescent="0.25">
      <c r="A24" s="8" t="s">
        <v>35</v>
      </c>
      <c r="B24" s="1" t="s">
        <v>42</v>
      </c>
      <c r="J24" s="11" t="s">
        <v>54</v>
      </c>
      <c r="K24" s="11"/>
      <c r="L24" s="11"/>
      <c r="M24" s="20">
        <f>$M$19-3*$M$20</f>
        <v>0.80038387860498927</v>
      </c>
      <c r="N24" s="26">
        <v>21</v>
      </c>
      <c r="O24" s="23">
        <v>1.214</v>
      </c>
      <c r="P24" s="24">
        <f t="shared" si="5"/>
        <v>1.0588666666666666</v>
      </c>
      <c r="Q24" s="25">
        <f t="shared" si="6"/>
        <v>1.2311885253744514</v>
      </c>
      <c r="R24" s="25">
        <f t="shared" si="7"/>
        <v>0.8865448079588818</v>
      </c>
      <c r="S24" s="25">
        <f t="shared" si="8"/>
        <v>1.317349454728344</v>
      </c>
      <c r="T24" s="25">
        <f t="shared" si="9"/>
        <v>0.80038387860498927</v>
      </c>
      <c r="U24" s="28"/>
    </row>
    <row r="25" spans="1:21" x14ac:dyDescent="0.25">
      <c r="B25" s="9" t="s">
        <v>43</v>
      </c>
      <c r="N25" s="26">
        <v>22</v>
      </c>
      <c r="O25" s="23">
        <v>1.0469999999999999</v>
      </c>
      <c r="P25" s="24">
        <f t="shared" si="5"/>
        <v>1.0588666666666666</v>
      </c>
      <c r="Q25" s="25">
        <f t="shared" si="6"/>
        <v>1.2311885253744514</v>
      </c>
      <c r="R25" s="25">
        <f t="shared" si="7"/>
        <v>0.8865448079588818</v>
      </c>
      <c r="S25" s="25">
        <f t="shared" si="8"/>
        <v>1.317349454728344</v>
      </c>
      <c r="T25" s="25">
        <f t="shared" si="9"/>
        <v>0.80038387860498927</v>
      </c>
      <c r="U25" s="28"/>
    </row>
    <row r="26" spans="1:21" x14ac:dyDescent="0.25">
      <c r="B26" s="9" t="s">
        <v>44</v>
      </c>
      <c r="N26" s="26">
        <v>23</v>
      </c>
      <c r="O26" s="23">
        <v>1.0289999999999999</v>
      </c>
      <c r="P26" s="24">
        <f t="shared" si="5"/>
        <v>1.0588666666666666</v>
      </c>
      <c r="Q26" s="25">
        <f t="shared" si="6"/>
        <v>1.2311885253744514</v>
      </c>
      <c r="R26" s="25">
        <f t="shared" si="7"/>
        <v>0.8865448079588818</v>
      </c>
      <c r="S26" s="25">
        <f t="shared" si="8"/>
        <v>1.317349454728344</v>
      </c>
      <c r="T26" s="25">
        <f t="shared" si="9"/>
        <v>0.80038387860498927</v>
      </c>
      <c r="U26" s="28"/>
    </row>
    <row r="27" spans="1:21" x14ac:dyDescent="0.25">
      <c r="B27" s="9" t="s">
        <v>45</v>
      </c>
      <c r="N27" s="26">
        <v>24</v>
      </c>
      <c r="O27" s="23">
        <v>1.05</v>
      </c>
      <c r="P27" s="24">
        <f t="shared" si="5"/>
        <v>1.0588666666666666</v>
      </c>
      <c r="Q27" s="25">
        <f t="shared" si="6"/>
        <v>1.2311885253744514</v>
      </c>
      <c r="R27" s="25">
        <f t="shared" si="7"/>
        <v>0.8865448079588818</v>
      </c>
      <c r="S27" s="25">
        <f t="shared" si="8"/>
        <v>1.317349454728344</v>
      </c>
      <c r="T27" s="25">
        <f t="shared" si="9"/>
        <v>0.80038387860498927</v>
      </c>
      <c r="U27" s="28"/>
    </row>
    <row r="28" spans="1:21" x14ac:dyDescent="0.25">
      <c r="B28" s="9" t="s">
        <v>46</v>
      </c>
      <c r="N28" s="26">
        <v>25</v>
      </c>
      <c r="O28" s="23">
        <v>1.2410000000000001</v>
      </c>
      <c r="P28" s="24">
        <f t="shared" si="5"/>
        <v>1.0588666666666666</v>
      </c>
      <c r="Q28" s="25">
        <f t="shared" si="6"/>
        <v>1.2311885253744514</v>
      </c>
      <c r="R28" s="25">
        <f t="shared" si="7"/>
        <v>0.8865448079588818</v>
      </c>
      <c r="S28" s="25">
        <f t="shared" si="8"/>
        <v>1.317349454728344</v>
      </c>
      <c r="T28" s="25">
        <f t="shared" si="9"/>
        <v>0.80038387860498927</v>
      </c>
      <c r="U28" s="28"/>
    </row>
    <row r="29" spans="1:21" x14ac:dyDescent="0.25">
      <c r="B29" s="9" t="s">
        <v>47</v>
      </c>
      <c r="N29" s="26">
        <v>26</v>
      </c>
      <c r="O29" s="23">
        <v>1.2290000000000001</v>
      </c>
      <c r="P29" s="24">
        <f t="shared" si="5"/>
        <v>1.0588666666666666</v>
      </c>
      <c r="Q29" s="25">
        <f t="shared" si="6"/>
        <v>1.2311885253744514</v>
      </c>
      <c r="R29" s="25">
        <f t="shared" si="7"/>
        <v>0.8865448079588818</v>
      </c>
      <c r="S29" s="25">
        <f t="shared" si="8"/>
        <v>1.317349454728344</v>
      </c>
      <c r="T29" s="25">
        <f t="shared" si="9"/>
        <v>0.80038387860498927</v>
      </c>
      <c r="U29" s="28"/>
    </row>
    <row r="30" spans="1:21" x14ac:dyDescent="0.25">
      <c r="B30" s="9" t="s">
        <v>48</v>
      </c>
      <c r="N30" s="26">
        <v>27</v>
      </c>
      <c r="O30" s="23">
        <v>1.0429999999999999</v>
      </c>
      <c r="P30" s="24">
        <f t="shared" si="5"/>
        <v>1.0588666666666666</v>
      </c>
      <c r="Q30" s="25">
        <f t="shared" si="6"/>
        <v>1.2311885253744514</v>
      </c>
      <c r="R30" s="25">
        <f t="shared" si="7"/>
        <v>0.8865448079588818</v>
      </c>
      <c r="S30" s="25">
        <f t="shared" si="8"/>
        <v>1.317349454728344</v>
      </c>
      <c r="T30" s="25">
        <f t="shared" si="9"/>
        <v>0.80038387860498927</v>
      </c>
      <c r="U30" s="28"/>
    </row>
    <row r="31" spans="1:21" x14ac:dyDescent="0.25">
      <c r="B31" s="45" t="s">
        <v>49</v>
      </c>
      <c r="C31" s="45"/>
      <c r="D31" s="45"/>
      <c r="E31" s="45"/>
      <c r="F31" s="45"/>
      <c r="G31" s="45"/>
      <c r="H31" s="45"/>
      <c r="I31" s="45"/>
      <c r="N31" s="26">
        <v>28</v>
      </c>
      <c r="O31" s="23">
        <v>1.0509999999999999</v>
      </c>
      <c r="P31" s="24">
        <f t="shared" si="5"/>
        <v>1.0588666666666666</v>
      </c>
      <c r="Q31" s="25">
        <f t="shared" si="6"/>
        <v>1.2311885253744514</v>
      </c>
      <c r="R31" s="25">
        <f t="shared" si="7"/>
        <v>0.8865448079588818</v>
      </c>
      <c r="S31" s="25">
        <f t="shared" si="8"/>
        <v>1.317349454728344</v>
      </c>
      <c r="T31" s="25">
        <f t="shared" si="9"/>
        <v>0.80038387860498927</v>
      </c>
      <c r="U31" s="28"/>
    </row>
    <row r="32" spans="1:21" x14ac:dyDescent="0.25">
      <c r="B32" s="45"/>
      <c r="C32" s="45"/>
      <c r="D32" s="45"/>
      <c r="E32" s="45"/>
      <c r="F32" s="45"/>
      <c r="G32" s="45"/>
      <c r="H32" s="45"/>
      <c r="I32" s="45"/>
      <c r="N32" s="26">
        <v>29</v>
      </c>
      <c r="O32" s="23">
        <v>1.0640000000000001</v>
      </c>
      <c r="P32" s="24">
        <f t="shared" si="5"/>
        <v>1.0588666666666666</v>
      </c>
      <c r="Q32" s="25">
        <f t="shared" si="6"/>
        <v>1.2311885253744514</v>
      </c>
      <c r="R32" s="25">
        <f t="shared" si="7"/>
        <v>0.8865448079588818</v>
      </c>
      <c r="S32" s="25">
        <f t="shared" si="8"/>
        <v>1.317349454728344</v>
      </c>
      <c r="T32" s="25">
        <f t="shared" si="9"/>
        <v>0.80038387860498927</v>
      </c>
      <c r="U32" s="28"/>
    </row>
    <row r="33" spans="2:21" x14ac:dyDescent="0.25">
      <c r="B33" s="10"/>
      <c r="C33" s="10"/>
      <c r="D33" s="10"/>
      <c r="E33" s="10"/>
      <c r="F33" s="10"/>
      <c r="G33" s="10"/>
      <c r="H33" s="10"/>
      <c r="I33" s="10"/>
      <c r="N33" s="26">
        <v>30</v>
      </c>
      <c r="O33" s="23">
        <v>1.1859999999999999</v>
      </c>
      <c r="P33" s="24">
        <f t="shared" si="5"/>
        <v>1.0588666666666666</v>
      </c>
      <c r="Q33" s="25">
        <f t="shared" si="6"/>
        <v>1.2311885253744514</v>
      </c>
      <c r="R33" s="25">
        <f t="shared" si="7"/>
        <v>0.8865448079588818</v>
      </c>
      <c r="S33" s="25">
        <f t="shared" si="8"/>
        <v>1.317349454728344</v>
      </c>
      <c r="T33" s="25">
        <f t="shared" si="9"/>
        <v>0.80038387860498927</v>
      </c>
      <c r="U33" s="28"/>
    </row>
    <row r="35" spans="2:21" x14ac:dyDescent="0.25">
      <c r="D35" s="2"/>
      <c r="E35" s="2"/>
      <c r="F35" s="2"/>
      <c r="G35" s="2"/>
      <c r="H35" s="2"/>
      <c r="I35" s="2"/>
    </row>
    <row r="36" spans="2:21" x14ac:dyDescent="0.25">
      <c r="D36" s="3"/>
      <c r="E36" s="4"/>
      <c r="F36" s="4"/>
      <c r="G36" s="4"/>
      <c r="H36" s="4"/>
      <c r="I36" s="4"/>
    </row>
    <row r="37" spans="2:21" x14ac:dyDescent="0.25">
      <c r="D37" s="5"/>
      <c r="E37" s="5"/>
      <c r="F37" s="5"/>
      <c r="G37" s="5"/>
      <c r="H37" s="5"/>
      <c r="I37" s="5"/>
    </row>
    <row r="38" spans="2:21" x14ac:dyDescent="0.25">
      <c r="D38" s="5"/>
      <c r="E38" s="5"/>
      <c r="F38" s="5"/>
      <c r="G38" s="5"/>
      <c r="H38" s="5"/>
      <c r="I38" s="5"/>
    </row>
    <row r="39" spans="2:21" x14ac:dyDescent="0.25">
      <c r="D39" s="5"/>
      <c r="E39" s="5"/>
      <c r="F39" s="5"/>
      <c r="G39" s="5"/>
      <c r="H39" s="5"/>
      <c r="I39" s="5"/>
    </row>
    <row r="40" spans="2:21" x14ac:dyDescent="0.25">
      <c r="D40" s="5"/>
      <c r="E40" s="5"/>
      <c r="F40" s="5"/>
      <c r="G40" s="5"/>
      <c r="H40" s="5"/>
      <c r="I40" s="5"/>
    </row>
    <row r="41" spans="2:21" x14ac:dyDescent="0.25">
      <c r="B41" s="5"/>
      <c r="C41" s="5"/>
      <c r="D41" s="5"/>
      <c r="E41" s="5"/>
      <c r="F41" s="5"/>
      <c r="G41" s="5"/>
      <c r="H41" s="5"/>
      <c r="I41" s="5"/>
    </row>
    <row r="42" spans="2:21" x14ac:dyDescent="0.25">
      <c r="B42" s="5"/>
      <c r="C42" s="5"/>
      <c r="D42" s="5"/>
      <c r="E42" s="5"/>
      <c r="F42" s="5"/>
      <c r="G42" s="5"/>
      <c r="H42" s="5"/>
      <c r="I42" s="5"/>
    </row>
    <row r="43" spans="2:21" x14ac:dyDescent="0.25">
      <c r="B43" s="5"/>
      <c r="C43" s="5"/>
      <c r="D43" s="5"/>
      <c r="E43" s="5"/>
      <c r="F43" s="5"/>
      <c r="G43" s="5"/>
      <c r="H43" s="5"/>
      <c r="I43" s="5"/>
    </row>
    <row r="44" spans="2:21" x14ac:dyDescent="0.25">
      <c r="B44" s="5"/>
      <c r="C44" s="5"/>
      <c r="D44" s="5"/>
      <c r="E44" s="5"/>
      <c r="F44" s="5"/>
      <c r="G44" s="5"/>
      <c r="H44" s="5"/>
      <c r="I44" s="5"/>
    </row>
    <row r="45" spans="2:21" x14ac:dyDescent="0.25">
      <c r="B45" s="5"/>
      <c r="C45" s="5"/>
      <c r="D45" s="5"/>
      <c r="E45" s="5"/>
      <c r="F45" s="5"/>
      <c r="G45" s="5"/>
      <c r="H45" s="5"/>
      <c r="I45" s="5"/>
    </row>
    <row r="46" spans="2:21" x14ac:dyDescent="0.25">
      <c r="B46" s="5"/>
      <c r="C46" s="5"/>
      <c r="D46" s="5"/>
      <c r="E46" s="5"/>
      <c r="F46" s="5"/>
      <c r="G46" s="5"/>
      <c r="H46" s="5"/>
      <c r="I46" s="5"/>
    </row>
    <row r="47" spans="2:21" x14ac:dyDescent="0.25">
      <c r="B47" s="5"/>
      <c r="C47" s="5"/>
      <c r="D47" s="5"/>
      <c r="E47" s="5"/>
      <c r="F47" s="5"/>
      <c r="G47" s="5"/>
      <c r="H47" s="5"/>
      <c r="I47" s="5"/>
    </row>
    <row r="48" spans="2:21" x14ac:dyDescent="0.25">
      <c r="B48" s="5"/>
      <c r="C48" s="5"/>
      <c r="D48" s="5"/>
      <c r="E48" s="5"/>
      <c r="F48" s="5"/>
      <c r="G48" s="5"/>
      <c r="H48" s="5"/>
      <c r="I48" s="5"/>
    </row>
    <row r="49" spans="2:9" x14ac:dyDescent="0.25">
      <c r="B49" s="5"/>
      <c r="C49" s="5"/>
      <c r="D49" s="5"/>
      <c r="E49" s="5"/>
      <c r="F49" s="5"/>
      <c r="G49" s="5"/>
      <c r="H49" s="5"/>
      <c r="I49" s="5"/>
    </row>
    <row r="50" spans="2:9" x14ac:dyDescent="0.25">
      <c r="B50" s="5"/>
      <c r="C50" s="5"/>
      <c r="D50" s="5"/>
      <c r="E50" s="5"/>
      <c r="F50" s="5"/>
      <c r="G50" s="5"/>
      <c r="H50" s="5"/>
      <c r="I50" s="5"/>
    </row>
    <row r="51" spans="2:9" x14ac:dyDescent="0.25">
      <c r="B51" s="5"/>
      <c r="C51" s="5"/>
      <c r="D51" s="5"/>
      <c r="E51" s="5"/>
      <c r="F51" s="5"/>
      <c r="G51" s="5"/>
      <c r="H51" s="5"/>
      <c r="I51" s="5"/>
    </row>
    <row r="52" spans="2:9" x14ac:dyDescent="0.25">
      <c r="B52" s="5"/>
      <c r="C52" s="5"/>
      <c r="D52" s="5"/>
      <c r="E52" s="5"/>
      <c r="F52" s="5"/>
      <c r="G52" s="5"/>
      <c r="H52" s="5"/>
      <c r="I52" s="5"/>
    </row>
    <row r="53" spans="2:9" x14ac:dyDescent="0.25">
      <c r="B53" s="5"/>
      <c r="C53" s="5"/>
      <c r="D53" s="5"/>
      <c r="E53" s="5"/>
      <c r="F53" s="5"/>
      <c r="G53" s="5"/>
      <c r="H53" s="5"/>
      <c r="I53" s="5"/>
    </row>
    <row r="54" spans="2:9" x14ac:dyDescent="0.25">
      <c r="B54" s="5"/>
      <c r="C54" s="5"/>
      <c r="D54" s="5"/>
      <c r="E54" s="5"/>
      <c r="F54" s="5"/>
      <c r="G54" s="5"/>
      <c r="H54" s="5"/>
      <c r="I54" s="5"/>
    </row>
    <row r="55" spans="2:9" x14ac:dyDescent="0.25">
      <c r="B55" s="5"/>
      <c r="C55" s="5"/>
      <c r="D55" s="5"/>
      <c r="E55" s="5"/>
      <c r="F55" s="5"/>
      <c r="G55" s="5"/>
      <c r="H55" s="5"/>
      <c r="I55" s="5"/>
    </row>
    <row r="56" spans="2:9" x14ac:dyDescent="0.25">
      <c r="B56" s="5"/>
      <c r="C56" s="5"/>
      <c r="D56" s="5"/>
      <c r="E56" s="5"/>
      <c r="F56" s="5"/>
      <c r="G56" s="5"/>
      <c r="H56" s="5"/>
      <c r="I56" s="5"/>
    </row>
    <row r="57" spans="2:9" x14ac:dyDescent="0.25">
      <c r="B57" s="5"/>
      <c r="C57" s="5"/>
      <c r="D57" s="5"/>
      <c r="E57" s="5"/>
      <c r="F57" s="5"/>
      <c r="G57" s="5"/>
      <c r="H57" s="5"/>
      <c r="I57" s="5"/>
    </row>
    <row r="58" spans="2:9" x14ac:dyDescent="0.25">
      <c r="B58" s="5"/>
      <c r="C58" s="5"/>
      <c r="D58" s="6"/>
      <c r="E58" s="5"/>
      <c r="F58" s="5"/>
      <c r="G58" s="5"/>
      <c r="H58" s="5"/>
      <c r="I58" s="5"/>
    </row>
    <row r="59" spans="2:9" x14ac:dyDescent="0.25">
      <c r="B59" s="5"/>
      <c r="C59" s="5"/>
      <c r="D59" s="5"/>
      <c r="E59" s="5"/>
      <c r="F59" s="5"/>
      <c r="G59" s="5"/>
      <c r="H59" s="5"/>
      <c r="I59" s="5"/>
    </row>
    <row r="60" spans="2:9" x14ac:dyDescent="0.25">
      <c r="B60" s="5"/>
      <c r="C60" s="5"/>
      <c r="D60" s="5"/>
      <c r="E60" s="5"/>
      <c r="F60" s="5"/>
      <c r="G60" s="5"/>
      <c r="H60" s="5"/>
      <c r="I60" s="5"/>
    </row>
    <row r="61" spans="2:9" x14ac:dyDescent="0.25">
      <c r="B61" s="5"/>
      <c r="C61" s="5"/>
      <c r="D61" s="5"/>
      <c r="E61" s="5"/>
      <c r="F61" s="5"/>
      <c r="G61" s="5"/>
      <c r="H61" s="5"/>
      <c r="I61" s="5"/>
    </row>
    <row r="62" spans="2:9" x14ac:dyDescent="0.25">
      <c r="B62" s="5"/>
      <c r="C62" s="5"/>
      <c r="D62" s="5"/>
      <c r="E62" s="5"/>
      <c r="F62" s="5"/>
      <c r="G62" s="5"/>
      <c r="H62" s="5"/>
      <c r="I62" s="5"/>
    </row>
  </sheetData>
  <mergeCells count="9">
    <mergeCell ref="N1:T1"/>
    <mergeCell ref="B1:I2"/>
    <mergeCell ref="B31:I32"/>
    <mergeCell ref="X1:AI1"/>
    <mergeCell ref="W1:W2"/>
    <mergeCell ref="V1:V2"/>
    <mergeCell ref="V13:W13"/>
    <mergeCell ref="V14:W14"/>
    <mergeCell ref="V15:W1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30"/>
  <sheetViews>
    <sheetView tabSelected="1" topLeftCell="A10" workbookViewId="0">
      <selection activeCell="Q29" sqref="Q29"/>
    </sheetView>
  </sheetViews>
  <sheetFormatPr defaultRowHeight="15" x14ac:dyDescent="0.25"/>
  <cols>
    <col min="2" max="2" width="12.42578125" customWidth="1"/>
    <col min="15" max="15" width="9.140625" style="1"/>
  </cols>
  <sheetData>
    <row r="1" spans="1:15" x14ac:dyDescent="0.25">
      <c r="A1" t="s">
        <v>0</v>
      </c>
    </row>
    <row r="2" spans="1:15" x14ac:dyDescent="0.25">
      <c r="A2" t="s">
        <v>7</v>
      </c>
    </row>
    <row r="3" spans="1:15" x14ac:dyDescent="0.25">
      <c r="A3" s="46" t="s">
        <v>70</v>
      </c>
      <c r="B3" s="46" t="s">
        <v>69</v>
      </c>
      <c r="C3" s="43" t="s">
        <v>71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</row>
    <row r="4" spans="1:15" x14ac:dyDescent="0.25">
      <c r="A4" s="47"/>
      <c r="B4" s="47"/>
      <c r="C4" s="16" t="s">
        <v>63</v>
      </c>
      <c r="D4" s="16" t="s">
        <v>64</v>
      </c>
      <c r="E4" s="16" t="s">
        <v>65</v>
      </c>
      <c r="F4" s="16" t="s">
        <v>66</v>
      </c>
      <c r="G4" s="16" t="s">
        <v>67</v>
      </c>
      <c r="H4" s="16" t="s">
        <v>68</v>
      </c>
      <c r="I4" s="34" t="s">
        <v>72</v>
      </c>
      <c r="J4" s="16" t="s">
        <v>60</v>
      </c>
      <c r="K4" s="16" t="s">
        <v>61</v>
      </c>
      <c r="L4" s="16" t="s">
        <v>62</v>
      </c>
      <c r="M4" s="16" t="s">
        <v>11</v>
      </c>
      <c r="N4" s="16" t="s">
        <v>10</v>
      </c>
      <c r="O4" s="32" t="s">
        <v>72</v>
      </c>
    </row>
    <row r="5" spans="1:15" x14ac:dyDescent="0.25">
      <c r="A5" s="16">
        <v>1</v>
      </c>
      <c r="B5" s="31" t="d">
        <v>2015-01-26</v>
      </c>
      <c r="C5" s="16"/>
      <c r="D5" s="16"/>
      <c r="E5" s="16"/>
      <c r="F5" s="16"/>
      <c r="G5" s="16"/>
      <c r="H5" s="16"/>
      <c r="I5" s="16"/>
      <c r="J5" s="30">
        <v>21.728000000000002</v>
      </c>
      <c r="K5" s="30">
        <v>39.423999999999999</v>
      </c>
      <c r="L5" s="16">
        <v>61.216999999999999</v>
      </c>
      <c r="M5" s="16">
        <v>83.319000000000003</v>
      </c>
      <c r="N5" s="16">
        <v>106.496</v>
      </c>
      <c r="O5" s="33">
        <v>9.1411000000000006E-2</v>
      </c>
    </row>
    <row r="6" spans="1:15" x14ac:dyDescent="0.25">
      <c r="A6" s="16">
        <v>2</v>
      </c>
      <c r="B6" s="31" t="d">
        <v>2015-02-03</v>
      </c>
      <c r="C6" s="16"/>
      <c r="D6" s="16"/>
      <c r="E6" s="16"/>
      <c r="F6" s="16"/>
      <c r="G6" s="16"/>
      <c r="H6" s="16"/>
      <c r="I6" s="16"/>
      <c r="J6" s="16">
        <v>19.341999999999999</v>
      </c>
      <c r="K6" s="16">
        <v>38.317</v>
      </c>
      <c r="L6" s="16">
        <v>60.731000000000002</v>
      </c>
      <c r="M6" s="16">
        <v>83.914000000000001</v>
      </c>
      <c r="N6" s="16">
        <v>106.57599999999999</v>
      </c>
      <c r="O6" s="16">
        <v>0.15006900000000001</v>
      </c>
    </row>
    <row r="7" spans="1:15" x14ac:dyDescent="0.25">
      <c r="A7" s="16">
        <v>3</v>
      </c>
      <c r="B7" s="31" t="d">
        <v>2015-02-11</v>
      </c>
      <c r="C7" s="16"/>
      <c r="D7" s="16"/>
      <c r="E7" s="16"/>
      <c r="F7" s="16"/>
      <c r="G7" s="16"/>
      <c r="H7" s="16"/>
      <c r="I7" s="16"/>
      <c r="J7" s="30">
        <v>19.55</v>
      </c>
      <c r="K7" s="16">
        <v>39.793999999999997</v>
      </c>
      <c r="L7" s="16">
        <v>61.691000000000003</v>
      </c>
      <c r="M7" s="16">
        <v>84.784000000000006</v>
      </c>
      <c r="N7" s="30">
        <v>106.78</v>
      </c>
      <c r="O7" s="16">
        <v>0.110154</v>
      </c>
    </row>
    <row r="8" spans="1:15" x14ac:dyDescent="0.25">
      <c r="A8" s="16">
        <v>4</v>
      </c>
      <c r="B8" s="31" t="d">
        <v>2015-02-13</v>
      </c>
      <c r="C8" s="16"/>
      <c r="D8" s="16"/>
      <c r="E8" s="16"/>
      <c r="F8" s="16"/>
      <c r="G8" s="16"/>
      <c r="H8" s="16"/>
      <c r="I8" s="11"/>
      <c r="J8" s="16">
        <v>18.759</v>
      </c>
      <c r="K8" s="16">
        <v>38.753</v>
      </c>
      <c r="L8" s="16">
        <v>62.781999999999996</v>
      </c>
      <c r="M8" s="16">
        <v>85.879000000000005</v>
      </c>
      <c r="N8" s="30">
        <v>107.21</v>
      </c>
      <c r="O8" s="16">
        <v>0.13058800000000001</v>
      </c>
    </row>
    <row r="9" spans="1:15" x14ac:dyDescent="0.25">
      <c r="A9" s="16">
        <v>5</v>
      </c>
      <c r="B9" s="31" t="d">
        <v>2015-02-14</v>
      </c>
      <c r="C9" s="16"/>
      <c r="D9" s="16"/>
      <c r="E9" s="16"/>
      <c r="F9" s="16"/>
      <c r="G9" s="16"/>
      <c r="H9" s="16"/>
      <c r="I9" s="16"/>
      <c r="J9" s="30">
        <v>19.489999999999998</v>
      </c>
      <c r="K9" s="30">
        <v>39.82</v>
      </c>
      <c r="L9" s="16">
        <v>61.545999999999999</v>
      </c>
      <c r="M9" s="16">
        <v>84.772999999999996</v>
      </c>
      <c r="N9" s="16">
        <v>106.803</v>
      </c>
      <c r="O9" s="36">
        <v>0.11298999999999999</v>
      </c>
    </row>
    <row r="10" spans="1:15" x14ac:dyDescent="0.25">
      <c r="A10" s="16">
        <v>6</v>
      </c>
      <c r="B10" s="31" t="d">
        <v>2015-03-02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1:15" x14ac:dyDescent="0.25">
      <c r="A11" s="16">
        <v>7</v>
      </c>
      <c r="B11" s="31" t="d">
        <v>2015-03-04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1:15" x14ac:dyDescent="0.25">
      <c r="A12" s="16">
        <v>8</v>
      </c>
      <c r="B12" s="31" t="d">
        <v>2015-04-16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spans="1:15" x14ac:dyDescent="0.25">
      <c r="A13" s="16">
        <v>9</v>
      </c>
      <c r="B13" s="31" t="d">
        <v>2015-04-20</v>
      </c>
      <c r="C13" s="16"/>
      <c r="D13" s="16"/>
      <c r="E13" s="16"/>
      <c r="F13" s="16"/>
      <c r="G13" s="16"/>
      <c r="H13" s="30"/>
      <c r="I13" s="11"/>
      <c r="J13" s="16"/>
      <c r="K13" s="16"/>
      <c r="L13" s="16"/>
      <c r="M13" s="16"/>
      <c r="N13" s="16"/>
      <c r="O13" s="16"/>
    </row>
    <row r="14" spans="1:15" x14ac:dyDescent="0.25">
      <c r="A14" s="16">
        <v>10</v>
      </c>
      <c r="B14" s="31" t="d">
        <v>2015-04-21</v>
      </c>
      <c r="C14" s="16"/>
      <c r="D14" s="16"/>
      <c r="E14" s="16"/>
      <c r="F14" s="16"/>
      <c r="G14" s="16"/>
      <c r="H14" s="30"/>
      <c r="I14" s="11"/>
      <c r="J14" s="16"/>
      <c r="K14" s="16"/>
      <c r="L14" s="16"/>
      <c r="M14" s="16"/>
      <c r="N14" s="16"/>
      <c r="O14" s="16"/>
    </row>
    <row r="15" spans="1:15" x14ac:dyDescent="0.25">
      <c r="A15" s="16">
        <v>11</v>
      </c>
      <c r="B15" s="31" t="d">
        <v>2015-04-22</v>
      </c>
      <c r="C15" s="16"/>
      <c r="D15" s="16"/>
      <c r="E15" s="16"/>
      <c r="F15" s="16"/>
      <c r="G15" s="16"/>
      <c r="H15" s="30"/>
      <c r="I15" s="11"/>
      <c r="J15" s="16"/>
      <c r="K15" s="16"/>
      <c r="L15" s="16"/>
      <c r="M15" s="16"/>
      <c r="N15" s="16"/>
      <c r="O15" s="16"/>
    </row>
    <row r="16" spans="1:15" x14ac:dyDescent="0.25">
      <c r="A16" s="16">
        <v>12</v>
      </c>
      <c r="B16" s="31" t="d">
        <v>2015-04-23</v>
      </c>
      <c r="C16" s="16"/>
      <c r="D16" s="16"/>
      <c r="E16" s="16"/>
      <c r="F16" s="16"/>
      <c r="G16" s="16"/>
      <c r="H16" s="30"/>
      <c r="I16" s="11"/>
      <c r="J16" s="16"/>
      <c r="K16" s="16"/>
      <c r="L16" s="16"/>
      <c r="M16" s="16"/>
      <c r="N16" s="16"/>
      <c r="O16" s="16"/>
    </row>
    <row r="17" spans="1:15" x14ac:dyDescent="0.25">
      <c r="A17" s="16">
        <v>13</v>
      </c>
      <c r="B17" s="31" t="d">
        <v>2015-05-11</v>
      </c>
      <c r="C17" s="16"/>
      <c r="D17" s="16"/>
      <c r="E17" s="16"/>
      <c r="F17" s="16"/>
      <c r="G17" s="16"/>
      <c r="H17" s="30"/>
      <c r="I17" s="11"/>
      <c r="J17" s="16"/>
      <c r="K17" s="16"/>
      <c r="L17" s="16"/>
      <c r="M17" s="16"/>
      <c r="N17" s="16"/>
      <c r="O17" s="16"/>
    </row>
    <row r="18" spans="1:15" x14ac:dyDescent="0.25">
      <c r="A18" s="16">
        <v>14</v>
      </c>
      <c r="B18" s="31" t="d">
        <v>2015-05-25</v>
      </c>
      <c r="C18" s="16"/>
      <c r="D18" s="16"/>
      <c r="E18" s="16"/>
      <c r="F18" s="16"/>
      <c r="G18" s="16"/>
      <c r="H18" s="30"/>
      <c r="I18" s="11"/>
      <c r="J18" s="16"/>
      <c r="K18" s="16"/>
      <c r="L18" s="16"/>
      <c r="M18" s="16"/>
      <c r="N18" s="16"/>
      <c r="O18" s="16"/>
    </row>
    <row r="19" spans="1:15" x14ac:dyDescent="0.25">
      <c r="A19" s="16">
        <v>15</v>
      </c>
      <c r="B19" s="31" t="d">
        <v>2015-05-26</v>
      </c>
      <c r="C19" s="16"/>
      <c r="D19" s="16"/>
      <c r="E19" s="16"/>
      <c r="F19" s="16"/>
      <c r="G19" s="16"/>
      <c r="H19" s="30"/>
      <c r="I19" s="11"/>
      <c r="J19" s="16"/>
      <c r="K19" s="16"/>
      <c r="L19" s="16"/>
      <c r="M19" s="16"/>
      <c r="N19" s="16"/>
      <c r="O19" s="16"/>
    </row>
    <row r="20" spans="1:15" x14ac:dyDescent="0.25">
      <c r="A20" s="16">
        <v>16</v>
      </c>
      <c r="B20" s="31" t="d">
        <v>2016-03-01</v>
      </c>
      <c r="C20" s="16"/>
      <c r="D20" s="16"/>
      <c r="E20" s="16"/>
      <c r="F20" s="16"/>
      <c r="G20" s="16"/>
      <c r="H20" s="30"/>
      <c r="I20" s="11"/>
      <c r="J20" s="16"/>
      <c r="K20" s="16"/>
      <c r="L20" s="16"/>
      <c r="M20" s="16"/>
      <c r="N20" s="16"/>
      <c r="O20" s="16"/>
    </row>
    <row r="21" spans="1:15" x14ac:dyDescent="0.25">
      <c r="A21" s="33">
        <v>17</v>
      </c>
      <c r="B21" s="31" t="d">
        <v>2016-06-29</v>
      </c>
      <c r="C21" s="16"/>
      <c r="D21" s="16"/>
      <c r="E21" s="16"/>
      <c r="F21" s="16"/>
      <c r="G21" s="16"/>
      <c r="H21" s="30"/>
      <c r="I21" s="11"/>
      <c r="J21" s="16"/>
      <c r="K21" s="16"/>
      <c r="L21" s="16"/>
      <c r="M21" s="16"/>
      <c r="N21" s="16"/>
      <c r="O21" s="16"/>
    </row>
    <row r="22" spans="1:15" x14ac:dyDescent="0.25">
      <c r="A22" s="16">
        <v>18</v>
      </c>
      <c r="B22" s="31" t="d">
        <v>2016-09-26</v>
      </c>
      <c r="C22" s="16"/>
      <c r="D22" s="16"/>
      <c r="E22" s="16"/>
      <c r="F22" s="16"/>
      <c r="G22" s="16"/>
      <c r="H22" s="30"/>
      <c r="I22" s="11"/>
      <c r="J22" s="16"/>
      <c r="K22" s="16"/>
      <c r="L22" s="16"/>
      <c r="M22" s="16"/>
      <c r="N22" s="16"/>
      <c r="O22" s="16"/>
    </row>
    <row r="23" spans="1:15" x14ac:dyDescent="0.25">
      <c r="A23" s="16">
        <v>19</v>
      </c>
      <c r="B23" s="31" t="d">
        <v>2016-10-05</v>
      </c>
      <c r="C23" s="16"/>
      <c r="D23" s="16"/>
      <c r="E23" s="16"/>
      <c r="F23" s="16"/>
      <c r="G23" s="16"/>
      <c r="H23" s="30"/>
      <c r="I23" s="11"/>
      <c r="J23" s="16"/>
      <c r="K23" s="16"/>
      <c r="L23" s="16"/>
      <c r="M23" s="16"/>
      <c r="N23" s="16"/>
      <c r="O23" s="16"/>
    </row>
    <row r="24" spans="1:15" x14ac:dyDescent="0.25">
      <c r="A24" s="16">
        <v>20</v>
      </c>
      <c r="B24" s="31" t="d">
        <v>2016-12-16</v>
      </c>
      <c r="C24" s="16"/>
      <c r="D24" s="16"/>
      <c r="E24" s="16"/>
      <c r="F24" s="16"/>
      <c r="G24" s="16"/>
      <c r="H24" s="30"/>
      <c r="I24" s="11"/>
      <c r="J24" s="42">
        <v>18.617999999999999</v>
      </c>
      <c r="K24" s="42">
        <v>38.701999999999998</v>
      </c>
      <c r="L24" s="42">
        <v>60.326000000000001</v>
      </c>
      <c r="M24" s="42">
        <v>83.177999999999997</v>
      </c>
      <c r="N24" s="42">
        <v>106.523</v>
      </c>
      <c r="O24" s="42">
        <v>0.158552</v>
      </c>
    </row>
    <row r="25" spans="1:15" x14ac:dyDescent="0.25">
      <c r="A25" s="16"/>
      <c r="B25" s="31"/>
      <c r="C25" s="16"/>
      <c r="D25" s="16"/>
      <c r="E25" s="16"/>
      <c r="F25" s="16"/>
      <c r="G25" s="16"/>
      <c r="H25" s="30"/>
      <c r="I25" s="11"/>
      <c r="J25" s="16"/>
      <c r="K25" s="16"/>
      <c r="L25" s="16"/>
      <c r="M25" s="16"/>
      <c r="N25" s="16"/>
      <c r="O25" s="16"/>
    </row>
    <row r="26" spans="1:15" x14ac:dyDescent="0.25">
      <c r="A26" s="11"/>
      <c r="B26" s="31"/>
      <c r="C26" s="16"/>
      <c r="D26" s="16"/>
      <c r="E26" s="16"/>
      <c r="F26" s="16"/>
      <c r="G26" s="16"/>
      <c r="H26" s="30"/>
      <c r="I26" s="11"/>
      <c r="J26" s="16"/>
      <c r="K26" s="16"/>
      <c r="L26" s="16"/>
      <c r="M26" s="16"/>
      <c r="N26" s="16"/>
      <c r="O26" s="16"/>
    </row>
    <row r="27" spans="1:15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/>
    </row>
    <row r="28" spans="1:15" x14ac:dyDescent="0.25">
      <c r="A28" s="48" t="s">
        <v>73</v>
      </c>
      <c r="B28" s="49"/>
      <c r="C28" s="37" t="e">
        <f>AVERAGE(C5:C27)</f>
        <v>#DIV/0!</v>
      </c>
      <c r="D28" s="37" t="e">
        <f t="shared" ref="D28:O28" si="0">AVERAGE(D5:D27)</f>
        <v>#DIV/0!</v>
      </c>
      <c r="E28" s="37" t="e">
        <f t="shared" si="0"/>
        <v>#DIV/0!</v>
      </c>
      <c r="F28" s="37" t="e">
        <f t="shared" si="0"/>
        <v>#DIV/0!</v>
      </c>
      <c r="G28" s="37" t="e">
        <f t="shared" si="0"/>
        <v>#DIV/0!</v>
      </c>
      <c r="H28" s="37" t="e">
        <f t="shared" si="0"/>
        <v>#DIV/0!</v>
      </c>
      <c r="I28" s="37"/>
      <c r="J28" s="37">
        <f t="shared" si="0"/>
        <v>19.581166666666665</v>
      </c>
      <c r="K28" s="37">
        <f t="shared" si="0"/>
        <v>39.134999999999998</v>
      </c>
      <c r="L28" s="37">
        <f t="shared" si="0"/>
        <v>61.38216666666667</v>
      </c>
      <c r="M28" s="37">
        <f t="shared" si="0"/>
        <v>84.307833333333335</v>
      </c>
      <c r="N28" s="37">
        <f t="shared" si="0"/>
        <v>106.73133333333334</v>
      </c>
      <c r="O28" s="37"/>
    </row>
    <row r="29" spans="1:15" x14ac:dyDescent="0.25">
      <c r="A29" s="48" t="s">
        <v>74</v>
      </c>
      <c r="B29" s="49"/>
      <c r="C29" s="11" t="e">
        <f>STDEVA(C5:C27)</f>
        <v>#DIV/0!</v>
      </c>
      <c r="D29" s="11" t="e">
        <f t="shared" ref="D29:O29" si="1">STDEVA(D5:D27)</f>
        <v>#DIV/0!</v>
      </c>
      <c r="E29" s="11" t="e">
        <f t="shared" si="1"/>
        <v>#DIV/0!</v>
      </c>
      <c r="F29" s="11" t="e">
        <f t="shared" si="1"/>
        <v>#DIV/0!</v>
      </c>
      <c r="G29" s="11" t="e">
        <f t="shared" si="1"/>
        <v>#DIV/0!</v>
      </c>
      <c r="H29" s="11" t="e">
        <f t="shared" si="1"/>
        <v>#DIV/0!</v>
      </c>
      <c r="I29" s="11"/>
      <c r="J29" s="11">
        <f t="shared" si="1"/>
        <v>1.120627041734523</v>
      </c>
      <c r="K29" s="11">
        <f t="shared" si="1"/>
        <v>0.63080329739150809</v>
      </c>
      <c r="L29" s="11">
        <f t="shared" si="1"/>
        <v>0.85422934079008572</v>
      </c>
      <c r="M29" s="11">
        <f t="shared" si="1"/>
        <v>1.0316102784805268</v>
      </c>
      <c r="N29" s="11">
        <f t="shared" si="1"/>
        <v>0.26815642201272488</v>
      </c>
      <c r="O29" s="11"/>
    </row>
    <row r="30" spans="1:15" x14ac:dyDescent="0.25">
      <c r="A30" s="43" t="s">
        <v>75</v>
      </c>
      <c r="B30" s="43"/>
      <c r="C30" s="16" t="e">
        <f>(C29/C28)*100</f>
        <v>#DIV/0!</v>
      </c>
      <c r="D30" s="16" t="e">
        <f t="shared" ref="D30:O30" si="2">(D29/D28)*100</f>
        <v>#DIV/0!</v>
      </c>
      <c r="E30" s="16" t="e">
        <f t="shared" si="2"/>
        <v>#DIV/0!</v>
      </c>
      <c r="F30" s="16" t="e">
        <f t="shared" si="2"/>
        <v>#DIV/0!</v>
      </c>
      <c r="G30" s="16" t="e">
        <f t="shared" si="2"/>
        <v>#DIV/0!</v>
      </c>
      <c r="H30" s="16" t="e">
        <f t="shared" si="2"/>
        <v>#DIV/0!</v>
      </c>
      <c r="I30" s="16"/>
      <c r="J30" s="16">
        <f t="shared" si="2"/>
        <v>5.7229840326224508</v>
      </c>
      <c r="K30" s="16">
        <f t="shared" si="2"/>
        <v>1.61186482021594</v>
      </c>
      <c r="L30" s="16">
        <f t="shared" si="2"/>
        <v>1.3916571981385784</v>
      </c>
      <c r="M30" s="16">
        <f t="shared" si="2"/>
        <v>1.2236232834993901</v>
      </c>
      <c r="N30" s="16">
        <f t="shared" si="2"/>
        <v>0.25124432876261721</v>
      </c>
      <c r="O30" s="16"/>
    </row>
  </sheetData>
  <mergeCells count="6">
    <mergeCell ref="A30:B30"/>
    <mergeCell ref="A3:A4"/>
    <mergeCell ref="B3:B4"/>
    <mergeCell ref="C3:N3"/>
    <mergeCell ref="A28:B28"/>
    <mergeCell ref="A29:B29"/>
  </mergeCells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9"/>
  <sheetViews>
    <sheetView topLeftCell="A16" workbookViewId="0">
      <selection activeCell="A30" sqref="A30"/>
    </sheetView>
  </sheetViews>
  <sheetFormatPr defaultRowHeight="15" x14ac:dyDescent="0.25"/>
  <cols>
    <col min="2" max="2" width="11.140625" customWidth="1"/>
    <col min="10" max="15" width="9.140625" style="1"/>
  </cols>
  <sheetData>
    <row r="1" spans="1:15" x14ac:dyDescent="0.25">
      <c r="A1" t="s">
        <v>1</v>
      </c>
    </row>
    <row r="2" spans="1:15" x14ac:dyDescent="0.25">
      <c r="A2" s="46" t="s">
        <v>70</v>
      </c>
      <c r="B2" s="46" t="s">
        <v>69</v>
      </c>
      <c r="C2" s="43" t="s">
        <v>71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1:15" x14ac:dyDescent="0.25">
      <c r="A3" s="47"/>
      <c r="B3" s="47"/>
      <c r="C3" s="16" t="s">
        <v>63</v>
      </c>
      <c r="D3" s="16" t="s">
        <v>64</v>
      </c>
      <c r="E3" s="16" t="s">
        <v>65</v>
      </c>
      <c r="F3" s="16" t="s">
        <v>66</v>
      </c>
      <c r="G3" s="16" t="s">
        <v>67</v>
      </c>
      <c r="H3" s="16" t="s">
        <v>68</v>
      </c>
      <c r="I3" s="34" t="s">
        <v>72</v>
      </c>
      <c r="J3" s="16" t="s">
        <v>60</v>
      </c>
      <c r="K3" s="16" t="s">
        <v>61</v>
      </c>
      <c r="L3" s="16" t="s">
        <v>62</v>
      </c>
      <c r="M3" s="16" t="s">
        <v>11</v>
      </c>
      <c r="N3" s="16" t="s">
        <v>10</v>
      </c>
      <c r="O3" s="32" t="s">
        <v>72</v>
      </c>
    </row>
    <row r="4" spans="1:15" x14ac:dyDescent="0.25">
      <c r="A4" s="16">
        <v>1</v>
      </c>
      <c r="B4" s="31" t="d">
        <v>2015-01-12</v>
      </c>
      <c r="C4" s="16"/>
      <c r="D4" s="16"/>
      <c r="E4" s="16"/>
      <c r="F4" s="16"/>
      <c r="G4" s="16"/>
      <c r="H4" s="16"/>
      <c r="I4" s="16"/>
      <c r="J4" s="30">
        <v>11.081</v>
      </c>
      <c r="K4" s="30">
        <v>22.846</v>
      </c>
      <c r="L4" s="16">
        <v>35.243000000000002</v>
      </c>
      <c r="M4" s="16">
        <v>47.390999999999998</v>
      </c>
      <c r="N4" s="30">
        <v>59.83</v>
      </c>
      <c r="O4" s="35">
        <v>4.0980000000000003E-2</v>
      </c>
    </row>
    <row r="5" spans="1:15" x14ac:dyDescent="0.25">
      <c r="A5" s="16">
        <v>2</v>
      </c>
      <c r="B5" s="31" t="d">
        <v>2105-01-26</v>
      </c>
      <c r="C5" s="16"/>
      <c r="D5" s="16"/>
      <c r="E5" s="16"/>
      <c r="F5" s="16"/>
      <c r="G5" s="16"/>
      <c r="H5" s="16"/>
      <c r="I5" s="16"/>
      <c r="J5" s="16">
        <v>11.064</v>
      </c>
      <c r="K5" s="16">
        <v>22.826000000000001</v>
      </c>
      <c r="L5" s="16">
        <v>35.225999999999999</v>
      </c>
      <c r="M5" s="16">
        <v>47.484000000000002</v>
      </c>
      <c r="N5" s="16">
        <v>59.860999999999997</v>
      </c>
      <c r="O5" s="16">
        <v>4.2238999999999999E-2</v>
      </c>
    </row>
    <row r="6" spans="1:15" x14ac:dyDescent="0.25">
      <c r="A6" s="16">
        <v>3</v>
      </c>
      <c r="B6" s="31" t="d">
        <v>2015-02-03</v>
      </c>
      <c r="C6" s="16"/>
      <c r="D6" s="16"/>
      <c r="E6" s="16"/>
      <c r="F6" s="16"/>
      <c r="G6" s="16"/>
      <c r="H6" s="16"/>
      <c r="I6" s="16"/>
      <c r="J6" s="16">
        <v>11.138</v>
      </c>
      <c r="K6" s="16">
        <v>22.77</v>
      </c>
      <c r="L6" s="16">
        <v>34.816000000000003</v>
      </c>
      <c r="M6" s="16">
        <v>47.421999999999997</v>
      </c>
      <c r="N6" s="16">
        <v>59.64</v>
      </c>
      <c r="O6" s="36">
        <v>4.3779999999999999E-2</v>
      </c>
    </row>
    <row r="7" spans="1:15" x14ac:dyDescent="0.25">
      <c r="A7" s="16">
        <v>4</v>
      </c>
      <c r="B7" s="31" t="d">
        <v>2015-02-11</v>
      </c>
      <c r="C7" s="16"/>
      <c r="D7" s="16"/>
      <c r="E7" s="16"/>
      <c r="F7" s="16"/>
      <c r="G7" s="16"/>
      <c r="H7" s="16"/>
      <c r="I7" s="11"/>
      <c r="J7" s="16">
        <v>11.186999999999999</v>
      </c>
      <c r="K7" s="16">
        <v>22.962</v>
      </c>
      <c r="L7" s="16">
        <v>34.963000000000001</v>
      </c>
      <c r="M7" s="16">
        <v>47.878999999999998</v>
      </c>
      <c r="N7" s="16">
        <v>60.134</v>
      </c>
      <c r="O7" s="16">
        <v>4.6535E-2</v>
      </c>
    </row>
    <row r="8" spans="1:15" x14ac:dyDescent="0.25">
      <c r="A8" s="16">
        <v>5</v>
      </c>
      <c r="B8" s="31" t="d">
        <v>2015-02-13</v>
      </c>
      <c r="C8" s="16"/>
      <c r="D8" s="16"/>
      <c r="E8" s="16"/>
      <c r="F8" s="16"/>
      <c r="G8" s="16"/>
      <c r="H8" s="16"/>
      <c r="I8" s="16"/>
      <c r="J8" s="16">
        <v>11.462999999999999</v>
      </c>
      <c r="K8" s="16">
        <v>23.443000000000001</v>
      </c>
      <c r="L8" s="16">
        <v>35.898000000000003</v>
      </c>
      <c r="M8" s="16">
        <v>49.155000000000001</v>
      </c>
      <c r="N8" s="16">
        <v>61.759</v>
      </c>
      <c r="O8" s="16">
        <v>5.0818000000000002E-2</v>
      </c>
    </row>
    <row r="9" spans="1:15" x14ac:dyDescent="0.25">
      <c r="A9" s="16">
        <v>6</v>
      </c>
      <c r="B9" s="31" t="d">
        <v>2015-02-14</v>
      </c>
      <c r="C9" s="16"/>
      <c r="D9" s="16"/>
      <c r="E9" s="16"/>
      <c r="F9" s="16"/>
      <c r="G9" s="16"/>
      <c r="H9" s="16"/>
      <c r="I9" s="16"/>
      <c r="J9" s="16">
        <v>11.167999999999999</v>
      </c>
      <c r="K9" s="16">
        <v>22.942</v>
      </c>
      <c r="L9" s="16">
        <v>34.979999999999997</v>
      </c>
      <c r="M9" s="16">
        <v>47.893999999999998</v>
      </c>
      <c r="N9" s="16">
        <v>60.146999999999998</v>
      </c>
      <c r="O9" s="16">
        <v>4.7147000000000001E-2</v>
      </c>
    </row>
    <row r="10" spans="1:15" x14ac:dyDescent="0.25">
      <c r="A10" s="16">
        <v>7</v>
      </c>
      <c r="B10" s="31" t="d">
        <v>2015-03-02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1:15" x14ac:dyDescent="0.25">
      <c r="A11" s="16">
        <v>8</v>
      </c>
      <c r="B11" s="31" t="d">
        <v>2015-03-04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1:15" x14ac:dyDescent="0.25">
      <c r="A12" s="16">
        <v>9</v>
      </c>
      <c r="B12" s="31" t="d">
        <v>2015-04-16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spans="1:15" x14ac:dyDescent="0.25">
      <c r="A13" s="16">
        <v>10</v>
      </c>
      <c r="B13" s="31" t="d">
        <v>2015-04-20</v>
      </c>
      <c r="C13" s="16"/>
      <c r="D13" s="16"/>
      <c r="E13" s="16"/>
      <c r="F13" s="16"/>
      <c r="G13" s="16"/>
      <c r="H13" s="30"/>
      <c r="I13" s="11"/>
      <c r="J13" s="16"/>
      <c r="K13" s="16"/>
      <c r="L13" s="16"/>
      <c r="M13" s="16"/>
      <c r="N13" s="16"/>
      <c r="O13" s="16"/>
    </row>
    <row r="14" spans="1:15" x14ac:dyDescent="0.25">
      <c r="A14" s="16">
        <v>11</v>
      </c>
      <c r="B14" s="31" t="d">
        <v>2015-04-21</v>
      </c>
      <c r="C14" s="16"/>
      <c r="D14" s="16"/>
      <c r="E14" s="16"/>
      <c r="F14" s="16"/>
      <c r="G14" s="16"/>
      <c r="H14" s="30"/>
      <c r="I14" s="11"/>
      <c r="J14" s="16"/>
      <c r="K14" s="16"/>
      <c r="L14" s="16"/>
      <c r="M14" s="16"/>
      <c r="N14" s="16"/>
      <c r="O14" s="16"/>
    </row>
    <row r="15" spans="1:15" x14ac:dyDescent="0.25">
      <c r="A15" s="16">
        <v>12</v>
      </c>
      <c r="B15" s="31" t="d">
        <v>2015-04-22</v>
      </c>
      <c r="C15" s="16"/>
      <c r="D15" s="16"/>
      <c r="E15" s="16"/>
      <c r="F15" s="16"/>
      <c r="G15" s="16"/>
      <c r="H15" s="30"/>
      <c r="I15" s="11"/>
      <c r="J15" s="16"/>
      <c r="K15" s="16"/>
      <c r="L15" s="16"/>
      <c r="M15" s="16"/>
      <c r="N15" s="16"/>
      <c r="O15" s="16"/>
    </row>
    <row r="16" spans="1:15" x14ac:dyDescent="0.25">
      <c r="A16" s="16">
        <v>13</v>
      </c>
      <c r="B16" s="31" t="d">
        <v>2015-04-23</v>
      </c>
      <c r="C16" s="16"/>
      <c r="D16" s="16"/>
      <c r="E16" s="16"/>
      <c r="F16" s="16"/>
      <c r="G16" s="16"/>
      <c r="H16" s="30"/>
      <c r="I16" s="11"/>
      <c r="J16" s="16"/>
      <c r="K16" s="16"/>
      <c r="L16" s="16"/>
      <c r="M16" s="16"/>
      <c r="N16" s="16"/>
      <c r="O16" s="16"/>
    </row>
    <row r="17" spans="1:15" x14ac:dyDescent="0.25">
      <c r="A17" s="16">
        <v>14</v>
      </c>
      <c r="B17" s="31" t="d">
        <v>2015-05-11</v>
      </c>
      <c r="C17" s="16"/>
      <c r="D17" s="16"/>
      <c r="E17" s="16"/>
      <c r="F17" s="16"/>
      <c r="G17" s="16"/>
      <c r="H17" s="30"/>
      <c r="I17" s="11"/>
      <c r="J17" s="16"/>
      <c r="K17" s="16"/>
      <c r="L17" s="16"/>
      <c r="M17" s="16"/>
      <c r="N17" s="16"/>
      <c r="O17" s="16"/>
    </row>
    <row r="18" spans="1:15" x14ac:dyDescent="0.25">
      <c r="A18" s="16">
        <v>15</v>
      </c>
      <c r="B18" s="31" t="d">
        <v>2015-05-25</v>
      </c>
      <c r="C18" s="16"/>
      <c r="D18" s="16"/>
      <c r="E18" s="16"/>
      <c r="F18" s="16"/>
      <c r="G18" s="16"/>
      <c r="H18" s="30"/>
      <c r="I18" s="11"/>
      <c r="J18" s="16"/>
      <c r="K18" s="16"/>
      <c r="L18" s="16"/>
      <c r="M18" s="16"/>
      <c r="N18" s="16"/>
      <c r="O18" s="16"/>
    </row>
    <row r="19" spans="1:15" x14ac:dyDescent="0.25">
      <c r="A19" s="16">
        <v>16</v>
      </c>
      <c r="B19" s="31" t="d">
        <v>2015-05-26</v>
      </c>
      <c r="C19" s="16"/>
      <c r="D19" s="16"/>
      <c r="E19" s="16"/>
      <c r="F19" s="16"/>
      <c r="G19" s="16"/>
      <c r="H19" s="30"/>
      <c r="I19" s="11"/>
      <c r="J19" s="16"/>
      <c r="K19" s="16"/>
      <c r="L19" s="16"/>
      <c r="M19" s="16"/>
      <c r="N19" s="16"/>
      <c r="O19" s="16"/>
    </row>
    <row r="20" spans="1:15" x14ac:dyDescent="0.25">
      <c r="A20" s="16">
        <v>17</v>
      </c>
      <c r="B20" s="31" t="d">
        <v>2016-03-01</v>
      </c>
      <c r="C20" s="16"/>
      <c r="D20" s="16"/>
      <c r="E20" s="16"/>
      <c r="F20" s="16"/>
      <c r="G20" s="16"/>
      <c r="H20" s="30"/>
      <c r="I20" s="11"/>
      <c r="J20" s="16"/>
      <c r="K20" s="16"/>
      <c r="L20" s="16"/>
      <c r="M20" s="16"/>
      <c r="N20" s="16"/>
      <c r="O20" s="16"/>
    </row>
    <row r="21" spans="1:15" x14ac:dyDescent="0.25">
      <c r="A21" s="16">
        <v>18</v>
      </c>
      <c r="B21" s="31" t="d">
        <v>2016-06-29</v>
      </c>
      <c r="C21" s="16"/>
      <c r="D21" s="16"/>
      <c r="E21" s="16"/>
      <c r="F21" s="16"/>
      <c r="G21" s="16"/>
      <c r="H21" s="30"/>
      <c r="I21" s="11"/>
      <c r="J21" s="16"/>
      <c r="K21" s="16"/>
      <c r="L21" s="16"/>
      <c r="M21" s="16"/>
      <c r="N21" s="16"/>
      <c r="O21" s="16"/>
    </row>
    <row r="22" spans="1:15" x14ac:dyDescent="0.25">
      <c r="A22" s="16">
        <v>19</v>
      </c>
      <c r="B22" s="31" t="d">
        <v>2016-09-26</v>
      </c>
      <c r="C22" s="16"/>
      <c r="D22" s="16"/>
      <c r="E22" s="16"/>
      <c r="F22" s="16"/>
      <c r="G22" s="16"/>
      <c r="H22" s="30"/>
      <c r="I22" s="11"/>
      <c r="J22" s="16"/>
      <c r="K22" s="16"/>
      <c r="L22" s="16"/>
      <c r="M22" s="16"/>
      <c r="N22" s="16"/>
      <c r="O22" s="16"/>
    </row>
    <row r="23" spans="1:15" x14ac:dyDescent="0.25">
      <c r="A23" s="16">
        <v>20</v>
      </c>
      <c r="B23" s="31" t="d">
        <v>2016-10-05</v>
      </c>
      <c r="C23" s="16"/>
      <c r="D23" s="16"/>
      <c r="E23" s="16"/>
      <c r="F23" s="16"/>
      <c r="G23" s="16"/>
      <c r="H23" s="30"/>
      <c r="I23" s="11"/>
      <c r="J23" s="16"/>
      <c r="K23" s="16"/>
      <c r="L23" s="16"/>
      <c r="M23" s="16"/>
      <c r="N23" s="16"/>
      <c r="O23" s="16"/>
    </row>
    <row r="24" spans="1:15" x14ac:dyDescent="0.25">
      <c r="A24" s="16"/>
      <c r="B24" s="31"/>
      <c r="C24" s="16"/>
      <c r="D24" s="16"/>
      <c r="E24" s="16"/>
      <c r="F24" s="16"/>
      <c r="G24" s="16"/>
      <c r="H24" s="30"/>
      <c r="I24" s="11"/>
      <c r="J24" s="16"/>
      <c r="K24" s="16"/>
      <c r="L24" s="16"/>
      <c r="M24" s="16"/>
      <c r="N24" s="16"/>
      <c r="O24" s="16"/>
    </row>
    <row r="25" spans="1:15" x14ac:dyDescent="0.25">
      <c r="A25" s="16"/>
      <c r="B25" s="31"/>
      <c r="C25" s="16"/>
      <c r="D25" s="16"/>
      <c r="E25" s="16"/>
      <c r="F25" s="16"/>
      <c r="G25" s="16"/>
      <c r="H25" s="30"/>
      <c r="I25" s="11"/>
      <c r="J25" s="16"/>
      <c r="K25" s="16"/>
      <c r="L25" s="16"/>
      <c r="M25" s="16"/>
      <c r="N25" s="16"/>
      <c r="O25" s="16"/>
    </row>
    <row r="26" spans="1:15" x14ac:dyDescent="0.25">
      <c r="A26" s="11"/>
      <c r="B26" s="31"/>
      <c r="C26" s="16"/>
      <c r="D26" s="16"/>
      <c r="E26" s="16"/>
      <c r="F26" s="16"/>
      <c r="G26" s="16"/>
      <c r="H26" s="30"/>
      <c r="I26" s="11"/>
      <c r="J26" s="16"/>
      <c r="K26" s="16"/>
      <c r="L26" s="16"/>
      <c r="M26" s="16"/>
      <c r="N26" s="16"/>
      <c r="O26" s="16"/>
    </row>
    <row r="27" spans="1:15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/>
    </row>
    <row r="28" spans="1:15" x14ac:dyDescent="0.25">
      <c r="A28" s="48" t="s">
        <v>73</v>
      </c>
      <c r="B28" s="49"/>
      <c r="C28" s="37" t="e">
        <f t="shared" ref="C28:O28" si="0">AVERAGE(C4:C9)</f>
        <v>#DIV/0!</v>
      </c>
      <c r="D28" s="37" t="e">
        <f t="shared" si="0"/>
        <v>#DIV/0!</v>
      </c>
      <c r="E28" s="37" t="e">
        <f t="shared" si="0"/>
        <v>#DIV/0!</v>
      </c>
      <c r="F28" s="37" t="e">
        <f t="shared" si="0"/>
        <v>#DIV/0!</v>
      </c>
      <c r="G28" s="37" t="e">
        <f t="shared" si="0"/>
        <v>#DIV/0!</v>
      </c>
      <c r="H28" s="37" t="e">
        <f t="shared" si="0"/>
        <v>#DIV/0!</v>
      </c>
      <c r="I28" s="37" t="e">
        <f t="shared" si="0"/>
        <v>#DIV/0!</v>
      </c>
      <c r="J28" s="37">
        <f t="shared" si="0"/>
        <v>11.1835</v>
      </c>
      <c r="K28" s="37">
        <f t="shared" si="0"/>
        <v>22.964833333333331</v>
      </c>
      <c r="L28" s="37">
        <f t="shared" si="0"/>
        <v>35.187666666666665</v>
      </c>
      <c r="M28" s="37">
        <f t="shared" si="0"/>
        <v>47.87083333333333</v>
      </c>
      <c r="N28" s="37">
        <f t="shared" si="0"/>
        <v>60.228500000000004</v>
      </c>
      <c r="O28" s="37">
        <f t="shared" si="0"/>
        <v>4.5249833333333329E-2</v>
      </c>
    </row>
    <row r="29" spans="1:15" x14ac:dyDescent="0.25">
      <c r="A29" s="48" t="s">
        <v>74</v>
      </c>
      <c r="B29" s="49"/>
      <c r="C29" s="11" t="e">
        <f t="shared" ref="C29:O29" si="1">STDEVA(C4:C9)</f>
        <v>#DIV/0!</v>
      </c>
      <c r="D29" s="11" t="e">
        <f t="shared" si="1"/>
        <v>#DIV/0!</v>
      </c>
      <c r="E29" s="11" t="e">
        <f t="shared" si="1"/>
        <v>#DIV/0!</v>
      </c>
      <c r="F29" s="11" t="e">
        <f t="shared" si="1"/>
        <v>#DIV/0!</v>
      </c>
      <c r="G29" s="11" t="e">
        <f t="shared" si="1"/>
        <v>#DIV/0!</v>
      </c>
      <c r="H29" s="11" t="e">
        <f t="shared" si="1"/>
        <v>#DIV/0!</v>
      </c>
      <c r="I29" s="11" t="e">
        <f t="shared" si="1"/>
        <v>#DIV/0!</v>
      </c>
      <c r="J29" s="11">
        <f t="shared" si="1"/>
        <v>0.14507205106428989</v>
      </c>
      <c r="K29" s="11">
        <f t="shared" si="1"/>
        <v>0.24516477452249727</v>
      </c>
      <c r="L29" s="11">
        <f t="shared" si="1"/>
        <v>0.38492631329472327</v>
      </c>
      <c r="M29" s="11">
        <f t="shared" si="1"/>
        <v>0.66798485511773975</v>
      </c>
      <c r="N29" s="11">
        <f t="shared" si="1"/>
        <v>0.77436341597469649</v>
      </c>
      <c r="O29" s="11">
        <f t="shared" si="1"/>
        <v>3.6252552691730098E-3</v>
      </c>
    </row>
  </sheetData>
  <mergeCells count="5">
    <mergeCell ref="A2:A3"/>
    <mergeCell ref="B2:B3"/>
    <mergeCell ref="C2:N2"/>
    <mergeCell ref="A28:B28"/>
    <mergeCell ref="A29:B29"/>
  </mergeCells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30"/>
  <sheetViews>
    <sheetView topLeftCell="A7" workbookViewId="0">
      <selection activeCell="A11" sqref="A11:A26"/>
    </sheetView>
  </sheetViews>
  <sheetFormatPr defaultRowHeight="15" x14ac:dyDescent="0.25"/>
  <cols>
    <col min="2" max="2" width="10.7109375" customWidth="1"/>
    <col min="10" max="15" width="9.140625" style="1"/>
  </cols>
  <sheetData>
    <row r="1" spans="1:15" x14ac:dyDescent="0.25">
      <c r="A1" t="s">
        <v>2</v>
      </c>
    </row>
    <row r="2" spans="1:15" x14ac:dyDescent="0.25">
      <c r="A2" s="50" t="s">
        <v>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5" x14ac:dyDescent="0.25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5" spans="1:15" x14ac:dyDescent="0.25">
      <c r="A5" s="46" t="s">
        <v>70</v>
      </c>
      <c r="B5" s="46" t="s">
        <v>69</v>
      </c>
      <c r="C5" s="43" t="s">
        <v>71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</row>
    <row r="6" spans="1:15" x14ac:dyDescent="0.25">
      <c r="A6" s="47"/>
      <c r="B6" s="47"/>
      <c r="C6" s="16" t="s">
        <v>63</v>
      </c>
      <c r="D6" s="16" t="s">
        <v>64</v>
      </c>
      <c r="E6" s="16" t="s">
        <v>65</v>
      </c>
      <c r="F6" s="16" t="s">
        <v>66</v>
      </c>
      <c r="G6" s="16" t="s">
        <v>67</v>
      </c>
      <c r="H6" s="16" t="s">
        <v>68</v>
      </c>
      <c r="I6" s="34" t="s">
        <v>72</v>
      </c>
      <c r="J6" s="16" t="s">
        <v>60</v>
      </c>
      <c r="K6" s="16" t="s">
        <v>61</v>
      </c>
      <c r="L6" s="16" t="s">
        <v>62</v>
      </c>
      <c r="M6" s="16" t="s">
        <v>11</v>
      </c>
      <c r="N6" s="16" t="s">
        <v>10</v>
      </c>
      <c r="O6" s="32" t="s">
        <v>72</v>
      </c>
    </row>
    <row r="7" spans="1:15" x14ac:dyDescent="0.25">
      <c r="A7" s="16">
        <v>1</v>
      </c>
      <c r="B7" s="31" t="d">
        <v>2015-01-12</v>
      </c>
      <c r="C7" s="16"/>
      <c r="D7" s="16"/>
      <c r="E7" s="16"/>
      <c r="F7" s="16"/>
      <c r="G7" s="16"/>
      <c r="H7" s="16"/>
      <c r="I7" s="16"/>
      <c r="J7" s="30">
        <v>9.8460000000000001</v>
      </c>
      <c r="K7" s="30">
        <v>20</v>
      </c>
      <c r="L7" s="16">
        <v>30.689</v>
      </c>
      <c r="M7" s="16">
        <v>40.994999999999997</v>
      </c>
      <c r="N7" s="16">
        <v>51.514000000000003</v>
      </c>
      <c r="O7" s="33">
        <v>2.0223499999999998E-2</v>
      </c>
    </row>
    <row r="8" spans="1:15" x14ac:dyDescent="0.25">
      <c r="A8" s="16">
        <v>2</v>
      </c>
      <c r="B8" s="31" t="d">
        <v>2015-01-26</v>
      </c>
      <c r="C8" s="16"/>
      <c r="D8" s="16"/>
      <c r="E8" s="16"/>
      <c r="F8" s="16"/>
      <c r="G8" s="16"/>
      <c r="H8" s="16"/>
      <c r="I8" s="16"/>
      <c r="J8" s="16">
        <v>9.9350000000000005</v>
      </c>
      <c r="K8" s="16">
        <v>20.052</v>
      </c>
      <c r="L8" s="16">
        <v>30.475999999999999</v>
      </c>
      <c r="M8" s="16">
        <v>40.956000000000003</v>
      </c>
      <c r="N8" s="16">
        <v>51.514000000000003</v>
      </c>
      <c r="O8" s="16">
        <v>2.0209000000000001E-2</v>
      </c>
    </row>
    <row r="9" spans="1:15" x14ac:dyDescent="0.25">
      <c r="A9" s="16">
        <v>3</v>
      </c>
      <c r="B9" s="31" t="d">
        <v>2015-02-03</v>
      </c>
      <c r="C9" s="16"/>
      <c r="D9" s="16"/>
      <c r="E9" s="16"/>
      <c r="F9" s="16"/>
      <c r="G9" s="16"/>
      <c r="H9" s="16"/>
      <c r="I9" s="16"/>
      <c r="J9" s="16">
        <v>9.8740000000000006</v>
      </c>
      <c r="K9" s="16">
        <v>19.818000000000001</v>
      </c>
      <c r="L9" s="16">
        <v>30.143999999999998</v>
      </c>
      <c r="M9" s="16">
        <v>40.914999999999999</v>
      </c>
      <c r="N9" s="16">
        <v>51.381999999999998</v>
      </c>
      <c r="O9" s="16">
        <v>2.8306000000000001E-2</v>
      </c>
    </row>
    <row r="10" spans="1:15" x14ac:dyDescent="0.25">
      <c r="A10" s="16">
        <v>4</v>
      </c>
      <c r="B10" s="31" t="d">
        <v>2015-02-11</v>
      </c>
      <c r="C10" s="16"/>
      <c r="D10" s="16"/>
      <c r="E10" s="16"/>
      <c r="F10" s="16"/>
      <c r="G10" s="16"/>
      <c r="H10" s="16"/>
      <c r="I10" s="11"/>
      <c r="J10" s="16">
        <v>9.9469999999999992</v>
      </c>
      <c r="K10" s="16">
        <v>20.34</v>
      </c>
      <c r="L10" s="16">
        <v>30.57</v>
      </c>
      <c r="M10" s="16">
        <v>41.831000000000003</v>
      </c>
      <c r="N10" s="16">
        <v>52.067</v>
      </c>
      <c r="O10" s="16">
        <v>2.3921999999999999E-2</v>
      </c>
    </row>
    <row r="11" spans="1:15" x14ac:dyDescent="0.25">
      <c r="A11" s="16">
        <v>5</v>
      </c>
      <c r="B11" s="31" t="d">
        <v>2015-02-13</v>
      </c>
      <c r="C11" s="16"/>
      <c r="D11" s="16"/>
      <c r="E11" s="16"/>
      <c r="F11" s="16"/>
      <c r="G11" s="16"/>
      <c r="H11" s="16"/>
      <c r="I11" s="16"/>
      <c r="J11" s="16">
        <v>9.9190000000000005</v>
      </c>
      <c r="K11" s="16">
        <v>20.122</v>
      </c>
      <c r="L11" s="16">
        <v>30.672999999999998</v>
      </c>
      <c r="M11" s="16">
        <v>41.710999999999999</v>
      </c>
      <c r="N11" s="16">
        <v>52.283999999999999</v>
      </c>
      <c r="O11" s="16">
        <v>3.1154000000000001E-2</v>
      </c>
    </row>
    <row r="12" spans="1:15" x14ac:dyDescent="0.25">
      <c r="A12" s="16">
        <v>6</v>
      </c>
      <c r="B12" s="31" t="d">
        <v>2015-02-14</v>
      </c>
      <c r="C12" s="16"/>
      <c r="D12" s="16"/>
      <c r="E12" s="16"/>
      <c r="F12" s="16"/>
      <c r="G12" s="16"/>
      <c r="H12" s="16"/>
      <c r="I12" s="16"/>
      <c r="J12" s="16">
        <v>9.9350000000000005</v>
      </c>
      <c r="K12" s="16">
        <v>20.338999999999999</v>
      </c>
      <c r="L12" s="16">
        <v>30.504999999999999</v>
      </c>
      <c r="M12" s="16">
        <v>41.805999999999997</v>
      </c>
      <c r="N12" s="16">
        <v>52.073</v>
      </c>
      <c r="O12" s="16">
        <v>2.5176E-2</v>
      </c>
    </row>
    <row r="13" spans="1:15" x14ac:dyDescent="0.25">
      <c r="A13" s="16">
        <v>7</v>
      </c>
      <c r="B13" s="31" t="d">
        <v>2015-03-02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1:15" x14ac:dyDescent="0.25">
      <c r="A14" s="16">
        <v>8</v>
      </c>
      <c r="B14" s="31" t="d">
        <v>2015-03-04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1:15" x14ac:dyDescent="0.25">
      <c r="A15" s="16">
        <v>9</v>
      </c>
      <c r="B15" s="31" t="d">
        <v>2015-04-16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1:15" x14ac:dyDescent="0.25">
      <c r="A16" s="16">
        <v>10</v>
      </c>
      <c r="B16" s="31" t="d">
        <v>2015-04-20</v>
      </c>
      <c r="C16" s="16"/>
      <c r="D16" s="16"/>
      <c r="E16" s="16"/>
      <c r="F16" s="16"/>
      <c r="G16" s="16"/>
      <c r="H16" s="30"/>
      <c r="I16" s="11"/>
      <c r="J16" s="16"/>
      <c r="K16" s="16"/>
      <c r="L16" s="16"/>
      <c r="M16" s="16"/>
      <c r="N16" s="16"/>
      <c r="O16" s="16"/>
    </row>
    <row r="17" spans="1:15" x14ac:dyDescent="0.25">
      <c r="A17" s="16">
        <v>11</v>
      </c>
      <c r="B17" s="31" t="d">
        <v>2015-04-21</v>
      </c>
      <c r="C17" s="16"/>
      <c r="D17" s="16"/>
      <c r="E17" s="16"/>
      <c r="F17" s="16"/>
      <c r="G17" s="16"/>
      <c r="H17" s="30"/>
      <c r="I17" s="11"/>
      <c r="J17" s="16"/>
      <c r="K17" s="16"/>
      <c r="L17" s="16"/>
      <c r="M17" s="16"/>
      <c r="N17" s="16"/>
      <c r="O17" s="16"/>
    </row>
    <row r="18" spans="1:15" x14ac:dyDescent="0.25">
      <c r="A18" s="16">
        <v>12</v>
      </c>
      <c r="B18" s="31" t="d">
        <v>2015-04-22</v>
      </c>
      <c r="C18" s="16"/>
      <c r="D18" s="16"/>
      <c r="E18" s="16"/>
      <c r="F18" s="16"/>
      <c r="G18" s="16"/>
      <c r="H18" s="30"/>
      <c r="I18" s="11"/>
      <c r="J18" s="16"/>
      <c r="K18" s="16"/>
      <c r="L18" s="16"/>
      <c r="M18" s="16"/>
      <c r="N18" s="16"/>
      <c r="O18" s="16"/>
    </row>
    <row r="19" spans="1:15" x14ac:dyDescent="0.25">
      <c r="A19" s="16">
        <v>13</v>
      </c>
      <c r="B19" s="31" t="d">
        <v>2015-04-23</v>
      </c>
      <c r="C19" s="16"/>
      <c r="D19" s="16"/>
      <c r="E19" s="16"/>
      <c r="F19" s="16"/>
      <c r="G19" s="16"/>
      <c r="H19" s="30"/>
      <c r="I19" s="11"/>
      <c r="J19" s="16"/>
      <c r="K19" s="16"/>
      <c r="L19" s="16"/>
      <c r="M19" s="16"/>
      <c r="N19" s="16"/>
      <c r="O19" s="16"/>
    </row>
    <row r="20" spans="1:15" x14ac:dyDescent="0.25">
      <c r="A20" s="16">
        <v>14</v>
      </c>
      <c r="B20" s="31" t="d">
        <v>2015-05-11</v>
      </c>
      <c r="C20" s="16"/>
      <c r="D20" s="16"/>
      <c r="E20" s="16"/>
      <c r="F20" s="16"/>
      <c r="G20" s="16"/>
      <c r="H20" s="30"/>
      <c r="I20" s="11"/>
      <c r="J20" s="16"/>
      <c r="K20" s="16"/>
      <c r="L20" s="16"/>
      <c r="M20" s="16"/>
      <c r="N20" s="16"/>
      <c r="O20" s="16"/>
    </row>
    <row r="21" spans="1:15" x14ac:dyDescent="0.25">
      <c r="A21" s="16">
        <v>15</v>
      </c>
      <c r="B21" s="31" t="d">
        <v>2015-05-25</v>
      </c>
      <c r="C21" s="16"/>
      <c r="D21" s="16"/>
      <c r="E21" s="16"/>
      <c r="F21" s="16"/>
      <c r="G21" s="16"/>
      <c r="H21" s="30"/>
      <c r="I21" s="11"/>
      <c r="J21" s="16"/>
      <c r="K21" s="16"/>
      <c r="L21" s="16"/>
      <c r="M21" s="16"/>
      <c r="N21" s="16"/>
      <c r="O21" s="16"/>
    </row>
    <row r="22" spans="1:15" x14ac:dyDescent="0.25">
      <c r="A22" s="16">
        <v>16</v>
      </c>
      <c r="B22" s="31" t="d">
        <v>2015-05-26</v>
      </c>
      <c r="C22" s="16"/>
      <c r="D22" s="16"/>
      <c r="E22" s="16"/>
      <c r="F22" s="16"/>
      <c r="G22" s="16"/>
      <c r="H22" s="30"/>
      <c r="I22" s="11"/>
      <c r="J22" s="16"/>
      <c r="K22" s="16"/>
      <c r="L22" s="16"/>
      <c r="M22" s="16"/>
      <c r="N22" s="16"/>
      <c r="O22" s="16"/>
    </row>
    <row r="23" spans="1:15" x14ac:dyDescent="0.25">
      <c r="A23" s="16">
        <v>17</v>
      </c>
      <c r="B23" s="31" t="d">
        <v>2016-03-01</v>
      </c>
      <c r="C23" s="16"/>
      <c r="D23" s="16"/>
      <c r="E23" s="16"/>
      <c r="F23" s="16"/>
      <c r="G23" s="16"/>
      <c r="H23" s="30"/>
      <c r="I23" s="11"/>
      <c r="J23" s="16"/>
      <c r="K23" s="16"/>
      <c r="L23" s="16"/>
      <c r="M23" s="16"/>
      <c r="N23" s="16"/>
      <c r="O23" s="16"/>
    </row>
    <row r="24" spans="1:15" x14ac:dyDescent="0.25">
      <c r="A24" s="16">
        <v>18</v>
      </c>
      <c r="B24" s="31" t="d">
        <v>2016-06-29</v>
      </c>
      <c r="C24" s="16"/>
      <c r="D24" s="16"/>
      <c r="E24" s="16"/>
      <c r="F24" s="16"/>
      <c r="G24" s="16"/>
      <c r="H24" s="30"/>
      <c r="I24" s="11"/>
      <c r="J24" s="16"/>
      <c r="K24" s="16"/>
      <c r="L24" s="16"/>
      <c r="M24" s="16"/>
      <c r="N24" s="16"/>
      <c r="O24" s="16"/>
    </row>
    <row r="25" spans="1:15" x14ac:dyDescent="0.25">
      <c r="A25" s="16">
        <v>19</v>
      </c>
      <c r="B25" s="31" t="d">
        <v>2016-09-26</v>
      </c>
      <c r="C25" s="16"/>
      <c r="D25" s="16"/>
      <c r="E25" s="16"/>
      <c r="F25" s="16"/>
      <c r="G25" s="16"/>
      <c r="H25" s="30"/>
      <c r="I25" s="11"/>
      <c r="J25" s="16"/>
      <c r="K25" s="16"/>
      <c r="L25" s="16"/>
      <c r="M25" s="16"/>
      <c r="N25" s="16"/>
      <c r="O25" s="16"/>
    </row>
    <row r="26" spans="1:15" x14ac:dyDescent="0.25">
      <c r="A26" s="16">
        <v>20</v>
      </c>
      <c r="B26" s="31" t="d">
        <v>2016-10-05</v>
      </c>
      <c r="C26" s="16"/>
      <c r="D26" s="16"/>
      <c r="E26" s="16"/>
      <c r="F26" s="16"/>
      <c r="G26" s="16"/>
      <c r="H26" s="30"/>
      <c r="I26" s="11"/>
      <c r="J26" s="16"/>
      <c r="K26" s="16"/>
      <c r="L26" s="16"/>
      <c r="M26" s="16"/>
      <c r="N26" s="16"/>
      <c r="O26" s="16"/>
    </row>
    <row r="27" spans="1:15" x14ac:dyDescent="0.25">
      <c r="A27" s="16"/>
      <c r="B27" s="31"/>
      <c r="C27" s="16"/>
      <c r="D27" s="16"/>
      <c r="E27" s="16"/>
      <c r="F27" s="16"/>
      <c r="G27" s="16"/>
      <c r="H27" s="30"/>
      <c r="I27" s="11"/>
      <c r="J27" s="16"/>
      <c r="K27" s="16"/>
      <c r="L27" s="16"/>
      <c r="M27" s="16"/>
      <c r="N27" s="16"/>
      <c r="O27" s="16"/>
    </row>
    <row r="28" spans="1:15" x14ac:dyDescent="0.25">
      <c r="A28" s="16"/>
      <c r="B28" s="31"/>
      <c r="C28" s="16"/>
      <c r="D28" s="16"/>
      <c r="E28" s="16"/>
      <c r="F28" s="16"/>
      <c r="G28" s="16"/>
      <c r="H28" s="30"/>
      <c r="I28" s="11"/>
      <c r="J28" s="16"/>
      <c r="K28" s="16"/>
      <c r="L28" s="16"/>
      <c r="M28" s="16"/>
      <c r="N28" s="16"/>
      <c r="O28" s="16"/>
    </row>
    <row r="29" spans="1:15" x14ac:dyDescent="0.25">
      <c r="A29" s="11"/>
      <c r="B29" s="31"/>
      <c r="C29" s="16"/>
      <c r="D29" s="16"/>
      <c r="E29" s="16"/>
      <c r="F29" s="16"/>
      <c r="G29" s="16"/>
      <c r="H29" s="30"/>
      <c r="I29" s="11"/>
      <c r="J29" s="16"/>
      <c r="K29" s="16"/>
      <c r="L29" s="16"/>
      <c r="M29" s="16"/>
      <c r="N29" s="16"/>
      <c r="O29" s="16"/>
    </row>
    <row r="30" spans="1:15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6"/>
    </row>
  </sheetData>
  <mergeCells count="4">
    <mergeCell ref="A2:L3"/>
    <mergeCell ref="A5:A6"/>
    <mergeCell ref="B5:B6"/>
    <mergeCell ref="C5:N5"/>
  </mergeCells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31"/>
  <sheetViews>
    <sheetView workbookViewId="0">
      <selection activeCell="A11" sqref="A11:A27"/>
    </sheetView>
  </sheetViews>
  <sheetFormatPr defaultRowHeight="15" x14ac:dyDescent="0.25"/>
  <cols>
    <col min="2" max="2" width="10.7109375" customWidth="1"/>
    <col min="15" max="15" width="9.140625" style="1"/>
  </cols>
  <sheetData>
    <row r="1" spans="1:15" x14ac:dyDescent="0.25">
      <c r="A1" t="s">
        <v>3</v>
      </c>
    </row>
    <row r="2" spans="1:15" ht="16.5" x14ac:dyDescent="0.25">
      <c r="A2" s="51" t="s">
        <v>4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1:15" ht="16.5" x14ac:dyDescent="0.25">
      <c r="A3" s="51" t="s">
        <v>5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5" spans="1:15" x14ac:dyDescent="0.25">
      <c r="A5" s="46" t="s">
        <v>70</v>
      </c>
      <c r="B5" s="46" t="s">
        <v>69</v>
      </c>
      <c r="C5" s="43" t="s">
        <v>71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</row>
    <row r="6" spans="1:15" x14ac:dyDescent="0.25">
      <c r="A6" s="47"/>
      <c r="B6" s="47"/>
      <c r="C6" s="16" t="s">
        <v>63</v>
      </c>
      <c r="D6" s="16" t="s">
        <v>64</v>
      </c>
      <c r="E6" s="16" t="s">
        <v>65</v>
      </c>
      <c r="F6" s="16" t="s">
        <v>66</v>
      </c>
      <c r="G6" s="16" t="s">
        <v>67</v>
      </c>
      <c r="H6" s="16" t="s">
        <v>68</v>
      </c>
      <c r="I6" s="34" t="s">
        <v>72</v>
      </c>
      <c r="J6" s="16" t="s">
        <v>60</v>
      </c>
      <c r="K6" s="16" t="s">
        <v>61</v>
      </c>
      <c r="L6" s="16" t="s">
        <v>62</v>
      </c>
      <c r="M6" s="16" t="s">
        <v>11</v>
      </c>
      <c r="N6" s="16" t="s">
        <v>10</v>
      </c>
      <c r="O6" s="32" t="s">
        <v>72</v>
      </c>
    </row>
    <row r="7" spans="1:15" x14ac:dyDescent="0.25">
      <c r="A7" s="16">
        <v>1</v>
      </c>
      <c r="B7" s="31" t="d">
        <v>2015-01-22</v>
      </c>
      <c r="C7" s="16"/>
      <c r="D7" s="16"/>
      <c r="E7" s="16"/>
      <c r="F7" s="16"/>
      <c r="G7" s="16"/>
      <c r="H7" s="16"/>
      <c r="I7" s="16"/>
      <c r="J7" s="30">
        <v>13.459</v>
      </c>
      <c r="K7" s="30">
        <v>26.885000000000002</v>
      </c>
      <c r="L7" s="16">
        <v>40.601999999999997</v>
      </c>
      <c r="M7" s="16">
        <v>54.466999999999999</v>
      </c>
      <c r="N7" s="16">
        <v>68.712999999999994</v>
      </c>
      <c r="O7" s="33">
        <v>2.3987000000000001E-2</v>
      </c>
    </row>
    <row r="8" spans="1:15" x14ac:dyDescent="0.25">
      <c r="A8" s="16">
        <v>2</v>
      </c>
      <c r="B8" s="31" t="d">
        <v>2015-02-03</v>
      </c>
      <c r="C8" s="16"/>
      <c r="D8" s="16"/>
      <c r="E8" s="16"/>
      <c r="F8" s="16"/>
      <c r="G8" s="16"/>
      <c r="H8" s="16"/>
      <c r="I8" s="16"/>
      <c r="J8" s="16">
        <v>13.419</v>
      </c>
      <c r="K8" s="16">
        <v>26.414000000000001</v>
      </c>
      <c r="L8" s="16">
        <v>39.959000000000003</v>
      </c>
      <c r="M8" s="16">
        <v>53.856999999999999</v>
      </c>
      <c r="N8" s="16">
        <v>67.438999999999993</v>
      </c>
      <c r="O8" s="16">
        <v>1.8131000000000001E-2</v>
      </c>
    </row>
    <row r="9" spans="1:15" x14ac:dyDescent="0.25">
      <c r="A9" s="16">
        <v>3</v>
      </c>
      <c r="B9" s="31" t="d">
        <v>2015-02-06</v>
      </c>
      <c r="C9" s="16"/>
      <c r="D9" s="16"/>
      <c r="E9" s="16"/>
      <c r="F9" s="16"/>
      <c r="G9" s="16"/>
      <c r="H9" s="16"/>
      <c r="I9" s="16"/>
      <c r="J9" s="16">
        <v>13.579000000000001</v>
      </c>
      <c r="K9" s="16">
        <v>26.879000000000001</v>
      </c>
      <c r="L9" s="30">
        <v>40.76</v>
      </c>
      <c r="M9" s="16">
        <v>54.631</v>
      </c>
      <c r="N9" s="30">
        <v>68.58</v>
      </c>
      <c r="O9" s="16">
        <v>1.7454999999999998E-2</v>
      </c>
    </row>
    <row r="10" spans="1:15" x14ac:dyDescent="0.25">
      <c r="A10" s="16">
        <v>4</v>
      </c>
      <c r="B10" s="31" t="d">
        <v>2015-02-09</v>
      </c>
      <c r="C10" s="16"/>
      <c r="D10" s="16"/>
      <c r="E10" s="16"/>
      <c r="F10" s="16"/>
      <c r="G10" s="16"/>
      <c r="H10" s="16"/>
      <c r="I10" s="11"/>
      <c r="J10" s="16">
        <v>13.275</v>
      </c>
      <c r="K10" s="16">
        <v>26.774000000000001</v>
      </c>
      <c r="L10" s="30">
        <v>40.39</v>
      </c>
      <c r="M10" s="16">
        <v>54.16</v>
      </c>
      <c r="N10" s="16">
        <v>68.096000000000004</v>
      </c>
      <c r="O10" s="16">
        <v>1.9872999999999998E-2</v>
      </c>
    </row>
    <row r="11" spans="1:15" x14ac:dyDescent="0.25">
      <c r="A11" s="16">
        <v>5</v>
      </c>
      <c r="B11" s="31" t="d">
        <v>2015-02-11</v>
      </c>
      <c r="C11" s="16"/>
      <c r="D11" s="16"/>
      <c r="E11" s="16"/>
      <c r="F11" s="16"/>
      <c r="G11" s="16"/>
      <c r="H11" s="16"/>
      <c r="I11" s="16"/>
      <c r="J11" s="16">
        <v>13.516999999999999</v>
      </c>
      <c r="K11" s="16">
        <v>27.059000000000001</v>
      </c>
      <c r="L11" s="16">
        <v>40.457000000000001</v>
      </c>
      <c r="M11" s="16">
        <v>55.277999999999999</v>
      </c>
      <c r="N11" s="16">
        <v>68.308000000000007</v>
      </c>
      <c r="O11" s="16">
        <v>1.3002E-2</v>
      </c>
    </row>
    <row r="12" spans="1:15" x14ac:dyDescent="0.25">
      <c r="A12" s="16">
        <v>6</v>
      </c>
      <c r="B12" s="31" t="d">
        <v>2015-02-13</v>
      </c>
      <c r="C12" s="16"/>
      <c r="D12" s="16"/>
      <c r="E12" s="16"/>
      <c r="F12" s="16"/>
      <c r="G12" s="16"/>
      <c r="H12" s="16"/>
      <c r="I12" s="16"/>
      <c r="J12" s="16">
        <v>14.576000000000001</v>
      </c>
      <c r="K12" s="16">
        <v>26.446000000000002</v>
      </c>
      <c r="L12" s="16">
        <v>40.543999999999997</v>
      </c>
      <c r="M12" s="16">
        <v>54.579000000000001</v>
      </c>
      <c r="N12" s="16">
        <v>68.728999999999999</v>
      </c>
      <c r="O12" s="16">
        <v>1.8013000000000001E-2</v>
      </c>
    </row>
    <row r="13" spans="1:15" x14ac:dyDescent="0.25">
      <c r="A13" s="16">
        <v>7</v>
      </c>
      <c r="B13" s="31" t="d">
        <v>2015-02-14</v>
      </c>
      <c r="C13" s="16"/>
      <c r="D13" s="16"/>
      <c r="E13" s="16"/>
      <c r="F13" s="16"/>
      <c r="G13" s="16"/>
      <c r="H13" s="16"/>
      <c r="I13" s="16"/>
      <c r="J13" s="16">
        <v>13.420999999999999</v>
      </c>
      <c r="K13" s="16">
        <v>26.937000000000001</v>
      </c>
      <c r="L13" s="16">
        <v>40.198</v>
      </c>
      <c r="M13" s="16">
        <v>54.890999999999998</v>
      </c>
      <c r="N13" s="16">
        <v>68.307000000000002</v>
      </c>
      <c r="O13" s="16">
        <v>1.6877E-2</v>
      </c>
    </row>
    <row r="14" spans="1:15" x14ac:dyDescent="0.25">
      <c r="A14" s="16">
        <v>8</v>
      </c>
      <c r="B14" s="31" t="d">
        <v>2015-03-02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1:15" x14ac:dyDescent="0.25">
      <c r="A15" s="16">
        <v>9</v>
      </c>
      <c r="B15" s="31" t="d">
        <v>2015-03-04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1:15" x14ac:dyDescent="0.25">
      <c r="A16" s="16">
        <v>10</v>
      </c>
      <c r="B16" s="31" t="d">
        <v>2015-04-16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1:15" x14ac:dyDescent="0.25">
      <c r="A17" s="16">
        <v>11</v>
      </c>
      <c r="B17" s="31" t="d">
        <v>2015-04-20</v>
      </c>
      <c r="C17" s="16"/>
      <c r="D17" s="16"/>
      <c r="E17" s="16"/>
      <c r="F17" s="16"/>
      <c r="G17" s="16"/>
      <c r="H17" s="30"/>
      <c r="I17" s="11"/>
      <c r="J17" s="16"/>
      <c r="K17" s="16"/>
      <c r="L17" s="16"/>
      <c r="M17" s="16"/>
      <c r="N17" s="16"/>
      <c r="O17" s="16"/>
    </row>
    <row r="18" spans="1:15" x14ac:dyDescent="0.25">
      <c r="A18" s="16">
        <v>12</v>
      </c>
      <c r="B18" s="31" t="d">
        <v>2015-04-21</v>
      </c>
      <c r="C18" s="16"/>
      <c r="D18" s="16"/>
      <c r="E18" s="16"/>
      <c r="F18" s="16"/>
      <c r="G18" s="16"/>
      <c r="H18" s="30"/>
      <c r="I18" s="11"/>
      <c r="J18" s="16"/>
      <c r="K18" s="16"/>
      <c r="L18" s="16"/>
      <c r="M18" s="16"/>
      <c r="N18" s="16"/>
      <c r="O18" s="16"/>
    </row>
    <row r="19" spans="1:15" x14ac:dyDescent="0.25">
      <c r="A19" s="16">
        <v>13</v>
      </c>
      <c r="B19" s="31" t="d">
        <v>2015-04-22</v>
      </c>
      <c r="C19" s="16"/>
      <c r="D19" s="16"/>
      <c r="E19" s="16"/>
      <c r="F19" s="16"/>
      <c r="G19" s="16"/>
      <c r="H19" s="30"/>
      <c r="I19" s="11"/>
      <c r="J19" s="16"/>
      <c r="K19" s="16"/>
      <c r="L19" s="16"/>
      <c r="M19" s="16"/>
      <c r="N19" s="16"/>
      <c r="O19" s="16"/>
    </row>
    <row r="20" spans="1:15" x14ac:dyDescent="0.25">
      <c r="A20" s="16">
        <v>14</v>
      </c>
      <c r="B20" s="31" t="d">
        <v>2015-04-23</v>
      </c>
      <c r="C20" s="16"/>
      <c r="D20" s="16"/>
      <c r="E20" s="16"/>
      <c r="F20" s="16"/>
      <c r="G20" s="16"/>
      <c r="H20" s="30"/>
      <c r="I20" s="11"/>
      <c r="J20" s="16"/>
      <c r="K20" s="16"/>
      <c r="L20" s="16"/>
      <c r="M20" s="16"/>
      <c r="N20" s="16"/>
      <c r="O20" s="16"/>
    </row>
    <row r="21" spans="1:15" x14ac:dyDescent="0.25">
      <c r="A21" s="16">
        <v>15</v>
      </c>
      <c r="B21" s="31" t="d">
        <v>2015-05-11</v>
      </c>
      <c r="C21" s="16"/>
      <c r="D21" s="16"/>
      <c r="E21" s="16"/>
      <c r="F21" s="16"/>
      <c r="G21" s="16"/>
      <c r="H21" s="30"/>
      <c r="I21" s="11"/>
      <c r="J21" s="16"/>
      <c r="K21" s="16"/>
      <c r="L21" s="16"/>
      <c r="M21" s="16"/>
      <c r="N21" s="16"/>
      <c r="O21" s="16"/>
    </row>
    <row r="22" spans="1:15" x14ac:dyDescent="0.25">
      <c r="A22" s="16">
        <v>16</v>
      </c>
      <c r="B22" s="31" t="d">
        <v>2015-05-25</v>
      </c>
      <c r="C22" s="16"/>
      <c r="D22" s="16"/>
      <c r="E22" s="16"/>
      <c r="F22" s="16"/>
      <c r="G22" s="16"/>
      <c r="H22" s="30"/>
      <c r="I22" s="11"/>
      <c r="J22" s="16"/>
      <c r="K22" s="16"/>
      <c r="L22" s="16"/>
      <c r="M22" s="16"/>
      <c r="N22" s="16"/>
      <c r="O22" s="16"/>
    </row>
    <row r="23" spans="1:15" x14ac:dyDescent="0.25">
      <c r="A23" s="16">
        <v>17</v>
      </c>
      <c r="B23" s="31" t="d">
        <v>2015-05-26</v>
      </c>
      <c r="C23" s="16"/>
      <c r="D23" s="16"/>
      <c r="E23" s="16"/>
      <c r="F23" s="16"/>
      <c r="G23" s="16"/>
      <c r="H23" s="30"/>
      <c r="I23" s="11"/>
      <c r="J23" s="16"/>
      <c r="K23" s="16"/>
      <c r="L23" s="16"/>
      <c r="M23" s="16"/>
      <c r="N23" s="16"/>
      <c r="O23" s="16"/>
    </row>
    <row r="24" spans="1:15" x14ac:dyDescent="0.25">
      <c r="A24" s="16">
        <v>18</v>
      </c>
      <c r="B24" s="31" t="d">
        <v>2016-03-01</v>
      </c>
      <c r="C24" s="16"/>
      <c r="D24" s="16"/>
      <c r="E24" s="16"/>
      <c r="F24" s="16"/>
      <c r="G24" s="16"/>
      <c r="H24" s="30"/>
      <c r="I24" s="11"/>
      <c r="J24" s="16"/>
      <c r="K24" s="16"/>
      <c r="L24" s="16"/>
      <c r="M24" s="16"/>
      <c r="N24" s="16"/>
      <c r="O24" s="16"/>
    </row>
    <row r="25" spans="1:15" x14ac:dyDescent="0.25">
      <c r="A25" s="16">
        <v>19</v>
      </c>
      <c r="B25" s="31" t="d">
        <v>2016-06-29</v>
      </c>
      <c r="C25" s="16"/>
      <c r="D25" s="16"/>
      <c r="E25" s="16"/>
      <c r="F25" s="16"/>
      <c r="G25" s="16"/>
      <c r="H25" s="30"/>
      <c r="I25" s="11"/>
      <c r="J25" s="16"/>
      <c r="K25" s="16"/>
      <c r="L25" s="16"/>
      <c r="M25" s="16"/>
      <c r="N25" s="16"/>
      <c r="O25" s="16"/>
    </row>
    <row r="26" spans="1:15" x14ac:dyDescent="0.25">
      <c r="A26" s="16">
        <v>20</v>
      </c>
      <c r="B26" s="31" t="d">
        <v>2016-09-26</v>
      </c>
      <c r="C26" s="16"/>
      <c r="D26" s="16"/>
      <c r="E26" s="16"/>
      <c r="F26" s="16"/>
      <c r="G26" s="16"/>
      <c r="H26" s="30"/>
      <c r="I26" s="11"/>
      <c r="J26" s="16"/>
      <c r="K26" s="16"/>
      <c r="L26" s="16"/>
      <c r="M26" s="16"/>
      <c r="N26" s="16"/>
      <c r="O26" s="16"/>
    </row>
    <row r="27" spans="1:15" x14ac:dyDescent="0.25">
      <c r="A27" s="16">
        <v>21</v>
      </c>
      <c r="B27" s="31" t="d">
        <v>2016-10-05</v>
      </c>
      <c r="C27" s="16"/>
      <c r="D27" s="16"/>
      <c r="E27" s="16"/>
      <c r="F27" s="16"/>
      <c r="G27" s="16"/>
      <c r="H27" s="30"/>
      <c r="I27" s="11"/>
      <c r="J27" s="16"/>
      <c r="K27" s="16"/>
      <c r="L27" s="16"/>
      <c r="M27" s="16"/>
      <c r="N27" s="16"/>
      <c r="O27" s="16"/>
    </row>
    <row r="28" spans="1:15" x14ac:dyDescent="0.25">
      <c r="A28" s="16"/>
      <c r="B28" s="31"/>
      <c r="C28" s="16"/>
      <c r="D28" s="16"/>
      <c r="E28" s="16"/>
      <c r="F28" s="16"/>
      <c r="G28" s="16"/>
      <c r="H28" s="30"/>
      <c r="I28" s="11"/>
      <c r="J28" s="16"/>
      <c r="K28" s="16"/>
      <c r="L28" s="16"/>
      <c r="M28" s="16"/>
      <c r="N28" s="16"/>
      <c r="O28" s="16"/>
    </row>
    <row r="29" spans="1:15" x14ac:dyDescent="0.25">
      <c r="A29" s="16"/>
      <c r="B29" s="31"/>
      <c r="C29" s="16"/>
      <c r="D29" s="16"/>
      <c r="E29" s="16"/>
      <c r="F29" s="16"/>
      <c r="G29" s="16"/>
      <c r="H29" s="30"/>
      <c r="I29" s="11"/>
      <c r="J29" s="16"/>
      <c r="K29" s="16"/>
      <c r="L29" s="16"/>
      <c r="M29" s="16"/>
      <c r="N29" s="16"/>
      <c r="O29" s="16"/>
    </row>
    <row r="30" spans="1:15" x14ac:dyDescent="0.25">
      <c r="A30" s="11"/>
      <c r="B30" s="31"/>
      <c r="C30" s="16"/>
      <c r="D30" s="16"/>
      <c r="E30" s="16"/>
      <c r="F30" s="16"/>
      <c r="G30" s="16"/>
      <c r="H30" s="30"/>
      <c r="I30" s="11"/>
      <c r="J30" s="16"/>
      <c r="K30" s="16"/>
      <c r="L30" s="16"/>
      <c r="M30" s="16"/>
      <c r="N30" s="16"/>
      <c r="O30" s="16"/>
    </row>
    <row r="31" spans="1:15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6"/>
    </row>
  </sheetData>
  <mergeCells count="5">
    <mergeCell ref="A3:N3"/>
    <mergeCell ref="A2:M2"/>
    <mergeCell ref="A5:A6"/>
    <mergeCell ref="B5:B6"/>
    <mergeCell ref="C5:N5"/>
  </mergeCells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NH3</vt:lpstr>
      <vt:lpstr>Cl</vt:lpstr>
      <vt:lpstr>NO2</vt:lpstr>
      <vt:lpstr>NO3</vt:lpstr>
      <vt:lpstr>SO4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TOAN NGUYEN</dc:creator>
  <cp:lastModifiedBy>TOAN NGUYEN</cp:lastModifiedBy>
  <cp:lastPrinted>2016-10-18T09:38:51Z</cp:lastPrinted>
  <dcterms:created xsi:type="dcterms:W3CDTF">2016-10-18T04:40:07Z</dcterms:created>
  <dcterms:modified xsi:type="dcterms:W3CDTF">2016-12-16T07:31:26Z</dcterms:modified>
</cp:coreProperties>
</file>