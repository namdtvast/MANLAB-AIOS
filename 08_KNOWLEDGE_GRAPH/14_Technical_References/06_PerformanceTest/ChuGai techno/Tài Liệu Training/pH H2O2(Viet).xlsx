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755" activeTab="1"/>
  </bookViews>
  <sheets>
    <sheet name="pH" sheetId="1" r:id="rId1"/>
    <sheet name="pH (H2O2)" sheetId="5" r:id="rId2"/>
    <sheet name="Water Content" sheetId="4" r:id="rId3"/>
    <sheet name="Data Sheet" sheetId="2" r:id="rId4"/>
  </sheets>
  <definedNames>
    <definedName name="_xlnm.Print_Area" localSheetId="0">pH!$A$1:$I$190</definedName>
    <definedName name="_xlnm.Print_Area" localSheetId="1">'pH (H2O2)'!$A$1:$I$231</definedName>
    <definedName name="_xlnm.Print_Area" localSheetId="2">'Water Content'!$A$1:$I$67</definedName>
  </definedNames>
  <calcPr calcId="152511"/>
</workbook>
</file>

<file path=xl/calcChain.xml><?xml version="1.0" encoding="utf-8"?>
<calcChain xmlns="http://schemas.openxmlformats.org/spreadsheetml/2006/main">
  <c r="AB33" i="2" l="1"/>
  <c r="AK33" i="2"/>
  <c r="S33" i="2"/>
  <c r="J33" i="2"/>
  <c r="AK34" i="2" l="1"/>
  <c r="AB34" i="2"/>
  <c r="AB45" i="2"/>
  <c r="AK32" i="2" s="1"/>
  <c r="AN44" i="2"/>
  <c r="AH44" i="2"/>
  <c r="AB44" i="2"/>
  <c r="V44" i="2"/>
  <c r="P44" i="2"/>
  <c r="J44" i="2"/>
  <c r="AB39" i="2"/>
  <c r="J39" i="2"/>
  <c r="AB37" i="2"/>
  <c r="J37" i="2"/>
  <c r="AB20" i="2"/>
  <c r="J20" i="2"/>
  <c r="AB18" i="2"/>
  <c r="J18" i="2"/>
  <c r="P25" i="2"/>
  <c r="V25" i="2"/>
  <c r="AB25" i="2"/>
  <c r="AH25" i="2"/>
  <c r="AN25" i="2"/>
  <c r="J25" i="2"/>
  <c r="AB26" i="2" l="1"/>
  <c r="AK13" i="2" s="1"/>
  <c r="J45" i="2"/>
  <c r="J26" i="2"/>
  <c r="S13" i="2" s="1"/>
  <c r="AB32" i="2"/>
  <c r="S15" i="2" l="1"/>
  <c r="S14" i="2"/>
  <c r="AB13" i="2"/>
  <c r="AK14" i="2"/>
  <c r="AK15" i="2" s="1"/>
  <c r="J13" i="2"/>
  <c r="J14" i="2" s="1"/>
  <c r="J15" i="2" s="1"/>
  <c r="S32" i="2"/>
  <c r="S34" i="2" s="1"/>
  <c r="J32" i="2"/>
  <c r="J34" i="2" s="1"/>
  <c r="AB14" i="2" l="1"/>
  <c r="AB15" i="2" s="1"/>
</calcChain>
</file>

<file path=xl/comments1.xml><?xml version="1.0" encoding="utf-8"?>
<comments xmlns="http://schemas.openxmlformats.org/spreadsheetml/2006/main">
  <authors>
    <author>Author</author>
  </authors>
  <commentList>
    <comment ref="A1" authorId="0" shapeId="0">
      <text>
        <r>
          <rPr>
            <b/>
            <sz val="9"/>
            <color indexed="81"/>
            <rFont val="ＭＳ Ｐゴシック"/>
            <family val="3"/>
            <charset val="128"/>
          </rPr>
          <t>Masami Oue:</t>
        </r>
        <r>
          <rPr>
            <sz val="9"/>
            <color indexed="81"/>
            <rFont val="ＭＳ Ｐゴシック"/>
            <family val="3"/>
            <charset val="128"/>
          </rPr>
          <t xml:space="preserve">
Choose measured items and JGS number from pH and EC</t>
        </r>
      </text>
    </comment>
    <comment ref="H1" authorId="0" shapeId="0">
      <text>
        <r>
          <rPr>
            <b/>
            <sz val="9"/>
            <color indexed="81"/>
            <rFont val="ＭＳ Ｐゴシック"/>
            <family val="3"/>
            <charset val="128"/>
          </rPr>
          <t>Masami Oue:</t>
        </r>
        <r>
          <rPr>
            <sz val="9"/>
            <color indexed="81"/>
            <rFont val="ＭＳ Ｐゴシック"/>
            <family val="3"/>
            <charset val="128"/>
          </rPr>
          <t xml:space="preserve">
Choose measured items and JGS number from pH and EC</t>
        </r>
      </text>
    </comment>
    <comment ref="AK16" authorId="0" shapeId="0">
      <text>
        <r>
          <rPr>
            <b/>
            <sz val="9"/>
            <color indexed="81"/>
            <rFont val="ＭＳ Ｐゴシック"/>
            <family val="3"/>
            <charset val="128"/>
          </rPr>
          <t>Masami Oue:</t>
        </r>
        <r>
          <rPr>
            <sz val="9"/>
            <color indexed="81"/>
            <rFont val="ＭＳ Ｐゴシック"/>
            <family val="3"/>
            <charset val="128"/>
          </rPr>
          <t xml:space="preserve">
Measure pH while holding temperature at 25±0.5℃ in case that EC meter which does't have temperature compensation function is used </t>
        </r>
      </text>
    </comment>
    <comment ref="AK17" authorId="0" shapeId="0">
      <text>
        <r>
          <rPr>
            <b/>
            <sz val="9"/>
            <color indexed="81"/>
            <rFont val="ＭＳ Ｐゴシック"/>
            <family val="3"/>
            <charset val="128"/>
          </rPr>
          <t>Masami Oue:</t>
        </r>
        <r>
          <rPr>
            <sz val="9"/>
            <color indexed="81"/>
            <rFont val="ＭＳ Ｐゴシック"/>
            <family val="3"/>
            <charset val="128"/>
          </rPr>
          <t xml:space="preserve">
Measure pH value up to two decimal places and round one decimal places when average is calcurated.</t>
        </r>
      </text>
    </comment>
    <comment ref="AB20" authorId="0" shapeId="0">
      <text>
        <r>
          <rPr>
            <b/>
            <sz val="9"/>
            <color indexed="81"/>
            <rFont val="ＭＳ Ｐゴシック"/>
            <family val="3"/>
            <charset val="128"/>
          </rPr>
          <t>Masami Oue:</t>
        </r>
        <r>
          <rPr>
            <sz val="9"/>
            <color indexed="81"/>
            <rFont val="ＭＳ Ｐゴシック"/>
            <family val="3"/>
            <charset val="128"/>
          </rPr>
          <t xml:space="preserve">
Measure EC value up to 3 significant digits and round 2 digits when average is calcurated.</t>
        </r>
      </text>
    </comment>
  </commentList>
</comments>
</file>

<file path=xl/sharedStrings.xml><?xml version="1.0" encoding="utf-8"?>
<sst xmlns="http://schemas.openxmlformats.org/spreadsheetml/2006/main" count="576" uniqueCount="466">
  <si>
    <t>1.</t>
    <phoneticPr fontId="2"/>
  </si>
  <si>
    <t>General provision</t>
    <phoneticPr fontId="2"/>
  </si>
  <si>
    <t>1.1</t>
    <phoneticPr fontId="2"/>
  </si>
  <si>
    <t>Test purpose</t>
    <phoneticPr fontId="2"/>
  </si>
  <si>
    <t>This test perpuse is to measure pH of soils in abutting contact with water.</t>
    <phoneticPr fontId="2"/>
  </si>
  <si>
    <t>1.2</t>
    <phoneticPr fontId="2"/>
  </si>
  <si>
    <t>Applicable scope</t>
    <phoneticPr fontId="2"/>
  </si>
  <si>
    <t>1.3</t>
    <phoneticPr fontId="2"/>
  </si>
  <si>
    <t>Japanese Geotechnical Society (JGS 0211-2000)</t>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</si>
  <si>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</si>
  <si>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Those contents shall be specified on in report items if different methods from this standard is used partially.</t>
    <phoneticPr fontId="2"/>
  </si>
  <si>
    <t>This standard can be applied to high organic soils too.</t>
    <phoneticPr fontId="2"/>
  </si>
  <si>
    <t>PH shows degree of acid or alkali and it is defined by the following equation.</t>
    <phoneticPr fontId="2"/>
  </si>
  <si>
    <t>2.</t>
    <phoneticPr fontId="2"/>
  </si>
  <si>
    <t>Test equipment and reagents</t>
    <phoneticPr fontId="2"/>
  </si>
  <si>
    <t>2.1</t>
    <phoneticPr fontId="2"/>
  </si>
  <si>
    <t>Test equipment</t>
    <phoneticPr fontId="2"/>
  </si>
  <si>
    <t>Glass electrode pH meter</t>
    <phoneticPr fontId="2"/>
  </si>
  <si>
    <t>(1)</t>
    <phoneticPr fontId="2"/>
  </si>
  <si>
    <t>Minimum reading value is not less than 0.1</t>
    <phoneticPr fontId="2"/>
  </si>
  <si>
    <t>(2)</t>
    <phoneticPr fontId="2"/>
  </si>
  <si>
    <t>Weight balance</t>
    <phoneticPr fontId="2"/>
  </si>
  <si>
    <t>Possible to read up to 0.1 g</t>
    <phoneticPr fontId="2"/>
  </si>
  <si>
    <t>(3)</t>
    <phoneticPr fontId="2"/>
  </si>
  <si>
    <t>Beaker</t>
    <phoneticPr fontId="2"/>
  </si>
  <si>
    <t>Capacity is from 100 mL to 500 mL</t>
    <phoneticPr fontId="2"/>
  </si>
  <si>
    <t>(4)</t>
    <phoneticPr fontId="2"/>
  </si>
  <si>
    <t>Other</t>
    <phoneticPr fontId="2"/>
  </si>
  <si>
    <t>Tweezers</t>
    <phoneticPr fontId="2"/>
  </si>
  <si>
    <t>Washing bottle</t>
    <phoneticPr fontId="2"/>
  </si>
  <si>
    <t>Agitator</t>
    <phoneticPr fontId="2"/>
  </si>
  <si>
    <t>Filter</t>
    <phoneticPr fontId="2"/>
  </si>
  <si>
    <t>Thermometer</t>
    <phoneticPr fontId="2"/>
  </si>
  <si>
    <t>3.</t>
    <phoneticPr fontId="2"/>
  </si>
  <si>
    <t>Sample</t>
    <phoneticPr fontId="2"/>
  </si>
  <si>
    <t>This method is aimed at soils after removal of soil particle more than 10 mm.</t>
    <phoneticPr fontId="2"/>
  </si>
  <si>
    <t>Use as sample which soils removal of soil particle more than 10 mm by tweezers.</t>
    <phoneticPr fontId="2"/>
  </si>
  <si>
    <t>Put moderate amount of samples to a beaker by thinking particle size and add water in orde that water weight ratio to dry sample ( including moisture in samples ) weight  is  5.</t>
    <phoneticPr fontId="2"/>
  </si>
  <si>
    <t>Definition of terms</t>
    <phoneticPr fontId="2"/>
  </si>
  <si>
    <t>(a) Desktop type</t>
    <phoneticPr fontId="2"/>
  </si>
  <si>
    <t>(b) Mobile type</t>
    <phoneticPr fontId="2"/>
  </si>
  <si>
    <t>(1)</t>
    <phoneticPr fontId="2"/>
  </si>
  <si>
    <t>(2)</t>
  </si>
  <si>
    <t>(2)</t>
    <phoneticPr fontId="2"/>
  </si>
  <si>
    <t>PH meter examples are shown in Figure-1</t>
    <phoneticPr fontId="2"/>
  </si>
  <si>
    <t xml:space="preserve">a. Capacity is different by sample particle as indicated in the Table-1. </t>
    <phoneticPr fontId="2"/>
  </si>
  <si>
    <t>Table-1</t>
    <phoneticPr fontId="2"/>
  </si>
  <si>
    <t>Sample Particle</t>
    <phoneticPr fontId="2"/>
  </si>
  <si>
    <t>(mm)</t>
    <phoneticPr fontId="2"/>
  </si>
  <si>
    <t>Sample furnace dry mass</t>
    <phoneticPr fontId="2"/>
  </si>
  <si>
    <t>(g)</t>
    <phoneticPr fontId="2"/>
  </si>
  <si>
    <t>Beaker capacity</t>
    <phoneticPr fontId="2"/>
  </si>
  <si>
    <t>(mL)</t>
    <phoneticPr fontId="2"/>
  </si>
  <si>
    <t>Not less than 10</t>
    <phoneticPr fontId="2"/>
  </si>
  <si>
    <t>Not less than 5</t>
    <phoneticPr fontId="2"/>
  </si>
  <si>
    <t>Not less than 2</t>
    <phoneticPr fontId="2"/>
  </si>
  <si>
    <t>150</t>
    <phoneticPr fontId="2"/>
  </si>
  <si>
    <t>100</t>
    <phoneticPr fontId="2"/>
  </si>
  <si>
    <t>30</t>
    <phoneticPr fontId="2"/>
  </si>
  <si>
    <t>1000</t>
    <phoneticPr fontId="2"/>
  </si>
  <si>
    <t>500</t>
    <phoneticPr fontId="2"/>
  </si>
  <si>
    <t>200</t>
    <phoneticPr fontId="2"/>
  </si>
  <si>
    <t>Preserve sample so that moisture ratio may change after mixing samples enough in the state of sampling ratio .</t>
    <phoneticPr fontId="2"/>
  </si>
  <si>
    <t>(JIS A 1201:2009)</t>
    <phoneticPr fontId="2"/>
  </si>
  <si>
    <t>That rough standard and beaker capacity are shown in Table-1</t>
    <phoneticPr fontId="2"/>
  </si>
  <si>
    <t>b. Calcurate sample dry mass to measure sample moisture ratio in advance. Add water more if sample liquid is not suspended situation to adjust mass ratio 5.</t>
    <phoneticPr fontId="2"/>
  </si>
  <si>
    <t>4.</t>
    <phoneticPr fontId="2"/>
  </si>
  <si>
    <t>Test method</t>
    <phoneticPr fontId="2"/>
  </si>
  <si>
    <t>2.2</t>
    <phoneticPr fontId="2"/>
  </si>
  <si>
    <t>b. If highly alkalic soils are treated, use polyethylene beaker.</t>
    <phoneticPr fontId="2"/>
  </si>
  <si>
    <t>Rough standard of necessary sample amount and beaker capacity</t>
    <phoneticPr fontId="2"/>
  </si>
  <si>
    <t>4.1</t>
    <phoneticPr fontId="2"/>
  </si>
  <si>
    <t>PH meter ajustment</t>
    <phoneticPr fontId="2"/>
  </si>
  <si>
    <t>(1)</t>
    <phoneticPr fontId="2"/>
  </si>
  <si>
    <t xml:space="preserve">It shall be sample liquid which soil is suspended in water by stirring rod and then is left at rest from 30 minites to 3 hours. </t>
    <phoneticPr fontId="2"/>
  </si>
  <si>
    <t>2.2</t>
    <phoneticPr fontId="2"/>
  </si>
  <si>
    <t>Reagents</t>
    <phoneticPr fontId="2"/>
  </si>
  <si>
    <t>PH standard solution</t>
    <phoneticPr fontId="2"/>
  </si>
  <si>
    <t>Water</t>
    <phoneticPr fontId="2"/>
  </si>
  <si>
    <t>Distillated water or ion-exchanged water</t>
    <phoneticPr fontId="2"/>
  </si>
  <si>
    <t>Soak electrode of pH meter energized in advance in water more than 10 minutes.</t>
    <phoneticPr fontId="2"/>
  </si>
  <si>
    <t>Adjust pH meter to correspond pH meter indicated value to pH corresponding to temperature in Table-2 to soak electrode in neutral phosphate pH standard solution after drawing water drops attached to electrode by filter paper.</t>
    <phoneticPr fontId="2"/>
  </si>
  <si>
    <t>(3)</t>
    <phoneticPr fontId="2"/>
  </si>
  <si>
    <t>PH standard solution is oxalate, phthalate, neutral phosphate, borate, and carbonate. Neutral phosphate and phthalate are usually used.</t>
    <phoneticPr fontId="2"/>
  </si>
  <si>
    <t>Table-2</t>
    <phoneticPr fontId="2"/>
  </si>
  <si>
    <t>PH of pH standard solution at each temperature</t>
    <phoneticPr fontId="2"/>
  </si>
  <si>
    <t>Obtain the same result as same as (2) about phthalate pH standard solution.</t>
    <phoneticPr fontId="2"/>
  </si>
  <si>
    <t>Phthalate</t>
    <phoneticPr fontId="2"/>
  </si>
  <si>
    <t>35</t>
    <phoneticPr fontId="2"/>
  </si>
  <si>
    <t>0</t>
    <phoneticPr fontId="2"/>
  </si>
  <si>
    <t>5</t>
    <phoneticPr fontId="2"/>
  </si>
  <si>
    <t>10</t>
    <phoneticPr fontId="2"/>
  </si>
  <si>
    <t>15</t>
    <phoneticPr fontId="2"/>
  </si>
  <si>
    <t>20</t>
    <phoneticPr fontId="2"/>
  </si>
  <si>
    <t>25</t>
    <phoneticPr fontId="2"/>
  </si>
  <si>
    <t>30</t>
    <phoneticPr fontId="2"/>
  </si>
  <si>
    <t>40</t>
  </si>
  <si>
    <t>4.00</t>
    <phoneticPr fontId="2"/>
  </si>
  <si>
    <t>4.01</t>
    <phoneticPr fontId="2"/>
  </si>
  <si>
    <t>4.02</t>
    <phoneticPr fontId="2"/>
  </si>
  <si>
    <t>4.04</t>
    <phoneticPr fontId="2"/>
  </si>
  <si>
    <t>6.98</t>
    <phoneticPr fontId="2"/>
  </si>
  <si>
    <t>6.95</t>
    <phoneticPr fontId="2"/>
  </si>
  <si>
    <t>6.92</t>
    <phoneticPr fontId="2"/>
  </si>
  <si>
    <t>6.90</t>
    <phoneticPr fontId="2"/>
  </si>
  <si>
    <t>6.88</t>
    <phoneticPr fontId="2"/>
  </si>
  <si>
    <t>6.86</t>
    <phoneticPr fontId="2"/>
  </si>
  <si>
    <t>6.85</t>
    <phoneticPr fontId="2"/>
  </si>
  <si>
    <t>6.84</t>
    <phoneticPr fontId="2"/>
  </si>
  <si>
    <r>
      <t>pH=log(1/[H</t>
    </r>
    <r>
      <rPr>
        <vertAlign val="superscript"/>
        <sz val="11"/>
        <color theme="1"/>
        <rFont val="Times New Roman"/>
        <family val="1"/>
      </rPr>
      <t>+</t>
    </r>
    <r>
      <rPr>
        <sz val="11"/>
        <color theme="1"/>
        <rFont val="Times New Roman"/>
        <family val="1"/>
      </rPr>
      <t>]=-log[H</t>
    </r>
    <r>
      <rPr>
        <vertAlign val="superscript"/>
        <sz val="11"/>
        <color theme="1"/>
        <rFont val="Times New Roman"/>
        <family val="1"/>
      </rPr>
      <t>+</t>
    </r>
    <r>
      <rPr>
        <sz val="11"/>
        <color theme="1"/>
        <rFont val="Times New Roman"/>
        <family val="1"/>
      </rPr>
      <t>]</t>
    </r>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</si>
  <si>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</si>
  <si>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(4)</t>
    <phoneticPr fontId="2"/>
  </si>
  <si>
    <r>
      <t xml:space="preserve">Adjust both indicated values to pH value corresponded temperature of each pH standard liquid  in </t>
    </r>
    <r>
      <rPr>
        <sz val="11"/>
        <color theme="1"/>
        <rFont val="ＭＳ Ｐ明朝"/>
        <family val="1"/>
        <charset val="128"/>
      </rPr>
      <t>±</t>
    </r>
    <r>
      <rPr>
        <sz val="11"/>
        <color theme="1"/>
        <rFont val="Times New Roman"/>
        <family val="1"/>
      </rPr>
      <t>0.1 to alternate operation between (2) and (3)</t>
    </r>
    <phoneticPr fontId="2"/>
  </si>
  <si>
    <t>4.2</t>
  </si>
  <si>
    <t>Measurement of pH</t>
    <phoneticPr fontId="2"/>
  </si>
  <si>
    <t>Soak electrode in sample solution after stirring sample solution in beaker.</t>
    <phoneticPr fontId="2"/>
  </si>
  <si>
    <t>Read pH after pH meter Indicated value is stable.</t>
    <phoneticPr fontId="2"/>
  </si>
  <si>
    <t>a. Temperature of pH standard shall be used near room temperature.</t>
    <phoneticPr fontId="2"/>
  </si>
  <si>
    <t>b. Set pH meter temperature to pH standard temperature if pH meter has temperature compensation function.</t>
    <phoneticPr fontId="2"/>
  </si>
  <si>
    <t>(3)</t>
  </si>
  <si>
    <t>(3)</t>
    <phoneticPr fontId="2"/>
  </si>
  <si>
    <t>Use Glass electrode after soaking it in water for 12 hours in advance, if glass slectrode has not been used for a long time.</t>
    <phoneticPr fontId="2"/>
  </si>
  <si>
    <t>b. Wash electrode enough by water each time and draw water drops by filter paper etc. in case of soaking electrode in another pH standard solution.</t>
    <phoneticPr fontId="2"/>
  </si>
  <si>
    <r>
      <t>Temperature (</t>
    </r>
    <r>
      <rPr>
        <sz val="11"/>
        <color theme="1"/>
        <rFont val="ＭＳ Ｐ明朝"/>
        <family val="1"/>
        <charset val="128"/>
      </rPr>
      <t>℃</t>
    </r>
    <r>
      <rPr>
        <sz val="11"/>
        <color theme="1"/>
        <rFont val="Times New Roman"/>
        <family val="1"/>
      </rPr>
      <t>)</t>
    </r>
  </si>
  <si>
    <r>
      <t>Temperature (</t>
    </r>
    <r>
      <rPr>
        <sz val="11"/>
        <color theme="1"/>
        <rFont val="ＭＳ Ｐ明朝"/>
        <family val="1"/>
        <charset val="128"/>
      </rPr>
      <t>℃</t>
    </r>
    <r>
      <rPr>
        <sz val="11"/>
        <color theme="1"/>
        <rFont val="Times New Roman"/>
        <family val="1"/>
      </rPr>
      <t>)</t>
    </r>
    <phoneticPr fontId="2"/>
  </si>
  <si>
    <t>Oxalate</t>
    <phoneticPr fontId="2"/>
  </si>
  <si>
    <t>Carbonate</t>
    <phoneticPr fontId="2"/>
  </si>
  <si>
    <t>0</t>
    <phoneticPr fontId="2"/>
  </si>
  <si>
    <t>5</t>
    <phoneticPr fontId="2"/>
  </si>
  <si>
    <t>10</t>
    <phoneticPr fontId="2"/>
  </si>
  <si>
    <t>15</t>
    <phoneticPr fontId="2"/>
  </si>
  <si>
    <t>20</t>
    <phoneticPr fontId="2"/>
  </si>
  <si>
    <t>25</t>
    <phoneticPr fontId="2"/>
  </si>
  <si>
    <t>30</t>
    <phoneticPr fontId="2"/>
  </si>
  <si>
    <t>35</t>
    <phoneticPr fontId="2"/>
  </si>
  <si>
    <t>40</t>
    <phoneticPr fontId="2"/>
  </si>
  <si>
    <t>1.67</t>
    <phoneticPr fontId="2"/>
  </si>
  <si>
    <t>1.68</t>
    <phoneticPr fontId="2"/>
  </si>
  <si>
    <t>1.69</t>
    <phoneticPr fontId="2"/>
  </si>
  <si>
    <t>9.46</t>
    <phoneticPr fontId="2"/>
  </si>
  <si>
    <t>9.40</t>
    <phoneticPr fontId="2"/>
  </si>
  <si>
    <t>9.33</t>
    <phoneticPr fontId="2"/>
  </si>
  <si>
    <t>9.28</t>
    <phoneticPr fontId="2"/>
  </si>
  <si>
    <t>9.22</t>
    <phoneticPr fontId="2"/>
  </si>
  <si>
    <t>9.18</t>
    <phoneticPr fontId="2"/>
  </si>
  <si>
    <t>9.14</t>
    <phoneticPr fontId="2"/>
  </si>
  <si>
    <t>9.10</t>
    <phoneticPr fontId="2"/>
  </si>
  <si>
    <t>9.07</t>
    <phoneticPr fontId="2"/>
  </si>
  <si>
    <t>10.32</t>
    <phoneticPr fontId="2"/>
  </si>
  <si>
    <t>10.24</t>
    <phoneticPr fontId="2"/>
  </si>
  <si>
    <t>10.18</t>
    <phoneticPr fontId="2"/>
  </si>
  <si>
    <t>10.12</t>
    <phoneticPr fontId="2"/>
  </si>
  <si>
    <t>10.06</t>
    <phoneticPr fontId="2"/>
  </si>
  <si>
    <t>10.01</t>
    <phoneticPr fontId="2"/>
  </si>
  <si>
    <t>9.97</t>
    <phoneticPr fontId="2"/>
  </si>
  <si>
    <t>9.92</t>
    <phoneticPr fontId="2"/>
  </si>
  <si>
    <t>9.39</t>
    <phoneticPr fontId="2"/>
  </si>
  <si>
    <t>4.2</t>
    <phoneticPr fontId="2"/>
  </si>
  <si>
    <t>a. Measure at room temperature and reduce temperature difference between pH standard solution and sample solution if at all possible.</t>
    <phoneticPr fontId="2"/>
  </si>
  <si>
    <t>b. Soak pH meter electrode up to level of deepth shown in Figture-2. Wash electrode enough by water each time and draw water drops by filter paper etc. in case of soaking electrode in another sample solution.</t>
    <phoneticPr fontId="2"/>
  </si>
  <si>
    <t>Figture-2 Example of pH measurement</t>
    <phoneticPr fontId="2"/>
  </si>
  <si>
    <t>5.</t>
    <phoneticPr fontId="2"/>
  </si>
  <si>
    <t>Matters to be reported</t>
    <phoneticPr fontId="2"/>
  </si>
  <si>
    <t>The test report should include the following matters.</t>
    <phoneticPr fontId="2"/>
  </si>
  <si>
    <t>pH of suspended soils</t>
    <phoneticPr fontId="2"/>
  </si>
  <si>
    <t>That content in case to use different method from this standard 4.partially.</t>
    <phoneticPr fontId="2"/>
  </si>
  <si>
    <t>Others and special instruction</t>
    <phoneticPr fontId="2"/>
  </si>
  <si>
    <t>JGS</t>
    <phoneticPr fontId="2"/>
  </si>
  <si>
    <t>0211</t>
    <phoneticPr fontId="2"/>
  </si>
  <si>
    <t>0212</t>
    <phoneticPr fontId="2"/>
  </si>
  <si>
    <t xml:space="preserve">Subject Line of Investigation </t>
    <phoneticPr fontId="2"/>
  </si>
  <si>
    <t>Using Standard solution</t>
    <phoneticPr fontId="2"/>
  </si>
  <si>
    <t>pH</t>
    <phoneticPr fontId="2"/>
  </si>
  <si>
    <t>Test Method for Water Content Soils</t>
    <phoneticPr fontId="2"/>
  </si>
  <si>
    <t>Japanese Industial Standard (JIS A 1203:1999)</t>
    <phoneticPr fontId="2"/>
  </si>
  <si>
    <t>This standard 2.prescribes test method to measure water content in soils by using automatic oven.</t>
    <phoneticPr fontId="2"/>
  </si>
  <si>
    <t>2.</t>
    <phoneticPr fontId="2"/>
  </si>
  <si>
    <t>Citation standard</t>
    <phoneticPr fontId="2"/>
  </si>
  <si>
    <t>The following standard consists on a part of this standard rule to be quoted this standard.</t>
    <phoneticPr fontId="2"/>
  </si>
  <si>
    <t>This standard shall be applied current version.</t>
    <phoneticPr fontId="2"/>
  </si>
  <si>
    <t>JIS R 3503 Glass equipment for chemical analysis</t>
    <phoneticPr fontId="2"/>
  </si>
  <si>
    <t>3.</t>
    <phoneticPr fontId="2"/>
  </si>
  <si>
    <t>Definition</t>
    <phoneticPr fontId="2"/>
  </si>
  <si>
    <t>Definition of this standard shall be the followings.</t>
    <phoneticPr fontId="2"/>
  </si>
  <si>
    <t>a)</t>
    <phoneticPr fontId="2"/>
  </si>
  <si>
    <t>Water content</t>
    <phoneticPr fontId="2"/>
  </si>
  <si>
    <t>4.</t>
    <phoneticPr fontId="2"/>
  </si>
  <si>
    <t>Test equipment</t>
    <phoneticPr fontId="2"/>
  </si>
  <si>
    <t>Test equipment shall be the followings</t>
    <phoneticPr fontId="2"/>
  </si>
  <si>
    <t>Container shall be no variation in mass in test.</t>
    <phoneticPr fontId="2"/>
  </si>
  <si>
    <t>b)</t>
    <phoneticPr fontId="2"/>
  </si>
  <si>
    <t>Reference</t>
  </si>
  <si>
    <t>Reference</t>
    <phoneticPr fontId="2"/>
  </si>
  <si>
    <t xml:space="preserve">it's preferable that automatic oven is circulation air flow system to circulate oven air by compulsion by electrical fan </t>
    <phoneticPr fontId="2"/>
  </si>
  <si>
    <t>c)</t>
    <phoneticPr fontId="2"/>
  </si>
  <si>
    <t>Weight balance shall be to read minimum shown in Table-1.</t>
    <phoneticPr fontId="2"/>
  </si>
  <si>
    <t>d)</t>
    <phoneticPr fontId="2"/>
  </si>
  <si>
    <t xml:space="preserve">Desicator shall be prescribed by JIS R 3503 or container has the same function as this, and is put moisture absorbent such as silica-gel and calcium chloride.   </t>
    <phoneticPr fontId="2"/>
  </si>
  <si>
    <t xml:space="preserve">Table-1 </t>
    <phoneticPr fontId="2"/>
  </si>
  <si>
    <t>Minimum reading value of weight balance to be used to measure sample mass</t>
    <phoneticPr fontId="2"/>
  </si>
  <si>
    <t>Sample</t>
    <phoneticPr fontId="2"/>
  </si>
  <si>
    <t>Unit : g</t>
    <phoneticPr fontId="2"/>
  </si>
  <si>
    <t>Sample mass</t>
    <phoneticPr fontId="2"/>
  </si>
  <si>
    <t>Minimum reading value</t>
    <phoneticPr fontId="2"/>
  </si>
  <si>
    <t>under 10</t>
    <phoneticPr fontId="2"/>
  </si>
  <si>
    <t>more than 10 but less than 100</t>
    <phoneticPr fontId="2"/>
  </si>
  <si>
    <t>more than 1000</t>
    <phoneticPr fontId="2"/>
  </si>
  <si>
    <t>more than 100 but less than 1000</t>
    <phoneticPr fontId="2"/>
  </si>
  <si>
    <t>0.001</t>
    <phoneticPr fontId="2"/>
  </si>
  <si>
    <t>0.01</t>
    <phoneticPr fontId="2"/>
  </si>
  <si>
    <t>0.1</t>
    <phoneticPr fontId="2"/>
  </si>
  <si>
    <t>1</t>
    <phoneticPr fontId="2"/>
  </si>
  <si>
    <t>5.</t>
    <phoneticPr fontId="2"/>
  </si>
  <si>
    <t>Take moderate amount of sample to respond to test purpose and sample particle size.</t>
    <phoneticPr fontId="2"/>
  </si>
  <si>
    <t>Take a little heavy-handed with the amount of sample in case that sample has coarse-grained fraction.</t>
    <phoneticPr fontId="2"/>
  </si>
  <si>
    <t>The rough standard of necessary minimum mass as sample is shown in Reference Table-1.</t>
    <phoneticPr fontId="2"/>
  </si>
  <si>
    <t>Reference Table-1.</t>
    <phoneticPr fontId="2"/>
  </si>
  <si>
    <t>The rough standard of necessary minimum mass to measure water content</t>
    <phoneticPr fontId="2"/>
  </si>
  <si>
    <t>Maximum particle size of sample</t>
    <phoneticPr fontId="2"/>
  </si>
  <si>
    <t>(mm)</t>
    <phoneticPr fontId="2"/>
  </si>
  <si>
    <t>Minimum mass of sample</t>
    <phoneticPr fontId="2"/>
  </si>
  <si>
    <t>75</t>
    <phoneticPr fontId="2"/>
  </si>
  <si>
    <t>37.5</t>
    <phoneticPr fontId="2"/>
  </si>
  <si>
    <r>
      <t>The ratio of water mass in soils lost in 100 ± 5</t>
    </r>
    <r>
      <rPr>
        <sz val="11"/>
        <color theme="1"/>
        <rFont val="ＭＳ Ｐ明朝"/>
        <family val="1"/>
        <charset val="128"/>
      </rPr>
      <t>　℃</t>
    </r>
    <r>
      <rPr>
        <sz val="11"/>
        <color theme="1"/>
        <rFont val="Times New Roman"/>
        <family val="1"/>
      </rPr>
      <t xml:space="preserve"> automatic oven to dry soil mass. It shall be shown percentage.</t>
    </r>
    <phoneticPr fontId="2"/>
  </si>
  <si>
    <r>
      <t xml:space="preserve">Automatic oven shall hold 110 ± 5 </t>
    </r>
    <r>
      <rPr>
        <sz val="11"/>
        <color theme="1"/>
        <rFont val="ＭＳ Ｐ明朝"/>
        <family val="1"/>
        <charset val="128"/>
      </rPr>
      <t>℃</t>
    </r>
    <r>
      <rPr>
        <sz val="11"/>
        <color theme="1"/>
        <rFont val="Times New Roman"/>
        <family val="1"/>
      </rPr>
      <t xml:space="preserve"> at temperature.</t>
    </r>
    <phoneticPr fontId="2"/>
  </si>
  <si>
    <r>
      <t>5</t>
    </r>
    <r>
      <rPr>
        <sz val="11"/>
        <color theme="1"/>
        <rFont val="ＭＳ Ｐ明朝"/>
        <family val="1"/>
        <charset val="128"/>
      </rPr>
      <t>～</t>
    </r>
    <r>
      <rPr>
        <sz val="11"/>
        <color theme="1"/>
        <rFont val="Times New Roman"/>
        <family val="1"/>
      </rPr>
      <t>30kg</t>
    </r>
    <phoneticPr fontId="2"/>
  </si>
  <si>
    <r>
      <t>1</t>
    </r>
    <r>
      <rPr>
        <sz val="11"/>
        <color theme="1"/>
        <rFont val="ＭＳ Ｐ明朝"/>
        <family val="1"/>
        <charset val="128"/>
      </rPr>
      <t>～</t>
    </r>
    <r>
      <rPr>
        <sz val="11"/>
        <color theme="1"/>
        <rFont val="Times New Roman"/>
        <family val="1"/>
      </rPr>
      <t>5kg</t>
    </r>
    <phoneticPr fontId="2"/>
  </si>
  <si>
    <r>
      <t>150</t>
    </r>
    <r>
      <rPr>
        <sz val="11"/>
        <color theme="1"/>
        <rFont val="ＭＳ Ｐ明朝"/>
        <family val="1"/>
        <charset val="128"/>
      </rPr>
      <t>～</t>
    </r>
    <r>
      <rPr>
        <sz val="11"/>
        <color theme="1"/>
        <rFont val="Times New Roman"/>
        <family val="1"/>
      </rPr>
      <t>300g</t>
    </r>
    <phoneticPr fontId="2"/>
  </si>
  <si>
    <r>
      <t>30</t>
    </r>
    <r>
      <rPr>
        <sz val="11"/>
        <color theme="1"/>
        <rFont val="ＭＳ Ｐ明朝"/>
        <family val="1"/>
        <charset val="128"/>
      </rPr>
      <t>～</t>
    </r>
    <r>
      <rPr>
        <sz val="11"/>
        <color theme="1"/>
        <rFont val="Times New Roman"/>
        <family val="1"/>
      </rPr>
      <t>100g</t>
    </r>
    <r>
      <rPr>
        <sz val="11"/>
        <color theme="1"/>
        <rFont val="Calibri"/>
        <family val="2"/>
        <charset val="128"/>
        <scheme val="minor"/>
      </rPr>
      <t/>
    </r>
    <phoneticPr fontId="2"/>
  </si>
  <si>
    <r>
      <t>10</t>
    </r>
    <r>
      <rPr>
        <sz val="11"/>
        <color theme="1"/>
        <rFont val="ＭＳ Ｐ明朝"/>
        <family val="1"/>
        <charset val="128"/>
      </rPr>
      <t>～</t>
    </r>
    <r>
      <rPr>
        <sz val="11"/>
        <color theme="1"/>
        <rFont val="Times New Roman"/>
        <family val="1"/>
      </rPr>
      <t>30g</t>
    </r>
    <r>
      <rPr>
        <sz val="11"/>
        <color theme="1"/>
        <rFont val="Calibri"/>
        <family val="2"/>
        <charset val="128"/>
        <scheme val="minor"/>
      </rPr>
      <t/>
    </r>
    <phoneticPr fontId="2"/>
  </si>
  <si>
    <r>
      <t>5</t>
    </r>
    <r>
      <rPr>
        <sz val="11"/>
        <color theme="1"/>
        <rFont val="ＭＳ Ｐ明朝"/>
        <family val="1"/>
        <charset val="128"/>
      </rPr>
      <t>～</t>
    </r>
    <r>
      <rPr>
        <sz val="11"/>
        <color theme="1"/>
        <rFont val="Times New Roman"/>
        <family val="1"/>
      </rPr>
      <t>10g</t>
    </r>
    <r>
      <rPr>
        <sz val="11"/>
        <color theme="1"/>
        <rFont val="Calibri"/>
        <family val="2"/>
        <charset val="128"/>
        <scheme val="minor"/>
      </rPr>
      <t/>
    </r>
    <phoneticPr fontId="2"/>
  </si>
  <si>
    <t>6.</t>
    <phoneticPr fontId="2"/>
  </si>
  <si>
    <t>Test method</t>
    <phoneticPr fontId="2"/>
  </si>
  <si>
    <t>Test method shall be following</t>
    <phoneticPr fontId="2"/>
  </si>
  <si>
    <t>Measure container weight mc(g).</t>
    <phoneticPr fontId="2"/>
  </si>
  <si>
    <t>Put sample into container and mesure total weight ma(g)</t>
    <phoneticPr fontId="2"/>
  </si>
  <si>
    <r>
      <t>Put sample with container into automatic oven dry up at 110</t>
    </r>
    <r>
      <rPr>
        <sz val="11"/>
        <color theme="1"/>
        <rFont val="ＭＳ Ｐ明朝"/>
        <family val="1"/>
        <charset val="128"/>
      </rPr>
      <t>±</t>
    </r>
    <r>
      <rPr>
        <sz val="11"/>
        <color theme="1"/>
        <rFont val="Times New Roman"/>
        <family val="1"/>
      </rPr>
      <t>5</t>
    </r>
    <r>
      <rPr>
        <sz val="11"/>
        <color theme="1"/>
        <rFont val="ＭＳ Ｐ明朝"/>
        <family val="1"/>
        <charset val="128"/>
      </rPr>
      <t>℃</t>
    </r>
    <r>
      <rPr>
        <sz val="11"/>
        <color theme="1"/>
        <rFont val="Times New Roman"/>
        <family val="1"/>
      </rPr>
      <t xml:space="preserve"> until sample weight is constant in oven.</t>
    </r>
    <phoneticPr fontId="2"/>
  </si>
  <si>
    <t>(d)</t>
    <phoneticPr fontId="2"/>
  </si>
  <si>
    <t>Put sample with container into desicator and measure total weight mb(g) after cooling down up to near room temperature</t>
    <phoneticPr fontId="2"/>
  </si>
  <si>
    <r>
      <t>The time that sample weight is constant is about 18</t>
    </r>
    <r>
      <rPr>
        <sz val="11"/>
        <color theme="1"/>
        <rFont val="ＭＳ Ｐ明朝"/>
        <family val="1"/>
        <charset val="128"/>
      </rPr>
      <t>～</t>
    </r>
    <r>
      <rPr>
        <sz val="11"/>
        <color theme="1"/>
        <rFont val="Times New Roman"/>
        <family val="1"/>
      </rPr>
      <t>24 hours.</t>
    </r>
    <phoneticPr fontId="2"/>
  </si>
  <si>
    <t>7.</t>
    <phoneticPr fontId="2"/>
  </si>
  <si>
    <t>Calculation</t>
    <phoneticPr fontId="2"/>
  </si>
  <si>
    <t>Water content shall be calculated by following formula</t>
    <phoneticPr fontId="2"/>
  </si>
  <si>
    <t>Herein</t>
    <phoneticPr fontId="2"/>
  </si>
  <si>
    <t>w:</t>
    <phoneticPr fontId="2"/>
  </si>
  <si>
    <t>ma:</t>
    <phoneticPr fontId="2"/>
  </si>
  <si>
    <t>mb:</t>
    <phoneticPr fontId="2"/>
  </si>
  <si>
    <t>mc:</t>
    <phoneticPr fontId="2"/>
  </si>
  <si>
    <t>Water content (%)</t>
    <phoneticPr fontId="2"/>
  </si>
  <si>
    <t>Mass of sample and container (g)</t>
    <phoneticPr fontId="2"/>
  </si>
  <si>
    <t>Mass of dry sample and container (g)</t>
    <phoneticPr fontId="2"/>
  </si>
  <si>
    <t>Mass of container (g)</t>
    <phoneticPr fontId="2"/>
  </si>
  <si>
    <t>8.</t>
    <phoneticPr fontId="2"/>
  </si>
  <si>
    <t>Report</t>
    <phoneticPr fontId="2"/>
  </si>
  <si>
    <t>Water content in soils</t>
    <phoneticPr fontId="2"/>
  </si>
  <si>
    <t>Masami Oue</t>
    <phoneticPr fontId="2"/>
  </si>
  <si>
    <t>Test Date</t>
  </si>
  <si>
    <t>Tester</t>
    <phoneticPr fontId="2"/>
  </si>
  <si>
    <r>
      <t>Temperature  (</t>
    </r>
    <r>
      <rPr>
        <sz val="11"/>
        <color theme="1"/>
        <rFont val="ＭＳ Ｐ明朝"/>
        <family val="1"/>
        <charset val="128"/>
      </rPr>
      <t>℃</t>
    </r>
    <r>
      <rPr>
        <sz val="11"/>
        <color theme="1"/>
        <rFont val="Times New Roman"/>
        <family val="1"/>
      </rPr>
      <t>)</t>
    </r>
    <phoneticPr fontId="2"/>
  </si>
  <si>
    <t>Sample Number (deepness)</t>
    <phoneticPr fontId="2"/>
  </si>
  <si>
    <t>18</t>
    <phoneticPr fontId="2"/>
  </si>
  <si>
    <t>4.00</t>
    <phoneticPr fontId="2"/>
  </si>
  <si>
    <t>6.89</t>
    <phoneticPr fontId="2"/>
  </si>
  <si>
    <r>
      <t>T1-2(2.00</t>
    </r>
    <r>
      <rPr>
        <sz val="11"/>
        <color theme="1"/>
        <rFont val="ＭＳ Ｐ明朝"/>
        <family val="1"/>
        <charset val="128"/>
      </rPr>
      <t>～</t>
    </r>
    <r>
      <rPr>
        <sz val="11"/>
        <color theme="1"/>
        <rFont val="Times New Roman"/>
        <family val="1"/>
      </rPr>
      <t>2.80m)</t>
    </r>
    <r>
      <rPr>
        <sz val="11"/>
        <color theme="1"/>
        <rFont val="Calibri"/>
        <family val="2"/>
        <charset val="128"/>
        <scheme val="minor"/>
      </rPr>
      <t/>
    </r>
    <phoneticPr fontId="2"/>
  </si>
  <si>
    <t>Beaker No.</t>
    <phoneticPr fontId="2"/>
  </si>
  <si>
    <t>Oxalate</t>
    <phoneticPr fontId="2"/>
  </si>
  <si>
    <t>Phthalate</t>
    <phoneticPr fontId="2"/>
  </si>
  <si>
    <t>Neutral phosphate</t>
    <phoneticPr fontId="2"/>
  </si>
  <si>
    <t>Borate</t>
    <phoneticPr fontId="2"/>
  </si>
  <si>
    <t>Carbonate</t>
    <phoneticPr fontId="2"/>
  </si>
  <si>
    <r>
      <t xml:space="preserve">Test for ( </t>
    </r>
    <r>
      <rPr>
        <sz val="12"/>
        <color theme="1"/>
        <rFont val="ＭＳ Ｐ明朝"/>
        <family val="1"/>
        <charset val="128"/>
      </rPr>
      <t>　</t>
    </r>
    <r>
      <rPr>
        <sz val="12"/>
        <color theme="1"/>
        <rFont val="Times New Roman"/>
        <family val="1"/>
      </rPr>
      <t>pH</t>
    </r>
    <r>
      <rPr>
        <sz val="12"/>
        <color theme="1"/>
        <rFont val="ＭＳ Ｐ明朝"/>
        <family val="1"/>
        <charset val="128"/>
      </rPr>
      <t>　</t>
    </r>
    <r>
      <rPr>
        <sz val="12"/>
        <color theme="1"/>
        <rFont val="Times New Roman"/>
        <family val="1"/>
      </rPr>
      <t xml:space="preserve"> </t>
    </r>
    <r>
      <rPr>
        <sz val="12"/>
        <color theme="1"/>
        <rFont val="ＭＳ Ｐ明朝"/>
        <family val="1"/>
        <charset val="128"/>
      </rPr>
      <t>・　　</t>
    </r>
    <r>
      <rPr>
        <sz val="12"/>
        <color theme="1"/>
        <rFont val="Times New Roman"/>
        <family val="1"/>
      </rPr>
      <t>Electric conductivity</t>
    </r>
    <r>
      <rPr>
        <sz val="12"/>
        <color theme="1"/>
        <rFont val="ＭＳ Ｐ明朝"/>
        <family val="1"/>
        <charset val="128"/>
      </rPr>
      <t>　</t>
    </r>
    <r>
      <rPr>
        <sz val="12"/>
        <color theme="1"/>
        <rFont val="Times New Roman"/>
        <family val="1"/>
      </rPr>
      <t>) of Suspended Soils</t>
    </r>
    <phoneticPr fontId="2"/>
  </si>
  <si>
    <r>
      <t>T1-1(1.00</t>
    </r>
    <r>
      <rPr>
        <sz val="11"/>
        <color theme="1"/>
        <rFont val="ＭＳ Ｐ明朝"/>
        <family val="1"/>
        <charset val="128"/>
      </rPr>
      <t>～</t>
    </r>
    <r>
      <rPr>
        <sz val="11"/>
        <color theme="1"/>
        <rFont val="Times New Roman"/>
        <family val="1"/>
      </rPr>
      <t>1.80m)</t>
    </r>
    <phoneticPr fontId="2"/>
  </si>
  <si>
    <t>1A</t>
    <phoneticPr fontId="2"/>
  </si>
  <si>
    <t>1B</t>
    <phoneticPr fontId="2"/>
  </si>
  <si>
    <t>2A</t>
    <phoneticPr fontId="2"/>
  </si>
  <si>
    <t>2B</t>
    <phoneticPr fontId="2"/>
  </si>
  <si>
    <t>Wet sample mass</t>
    <phoneticPr fontId="2"/>
  </si>
  <si>
    <t>Dry sample mass by Calcuration</t>
    <phoneticPr fontId="2"/>
  </si>
  <si>
    <t>Additonal water amount</t>
    <phoneticPr fontId="2"/>
  </si>
  <si>
    <t>The ratio of water mass to dry sample mass</t>
    <phoneticPr fontId="2"/>
  </si>
  <si>
    <t>Sample solution temperature</t>
    <phoneticPr fontId="2"/>
  </si>
  <si>
    <t>℃</t>
    <phoneticPr fontId="2"/>
  </si>
  <si>
    <t>m g</t>
    <phoneticPr fontId="2"/>
  </si>
  <si>
    <r>
      <t>V</t>
    </r>
    <r>
      <rPr>
        <vertAlign val="subscript"/>
        <sz val="11"/>
        <color theme="1"/>
        <rFont val="Times New Roman"/>
        <family val="1"/>
      </rPr>
      <t>w</t>
    </r>
    <r>
      <rPr>
        <sz val="11"/>
        <color theme="1"/>
        <rFont val="Times New Roman"/>
        <family val="1"/>
      </rPr>
      <t>ml</t>
    </r>
    <phoneticPr fontId="2"/>
  </si>
  <si>
    <t>pH</t>
    <phoneticPr fontId="2"/>
  </si>
  <si>
    <t>Average</t>
    <phoneticPr fontId="2"/>
  </si>
  <si>
    <t>Measuring value</t>
    <phoneticPr fontId="2"/>
  </si>
  <si>
    <t>EC</t>
    <phoneticPr fontId="2"/>
  </si>
  <si>
    <t>Measuring value xmS/m</t>
    <phoneticPr fontId="2"/>
  </si>
  <si>
    <t>Average xmS/m</t>
    <phoneticPr fontId="2"/>
  </si>
  <si>
    <t>Container No.</t>
    <phoneticPr fontId="2"/>
  </si>
  <si>
    <r>
      <t>m</t>
    </r>
    <r>
      <rPr>
        <vertAlign val="subscript"/>
        <sz val="11"/>
        <color theme="1"/>
        <rFont val="Times New Roman"/>
        <family val="1"/>
      </rPr>
      <t>a</t>
    </r>
    <phoneticPr fontId="2"/>
  </si>
  <si>
    <r>
      <t>m</t>
    </r>
    <r>
      <rPr>
        <vertAlign val="subscript"/>
        <sz val="11"/>
        <color theme="1"/>
        <rFont val="Times New Roman"/>
        <family val="1"/>
      </rPr>
      <t>b</t>
    </r>
    <phoneticPr fontId="2"/>
  </si>
  <si>
    <r>
      <t>m</t>
    </r>
    <r>
      <rPr>
        <vertAlign val="subscript"/>
        <sz val="11"/>
        <color theme="1"/>
        <rFont val="Times New Roman"/>
        <family val="1"/>
      </rPr>
      <t>c</t>
    </r>
    <phoneticPr fontId="2"/>
  </si>
  <si>
    <t>g</t>
    <phoneticPr fontId="2"/>
  </si>
  <si>
    <t>w</t>
    <phoneticPr fontId="2"/>
  </si>
  <si>
    <t>%</t>
    <phoneticPr fontId="2"/>
  </si>
  <si>
    <t>Water
content</t>
    <phoneticPr fontId="2"/>
  </si>
  <si>
    <t>Average value w</t>
    <phoneticPr fontId="2"/>
  </si>
  <si>
    <t>Special instruction</t>
    <phoneticPr fontId="2"/>
  </si>
  <si>
    <r>
      <t>m</t>
    </r>
    <r>
      <rPr>
        <vertAlign val="subscript"/>
        <sz val="11"/>
        <color rgb="FFFF0000"/>
        <rFont val="Times New Roman"/>
        <family val="1"/>
      </rPr>
      <t>s</t>
    </r>
    <r>
      <rPr>
        <sz val="11"/>
        <color rgb="FFFF0000"/>
        <rFont val="Times New Roman"/>
        <family val="1"/>
      </rPr>
      <t>g</t>
    </r>
    <phoneticPr fontId="2"/>
  </si>
  <si>
    <r>
      <t>R</t>
    </r>
    <r>
      <rPr>
        <vertAlign val="subscript"/>
        <sz val="11"/>
        <color rgb="FFFF0000"/>
        <rFont val="Times New Roman"/>
        <family val="1"/>
      </rPr>
      <t>w</t>
    </r>
    <phoneticPr fontId="2"/>
  </si>
  <si>
    <t>3A</t>
    <phoneticPr fontId="2"/>
  </si>
  <si>
    <t>3B</t>
    <phoneticPr fontId="2"/>
  </si>
  <si>
    <t>Soil color is blackish brown</t>
    <phoneticPr fontId="2"/>
  </si>
  <si>
    <t>4A</t>
    <phoneticPr fontId="2"/>
  </si>
  <si>
    <t>4B</t>
    <phoneticPr fontId="2"/>
  </si>
  <si>
    <t>We added water more than the ruled amount so that sample was not suspended sistuation to be added the ruled amount of water.</t>
    <phoneticPr fontId="2"/>
  </si>
  <si>
    <t>We made samples after removing of oxdized parts so that sample surface was oxidized to yellow-brown color.</t>
    <phoneticPr fontId="2"/>
  </si>
  <si>
    <t>We measured to use 30g dry mass sample so that sample had particle more than 2mm but sample was small amount.</t>
    <phoneticPr fontId="2"/>
  </si>
  <si>
    <t>a. Use oxalate instead of phthalate in case that pH of sample solution is not less than 2, and use pH standard solution of borate or carbonate in case that pH is more than 10.</t>
    <phoneticPr fontId="2"/>
  </si>
  <si>
    <t>a. Take more sample amount if soil has coarse particle.</t>
    <phoneticPr fontId="2"/>
  </si>
  <si>
    <r>
      <t>PH of suspended soils is the value expressed as common logarithm, which the reciprocal of hydrogen-ion molar concentration[H</t>
    </r>
    <r>
      <rPr>
        <vertAlign val="superscript"/>
        <sz val="11"/>
        <color theme="1"/>
        <rFont val="Times New Roman"/>
        <family val="1"/>
      </rPr>
      <t>+</t>
    </r>
    <r>
      <rPr>
        <sz val="11"/>
        <color theme="1"/>
        <rFont val="Times New Roman"/>
        <family val="1"/>
      </rPr>
      <t xml:space="preserve">] (mol/L) in water soil particle mechanically suspended </t>
    </r>
    <phoneticPr fontId="2"/>
  </si>
  <si>
    <t>Sample Number (deepness)</t>
    <phoneticPr fontId="2"/>
  </si>
  <si>
    <t>2.</t>
    <phoneticPr fontId="2"/>
  </si>
  <si>
    <r>
      <t>V</t>
    </r>
    <r>
      <rPr>
        <vertAlign val="subscript"/>
        <sz val="11"/>
        <color rgb="FF0070C0"/>
        <rFont val="Times New Roman"/>
        <family val="1"/>
      </rPr>
      <t>w</t>
    </r>
    <r>
      <rPr>
        <sz val="11"/>
        <color rgb="FF0070C0"/>
        <rFont val="Times New Roman"/>
        <family val="1"/>
      </rPr>
      <t>ml</t>
    </r>
    <phoneticPr fontId="2"/>
  </si>
  <si>
    <t>JIS A 1201</t>
    <phoneticPr fontId="2"/>
  </si>
  <si>
    <t>JIS K 0557</t>
    <phoneticPr fontId="2"/>
  </si>
  <si>
    <t>JIS K 8230</t>
    <phoneticPr fontId="2"/>
  </si>
  <si>
    <t>JIS R 3503</t>
    <phoneticPr fontId="2"/>
  </si>
  <si>
    <t>JIS Z 8802</t>
    <phoneticPr fontId="2"/>
  </si>
  <si>
    <t>JGS 0051</t>
    <phoneticPr fontId="2"/>
  </si>
  <si>
    <t>JGS 0211</t>
    <phoneticPr fontId="2"/>
  </si>
  <si>
    <t xml:space="preserve">Use soil followed by Cabinet Order 6.2 "Non-dry method " in JIS A 1201:2009  " Practise for preparing disturbed soil samples for soil testing ". </t>
    <phoneticPr fontId="2"/>
  </si>
  <si>
    <t>Test Method for pH of Suspended Soils</t>
    <phoneticPr fontId="2"/>
  </si>
  <si>
    <t>3.1</t>
    <phoneticPr fontId="2"/>
  </si>
  <si>
    <t xml:space="preserve"> </t>
    <phoneticPr fontId="2"/>
  </si>
  <si>
    <t>3.2</t>
    <phoneticPr fontId="2"/>
  </si>
  <si>
    <t>4.1</t>
    <phoneticPr fontId="2"/>
  </si>
  <si>
    <t>4.2</t>
    <phoneticPr fontId="2"/>
  </si>
  <si>
    <t>4.3</t>
    <phoneticPr fontId="2"/>
  </si>
  <si>
    <t>4.4</t>
    <phoneticPr fontId="2"/>
  </si>
  <si>
    <t>19</t>
    <phoneticPr fontId="2"/>
  </si>
  <si>
    <t>4.75</t>
    <phoneticPr fontId="2"/>
  </si>
  <si>
    <t>2</t>
    <phoneticPr fontId="2"/>
  </si>
  <si>
    <t>0.425</t>
    <phoneticPr fontId="2"/>
  </si>
  <si>
    <t>4.5</t>
    <phoneticPr fontId="2"/>
  </si>
  <si>
    <t>4.6</t>
    <phoneticPr fontId="2"/>
  </si>
  <si>
    <t>4.7</t>
    <phoneticPr fontId="2"/>
  </si>
  <si>
    <t>a)</t>
    <phoneticPr fontId="2"/>
  </si>
  <si>
    <t>b)</t>
    <phoneticPr fontId="2"/>
  </si>
  <si>
    <t>Neutral phosphate</t>
    <phoneticPr fontId="2"/>
  </si>
  <si>
    <t>Borate</t>
    <phoneticPr fontId="2"/>
  </si>
  <si>
    <t>4.8</t>
    <phoneticPr fontId="2"/>
  </si>
  <si>
    <t>4.9</t>
    <phoneticPr fontId="2"/>
  </si>
  <si>
    <t>c)</t>
    <phoneticPr fontId="2"/>
  </si>
  <si>
    <t>d)</t>
    <phoneticPr fontId="2"/>
  </si>
  <si>
    <t>5.1</t>
    <phoneticPr fontId="2"/>
  </si>
  <si>
    <t>5.2</t>
    <phoneticPr fontId="2"/>
  </si>
  <si>
    <t>6.1</t>
    <phoneticPr fontId="2"/>
  </si>
  <si>
    <t>d)</t>
    <phoneticPr fontId="2"/>
  </si>
  <si>
    <t>*</t>
    <phoneticPr fontId="2"/>
  </si>
  <si>
    <t>e)</t>
    <phoneticPr fontId="2"/>
  </si>
  <si>
    <t>f)</t>
    <phoneticPr fontId="2"/>
  </si>
  <si>
    <t>6.2</t>
    <phoneticPr fontId="2"/>
  </si>
  <si>
    <t>6.3</t>
    <phoneticPr fontId="2"/>
  </si>
  <si>
    <t>b)</t>
    <phoneticPr fontId="2"/>
  </si>
  <si>
    <t>Use sample after breaking it in case of consolidated soil</t>
    <phoneticPr fontId="2"/>
  </si>
  <si>
    <t>Thiết bị và hóa chất</t>
  </si>
  <si>
    <t>Mẫu được chuẩn bị theo mục  5.1 mẫu đất hoặc 5.2 mẫu đất đá được nghiền</t>
  </si>
  <si>
    <t>Mẫu đất</t>
  </si>
  <si>
    <t>Mẫu đá</t>
  </si>
  <si>
    <t>Sử dụng mẫu đã xữ lý theo mục 6.3 bằng phương pháp làm khô tự nhiên theo JIS A 1201 "Chuẩn bị mẫu đất bị xáo trộn để kiểm tra mẫu đất".</t>
  </si>
  <si>
    <t>Xáo trộn đất lên, đem rây bằng rây có kích thước 2mm sau khi đã loại bỏ những mẫu gỗ, chất vô cơ có kích thước lớn hơn 2mm</t>
  </si>
  <si>
    <t>Chuẩn bị mẫu ít nhất là 2g theo phương pháp mục 5.1 như JIS A 1201  "Chuẩn bị mẫu đất bị xáo trộn để kiểm tra mẫu đất".</t>
  </si>
  <si>
    <t>Chuẩn bị mẫu đá có kích thước từ 10 ~ 20 mm bằng thiết bị nghiền đá. Sấy khô trong trường hợp mẫu có nước.</t>
  </si>
  <si>
    <t>Sau đó rây mẫu bằng rây có kích thước 2mm</t>
  </si>
  <si>
    <t>Sử dụng các thiết bị bảo hộ trong trường hợp dùng các thiết bị thủ công để nghiền đá.</t>
  </si>
  <si>
    <t>Phương pháp kiểm tra</t>
  </si>
  <si>
    <t>Phương pháp kiểm tra được thực hiện theo các bước sau.</t>
  </si>
  <si>
    <t>Xử lý bằng dụng dịch hydro peroxide</t>
  </si>
  <si>
    <t>Xử lý bằng dụng dịch hydro peroxide được thực hiện bằng các bước sau</t>
  </si>
  <si>
    <t>Cân ms(g) mẫu và cho vào beaker.</t>
  </si>
  <si>
    <t>Cân tổng khối lượng của beaker và mẫu mt(g)</t>
  </si>
  <si>
    <t>Chính xác đến  0.01g</t>
  </si>
  <si>
    <t>Lưu ý</t>
  </si>
  <si>
    <t>Lưu ý 1</t>
  </si>
  <si>
    <t>Lưu ý 2</t>
  </si>
  <si>
    <t xml:space="preserve">Chỉnh pH dung dịch hydorogen peroxide  đến 6 bằng NaOH 10 mmol /L (0.04%)  </t>
  </si>
  <si>
    <t>Phòng khí có phản ứng mạnh xảy ra và có hiện tượng sủi bọt trong beaker.</t>
  </si>
  <si>
    <t>Thêm từ từ dung dịch hydro peroxide</t>
  </si>
  <si>
    <t>Làm lạnh beaker bằng nước</t>
  </si>
  <si>
    <t>Sử dụng beaker có dung tích lớn</t>
  </si>
  <si>
    <t>Kết thúc quá trình gia nhiệt khi bóng khí mất đi và nhiệt độ của beaker bằng với nhiệt độ phòng.</t>
  </si>
  <si>
    <t>Chú ý không quan sát khi dung dịch đang sôi lên trong lúc gia nhiệt.</t>
  </si>
  <si>
    <t>Hiệu chỉnh máy đo pH</t>
  </si>
  <si>
    <t>Được tiến hành thực hiện theo mục 6.1 "Hiệu hỉnh máy đo pH" theo JGS 0211"Phương pháp xác định pH của đất".</t>
  </si>
  <si>
    <t>Đo pH</t>
  </si>
  <si>
    <t>Mẫu được đo sau khi đã thêm nước và khuấy đều. Lượng nước được thêm vào sao cho tổng khối lượng của mẫu và beaker bằng với (mt+ms×10) sau khi đã thêm nước vào.</t>
  </si>
  <si>
    <t>Mục đích là để phục hồi lại lượng nước sau quá trình gia nhiệt</t>
  </si>
  <si>
    <t>Nhúng điện cực vào trong dung dịch mẫu sau khi đã chuyển vào trong ống đo.</t>
  </si>
  <si>
    <t>Đọc giá trị pH khi pH ổn định.</t>
  </si>
  <si>
    <t>Lưu ý 3</t>
  </si>
  <si>
    <t>Lưu ý 4</t>
  </si>
  <si>
    <t>Lưu ý 5</t>
  </si>
  <si>
    <t>Lưu ý 6</t>
  </si>
  <si>
    <t>Lưu ý 7</t>
  </si>
  <si>
    <t>Lưu ý 8</t>
  </si>
  <si>
    <t>Rửa điện cực bằng nước và lau bằng khăn giấy. Trong trường hợp điện cực được ngâm vào trong một dung dịch chuẩn pH khác.</t>
  </si>
  <si>
    <t>Dung dịch phải được đo ở nhiệt độ phòng để giảm thiểu sự khác biệt nhiệt độ giữa dung dịch chuẩn pH và dung dịch mẫu.</t>
  </si>
  <si>
    <t>Có thể giá trị pH không giữ nguyên trong khoảng ±0.1 vì giá trị p dễ thay đổi trong trường hợp đặc tính hấp thụ của mẫu thấp. Hãy tính giá trị pH bằng giá trị trung bình trong vòng  ±0.2 nếu gặp trường hợp này.</t>
  </si>
  <si>
    <t>Hãy cẩn thận vì giá trị pH có thể không có độ lập trong khoảng  ±0.1. Bằng cách này nó có thể được đo mà không cần phải chuyển dung dịch mẫu vào trong một vật chứa khác trong trường hợp điện cực pH ngập sâu vào trong phần dung dịch như hình số 3.</t>
  </si>
  <si>
    <t xml:space="preserve">Lưu ý </t>
  </si>
  <si>
    <t>Phương pháp kiểm tra độ axit trong đất và đá sử dụng dung dịch hydorogen peroxide (H2O2)</t>
  </si>
  <si>
    <t>Hội kỹ thuật địa chất Nhật Bản (JGS 0271-2015)</t>
  </si>
  <si>
    <t>Phạm vi áp dụng</t>
  </si>
  <si>
    <t xml:space="preserve"> Tiêu chuẩn này quy định phương pháp kiểm tra pH của huyền phù đất. Đất được tiền xử lý bằng dung dịch H2O2 và nước để đánh giá khả năng axit hóa của đất. Đất được sử dụng để kiểm tra là loại đất được loại bỏ các hạt đất và đá trên 2mm.</t>
  </si>
  <si>
    <t>Chú ý</t>
  </si>
  <si>
    <t>Đất có thành phần hữu cơ cao được phân loại dựa vào JGS 0511 không nằm trong phạm vi áp dụng của phương pháp này bởi vì pH có khả năng giảm do sự oxi hóa các chất hữu cơ</t>
  </si>
  <si>
    <t xml:space="preserve"> Các tiêu chuẩn dưới đây được trích dẫn một phần đến tiêu chuẩn này. Các tiêu chuẩn trích dẫn được áp dụng phiên bản hiện tại.</t>
  </si>
  <si>
    <t>Các tiêu chuẩn trích dẫn</t>
  </si>
  <si>
    <t xml:space="preserve">Chuẩn bị mẫu đất trộn cho việc kiểm tra đất </t>
  </si>
  <si>
    <t>Water for test of diversion of water and wastewater. Nước cho việc kiểm tra dòng nước và nước thải</t>
  </si>
  <si>
    <t>Hydorogen peroxide (Thuốc thử)</t>
  </si>
  <si>
    <t>Glassware for chemical analysis. Dụng cụ thủy tinh cho việc phân tích</t>
  </si>
  <si>
    <t>Method for pH measurement. Phương pháp đo pH</t>
  </si>
  <si>
    <t>Method for engineering classification of ground materials. Phương pháp phân loại mẫu đất</t>
  </si>
  <si>
    <t>Test method for pH of suspended soils. Phương pháp kiểm tra pH cho huyền phù của đất</t>
  </si>
  <si>
    <t>Điều khoản và định nghĩa</t>
  </si>
  <si>
    <t>Terms and definition of this standard shall be subject to following. Điều khoản và định nghĩa của tiêu chuẩn này được mô tả dưới đây.</t>
  </si>
  <si>
    <t>Khả năng oxi hóa</t>
  </si>
  <si>
    <t>Quá trình oxi hóa dất bắt nguồn từ các thành phần khoáng trong đất từ đó chỉ tiêu pH được đo đạc bằng cách oxi hóa bằng dung dịch hydrogen peroxide.</t>
  </si>
  <si>
    <t>Đo đạc pH không cho thấy được mức độ oxi hóa của đất trong môi trường bởi vì phương pháp này mẫu đất được được oxi hóa mạnh hơn trong môi trường thực tế.</t>
  </si>
  <si>
    <t>Mẫu đá nghiền</t>
  </si>
  <si>
    <t>Mẫu này được nghiền thành các hạt dưới 2 mm bằng búa và các thiết bị nghiền.</t>
  </si>
  <si>
    <t>Thiết bị đo đạc và thuốc thử</t>
  </si>
  <si>
    <t>Test equipment and reagent shall be subject to following. Thiết bị đo đạc và thuốc thử được mô tả bên dưới</t>
  </si>
  <si>
    <t>pH kế điện cực thủy tinh</t>
  </si>
  <si>
    <t>Giá trị tối thiểu đọc được dưới 0.1 được quy định trong JIS Z 8802</t>
  </si>
  <si>
    <t>Weight balance. Cân</t>
  </si>
  <si>
    <t>Có thể đo được đến 0.01</t>
  </si>
  <si>
    <t>Nước</t>
  </si>
  <si>
    <t>Nước A2 được quy định trong JIS K 0057</t>
  </si>
  <si>
    <t>beaker cao</t>
  </si>
  <si>
    <t>It shall be capacity from 200mL to 500ml prescribed for JIS R 3503. Có thể tích từ 200ml đến 500ml được quy định trong JIS R 3503</t>
  </si>
  <si>
    <t>Chú ý 1</t>
  </si>
  <si>
    <t>It shall be used 10 times solvent volume to keep tester safety. Use larger capacity if bumping is a concern. Dung môi được sử dụng gấp 10 lần để an toàn cho người đo. Sử dụng beaker lớn hơn nếu dung dịch bắn ra ngoài.</t>
  </si>
  <si>
    <t>Ví dụ về beaker cao trong hình 1</t>
  </si>
  <si>
    <t>Chú ý 2</t>
  </si>
  <si>
    <t>Hình-1 Beaker cao ( Thể tích 200mL )</t>
  </si>
  <si>
    <t xml:space="preserve"> Dung dịch hydorogen peroxide</t>
  </si>
  <si>
    <t>Dung dịch hydrogen peroxide (30%) được quy định trong JIS K 8230</t>
  </si>
  <si>
    <t>Cần đọc kỹ các nguyên tắc an toàn vì hydrogen peroxide(30%) là một dung dịch mạnh. Đeo kính, găng tay và làm việc với các thiết bị và máy móc kín hoặc trong tủ hút.</t>
  </si>
  <si>
    <t xml:space="preserve"> Dung dịch sodium hydroxide </t>
  </si>
  <si>
    <t>Nồng độ khoảng 10 mmol/L (0.04%)</t>
  </si>
  <si>
    <t>Dung dịch chuẩn pH</t>
  </si>
  <si>
    <t xml:space="preserve"> Được quy định trong JIS Z 8802</t>
  </si>
  <si>
    <t>Dung dịch chuẩn phosphate trung tính pH 6.86</t>
  </si>
  <si>
    <t>Dung dịch chuẩn Phthalate pH 4.01 hoặc dung dịch chuẩn Borate 9.18</t>
  </si>
  <si>
    <t>Ray</t>
  </si>
  <si>
    <t>Ray có kích thước lỗ 2 mm</t>
  </si>
  <si>
    <t>Ray kim loại được quy định trong JIS Z 8801-1 hoặc có thể sử dụng loại phi kim loại</t>
  </si>
  <si>
    <t>Những thiết bị khác</t>
  </si>
  <si>
    <t>Thiết bị nghiền (cối chày kim loại, búa, máy nghiền)</t>
  </si>
  <si>
    <t>Que khuấy</t>
  </si>
  <si>
    <t>Đĩa đun, thiết bị đun như là ấm đun.</t>
  </si>
  <si>
    <t>Kính quan sát</t>
  </si>
  <si>
    <t>Ví dụ kính quan sát được trình bày như  Hình-2</t>
  </si>
  <si>
    <t>Hình-2 Kính quan sát</t>
  </si>
  <si>
    <t xml:space="preserve"> Tiêu chuẩn này không quy định về phương pháp nghiền, người thực hiện đo có thể chọn một trong các phương pháp sau đây: nghiền thủ công bằng búa hoặc cối chày, nghiền bằng máy.</t>
  </si>
  <si>
    <r>
      <t>Thêm từ từ ms</t>
    </r>
    <r>
      <rPr>
        <sz val="11"/>
        <color theme="1"/>
        <rFont val="ＭＳ Ｐ明朝"/>
        <family val="1"/>
        <charset val="128"/>
      </rPr>
      <t>×</t>
    </r>
    <r>
      <rPr>
        <sz val="11"/>
        <color theme="1"/>
        <rFont val="Times New Roman"/>
        <family val="1"/>
      </rPr>
      <t>mL dung dịch vào trong beaker và đậy bằng mặt kính quan sát.</t>
    </r>
  </si>
  <si>
    <t>Gia nhiệt beaker có đậy bằng mặt kính quan sát bằng máy gia nhiệt cho đến khi beaker nóng lên (không sôi), đến khi phản ứng xảy ra hoàn toàn hoặc là không có phản ứng mạnh xảy ra. Trong lúc gia nhiệt dùng đũa thủy tinh khuấy đều.</t>
  </si>
  <si>
    <t>Đặt điện cực thủy tinh ngâm vào trong nước 12 tiếng trước nếu như điện cực không được sử dụng trong một khoản thời gian dài.</t>
  </si>
  <si>
    <t>Nhiệt độ của pH được đo bằng với nhiệt độ phòng. Cài đặt nhiệt độ của máy đo pH đến nhiệt độ chuẩn nếu như máy đo pH không có chức năng điều chỉnh nhiệt độ</t>
  </si>
  <si>
    <t>Dùng oxalate thay vì phthalate trong trường hợp pH của dung dịch mẫu lớn hơn 2 và sử dụng dụng dịch chuẩn pH borate hoặc là carbonate trong trường hợp pH lớn hơn 10.</t>
  </si>
  <si>
    <t>Có thể còn sót lại đất và đá khi chuyển dung dịch mẫu vào trong ống đo pH.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</si>
</sst>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
    <numFmt numFmtId="165" formatCode="0.0"/>
  </numFmts>
  <fonts count="22">
    <font>
      <sz val="11"/>
      <color theme="1"/>
      <name val="Calibri"/>
      <family val="2"/>
      <scheme val="minor"/>
    </font>
    <font>
      <sz val="11"/>
      <color theme="1"/>
      <name val="Calibri"/>
      <family val="2"/>
      <charset val="128"/>
      <scheme val="minor"/>
    </font>
    <font>
      <sz val="6"/>
      <name val="Calibri"/>
      <family val="3"/>
      <charset val="128"/>
      <scheme val="minor"/>
    </font>
    <font>
      <sz val="11"/>
      <color theme="1"/>
      <name val="Times New Roman"/>
      <family val="1"/>
    </font>
    <font>
      <sz val="11"/>
      <color theme="1"/>
      <name val="ＭＳ Ｐ明朝"/>
      <family val="1"/>
      <charset val="128"/>
    </font>
    <font>
      <vertAlign val="superscript"/>
      <sz val="11"/>
      <color theme="1"/>
      <name val="Times New Roman"/>
      <family val="1"/>
    </font>
    <font>
      <sz val="11"/>
      <color rgb="FFFF0000"/>
      <name val="Times New Roman"/>
      <family val="1"/>
    </font>
    <font>
      <u/>
      <sz val="11"/>
      <color rgb="FF7AAD24"/>
      <name val="Calibri"/>
      <family val="3"/>
      <charset val="128"/>
      <scheme val="minor"/>
    </font>
    <font>
      <sz val="12"/>
      <color theme="1"/>
      <name val="Times New Roman"/>
      <family val="1"/>
    </font>
    <font>
      <sz val="12"/>
      <color theme="1"/>
      <name val="ＭＳ Ｐ明朝"/>
      <family val="1"/>
      <charset val="128"/>
    </font>
    <font>
      <b/>
      <sz val="11"/>
      <color theme="1"/>
      <name val="Times New Roman"/>
      <family val="1"/>
    </font>
    <font>
      <u/>
      <sz val="11"/>
      <color rgb="FF7AAD24"/>
      <name val="Times New Roman"/>
      <family val="1"/>
    </font>
    <font>
      <vertAlign val="subscript"/>
      <sz val="11"/>
      <color theme="1"/>
      <name val="Times New Roman"/>
      <family val="1"/>
    </font>
    <font>
      <vertAlign val="subscript"/>
      <sz val="11"/>
      <color rgb="FFFF0000"/>
      <name val="Times New Roman"/>
      <family val="1"/>
    </font>
    <font>
      <sz val="9"/>
      <color indexed="81"/>
      <name val="ＭＳ Ｐゴシック"/>
      <family val="3"/>
      <charset val="128"/>
    </font>
    <font>
      <b/>
      <sz val="9"/>
      <color indexed="81"/>
      <name val="ＭＳ Ｐゴシック"/>
      <family val="3"/>
      <charset val="128"/>
    </font>
    <font>
      <sz val="8"/>
      <color theme="1"/>
      <name val="Times New Roman"/>
      <family val="1"/>
    </font>
    <font>
      <sz val="11"/>
      <color rgb="FF00B0F0"/>
      <name val="Times New Roman"/>
      <family val="1"/>
    </font>
    <font>
      <sz val="11"/>
      <color rgb="FF0070C0"/>
      <name val="Times New Roman"/>
      <family val="1"/>
    </font>
    <font>
      <vertAlign val="subscript"/>
      <sz val="11"/>
      <color rgb="FF0070C0"/>
      <name val="Times New Roman"/>
      <family val="1"/>
    </font>
    <font>
      <sz val="11"/>
      <name val="Times New Roman"/>
      <family val="1"/>
    </font>
    <font>
      <sz val="9"/>
      <color rgb="FF0066CC"/>
      <name val="Times New Roman"/>
      <family val="1"/>
    </font>
  </fonts>
  <fills count="3">
    <fill>
      <patternFill patternType="none"/>
    </fill>
    <fill>
      <patternFill patternType="gray125"/>
    </fill>
    <fill>
      <patternFill patternType="solid">
        <fgColor theme="0"/>
        <bgColor indexed="64"/>
      </patternFill>
    </fill>
  </fills>
  <borders count="45">
    <border>
      <left/>
      <right/>
      <top/>
      <bottom/>
      <diagonal/>
    </border>
    <border>
      <left/>
      <right/>
      <top/>
      <bottom style="double">
        <color indexed="64"/>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double">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tted">
        <color auto="1"/>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style="dotted">
        <color indexed="64"/>
      </top>
      <bottom style="medium">
        <color indexed="64"/>
      </bottom>
      <diagonal/>
    </border>
    <border>
      <left style="thin">
        <color indexed="64"/>
      </left>
      <right style="thin">
        <color indexed="64"/>
      </right>
      <top style="double">
        <color indexed="64"/>
      </top>
      <bottom style="thin">
        <color indexed="64"/>
      </bottom>
      <diagonal/>
    </border>
  </borders>
  <cellStyleXfs count="1">
    <xf numFmtId="0" fontId="0" fillId="0" borderId="0"/>
  </cellStyleXfs>
  <cellXfs count="158">
    <xf numFmtId="0" fontId="0" fillId="0" borderId="0" xfId="0"/>
    <xf numFmtId="49" fontId="3" fillId="0" borderId="0" xfId="0" applyNumberFormat="1" applyFont="1" applyAlignment="1">
      <alignment vertical="center"/>
    </xf>
    <xf numFmtId="49" fontId="3" fillId="0" borderId="0" xfId="0" applyNumberFormat="1" applyFont="1" applyAlignment="1">
      <alignment horizontal="right" vertical="center"/>
    </xf>
    <xf numFmtId="49" fontId="3" fillId="0" borderId="0" xfId="0" applyNumberFormat="1" applyFont="1" applyAlignment="1">
      <alignment horizontal="left" vertical="center"/>
    </xf>
    <xf numFmtId="49" fontId="3" fillId="0" borderId="0" xfId="0" applyNumberFormat="1" applyFont="1" applyAlignment="1">
      <alignment horizontal="center" vertical="center"/>
    </xf>
    <xf numFmtId="49" fontId="3" fillId="0" borderId="1" xfId="0" applyNumberFormat="1" applyFont="1" applyBorder="1" applyAlignment="1">
      <alignment vertical="center"/>
    </xf>
    <xf numFmtId="0" fontId="3" fillId="0" borderId="0" xfId="0" applyFont="1"/>
    <xf numFmtId="49" fontId="3" fillId="0" borderId="0" xfId="0" applyNumberFormat="1" applyFont="1" applyAlignment="1">
      <alignment horizontal="left" vertical="center" wrapText="1"/>
    </xf>
    <xf numFmtId="0" fontId="7" fillId="0" borderId="0" xfId="0" applyFont="1"/>
    <xf numFmtId="49" fontId="3" fillId="0" borderId="0" xfId="0" applyNumberFormat="1" applyFont="1" applyAlignment="1">
      <alignment vertical="center" wrapText="1"/>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0" xfId="0" applyNumberFormat="1" applyFont="1" applyBorder="1" applyAlignment="1">
      <alignment vertical="center"/>
    </xf>
    <xf numFmtId="49" fontId="3" fillId="0" borderId="0" xfId="0" applyNumberFormat="1" applyFont="1" applyAlignment="1">
      <alignment vertical="top" wrapText="1"/>
    </xf>
    <xf numFmtId="49" fontId="10" fillId="0" borderId="0" xfId="0" applyNumberFormat="1" applyFont="1" applyAlignment="1">
      <alignment horizontal="left" vertical="center"/>
    </xf>
    <xf numFmtId="49" fontId="3" fillId="0" borderId="0" xfId="0" applyNumberFormat="1" applyFont="1" applyBorder="1" applyAlignment="1">
      <alignment horizontal="center" vertical="center" shrinkToFit="1"/>
    </xf>
    <xf numFmtId="49" fontId="10" fillId="0" borderId="0" xfId="0" applyNumberFormat="1" applyFont="1" applyAlignment="1">
      <alignment vertical="center"/>
    </xf>
    <xf numFmtId="49" fontId="3" fillId="0" borderId="3" xfId="0" applyNumberFormat="1" applyFont="1" applyBorder="1" applyAlignment="1">
      <alignment horizontal="left" vertical="center"/>
    </xf>
    <xf numFmtId="0" fontId="11" fillId="0" borderId="0" xfId="0" applyFont="1"/>
    <xf numFmtId="49" fontId="3" fillId="0" borderId="0" xfId="0" applyNumberFormat="1" applyFont="1" applyBorder="1" applyAlignment="1">
      <alignment horizontal="left" vertical="center"/>
    </xf>
    <xf numFmtId="49" fontId="3" fillId="0" borderId="3" xfId="0" applyNumberFormat="1" applyFont="1" applyBorder="1" applyAlignment="1">
      <alignment vertical="center"/>
    </xf>
    <xf numFmtId="49" fontId="4" fillId="0" borderId="0" xfId="0" applyNumberFormat="1" applyFont="1" applyAlignment="1">
      <alignment vertical="center"/>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0" xfId="0" applyNumberFormat="1" applyFont="1" applyBorder="1" applyAlignment="1">
      <alignment horizontal="left" vertical="center" wrapText="1"/>
    </xf>
    <xf numFmtId="49" fontId="3" fillId="0" borderId="0" xfId="0" applyNumberFormat="1" applyFont="1" applyAlignment="1">
      <alignment horizontal="left" vertical="center" shrinkToFit="1"/>
    </xf>
    <xf numFmtId="49" fontId="3" fillId="0" borderId="0" xfId="0" applyNumberFormat="1" applyFont="1" applyBorder="1" applyAlignment="1">
      <alignment horizontal="right" vertical="center"/>
    </xf>
    <xf numFmtId="49" fontId="3" fillId="0" borderId="0" xfId="0" applyNumberFormat="1" applyFont="1" applyBorder="1" applyAlignment="1">
      <alignment vertical="center" wrapText="1"/>
    </xf>
    <xf numFmtId="49" fontId="20" fillId="0" borderId="0" xfId="0" applyNumberFormat="1" applyFont="1" applyAlignment="1">
      <alignment horizontal="left" vertical="center"/>
    </xf>
    <xf numFmtId="49" fontId="20" fillId="0" borderId="0" xfId="0" applyNumberFormat="1" applyFont="1" applyAlignment="1">
      <alignment horizontal="left" vertical="center" wrapText="1"/>
    </xf>
    <xf numFmtId="0" fontId="8" fillId="0" borderId="0" xfId="0" applyFont="1"/>
    <xf numFmtId="0" fontId="21" fillId="0" borderId="0" xfId="0" applyFont="1"/>
    <xf numFmtId="0" fontId="11" fillId="0" borderId="0" xfId="0" applyFont="1" applyAlignment="1"/>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17"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18"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7" xfId="0" applyNumberFormat="1" applyFont="1" applyBorder="1" applyAlignment="1">
      <alignment horizontal="center" vertical="center"/>
    </xf>
    <xf numFmtId="49" fontId="3" fillId="0" borderId="0" xfId="0" applyNumberFormat="1" applyFont="1" applyBorder="1" applyAlignment="1">
      <alignment horizontal="center" vertical="center"/>
    </xf>
    <xf numFmtId="49" fontId="6" fillId="0" borderId="0" xfId="0" applyNumberFormat="1" applyFont="1" applyAlignment="1">
      <alignment horizontal="left" vertical="center" wrapText="1"/>
    </xf>
    <xf numFmtId="49" fontId="6" fillId="0" borderId="0" xfId="0" applyNumberFormat="1" applyFont="1" applyAlignment="1">
      <alignment horizontal="right" vertical="center" wrapText="1"/>
    </xf>
    <xf numFmtId="49" fontId="3" fillId="2" borderId="0" xfId="0" applyNumberFormat="1" applyFont="1" applyFill="1" applyBorder="1" applyAlignment="1">
      <alignment horizontal="left" vertical="center" wrapText="1"/>
    </xf>
    <xf numFmtId="49" fontId="3" fillId="0" borderId="0" xfId="0" applyNumberFormat="1" applyFont="1" applyBorder="1" applyAlignment="1">
      <alignment horizontal="left" vertical="center" wrapText="1"/>
    </xf>
    <xf numFmtId="49" fontId="6" fillId="0" borderId="0" xfId="0" applyNumberFormat="1" applyFont="1" applyBorder="1" applyAlignment="1">
      <alignment horizontal="left" vertical="center" wrapText="1"/>
    </xf>
    <xf numFmtId="49" fontId="20" fillId="0" borderId="0" xfId="0" applyNumberFormat="1" applyFont="1" applyAlignment="1">
      <alignment horizontal="left" vertical="center" wrapText="1"/>
    </xf>
    <xf numFmtId="49" fontId="3" fillId="0" borderId="0" xfId="0" applyNumberFormat="1" applyFont="1" applyBorder="1" applyAlignment="1">
      <alignment horizontal="center" vertical="center" shrinkToFit="1"/>
    </xf>
    <xf numFmtId="49"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shrinkToFit="1"/>
    </xf>
    <xf numFmtId="0" fontId="3" fillId="0" borderId="24" xfId="0" applyNumberFormat="1" applyFont="1" applyBorder="1" applyAlignment="1">
      <alignment horizontal="center" vertical="center"/>
    </xf>
    <xf numFmtId="0" fontId="3" fillId="0" borderId="25" xfId="0" applyNumberFormat="1" applyFont="1" applyBorder="1" applyAlignment="1">
      <alignment horizontal="center" vertical="center"/>
    </xf>
    <xf numFmtId="165" fontId="3" fillId="0" borderId="24" xfId="0" applyNumberFormat="1" applyFont="1" applyBorder="1" applyAlignment="1">
      <alignment horizontal="center" vertical="center"/>
    </xf>
    <xf numFmtId="165" fontId="3" fillId="0" borderId="25" xfId="0" applyNumberFormat="1" applyFont="1" applyBorder="1" applyAlignment="1">
      <alignment horizontal="center" vertical="center"/>
    </xf>
    <xf numFmtId="49" fontId="3" fillId="0" borderId="23" xfId="0" applyNumberFormat="1" applyFont="1" applyBorder="1" applyAlignment="1">
      <alignment horizontal="center" vertical="center"/>
    </xf>
    <xf numFmtId="49" fontId="3" fillId="0" borderId="24" xfId="0" applyNumberFormat="1" applyFont="1" applyBorder="1" applyAlignment="1">
      <alignment horizontal="center" vertical="center"/>
    </xf>
    <xf numFmtId="49" fontId="3" fillId="0" borderId="24" xfId="0" applyNumberFormat="1" applyFont="1" applyBorder="1" applyAlignment="1">
      <alignment horizontal="center" vertical="center" shrinkToFit="1"/>
    </xf>
    <xf numFmtId="2" fontId="3" fillId="0" borderId="24" xfId="0" applyNumberFormat="1" applyFont="1" applyBorder="1" applyAlignment="1">
      <alignment horizontal="center" vertical="center"/>
    </xf>
    <xf numFmtId="2" fontId="6" fillId="0" borderId="30" xfId="0" applyNumberFormat="1" applyFont="1" applyBorder="1" applyAlignment="1">
      <alignment horizontal="center" vertical="center"/>
    </xf>
    <xf numFmtId="2" fontId="6" fillId="0" borderId="31" xfId="0" applyNumberFormat="1" applyFont="1" applyBorder="1" applyAlignment="1">
      <alignment horizontal="center" vertical="center"/>
    </xf>
    <xf numFmtId="1" fontId="18" fillId="0" borderId="30" xfId="0" applyNumberFormat="1" applyFont="1" applyBorder="1" applyAlignment="1">
      <alignment horizontal="center" vertical="center"/>
    </xf>
    <xf numFmtId="165" fontId="3" fillId="0" borderId="33" xfId="0" applyNumberFormat="1" applyFont="1" applyBorder="1" applyAlignment="1">
      <alignment horizontal="center" vertical="center"/>
    </xf>
    <xf numFmtId="165" fontId="3" fillId="0" borderId="34" xfId="0" applyNumberFormat="1" applyFont="1" applyBorder="1" applyAlignment="1">
      <alignment horizontal="center" vertical="center"/>
    </xf>
    <xf numFmtId="165" fontId="17" fillId="0" borderId="30" xfId="0" applyNumberFormat="1" applyFont="1" applyBorder="1" applyAlignment="1">
      <alignment horizontal="center" vertical="center"/>
    </xf>
    <xf numFmtId="0" fontId="17" fillId="0" borderId="30" xfId="0" applyNumberFormat="1" applyFont="1" applyBorder="1" applyAlignment="1">
      <alignment horizontal="center" vertical="center"/>
    </xf>
    <xf numFmtId="0" fontId="17" fillId="0" borderId="31" xfId="0" applyNumberFormat="1" applyFont="1" applyBorder="1" applyAlignment="1">
      <alignment horizontal="center" vertical="center"/>
    </xf>
    <xf numFmtId="165" fontId="6" fillId="0" borderId="30" xfId="0" applyNumberFormat="1" applyFont="1" applyBorder="1" applyAlignment="1">
      <alignment horizontal="center" vertical="center"/>
    </xf>
    <xf numFmtId="0" fontId="6" fillId="0" borderId="30" xfId="0" applyNumberFormat="1" applyFont="1" applyBorder="1" applyAlignment="1">
      <alignment horizontal="center" vertical="center"/>
    </xf>
    <xf numFmtId="0" fontId="6" fillId="0" borderId="31" xfId="0" applyNumberFormat="1" applyFont="1" applyBorder="1" applyAlignment="1">
      <alignment horizontal="center" vertical="center"/>
    </xf>
    <xf numFmtId="1" fontId="18" fillId="0" borderId="31" xfId="0" applyNumberFormat="1" applyFont="1" applyBorder="1" applyAlignment="1">
      <alignment horizontal="center" vertical="center"/>
    </xf>
    <xf numFmtId="49" fontId="3" fillId="0" borderId="21" xfId="0" applyNumberFormat="1" applyFont="1" applyBorder="1" applyAlignment="1">
      <alignment horizontal="center" vertical="center"/>
    </xf>
    <xf numFmtId="49" fontId="3" fillId="0" borderId="22" xfId="0" applyNumberFormat="1" applyFont="1" applyBorder="1" applyAlignment="1">
      <alignment horizontal="center" vertical="center"/>
    </xf>
    <xf numFmtId="49" fontId="3" fillId="0" borderId="27" xfId="0" applyNumberFormat="1" applyFont="1" applyBorder="1" applyAlignment="1">
      <alignment horizontal="center" vertical="center"/>
    </xf>
    <xf numFmtId="49" fontId="3" fillId="0" borderId="27" xfId="0" applyNumberFormat="1" applyFont="1" applyBorder="1" applyAlignment="1">
      <alignment horizontal="center" vertical="center" shrinkToFit="1"/>
    </xf>
    <xf numFmtId="49" fontId="3" fillId="0" borderId="0" xfId="0" applyNumberFormat="1" applyFont="1" applyBorder="1" applyAlignment="1">
      <alignment horizontal="center" vertical="center" wrapText="1"/>
    </xf>
    <xf numFmtId="49" fontId="3" fillId="0" borderId="19" xfId="0" applyNumberFormat="1" applyFont="1" applyBorder="1" applyAlignment="1">
      <alignment horizontal="center" vertical="center"/>
    </xf>
    <xf numFmtId="164" fontId="3" fillId="0" borderId="20" xfId="0" applyNumberFormat="1" applyFont="1" applyBorder="1" applyAlignment="1">
      <alignment horizontal="center" vertical="center"/>
    </xf>
    <xf numFmtId="164" fontId="3" fillId="0" borderId="21" xfId="0" applyNumberFormat="1" applyFont="1" applyBorder="1" applyAlignment="1">
      <alignment horizontal="center" vertical="center"/>
    </xf>
    <xf numFmtId="49" fontId="3" fillId="0" borderId="4" xfId="0" applyNumberFormat="1" applyFont="1" applyBorder="1" applyAlignment="1">
      <alignment horizontal="right" vertical="center"/>
    </xf>
    <xf numFmtId="49" fontId="3" fillId="0" borderId="3" xfId="0" applyNumberFormat="1" applyFont="1" applyBorder="1" applyAlignment="1">
      <alignment horizontal="right" vertical="center"/>
    </xf>
    <xf numFmtId="49" fontId="8" fillId="0" borderId="10" xfId="0" applyNumberFormat="1" applyFont="1" applyBorder="1" applyAlignment="1">
      <alignment horizontal="center" vertical="center"/>
    </xf>
    <xf numFmtId="49" fontId="8" fillId="0" borderId="4" xfId="0" applyNumberFormat="1" applyFont="1" applyBorder="1" applyAlignment="1">
      <alignment horizontal="center" vertical="center"/>
    </xf>
    <xf numFmtId="49" fontId="8" fillId="0" borderId="11" xfId="0" applyNumberFormat="1" applyFont="1" applyBorder="1" applyAlignment="1">
      <alignment horizontal="center" vertical="center"/>
    </xf>
    <xf numFmtId="49" fontId="8" fillId="0" borderId="8"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9" xfId="0" applyNumberFormat="1" applyFont="1" applyBorder="1" applyAlignment="1">
      <alignment horizontal="center" vertical="center"/>
    </xf>
    <xf numFmtId="49" fontId="4" fillId="0" borderId="33" xfId="0" applyNumberFormat="1" applyFont="1" applyBorder="1" applyAlignment="1">
      <alignment horizontal="center" vertical="center" shrinkToFit="1"/>
    </xf>
    <xf numFmtId="49" fontId="3" fillId="0" borderId="33" xfId="0" applyNumberFormat="1" applyFont="1" applyBorder="1" applyAlignment="1">
      <alignment horizontal="center" vertical="center" shrinkToFit="1"/>
    </xf>
    <xf numFmtId="49" fontId="3" fillId="0" borderId="32" xfId="0" applyNumberFormat="1" applyFont="1" applyBorder="1" applyAlignment="1">
      <alignment horizontal="center" vertical="center" shrinkToFit="1"/>
    </xf>
    <xf numFmtId="49" fontId="6" fillId="0" borderId="30" xfId="0" applyNumberFormat="1" applyFont="1" applyBorder="1" applyAlignment="1">
      <alignment horizontal="center" vertical="center" shrinkToFit="1"/>
    </xf>
    <xf numFmtId="49" fontId="6" fillId="0" borderId="29" xfId="0" applyNumberFormat="1" applyFont="1" applyBorder="1" applyAlignment="1">
      <alignment horizontal="center" vertical="center" shrinkToFit="1"/>
    </xf>
    <xf numFmtId="0" fontId="3" fillId="0" borderId="30" xfId="0" applyNumberFormat="1" applyFont="1" applyBorder="1" applyAlignment="1">
      <alignment horizontal="right" vertical="center"/>
    </xf>
    <xf numFmtId="0" fontId="3" fillId="0" borderId="30" xfId="0" applyNumberFormat="1" applyFont="1" applyBorder="1" applyAlignment="1">
      <alignment horizontal="center" vertical="center"/>
    </xf>
    <xf numFmtId="0" fontId="3" fillId="0" borderId="31" xfId="0" applyNumberFormat="1" applyFont="1" applyBorder="1" applyAlignment="1">
      <alignment horizontal="center" vertical="center"/>
    </xf>
    <xf numFmtId="0" fontId="3" fillId="0" borderId="42" xfId="0" applyNumberFormat="1" applyFont="1" applyBorder="1" applyAlignment="1">
      <alignment horizontal="right" vertical="center"/>
    </xf>
    <xf numFmtId="0" fontId="3" fillId="0" borderId="31" xfId="0" applyNumberFormat="1" applyFont="1" applyBorder="1" applyAlignment="1">
      <alignment horizontal="right" vertical="center"/>
    </xf>
    <xf numFmtId="0" fontId="3" fillId="0" borderId="43" xfId="0" applyNumberFormat="1" applyFont="1" applyBorder="1" applyAlignment="1">
      <alignment horizontal="right" vertical="center"/>
    </xf>
    <xf numFmtId="0" fontId="3" fillId="0" borderId="27"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30" xfId="0" applyNumberFormat="1" applyFont="1" applyBorder="1" applyAlignment="1">
      <alignment horizontal="center" vertical="center"/>
    </xf>
    <xf numFmtId="49" fontId="3" fillId="0" borderId="26" xfId="0" applyNumberFormat="1" applyFont="1" applyBorder="1" applyAlignment="1">
      <alignment horizontal="center" vertical="center" shrinkToFit="1"/>
    </xf>
    <xf numFmtId="49" fontId="3" fillId="0" borderId="41"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35" xfId="0" applyNumberFormat="1" applyFont="1" applyBorder="1" applyAlignment="1">
      <alignment horizontal="center" vertical="center" shrinkToFit="1"/>
    </xf>
    <xf numFmtId="49" fontId="3" fillId="0" borderId="36" xfId="0" applyNumberFormat="1" applyFont="1" applyBorder="1" applyAlignment="1">
      <alignment horizontal="center" vertical="center" shrinkToFit="1"/>
    </xf>
    <xf numFmtId="49" fontId="3" fillId="0" borderId="28" xfId="0" applyNumberFormat="1" applyFont="1" applyBorder="1" applyAlignment="1">
      <alignment horizontal="center" vertical="center"/>
    </xf>
    <xf numFmtId="49" fontId="18" fillId="0" borderId="30" xfId="0" applyNumberFormat="1" applyFont="1" applyBorder="1" applyAlignment="1">
      <alignment horizontal="center" vertical="center" shrinkToFit="1"/>
    </xf>
    <xf numFmtId="49" fontId="17" fillId="0" borderId="29" xfId="0" applyNumberFormat="1" applyFont="1" applyBorder="1" applyAlignment="1">
      <alignment horizontal="center" vertical="center" shrinkToFit="1"/>
    </xf>
    <xf numFmtId="49" fontId="17" fillId="0" borderId="30" xfId="0" applyNumberFormat="1" applyFont="1" applyBorder="1" applyAlignment="1">
      <alignment horizontal="center" vertical="center" shrinkToFit="1"/>
    </xf>
    <xf numFmtId="49" fontId="18" fillId="0" borderId="29" xfId="0" applyNumberFormat="1" applyFont="1" applyBorder="1" applyAlignment="1">
      <alignment horizontal="center" vertical="center" shrinkToFit="1"/>
    </xf>
    <xf numFmtId="0" fontId="3" fillId="0" borderId="36" xfId="0" applyNumberFormat="1" applyFont="1" applyBorder="1" applyAlignment="1">
      <alignment horizontal="center" vertical="center"/>
    </xf>
    <xf numFmtId="0" fontId="3" fillId="0" borderId="37" xfId="0" applyNumberFormat="1" applyFont="1" applyBorder="1" applyAlignment="1">
      <alignment horizontal="center" vertical="center"/>
    </xf>
    <xf numFmtId="49" fontId="3" fillId="0" borderId="31" xfId="0" applyNumberFormat="1" applyFont="1" applyBorder="1" applyAlignment="1">
      <alignment horizontal="center" vertical="center"/>
    </xf>
    <xf numFmtId="49" fontId="3" fillId="0" borderId="30" xfId="0" applyNumberFormat="1" applyFont="1" applyBorder="1" applyAlignment="1">
      <alignment horizontal="center" vertical="center" shrinkToFit="1"/>
    </xf>
    <xf numFmtId="49" fontId="3" fillId="0" borderId="38"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16" fillId="0" borderId="16" xfId="0" applyNumberFormat="1" applyFont="1" applyBorder="1" applyAlignment="1">
      <alignment horizontal="left" vertical="center" wrapText="1"/>
    </xf>
    <xf numFmtId="49" fontId="16" fillId="0" borderId="39" xfId="0" applyNumberFormat="1" applyFont="1" applyBorder="1" applyAlignment="1">
      <alignment horizontal="left" vertical="center" wrapText="1"/>
    </xf>
    <xf numFmtId="49" fontId="3" fillId="0" borderId="40" xfId="0" applyNumberFormat="1" applyFont="1" applyBorder="1" applyAlignment="1">
      <alignment horizontal="center" vertical="center"/>
    </xf>
    <xf numFmtId="49" fontId="6" fillId="0" borderId="33" xfId="0" applyNumberFormat="1" applyFont="1" applyBorder="1" applyAlignment="1">
      <alignment horizontal="center" vertical="center" shrinkToFit="1"/>
    </xf>
    <xf numFmtId="0" fontId="6" fillId="0" borderId="33" xfId="0" applyNumberFormat="1" applyFont="1" applyBorder="1" applyAlignment="1">
      <alignment horizontal="center" vertical="center"/>
    </xf>
    <xf numFmtId="0" fontId="6" fillId="0" borderId="34" xfId="0" applyNumberFormat="1" applyFont="1" applyBorder="1" applyAlignment="1">
      <alignment horizontal="center" vertical="center"/>
    </xf>
    <xf numFmtId="49" fontId="3" fillId="0" borderId="26" xfId="0" applyNumberFormat="1" applyFont="1" applyBorder="1" applyAlignment="1">
      <alignment horizontal="center" vertical="center" wrapText="1"/>
    </xf>
    <xf numFmtId="49" fontId="3" fillId="0" borderId="27" xfId="0" applyNumberFormat="1" applyFont="1" applyBorder="1" applyAlignment="1">
      <alignment horizontal="center" vertical="center" wrapText="1"/>
    </xf>
    <xf numFmtId="49" fontId="3" fillId="0" borderId="29" xfId="0" applyNumberFormat="1" applyFont="1" applyBorder="1" applyAlignment="1">
      <alignment horizontal="center" vertical="center" wrapText="1"/>
    </xf>
    <xf numFmtId="49" fontId="3" fillId="0" borderId="30" xfId="0" applyNumberFormat="1" applyFont="1" applyBorder="1" applyAlignment="1">
      <alignment horizontal="center" vertical="center" wrapText="1"/>
    </xf>
    <xf numFmtId="49" fontId="3" fillId="0" borderId="32" xfId="0" applyNumberFormat="1" applyFont="1" applyBorder="1" applyAlignment="1">
      <alignment horizontal="center" vertical="center" wrapText="1"/>
    </xf>
    <xf numFmtId="49" fontId="3" fillId="0" borderId="33" xfId="0" applyNumberFormat="1" applyFont="1" applyBorder="1" applyAlignment="1">
      <alignment horizontal="center" vertical="center" wrapText="1"/>
    </xf>
    <xf numFmtId="2" fontId="3" fillId="0" borderId="30" xfId="0" applyNumberFormat="1" applyFont="1" applyBorder="1" applyAlignment="1">
      <alignment horizontal="center" vertical="center"/>
    </xf>
    <xf numFmtId="2" fontId="3" fillId="0" borderId="31" xfId="0" applyNumberFormat="1" applyFont="1" applyBorder="1" applyAlignment="1">
      <alignment horizontal="center" vertical="center"/>
    </xf>
    <xf numFmtId="0" fontId="3" fillId="0" borderId="28" xfId="0" applyNumberFormat="1" applyFont="1" applyBorder="1" applyAlignment="1">
      <alignment horizontal="center" vertical="center"/>
    </xf>
    <xf numFmtId="165" fontId="6" fillId="0" borderId="31" xfId="0" applyNumberFormat="1" applyFont="1" applyBorder="1" applyAlignment="1">
      <alignment horizontal="center" vertical="center"/>
    </xf>
    <xf numFmtId="49" fontId="3" fillId="0" borderId="29" xfId="0" applyNumberFormat="1" applyFont="1" applyBorder="1" applyAlignment="1">
      <alignment horizontal="center" vertical="center" shrinkToFit="1"/>
    </xf>
    <xf numFmtId="165" fontId="18" fillId="0" borderId="30" xfId="0" applyNumberFormat="1" applyFont="1" applyBorder="1" applyAlignment="1">
      <alignment horizontal="center" vertical="center"/>
    </xf>
    <xf numFmtId="165" fontId="18" fillId="0" borderId="31" xfId="0" applyNumberFormat="1" applyFont="1" applyBorder="1" applyAlignment="1">
      <alignment horizontal="center" vertical="center"/>
    </xf>
    <xf numFmtId="2" fontId="3" fillId="0" borderId="25" xfId="0" applyNumberFormat="1" applyFont="1" applyBorder="1" applyAlignment="1">
      <alignment horizontal="center" vertical="center"/>
    </xf>
    <xf numFmtId="49" fontId="6" fillId="0" borderId="24" xfId="0" applyNumberFormat="1" applyFont="1" applyBorder="1" applyAlignment="1">
      <alignment horizontal="center" vertical="center" shrinkToFit="1"/>
    </xf>
    <xf numFmtId="0" fontId="6" fillId="0" borderId="24" xfId="0" applyNumberFormat="1" applyFont="1" applyBorder="1" applyAlignment="1">
      <alignment horizontal="center" vertical="center"/>
    </xf>
    <xf numFmtId="0" fontId="6" fillId="0" borderId="25" xfId="0" applyNumberFormat="1" applyFont="1" applyBorder="1" applyAlignment="1">
      <alignment horizontal="center" vertical="center"/>
    </xf>
    <xf numFmtId="1" fontId="6" fillId="0" borderId="24" xfId="0" applyNumberFormat="1" applyFont="1" applyBorder="1" applyAlignment="1">
      <alignment horizontal="center" vertical="center"/>
    </xf>
    <xf numFmtId="1" fontId="6" fillId="0" borderId="25" xfId="0" applyNumberFormat="1" applyFont="1" applyBorder="1" applyAlignment="1">
      <alignment horizontal="center" vertical="center"/>
    </xf>
    <xf numFmtId="49" fontId="16" fillId="0" borderId="10" xfId="0" applyNumberFormat="1" applyFont="1" applyBorder="1" applyAlignment="1">
      <alignment horizontal="left" vertical="center" wrapText="1"/>
    </xf>
    <xf numFmtId="49" fontId="16" fillId="0" borderId="40" xfId="0" applyNumberFormat="1" applyFont="1" applyBorder="1" applyAlignment="1">
      <alignment horizontal="left" vertical="center" wrapText="1"/>
    </xf>
    <xf numFmtId="1" fontId="6" fillId="0" borderId="33" xfId="0" applyNumberFormat="1" applyFont="1" applyBorder="1" applyAlignment="1">
      <alignment horizontal="center" vertical="center"/>
    </xf>
    <xf numFmtId="1" fontId="6" fillId="0" borderId="30" xfId="0" applyNumberFormat="1"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3</xdr:col>
      <xdr:colOff>28577</xdr:colOff>
      <xdr:row>43</xdr:row>
      <xdr:rowOff>28575</xdr:rowOff>
    </xdr:from>
    <xdr:to>
      <xdr:col>4</xdr:col>
      <xdr:colOff>529593</xdr:colOff>
      <xdr:row>52</xdr:row>
      <xdr:rowOff>9525</xdr:rowOff>
    </xdr:to>
    <xdr:pic>
      <xdr:nvPicPr>
        <xdr:cNvPr id="3" name="図 2" descr="http://www.horiba.com/uploads/tx_llproducts/F-71S_03.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85977" y="7496175"/>
          <a:ext cx="1186816" cy="169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190501</xdr:colOff>
      <xdr:row>43</xdr:row>
      <xdr:rowOff>19050</xdr:rowOff>
    </xdr:from>
    <xdr:to>
      <xdr:col>8</xdr:col>
      <xdr:colOff>2976</xdr:colOff>
      <xdr:row>52</xdr:row>
      <xdr:rowOff>133350</xdr:rowOff>
    </xdr:to>
    <xdr:pic>
      <xdr:nvPicPr>
        <xdr:cNvPr id="5" name="図 4" descr="http://www.horiba.com/uploads/tx_llproducts/D-72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5301" y="7486650"/>
          <a:ext cx="11809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174</xdr:row>
      <xdr:rowOff>180975</xdr:rowOff>
    </xdr:from>
    <xdr:to>
      <xdr:col>8</xdr:col>
      <xdr:colOff>533400</xdr:colOff>
      <xdr:row>182</xdr:row>
      <xdr:rowOff>85725</xdr:rowOff>
    </xdr:to>
    <xdr:pic>
      <xdr:nvPicPr>
        <xdr:cNvPr id="4" name="図 3" descr="pH計"/>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14800" y="32089725"/>
          <a:ext cx="19050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685799</xdr:colOff>
      <xdr:row>161</xdr:row>
      <xdr:rowOff>190499</xdr:rowOff>
    </xdr:from>
    <xdr:to>
      <xdr:col>8</xdr:col>
      <xdr:colOff>504824</xdr:colOff>
      <xdr:row>165</xdr:row>
      <xdr:rowOff>28574</xdr:rowOff>
    </xdr:to>
    <xdr:sp macro="" textlink="">
      <xdr:nvSpPr>
        <xdr:cNvPr id="61" name="テキスト ボックス 60"/>
        <xdr:cNvSpPr txBox="1"/>
      </xdr:nvSpPr>
      <xdr:spPr>
        <a:xfrm>
          <a:off x="3428999" y="29622749"/>
          <a:ext cx="2562225"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2</xdr:col>
      <xdr:colOff>76200</xdr:colOff>
      <xdr:row>161</xdr:row>
      <xdr:rowOff>114300</xdr:rowOff>
    </xdr:from>
    <xdr:to>
      <xdr:col>4</xdr:col>
      <xdr:colOff>257175</xdr:colOff>
      <xdr:row>176</xdr:row>
      <xdr:rowOff>85725</xdr:rowOff>
    </xdr:to>
    <xdr:grpSp>
      <xdr:nvGrpSpPr>
        <xdr:cNvPr id="64" name="グループ化 63"/>
        <xdr:cNvGrpSpPr/>
      </xdr:nvGrpSpPr>
      <xdr:grpSpPr>
        <a:xfrm>
          <a:off x="1276350" y="30880050"/>
          <a:ext cx="1381125" cy="2828925"/>
          <a:chOff x="2962275" y="29556075"/>
          <a:chExt cx="1552575" cy="2828925"/>
        </a:xfrm>
      </xdr:grpSpPr>
      <xdr:grpSp>
        <xdr:nvGrpSpPr>
          <xdr:cNvPr id="65" name="グループ化 64"/>
          <xdr:cNvGrpSpPr/>
        </xdr:nvGrpSpPr>
        <xdr:grpSpPr>
          <a:xfrm>
            <a:off x="3133725" y="30880051"/>
            <a:ext cx="1381125" cy="1504949"/>
            <a:chOff x="5695950" y="30822901"/>
            <a:chExt cx="1381125" cy="1504949"/>
          </a:xfrm>
        </xdr:grpSpPr>
        <xdr:sp macro="" textlink="">
          <xdr:nvSpPr>
            <xdr:cNvPr id="78" name="正方形/長方形 77"/>
            <xdr:cNvSpPr/>
          </xdr:nvSpPr>
          <xdr:spPr>
            <a:xfrm>
              <a:off x="5705475" y="30841950"/>
              <a:ext cx="1333500" cy="148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正方形/長方形 78"/>
            <xdr:cNvSpPr/>
          </xdr:nvSpPr>
          <xdr:spPr>
            <a:xfrm>
              <a:off x="5695950" y="30822901"/>
              <a:ext cx="138112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80" name="グループ化 79"/>
            <xdr:cNvGrpSpPr/>
          </xdr:nvGrpSpPr>
          <xdr:grpSpPr>
            <a:xfrm>
              <a:off x="5724525" y="32232599"/>
              <a:ext cx="1304925" cy="74295"/>
              <a:chOff x="5724525" y="32232599"/>
              <a:chExt cx="1304925" cy="74295"/>
            </a:xfrm>
          </xdr:grpSpPr>
          <xdr:sp macro="" textlink="">
            <xdr:nvSpPr>
              <xdr:cNvPr id="90" name="正方形/長方形 89"/>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正方形/長方形 90"/>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正方形/長方形 91"/>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3" name="正方形/長方形 92"/>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正方形/長方形 93"/>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 name="正方形/長方形 94"/>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正方形/長方形 95"/>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81" name="グループ化 80"/>
            <xdr:cNvGrpSpPr/>
          </xdr:nvGrpSpPr>
          <xdr:grpSpPr>
            <a:xfrm>
              <a:off x="5724525" y="32146874"/>
              <a:ext cx="1304925" cy="74295"/>
              <a:chOff x="5724525" y="32232599"/>
              <a:chExt cx="1304925" cy="74295"/>
            </a:xfrm>
          </xdr:grpSpPr>
          <xdr:sp macro="" textlink="">
            <xdr:nvSpPr>
              <xdr:cNvPr id="83" name="正方形/長方形 82"/>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83"/>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6" name="正方形/長方形 85"/>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86"/>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87"/>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82" name="正方形/長方形 81"/>
            <xdr:cNvSpPr/>
          </xdr:nvSpPr>
          <xdr:spPr>
            <a:xfrm>
              <a:off x="5715000" y="31327725"/>
              <a:ext cx="1314450" cy="81915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66" name="グループ化 65"/>
          <xdr:cNvGrpSpPr/>
        </xdr:nvGrpSpPr>
        <xdr:grpSpPr>
          <a:xfrm>
            <a:off x="2962275" y="29556075"/>
            <a:ext cx="1171575" cy="2495550"/>
            <a:chOff x="2181225" y="30041850"/>
            <a:chExt cx="1171575" cy="2495550"/>
          </a:xfrm>
          <a:noFill/>
        </xdr:grpSpPr>
        <xdr:grpSp>
          <xdr:nvGrpSpPr>
            <xdr:cNvPr id="67" name="グループ化 66"/>
            <xdr:cNvGrpSpPr/>
          </xdr:nvGrpSpPr>
          <xdr:grpSpPr>
            <a:xfrm>
              <a:off x="2905125" y="30632400"/>
              <a:ext cx="447675" cy="1905000"/>
              <a:chOff x="2600325" y="29765625"/>
              <a:chExt cx="447675" cy="1905000"/>
            </a:xfrm>
            <a:grpFill/>
          </xdr:grpSpPr>
          <xdr:sp macro="" textlink="">
            <xdr:nvSpPr>
              <xdr:cNvPr id="69" name="円/楕円 68"/>
              <xdr:cNvSpPr/>
            </xdr:nvSpPr>
            <xdr:spPr>
              <a:xfrm>
                <a:off x="2647950" y="31470600"/>
                <a:ext cx="200025" cy="200025"/>
              </a:xfrm>
              <a:prstGeom prst="ellips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正方形/長方形 69"/>
              <xdr:cNvSpPr/>
            </xdr:nvSpPr>
            <xdr:spPr>
              <a:xfrm>
                <a:off x="2647950" y="30518100"/>
                <a:ext cx="209550" cy="8953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正方形/長方形 70"/>
              <xdr:cNvSpPr/>
            </xdr:nvSpPr>
            <xdr:spPr>
              <a:xfrm>
                <a:off x="2714625" y="30518100"/>
                <a:ext cx="76200" cy="95250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台形 71"/>
              <xdr:cNvSpPr/>
            </xdr:nvSpPr>
            <xdr:spPr>
              <a:xfrm flipV="1">
                <a:off x="2609850" y="30432374"/>
                <a:ext cx="295275" cy="85725"/>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正方形/長方形 72"/>
              <xdr:cNvSpPr/>
            </xdr:nvSpPr>
            <xdr:spPr>
              <a:xfrm>
                <a:off x="2600325" y="29851350"/>
                <a:ext cx="304800" cy="5810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正方形/長方形 73"/>
              <xdr:cNvSpPr/>
            </xdr:nvSpPr>
            <xdr:spPr>
              <a:xfrm>
                <a:off x="2647950" y="29765625"/>
                <a:ext cx="200025" cy="857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正方形/長方形 74"/>
              <xdr:cNvSpPr/>
            </xdr:nvSpPr>
            <xdr:spPr>
              <a:xfrm>
                <a:off x="2876550" y="30632400"/>
                <a:ext cx="57150" cy="571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6" name="台形 75"/>
              <xdr:cNvSpPr/>
            </xdr:nvSpPr>
            <xdr:spPr>
              <a:xfrm flipV="1">
                <a:off x="2971800" y="30537150"/>
                <a:ext cx="76200" cy="45719"/>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7" name="フリーフォーム 76"/>
              <xdr:cNvSpPr/>
            </xdr:nvSpPr>
            <xdr:spPr>
              <a:xfrm>
                <a:off x="2876550" y="30537150"/>
                <a:ext cx="95250" cy="76200"/>
              </a:xfrm>
              <a:custGeom>
                <a:avLst/>
                <a:gdLst>
                  <a:gd name="connsiteX0" fmla="*/ 95250 w 95250"/>
                  <a:gd name="connsiteY0" fmla="*/ 0 h 76200"/>
                  <a:gd name="connsiteX1" fmla="*/ 0 w 95250"/>
                  <a:gd name="connsiteY1" fmla="*/ 76200 h 76200"/>
                  <a:gd name="connsiteX2" fmla="*/ 0 w 95250"/>
                  <a:gd name="connsiteY2" fmla="*/ 76200 h 76200"/>
                </a:gdLst>
                <a:ahLst/>
                <a:cxnLst>
                  <a:cxn ang="0">
                    <a:pos x="connsiteX0" y="connsiteY0"/>
                  </a:cxn>
                  <a:cxn ang="0">
                    <a:pos x="connsiteX1" y="connsiteY1"/>
                  </a:cxn>
                  <a:cxn ang="0">
                    <a:pos x="connsiteX2" y="connsiteY2"/>
                  </a:cxn>
                </a:cxnLst>
                <a:rect l="l" t="t" r="r" b="b"/>
                <a:pathLst>
                  <a:path w="95250" h="76200">
                    <a:moveTo>
                      <a:pt x="95250" y="0"/>
                    </a:moveTo>
                    <a:lnTo>
                      <a:pt x="0" y="76200"/>
                    </a:lnTo>
                    <a:lnTo>
                      <a:pt x="0" y="76200"/>
                    </a:lnTo>
                  </a:path>
                </a:pathLst>
              </a:cu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8" name="円弧 67"/>
            <xdr:cNvSpPr/>
          </xdr:nvSpPr>
          <xdr:spPr>
            <a:xfrm>
              <a:off x="2181225" y="30041850"/>
              <a:ext cx="866775" cy="1171575"/>
            </a:xfrm>
            <a:prstGeom prst="arc">
              <a:avLst/>
            </a:prstGeom>
            <a:grpFill/>
            <a:ln w="762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5</xdr:col>
      <xdr:colOff>0</xdr:colOff>
      <xdr:row>165</xdr:row>
      <xdr:rowOff>171449</xdr:rowOff>
    </xdr:from>
    <xdr:to>
      <xdr:col>7</xdr:col>
      <xdr:colOff>276226</xdr:colOff>
      <xdr:row>167</xdr:row>
      <xdr:rowOff>180975</xdr:rowOff>
    </xdr:to>
    <xdr:sp macro="" textlink="">
      <xdr:nvSpPr>
        <xdr:cNvPr id="97" name="テキスト ボックス 96"/>
        <xdr:cNvSpPr txBox="1"/>
      </xdr:nvSpPr>
      <xdr:spPr>
        <a:xfrm>
          <a:off x="3429000" y="3036569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5</xdr:col>
      <xdr:colOff>0</xdr:colOff>
      <xdr:row>168</xdr:row>
      <xdr:rowOff>190499</xdr:rowOff>
    </xdr:from>
    <xdr:to>
      <xdr:col>7</xdr:col>
      <xdr:colOff>276226</xdr:colOff>
      <xdr:row>171</xdr:row>
      <xdr:rowOff>9525</xdr:rowOff>
    </xdr:to>
    <xdr:sp macro="" textlink="">
      <xdr:nvSpPr>
        <xdr:cNvPr id="98" name="テキスト ボックス 97"/>
        <xdr:cNvSpPr txBox="1"/>
      </xdr:nvSpPr>
      <xdr:spPr>
        <a:xfrm>
          <a:off x="3429000" y="309562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5</xdr:col>
      <xdr:colOff>0</xdr:colOff>
      <xdr:row>171</xdr:row>
      <xdr:rowOff>190499</xdr:rowOff>
    </xdr:from>
    <xdr:to>
      <xdr:col>7</xdr:col>
      <xdr:colOff>276226</xdr:colOff>
      <xdr:row>174</xdr:row>
      <xdr:rowOff>9525</xdr:rowOff>
    </xdr:to>
    <xdr:sp macro="" textlink="">
      <xdr:nvSpPr>
        <xdr:cNvPr id="99" name="テキスト ボックス 98"/>
        <xdr:cNvSpPr txBox="1"/>
      </xdr:nvSpPr>
      <xdr:spPr>
        <a:xfrm>
          <a:off x="3429000" y="315277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twoCellAnchor>
    <xdr:from>
      <xdr:col>3</xdr:col>
      <xdr:colOff>561975</xdr:colOff>
      <xdr:row>163</xdr:row>
      <xdr:rowOff>109537</xdr:rowOff>
    </xdr:from>
    <xdr:to>
      <xdr:col>4</xdr:col>
      <xdr:colOff>685799</xdr:colOff>
      <xdr:row>168</xdr:row>
      <xdr:rowOff>85725</xdr:rowOff>
    </xdr:to>
    <xdr:cxnSp macro="">
      <xdr:nvCxnSpPr>
        <xdr:cNvPr id="101" name="直線矢印コネクタ 100"/>
        <xdr:cNvCxnSpPr>
          <a:stCxn id="61" idx="1"/>
        </xdr:cNvCxnSpPr>
      </xdr:nvCxnSpPr>
      <xdr:spPr>
        <a:xfrm flipH="1">
          <a:off x="2619375" y="29922787"/>
          <a:ext cx="809624" cy="9286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166</xdr:row>
      <xdr:rowOff>176212</xdr:rowOff>
    </xdr:from>
    <xdr:to>
      <xdr:col>5</xdr:col>
      <xdr:colOff>0</xdr:colOff>
      <xdr:row>170</xdr:row>
      <xdr:rowOff>47625</xdr:rowOff>
    </xdr:to>
    <xdr:cxnSp macro="">
      <xdr:nvCxnSpPr>
        <xdr:cNvPr id="103" name="直線矢印コネクタ 102"/>
        <xdr:cNvCxnSpPr>
          <a:stCxn id="97" idx="1"/>
        </xdr:cNvCxnSpPr>
      </xdr:nvCxnSpPr>
      <xdr:spPr>
        <a:xfrm flipH="1">
          <a:off x="2419350" y="30560962"/>
          <a:ext cx="1009650" cy="6334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170</xdr:row>
      <xdr:rowOff>4762</xdr:rowOff>
    </xdr:from>
    <xdr:to>
      <xdr:col>5</xdr:col>
      <xdr:colOff>0</xdr:colOff>
      <xdr:row>172</xdr:row>
      <xdr:rowOff>142875</xdr:rowOff>
    </xdr:to>
    <xdr:cxnSp macro="">
      <xdr:nvCxnSpPr>
        <xdr:cNvPr id="105" name="直線矢印コネクタ 104"/>
        <xdr:cNvCxnSpPr>
          <a:stCxn id="98" idx="1"/>
        </xdr:cNvCxnSpPr>
      </xdr:nvCxnSpPr>
      <xdr:spPr>
        <a:xfrm flipH="1">
          <a:off x="2400300" y="31151512"/>
          <a:ext cx="1028700" cy="5191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590550</xdr:colOff>
      <xdr:row>173</xdr:row>
      <xdr:rowOff>4762</xdr:rowOff>
    </xdr:from>
    <xdr:to>
      <xdr:col>5</xdr:col>
      <xdr:colOff>0</xdr:colOff>
      <xdr:row>174</xdr:row>
      <xdr:rowOff>152400</xdr:rowOff>
    </xdr:to>
    <xdr:cxnSp macro="">
      <xdr:nvCxnSpPr>
        <xdr:cNvPr id="108" name="直線矢印コネクタ 107"/>
        <xdr:cNvCxnSpPr>
          <a:stCxn id="99" idx="1"/>
        </xdr:cNvCxnSpPr>
      </xdr:nvCxnSpPr>
      <xdr:spPr>
        <a:xfrm flipH="1">
          <a:off x="2647950" y="31723012"/>
          <a:ext cx="781050" cy="3381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368420</xdr:colOff>
      <xdr:row>57</xdr:row>
      <xdr:rowOff>53701</xdr:rowOff>
    </xdr:from>
    <xdr:to>
      <xdr:col>5</xdr:col>
      <xdr:colOff>359433</xdr:colOff>
      <xdr:row>68</xdr:row>
      <xdr:rowOff>113221</xdr:rowOff>
    </xdr:to>
    <xdr:pic>
      <xdr:nvPicPr>
        <xdr:cNvPr id="46" name="fullImg" descr="1060BK200 トールビーカー(目安目盛) ガラス IWAKI 0302809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4269" y="10809762"/>
          <a:ext cx="2156603" cy="21442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305520</xdr:colOff>
      <xdr:row>99</xdr:row>
      <xdr:rowOff>17972</xdr:rowOff>
    </xdr:from>
    <xdr:to>
      <xdr:col>4</xdr:col>
      <xdr:colOff>563237</xdr:colOff>
      <xdr:row>107</xdr:row>
      <xdr:rowOff>17971</xdr:rowOff>
    </xdr:to>
    <xdr:pic>
      <xdr:nvPicPr>
        <xdr:cNvPr id="47" name="図 46" descr="時計皿"/>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71369" y="18708538"/>
          <a:ext cx="1821256" cy="15096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628650</xdr:colOff>
      <xdr:row>69</xdr:row>
      <xdr:rowOff>27463</xdr:rowOff>
    </xdr:from>
    <xdr:ext cx="1487750" cy="321435"/>
    <mc:AlternateContent xmlns:mc="http://schemas.openxmlformats.org/markup-compatibility/2006" xmlns:a14="http://schemas.microsoft.com/office/drawing/2010/main">
      <mc:Choice Requires="a14">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m:rPr>
                            <m:sty m:val="p"/>
                          </m:rPr>
                          <a:rPr kumimoji="1" lang="en-US" altLang="ja-JP" sz="1100" b="0" i="1">
                            <a:latin typeface="Cambria Math" panose="02040503050406030204" pitchFamily="18" charset="0"/>
                          </a:rPr>
                          <m:t>a</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𝑚𝑏</m:t>
                        </m:r>
                      </m:num>
                      <m:den>
                        <m:r>
                          <a:rPr kumimoji="1" lang="en-US" altLang="ja-JP" sz="1100" b="0" i="1">
                            <a:latin typeface="Cambria Math" panose="02040503050406030204" pitchFamily="18" charset="0"/>
                          </a:rPr>
                          <m:t>𝑚𝑏</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𝑚𝑐</m:t>
                        </m:r>
                      </m:den>
                    </m:f>
                    <m:r>
                      <a:rPr kumimoji="1" lang="en-US" altLang="ja-JP" sz="110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ea typeface="Cambria Math" panose="02040503050406030204" pitchFamily="18" charset="0"/>
                      </a:rPr>
                      <m:t>100</m:t>
                    </m:r>
                  </m:oMath>
                </m:oMathPara>
              </a14:m>
              <a:endParaRPr kumimoji="1" lang="ja-JP" altLang="en-US" sz="1100"/>
            </a:p>
          </xdr:txBody>
        </xdr:sp>
      </mc:Choice>
      <mc:Fallback xmlns="">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kumimoji="1" lang="en-US" altLang="ja-JP" sz="1100" b="0" i="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𝑚a−𝑚𝑏)/(𝑚𝑏−𝑚𝑐)</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100</a:t>
              </a:r>
              <a:endParaRPr kumimoji="1" lang="ja-JP" altLang="en-US"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0</xdr:col>
      <xdr:colOff>50768</xdr:colOff>
      <xdr:row>47</xdr:row>
      <xdr:rowOff>75088</xdr:rowOff>
    </xdr:from>
    <xdr:ext cx="1059906" cy="318421"/>
    <mc:AlternateContent xmlns:mc="http://schemas.openxmlformats.org/markup-compatibility/2006" xmlns:a14="http://schemas.microsoft.com/office/drawing/2010/main">
      <mc:Choice Requires="a14">
        <xdr:sp macro="" textlink="">
          <xdr:nvSpPr>
            <xdr:cNvPr id="2" name="テキスト ボックス 1"/>
            <xdr:cNvSpPr txBox="1"/>
          </xdr:nvSpPr>
          <xdr:spPr>
            <a:xfrm>
              <a:off x="50768" y="9257188"/>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𝑚𝑠</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num>
                      <m:den>
                        <m:r>
                          <a:rPr kumimoji="1" lang="en-US" altLang="ja-JP" sz="1100" b="0" i="1">
                            <a:latin typeface="Cambria Math" panose="02040503050406030204" pitchFamily="18" charset="0"/>
                          </a:rPr>
                          <m:t>1+</m:t>
                        </m:r>
                        <m:r>
                          <a:rPr kumimoji="1" lang="en-US" altLang="ja-JP" sz="1100" b="0" i="1">
                            <a:latin typeface="Cambria Math" panose="02040503050406030204" pitchFamily="18" charset="0"/>
                          </a:rPr>
                          <m:t>𝑤</m:t>
                        </m:r>
                        <m:r>
                          <a:rPr kumimoji="1" lang="en-US" altLang="ja-JP" sz="1100" b="0" i="1">
                            <a:latin typeface="Cambria Math" panose="02040503050406030204" pitchFamily="18" charset="0"/>
                          </a:rPr>
                          <m:t>/100</m:t>
                        </m:r>
                      </m:den>
                    </m:f>
                  </m:oMath>
                </m:oMathPara>
              </a14:m>
              <a:endParaRPr kumimoji="1" lang="ja-JP" altLang="en-US" sz="1100"/>
            </a:p>
          </xdr:txBody>
        </xdr:sp>
      </mc:Choice>
      <mc:Fallback xmlns="">
        <xdr:sp macro="" textlink="">
          <xdr:nvSpPr>
            <xdr:cNvPr id="2" name="テキスト ボックス 1"/>
            <xdr:cNvSpPr txBox="1"/>
          </xdr:nvSpPr>
          <xdr:spPr>
            <a:xfrm>
              <a:off x="50768" y="9257188"/>
              <a:ext cx="1059906" cy="318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en-US" altLang="ja-JP" sz="1100" b="0" i="0">
                  <a:latin typeface="Cambria Math" panose="02040503050406030204" pitchFamily="18" charset="0"/>
                </a:rPr>
                <a:t>𝑚𝑠</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𝑚/(1+𝑤/100)</a:t>
              </a:r>
              <a:endParaRPr kumimoji="1" lang="ja-JP" altLang="en-US" sz="1100"/>
            </a:p>
          </xdr:txBody>
        </xdr:sp>
      </mc:Fallback>
    </mc:AlternateContent>
    <xdr:clientData/>
  </xdr:oneCellAnchor>
  <xdr:oneCellAnchor>
    <xdr:from>
      <xdr:col>0</xdr:col>
      <xdr:colOff>0</xdr:colOff>
      <xdr:row>49</xdr:row>
      <xdr:rowOff>160813</xdr:rowOff>
    </xdr:from>
    <xdr:ext cx="1437381" cy="316946"/>
    <mc:AlternateContent xmlns:mc="http://schemas.openxmlformats.org/markup-compatibility/2006" xmlns:a14="http://schemas.microsoft.com/office/drawing/2010/main">
      <mc:Choice Requires="a14">
        <xdr:sp macro="" textlink="">
          <xdr:nvSpPr>
            <xdr:cNvPr id="4" name="テキスト ボックス 3"/>
            <xdr:cNvSpPr txBox="1"/>
          </xdr:nvSpPr>
          <xdr:spPr>
            <a:xfrm>
              <a:off x="0" y="9723913"/>
              <a:ext cx="1437381"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𝑅𝑤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𝑚𝑠</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𝑉𝑤</m:t>
                        </m:r>
                        <m:r>
                          <a:rPr kumimoji="1" lang="ja-JP" altLang="en-US" sz="1100" b="0" i="1">
                            <a:latin typeface="Cambria Math" panose="02040503050406030204" pitchFamily="18" charset="0"/>
                          </a:rPr>
                          <m:t>𝜌</m:t>
                        </m:r>
                        <m:r>
                          <a:rPr kumimoji="1" lang="en-US" altLang="ja-JP" sz="1100" b="0" i="1">
                            <a:latin typeface="Cambria Math" panose="02040503050406030204" pitchFamily="18" charset="0"/>
                          </a:rPr>
                          <m:t>𝑤</m:t>
                        </m:r>
                      </m:num>
                      <m:den>
                        <m:r>
                          <a:rPr kumimoji="1" lang="en-US" altLang="ja-JP" sz="1100" b="0" i="1">
                            <a:latin typeface="Cambria Math" panose="02040503050406030204" pitchFamily="18" charset="0"/>
                          </a:rPr>
                          <m:t>𝑚𝑠</m:t>
                        </m:r>
                      </m:den>
                    </m:f>
                  </m:oMath>
                </m:oMathPara>
              </a14:m>
              <a:endParaRPr kumimoji="1" lang="ja-JP" altLang="en-US" sz="1100"/>
            </a:p>
          </xdr:txBody>
        </xdr:sp>
      </mc:Choice>
      <mc:Fallback xmlns="">
        <xdr:sp macro="" textlink="">
          <xdr:nvSpPr>
            <xdr:cNvPr id="4" name="テキスト ボックス 3"/>
            <xdr:cNvSpPr txBox="1"/>
          </xdr:nvSpPr>
          <xdr:spPr>
            <a:xfrm>
              <a:off x="0" y="9723913"/>
              <a:ext cx="1437381"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en-US" altLang="ja-JP" sz="1100" b="0" i="0">
                  <a:latin typeface="Cambria Math" panose="02040503050406030204" pitchFamily="18" charset="0"/>
                </a:rPr>
                <a:t>𝑅𝑤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𝑚−𝑚𝑠+𝑉𝑤</a:t>
              </a:r>
              <a:r>
                <a:rPr kumimoji="1" lang="ja-JP" altLang="en-US" sz="1100" b="0" i="0">
                  <a:latin typeface="Cambria Math" panose="02040503050406030204" pitchFamily="18" charset="0"/>
                </a:rPr>
                <a:t>𝜌</a:t>
              </a:r>
              <a:r>
                <a:rPr kumimoji="1" lang="en-US" altLang="ja-JP" sz="1100" b="0" i="0">
                  <a:latin typeface="Cambria Math" panose="02040503050406030204" pitchFamily="18" charset="0"/>
                </a:rPr>
                <a:t>𝑤)/𝑚𝑠</a:t>
              </a:r>
              <a:endParaRPr kumimoji="1" lang="ja-JP" altLang="en-US" sz="1100"/>
            </a:p>
          </xdr:txBody>
        </xdr:sp>
      </mc:Fallback>
    </mc:AlternateContent>
    <xdr:clientData/>
  </xdr:oneCellAnchor>
  <xdr:oneCellAnchor>
    <xdr:from>
      <xdr:col>9</xdr:col>
      <xdr:colOff>76200</xdr:colOff>
      <xdr:row>50</xdr:row>
      <xdr:rowOff>76200</xdr:rowOff>
    </xdr:from>
    <xdr:ext cx="1581150" cy="172227"/>
    <mc:AlternateContent xmlns:mc="http://schemas.openxmlformats.org/markup-compatibility/2006" xmlns:a14="http://schemas.microsoft.com/office/drawing/2010/main">
      <mc:Choice Requires="a14">
        <xdr:sp macro="" textlink="">
          <xdr:nvSpPr>
            <xdr:cNvPr id="5" name="テキスト ボックス 4"/>
            <xdr:cNvSpPr txBox="1"/>
          </xdr:nvSpPr>
          <xdr:spPr>
            <a:xfrm>
              <a:off x="1533525" y="9829800"/>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kumimoji="1" lang="ja-JP" altLang="en-US" sz="1100" i="1">
                      <a:latin typeface="Cambria Math" panose="02040503050406030204" pitchFamily="18" charset="0"/>
                    </a:rPr>
                    <m:t>𝜌</m:t>
                  </m:r>
                  <m:r>
                    <m:rPr>
                      <m:sty m:val="p"/>
                    </m:rPr>
                    <a:rPr kumimoji="1" lang="en-US" altLang="ja-JP" sz="1100" i="1">
                      <a:latin typeface="Cambria Math" panose="02040503050406030204" pitchFamily="18" charset="0"/>
                    </a:rPr>
                    <m:t>w</m:t>
                  </m:r>
                </m:oMath>
              </a14:m>
              <a:r>
                <a:rPr kumimoji="1" lang="en-US" altLang="ja-JP" sz="1100"/>
                <a:t>= Water density=1.0</a:t>
              </a:r>
              <a:endParaRPr kumimoji="1" lang="ja-JP" altLang="en-US" sz="1100"/>
            </a:p>
          </xdr:txBody>
        </xdr:sp>
      </mc:Choice>
      <mc:Fallback xmlns="">
        <xdr:sp macro="" textlink="">
          <xdr:nvSpPr>
            <xdr:cNvPr id="5" name="テキスト ボックス 4"/>
            <xdr:cNvSpPr txBox="1"/>
          </xdr:nvSpPr>
          <xdr:spPr>
            <a:xfrm>
              <a:off x="1533525" y="9829800"/>
              <a:ext cx="15811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kumimoji="1" lang="ja-JP" altLang="en-US" sz="1100" i="0">
                  <a:latin typeface="Cambria Math" panose="02040503050406030204" pitchFamily="18" charset="0"/>
                </a:rPr>
                <a:t>𝜌</a:t>
              </a:r>
              <a:r>
                <a:rPr kumimoji="1" lang="en-US" altLang="ja-JP" sz="1100" i="0">
                  <a:latin typeface="Cambria Math" panose="02040503050406030204" pitchFamily="18" charset="0"/>
                </a:rPr>
                <a:t>w</a:t>
              </a:r>
              <a:r>
                <a:rPr kumimoji="1" lang="en-US" altLang="ja-JP" sz="1100"/>
                <a:t>= Water density=1.0</a:t>
              </a:r>
              <a:endParaRPr kumimoji="1" lang="ja-JP" alt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9"/>
  <sheetViews>
    <sheetView topLeftCell="A9" zoomScaleNormal="100" workbookViewId="0">
      <selection activeCell="D134" sqref="D134:I136"/>
    </sheetView>
  </sheetViews>
  <sheetFormatPr defaultColWidth="9" defaultRowHeight="15"/>
  <cols>
    <col min="1" max="16384" width="9" style="1"/>
  </cols>
  <sheetData>
    <row r="1" spans="1:9">
      <c r="A1" s="34" t="s">
        <v>324</v>
      </c>
      <c r="B1" s="34"/>
      <c r="C1" s="34"/>
      <c r="D1" s="34"/>
      <c r="E1" s="34"/>
      <c r="F1" s="34"/>
      <c r="G1" s="34"/>
      <c r="H1" s="34"/>
      <c r="I1" s="34"/>
    </row>
    <row r="2" spans="1:9">
      <c r="A2" s="34"/>
      <c r="B2" s="34"/>
      <c r="C2" s="34"/>
      <c r="D2" s="34"/>
      <c r="E2" s="34"/>
      <c r="F2" s="34"/>
      <c r="G2" s="34"/>
      <c r="H2" s="34"/>
      <c r="I2" s="34"/>
    </row>
    <row r="3" spans="1:9">
      <c r="A3" s="34" t="s">
        <v>8</v>
      </c>
      <c r="B3" s="34"/>
      <c r="C3" s="34"/>
      <c r="D3" s="34"/>
      <c r="E3" s="34"/>
      <c r="F3" s="34"/>
      <c r="G3" s="34"/>
      <c r="H3" s="34"/>
      <c r="I3" s="34"/>
    </row>
    <row r="4" spans="1:9">
      <c r="A4" s="4"/>
      <c r="B4" s="4"/>
      <c r="C4" s="4"/>
      <c r="D4" s="4"/>
      <c r="E4" s="4"/>
      <c r="F4" s="4"/>
      <c r="G4" s="4"/>
      <c r="H4" s="4"/>
      <c r="I4" s="4"/>
    </row>
    <row r="5" spans="1:9">
      <c r="A5" s="2" t="s">
        <v>0</v>
      </c>
      <c r="B5" s="3" t="s">
        <v>1</v>
      </c>
    </row>
    <row r="6" spans="1:9">
      <c r="B6" s="2" t="s">
        <v>2</v>
      </c>
      <c r="C6" s="1" t="s">
        <v>3</v>
      </c>
    </row>
    <row r="7" spans="1:9">
      <c r="C7" s="1" t="s">
        <v>4</v>
      </c>
    </row>
    <row r="8" spans="1:9">
      <c r="B8" s="2" t="s">
        <v>5</v>
      </c>
      <c r="C8" s="1" t="s">
        <v>6</v>
      </c>
    </row>
    <row r="9" spans="1:9">
      <c r="C9" s="1" t="s">
        <v>35</v>
      </c>
    </row>
    <row r="10" spans="1:9">
      <c r="B10" s="2" t="s">
        <v>7</v>
      </c>
      <c r="C10" s="1" t="s">
        <v>38</v>
      </c>
    </row>
    <row r="11" spans="1:9">
      <c r="B11" s="2"/>
      <c r="C11" s="33" t="s">
        <v>312</v>
      </c>
      <c r="D11" s="33"/>
      <c r="E11" s="33"/>
      <c r="F11" s="33"/>
      <c r="G11" s="33"/>
      <c r="H11" s="33"/>
      <c r="I11" s="33"/>
    </row>
    <row r="12" spans="1:9">
      <c r="C12" s="33"/>
      <c r="D12" s="33"/>
      <c r="E12" s="33"/>
      <c r="F12" s="33"/>
      <c r="G12" s="33"/>
      <c r="H12" s="33"/>
      <c r="I12" s="33"/>
    </row>
    <row r="13" spans="1:9">
      <c r="C13" s="33"/>
      <c r="D13" s="33"/>
      <c r="E13" s="33"/>
      <c r="F13" s="33"/>
      <c r="G13" s="33"/>
      <c r="H13" s="33"/>
      <c r="I13" s="33"/>
    </row>
    <row r="15" spans="1:9">
      <c r="B15" s="1" t="s">
        <v>9</v>
      </c>
    </row>
    <row r="16" spans="1:9">
      <c r="B16" s="2" t="s">
        <v>2</v>
      </c>
      <c r="C16" s="33" t="s">
        <v>10</v>
      </c>
      <c r="D16" s="33"/>
      <c r="E16" s="33"/>
      <c r="F16" s="33"/>
      <c r="G16" s="33"/>
      <c r="H16" s="33"/>
      <c r="I16" s="33"/>
    </row>
    <row r="17" spans="1:9">
      <c r="C17" s="33"/>
      <c r="D17" s="33"/>
      <c r="E17" s="33"/>
      <c r="F17" s="33"/>
      <c r="G17" s="33"/>
      <c r="H17" s="33"/>
      <c r="I17" s="33"/>
    </row>
    <row r="18" spans="1:9">
      <c r="B18" s="2" t="s">
        <v>5</v>
      </c>
      <c r="C18" s="1" t="s">
        <v>11</v>
      </c>
    </row>
    <row r="19" spans="1:9">
      <c r="B19" s="2" t="s">
        <v>7</v>
      </c>
      <c r="C19" s="1" t="s">
        <v>12</v>
      </c>
    </row>
    <row r="20" spans="1:9" ht="18">
      <c r="B20" s="2"/>
      <c r="C20" s="34" t="s">
        <v>109</v>
      </c>
      <c r="D20" s="34"/>
      <c r="E20" s="34"/>
      <c r="F20" s="34"/>
      <c r="G20" s="34"/>
      <c r="H20" s="34"/>
      <c r="I20" s="34"/>
    </row>
    <row r="22" spans="1:9">
      <c r="A22" s="2" t="s">
        <v>13</v>
      </c>
      <c r="B22" s="3" t="s">
        <v>14</v>
      </c>
    </row>
    <row r="23" spans="1:9">
      <c r="B23" s="2" t="s">
        <v>15</v>
      </c>
      <c r="C23" s="1" t="s">
        <v>16</v>
      </c>
    </row>
    <row r="24" spans="1:9">
      <c r="C24" s="2" t="s">
        <v>18</v>
      </c>
      <c r="D24" s="1" t="s">
        <v>17</v>
      </c>
    </row>
    <row r="25" spans="1:9">
      <c r="D25" s="1" t="s">
        <v>19</v>
      </c>
    </row>
    <row r="26" spans="1:9">
      <c r="C26" s="2" t="s">
        <v>20</v>
      </c>
      <c r="D26" s="1" t="s">
        <v>21</v>
      </c>
    </row>
    <row r="27" spans="1:9">
      <c r="D27" s="1" t="s">
        <v>22</v>
      </c>
    </row>
    <row r="28" spans="1:9">
      <c r="C28" s="2" t="s">
        <v>23</v>
      </c>
      <c r="D28" s="1" t="s">
        <v>24</v>
      </c>
    </row>
    <row r="29" spans="1:9">
      <c r="D29" s="1" t="s">
        <v>25</v>
      </c>
    </row>
    <row r="30" spans="1:9">
      <c r="C30" s="2" t="s">
        <v>26</v>
      </c>
      <c r="D30" s="1" t="s">
        <v>27</v>
      </c>
    </row>
    <row r="31" spans="1:9">
      <c r="D31" s="1" t="s">
        <v>28</v>
      </c>
    </row>
    <row r="32" spans="1:9">
      <c r="D32" s="1" t="s">
        <v>29</v>
      </c>
    </row>
    <row r="33" spans="2:10">
      <c r="D33" s="1" t="s">
        <v>30</v>
      </c>
    </row>
    <row r="34" spans="2:10">
      <c r="D34" s="1" t="s">
        <v>31</v>
      </c>
    </row>
    <row r="35" spans="2:10">
      <c r="D35" s="1" t="s">
        <v>32</v>
      </c>
      <c r="J35" s="6"/>
    </row>
    <row r="36" spans="2:10">
      <c r="B36" s="2" t="s">
        <v>75</v>
      </c>
      <c r="C36" s="1" t="s">
        <v>76</v>
      </c>
      <c r="J36" s="6"/>
    </row>
    <row r="37" spans="2:10">
      <c r="C37" s="2" t="s">
        <v>18</v>
      </c>
      <c r="D37" s="1" t="s">
        <v>77</v>
      </c>
      <c r="J37" s="6"/>
    </row>
    <row r="38" spans="2:10">
      <c r="C38" s="2" t="s">
        <v>20</v>
      </c>
      <c r="D38" s="1" t="s">
        <v>78</v>
      </c>
      <c r="J38" s="6"/>
    </row>
    <row r="39" spans="2:10">
      <c r="C39" s="2"/>
      <c r="D39" s="1" t="s">
        <v>79</v>
      </c>
      <c r="J39" s="6"/>
    </row>
    <row r="41" spans="2:10">
      <c r="B41" s="1" t="s">
        <v>110</v>
      </c>
    </row>
    <row r="42" spans="2:10">
      <c r="B42" s="2" t="s">
        <v>15</v>
      </c>
    </row>
    <row r="43" spans="2:10">
      <c r="C43" s="2" t="s">
        <v>41</v>
      </c>
      <c r="D43" s="1" t="s">
        <v>44</v>
      </c>
    </row>
    <row r="45" spans="2:10">
      <c r="J45" s="6"/>
    </row>
    <row r="54" spans="2:9">
      <c r="D54" s="1" t="s">
        <v>39</v>
      </c>
      <c r="G54" s="1" t="s">
        <v>40</v>
      </c>
    </row>
    <row r="55" spans="2:9">
      <c r="C55" s="2" t="s">
        <v>43</v>
      </c>
      <c r="D55" s="1" t="s">
        <v>45</v>
      </c>
    </row>
    <row r="56" spans="2:9">
      <c r="D56" s="1" t="s">
        <v>69</v>
      </c>
    </row>
    <row r="58" spans="2:9" ht="15" customHeight="1">
      <c r="B58" s="2" t="s">
        <v>68</v>
      </c>
      <c r="C58" s="2" t="s">
        <v>41</v>
      </c>
      <c r="D58" s="33" t="s">
        <v>83</v>
      </c>
      <c r="E58" s="33"/>
      <c r="F58" s="33"/>
      <c r="G58" s="33"/>
      <c r="H58" s="33"/>
      <c r="I58" s="33"/>
    </row>
    <row r="59" spans="2:9">
      <c r="C59" s="2"/>
      <c r="D59" s="33"/>
      <c r="E59" s="33"/>
      <c r="F59" s="33"/>
      <c r="G59" s="33"/>
      <c r="H59" s="33"/>
      <c r="I59" s="33"/>
    </row>
    <row r="60" spans="2:9">
      <c r="C60" s="2"/>
      <c r="D60" s="33"/>
      <c r="E60" s="33"/>
      <c r="F60" s="33"/>
      <c r="G60" s="33"/>
      <c r="H60" s="33"/>
      <c r="I60" s="33"/>
    </row>
    <row r="62" spans="2:9" ht="15.75" thickBot="1">
      <c r="C62" s="5" t="s">
        <v>46</v>
      </c>
      <c r="D62" s="5" t="s">
        <v>70</v>
      </c>
      <c r="E62" s="5"/>
      <c r="F62" s="5"/>
      <c r="G62" s="5"/>
      <c r="H62" s="5"/>
      <c r="I62" s="5"/>
    </row>
    <row r="63" spans="2:9" ht="15.75" thickTop="1">
      <c r="C63" s="50" t="s">
        <v>47</v>
      </c>
      <c r="D63" s="50"/>
      <c r="E63" s="51" t="s">
        <v>49</v>
      </c>
      <c r="F63" s="50"/>
      <c r="G63" s="52"/>
      <c r="H63" s="50" t="s">
        <v>51</v>
      </c>
      <c r="I63" s="50"/>
    </row>
    <row r="64" spans="2:9">
      <c r="C64" s="36" t="s">
        <v>48</v>
      </c>
      <c r="D64" s="36"/>
      <c r="E64" s="41" t="s">
        <v>50</v>
      </c>
      <c r="F64" s="36"/>
      <c r="G64" s="42"/>
      <c r="H64" s="36" t="s">
        <v>52</v>
      </c>
      <c r="I64" s="36"/>
    </row>
    <row r="65" spans="1:11">
      <c r="C65" s="45" t="s">
        <v>53</v>
      </c>
      <c r="D65" s="45"/>
      <c r="E65" s="46" t="s">
        <v>56</v>
      </c>
      <c r="F65" s="45"/>
      <c r="G65" s="47"/>
      <c r="H65" s="45" t="s">
        <v>59</v>
      </c>
      <c r="I65" s="45"/>
    </row>
    <row r="66" spans="1:11">
      <c r="C66" s="53" t="s">
        <v>54</v>
      </c>
      <c r="D66" s="53"/>
      <c r="E66" s="43" t="s">
        <v>57</v>
      </c>
      <c r="F66" s="53"/>
      <c r="G66" s="44"/>
      <c r="H66" s="53" t="s">
        <v>60</v>
      </c>
      <c r="I66" s="53"/>
    </row>
    <row r="67" spans="1:11">
      <c r="C67" s="36" t="s">
        <v>55</v>
      </c>
      <c r="D67" s="36"/>
      <c r="E67" s="41" t="s">
        <v>58</v>
      </c>
      <c r="F67" s="36"/>
      <c r="G67" s="42"/>
      <c r="H67" s="36" t="s">
        <v>61</v>
      </c>
      <c r="I67" s="36"/>
    </row>
    <row r="69" spans="1:11">
      <c r="A69" s="2" t="s">
        <v>33</v>
      </c>
      <c r="B69" s="3" t="s">
        <v>34</v>
      </c>
      <c r="C69" s="3"/>
    </row>
    <row r="70" spans="1:11">
      <c r="C70" s="2" t="s">
        <v>18</v>
      </c>
      <c r="D70" s="33" t="s">
        <v>323</v>
      </c>
      <c r="E70" s="33"/>
      <c r="F70" s="33"/>
      <c r="G70" s="33"/>
      <c r="H70" s="33"/>
      <c r="I70" s="33"/>
    </row>
    <row r="71" spans="1:11">
      <c r="D71" s="33"/>
      <c r="E71" s="33"/>
      <c r="F71" s="33"/>
      <c r="G71" s="33"/>
      <c r="H71" s="33"/>
      <c r="I71" s="33"/>
      <c r="K71" s="6"/>
    </row>
    <row r="72" spans="1:11">
      <c r="D72" s="33"/>
      <c r="E72" s="33"/>
      <c r="F72" s="33"/>
      <c r="G72" s="33"/>
      <c r="H72" s="33"/>
      <c r="I72" s="33"/>
    </row>
    <row r="73" spans="1:11">
      <c r="D73" s="54" t="s">
        <v>62</v>
      </c>
      <c r="E73" s="54"/>
      <c r="F73" s="54"/>
      <c r="G73" s="54"/>
      <c r="H73" s="54"/>
      <c r="I73" s="54"/>
    </row>
    <row r="74" spans="1:11">
      <c r="D74" s="54"/>
      <c r="E74" s="54"/>
      <c r="F74" s="54"/>
      <c r="G74" s="54"/>
      <c r="H74" s="54"/>
      <c r="I74" s="54"/>
    </row>
    <row r="75" spans="1:11">
      <c r="D75" s="55" t="s">
        <v>63</v>
      </c>
      <c r="E75" s="55"/>
      <c r="F75" s="55"/>
      <c r="G75" s="55"/>
      <c r="H75" s="55"/>
      <c r="I75" s="55"/>
    </row>
    <row r="76" spans="1:11">
      <c r="C76" s="2" t="s">
        <v>20</v>
      </c>
      <c r="D76" s="33" t="s">
        <v>36</v>
      </c>
      <c r="E76" s="33"/>
      <c r="F76" s="33"/>
      <c r="G76" s="33"/>
      <c r="H76" s="33"/>
      <c r="I76" s="33"/>
    </row>
    <row r="77" spans="1:11">
      <c r="D77" s="33"/>
      <c r="E77" s="33"/>
      <c r="F77" s="33"/>
      <c r="G77" s="33"/>
      <c r="H77" s="33"/>
      <c r="I77" s="33"/>
    </row>
    <row r="78" spans="1:11">
      <c r="C78" s="2" t="s">
        <v>23</v>
      </c>
      <c r="D78" s="33" t="s">
        <v>37</v>
      </c>
      <c r="E78" s="33"/>
      <c r="F78" s="33"/>
      <c r="G78" s="33"/>
      <c r="H78" s="33"/>
      <c r="I78" s="33"/>
    </row>
    <row r="79" spans="1:11">
      <c r="D79" s="33"/>
      <c r="E79" s="33"/>
      <c r="F79" s="33"/>
      <c r="G79" s="33"/>
      <c r="H79" s="33"/>
      <c r="I79" s="33"/>
    </row>
    <row r="80" spans="1:11">
      <c r="D80" s="33"/>
      <c r="E80" s="33"/>
      <c r="F80" s="33"/>
      <c r="G80" s="33"/>
      <c r="H80" s="33"/>
      <c r="I80" s="33"/>
    </row>
    <row r="81" spans="1:9">
      <c r="C81" s="2" t="s">
        <v>26</v>
      </c>
      <c r="D81" s="33" t="s">
        <v>74</v>
      </c>
      <c r="E81" s="33"/>
      <c r="F81" s="33"/>
      <c r="G81" s="33"/>
      <c r="H81" s="33"/>
      <c r="I81" s="33"/>
    </row>
    <row r="82" spans="1:9">
      <c r="D82" s="33"/>
      <c r="E82" s="33"/>
      <c r="F82" s="33"/>
      <c r="G82" s="33"/>
      <c r="H82" s="33"/>
      <c r="I82" s="33"/>
    </row>
    <row r="84" spans="1:9">
      <c r="B84" s="1" t="s">
        <v>110</v>
      </c>
    </row>
    <row r="85" spans="1:9">
      <c r="C85" s="2" t="s">
        <v>18</v>
      </c>
      <c r="D85" s="1" t="s">
        <v>357</v>
      </c>
    </row>
    <row r="86" spans="1:9">
      <c r="C86" s="2" t="s">
        <v>42</v>
      </c>
      <c r="D86" s="1" t="s">
        <v>311</v>
      </c>
    </row>
    <row r="87" spans="1:9">
      <c r="D87" s="1" t="s">
        <v>64</v>
      </c>
    </row>
    <row r="88" spans="1:9">
      <c r="D88" s="33" t="s">
        <v>65</v>
      </c>
      <c r="E88" s="33"/>
      <c r="F88" s="33"/>
      <c r="G88" s="33"/>
      <c r="H88" s="33"/>
      <c r="I88" s="33"/>
    </row>
    <row r="89" spans="1:9">
      <c r="D89" s="33"/>
      <c r="E89" s="33"/>
      <c r="F89" s="33"/>
      <c r="G89" s="33"/>
      <c r="H89" s="33"/>
      <c r="I89" s="33"/>
    </row>
    <row r="90" spans="1:9">
      <c r="D90" s="33"/>
      <c r="E90" s="33"/>
      <c r="F90" s="33"/>
      <c r="G90" s="33"/>
      <c r="H90" s="33"/>
      <c r="I90" s="33"/>
    </row>
    <row r="92" spans="1:9">
      <c r="A92" s="2" t="s">
        <v>66</v>
      </c>
      <c r="B92" s="3" t="s">
        <v>67</v>
      </c>
    </row>
    <row r="93" spans="1:9">
      <c r="B93" s="2" t="s">
        <v>71</v>
      </c>
      <c r="C93" s="1" t="s">
        <v>72</v>
      </c>
    </row>
    <row r="94" spans="1:9">
      <c r="C94" s="2" t="s">
        <v>73</v>
      </c>
      <c r="D94" s="33" t="s">
        <v>80</v>
      </c>
      <c r="E94" s="33"/>
      <c r="F94" s="33"/>
      <c r="G94" s="33"/>
      <c r="H94" s="33"/>
      <c r="I94" s="33"/>
    </row>
    <row r="95" spans="1:9">
      <c r="D95" s="33"/>
      <c r="E95" s="33"/>
      <c r="F95" s="33"/>
      <c r="G95" s="33"/>
      <c r="H95" s="33"/>
      <c r="I95" s="33"/>
    </row>
    <row r="96" spans="1:9">
      <c r="C96" s="2" t="s">
        <v>42</v>
      </c>
      <c r="D96" s="33" t="s">
        <v>81</v>
      </c>
      <c r="E96" s="33"/>
      <c r="F96" s="33"/>
      <c r="G96" s="33"/>
      <c r="H96" s="33"/>
      <c r="I96" s="33"/>
    </row>
    <row r="97" spans="3:9">
      <c r="D97" s="33"/>
      <c r="E97" s="33"/>
      <c r="F97" s="33"/>
      <c r="G97" s="33"/>
      <c r="H97" s="33"/>
      <c r="I97" s="33"/>
    </row>
    <row r="98" spans="3:9">
      <c r="D98" s="33"/>
      <c r="E98" s="33"/>
      <c r="F98" s="33"/>
      <c r="G98" s="33"/>
      <c r="H98" s="33"/>
      <c r="I98" s="33"/>
    </row>
    <row r="99" spans="3:9">
      <c r="D99" s="33"/>
      <c r="E99" s="33"/>
      <c r="F99" s="33"/>
      <c r="G99" s="33"/>
      <c r="H99" s="33"/>
      <c r="I99" s="33"/>
    </row>
    <row r="100" spans="3:9">
      <c r="C100" s="2" t="s">
        <v>82</v>
      </c>
      <c r="D100" s="33" t="s">
        <v>86</v>
      </c>
      <c r="E100" s="33"/>
      <c r="F100" s="33"/>
      <c r="G100" s="33"/>
      <c r="H100" s="33"/>
      <c r="I100" s="33"/>
    </row>
    <row r="101" spans="3:9">
      <c r="D101" s="33"/>
      <c r="E101" s="33"/>
      <c r="F101" s="33"/>
      <c r="G101" s="33"/>
      <c r="H101" s="33"/>
      <c r="I101" s="33"/>
    </row>
    <row r="103" spans="3:9" ht="15.75" thickBot="1">
      <c r="C103" s="5" t="s">
        <v>84</v>
      </c>
      <c r="D103" s="5" t="s">
        <v>85</v>
      </c>
      <c r="E103" s="5"/>
      <c r="F103" s="5"/>
      <c r="G103" s="5"/>
      <c r="H103" s="5"/>
      <c r="I103" s="5"/>
    </row>
    <row r="104" spans="3:9" ht="15.75" thickTop="1">
      <c r="C104" s="38" t="s">
        <v>124</v>
      </c>
      <c r="D104" s="38"/>
      <c r="E104" s="38"/>
      <c r="F104" s="48" t="s">
        <v>87</v>
      </c>
      <c r="G104" s="49"/>
      <c r="H104" s="38" t="s">
        <v>341</v>
      </c>
      <c r="I104" s="38"/>
    </row>
    <row r="105" spans="3:9">
      <c r="C105" s="45" t="s">
        <v>89</v>
      </c>
      <c r="D105" s="45"/>
      <c r="E105" s="45"/>
      <c r="F105" s="46" t="s">
        <v>97</v>
      </c>
      <c r="G105" s="47"/>
      <c r="H105" s="45" t="s">
        <v>101</v>
      </c>
      <c r="I105" s="45"/>
    </row>
    <row r="106" spans="3:9">
      <c r="C106" s="34" t="s">
        <v>90</v>
      </c>
      <c r="D106" s="34"/>
      <c r="E106" s="34"/>
      <c r="F106" s="43" t="s">
        <v>97</v>
      </c>
      <c r="G106" s="44"/>
      <c r="H106" s="34" t="s">
        <v>102</v>
      </c>
      <c r="I106" s="34"/>
    </row>
    <row r="107" spans="3:9">
      <c r="C107" s="34" t="s">
        <v>91</v>
      </c>
      <c r="D107" s="34"/>
      <c r="E107" s="34"/>
      <c r="F107" s="43" t="s">
        <v>97</v>
      </c>
      <c r="G107" s="44"/>
      <c r="H107" s="34" t="s">
        <v>103</v>
      </c>
      <c r="I107" s="34"/>
    </row>
    <row r="108" spans="3:9">
      <c r="C108" s="34" t="s">
        <v>92</v>
      </c>
      <c r="D108" s="34"/>
      <c r="E108" s="34"/>
      <c r="F108" s="43" t="s">
        <v>97</v>
      </c>
      <c r="G108" s="44"/>
      <c r="H108" s="34" t="s">
        <v>104</v>
      </c>
      <c r="I108" s="34"/>
    </row>
    <row r="109" spans="3:9">
      <c r="C109" s="34" t="s">
        <v>93</v>
      </c>
      <c r="D109" s="34"/>
      <c r="E109" s="34"/>
      <c r="F109" s="43" t="s">
        <v>97</v>
      </c>
      <c r="G109" s="44"/>
      <c r="H109" s="34" t="s">
        <v>105</v>
      </c>
      <c r="I109" s="34"/>
    </row>
    <row r="110" spans="3:9">
      <c r="C110" s="34" t="s">
        <v>94</v>
      </c>
      <c r="D110" s="34"/>
      <c r="E110" s="34"/>
      <c r="F110" s="43" t="s">
        <v>98</v>
      </c>
      <c r="G110" s="44"/>
      <c r="H110" s="34" t="s">
        <v>106</v>
      </c>
      <c r="I110" s="34"/>
    </row>
    <row r="111" spans="3:9">
      <c r="C111" s="34" t="s">
        <v>95</v>
      </c>
      <c r="D111" s="34"/>
      <c r="E111" s="34"/>
      <c r="F111" s="43" t="s">
        <v>99</v>
      </c>
      <c r="G111" s="44"/>
      <c r="H111" s="34" t="s">
        <v>107</v>
      </c>
      <c r="I111" s="34"/>
    </row>
    <row r="112" spans="3:9">
      <c r="C112" s="34" t="s">
        <v>88</v>
      </c>
      <c r="D112" s="34"/>
      <c r="E112" s="34"/>
      <c r="F112" s="43" t="s">
        <v>99</v>
      </c>
      <c r="G112" s="44"/>
      <c r="H112" s="34" t="s">
        <v>108</v>
      </c>
      <c r="I112" s="34"/>
    </row>
    <row r="113" spans="2:12">
      <c r="C113" s="36" t="s">
        <v>96</v>
      </c>
      <c r="D113" s="36"/>
      <c r="E113" s="36"/>
      <c r="F113" s="41" t="s">
        <v>100</v>
      </c>
      <c r="G113" s="42"/>
      <c r="H113" s="36" t="s">
        <v>108</v>
      </c>
      <c r="I113" s="36"/>
    </row>
    <row r="115" spans="2:12">
      <c r="C115" s="2" t="s">
        <v>111</v>
      </c>
      <c r="D115" s="33" t="s">
        <v>112</v>
      </c>
      <c r="E115" s="33"/>
      <c r="F115" s="33"/>
      <c r="G115" s="33"/>
      <c r="H115" s="33"/>
      <c r="I115" s="33"/>
    </row>
    <row r="116" spans="2:12">
      <c r="D116" s="33"/>
      <c r="E116" s="33"/>
      <c r="F116" s="33"/>
      <c r="G116" s="33"/>
      <c r="H116" s="33"/>
      <c r="I116" s="33"/>
    </row>
    <row r="117" spans="2:12">
      <c r="D117" s="33"/>
      <c r="E117" s="33"/>
      <c r="F117" s="33"/>
      <c r="G117" s="33"/>
      <c r="H117" s="33"/>
      <c r="I117" s="33"/>
    </row>
    <row r="118" spans="2:12">
      <c r="B118" s="2"/>
    </row>
    <row r="119" spans="2:12">
      <c r="B119" s="2" t="s">
        <v>113</v>
      </c>
      <c r="C119" s="1" t="s">
        <v>114</v>
      </c>
    </row>
    <row r="120" spans="2:12" ht="15" customHeight="1">
      <c r="C120" s="2" t="s">
        <v>41</v>
      </c>
      <c r="D120" s="33" t="s">
        <v>115</v>
      </c>
      <c r="E120" s="33"/>
      <c r="F120" s="33"/>
      <c r="G120" s="33"/>
      <c r="H120" s="33"/>
      <c r="I120" s="33"/>
    </row>
    <row r="121" spans="2:12">
      <c r="D121" s="33"/>
      <c r="E121" s="33"/>
      <c r="F121" s="33"/>
      <c r="G121" s="33"/>
      <c r="H121" s="33"/>
      <c r="I121" s="33"/>
    </row>
    <row r="122" spans="2:12">
      <c r="C122" s="2" t="s">
        <v>42</v>
      </c>
      <c r="D122" s="1" t="s">
        <v>116</v>
      </c>
      <c r="L122" s="8"/>
    </row>
    <row r="124" spans="2:12">
      <c r="B124" s="1" t="s">
        <v>110</v>
      </c>
    </row>
    <row r="125" spans="2:12">
      <c r="B125" s="2" t="s">
        <v>71</v>
      </c>
    </row>
    <row r="126" spans="2:12">
      <c r="C126" s="2" t="s">
        <v>41</v>
      </c>
      <c r="D126" s="33" t="s">
        <v>121</v>
      </c>
      <c r="E126" s="33"/>
      <c r="F126" s="33"/>
      <c r="G126" s="33"/>
      <c r="H126" s="33"/>
      <c r="I126" s="33"/>
    </row>
    <row r="127" spans="2:12">
      <c r="D127" s="33"/>
      <c r="E127" s="33"/>
      <c r="F127" s="33"/>
      <c r="G127" s="33"/>
      <c r="H127" s="33"/>
      <c r="I127" s="33"/>
    </row>
    <row r="128" spans="2:12">
      <c r="C128" s="2" t="s">
        <v>42</v>
      </c>
      <c r="D128" s="1" t="s">
        <v>117</v>
      </c>
    </row>
    <row r="129" spans="2:16">
      <c r="D129" s="33" t="s">
        <v>118</v>
      </c>
      <c r="E129" s="33"/>
      <c r="F129" s="33"/>
      <c r="G129" s="33"/>
      <c r="H129" s="33"/>
      <c r="I129" s="33"/>
    </row>
    <row r="130" spans="2:16">
      <c r="D130" s="33"/>
      <c r="E130" s="33"/>
      <c r="F130" s="33"/>
      <c r="G130" s="33"/>
      <c r="H130" s="33"/>
      <c r="I130" s="33"/>
    </row>
    <row r="131" spans="2:16">
      <c r="C131" s="2" t="s">
        <v>120</v>
      </c>
      <c r="D131" s="33" t="s">
        <v>310</v>
      </c>
      <c r="E131" s="33"/>
      <c r="F131" s="33"/>
      <c r="G131" s="33"/>
      <c r="H131" s="33"/>
      <c r="I131" s="33"/>
    </row>
    <row r="132" spans="2:16">
      <c r="D132" s="33"/>
      <c r="E132" s="33"/>
      <c r="F132" s="33"/>
      <c r="G132" s="33"/>
      <c r="H132" s="33"/>
      <c r="I132" s="33"/>
    </row>
    <row r="133" spans="2:16">
      <c r="D133" s="33"/>
      <c r="E133" s="33"/>
      <c r="F133" s="33"/>
      <c r="G133" s="33"/>
      <c r="H133" s="33"/>
      <c r="I133" s="33"/>
    </row>
    <row r="134" spans="2:16">
      <c r="C134" s="2"/>
      <c r="D134" s="33" t="s">
        <v>122</v>
      </c>
      <c r="E134" s="33"/>
      <c r="F134" s="33"/>
      <c r="G134" s="33"/>
      <c r="H134" s="33"/>
      <c r="I134" s="33"/>
    </row>
    <row r="135" spans="2:16">
      <c r="D135" s="33"/>
      <c r="E135" s="33"/>
      <c r="F135" s="33"/>
      <c r="G135" s="33"/>
      <c r="H135" s="33"/>
      <c r="I135" s="33"/>
    </row>
    <row r="136" spans="2:16">
      <c r="D136" s="33"/>
      <c r="E136" s="33"/>
      <c r="F136" s="33"/>
      <c r="G136" s="33"/>
      <c r="H136" s="33"/>
      <c r="I136" s="33"/>
    </row>
    <row r="137" spans="2:16">
      <c r="K137" s="9"/>
      <c r="L137" s="9"/>
      <c r="M137" s="9"/>
      <c r="N137" s="9"/>
      <c r="O137" s="9"/>
      <c r="P137" s="9"/>
    </row>
    <row r="138" spans="2:16" ht="15.75" customHeight="1" thickBot="1">
      <c r="B138" s="5" t="s">
        <v>84</v>
      </c>
      <c r="C138" s="5" t="s">
        <v>85</v>
      </c>
      <c r="D138" s="5"/>
      <c r="E138" s="5"/>
      <c r="F138" s="5"/>
      <c r="G138" s="5"/>
      <c r="H138" s="5"/>
      <c r="I138" s="5"/>
      <c r="K138" s="9"/>
      <c r="L138" s="9"/>
      <c r="M138" s="9"/>
      <c r="N138" s="9"/>
      <c r="O138" s="9"/>
      <c r="P138" s="9"/>
    </row>
    <row r="139" spans="2:16" ht="15.75" thickTop="1">
      <c r="B139" s="38" t="s">
        <v>123</v>
      </c>
      <c r="C139" s="38"/>
      <c r="D139" s="40" t="s">
        <v>125</v>
      </c>
      <c r="E139" s="40"/>
      <c r="F139" s="40" t="s">
        <v>342</v>
      </c>
      <c r="G139" s="40"/>
      <c r="H139" s="38" t="s">
        <v>126</v>
      </c>
      <c r="I139" s="38"/>
      <c r="K139" s="9"/>
      <c r="L139" s="9"/>
      <c r="M139" s="9"/>
      <c r="N139" s="9"/>
      <c r="O139" s="9"/>
      <c r="P139" s="9"/>
    </row>
    <row r="140" spans="2:16">
      <c r="B140" s="34" t="s">
        <v>127</v>
      </c>
      <c r="C140" s="34"/>
      <c r="D140" s="39" t="s">
        <v>136</v>
      </c>
      <c r="E140" s="39"/>
      <c r="F140" s="39" t="s">
        <v>139</v>
      </c>
      <c r="G140" s="39"/>
      <c r="H140" s="34" t="s">
        <v>148</v>
      </c>
      <c r="I140" s="34"/>
      <c r="K140" s="9"/>
      <c r="L140" s="9"/>
      <c r="M140" s="9"/>
      <c r="N140" s="9"/>
      <c r="O140" s="9"/>
      <c r="P140" s="9"/>
    </row>
    <row r="141" spans="2:16">
      <c r="B141" s="34" t="s">
        <v>128</v>
      </c>
      <c r="C141" s="34"/>
      <c r="D141" s="35" t="s">
        <v>136</v>
      </c>
      <c r="E141" s="35"/>
      <c r="F141" s="35" t="s">
        <v>140</v>
      </c>
      <c r="G141" s="35"/>
      <c r="H141" s="34" t="s">
        <v>149</v>
      </c>
      <c r="I141" s="34"/>
    </row>
    <row r="142" spans="2:16">
      <c r="B142" s="34" t="s">
        <v>129</v>
      </c>
      <c r="C142" s="34"/>
      <c r="D142" s="35" t="s">
        <v>136</v>
      </c>
      <c r="E142" s="35"/>
      <c r="F142" s="35" t="s">
        <v>141</v>
      </c>
      <c r="G142" s="35"/>
      <c r="H142" s="34" t="s">
        <v>150</v>
      </c>
      <c r="I142" s="34"/>
    </row>
    <row r="143" spans="2:16">
      <c r="B143" s="34" t="s">
        <v>130</v>
      </c>
      <c r="C143" s="34"/>
      <c r="D143" s="35" t="s">
        <v>136</v>
      </c>
      <c r="E143" s="35"/>
      <c r="F143" s="35" t="s">
        <v>142</v>
      </c>
      <c r="G143" s="35"/>
      <c r="H143" s="34" t="s">
        <v>151</v>
      </c>
      <c r="I143" s="34"/>
    </row>
    <row r="144" spans="2:16">
      <c r="B144" s="34" t="s">
        <v>131</v>
      </c>
      <c r="C144" s="34"/>
      <c r="D144" s="35" t="s">
        <v>137</v>
      </c>
      <c r="E144" s="35"/>
      <c r="F144" s="35" t="s">
        <v>143</v>
      </c>
      <c r="G144" s="35"/>
      <c r="H144" s="34" t="s">
        <v>152</v>
      </c>
      <c r="I144" s="34"/>
    </row>
    <row r="145" spans="2:9">
      <c r="B145" s="34" t="s">
        <v>132</v>
      </c>
      <c r="C145" s="34"/>
      <c r="D145" s="35" t="s">
        <v>137</v>
      </c>
      <c r="E145" s="35"/>
      <c r="F145" s="35" t="s">
        <v>144</v>
      </c>
      <c r="G145" s="35"/>
      <c r="H145" s="34" t="s">
        <v>153</v>
      </c>
      <c r="I145" s="34"/>
    </row>
    <row r="146" spans="2:9">
      <c r="B146" s="34" t="s">
        <v>133</v>
      </c>
      <c r="C146" s="34"/>
      <c r="D146" s="35" t="s">
        <v>137</v>
      </c>
      <c r="E146" s="35"/>
      <c r="F146" s="35" t="s">
        <v>145</v>
      </c>
      <c r="G146" s="35"/>
      <c r="H146" s="34" t="s">
        <v>154</v>
      </c>
      <c r="I146" s="34"/>
    </row>
    <row r="147" spans="2:9">
      <c r="B147" s="34" t="s">
        <v>134</v>
      </c>
      <c r="C147" s="34"/>
      <c r="D147" s="35" t="s">
        <v>138</v>
      </c>
      <c r="E147" s="35"/>
      <c r="F147" s="35" t="s">
        <v>146</v>
      </c>
      <c r="G147" s="35"/>
      <c r="H147" s="34" t="s">
        <v>155</v>
      </c>
      <c r="I147" s="34"/>
    </row>
    <row r="148" spans="2:9">
      <c r="B148" s="36" t="s">
        <v>135</v>
      </c>
      <c r="C148" s="36"/>
      <c r="D148" s="37" t="s">
        <v>138</v>
      </c>
      <c r="E148" s="37"/>
      <c r="F148" s="37" t="s">
        <v>147</v>
      </c>
      <c r="G148" s="37"/>
      <c r="H148" s="36" t="s">
        <v>156</v>
      </c>
      <c r="I148" s="36"/>
    </row>
    <row r="150" spans="2:9">
      <c r="B150" s="2" t="s">
        <v>157</v>
      </c>
      <c r="C150" s="2" t="s">
        <v>41</v>
      </c>
      <c r="D150" s="33" t="s">
        <v>158</v>
      </c>
      <c r="E150" s="33"/>
      <c r="F150" s="33"/>
      <c r="G150" s="33"/>
      <c r="H150" s="33"/>
      <c r="I150" s="33"/>
    </row>
    <row r="151" spans="2:9">
      <c r="D151" s="33"/>
      <c r="E151" s="33"/>
      <c r="F151" s="33"/>
      <c r="G151" s="33"/>
      <c r="H151" s="33"/>
      <c r="I151" s="33"/>
    </row>
    <row r="152" spans="2:9" ht="15" customHeight="1">
      <c r="D152" s="33" t="s">
        <v>159</v>
      </c>
      <c r="E152" s="33"/>
      <c r="F152" s="33"/>
      <c r="G152" s="33"/>
      <c r="H152" s="33"/>
      <c r="I152" s="33"/>
    </row>
    <row r="153" spans="2:9">
      <c r="D153" s="33"/>
      <c r="E153" s="33"/>
      <c r="F153" s="33"/>
      <c r="G153" s="33"/>
      <c r="H153" s="33"/>
      <c r="I153" s="33"/>
    </row>
    <row r="154" spans="2:9">
      <c r="D154" s="33"/>
      <c r="E154" s="33"/>
      <c r="F154" s="33"/>
      <c r="G154" s="33"/>
      <c r="H154" s="33"/>
      <c r="I154" s="33"/>
    </row>
    <row r="155" spans="2:9">
      <c r="D155" s="33"/>
      <c r="E155" s="33"/>
      <c r="F155" s="33"/>
      <c r="G155" s="33"/>
      <c r="H155" s="33"/>
      <c r="I155" s="33"/>
    </row>
    <row r="156" spans="2:9">
      <c r="D156" s="7"/>
      <c r="E156" s="7"/>
      <c r="F156" s="7"/>
      <c r="G156" s="7"/>
      <c r="H156" s="7"/>
      <c r="I156" s="7"/>
    </row>
    <row r="157" spans="2:9">
      <c r="D157" s="7"/>
      <c r="E157" s="7"/>
      <c r="F157" s="7"/>
      <c r="G157" s="7"/>
      <c r="H157" s="7"/>
      <c r="I157" s="7"/>
    </row>
    <row r="158" spans="2:9">
      <c r="D158" s="7"/>
      <c r="E158" s="7"/>
      <c r="F158" s="7"/>
      <c r="G158" s="7"/>
      <c r="H158" s="7"/>
      <c r="I158" s="7"/>
    </row>
    <row r="159" spans="2:9">
      <c r="D159" s="7"/>
      <c r="E159" s="7"/>
      <c r="F159" s="7"/>
      <c r="G159" s="7"/>
      <c r="H159" s="7"/>
      <c r="I159" s="7"/>
    </row>
    <row r="160" spans="2:9">
      <c r="D160" s="7"/>
      <c r="E160" s="7"/>
      <c r="F160" s="7"/>
      <c r="G160" s="7"/>
      <c r="H160" s="7"/>
      <c r="I160" s="7"/>
    </row>
    <row r="161" spans="4:9">
      <c r="D161" s="7"/>
      <c r="E161" s="7"/>
      <c r="F161" s="7"/>
      <c r="G161" s="7"/>
      <c r="H161" s="7"/>
      <c r="I161" s="7"/>
    </row>
    <row r="178" spans="1:3">
      <c r="C178" s="1" t="s">
        <v>160</v>
      </c>
    </row>
    <row r="185" spans="1:3">
      <c r="A185" s="2" t="s">
        <v>161</v>
      </c>
      <c r="B185" s="3" t="s">
        <v>162</v>
      </c>
    </row>
    <row r="186" spans="1:3">
      <c r="B186" s="2"/>
      <c r="C186" s="1" t="s">
        <v>163</v>
      </c>
    </row>
    <row r="187" spans="1:3">
      <c r="B187" s="2" t="s">
        <v>41</v>
      </c>
      <c r="C187" s="1" t="s">
        <v>164</v>
      </c>
    </row>
    <row r="188" spans="1:3">
      <c r="B188" s="2" t="s">
        <v>42</v>
      </c>
      <c r="C188" s="1" t="s">
        <v>165</v>
      </c>
    </row>
    <row r="189" spans="1:3">
      <c r="B189" s="2" t="s">
        <v>119</v>
      </c>
      <c r="C189" s="1" t="s">
        <v>166</v>
      </c>
    </row>
  </sheetData>
  <mergeCells count="109">
    <mergeCell ref="D94:I95"/>
    <mergeCell ref="D75:I75"/>
    <mergeCell ref="C66:D66"/>
    <mergeCell ref="C67:D67"/>
    <mergeCell ref="E65:G65"/>
    <mergeCell ref="E66:G66"/>
    <mergeCell ref="E67:G67"/>
    <mergeCell ref="D78:I80"/>
    <mergeCell ref="D81:I82"/>
    <mergeCell ref="D76:I77"/>
    <mergeCell ref="D96:I99"/>
    <mergeCell ref="D100:I101"/>
    <mergeCell ref="H104:I104"/>
    <mergeCell ref="F104:G104"/>
    <mergeCell ref="C104:E104"/>
    <mergeCell ref="A1:I2"/>
    <mergeCell ref="C11:I13"/>
    <mergeCell ref="A3:I3"/>
    <mergeCell ref="C16:I17"/>
    <mergeCell ref="D70:I72"/>
    <mergeCell ref="C20:I20"/>
    <mergeCell ref="C63:D63"/>
    <mergeCell ref="E63:G63"/>
    <mergeCell ref="H63:I63"/>
    <mergeCell ref="C64:D64"/>
    <mergeCell ref="E64:G64"/>
    <mergeCell ref="H64:I64"/>
    <mergeCell ref="C65:D65"/>
    <mergeCell ref="D88:I90"/>
    <mergeCell ref="H65:I65"/>
    <mergeCell ref="H66:I66"/>
    <mergeCell ref="H67:I67"/>
    <mergeCell ref="D73:I74"/>
    <mergeCell ref="D58:I60"/>
    <mergeCell ref="C107:E107"/>
    <mergeCell ref="F107:G107"/>
    <mergeCell ref="H107:I107"/>
    <mergeCell ref="C108:E108"/>
    <mergeCell ref="F108:G108"/>
    <mergeCell ref="H108:I108"/>
    <mergeCell ref="C105:E105"/>
    <mergeCell ref="F105:G105"/>
    <mergeCell ref="H105:I105"/>
    <mergeCell ref="C106:E106"/>
    <mergeCell ref="F106:G106"/>
    <mergeCell ref="H106:I106"/>
    <mergeCell ref="C111:E111"/>
    <mergeCell ref="F111:G111"/>
    <mergeCell ref="H111:I111"/>
    <mergeCell ref="C112:E112"/>
    <mergeCell ref="F112:G112"/>
    <mergeCell ref="H112:I112"/>
    <mergeCell ref="C109:E109"/>
    <mergeCell ref="F109:G109"/>
    <mergeCell ref="H109:I109"/>
    <mergeCell ref="C110:E110"/>
    <mergeCell ref="F110:G110"/>
    <mergeCell ref="H110:I110"/>
    <mergeCell ref="D120:I121"/>
    <mergeCell ref="D126:I127"/>
    <mergeCell ref="D129:I130"/>
    <mergeCell ref="D131:I133"/>
    <mergeCell ref="D134:I136"/>
    <mergeCell ref="H139:I139"/>
    <mergeCell ref="F139:G139"/>
    <mergeCell ref="D139:E139"/>
    <mergeCell ref="C113:E113"/>
    <mergeCell ref="F113:G113"/>
    <mergeCell ref="H113:I113"/>
    <mergeCell ref="D115:I117"/>
    <mergeCell ref="B141:C141"/>
    <mergeCell ref="D141:E141"/>
    <mergeCell ref="F141:G141"/>
    <mergeCell ref="H141:I141"/>
    <mergeCell ref="B142:C142"/>
    <mergeCell ref="D142:E142"/>
    <mergeCell ref="F142:G142"/>
    <mergeCell ref="H142:I142"/>
    <mergeCell ref="B139:C139"/>
    <mergeCell ref="B140:C140"/>
    <mergeCell ref="D140:E140"/>
    <mergeCell ref="F140:G140"/>
    <mergeCell ref="H140:I140"/>
    <mergeCell ref="B145:C145"/>
    <mergeCell ref="D145:E145"/>
    <mergeCell ref="F145:G145"/>
    <mergeCell ref="H145:I145"/>
    <mergeCell ref="B146:C146"/>
    <mergeCell ref="D146:E146"/>
    <mergeCell ref="F146:G146"/>
    <mergeCell ref="H146:I146"/>
    <mergeCell ref="B143:C143"/>
    <mergeCell ref="D143:E143"/>
    <mergeCell ref="F143:G143"/>
    <mergeCell ref="H143:I143"/>
    <mergeCell ref="B144:C144"/>
    <mergeCell ref="D144:E144"/>
    <mergeCell ref="F144:G144"/>
    <mergeCell ref="H144:I144"/>
    <mergeCell ref="D150:I151"/>
    <mergeCell ref="D152:I155"/>
    <mergeCell ref="B147:C147"/>
    <mergeCell ref="D147:E147"/>
    <mergeCell ref="F147:G147"/>
    <mergeCell ref="H147:I147"/>
    <mergeCell ref="B148:C148"/>
    <mergeCell ref="D148:E148"/>
    <mergeCell ref="F148:G148"/>
    <mergeCell ref="H148:I148"/>
  </mergeCells>
  <phoneticPr fontId="2"/>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5"/>
  <sheetViews>
    <sheetView tabSelected="1" topLeftCell="A194" zoomScale="106" zoomScaleNormal="106" workbookViewId="0">
      <selection sqref="A1:I197"/>
    </sheetView>
  </sheetViews>
  <sheetFormatPr defaultColWidth="9" defaultRowHeight="15"/>
  <cols>
    <col min="1" max="2" width="9" style="1"/>
    <col min="3" max="3" width="10.7109375" style="1" customWidth="1"/>
    <col min="4" max="8" width="9" style="1"/>
    <col min="9" max="9" width="9" style="1" customWidth="1"/>
    <col min="10" max="16384" width="9" style="1"/>
  </cols>
  <sheetData>
    <row r="1" spans="1:9">
      <c r="A1" s="34" t="s">
        <v>403</v>
      </c>
      <c r="B1" s="34"/>
      <c r="C1" s="34"/>
      <c r="D1" s="34"/>
      <c r="E1" s="34"/>
      <c r="F1" s="34"/>
      <c r="G1" s="34"/>
      <c r="H1" s="34"/>
      <c r="I1" s="34"/>
    </row>
    <row r="2" spans="1:9">
      <c r="A2" s="34"/>
      <c r="B2" s="34"/>
      <c r="C2" s="34"/>
      <c r="D2" s="34"/>
      <c r="E2" s="34"/>
      <c r="F2" s="34"/>
      <c r="G2" s="34"/>
      <c r="H2" s="34"/>
      <c r="I2" s="34"/>
    </row>
    <row r="3" spans="1:9">
      <c r="A3" s="34" t="s">
        <v>404</v>
      </c>
      <c r="B3" s="34"/>
      <c r="C3" s="34"/>
      <c r="D3" s="34"/>
      <c r="E3" s="34"/>
      <c r="F3" s="34"/>
      <c r="G3" s="34"/>
      <c r="H3" s="34"/>
      <c r="I3" s="34"/>
    </row>
    <row r="4" spans="1:9">
      <c r="A4" s="23"/>
      <c r="B4" s="23"/>
      <c r="C4" s="23"/>
      <c r="D4" s="23"/>
      <c r="E4" s="23"/>
      <c r="F4" s="23"/>
      <c r="G4" s="23"/>
      <c r="H4" s="23"/>
      <c r="I4" s="23"/>
    </row>
    <row r="5" spans="1:9">
      <c r="A5" s="2" t="s">
        <v>0</v>
      </c>
      <c r="B5" s="1" t="s">
        <v>405</v>
      </c>
    </row>
    <row r="6" spans="1:9" ht="15" customHeight="1">
      <c r="B6" s="33" t="s">
        <v>406</v>
      </c>
      <c r="C6" s="33"/>
      <c r="D6" s="33"/>
      <c r="E6" s="33"/>
      <c r="F6" s="33"/>
      <c r="G6" s="33"/>
      <c r="H6" s="33"/>
      <c r="I6" s="33"/>
    </row>
    <row r="7" spans="1:9">
      <c r="B7" s="33"/>
      <c r="C7" s="33"/>
      <c r="D7" s="33"/>
      <c r="E7" s="33"/>
      <c r="F7" s="33"/>
      <c r="G7" s="33"/>
      <c r="H7" s="33"/>
      <c r="I7" s="33"/>
    </row>
    <row r="8" spans="1:9">
      <c r="B8" s="33"/>
      <c r="C8" s="33"/>
      <c r="D8" s="33"/>
      <c r="E8" s="33"/>
      <c r="F8" s="33"/>
      <c r="G8" s="33"/>
      <c r="H8" s="33"/>
      <c r="I8" s="33"/>
    </row>
    <row r="9" spans="1:9">
      <c r="B9" s="33"/>
      <c r="C9" s="33"/>
      <c r="D9" s="33"/>
      <c r="E9" s="33"/>
      <c r="F9" s="33"/>
      <c r="G9" s="33"/>
      <c r="H9" s="33"/>
      <c r="I9" s="33"/>
    </row>
    <row r="10" spans="1:9">
      <c r="B10" s="3"/>
      <c r="C10" s="3"/>
      <c r="D10" s="3"/>
      <c r="E10" s="3"/>
      <c r="F10" s="3"/>
      <c r="G10" s="3"/>
      <c r="H10" s="3"/>
      <c r="I10" s="3"/>
    </row>
    <row r="11" spans="1:9">
      <c r="B11" s="3" t="s">
        <v>407</v>
      </c>
      <c r="C11" s="22"/>
      <c r="D11" s="22"/>
      <c r="E11" s="22"/>
      <c r="F11" s="22"/>
      <c r="G11" s="22"/>
      <c r="H11" s="22"/>
      <c r="I11" s="22"/>
    </row>
    <row r="12" spans="1:9">
      <c r="B12" s="33" t="s">
        <v>408</v>
      </c>
      <c r="C12" s="33"/>
      <c r="D12" s="33"/>
      <c r="E12" s="33"/>
      <c r="F12" s="33"/>
      <c r="G12" s="33"/>
      <c r="H12" s="33"/>
      <c r="I12" s="33"/>
    </row>
    <row r="13" spans="1:9">
      <c r="B13" s="33"/>
      <c r="C13" s="33"/>
      <c r="D13" s="33"/>
      <c r="E13" s="33"/>
      <c r="F13" s="33"/>
      <c r="G13" s="33"/>
      <c r="H13" s="33"/>
      <c r="I13" s="33"/>
    </row>
    <row r="14" spans="1:9">
      <c r="B14" s="33"/>
      <c r="C14" s="33"/>
      <c r="D14" s="33"/>
      <c r="E14" s="33"/>
      <c r="F14" s="33"/>
      <c r="G14" s="33"/>
      <c r="H14" s="33"/>
      <c r="I14" s="33"/>
    </row>
    <row r="15" spans="1:9">
      <c r="B15" s="3"/>
      <c r="C15" s="3"/>
      <c r="D15" s="3"/>
      <c r="E15" s="3"/>
      <c r="F15" s="3"/>
      <c r="G15" s="3"/>
      <c r="H15" s="3"/>
      <c r="I15" s="3"/>
    </row>
    <row r="16" spans="1:9">
      <c r="A16" s="2" t="s">
        <v>314</v>
      </c>
      <c r="B16" s="3" t="s">
        <v>410</v>
      </c>
      <c r="C16" s="22"/>
      <c r="D16" s="22"/>
      <c r="E16" s="22"/>
      <c r="F16" s="22"/>
      <c r="G16" s="22"/>
      <c r="H16" s="22"/>
      <c r="I16" s="22"/>
    </row>
    <row r="17" spans="1:9">
      <c r="B17" s="33" t="s">
        <v>409</v>
      </c>
      <c r="C17" s="33"/>
      <c r="D17" s="33"/>
      <c r="E17" s="33"/>
      <c r="F17" s="33"/>
      <c r="G17" s="33"/>
      <c r="H17" s="33"/>
      <c r="I17" s="33"/>
    </row>
    <row r="18" spans="1:9">
      <c r="B18" s="33"/>
      <c r="C18" s="33"/>
      <c r="D18" s="33"/>
      <c r="E18" s="33"/>
      <c r="F18" s="33"/>
      <c r="G18" s="33"/>
      <c r="H18" s="33"/>
      <c r="I18" s="33"/>
    </row>
    <row r="19" spans="1:9">
      <c r="B19" s="25" t="s">
        <v>316</v>
      </c>
      <c r="C19" s="3" t="s">
        <v>411</v>
      </c>
      <c r="D19" s="3"/>
      <c r="E19" s="3"/>
      <c r="F19" s="3"/>
      <c r="G19" s="3"/>
      <c r="H19" s="3"/>
      <c r="I19" s="3"/>
    </row>
    <row r="20" spans="1:9">
      <c r="B20" s="25" t="s">
        <v>317</v>
      </c>
      <c r="C20" s="3" t="s">
        <v>412</v>
      </c>
      <c r="D20" s="3"/>
      <c r="E20" s="3"/>
      <c r="F20" s="3"/>
      <c r="G20" s="3"/>
      <c r="H20" s="3"/>
      <c r="I20" s="3"/>
    </row>
    <row r="21" spans="1:9">
      <c r="A21" s="2"/>
      <c r="B21" s="25" t="s">
        <v>318</v>
      </c>
      <c r="C21" s="3" t="s">
        <v>413</v>
      </c>
      <c r="D21" s="3"/>
      <c r="E21" s="3"/>
      <c r="F21" s="3"/>
      <c r="G21" s="3"/>
      <c r="H21" s="3"/>
      <c r="I21" s="3"/>
    </row>
    <row r="22" spans="1:9">
      <c r="B22" s="25" t="s">
        <v>319</v>
      </c>
      <c r="C22" s="3" t="s">
        <v>414</v>
      </c>
      <c r="D22" s="3"/>
      <c r="E22" s="3"/>
      <c r="F22" s="3"/>
      <c r="G22" s="3"/>
      <c r="H22" s="3"/>
      <c r="I22" s="3"/>
    </row>
    <row r="23" spans="1:9">
      <c r="B23" s="25" t="s">
        <v>320</v>
      </c>
      <c r="C23" s="3" t="s">
        <v>415</v>
      </c>
      <c r="D23" s="3"/>
      <c r="E23" s="3"/>
      <c r="F23" s="3"/>
      <c r="G23" s="3"/>
      <c r="H23" s="3" t="s">
        <v>326</v>
      </c>
      <c r="I23" s="3"/>
    </row>
    <row r="24" spans="1:9">
      <c r="B24" s="25" t="s">
        <v>321</v>
      </c>
      <c r="C24" s="3" t="s">
        <v>416</v>
      </c>
      <c r="D24" s="3"/>
      <c r="E24" s="3"/>
      <c r="F24" s="3"/>
      <c r="G24" s="3"/>
      <c r="H24" s="3"/>
      <c r="I24" s="3"/>
    </row>
    <row r="25" spans="1:9">
      <c r="B25" s="25" t="s">
        <v>322</v>
      </c>
      <c r="C25" s="3" t="s">
        <v>417</v>
      </c>
      <c r="D25" s="3"/>
      <c r="E25" s="3"/>
      <c r="F25" s="3"/>
      <c r="G25" s="3"/>
      <c r="H25" s="3"/>
      <c r="I25" s="3"/>
    </row>
    <row r="26" spans="1:9">
      <c r="B26" s="3"/>
      <c r="C26" s="3"/>
      <c r="D26" s="3"/>
      <c r="E26" s="3"/>
      <c r="F26" s="3"/>
      <c r="G26" s="3"/>
      <c r="H26" s="3"/>
    </row>
    <row r="27" spans="1:9">
      <c r="A27" s="2" t="s">
        <v>181</v>
      </c>
      <c r="B27" s="3" t="s">
        <v>418</v>
      </c>
      <c r="C27" s="3"/>
      <c r="D27" s="3"/>
      <c r="E27" s="3"/>
      <c r="F27" s="3"/>
      <c r="G27" s="3"/>
      <c r="H27" s="3"/>
    </row>
    <row r="28" spans="1:9">
      <c r="B28" s="3" t="s">
        <v>419</v>
      </c>
      <c r="C28" s="3"/>
      <c r="D28" s="3"/>
      <c r="E28" s="3"/>
      <c r="F28" s="3"/>
      <c r="G28" s="3"/>
      <c r="H28" s="3"/>
    </row>
    <row r="29" spans="1:9">
      <c r="B29" s="2" t="s">
        <v>325</v>
      </c>
      <c r="C29" s="3" t="s">
        <v>420</v>
      </c>
      <c r="D29" s="3"/>
      <c r="E29" s="3"/>
      <c r="F29" s="3"/>
      <c r="G29" s="3"/>
      <c r="H29" s="3"/>
    </row>
    <row r="30" spans="1:9">
      <c r="B30" s="3"/>
      <c r="C30" s="33" t="s">
        <v>421</v>
      </c>
      <c r="D30" s="33"/>
      <c r="E30" s="33"/>
      <c r="F30" s="33"/>
      <c r="G30" s="33"/>
      <c r="H30" s="33"/>
      <c r="I30" s="33"/>
    </row>
    <row r="31" spans="1:9">
      <c r="B31" s="3"/>
      <c r="C31" s="33"/>
      <c r="D31" s="33"/>
      <c r="E31" s="33"/>
      <c r="F31" s="33"/>
      <c r="G31" s="33"/>
      <c r="H31" s="33"/>
      <c r="I31" s="33"/>
    </row>
    <row r="32" spans="1:9">
      <c r="B32" s="3"/>
      <c r="C32" s="33"/>
      <c r="D32" s="33"/>
      <c r="E32" s="33"/>
      <c r="F32" s="33"/>
      <c r="G32" s="33"/>
      <c r="H32" s="33"/>
      <c r="I32" s="33"/>
    </row>
    <row r="33" spans="1:10">
      <c r="B33" s="3"/>
      <c r="C33" s="3"/>
      <c r="D33" s="3"/>
      <c r="E33" s="3"/>
      <c r="F33" s="3"/>
      <c r="G33" s="3"/>
      <c r="H33" s="3"/>
    </row>
    <row r="34" spans="1:10">
      <c r="B34" s="3" t="s">
        <v>407</v>
      </c>
      <c r="C34" s="33" t="s">
        <v>422</v>
      </c>
      <c r="D34" s="33"/>
      <c r="E34" s="33"/>
      <c r="F34" s="33"/>
      <c r="G34" s="33"/>
      <c r="H34" s="33"/>
      <c r="I34" s="33"/>
      <c r="J34" s="6"/>
    </row>
    <row r="35" spans="1:10">
      <c r="B35" s="2"/>
      <c r="C35" s="33"/>
      <c r="D35" s="33"/>
      <c r="E35" s="33"/>
      <c r="F35" s="33"/>
      <c r="G35" s="33"/>
      <c r="H35" s="33"/>
      <c r="I35" s="33"/>
      <c r="J35" s="6"/>
    </row>
    <row r="36" spans="1:10">
      <c r="A36" s="3"/>
      <c r="B36" s="3"/>
      <c r="C36" s="3"/>
      <c r="D36" s="3"/>
      <c r="E36" s="3"/>
      <c r="F36" s="3"/>
      <c r="G36" s="3"/>
      <c r="H36" s="3"/>
      <c r="I36" s="3"/>
      <c r="J36" s="6"/>
    </row>
    <row r="37" spans="1:10">
      <c r="A37" s="3"/>
      <c r="B37" s="2" t="s">
        <v>327</v>
      </c>
      <c r="C37" s="3" t="s">
        <v>423</v>
      </c>
      <c r="D37" s="3"/>
      <c r="E37" s="3"/>
      <c r="F37" s="3"/>
      <c r="G37" s="3"/>
      <c r="H37" s="3"/>
      <c r="I37" s="3"/>
      <c r="J37" s="6"/>
    </row>
    <row r="38" spans="1:10">
      <c r="A38" s="3"/>
      <c r="B38" s="3"/>
      <c r="C38" s="33" t="s">
        <v>424</v>
      </c>
      <c r="D38" s="33"/>
      <c r="E38" s="33"/>
      <c r="F38" s="33"/>
      <c r="G38" s="33"/>
      <c r="H38" s="33"/>
      <c r="I38" s="33"/>
      <c r="J38" s="6"/>
    </row>
    <row r="39" spans="1:10">
      <c r="A39" s="3"/>
      <c r="B39" s="3"/>
      <c r="C39" s="33"/>
      <c r="D39" s="33"/>
      <c r="E39" s="33"/>
      <c r="F39" s="33"/>
      <c r="G39" s="33"/>
      <c r="H39" s="33"/>
      <c r="I39" s="33"/>
    </row>
    <row r="40" spans="1:10">
      <c r="A40" s="3"/>
      <c r="B40" s="3"/>
      <c r="C40" s="3"/>
      <c r="D40" s="3"/>
      <c r="E40" s="3"/>
      <c r="F40" s="3"/>
      <c r="G40" s="3"/>
      <c r="H40" s="3"/>
      <c r="I40" s="3"/>
    </row>
    <row r="41" spans="1:10">
      <c r="A41" s="2" t="s">
        <v>66</v>
      </c>
      <c r="B41" s="3" t="s">
        <v>425</v>
      </c>
      <c r="C41" s="3"/>
      <c r="D41" s="3"/>
      <c r="E41" s="3"/>
      <c r="F41" s="3"/>
      <c r="G41" s="3"/>
      <c r="H41" s="3"/>
      <c r="I41" s="3"/>
    </row>
    <row r="42" spans="1:10">
      <c r="A42" s="3"/>
      <c r="B42" s="3" t="s">
        <v>426</v>
      </c>
      <c r="C42" s="3"/>
      <c r="D42" s="3"/>
      <c r="E42" s="3"/>
      <c r="F42" s="3"/>
      <c r="G42" s="3"/>
      <c r="H42" s="3"/>
      <c r="I42" s="3"/>
    </row>
    <row r="43" spans="1:10">
      <c r="A43" s="3"/>
      <c r="B43" s="2" t="s">
        <v>328</v>
      </c>
      <c r="C43" s="3" t="s">
        <v>427</v>
      </c>
      <c r="D43" s="3"/>
      <c r="E43" s="3"/>
      <c r="F43" s="3"/>
      <c r="G43" s="3"/>
      <c r="H43" s="3"/>
      <c r="I43" s="3"/>
    </row>
    <row r="44" spans="1:10">
      <c r="A44" s="3"/>
      <c r="B44" s="3"/>
      <c r="C44" s="3" t="s">
        <v>428</v>
      </c>
      <c r="D44" s="3"/>
      <c r="E44" s="3"/>
      <c r="F44" s="3"/>
      <c r="G44" s="3"/>
      <c r="H44" s="3"/>
      <c r="I44" s="3"/>
      <c r="J44" s="6"/>
    </row>
    <row r="45" spans="1:10">
      <c r="A45" s="3"/>
      <c r="B45" s="3"/>
      <c r="C45" s="3"/>
      <c r="D45" s="3"/>
      <c r="E45" s="3"/>
      <c r="F45" s="3"/>
      <c r="G45" s="3"/>
      <c r="H45" s="3"/>
      <c r="I45" s="3"/>
    </row>
    <row r="46" spans="1:10">
      <c r="A46" s="3"/>
      <c r="B46" s="2" t="s">
        <v>329</v>
      </c>
      <c r="C46" s="3" t="s">
        <v>429</v>
      </c>
      <c r="D46" s="3"/>
      <c r="E46" s="3"/>
      <c r="F46" s="3"/>
      <c r="G46" s="3"/>
      <c r="H46" s="3"/>
      <c r="I46" s="3"/>
    </row>
    <row r="47" spans="1:10">
      <c r="A47" s="3"/>
      <c r="B47" s="3"/>
      <c r="C47" s="3" t="s">
        <v>430</v>
      </c>
      <c r="D47" s="3"/>
      <c r="E47" s="3"/>
      <c r="F47" s="3"/>
      <c r="G47" s="3"/>
      <c r="H47" s="3"/>
      <c r="I47" s="3"/>
    </row>
    <row r="48" spans="1:10">
      <c r="A48" s="3"/>
      <c r="B48" s="3"/>
      <c r="C48" s="3"/>
      <c r="D48" s="3"/>
      <c r="E48" s="3"/>
      <c r="F48" s="3"/>
      <c r="G48" s="3"/>
      <c r="H48" s="3"/>
      <c r="I48" s="3"/>
    </row>
    <row r="49" spans="1:9">
      <c r="A49" s="3"/>
      <c r="B49" s="2" t="s">
        <v>330</v>
      </c>
      <c r="C49" s="3" t="s">
        <v>431</v>
      </c>
      <c r="D49" s="3"/>
      <c r="E49" s="3"/>
      <c r="F49" s="3"/>
      <c r="G49" s="3"/>
      <c r="H49" s="3"/>
      <c r="I49" s="3"/>
    </row>
    <row r="50" spans="1:9">
      <c r="A50" s="3"/>
      <c r="B50" s="3"/>
      <c r="C50" s="3" t="s">
        <v>432</v>
      </c>
      <c r="D50" s="3"/>
      <c r="E50" s="3"/>
      <c r="F50" s="3"/>
      <c r="G50" s="3"/>
      <c r="H50" s="3"/>
      <c r="I50" s="3"/>
    </row>
    <row r="51" spans="1:9">
      <c r="A51" s="3"/>
      <c r="B51" s="3"/>
      <c r="C51" s="3"/>
      <c r="D51" s="3"/>
      <c r="E51" s="3"/>
      <c r="F51" s="3"/>
      <c r="G51" s="3"/>
      <c r="H51" s="3"/>
      <c r="I51" s="3"/>
    </row>
    <row r="52" spans="1:9">
      <c r="A52" s="3"/>
      <c r="B52" s="2" t="s">
        <v>331</v>
      </c>
      <c r="C52" s="3" t="s">
        <v>433</v>
      </c>
      <c r="D52" s="3"/>
      <c r="E52" s="3"/>
      <c r="F52" s="3"/>
      <c r="G52" s="3"/>
      <c r="H52" s="3"/>
      <c r="I52" s="3"/>
    </row>
    <row r="53" spans="1:9">
      <c r="B53" s="19"/>
      <c r="C53" s="19" t="s">
        <v>434</v>
      </c>
      <c r="D53" s="19"/>
      <c r="E53" s="19"/>
      <c r="F53" s="19"/>
      <c r="G53" s="19"/>
      <c r="H53" s="19"/>
      <c r="I53" s="19"/>
    </row>
    <row r="54" spans="1:9">
      <c r="B54" s="3" t="s">
        <v>435</v>
      </c>
      <c r="C54" s="57" t="s">
        <v>436</v>
      </c>
      <c r="D54" s="57"/>
      <c r="E54" s="57"/>
      <c r="F54" s="57"/>
      <c r="G54" s="57"/>
      <c r="H54" s="57"/>
      <c r="I54" s="57"/>
    </row>
    <row r="55" spans="1:9">
      <c r="B55" s="19"/>
      <c r="C55" s="57"/>
      <c r="D55" s="57"/>
      <c r="E55" s="57"/>
      <c r="F55" s="57"/>
      <c r="G55" s="57"/>
      <c r="H55" s="57"/>
      <c r="I55" s="57"/>
    </row>
    <row r="56" spans="1:9">
      <c r="B56" s="19"/>
      <c r="C56" s="19"/>
      <c r="D56" s="19"/>
      <c r="E56" s="19"/>
      <c r="F56" s="19"/>
      <c r="G56" s="19"/>
      <c r="H56" s="19"/>
      <c r="I56" s="19"/>
    </row>
    <row r="57" spans="1:9" ht="15" customHeight="1">
      <c r="B57" s="3" t="s">
        <v>438</v>
      </c>
      <c r="C57" s="19" t="s">
        <v>437</v>
      </c>
      <c r="D57" s="24"/>
      <c r="E57" s="24"/>
      <c r="F57" s="24"/>
      <c r="G57" s="24"/>
      <c r="H57" s="24"/>
      <c r="I57" s="24"/>
    </row>
    <row r="58" spans="1:9">
      <c r="B58" s="19"/>
      <c r="C58" s="19"/>
      <c r="D58" s="24"/>
      <c r="E58" s="24"/>
      <c r="F58" s="24"/>
      <c r="G58" s="24"/>
      <c r="H58" s="24"/>
      <c r="I58" s="24"/>
    </row>
    <row r="59" spans="1:9" ht="15.75">
      <c r="B59" s="19"/>
      <c r="C59" s="19"/>
      <c r="D59" s="30"/>
      <c r="E59" s="24"/>
      <c r="F59" s="24"/>
      <c r="G59" s="24"/>
      <c r="H59" s="24"/>
      <c r="I59" s="24"/>
    </row>
    <row r="60" spans="1:9">
      <c r="B60" s="19"/>
      <c r="C60" s="19"/>
      <c r="D60" s="19"/>
      <c r="E60" s="19"/>
      <c r="F60" s="19"/>
      <c r="G60" s="19"/>
      <c r="H60" s="19"/>
      <c r="I60" s="19"/>
    </row>
    <row r="61" spans="1:9">
      <c r="B61" s="19"/>
      <c r="C61" s="19"/>
      <c r="D61" s="19"/>
      <c r="E61" s="19"/>
      <c r="F61" s="19"/>
      <c r="G61" s="19"/>
      <c r="H61" s="19"/>
      <c r="I61" s="19"/>
    </row>
    <row r="62" spans="1:9">
      <c r="B62" s="19"/>
      <c r="C62" s="19"/>
      <c r="D62" s="19"/>
      <c r="E62" s="19"/>
      <c r="F62" s="19"/>
      <c r="G62" s="19"/>
      <c r="H62" s="19"/>
      <c r="I62" s="19"/>
    </row>
    <row r="63" spans="1:9">
      <c r="B63" s="19"/>
      <c r="C63" s="19"/>
      <c r="D63" s="19"/>
      <c r="E63" s="19"/>
      <c r="F63" s="19"/>
      <c r="G63" s="19"/>
      <c r="H63" s="19"/>
      <c r="I63" s="19"/>
    </row>
    <row r="64" spans="1:9">
      <c r="B64" s="19"/>
      <c r="C64" s="19"/>
      <c r="D64" s="19"/>
      <c r="E64" s="19"/>
      <c r="F64" s="19"/>
      <c r="G64" s="19"/>
      <c r="H64" s="19"/>
      <c r="I64" s="19"/>
    </row>
    <row r="65" spans="1:11">
      <c r="B65" s="19"/>
      <c r="C65" s="19"/>
      <c r="D65" s="19"/>
      <c r="E65" s="19"/>
      <c r="F65" s="19"/>
      <c r="G65" s="19"/>
      <c r="H65" s="19"/>
      <c r="I65" s="19"/>
    </row>
    <row r="66" spans="1:11">
      <c r="B66" s="19"/>
      <c r="C66" s="19"/>
      <c r="D66" s="19"/>
      <c r="E66" s="19"/>
      <c r="F66" s="19"/>
      <c r="G66" s="19"/>
      <c r="H66" s="19"/>
      <c r="I66" s="19"/>
    </row>
    <row r="68" spans="1:11">
      <c r="A68" s="28"/>
      <c r="B68" s="28"/>
      <c r="C68" s="28"/>
      <c r="D68" s="28"/>
      <c r="E68" s="28"/>
      <c r="F68" s="28"/>
      <c r="G68" s="28"/>
      <c r="H68" s="28"/>
      <c r="I68" s="28"/>
    </row>
    <row r="69" spans="1:11">
      <c r="A69" s="28"/>
      <c r="B69" s="28"/>
      <c r="C69" s="28"/>
      <c r="D69" s="29"/>
      <c r="E69" s="29"/>
      <c r="F69" s="29"/>
      <c r="G69" s="29"/>
      <c r="H69" s="29"/>
      <c r="I69" s="29"/>
    </row>
    <row r="70" spans="1:11">
      <c r="A70" s="28"/>
      <c r="B70" s="28"/>
      <c r="C70" s="28" t="s">
        <v>439</v>
      </c>
      <c r="D70" s="29"/>
      <c r="E70" s="29"/>
      <c r="F70" s="29"/>
      <c r="G70" s="29"/>
      <c r="H70" s="29"/>
      <c r="I70" s="29"/>
      <c r="K70" s="6"/>
    </row>
    <row r="71" spans="1:11">
      <c r="A71" s="28"/>
      <c r="B71" s="28"/>
      <c r="C71" s="28"/>
      <c r="D71" s="29"/>
      <c r="E71" s="29"/>
      <c r="F71" s="29"/>
      <c r="G71" s="29"/>
      <c r="H71" s="29"/>
      <c r="I71" s="29"/>
    </row>
    <row r="72" spans="1:11">
      <c r="A72" s="28"/>
      <c r="B72" s="2" t="s">
        <v>336</v>
      </c>
      <c r="C72" s="3" t="s">
        <v>440</v>
      </c>
      <c r="D72" s="29"/>
      <c r="E72" s="29"/>
      <c r="F72" s="29"/>
      <c r="G72" s="29"/>
      <c r="H72" s="29"/>
      <c r="I72" s="29"/>
    </row>
    <row r="73" spans="1:11">
      <c r="A73" s="28"/>
      <c r="B73" s="28"/>
      <c r="C73" s="3" t="s">
        <v>441</v>
      </c>
      <c r="D73" s="29"/>
      <c r="E73" s="29"/>
      <c r="F73" s="29"/>
      <c r="G73" s="29"/>
      <c r="H73" s="29"/>
      <c r="I73" s="29"/>
    </row>
    <row r="74" spans="1:11">
      <c r="A74" s="28"/>
      <c r="B74" s="28"/>
      <c r="C74" s="28"/>
      <c r="D74" s="29"/>
      <c r="E74" s="29"/>
      <c r="F74" s="29"/>
      <c r="G74" s="29"/>
      <c r="H74" s="29"/>
      <c r="I74" s="29"/>
    </row>
    <row r="75" spans="1:11" ht="15" customHeight="1">
      <c r="A75" s="28"/>
      <c r="B75" s="3" t="s">
        <v>407</v>
      </c>
      <c r="C75" s="59" t="s">
        <v>442</v>
      </c>
      <c r="D75" s="59"/>
      <c r="E75" s="59"/>
      <c r="F75" s="59"/>
      <c r="G75" s="59"/>
      <c r="H75" s="59"/>
      <c r="I75" s="59"/>
    </row>
    <row r="76" spans="1:11">
      <c r="A76" s="28"/>
      <c r="B76" s="28"/>
      <c r="C76" s="59"/>
      <c r="D76" s="59"/>
      <c r="E76" s="59"/>
      <c r="F76" s="59"/>
      <c r="G76" s="59"/>
      <c r="H76" s="59"/>
      <c r="I76" s="59"/>
    </row>
    <row r="77" spans="1:11">
      <c r="A77" s="28"/>
      <c r="B77" s="28"/>
      <c r="C77" s="59"/>
      <c r="D77" s="59"/>
      <c r="E77" s="59"/>
      <c r="F77" s="59"/>
      <c r="G77" s="59"/>
      <c r="H77" s="59"/>
      <c r="I77" s="59"/>
    </row>
    <row r="78" spans="1:11">
      <c r="A78" s="28"/>
      <c r="B78" s="28"/>
      <c r="C78" s="28"/>
      <c r="D78" s="29"/>
      <c r="E78" s="29"/>
      <c r="F78" s="29"/>
      <c r="G78" s="29"/>
      <c r="H78" s="29"/>
      <c r="I78" s="29"/>
    </row>
    <row r="79" spans="1:11">
      <c r="A79" s="28"/>
      <c r="B79" s="2" t="s">
        <v>337</v>
      </c>
      <c r="C79" s="3" t="s">
        <v>443</v>
      </c>
      <c r="D79" s="29"/>
      <c r="E79" s="29"/>
      <c r="F79" s="29"/>
      <c r="G79" s="29"/>
      <c r="H79" s="29"/>
      <c r="I79" s="29"/>
    </row>
    <row r="80" spans="1:11">
      <c r="A80" s="28"/>
      <c r="B80" s="28"/>
      <c r="C80" s="28" t="s">
        <v>444</v>
      </c>
      <c r="D80" s="29"/>
      <c r="E80" s="29"/>
      <c r="F80" s="29"/>
      <c r="G80" s="29"/>
      <c r="H80" s="29"/>
      <c r="I80" s="29"/>
    </row>
    <row r="82" spans="1:9">
      <c r="B82" s="2" t="s">
        <v>338</v>
      </c>
      <c r="C82" s="1" t="s">
        <v>445</v>
      </c>
    </row>
    <row r="83" spans="1:9">
      <c r="C83" s="3" t="s">
        <v>446</v>
      </c>
    </row>
    <row r="84" spans="1:9">
      <c r="C84" s="2" t="s">
        <v>339</v>
      </c>
      <c r="D84" s="1" t="s">
        <v>447</v>
      </c>
    </row>
    <row r="85" spans="1:9">
      <c r="C85" s="2" t="s">
        <v>340</v>
      </c>
      <c r="D85" s="33" t="s">
        <v>448</v>
      </c>
      <c r="E85" s="33"/>
      <c r="F85" s="33"/>
      <c r="G85" s="33"/>
      <c r="H85" s="33"/>
      <c r="I85" s="33"/>
    </row>
    <row r="86" spans="1:9">
      <c r="D86" s="33"/>
      <c r="E86" s="33"/>
      <c r="F86" s="33"/>
      <c r="G86" s="33"/>
      <c r="H86" s="33"/>
      <c r="I86" s="33"/>
    </row>
    <row r="87" spans="1:9">
      <c r="D87" s="9"/>
      <c r="E87" s="9"/>
      <c r="F87" s="9"/>
      <c r="G87" s="9"/>
      <c r="H87" s="9"/>
      <c r="I87" s="9"/>
    </row>
    <row r="88" spans="1:9">
      <c r="B88" s="2" t="s">
        <v>343</v>
      </c>
      <c r="C88" s="1" t="s">
        <v>449</v>
      </c>
      <c r="D88" s="9"/>
      <c r="E88" s="9"/>
      <c r="F88" s="9"/>
      <c r="G88" s="9"/>
      <c r="H88" s="9"/>
      <c r="I88" s="9"/>
    </row>
    <row r="89" spans="1:9">
      <c r="C89" s="1" t="s">
        <v>450</v>
      </c>
    </row>
    <row r="90" spans="1:9">
      <c r="A90" s="2"/>
      <c r="B90" s="3"/>
    </row>
    <row r="91" spans="1:9">
      <c r="B91" s="3" t="s">
        <v>407</v>
      </c>
      <c r="C91" s="1" t="s">
        <v>451</v>
      </c>
    </row>
    <row r="92" spans="1:9">
      <c r="C92" s="2"/>
      <c r="D92" s="9"/>
      <c r="E92" s="9"/>
      <c r="F92" s="9"/>
      <c r="G92" s="9"/>
      <c r="H92" s="9"/>
      <c r="I92" s="9"/>
    </row>
    <row r="93" spans="1:9">
      <c r="B93" s="2" t="s">
        <v>344</v>
      </c>
      <c r="C93" s="1" t="s">
        <v>452</v>
      </c>
      <c r="D93" s="9"/>
      <c r="E93" s="9"/>
      <c r="F93" s="9"/>
      <c r="G93" s="9"/>
      <c r="H93" s="9"/>
      <c r="I93" s="9"/>
    </row>
    <row r="94" spans="1:9">
      <c r="B94" s="3"/>
      <c r="C94" s="2" t="s">
        <v>339</v>
      </c>
      <c r="D94" s="3" t="s">
        <v>453</v>
      </c>
      <c r="E94" s="3"/>
      <c r="F94" s="3"/>
      <c r="G94" s="3"/>
      <c r="H94" s="3"/>
      <c r="I94" s="3"/>
    </row>
    <row r="95" spans="1:9">
      <c r="B95" s="3"/>
      <c r="C95" s="2" t="s">
        <v>340</v>
      </c>
      <c r="D95" s="3" t="s">
        <v>456</v>
      </c>
      <c r="E95" s="3"/>
      <c r="F95" s="3"/>
      <c r="G95" s="3"/>
      <c r="H95" s="3"/>
      <c r="I95" s="3"/>
    </row>
    <row r="96" spans="1:9">
      <c r="B96" s="3"/>
      <c r="C96" s="2" t="s">
        <v>345</v>
      </c>
      <c r="D96" s="3" t="s">
        <v>455</v>
      </c>
      <c r="E96" s="3"/>
      <c r="F96" s="3"/>
      <c r="G96" s="3"/>
      <c r="H96" s="3"/>
      <c r="I96" s="3"/>
    </row>
    <row r="97" spans="1:9">
      <c r="B97" s="3"/>
      <c r="C97" s="2" t="s">
        <v>346</v>
      </c>
      <c r="D97" s="3" t="s">
        <v>454</v>
      </c>
      <c r="E97" s="3"/>
      <c r="F97" s="3"/>
      <c r="G97" s="3"/>
      <c r="H97" s="3"/>
      <c r="I97" s="3"/>
    </row>
    <row r="98" spans="1:9">
      <c r="B98" s="3"/>
      <c r="C98" s="3"/>
      <c r="D98" s="3"/>
      <c r="E98" s="3"/>
      <c r="F98" s="3"/>
      <c r="G98" s="3"/>
      <c r="H98" s="3"/>
      <c r="I98" s="3"/>
    </row>
    <row r="99" spans="1:9">
      <c r="B99" s="3" t="s">
        <v>402</v>
      </c>
      <c r="C99" s="19" t="s">
        <v>457</v>
      </c>
      <c r="D99" s="19"/>
      <c r="E99" s="3"/>
      <c r="F99" s="3"/>
      <c r="G99" s="3"/>
      <c r="H99" s="3"/>
      <c r="I99" s="3"/>
    </row>
    <row r="100" spans="1:9">
      <c r="B100" s="3"/>
      <c r="C100" s="3"/>
      <c r="D100" s="3"/>
      <c r="E100" s="3"/>
      <c r="F100" s="3"/>
      <c r="G100" s="3"/>
      <c r="H100" s="3"/>
      <c r="I100" s="3"/>
    </row>
    <row r="101" spans="1:9">
      <c r="B101" s="12"/>
      <c r="C101" s="12"/>
      <c r="D101" s="12"/>
      <c r="E101" s="12"/>
      <c r="F101" s="12"/>
      <c r="G101" s="12"/>
      <c r="H101" s="12"/>
      <c r="I101" s="12"/>
    </row>
    <row r="102" spans="1:9">
      <c r="B102" s="12"/>
      <c r="C102" s="12"/>
      <c r="D102" s="31"/>
      <c r="E102" s="12"/>
      <c r="F102" s="12"/>
      <c r="G102" s="12"/>
      <c r="H102" s="12"/>
      <c r="I102" s="12"/>
    </row>
    <row r="103" spans="1:9">
      <c r="B103" s="12"/>
      <c r="C103" s="12"/>
      <c r="D103" s="12"/>
      <c r="E103" s="12"/>
      <c r="F103" s="12"/>
      <c r="G103" s="12"/>
      <c r="H103" s="12"/>
      <c r="I103" s="12"/>
    </row>
    <row r="104" spans="1:9">
      <c r="B104" s="12"/>
      <c r="C104" s="12"/>
      <c r="D104" s="12"/>
      <c r="E104" s="12"/>
      <c r="F104" s="12"/>
      <c r="G104" s="12"/>
      <c r="H104" s="12"/>
      <c r="I104" s="12"/>
    </row>
    <row r="105" spans="1:9">
      <c r="B105" s="12"/>
      <c r="C105" s="12"/>
      <c r="D105" s="12"/>
      <c r="E105" s="12"/>
      <c r="F105" s="12"/>
      <c r="G105" s="12"/>
      <c r="H105" s="12"/>
      <c r="I105" s="12"/>
    </row>
    <row r="106" spans="1:9">
      <c r="B106" s="12"/>
      <c r="C106" s="12"/>
      <c r="D106" s="12"/>
      <c r="E106" s="12"/>
      <c r="F106" s="12"/>
      <c r="G106" s="12"/>
      <c r="H106" s="12"/>
      <c r="I106" s="12"/>
    </row>
    <row r="107" spans="1:9">
      <c r="B107" s="12"/>
      <c r="C107" s="28"/>
      <c r="D107" s="12"/>
      <c r="E107" s="12"/>
      <c r="F107" s="12"/>
      <c r="G107" s="12"/>
      <c r="H107" s="12"/>
      <c r="I107" s="12"/>
    </row>
    <row r="108" spans="1:9">
      <c r="B108" s="12"/>
      <c r="C108" s="28" t="s">
        <v>458</v>
      </c>
      <c r="D108" s="12"/>
      <c r="E108" s="12"/>
      <c r="F108" s="12"/>
      <c r="G108" s="12"/>
      <c r="H108" s="12"/>
      <c r="I108" s="12"/>
    </row>
    <row r="109" spans="1:9">
      <c r="A109" s="2" t="s">
        <v>161</v>
      </c>
      <c r="B109" s="3" t="s">
        <v>358</v>
      </c>
      <c r="C109" s="12"/>
      <c r="D109" s="12"/>
      <c r="E109" s="12"/>
      <c r="F109" s="12"/>
      <c r="G109" s="12"/>
      <c r="H109" s="12"/>
      <c r="I109" s="12"/>
    </row>
    <row r="110" spans="1:9">
      <c r="B110" s="12" t="s">
        <v>359</v>
      </c>
      <c r="C110" s="12"/>
      <c r="D110" s="12"/>
      <c r="E110" s="12"/>
      <c r="F110" s="12"/>
      <c r="G110" s="12"/>
      <c r="H110" s="12"/>
      <c r="I110" s="12"/>
    </row>
    <row r="111" spans="1:9">
      <c r="B111" s="2" t="s">
        <v>347</v>
      </c>
      <c r="C111" s="3" t="s">
        <v>360</v>
      </c>
      <c r="D111" s="27"/>
      <c r="E111" s="27"/>
      <c r="F111" s="27"/>
      <c r="G111" s="27"/>
      <c r="H111" s="27"/>
      <c r="I111" s="27"/>
    </row>
    <row r="112" spans="1:9" ht="15" customHeight="1">
      <c r="B112" s="12"/>
      <c r="C112" s="2" t="s">
        <v>339</v>
      </c>
      <c r="D112" s="57" t="s">
        <v>362</v>
      </c>
      <c r="E112" s="57"/>
      <c r="F112" s="57"/>
      <c r="G112" s="57"/>
      <c r="H112" s="57"/>
      <c r="I112" s="57"/>
    </row>
    <row r="113" spans="2:12" ht="34.5" customHeight="1">
      <c r="B113" s="12"/>
      <c r="C113" s="12"/>
      <c r="D113" s="57"/>
      <c r="E113" s="57"/>
      <c r="F113" s="57"/>
      <c r="G113" s="57"/>
      <c r="H113" s="57"/>
      <c r="I113" s="57"/>
    </row>
    <row r="114" spans="2:12">
      <c r="B114" s="19"/>
      <c r="C114" s="26" t="s">
        <v>340</v>
      </c>
      <c r="D114" s="56" t="s">
        <v>363</v>
      </c>
      <c r="E114" s="56"/>
      <c r="F114" s="56"/>
      <c r="G114" s="56"/>
      <c r="H114" s="56"/>
      <c r="I114" s="56"/>
    </row>
    <row r="115" spans="2:12" ht="15" customHeight="1">
      <c r="B115" s="19"/>
      <c r="C115" s="2"/>
      <c r="D115" s="56"/>
      <c r="E115" s="56"/>
      <c r="F115" s="56"/>
      <c r="G115" s="56"/>
      <c r="H115" s="56"/>
      <c r="I115" s="56"/>
    </row>
    <row r="116" spans="2:12">
      <c r="B116" s="19"/>
      <c r="C116" s="12"/>
      <c r="D116" s="56"/>
      <c r="E116" s="56"/>
      <c r="F116" s="56"/>
      <c r="G116" s="56"/>
      <c r="H116" s="56"/>
      <c r="I116" s="56"/>
    </row>
    <row r="117" spans="2:12">
      <c r="B117" s="19"/>
      <c r="C117" s="26" t="s">
        <v>345</v>
      </c>
      <c r="D117" s="57" t="s">
        <v>364</v>
      </c>
      <c r="E117" s="57"/>
      <c r="F117" s="57"/>
      <c r="G117" s="57"/>
      <c r="H117" s="57"/>
      <c r="I117" s="57"/>
    </row>
    <row r="118" spans="2:12">
      <c r="B118" s="19"/>
      <c r="C118" s="19"/>
      <c r="D118" s="57"/>
      <c r="E118" s="57"/>
      <c r="F118" s="57"/>
      <c r="G118" s="57"/>
      <c r="H118" s="57"/>
      <c r="I118" s="57"/>
    </row>
    <row r="119" spans="2:12" ht="15" customHeight="1">
      <c r="B119" s="19"/>
      <c r="C119" s="19"/>
      <c r="D119" s="57"/>
      <c r="E119" s="57"/>
      <c r="F119" s="57"/>
      <c r="G119" s="57"/>
      <c r="H119" s="57"/>
      <c r="I119" s="57"/>
    </row>
    <row r="120" spans="2:12">
      <c r="B120" s="2" t="s">
        <v>348</v>
      </c>
      <c r="C120" s="3" t="s">
        <v>361</v>
      </c>
      <c r="D120" s="19"/>
      <c r="E120" s="19"/>
      <c r="F120" s="19"/>
      <c r="G120" s="19"/>
      <c r="H120" s="19"/>
      <c r="I120" s="19"/>
    </row>
    <row r="121" spans="2:12">
      <c r="B121" s="19"/>
      <c r="C121" s="2" t="s">
        <v>339</v>
      </c>
      <c r="D121" s="57" t="s">
        <v>365</v>
      </c>
      <c r="E121" s="57"/>
      <c r="F121" s="57"/>
      <c r="G121" s="57"/>
      <c r="H121" s="57"/>
      <c r="I121" s="57"/>
      <c r="L121" s="32"/>
    </row>
    <row r="122" spans="2:12">
      <c r="B122" s="19"/>
      <c r="C122" s="19"/>
      <c r="D122" s="57"/>
      <c r="E122" s="57"/>
      <c r="F122" s="57"/>
      <c r="G122" s="57"/>
      <c r="H122" s="57"/>
      <c r="I122" s="57"/>
    </row>
    <row r="123" spans="2:12">
      <c r="B123" s="19"/>
      <c r="C123" s="19"/>
      <c r="D123" s="57"/>
      <c r="E123" s="57"/>
      <c r="F123" s="57"/>
      <c r="G123" s="57"/>
      <c r="H123" s="57"/>
      <c r="I123" s="57"/>
    </row>
    <row r="124" spans="2:12">
      <c r="B124" s="19"/>
      <c r="C124" s="26" t="s">
        <v>340</v>
      </c>
      <c r="D124" s="19" t="s">
        <v>366</v>
      </c>
      <c r="E124" s="19"/>
      <c r="F124" s="19"/>
      <c r="G124" s="19"/>
      <c r="H124" s="19"/>
      <c r="I124" s="19"/>
    </row>
    <row r="125" spans="2:12">
      <c r="B125" s="19"/>
      <c r="C125" s="3" t="s">
        <v>376</v>
      </c>
      <c r="D125" s="56" t="s">
        <v>459</v>
      </c>
      <c r="E125" s="56"/>
      <c r="F125" s="56"/>
      <c r="G125" s="56"/>
      <c r="H125" s="56"/>
      <c r="I125" s="56"/>
    </row>
    <row r="126" spans="2:12">
      <c r="B126" s="19"/>
      <c r="C126" s="19"/>
      <c r="D126" s="56"/>
      <c r="E126" s="56"/>
      <c r="F126" s="56"/>
      <c r="G126" s="56"/>
      <c r="H126" s="56"/>
      <c r="I126" s="56"/>
    </row>
    <row r="127" spans="2:12">
      <c r="B127" s="19"/>
      <c r="C127" s="19"/>
      <c r="D127" s="56"/>
      <c r="E127" s="56"/>
      <c r="F127" s="56"/>
      <c r="G127" s="56"/>
      <c r="H127" s="56"/>
      <c r="I127" s="56"/>
    </row>
    <row r="128" spans="2:12" ht="27" customHeight="1">
      <c r="B128" s="19"/>
      <c r="C128" s="3" t="s">
        <v>377</v>
      </c>
      <c r="D128" s="19" t="s">
        <v>367</v>
      </c>
      <c r="E128" s="19"/>
      <c r="F128" s="19"/>
      <c r="G128" s="19"/>
      <c r="H128" s="19"/>
      <c r="I128" s="19"/>
    </row>
    <row r="129" spans="1:16" ht="15" customHeight="1">
      <c r="B129" s="19"/>
      <c r="C129" s="26" t="s">
        <v>345</v>
      </c>
      <c r="D129" s="57" t="s">
        <v>364</v>
      </c>
      <c r="E129" s="57"/>
      <c r="F129" s="57"/>
      <c r="G129" s="57"/>
      <c r="H129" s="57"/>
      <c r="I129" s="57"/>
    </row>
    <row r="130" spans="1:16">
      <c r="B130" s="19"/>
      <c r="C130" s="19"/>
      <c r="D130" s="57"/>
      <c r="E130" s="57"/>
      <c r="F130" s="57"/>
      <c r="G130" s="57"/>
      <c r="H130" s="57"/>
      <c r="I130" s="57"/>
    </row>
    <row r="131" spans="1:16">
      <c r="B131" s="19"/>
      <c r="C131" s="19"/>
      <c r="D131" s="57"/>
      <c r="E131" s="57"/>
      <c r="F131" s="57"/>
      <c r="G131" s="57"/>
      <c r="H131" s="57"/>
      <c r="I131" s="57"/>
    </row>
    <row r="132" spans="1:16">
      <c r="B132" s="19"/>
      <c r="C132" s="19"/>
      <c r="D132" s="24"/>
      <c r="E132" s="24"/>
      <c r="F132" s="24"/>
      <c r="G132" s="24"/>
      <c r="H132" s="24"/>
      <c r="I132" s="24"/>
    </row>
    <row r="133" spans="1:16">
      <c r="A133" s="2" t="s">
        <v>231</v>
      </c>
      <c r="B133" s="3" t="s">
        <v>368</v>
      </c>
      <c r="C133" s="19"/>
      <c r="D133" s="24"/>
      <c r="E133" s="24"/>
      <c r="F133" s="24"/>
      <c r="G133" s="24"/>
      <c r="H133" s="24"/>
      <c r="I133" s="24"/>
    </row>
    <row r="134" spans="1:16">
      <c r="B134" s="19" t="s">
        <v>369</v>
      </c>
      <c r="C134" s="19"/>
      <c r="D134" s="24"/>
      <c r="E134" s="24"/>
      <c r="F134" s="24"/>
      <c r="G134" s="24"/>
      <c r="H134" s="24"/>
      <c r="I134" s="24"/>
    </row>
    <row r="135" spans="1:16">
      <c r="A135" s="3"/>
      <c r="B135" s="26" t="s">
        <v>349</v>
      </c>
      <c r="C135" s="19" t="s">
        <v>370</v>
      </c>
      <c r="D135" s="24"/>
      <c r="E135" s="24"/>
      <c r="F135" s="24"/>
      <c r="G135" s="24"/>
      <c r="H135" s="24"/>
      <c r="I135" s="24"/>
    </row>
    <row r="136" spans="1:16">
      <c r="A136" s="3"/>
      <c r="B136" s="19"/>
      <c r="C136" s="19" t="s">
        <v>371</v>
      </c>
      <c r="D136" s="19"/>
      <c r="E136" s="19"/>
      <c r="F136" s="19"/>
      <c r="G136" s="19"/>
      <c r="H136" s="19"/>
      <c r="I136" s="19"/>
      <c r="K136" s="9"/>
      <c r="L136" s="9"/>
      <c r="M136" s="9"/>
      <c r="N136" s="9"/>
      <c r="O136" s="9"/>
      <c r="P136" s="9"/>
    </row>
    <row r="137" spans="1:16" ht="15.75" customHeight="1">
      <c r="A137" s="3"/>
      <c r="B137" s="19"/>
      <c r="C137" s="2" t="s">
        <v>339</v>
      </c>
      <c r="D137" s="19" t="s">
        <v>372</v>
      </c>
      <c r="E137" s="19"/>
      <c r="F137" s="19"/>
      <c r="G137" s="19"/>
      <c r="H137" s="19"/>
      <c r="I137" s="19"/>
      <c r="K137" s="9"/>
      <c r="L137" s="9"/>
      <c r="M137" s="9"/>
      <c r="N137" s="9"/>
      <c r="O137" s="9"/>
      <c r="P137" s="9"/>
    </row>
    <row r="138" spans="1:16">
      <c r="A138" s="3"/>
      <c r="B138" s="19"/>
      <c r="C138" s="26" t="s">
        <v>340</v>
      </c>
      <c r="D138" s="19" t="s">
        <v>373</v>
      </c>
      <c r="E138" s="19"/>
      <c r="F138" s="19"/>
      <c r="G138" s="19"/>
      <c r="H138" s="19"/>
      <c r="I138" s="19"/>
      <c r="K138" s="9"/>
      <c r="L138" s="9"/>
      <c r="M138" s="9"/>
      <c r="N138" s="9"/>
      <c r="O138" s="9"/>
      <c r="P138" s="9"/>
    </row>
    <row r="139" spans="1:16">
      <c r="A139" s="3"/>
      <c r="B139" s="19"/>
      <c r="C139" s="3" t="s">
        <v>375</v>
      </c>
      <c r="D139" s="19" t="s">
        <v>374</v>
      </c>
      <c r="E139" s="19"/>
      <c r="F139" s="19"/>
      <c r="G139" s="19"/>
      <c r="H139" s="19"/>
      <c r="I139" s="19"/>
      <c r="K139" s="9"/>
      <c r="L139" s="9"/>
      <c r="M139" s="9"/>
      <c r="N139" s="9"/>
      <c r="O139" s="9"/>
      <c r="P139" s="9"/>
    </row>
    <row r="140" spans="1:16">
      <c r="A140" s="3"/>
      <c r="B140" s="19"/>
      <c r="C140" s="26" t="s">
        <v>345</v>
      </c>
      <c r="D140" s="58" t="s">
        <v>378</v>
      </c>
      <c r="E140" s="58"/>
      <c r="F140" s="58"/>
      <c r="G140" s="58"/>
      <c r="H140" s="58"/>
      <c r="I140" s="58"/>
    </row>
    <row r="141" spans="1:16">
      <c r="A141" s="3"/>
      <c r="B141" s="19"/>
      <c r="C141" s="19"/>
      <c r="D141" s="58"/>
      <c r="E141" s="58"/>
      <c r="F141" s="58"/>
      <c r="G141" s="58"/>
      <c r="H141" s="58"/>
      <c r="I141" s="58"/>
    </row>
    <row r="142" spans="1:16">
      <c r="A142" s="3"/>
      <c r="B142" s="19"/>
      <c r="C142" s="26" t="s">
        <v>350</v>
      </c>
      <c r="D142" s="57" t="s">
        <v>460</v>
      </c>
      <c r="E142" s="57"/>
      <c r="F142" s="57"/>
      <c r="G142" s="57"/>
      <c r="H142" s="57"/>
      <c r="I142" s="57"/>
    </row>
    <row r="143" spans="1:16">
      <c r="A143" s="3"/>
      <c r="B143" s="19"/>
      <c r="C143" s="19"/>
      <c r="D143" s="57"/>
      <c r="E143" s="57"/>
      <c r="F143" s="57"/>
      <c r="G143" s="57"/>
      <c r="H143" s="57"/>
      <c r="I143" s="57"/>
    </row>
    <row r="144" spans="1:16">
      <c r="A144" s="3"/>
      <c r="B144" s="19"/>
      <c r="C144" s="3" t="s">
        <v>375</v>
      </c>
      <c r="D144" s="57" t="s">
        <v>379</v>
      </c>
      <c r="E144" s="57"/>
      <c r="F144" s="57"/>
      <c r="G144" s="57"/>
      <c r="H144" s="57"/>
      <c r="I144" s="57"/>
    </row>
    <row r="145" spans="1:9">
      <c r="A145" s="3"/>
      <c r="B145" s="19"/>
      <c r="C145" s="19"/>
      <c r="D145" s="57"/>
      <c r="E145" s="57"/>
      <c r="F145" s="57"/>
      <c r="G145" s="57"/>
      <c r="H145" s="57"/>
      <c r="I145" s="57"/>
    </row>
    <row r="146" spans="1:9">
      <c r="A146" s="3"/>
      <c r="B146" s="19"/>
      <c r="C146" s="26" t="s">
        <v>351</v>
      </c>
      <c r="D146" s="19" t="s">
        <v>380</v>
      </c>
      <c r="E146" s="19"/>
      <c r="F146" s="19"/>
      <c r="G146" s="19"/>
      <c r="H146" s="19"/>
      <c r="I146" s="19"/>
    </row>
    <row r="147" spans="1:9">
      <c r="A147" s="3"/>
      <c r="B147" s="19"/>
      <c r="C147" s="26" t="s">
        <v>351</v>
      </c>
      <c r="D147" s="19" t="s">
        <v>381</v>
      </c>
      <c r="E147" s="19"/>
      <c r="F147" s="19"/>
      <c r="G147" s="19"/>
      <c r="H147" s="19"/>
      <c r="I147" s="19"/>
    </row>
    <row r="148" spans="1:9">
      <c r="A148" s="3"/>
      <c r="B148" s="19"/>
      <c r="C148" s="26" t="s">
        <v>351</v>
      </c>
      <c r="D148" s="19" t="s">
        <v>382</v>
      </c>
      <c r="E148" s="19"/>
      <c r="F148" s="19"/>
      <c r="G148" s="19"/>
      <c r="H148" s="19"/>
      <c r="I148" s="19"/>
    </row>
    <row r="149" spans="1:9">
      <c r="A149" s="3"/>
      <c r="B149" s="3"/>
      <c r="C149" s="26" t="s">
        <v>352</v>
      </c>
      <c r="D149" s="33" t="s">
        <v>461</v>
      </c>
      <c r="E149" s="33"/>
      <c r="F149" s="33"/>
      <c r="G149" s="33"/>
      <c r="H149" s="33"/>
      <c r="I149" s="33"/>
    </row>
    <row r="150" spans="1:9">
      <c r="A150" s="3"/>
      <c r="B150" s="3"/>
      <c r="C150" s="3"/>
      <c r="D150" s="33"/>
      <c r="E150" s="33"/>
      <c r="F150" s="33"/>
      <c r="G150" s="33"/>
      <c r="H150" s="33"/>
      <c r="I150" s="33"/>
    </row>
    <row r="151" spans="1:9" ht="15" customHeight="1">
      <c r="A151" s="3"/>
      <c r="B151" s="3"/>
      <c r="C151" s="3"/>
      <c r="D151" s="33"/>
      <c r="E151" s="33"/>
      <c r="F151" s="33"/>
      <c r="G151" s="33"/>
      <c r="H151" s="33"/>
      <c r="I151" s="33"/>
    </row>
    <row r="152" spans="1:9">
      <c r="A152" s="3"/>
      <c r="B152" s="3"/>
      <c r="C152" s="3"/>
      <c r="D152" s="33"/>
      <c r="E152" s="33"/>
      <c r="F152" s="33"/>
      <c r="G152" s="33"/>
      <c r="H152" s="33"/>
      <c r="I152" s="33"/>
    </row>
    <row r="153" spans="1:9">
      <c r="A153" s="3"/>
      <c r="B153" s="3"/>
      <c r="C153" s="2" t="s">
        <v>353</v>
      </c>
      <c r="D153" s="33" t="s">
        <v>383</v>
      </c>
      <c r="E153" s="33"/>
      <c r="F153" s="33"/>
      <c r="G153" s="33"/>
      <c r="H153" s="33"/>
      <c r="I153" s="33"/>
    </row>
    <row r="154" spans="1:9">
      <c r="A154" s="3"/>
      <c r="B154" s="3"/>
      <c r="C154" s="3"/>
      <c r="D154" s="33"/>
      <c r="E154" s="33"/>
      <c r="F154" s="33"/>
      <c r="G154" s="33"/>
      <c r="H154" s="33"/>
      <c r="I154" s="33"/>
    </row>
    <row r="155" spans="1:9">
      <c r="A155" s="3"/>
      <c r="B155" s="3"/>
      <c r="C155" s="3" t="s">
        <v>375</v>
      </c>
      <c r="D155" s="33" t="s">
        <v>384</v>
      </c>
      <c r="E155" s="33"/>
      <c r="F155" s="33"/>
      <c r="G155" s="33"/>
      <c r="H155" s="33"/>
      <c r="I155" s="33"/>
    </row>
    <row r="156" spans="1:9">
      <c r="A156" s="3"/>
      <c r="B156" s="3"/>
      <c r="C156" s="3"/>
      <c r="D156" s="33"/>
      <c r="E156" s="33"/>
      <c r="F156" s="33"/>
      <c r="G156" s="33"/>
      <c r="H156" s="33"/>
      <c r="I156" s="33"/>
    </row>
    <row r="158" spans="1:9">
      <c r="B158" s="26" t="s">
        <v>354</v>
      </c>
      <c r="C158" s="1" t="s">
        <v>385</v>
      </c>
    </row>
    <row r="159" spans="1:9">
      <c r="C159" s="33" t="s">
        <v>386</v>
      </c>
      <c r="D159" s="33"/>
      <c r="E159" s="33"/>
      <c r="F159" s="33"/>
      <c r="G159" s="33"/>
      <c r="H159" s="33"/>
      <c r="I159" s="33"/>
    </row>
    <row r="160" spans="1:9">
      <c r="C160" s="33"/>
      <c r="D160" s="33"/>
      <c r="E160" s="33"/>
      <c r="F160" s="33"/>
      <c r="G160" s="33"/>
      <c r="H160" s="33"/>
      <c r="I160" s="33"/>
    </row>
    <row r="162" spans="2:9">
      <c r="B162" s="26" t="s">
        <v>355</v>
      </c>
      <c r="C162" s="1" t="s">
        <v>387</v>
      </c>
    </row>
    <row r="163" spans="2:9" ht="15" customHeight="1">
      <c r="C163" s="2" t="s">
        <v>339</v>
      </c>
      <c r="D163" s="33" t="s">
        <v>388</v>
      </c>
      <c r="E163" s="33"/>
      <c r="F163" s="33"/>
      <c r="G163" s="33"/>
      <c r="H163" s="33"/>
      <c r="I163" s="33"/>
    </row>
    <row r="164" spans="2:9">
      <c r="D164" s="33"/>
      <c r="E164" s="33"/>
      <c r="F164" s="33"/>
      <c r="G164" s="33"/>
      <c r="H164" s="33"/>
      <c r="I164" s="33"/>
    </row>
    <row r="165" spans="2:9">
      <c r="D165" s="33"/>
      <c r="E165" s="33"/>
      <c r="F165" s="33"/>
      <c r="G165" s="33"/>
      <c r="H165" s="33"/>
      <c r="I165" s="33"/>
    </row>
    <row r="166" spans="2:9">
      <c r="D166" s="33"/>
      <c r="E166" s="33"/>
      <c r="F166" s="33"/>
      <c r="G166" s="33"/>
      <c r="H166" s="33"/>
      <c r="I166" s="33"/>
    </row>
    <row r="167" spans="2:9">
      <c r="C167" s="3" t="s">
        <v>375</v>
      </c>
      <c r="D167" s="33" t="s">
        <v>389</v>
      </c>
      <c r="E167" s="33"/>
      <c r="F167" s="33"/>
      <c r="G167" s="33"/>
      <c r="H167" s="33"/>
      <c r="I167" s="33"/>
    </row>
    <row r="168" spans="2:9">
      <c r="D168" s="33"/>
      <c r="E168" s="33"/>
      <c r="F168" s="33"/>
      <c r="G168" s="33"/>
      <c r="H168" s="33"/>
      <c r="I168" s="33"/>
    </row>
    <row r="169" spans="2:9">
      <c r="C169" s="2" t="s">
        <v>356</v>
      </c>
      <c r="D169" s="33" t="s">
        <v>390</v>
      </c>
      <c r="E169" s="33"/>
      <c r="F169" s="33"/>
      <c r="G169" s="33"/>
      <c r="H169" s="33"/>
      <c r="I169" s="33"/>
    </row>
    <row r="170" spans="2:9">
      <c r="D170" s="33"/>
      <c r="E170" s="33"/>
      <c r="F170" s="33"/>
      <c r="G170" s="33"/>
      <c r="H170" s="33"/>
      <c r="I170" s="33"/>
    </row>
    <row r="171" spans="2:9">
      <c r="C171" s="2" t="s">
        <v>345</v>
      </c>
      <c r="D171" s="1" t="s">
        <v>391</v>
      </c>
    </row>
    <row r="172" spans="2:9" ht="15" customHeight="1">
      <c r="C172" s="3" t="s">
        <v>376</v>
      </c>
      <c r="D172" s="33" t="s">
        <v>462</v>
      </c>
      <c r="E172" s="33"/>
      <c r="F172" s="33"/>
      <c r="G172" s="33"/>
      <c r="H172" s="33"/>
      <c r="I172" s="33"/>
    </row>
    <row r="173" spans="2:9">
      <c r="D173" s="33"/>
      <c r="E173" s="33"/>
      <c r="F173" s="33"/>
      <c r="G173" s="33"/>
      <c r="H173" s="33"/>
      <c r="I173" s="33"/>
    </row>
    <row r="174" spans="2:9">
      <c r="C174" s="3" t="s">
        <v>377</v>
      </c>
      <c r="D174" s="33" t="s">
        <v>463</v>
      </c>
      <c r="E174" s="33"/>
      <c r="F174" s="33"/>
      <c r="G174" s="33"/>
      <c r="H174" s="33"/>
      <c r="I174" s="33"/>
    </row>
    <row r="175" spans="2:9">
      <c r="C175" s="3"/>
      <c r="D175" s="33"/>
      <c r="E175" s="33"/>
      <c r="F175" s="33"/>
      <c r="G175" s="33"/>
      <c r="H175" s="33"/>
      <c r="I175" s="33"/>
    </row>
    <row r="176" spans="2:9">
      <c r="D176" s="33"/>
      <c r="E176" s="33"/>
      <c r="F176" s="33"/>
      <c r="G176" s="33"/>
      <c r="H176" s="33"/>
      <c r="I176" s="33"/>
    </row>
    <row r="177" spans="1:9" ht="15" customHeight="1">
      <c r="C177" s="3" t="s">
        <v>392</v>
      </c>
      <c r="D177" s="33" t="s">
        <v>464</v>
      </c>
      <c r="E177" s="33"/>
      <c r="F177" s="33"/>
      <c r="G177" s="33"/>
      <c r="H177" s="33"/>
      <c r="I177" s="33"/>
    </row>
    <row r="178" spans="1:9">
      <c r="D178" s="33"/>
      <c r="E178" s="33"/>
      <c r="F178" s="33"/>
      <c r="G178" s="33"/>
      <c r="H178" s="33"/>
      <c r="I178" s="33"/>
    </row>
    <row r="179" spans="1:9">
      <c r="D179" s="33"/>
      <c r="E179" s="33"/>
      <c r="F179" s="33"/>
      <c r="G179" s="33"/>
      <c r="H179" s="33"/>
      <c r="I179" s="33"/>
    </row>
    <row r="180" spans="1:9">
      <c r="C180" s="3" t="s">
        <v>393</v>
      </c>
      <c r="D180" s="33" t="s">
        <v>398</v>
      </c>
      <c r="E180" s="33"/>
      <c r="F180" s="33"/>
      <c r="G180" s="33"/>
      <c r="H180" s="33"/>
      <c r="I180" s="33"/>
    </row>
    <row r="181" spans="1:9">
      <c r="D181" s="33"/>
      <c r="E181" s="33"/>
      <c r="F181" s="33"/>
      <c r="G181" s="33"/>
      <c r="H181" s="33"/>
      <c r="I181" s="33"/>
    </row>
    <row r="182" spans="1:9">
      <c r="D182" s="33"/>
      <c r="E182" s="33"/>
      <c r="F182" s="33"/>
      <c r="G182" s="33"/>
      <c r="H182" s="33"/>
      <c r="I182" s="33"/>
    </row>
    <row r="183" spans="1:9">
      <c r="C183" s="3" t="s">
        <v>394</v>
      </c>
      <c r="D183" s="33" t="s">
        <v>399</v>
      </c>
      <c r="E183" s="33"/>
      <c r="F183" s="33"/>
      <c r="G183" s="33"/>
      <c r="H183" s="33"/>
      <c r="I183" s="33"/>
    </row>
    <row r="184" spans="1:9">
      <c r="A184" s="3"/>
      <c r="B184" s="3"/>
      <c r="C184" s="3"/>
      <c r="D184" s="33"/>
      <c r="E184" s="33"/>
      <c r="F184" s="33"/>
      <c r="G184" s="33"/>
      <c r="H184" s="33"/>
      <c r="I184" s="33"/>
    </row>
    <row r="185" spans="1:9">
      <c r="A185" s="3"/>
      <c r="B185" s="3"/>
      <c r="C185" s="3"/>
      <c r="D185" s="33"/>
      <c r="E185" s="33"/>
      <c r="F185" s="33"/>
      <c r="G185" s="33"/>
      <c r="H185" s="33"/>
      <c r="I185" s="33"/>
    </row>
    <row r="186" spans="1:9" ht="15" customHeight="1">
      <c r="A186" s="3"/>
      <c r="B186" s="3"/>
      <c r="C186" s="3" t="s">
        <v>395</v>
      </c>
      <c r="D186" s="33" t="s">
        <v>401</v>
      </c>
      <c r="E186" s="33"/>
      <c r="F186" s="33"/>
      <c r="G186" s="33"/>
      <c r="H186" s="33"/>
      <c r="I186" s="33"/>
    </row>
    <row r="187" spans="1:9">
      <c r="A187" s="3"/>
      <c r="B187" s="3"/>
      <c r="C187" s="3"/>
      <c r="D187" s="33"/>
      <c r="E187" s="33"/>
      <c r="F187" s="33"/>
      <c r="G187" s="33"/>
      <c r="H187" s="33"/>
      <c r="I187" s="33"/>
    </row>
    <row r="188" spans="1:9">
      <c r="A188" s="3"/>
      <c r="B188" s="3"/>
      <c r="C188" s="3"/>
      <c r="D188" s="33"/>
      <c r="E188" s="33"/>
      <c r="F188" s="33"/>
      <c r="G188" s="33"/>
      <c r="H188" s="33"/>
      <c r="I188" s="33"/>
    </row>
    <row r="189" spans="1:9" ht="29.25" customHeight="1">
      <c r="A189" s="3"/>
      <c r="B189" s="3"/>
      <c r="C189" s="3"/>
      <c r="D189" s="33"/>
      <c r="E189" s="33"/>
      <c r="F189" s="33"/>
      <c r="G189" s="33"/>
      <c r="H189" s="33"/>
      <c r="I189" s="33"/>
    </row>
    <row r="190" spans="1:9">
      <c r="C190" s="3" t="s">
        <v>396</v>
      </c>
      <c r="D190" s="33" t="s">
        <v>465</v>
      </c>
      <c r="E190" s="33"/>
      <c r="F190" s="33"/>
      <c r="G190" s="33"/>
      <c r="H190" s="33"/>
      <c r="I190" s="33"/>
    </row>
    <row r="191" spans="1:9">
      <c r="D191" s="33"/>
      <c r="E191" s="33"/>
      <c r="F191" s="33"/>
      <c r="G191" s="33"/>
      <c r="H191" s="33"/>
      <c r="I191" s="33"/>
    </row>
    <row r="192" spans="1:9" ht="15" customHeight="1">
      <c r="C192" s="3" t="s">
        <v>397</v>
      </c>
      <c r="D192" s="33" t="s">
        <v>400</v>
      </c>
      <c r="E192" s="33"/>
      <c r="F192" s="33"/>
      <c r="G192" s="33"/>
      <c r="H192" s="33"/>
      <c r="I192" s="33"/>
    </row>
    <row r="193" spans="4:9">
      <c r="D193" s="33"/>
      <c r="E193" s="33"/>
      <c r="F193" s="33"/>
      <c r="G193" s="33"/>
      <c r="H193" s="33"/>
      <c r="I193" s="33"/>
    </row>
    <row r="194" spans="4:9">
      <c r="D194" s="33"/>
      <c r="E194" s="33"/>
      <c r="F194" s="33"/>
      <c r="G194" s="33"/>
      <c r="H194" s="33"/>
      <c r="I194" s="33"/>
    </row>
    <row r="195" spans="4:9">
      <c r="D195" s="33"/>
      <c r="E195" s="33"/>
      <c r="F195" s="33"/>
      <c r="G195" s="33"/>
      <c r="H195" s="33"/>
      <c r="I195" s="33"/>
    </row>
  </sheetData>
  <mergeCells count="35">
    <mergeCell ref="D190:I191"/>
    <mergeCell ref="D192:I195"/>
    <mergeCell ref="D169:I170"/>
    <mergeCell ref="D172:I173"/>
    <mergeCell ref="D174:I176"/>
    <mergeCell ref="D177:I179"/>
    <mergeCell ref="D180:I182"/>
    <mergeCell ref="D183:I185"/>
    <mergeCell ref="D186:I189"/>
    <mergeCell ref="D144:I145"/>
    <mergeCell ref="D149:I152"/>
    <mergeCell ref="D153:I154"/>
    <mergeCell ref="D155:I156"/>
    <mergeCell ref="C159:I160"/>
    <mergeCell ref="D163:I166"/>
    <mergeCell ref="D167:I168"/>
    <mergeCell ref="A1:I2"/>
    <mergeCell ref="A3:I3"/>
    <mergeCell ref="B12:I14"/>
    <mergeCell ref="B17:I18"/>
    <mergeCell ref="C30:I32"/>
    <mergeCell ref="C34:I35"/>
    <mergeCell ref="C38:I39"/>
    <mergeCell ref="C54:I55"/>
    <mergeCell ref="C75:I77"/>
    <mergeCell ref="D85:I86"/>
    <mergeCell ref="D112:I113"/>
    <mergeCell ref="D114:I116"/>
    <mergeCell ref="D117:I119"/>
    <mergeCell ref="D121:I123"/>
    <mergeCell ref="D125:I127"/>
    <mergeCell ref="D129:I131"/>
    <mergeCell ref="D140:I141"/>
    <mergeCell ref="D142:I143"/>
    <mergeCell ref="B6:I9"/>
  </mergeCells>
  <phoneticPr fontId="2"/>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1"/>
  <sheetViews>
    <sheetView topLeftCell="A35" zoomScaleNormal="100" workbookViewId="0">
      <selection activeCell="B56" sqref="B56"/>
    </sheetView>
  </sheetViews>
  <sheetFormatPr defaultColWidth="9" defaultRowHeight="15"/>
  <cols>
    <col min="1" max="16384" width="9" style="1"/>
  </cols>
  <sheetData>
    <row r="1" spans="1:9">
      <c r="A1" s="34" t="s">
        <v>173</v>
      </c>
      <c r="B1" s="34"/>
      <c r="C1" s="34"/>
      <c r="D1" s="34"/>
      <c r="E1" s="34"/>
      <c r="F1" s="34"/>
      <c r="G1" s="34"/>
      <c r="H1" s="34"/>
      <c r="I1" s="34"/>
    </row>
    <row r="2" spans="1:9">
      <c r="A2" s="34"/>
      <c r="B2" s="34"/>
      <c r="C2" s="34"/>
      <c r="D2" s="34"/>
      <c r="E2" s="34"/>
      <c r="F2" s="34"/>
      <c r="G2" s="34"/>
      <c r="H2" s="34"/>
      <c r="I2" s="34"/>
    </row>
    <row r="3" spans="1:9">
      <c r="A3" s="34" t="s">
        <v>174</v>
      </c>
      <c r="B3" s="34"/>
      <c r="C3" s="34"/>
      <c r="D3" s="34"/>
      <c r="E3" s="34"/>
      <c r="F3" s="34"/>
      <c r="G3" s="34"/>
      <c r="H3" s="34"/>
      <c r="I3" s="34"/>
    </row>
    <row r="4" spans="1:9">
      <c r="A4" s="11"/>
      <c r="B4" s="11"/>
      <c r="C4" s="11"/>
      <c r="D4" s="11"/>
      <c r="E4" s="11"/>
      <c r="F4" s="11"/>
      <c r="G4" s="11"/>
      <c r="H4" s="11"/>
      <c r="I4" s="11"/>
    </row>
    <row r="5" spans="1:9">
      <c r="A5" s="2" t="s">
        <v>0</v>
      </c>
      <c r="B5" s="1" t="s">
        <v>6</v>
      </c>
    </row>
    <row r="6" spans="1:9">
      <c r="B6" s="33" t="s">
        <v>175</v>
      </c>
      <c r="C6" s="33"/>
      <c r="D6" s="33"/>
      <c r="E6" s="33"/>
      <c r="F6" s="33"/>
      <c r="G6" s="33"/>
      <c r="H6" s="33"/>
      <c r="I6" s="33"/>
    </row>
    <row r="7" spans="1:9">
      <c r="B7" s="33"/>
      <c r="C7" s="33"/>
      <c r="D7" s="33"/>
      <c r="E7" s="33"/>
      <c r="F7" s="33"/>
      <c r="G7" s="33"/>
      <c r="H7" s="33"/>
      <c r="I7" s="33"/>
    </row>
    <row r="8" spans="1:9">
      <c r="A8" s="13"/>
      <c r="B8" s="2"/>
    </row>
    <row r="9" spans="1:9">
      <c r="A9" s="2" t="s">
        <v>176</v>
      </c>
      <c r="B9" s="1" t="s">
        <v>177</v>
      </c>
    </row>
    <row r="10" spans="1:9">
      <c r="B10" s="3" t="s">
        <v>178</v>
      </c>
    </row>
    <row r="11" spans="1:9">
      <c r="B11" s="3" t="s">
        <v>179</v>
      </c>
      <c r="C11" s="9"/>
      <c r="D11" s="9"/>
      <c r="E11" s="9"/>
      <c r="F11" s="9"/>
      <c r="G11" s="9"/>
      <c r="H11" s="9"/>
      <c r="I11" s="9"/>
    </row>
    <row r="12" spans="1:9">
      <c r="A12" s="2"/>
      <c r="B12" s="14" t="s">
        <v>180</v>
      </c>
      <c r="C12" s="9"/>
      <c r="D12" s="9"/>
      <c r="E12" s="9"/>
      <c r="F12" s="9"/>
      <c r="G12" s="9"/>
      <c r="H12" s="9"/>
      <c r="I12" s="9"/>
    </row>
    <row r="13" spans="1:9">
      <c r="B13" s="3"/>
      <c r="C13" s="9"/>
      <c r="D13" s="9"/>
      <c r="E13" s="9"/>
      <c r="F13" s="9"/>
      <c r="G13" s="9"/>
      <c r="H13" s="9"/>
      <c r="I13" s="9"/>
    </row>
    <row r="14" spans="1:9">
      <c r="A14" s="2" t="s">
        <v>181</v>
      </c>
      <c r="B14" s="3" t="s">
        <v>182</v>
      </c>
    </row>
    <row r="15" spans="1:9">
      <c r="B15" s="1" t="s">
        <v>183</v>
      </c>
    </row>
    <row r="16" spans="1:9">
      <c r="B16" s="2" t="s">
        <v>184</v>
      </c>
      <c r="C16" s="1" t="s">
        <v>185</v>
      </c>
      <c r="D16" s="9"/>
      <c r="E16" s="9"/>
      <c r="F16" s="9"/>
      <c r="G16" s="9"/>
      <c r="H16" s="9"/>
      <c r="I16" s="9"/>
    </row>
    <row r="17" spans="1:9">
      <c r="C17" s="33" t="s">
        <v>223</v>
      </c>
      <c r="D17" s="33"/>
      <c r="E17" s="33"/>
      <c r="F17" s="33"/>
      <c r="G17" s="33"/>
      <c r="H17" s="33"/>
      <c r="I17" s="33"/>
    </row>
    <row r="18" spans="1:9">
      <c r="B18" s="2"/>
      <c r="C18" s="33"/>
      <c r="D18" s="33"/>
      <c r="E18" s="33"/>
      <c r="F18" s="33"/>
      <c r="G18" s="33"/>
      <c r="H18" s="33"/>
      <c r="I18" s="33"/>
    </row>
    <row r="19" spans="1:9">
      <c r="B19" s="2"/>
    </row>
    <row r="20" spans="1:9">
      <c r="B20" s="2"/>
    </row>
    <row r="21" spans="1:9">
      <c r="A21" s="2" t="s">
        <v>186</v>
      </c>
      <c r="B21" s="1" t="s">
        <v>187</v>
      </c>
    </row>
    <row r="22" spans="1:9">
      <c r="A22" s="2"/>
      <c r="B22" s="3" t="s">
        <v>188</v>
      </c>
    </row>
    <row r="23" spans="1:9">
      <c r="B23" s="2" t="s">
        <v>184</v>
      </c>
      <c r="C23" s="1" t="s">
        <v>189</v>
      </c>
    </row>
    <row r="24" spans="1:9">
      <c r="B24" s="2" t="s">
        <v>190</v>
      </c>
      <c r="C24" s="3" t="s">
        <v>224</v>
      </c>
    </row>
    <row r="25" spans="1:9">
      <c r="B25" s="3"/>
      <c r="C25" s="16" t="s">
        <v>192</v>
      </c>
    </row>
    <row r="26" spans="1:9">
      <c r="B26" s="3"/>
      <c r="C26" s="33" t="s">
        <v>193</v>
      </c>
      <c r="D26" s="33"/>
      <c r="E26" s="33"/>
      <c r="F26" s="33"/>
      <c r="G26" s="33"/>
      <c r="H26" s="33"/>
      <c r="I26" s="33"/>
    </row>
    <row r="27" spans="1:9">
      <c r="B27" s="3"/>
      <c r="C27" s="33"/>
      <c r="D27" s="33"/>
      <c r="E27" s="33"/>
      <c r="F27" s="33"/>
      <c r="G27" s="33"/>
      <c r="H27" s="33"/>
      <c r="I27" s="33"/>
    </row>
    <row r="28" spans="1:9">
      <c r="B28" s="2" t="s">
        <v>194</v>
      </c>
      <c r="C28" s="1" t="s">
        <v>195</v>
      </c>
    </row>
    <row r="29" spans="1:9">
      <c r="B29" s="2" t="s">
        <v>196</v>
      </c>
      <c r="C29" s="33" t="s">
        <v>197</v>
      </c>
      <c r="D29" s="33"/>
      <c r="E29" s="33"/>
      <c r="F29" s="33"/>
      <c r="G29" s="33"/>
      <c r="H29" s="33"/>
      <c r="I29" s="33"/>
    </row>
    <row r="30" spans="1:9">
      <c r="B30" s="3"/>
      <c r="C30" s="33"/>
      <c r="D30" s="33"/>
      <c r="E30" s="33"/>
      <c r="F30" s="33"/>
      <c r="G30" s="33"/>
      <c r="H30" s="33"/>
      <c r="I30" s="33"/>
    </row>
    <row r="31" spans="1:9">
      <c r="B31" s="3"/>
    </row>
    <row r="32" spans="1:9">
      <c r="B32" s="3"/>
      <c r="C32" s="12" t="s">
        <v>198</v>
      </c>
      <c r="D32" s="60" t="s">
        <v>199</v>
      </c>
      <c r="E32" s="60"/>
      <c r="F32" s="60"/>
      <c r="G32" s="60"/>
      <c r="H32" s="60"/>
      <c r="I32" s="60"/>
    </row>
    <row r="33" spans="1:10" ht="15.75" thickBot="1">
      <c r="B33" s="3"/>
      <c r="C33" s="12"/>
      <c r="D33" s="15"/>
      <c r="E33" s="15"/>
      <c r="F33" s="15"/>
      <c r="G33" s="15"/>
      <c r="H33" s="15" t="s">
        <v>201</v>
      </c>
      <c r="I33" s="15"/>
    </row>
    <row r="34" spans="1:10" ht="15.75" thickTop="1">
      <c r="C34" s="38" t="s">
        <v>202</v>
      </c>
      <c r="D34" s="38"/>
      <c r="E34" s="49"/>
      <c r="F34" s="38" t="s">
        <v>203</v>
      </c>
      <c r="G34" s="38"/>
      <c r="H34" s="38"/>
      <c r="I34" s="38"/>
    </row>
    <row r="35" spans="1:10">
      <c r="C35" s="53" t="s">
        <v>204</v>
      </c>
      <c r="D35" s="53"/>
      <c r="E35" s="44"/>
      <c r="F35" s="34" t="s">
        <v>208</v>
      </c>
      <c r="G35" s="34"/>
      <c r="H35" s="34"/>
      <c r="I35" s="34"/>
      <c r="J35" s="6"/>
    </row>
    <row r="36" spans="1:10">
      <c r="B36" s="3"/>
      <c r="C36" s="53" t="s">
        <v>205</v>
      </c>
      <c r="D36" s="53"/>
      <c r="E36" s="44"/>
      <c r="F36" s="34" t="s">
        <v>209</v>
      </c>
      <c r="G36" s="34"/>
      <c r="H36" s="34"/>
      <c r="I36" s="34"/>
      <c r="J36" s="6"/>
    </row>
    <row r="37" spans="1:10">
      <c r="B37" s="3"/>
      <c r="C37" s="53" t="s">
        <v>207</v>
      </c>
      <c r="D37" s="53"/>
      <c r="E37" s="44"/>
      <c r="F37" s="34" t="s">
        <v>210</v>
      </c>
      <c r="G37" s="34"/>
      <c r="H37" s="34"/>
      <c r="I37" s="34"/>
      <c r="J37" s="6"/>
    </row>
    <row r="38" spans="1:10">
      <c r="B38" s="3"/>
      <c r="C38" s="36" t="s">
        <v>206</v>
      </c>
      <c r="D38" s="36"/>
      <c r="E38" s="42"/>
      <c r="F38" s="36" t="s">
        <v>211</v>
      </c>
      <c r="G38" s="36"/>
      <c r="H38" s="36"/>
      <c r="I38" s="36"/>
      <c r="J38" s="6"/>
    </row>
    <row r="39" spans="1:10">
      <c r="B39" s="3"/>
      <c r="C39" s="3"/>
      <c r="D39" s="3"/>
      <c r="E39" s="3"/>
      <c r="F39" s="3"/>
      <c r="G39" s="3"/>
      <c r="H39" s="3"/>
      <c r="I39" s="3"/>
      <c r="J39" s="6"/>
    </row>
    <row r="40" spans="1:10">
      <c r="A40" s="2" t="s">
        <v>212</v>
      </c>
      <c r="B40" s="1" t="s">
        <v>200</v>
      </c>
      <c r="C40" s="3"/>
      <c r="D40" s="3"/>
      <c r="E40" s="3"/>
      <c r="F40" s="3"/>
      <c r="G40" s="3"/>
      <c r="H40" s="3"/>
      <c r="I40" s="3"/>
    </row>
    <row r="41" spans="1:10">
      <c r="B41" s="3" t="s">
        <v>213</v>
      </c>
      <c r="C41" s="3"/>
      <c r="D41" s="3"/>
      <c r="E41" s="3"/>
      <c r="F41" s="3"/>
      <c r="G41" s="3"/>
      <c r="H41" s="3"/>
      <c r="I41" s="3"/>
    </row>
    <row r="42" spans="1:10">
      <c r="B42" s="14" t="s">
        <v>191</v>
      </c>
      <c r="C42" s="3"/>
      <c r="D42" s="3"/>
      <c r="E42" s="3"/>
      <c r="F42" s="3"/>
      <c r="G42" s="3"/>
      <c r="H42" s="3"/>
      <c r="I42" s="3"/>
    </row>
    <row r="43" spans="1:10">
      <c r="B43" s="3" t="s">
        <v>215</v>
      </c>
      <c r="C43" s="3"/>
      <c r="D43" s="3"/>
      <c r="E43" s="3"/>
      <c r="F43" s="3"/>
      <c r="G43" s="3"/>
      <c r="H43" s="3"/>
      <c r="I43" s="3"/>
    </row>
    <row r="44" spans="1:10">
      <c r="B44" s="33" t="s">
        <v>214</v>
      </c>
      <c r="C44" s="33"/>
      <c r="D44" s="33"/>
      <c r="E44" s="33"/>
      <c r="F44" s="33"/>
      <c r="G44" s="33"/>
      <c r="H44" s="33"/>
      <c r="I44" s="33"/>
    </row>
    <row r="45" spans="1:10">
      <c r="B45" s="33"/>
      <c r="C45" s="33"/>
      <c r="D45" s="33"/>
      <c r="E45" s="33"/>
      <c r="F45" s="33"/>
      <c r="G45" s="33"/>
      <c r="H45" s="33"/>
      <c r="I45" s="33"/>
      <c r="J45" s="6"/>
    </row>
    <row r="46" spans="1:10">
      <c r="B46" s="3"/>
      <c r="C46" s="3"/>
      <c r="D46" s="3"/>
      <c r="E46" s="3"/>
      <c r="F46" s="3"/>
      <c r="G46" s="3"/>
      <c r="H46" s="3"/>
      <c r="I46" s="3"/>
    </row>
    <row r="47" spans="1:10" ht="15.75" thickBot="1">
      <c r="B47" s="61" t="s">
        <v>216</v>
      </c>
      <c r="C47" s="61"/>
      <c r="D47" s="62" t="s">
        <v>217</v>
      </c>
      <c r="E47" s="62"/>
      <c r="F47" s="62"/>
      <c r="G47" s="62"/>
      <c r="H47" s="62"/>
      <c r="I47" s="62"/>
    </row>
    <row r="48" spans="1:10" ht="15.75" thickTop="1">
      <c r="B48" s="50" t="s">
        <v>218</v>
      </c>
      <c r="C48" s="50"/>
      <c r="D48" s="50"/>
      <c r="E48" s="52"/>
      <c r="F48" s="34" t="s">
        <v>220</v>
      </c>
      <c r="G48" s="34"/>
      <c r="H48" s="34"/>
      <c r="I48" s="34"/>
    </row>
    <row r="49" spans="1:9">
      <c r="B49" s="36" t="s">
        <v>219</v>
      </c>
      <c r="C49" s="36"/>
      <c r="D49" s="36"/>
      <c r="E49" s="42"/>
      <c r="F49" s="17"/>
      <c r="G49" s="17"/>
      <c r="H49" s="17"/>
      <c r="I49" s="17"/>
    </row>
    <row r="50" spans="1:9">
      <c r="B50" s="45" t="s">
        <v>221</v>
      </c>
      <c r="C50" s="45"/>
      <c r="D50" s="45"/>
      <c r="E50" s="47"/>
      <c r="F50" s="45" t="s">
        <v>225</v>
      </c>
      <c r="G50" s="45"/>
      <c r="H50" s="45"/>
      <c r="I50" s="45"/>
    </row>
    <row r="51" spans="1:9">
      <c r="B51" s="53" t="s">
        <v>222</v>
      </c>
      <c r="C51" s="53"/>
      <c r="D51" s="53"/>
      <c r="E51" s="44"/>
      <c r="F51" s="34" t="s">
        <v>226</v>
      </c>
      <c r="G51" s="34"/>
      <c r="H51" s="34"/>
      <c r="I51" s="34"/>
    </row>
    <row r="52" spans="1:9">
      <c r="B52" s="53" t="s">
        <v>332</v>
      </c>
      <c r="C52" s="53"/>
      <c r="D52" s="53"/>
      <c r="E52" s="44"/>
      <c r="F52" s="34" t="s">
        <v>227</v>
      </c>
      <c r="G52" s="34"/>
      <c r="H52" s="34"/>
      <c r="I52" s="34"/>
    </row>
    <row r="53" spans="1:9">
      <c r="B53" s="53" t="s">
        <v>333</v>
      </c>
      <c r="C53" s="53"/>
      <c r="D53" s="53"/>
      <c r="E53" s="44"/>
      <c r="F53" s="34" t="s">
        <v>228</v>
      </c>
      <c r="G53" s="34"/>
      <c r="H53" s="34"/>
      <c r="I53" s="34"/>
    </row>
    <row r="54" spans="1:9">
      <c r="B54" s="53" t="s">
        <v>334</v>
      </c>
      <c r="C54" s="53"/>
      <c r="D54" s="53"/>
      <c r="E54" s="44"/>
      <c r="F54" s="34" t="s">
        <v>229</v>
      </c>
      <c r="G54" s="34"/>
      <c r="H54" s="34"/>
      <c r="I54" s="34"/>
    </row>
    <row r="55" spans="1:9">
      <c r="B55" s="36" t="s">
        <v>335</v>
      </c>
      <c r="C55" s="36"/>
      <c r="D55" s="36"/>
      <c r="E55" s="42"/>
      <c r="F55" s="36" t="s">
        <v>230</v>
      </c>
      <c r="G55" s="36"/>
      <c r="H55" s="36"/>
      <c r="I55" s="36"/>
    </row>
    <row r="56" spans="1:9">
      <c r="B56" s="3"/>
      <c r="C56" s="3"/>
      <c r="D56" s="3"/>
      <c r="E56" s="3"/>
      <c r="F56" s="3"/>
      <c r="G56" s="3"/>
      <c r="H56" s="3"/>
      <c r="I56" s="3"/>
    </row>
    <row r="57" spans="1:9">
      <c r="A57" s="2" t="s">
        <v>231</v>
      </c>
      <c r="B57" s="1" t="s">
        <v>232</v>
      </c>
      <c r="C57" s="3"/>
      <c r="D57" s="3"/>
      <c r="E57" s="3"/>
      <c r="F57" s="3"/>
      <c r="G57" s="3"/>
      <c r="H57" s="3"/>
      <c r="I57" s="3"/>
    </row>
    <row r="58" spans="1:9">
      <c r="B58" s="3" t="s">
        <v>233</v>
      </c>
      <c r="C58" s="3"/>
      <c r="D58" s="10"/>
      <c r="E58" s="10"/>
      <c r="F58" s="10"/>
      <c r="G58" s="10"/>
      <c r="H58" s="10"/>
      <c r="I58" s="10"/>
    </row>
    <row r="59" spans="1:9">
      <c r="B59" s="2" t="s">
        <v>184</v>
      </c>
      <c r="C59" s="3" t="s">
        <v>234</v>
      </c>
      <c r="D59" s="10"/>
      <c r="E59" s="10"/>
      <c r="F59" s="10"/>
      <c r="G59" s="10"/>
      <c r="H59" s="10"/>
      <c r="I59" s="10"/>
    </row>
    <row r="60" spans="1:9">
      <c r="B60" s="2" t="s">
        <v>190</v>
      </c>
      <c r="C60" s="1" t="s">
        <v>235</v>
      </c>
    </row>
    <row r="61" spans="1:9">
      <c r="B61" s="2" t="s">
        <v>194</v>
      </c>
      <c r="C61" s="57" t="s">
        <v>236</v>
      </c>
      <c r="D61" s="57"/>
      <c r="E61" s="57"/>
      <c r="F61" s="57"/>
      <c r="G61" s="57"/>
      <c r="H61" s="57"/>
      <c r="I61" s="57"/>
    </row>
    <row r="62" spans="1:9">
      <c r="B62" s="2"/>
      <c r="C62" s="57"/>
      <c r="D62" s="57"/>
      <c r="E62" s="57"/>
      <c r="F62" s="57"/>
      <c r="G62" s="57"/>
      <c r="H62" s="57"/>
      <c r="I62" s="57"/>
    </row>
    <row r="63" spans="1:9" ht="15" customHeight="1">
      <c r="B63" s="2" t="s">
        <v>237</v>
      </c>
      <c r="C63" s="57" t="s">
        <v>238</v>
      </c>
      <c r="D63" s="57"/>
      <c r="E63" s="57"/>
      <c r="F63" s="57"/>
      <c r="G63" s="57"/>
      <c r="H63" s="57"/>
      <c r="I63" s="57"/>
    </row>
    <row r="64" spans="1:9">
      <c r="B64" s="19"/>
      <c r="C64" s="57"/>
      <c r="D64" s="57"/>
      <c r="E64" s="57"/>
      <c r="F64" s="57"/>
      <c r="G64" s="57"/>
      <c r="H64" s="57"/>
      <c r="I64" s="57"/>
    </row>
    <row r="65" spans="1:11">
      <c r="B65" s="14" t="s">
        <v>191</v>
      </c>
      <c r="C65" s="14"/>
      <c r="D65" s="19"/>
      <c r="E65" s="19"/>
      <c r="F65" s="19"/>
      <c r="G65" s="19"/>
      <c r="H65" s="19"/>
      <c r="I65" s="19"/>
    </row>
    <row r="66" spans="1:11">
      <c r="B66" s="19" t="s">
        <v>239</v>
      </c>
      <c r="C66" s="19"/>
      <c r="D66" s="19"/>
      <c r="E66" s="19"/>
      <c r="F66" s="19"/>
      <c r="G66" s="19"/>
      <c r="H66" s="19"/>
      <c r="I66" s="19"/>
    </row>
    <row r="67" spans="1:11">
      <c r="B67" s="19"/>
      <c r="C67" s="19"/>
      <c r="D67" s="19"/>
      <c r="E67" s="19"/>
      <c r="F67" s="19"/>
      <c r="G67" s="19"/>
      <c r="H67" s="19"/>
      <c r="I67" s="19"/>
    </row>
    <row r="68" spans="1:11">
      <c r="A68" s="2" t="s">
        <v>240</v>
      </c>
      <c r="B68" s="1" t="s">
        <v>241</v>
      </c>
    </row>
    <row r="69" spans="1:11" ht="15" customHeight="1">
      <c r="B69" s="1" t="s">
        <v>242</v>
      </c>
    </row>
    <row r="70" spans="1:11">
      <c r="K70" s="6"/>
    </row>
    <row r="72" spans="1:11" ht="15" customHeight="1">
      <c r="C72" s="1" t="s">
        <v>243</v>
      </c>
    </row>
    <row r="73" spans="1:11">
      <c r="C73" s="2" t="s">
        <v>244</v>
      </c>
      <c r="D73" s="1" t="s">
        <v>248</v>
      </c>
    </row>
    <row r="74" spans="1:11" ht="15" customHeight="1">
      <c r="C74" s="2" t="s">
        <v>245</v>
      </c>
      <c r="D74" s="1" t="s">
        <v>249</v>
      </c>
    </row>
    <row r="75" spans="1:11" ht="15" customHeight="1">
      <c r="C75" s="2" t="s">
        <v>246</v>
      </c>
      <c r="D75" s="1" t="s">
        <v>250</v>
      </c>
    </row>
    <row r="76" spans="1:11">
      <c r="C76" s="2" t="s">
        <v>247</v>
      </c>
      <c r="D76" s="1" t="s">
        <v>251</v>
      </c>
    </row>
    <row r="77" spans="1:11" ht="15" customHeight="1"/>
    <row r="78" spans="1:11">
      <c r="A78" s="2" t="s">
        <v>252</v>
      </c>
      <c r="B78" s="1" t="s">
        <v>253</v>
      </c>
    </row>
    <row r="79" spans="1:11">
      <c r="B79" s="1" t="s">
        <v>163</v>
      </c>
    </row>
    <row r="80" spans="1:11" ht="15" customHeight="1">
      <c r="B80" s="2" t="s">
        <v>184</v>
      </c>
      <c r="C80" s="1" t="s">
        <v>254</v>
      </c>
    </row>
    <row r="87" ht="15" customHeight="1"/>
    <row r="93" ht="15" customHeight="1"/>
    <row r="95" ht="15" customHeight="1"/>
    <row r="99" ht="15" customHeight="1"/>
    <row r="114" spans="12:12" ht="15" customHeight="1"/>
    <row r="119" spans="12:12" ht="15" customHeight="1"/>
    <row r="121" spans="12:12">
      <c r="L121" s="18"/>
    </row>
    <row r="125" spans="12:12" ht="15" customHeight="1"/>
    <row r="128" spans="12:12" ht="15" customHeight="1"/>
    <row r="130" spans="11:16" ht="15" customHeight="1"/>
    <row r="133" spans="11:16" ht="15" customHeight="1"/>
    <row r="136" spans="11:16">
      <c r="K136" s="9"/>
      <c r="L136" s="9"/>
      <c r="M136" s="9"/>
      <c r="N136" s="9"/>
      <c r="O136" s="9"/>
      <c r="P136" s="9"/>
    </row>
    <row r="137" spans="11:16" ht="15.75" customHeight="1">
      <c r="K137" s="9"/>
      <c r="L137" s="9"/>
      <c r="M137" s="9"/>
      <c r="N137" s="9"/>
      <c r="O137" s="9"/>
      <c r="P137" s="9"/>
    </row>
    <row r="138" spans="11:16">
      <c r="K138" s="9"/>
      <c r="L138" s="9"/>
      <c r="M138" s="9"/>
      <c r="N138" s="9"/>
      <c r="O138" s="9"/>
      <c r="P138" s="9"/>
    </row>
    <row r="139" spans="11:16">
      <c r="K139" s="9"/>
      <c r="L139" s="9"/>
      <c r="M139" s="9"/>
      <c r="N139" s="9"/>
      <c r="O139" s="9"/>
      <c r="P139" s="9"/>
    </row>
    <row r="149" ht="15" customHeight="1"/>
    <row r="151" ht="15" customHeight="1"/>
  </sheetData>
  <mergeCells count="37">
    <mergeCell ref="F55:I55"/>
    <mergeCell ref="C61:I62"/>
    <mergeCell ref="C63:I64"/>
    <mergeCell ref="B48:E48"/>
    <mergeCell ref="F48:I48"/>
    <mergeCell ref="B49:E49"/>
    <mergeCell ref="B50:E50"/>
    <mergeCell ref="F50:I50"/>
    <mergeCell ref="B51:E51"/>
    <mergeCell ref="F51:I51"/>
    <mergeCell ref="B52:E52"/>
    <mergeCell ref="F52:I52"/>
    <mergeCell ref="B53:E53"/>
    <mergeCell ref="F53:I53"/>
    <mergeCell ref="B54:E54"/>
    <mergeCell ref="F54:I54"/>
    <mergeCell ref="B55:E55"/>
    <mergeCell ref="A1:I2"/>
    <mergeCell ref="A3:I3"/>
    <mergeCell ref="B6:I7"/>
    <mergeCell ref="C17:I18"/>
    <mergeCell ref="C26:I27"/>
    <mergeCell ref="C29:I30"/>
    <mergeCell ref="D32:I32"/>
    <mergeCell ref="C34:E34"/>
    <mergeCell ref="F34:I34"/>
    <mergeCell ref="C35:E35"/>
    <mergeCell ref="F35:I35"/>
    <mergeCell ref="B44:I45"/>
    <mergeCell ref="B47:C47"/>
    <mergeCell ref="D47:I47"/>
    <mergeCell ref="C36:E36"/>
    <mergeCell ref="F36:I36"/>
    <mergeCell ref="C37:E37"/>
    <mergeCell ref="F37:I37"/>
    <mergeCell ref="C38:E38"/>
    <mergeCell ref="F38:I38"/>
  </mergeCells>
  <phoneticPr fontId="2"/>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52"/>
  <sheetViews>
    <sheetView topLeftCell="A10" zoomScaleNormal="100" workbookViewId="0">
      <selection activeCell="S13" sqref="S13:AA13"/>
    </sheetView>
  </sheetViews>
  <sheetFormatPr defaultColWidth="9" defaultRowHeight="15"/>
  <cols>
    <col min="1" max="45" width="2.140625" style="1" customWidth="1"/>
    <col min="46" max="16384" width="9" style="1"/>
  </cols>
  <sheetData>
    <row r="1" spans="1:46" ht="15" customHeight="1">
      <c r="A1" s="45" t="s">
        <v>167</v>
      </c>
      <c r="B1" s="45"/>
      <c r="C1" s="45"/>
      <c r="D1" s="45"/>
      <c r="E1" s="91" t="s">
        <v>168</v>
      </c>
      <c r="F1" s="91"/>
      <c r="G1" s="91"/>
      <c r="H1" s="93" t="s">
        <v>270</v>
      </c>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s="95"/>
      <c r="AK1" s="45"/>
      <c r="AL1" s="45"/>
      <c r="AM1" s="45"/>
      <c r="AN1" s="45"/>
      <c r="AO1" s="45"/>
      <c r="AP1" s="45"/>
      <c r="AQ1" s="45"/>
      <c r="AR1" s="45"/>
      <c r="AS1" s="45"/>
    </row>
    <row r="2" spans="1:46" ht="15" customHeight="1">
      <c r="A2" s="36"/>
      <c r="B2" s="36"/>
      <c r="C2" s="36"/>
      <c r="D2" s="36"/>
      <c r="E2" s="92" t="s">
        <v>169</v>
      </c>
      <c r="F2" s="92"/>
      <c r="G2" s="92"/>
      <c r="H2" s="96"/>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8"/>
      <c r="AK2" s="36"/>
      <c r="AL2" s="36"/>
      <c r="AM2" s="36"/>
      <c r="AN2" s="36"/>
      <c r="AO2" s="36"/>
      <c r="AP2" s="36"/>
      <c r="AQ2" s="36"/>
      <c r="AR2" s="36"/>
      <c r="AS2" s="36"/>
    </row>
    <row r="3" spans="1:46" ht="15" customHeight="1">
      <c r="A3" s="87" t="s">
        <v>170</v>
      </c>
      <c r="B3" s="87"/>
      <c r="C3" s="87"/>
      <c r="D3" s="87"/>
      <c r="E3" s="87"/>
      <c r="F3" s="87"/>
      <c r="G3" s="87"/>
      <c r="H3" s="45"/>
      <c r="I3" s="45"/>
      <c r="J3" s="45"/>
      <c r="K3" s="45"/>
      <c r="L3" s="45"/>
      <c r="M3" s="45"/>
      <c r="N3" s="45"/>
      <c r="O3" s="45"/>
      <c r="P3" s="45"/>
      <c r="Q3" s="45"/>
      <c r="R3" s="45"/>
      <c r="S3" s="45"/>
      <c r="T3" s="45"/>
      <c r="U3" s="45"/>
      <c r="V3" s="45"/>
      <c r="W3" s="45"/>
      <c r="X3" s="45"/>
      <c r="Y3" s="45"/>
      <c r="Z3" s="45"/>
      <c r="AA3" s="45"/>
      <c r="AB3" s="34" t="s">
        <v>256</v>
      </c>
      <c r="AC3" s="34"/>
      <c r="AD3" s="34"/>
      <c r="AE3" s="34"/>
      <c r="AF3" s="34"/>
      <c r="AG3" s="34"/>
      <c r="AH3" s="89">
        <v>42795</v>
      </c>
      <c r="AI3" s="89"/>
      <c r="AJ3" s="89"/>
      <c r="AK3" s="89"/>
      <c r="AL3" s="89"/>
      <c r="AM3" s="89"/>
      <c r="AN3" s="89"/>
      <c r="AO3" s="89"/>
      <c r="AP3" s="89"/>
      <c r="AQ3" s="89"/>
      <c r="AR3" s="89"/>
      <c r="AS3" s="89"/>
    </row>
    <row r="4" spans="1:46">
      <c r="A4" s="87"/>
      <c r="B4" s="87"/>
      <c r="C4" s="87"/>
      <c r="D4" s="87"/>
      <c r="E4" s="87"/>
      <c r="F4" s="87"/>
      <c r="G4" s="87"/>
      <c r="H4" s="88"/>
      <c r="I4" s="88"/>
      <c r="J4" s="88"/>
      <c r="K4" s="88"/>
      <c r="L4" s="88"/>
      <c r="M4" s="88"/>
      <c r="N4" s="88"/>
      <c r="O4" s="88"/>
      <c r="P4" s="88"/>
      <c r="Q4" s="88"/>
      <c r="R4" s="88"/>
      <c r="S4" s="88"/>
      <c r="T4" s="88"/>
      <c r="U4" s="88"/>
      <c r="V4" s="88"/>
      <c r="W4" s="88"/>
      <c r="X4" s="88"/>
      <c r="Y4" s="88"/>
      <c r="Z4" s="88"/>
      <c r="AA4" s="88"/>
      <c r="AB4" s="34"/>
      <c r="AC4" s="34"/>
      <c r="AD4" s="34"/>
      <c r="AE4" s="34"/>
      <c r="AF4" s="34"/>
      <c r="AG4" s="34"/>
      <c r="AH4" s="90"/>
      <c r="AI4" s="90"/>
      <c r="AJ4" s="90"/>
      <c r="AK4" s="90"/>
      <c r="AL4" s="90"/>
      <c r="AM4" s="90"/>
      <c r="AN4" s="90"/>
      <c r="AO4" s="90"/>
      <c r="AP4" s="90"/>
      <c r="AQ4" s="90"/>
      <c r="AR4" s="90"/>
      <c r="AS4" s="90"/>
    </row>
    <row r="5" spans="1:46" ht="15" customHeight="1">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53" t="s">
        <v>257</v>
      </c>
      <c r="AC5" s="53"/>
      <c r="AD5" s="53"/>
      <c r="AE5" s="53"/>
      <c r="AF5" s="53"/>
      <c r="AG5" s="53"/>
      <c r="AH5" s="83" t="s">
        <v>255</v>
      </c>
      <c r="AI5" s="83"/>
      <c r="AJ5" s="83"/>
      <c r="AK5" s="83"/>
      <c r="AL5" s="83"/>
      <c r="AM5" s="83"/>
      <c r="AN5" s="83"/>
      <c r="AO5" s="83"/>
      <c r="AP5" s="83"/>
      <c r="AQ5" s="83"/>
      <c r="AR5" s="83"/>
      <c r="AS5" s="83"/>
    </row>
    <row r="6" spans="1:46" ht="15" customHeight="1">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53"/>
      <c r="AC6" s="53"/>
      <c r="AD6" s="53"/>
      <c r="AE6" s="53"/>
      <c r="AF6" s="53"/>
      <c r="AG6" s="53"/>
      <c r="AH6" s="84"/>
      <c r="AI6" s="84"/>
      <c r="AJ6" s="84"/>
      <c r="AK6" s="84"/>
      <c r="AL6" s="84"/>
      <c r="AM6" s="84"/>
      <c r="AN6" s="84"/>
      <c r="AO6" s="84"/>
      <c r="AP6" s="84"/>
      <c r="AQ6" s="84"/>
      <c r="AR6" s="84"/>
      <c r="AS6" s="84"/>
    </row>
    <row r="7" spans="1:46" ht="15" customHeight="1">
      <c r="A7" s="113" t="s">
        <v>171</v>
      </c>
      <c r="B7" s="86"/>
      <c r="C7" s="86"/>
      <c r="D7" s="86"/>
      <c r="E7" s="86"/>
      <c r="F7" s="86"/>
      <c r="G7" s="86"/>
      <c r="H7" s="86"/>
      <c r="I7" s="86"/>
      <c r="J7" s="85" t="s">
        <v>265</v>
      </c>
      <c r="K7" s="85"/>
      <c r="L7" s="85"/>
      <c r="M7" s="85"/>
      <c r="N7" s="85"/>
      <c r="O7" s="85"/>
      <c r="P7" s="85" t="s">
        <v>266</v>
      </c>
      <c r="Q7" s="85"/>
      <c r="R7" s="85"/>
      <c r="S7" s="85"/>
      <c r="T7" s="85"/>
      <c r="U7" s="85"/>
      <c r="V7" s="86" t="s">
        <v>267</v>
      </c>
      <c r="W7" s="86"/>
      <c r="X7" s="86"/>
      <c r="Y7" s="86"/>
      <c r="Z7" s="86"/>
      <c r="AA7" s="86"/>
      <c r="AB7" s="85" t="s">
        <v>268</v>
      </c>
      <c r="AC7" s="85"/>
      <c r="AD7" s="85"/>
      <c r="AE7" s="85"/>
      <c r="AF7" s="85"/>
      <c r="AG7" s="85"/>
      <c r="AH7" s="85" t="s">
        <v>269</v>
      </c>
      <c r="AI7" s="85"/>
      <c r="AJ7" s="85"/>
      <c r="AK7" s="85"/>
      <c r="AL7" s="85"/>
      <c r="AM7" s="85"/>
      <c r="AN7" s="85"/>
      <c r="AO7" s="85"/>
      <c r="AP7" s="85"/>
      <c r="AQ7" s="85"/>
      <c r="AR7" s="85"/>
      <c r="AS7" s="118"/>
    </row>
    <row r="8" spans="1:46" ht="15" customHeight="1">
      <c r="A8" s="111" t="s">
        <v>258</v>
      </c>
      <c r="B8" s="112"/>
      <c r="C8" s="112"/>
      <c r="D8" s="112"/>
      <c r="E8" s="112"/>
      <c r="F8" s="112"/>
      <c r="G8" s="112"/>
      <c r="H8" s="112"/>
      <c r="I8" s="112"/>
      <c r="J8" s="104"/>
      <c r="K8" s="104"/>
      <c r="L8" s="104"/>
      <c r="M8" s="104"/>
      <c r="N8" s="104"/>
      <c r="O8" s="104"/>
      <c r="P8" s="104" t="s">
        <v>260</v>
      </c>
      <c r="Q8" s="104"/>
      <c r="R8" s="104"/>
      <c r="S8" s="104"/>
      <c r="T8" s="104"/>
      <c r="U8" s="104"/>
      <c r="V8" s="104" t="s">
        <v>260</v>
      </c>
      <c r="W8" s="104"/>
      <c r="X8" s="104"/>
      <c r="Y8" s="104"/>
      <c r="Z8" s="104"/>
      <c r="AA8" s="104"/>
      <c r="AB8" s="104"/>
      <c r="AC8" s="104"/>
      <c r="AD8" s="104"/>
      <c r="AE8" s="104"/>
      <c r="AF8" s="104"/>
      <c r="AG8" s="104"/>
      <c r="AH8" s="104"/>
      <c r="AI8" s="104"/>
      <c r="AJ8" s="104"/>
      <c r="AK8" s="104"/>
      <c r="AL8" s="104"/>
      <c r="AM8" s="104"/>
      <c r="AN8" s="104"/>
      <c r="AO8" s="104"/>
      <c r="AP8" s="104"/>
      <c r="AQ8" s="104"/>
      <c r="AR8" s="104"/>
      <c r="AS8" s="108"/>
    </row>
    <row r="9" spans="1:46" ht="15" customHeight="1" thickBot="1">
      <c r="A9" s="114" t="s">
        <v>172</v>
      </c>
      <c r="B9" s="115"/>
      <c r="C9" s="115"/>
      <c r="D9" s="115"/>
      <c r="E9" s="115"/>
      <c r="F9" s="115"/>
      <c r="G9" s="115"/>
      <c r="H9" s="115"/>
      <c r="I9" s="115"/>
      <c r="J9" s="107"/>
      <c r="K9" s="107"/>
      <c r="L9" s="107"/>
      <c r="M9" s="107"/>
      <c r="N9" s="107"/>
      <c r="O9" s="107"/>
      <c r="P9" s="107" t="s">
        <v>261</v>
      </c>
      <c r="Q9" s="107"/>
      <c r="R9" s="107"/>
      <c r="S9" s="107"/>
      <c r="T9" s="107"/>
      <c r="U9" s="107"/>
      <c r="V9" s="107" t="s">
        <v>262</v>
      </c>
      <c r="W9" s="107"/>
      <c r="X9" s="107"/>
      <c r="Y9" s="107"/>
      <c r="Z9" s="107"/>
      <c r="AA9" s="107"/>
      <c r="AB9" s="107"/>
      <c r="AC9" s="107"/>
      <c r="AD9" s="107"/>
      <c r="AE9" s="107"/>
      <c r="AF9" s="107"/>
      <c r="AG9" s="107"/>
      <c r="AH9" s="107"/>
      <c r="AI9" s="107"/>
      <c r="AJ9" s="107"/>
      <c r="AK9" s="107"/>
      <c r="AL9" s="107"/>
      <c r="AM9" s="107"/>
      <c r="AN9" s="107"/>
      <c r="AO9" s="107"/>
      <c r="AP9" s="107"/>
      <c r="AQ9" s="107"/>
      <c r="AR9" s="107"/>
      <c r="AS9" s="109"/>
    </row>
    <row r="10" spans="1:46" ht="15" customHeight="1">
      <c r="A10" s="116" t="s">
        <v>313</v>
      </c>
      <c r="B10" s="117"/>
      <c r="C10" s="117"/>
      <c r="D10" s="117"/>
      <c r="E10" s="117"/>
      <c r="F10" s="117"/>
      <c r="G10" s="117"/>
      <c r="H10" s="117"/>
      <c r="I10" s="117"/>
      <c r="J10" s="123" t="s">
        <v>271</v>
      </c>
      <c r="K10" s="123"/>
      <c r="L10" s="123"/>
      <c r="M10" s="123"/>
      <c r="N10" s="123"/>
      <c r="O10" s="123"/>
      <c r="P10" s="123"/>
      <c r="Q10" s="123"/>
      <c r="R10" s="123"/>
      <c r="S10" s="123"/>
      <c r="T10" s="123"/>
      <c r="U10" s="123"/>
      <c r="V10" s="123"/>
      <c r="W10" s="123"/>
      <c r="X10" s="123"/>
      <c r="Y10" s="123"/>
      <c r="Z10" s="123"/>
      <c r="AA10" s="123"/>
      <c r="AB10" s="123" t="s">
        <v>263</v>
      </c>
      <c r="AC10" s="123"/>
      <c r="AD10" s="123"/>
      <c r="AE10" s="123"/>
      <c r="AF10" s="123"/>
      <c r="AG10" s="123"/>
      <c r="AH10" s="123"/>
      <c r="AI10" s="123"/>
      <c r="AJ10" s="123"/>
      <c r="AK10" s="123"/>
      <c r="AL10" s="123"/>
      <c r="AM10" s="123"/>
      <c r="AN10" s="123"/>
      <c r="AO10" s="123"/>
      <c r="AP10" s="123"/>
      <c r="AQ10" s="123"/>
      <c r="AR10" s="123"/>
      <c r="AS10" s="124"/>
    </row>
    <row r="11" spans="1:46" ht="15" customHeight="1">
      <c r="A11" s="111" t="s">
        <v>264</v>
      </c>
      <c r="B11" s="112"/>
      <c r="C11" s="112"/>
      <c r="D11" s="112"/>
      <c r="E11" s="112"/>
      <c r="F11" s="112"/>
      <c r="G11" s="125"/>
      <c r="H11" s="111"/>
      <c r="I11" s="112"/>
      <c r="J11" s="105" t="s">
        <v>272</v>
      </c>
      <c r="K11" s="105"/>
      <c r="L11" s="105"/>
      <c r="M11" s="105"/>
      <c r="N11" s="105"/>
      <c r="O11" s="105"/>
      <c r="P11" s="105"/>
      <c r="Q11" s="105"/>
      <c r="R11" s="105"/>
      <c r="S11" s="105" t="s">
        <v>273</v>
      </c>
      <c r="T11" s="105"/>
      <c r="U11" s="105"/>
      <c r="V11" s="105"/>
      <c r="W11" s="105"/>
      <c r="X11" s="105"/>
      <c r="Y11" s="105"/>
      <c r="Z11" s="105"/>
      <c r="AA11" s="105"/>
      <c r="AB11" s="105" t="s">
        <v>274</v>
      </c>
      <c r="AC11" s="105"/>
      <c r="AD11" s="105"/>
      <c r="AE11" s="105"/>
      <c r="AF11" s="105"/>
      <c r="AG11" s="105"/>
      <c r="AH11" s="105"/>
      <c r="AI11" s="105"/>
      <c r="AJ11" s="105"/>
      <c r="AK11" s="105" t="s">
        <v>275</v>
      </c>
      <c r="AL11" s="105"/>
      <c r="AM11" s="105"/>
      <c r="AN11" s="105"/>
      <c r="AO11" s="105"/>
      <c r="AP11" s="105"/>
      <c r="AQ11" s="105"/>
      <c r="AR11" s="105"/>
      <c r="AS11" s="106"/>
    </row>
    <row r="12" spans="1:46" ht="15" customHeight="1">
      <c r="A12" s="120" t="s">
        <v>276</v>
      </c>
      <c r="B12" s="121"/>
      <c r="C12" s="121"/>
      <c r="D12" s="121"/>
      <c r="E12" s="121"/>
      <c r="F12" s="121"/>
      <c r="G12" s="121"/>
      <c r="H12" s="121" t="s">
        <v>282</v>
      </c>
      <c r="I12" s="121"/>
      <c r="J12" s="76">
        <v>20</v>
      </c>
      <c r="K12" s="76"/>
      <c r="L12" s="76"/>
      <c r="M12" s="76"/>
      <c r="N12" s="76"/>
      <c r="O12" s="76"/>
      <c r="P12" s="76"/>
      <c r="Q12" s="76"/>
      <c r="R12" s="76"/>
      <c r="S12" s="76">
        <v>20</v>
      </c>
      <c r="T12" s="76"/>
      <c r="U12" s="76"/>
      <c r="V12" s="76"/>
      <c r="W12" s="76"/>
      <c r="X12" s="76"/>
      <c r="Y12" s="76"/>
      <c r="Z12" s="76"/>
      <c r="AA12" s="76"/>
      <c r="AB12" s="77">
        <v>69.900000000000006</v>
      </c>
      <c r="AC12" s="77"/>
      <c r="AD12" s="77"/>
      <c r="AE12" s="77"/>
      <c r="AF12" s="77"/>
      <c r="AG12" s="77"/>
      <c r="AH12" s="77"/>
      <c r="AI12" s="77"/>
      <c r="AJ12" s="77"/>
      <c r="AK12" s="77">
        <v>71.2</v>
      </c>
      <c r="AL12" s="77"/>
      <c r="AM12" s="77"/>
      <c r="AN12" s="77"/>
      <c r="AO12" s="77"/>
      <c r="AP12" s="77"/>
      <c r="AQ12" s="77"/>
      <c r="AR12" s="77"/>
      <c r="AS12" s="78"/>
    </row>
    <row r="13" spans="1:46" ht="16.5">
      <c r="A13" s="103" t="s">
        <v>277</v>
      </c>
      <c r="B13" s="102"/>
      <c r="C13" s="102"/>
      <c r="D13" s="102"/>
      <c r="E13" s="102"/>
      <c r="F13" s="102"/>
      <c r="G13" s="102"/>
      <c r="H13" s="102" t="s">
        <v>300</v>
      </c>
      <c r="I13" s="102"/>
      <c r="J13" s="79">
        <f>IF(COUNT(J12)=0,"",ROUND((J12/(1+$J$26/100)),1))</f>
        <v>10.4</v>
      </c>
      <c r="K13" s="79"/>
      <c r="L13" s="79"/>
      <c r="M13" s="79"/>
      <c r="N13" s="79"/>
      <c r="O13" s="79"/>
      <c r="P13" s="79"/>
      <c r="Q13" s="79"/>
      <c r="R13" s="79"/>
      <c r="S13" s="79">
        <f t="shared" ref="S13" si="0">IF(COUNT(S12)=0,"",ROUND((S12/(1+$J$26/100)),1))</f>
        <v>10.4</v>
      </c>
      <c r="T13" s="79"/>
      <c r="U13" s="79"/>
      <c r="V13" s="79"/>
      <c r="W13" s="79"/>
      <c r="X13" s="79"/>
      <c r="Y13" s="79"/>
      <c r="Z13" s="79"/>
      <c r="AA13" s="79"/>
      <c r="AB13" s="80">
        <f>IF(COUNT(AB12)=0,"",ROUND((AB12/(1+$AB$26/100)),1))</f>
        <v>30.1</v>
      </c>
      <c r="AC13" s="80"/>
      <c r="AD13" s="80"/>
      <c r="AE13" s="80"/>
      <c r="AF13" s="80"/>
      <c r="AG13" s="80"/>
      <c r="AH13" s="80"/>
      <c r="AI13" s="80"/>
      <c r="AJ13" s="80"/>
      <c r="AK13" s="80">
        <f>IF(COUNT(AK12)=0,"",ROUND((AK12/(1+$AB$26/100)),1))</f>
        <v>30.7</v>
      </c>
      <c r="AL13" s="80"/>
      <c r="AM13" s="80"/>
      <c r="AN13" s="80"/>
      <c r="AO13" s="80"/>
      <c r="AP13" s="80"/>
      <c r="AQ13" s="80"/>
      <c r="AR13" s="80"/>
      <c r="AS13" s="81"/>
    </row>
    <row r="14" spans="1:46" ht="16.5">
      <c r="A14" s="122" t="s">
        <v>278</v>
      </c>
      <c r="B14" s="119"/>
      <c r="C14" s="119"/>
      <c r="D14" s="119"/>
      <c r="E14" s="119"/>
      <c r="F14" s="119"/>
      <c r="G14" s="119"/>
      <c r="H14" s="119" t="s">
        <v>315</v>
      </c>
      <c r="I14" s="119"/>
      <c r="J14" s="73">
        <f>IF(COUNT(J12)=0,"",J13*5-(J12-J13))</f>
        <v>42.4</v>
      </c>
      <c r="K14" s="73"/>
      <c r="L14" s="73"/>
      <c r="M14" s="73"/>
      <c r="N14" s="73"/>
      <c r="O14" s="73"/>
      <c r="P14" s="73"/>
      <c r="Q14" s="73"/>
      <c r="R14" s="73"/>
      <c r="S14" s="73">
        <f>IF(COUNT(S12)=0,"",S13*5-(S12-S13))</f>
        <v>42.4</v>
      </c>
      <c r="T14" s="73"/>
      <c r="U14" s="73"/>
      <c r="V14" s="73"/>
      <c r="W14" s="73"/>
      <c r="X14" s="73"/>
      <c r="Y14" s="73"/>
      <c r="Z14" s="73"/>
      <c r="AA14" s="73"/>
      <c r="AB14" s="73">
        <f>IF(COUNT(AB12)=0,"",AB13*5-(AB12-AB13))</f>
        <v>110.69999999999999</v>
      </c>
      <c r="AC14" s="73"/>
      <c r="AD14" s="73"/>
      <c r="AE14" s="73"/>
      <c r="AF14" s="73"/>
      <c r="AG14" s="73"/>
      <c r="AH14" s="73"/>
      <c r="AI14" s="73"/>
      <c r="AJ14" s="73"/>
      <c r="AK14" s="73">
        <f>IF(COUNT(AK12)=0,"",AK13*5-(AK12-AK13))</f>
        <v>113</v>
      </c>
      <c r="AL14" s="73"/>
      <c r="AM14" s="73"/>
      <c r="AN14" s="73"/>
      <c r="AO14" s="73"/>
      <c r="AP14" s="73"/>
      <c r="AQ14" s="73"/>
      <c r="AR14" s="73"/>
      <c r="AS14" s="82"/>
      <c r="AT14" s="12"/>
    </row>
    <row r="15" spans="1:46" ht="16.5">
      <c r="A15" s="103" t="s">
        <v>279</v>
      </c>
      <c r="B15" s="102"/>
      <c r="C15" s="102"/>
      <c r="D15" s="102"/>
      <c r="E15" s="102"/>
      <c r="F15" s="102"/>
      <c r="G15" s="102"/>
      <c r="H15" s="102" t="s">
        <v>301</v>
      </c>
      <c r="I15" s="102"/>
      <c r="J15" s="71">
        <f t="shared" ref="J15" si="1">IF(COUNT(J12)=0,"",ROUND(((J12-J13+J14)/J13),1))</f>
        <v>5</v>
      </c>
      <c r="K15" s="71"/>
      <c r="L15" s="71"/>
      <c r="M15" s="71"/>
      <c r="N15" s="71"/>
      <c r="O15" s="71"/>
      <c r="P15" s="71"/>
      <c r="Q15" s="71"/>
      <c r="R15" s="71"/>
      <c r="S15" s="71">
        <f t="shared" ref="S15" si="2">IF(COUNT(S12)=0,"",ROUND(((S12-S13+S14)/S13),1))</f>
        <v>5</v>
      </c>
      <c r="T15" s="71"/>
      <c r="U15" s="71"/>
      <c r="V15" s="71"/>
      <c r="W15" s="71"/>
      <c r="X15" s="71"/>
      <c r="Y15" s="71"/>
      <c r="Z15" s="71"/>
      <c r="AA15" s="71"/>
      <c r="AB15" s="71">
        <f t="shared" ref="AB15" si="3">IF(COUNT(AB12)=0,"",ROUND(((AB12-AB13+AB14)/AB13),1))</f>
        <v>5</v>
      </c>
      <c r="AC15" s="71"/>
      <c r="AD15" s="71"/>
      <c r="AE15" s="71"/>
      <c r="AF15" s="71"/>
      <c r="AG15" s="71"/>
      <c r="AH15" s="71"/>
      <c r="AI15" s="71"/>
      <c r="AJ15" s="71"/>
      <c r="AK15" s="71">
        <f t="shared" ref="AK15" si="4">IF(COUNT(AK12)=0,"",ROUND(((AK12-AK13+AK14)/AK13),1))</f>
        <v>5</v>
      </c>
      <c r="AL15" s="71"/>
      <c r="AM15" s="71"/>
      <c r="AN15" s="71"/>
      <c r="AO15" s="71"/>
      <c r="AP15" s="71"/>
      <c r="AQ15" s="71"/>
      <c r="AR15" s="71"/>
      <c r="AS15" s="72"/>
    </row>
    <row r="16" spans="1:46">
      <c r="A16" s="101" t="s">
        <v>280</v>
      </c>
      <c r="B16" s="100"/>
      <c r="C16" s="100"/>
      <c r="D16" s="100"/>
      <c r="E16" s="100"/>
      <c r="F16" s="100"/>
      <c r="G16" s="100"/>
      <c r="H16" s="99" t="s">
        <v>281</v>
      </c>
      <c r="I16" s="100"/>
      <c r="J16" s="74">
        <v>25.2</v>
      </c>
      <c r="K16" s="74"/>
      <c r="L16" s="74"/>
      <c r="M16" s="74"/>
      <c r="N16" s="74"/>
      <c r="O16" s="74"/>
      <c r="P16" s="74"/>
      <c r="Q16" s="74"/>
      <c r="R16" s="74"/>
      <c r="S16" s="74">
        <v>25.3</v>
      </c>
      <c r="T16" s="74"/>
      <c r="U16" s="74"/>
      <c r="V16" s="74"/>
      <c r="W16" s="74"/>
      <c r="X16" s="74"/>
      <c r="Y16" s="74"/>
      <c r="Z16" s="74"/>
      <c r="AA16" s="74"/>
      <c r="AB16" s="74">
        <v>18</v>
      </c>
      <c r="AC16" s="74"/>
      <c r="AD16" s="74"/>
      <c r="AE16" s="74"/>
      <c r="AF16" s="74"/>
      <c r="AG16" s="74"/>
      <c r="AH16" s="74"/>
      <c r="AI16" s="74"/>
      <c r="AJ16" s="74"/>
      <c r="AK16" s="74">
        <v>18</v>
      </c>
      <c r="AL16" s="74"/>
      <c r="AM16" s="74"/>
      <c r="AN16" s="74"/>
      <c r="AO16" s="74"/>
      <c r="AP16" s="74"/>
      <c r="AQ16" s="74"/>
      <c r="AR16" s="74"/>
      <c r="AS16" s="75"/>
    </row>
    <row r="17" spans="1:46">
      <c r="A17" s="67" t="s">
        <v>284</v>
      </c>
      <c r="B17" s="68"/>
      <c r="C17" s="68"/>
      <c r="D17" s="68"/>
      <c r="E17" s="69" t="s">
        <v>286</v>
      </c>
      <c r="F17" s="69"/>
      <c r="G17" s="69"/>
      <c r="H17" s="69"/>
      <c r="I17" s="69"/>
      <c r="J17" s="63">
        <v>6.67</v>
      </c>
      <c r="K17" s="63"/>
      <c r="L17" s="63"/>
      <c r="M17" s="63"/>
      <c r="N17" s="63"/>
      <c r="O17" s="63"/>
      <c r="P17" s="63"/>
      <c r="Q17" s="63"/>
      <c r="R17" s="63"/>
      <c r="S17" s="63">
        <v>6.71</v>
      </c>
      <c r="T17" s="63"/>
      <c r="U17" s="63"/>
      <c r="V17" s="63"/>
      <c r="W17" s="63"/>
      <c r="X17" s="63"/>
      <c r="Y17" s="63"/>
      <c r="Z17" s="63"/>
      <c r="AA17" s="63"/>
      <c r="AB17" s="63">
        <v>6.6</v>
      </c>
      <c r="AC17" s="63"/>
      <c r="AD17" s="63"/>
      <c r="AE17" s="63"/>
      <c r="AF17" s="63"/>
      <c r="AG17" s="63"/>
      <c r="AH17" s="63"/>
      <c r="AI17" s="63"/>
      <c r="AJ17" s="63"/>
      <c r="AK17" s="63">
        <v>6.6</v>
      </c>
      <c r="AL17" s="63"/>
      <c r="AM17" s="63"/>
      <c r="AN17" s="63"/>
      <c r="AO17" s="63"/>
      <c r="AP17" s="63"/>
      <c r="AQ17" s="63"/>
      <c r="AR17" s="63"/>
      <c r="AS17" s="64"/>
    </row>
    <row r="18" spans="1:46">
      <c r="A18" s="67"/>
      <c r="B18" s="68"/>
      <c r="C18" s="68"/>
      <c r="D18" s="68"/>
      <c r="E18" s="69" t="s">
        <v>285</v>
      </c>
      <c r="F18" s="69"/>
      <c r="G18" s="69"/>
      <c r="H18" s="69"/>
      <c r="I18" s="69"/>
      <c r="J18" s="63">
        <f>IF(COUNT(J17)=0,"",ROUND(AVERAGE(J17:AA17),1))</f>
        <v>6.7</v>
      </c>
      <c r="K18" s="63"/>
      <c r="L18" s="63"/>
      <c r="M18" s="63"/>
      <c r="N18" s="63"/>
      <c r="O18" s="63"/>
      <c r="P18" s="63"/>
      <c r="Q18" s="63"/>
      <c r="R18" s="63"/>
      <c r="S18" s="63"/>
      <c r="T18" s="63"/>
      <c r="U18" s="63"/>
      <c r="V18" s="63"/>
      <c r="W18" s="63"/>
      <c r="X18" s="63"/>
      <c r="Y18" s="63"/>
      <c r="Z18" s="63"/>
      <c r="AA18" s="63"/>
      <c r="AB18" s="63">
        <f>IF(COUNT(AB17)=0,"",ROUND(AVERAGE(AB17:AS17),1))</f>
        <v>6.6</v>
      </c>
      <c r="AC18" s="63"/>
      <c r="AD18" s="63"/>
      <c r="AE18" s="63"/>
      <c r="AF18" s="63"/>
      <c r="AG18" s="63"/>
      <c r="AH18" s="63"/>
      <c r="AI18" s="63"/>
      <c r="AJ18" s="63"/>
      <c r="AK18" s="63"/>
      <c r="AL18" s="63"/>
      <c r="AM18" s="63"/>
      <c r="AN18" s="63"/>
      <c r="AO18" s="63"/>
      <c r="AP18" s="63"/>
      <c r="AQ18" s="63"/>
      <c r="AR18" s="63"/>
      <c r="AS18" s="64"/>
    </row>
    <row r="19" spans="1:46">
      <c r="A19" s="67" t="s">
        <v>287</v>
      </c>
      <c r="B19" s="68"/>
      <c r="C19" s="68"/>
      <c r="D19" s="68"/>
      <c r="E19" s="69" t="s">
        <v>288</v>
      </c>
      <c r="F19" s="69"/>
      <c r="G19" s="69"/>
      <c r="H19" s="69"/>
      <c r="I19" s="69"/>
      <c r="J19" s="70">
        <v>8.61</v>
      </c>
      <c r="K19" s="70"/>
      <c r="L19" s="70"/>
      <c r="M19" s="70"/>
      <c r="N19" s="70"/>
      <c r="O19" s="70"/>
      <c r="P19" s="70"/>
      <c r="Q19" s="70"/>
      <c r="R19" s="70"/>
      <c r="S19" s="65">
        <v>8.58</v>
      </c>
      <c r="T19" s="65"/>
      <c r="U19" s="65"/>
      <c r="V19" s="65"/>
      <c r="W19" s="65"/>
      <c r="X19" s="65"/>
      <c r="Y19" s="65"/>
      <c r="Z19" s="65"/>
      <c r="AA19" s="65"/>
      <c r="AB19" s="65">
        <v>14</v>
      </c>
      <c r="AC19" s="65"/>
      <c r="AD19" s="65"/>
      <c r="AE19" s="65"/>
      <c r="AF19" s="65"/>
      <c r="AG19" s="65"/>
      <c r="AH19" s="65"/>
      <c r="AI19" s="65"/>
      <c r="AJ19" s="65"/>
      <c r="AK19" s="65">
        <v>16</v>
      </c>
      <c r="AL19" s="65"/>
      <c r="AM19" s="65"/>
      <c r="AN19" s="65"/>
      <c r="AO19" s="65"/>
      <c r="AP19" s="65"/>
      <c r="AQ19" s="65"/>
      <c r="AR19" s="65"/>
      <c r="AS19" s="66"/>
    </row>
    <row r="20" spans="1:46">
      <c r="A20" s="67"/>
      <c r="B20" s="68"/>
      <c r="C20" s="68"/>
      <c r="D20" s="68"/>
      <c r="E20" s="69" t="s">
        <v>289</v>
      </c>
      <c r="F20" s="69"/>
      <c r="G20" s="69"/>
      <c r="H20" s="69"/>
      <c r="I20" s="69"/>
      <c r="J20" s="63">
        <f>IF(COUNT(J19)=0,"",ROUND(AVERAGE(J19:AA19),1))</f>
        <v>8.6</v>
      </c>
      <c r="K20" s="63"/>
      <c r="L20" s="63"/>
      <c r="M20" s="63"/>
      <c r="N20" s="63"/>
      <c r="O20" s="63"/>
      <c r="P20" s="63"/>
      <c r="Q20" s="63"/>
      <c r="R20" s="63"/>
      <c r="S20" s="63"/>
      <c r="T20" s="63"/>
      <c r="U20" s="63"/>
      <c r="V20" s="63"/>
      <c r="W20" s="63"/>
      <c r="X20" s="63"/>
      <c r="Y20" s="63"/>
      <c r="Z20" s="63"/>
      <c r="AA20" s="63"/>
      <c r="AB20" s="65">
        <f>IF(COUNT(AB19)=0,"",ROUND(AVERAGE(AB19:AS19),1))</f>
        <v>15</v>
      </c>
      <c r="AC20" s="65"/>
      <c r="AD20" s="65"/>
      <c r="AE20" s="65"/>
      <c r="AF20" s="65"/>
      <c r="AG20" s="65"/>
      <c r="AH20" s="65"/>
      <c r="AI20" s="65"/>
      <c r="AJ20" s="65"/>
      <c r="AK20" s="65"/>
      <c r="AL20" s="65"/>
      <c r="AM20" s="65"/>
      <c r="AN20" s="65"/>
      <c r="AO20" s="65"/>
      <c r="AP20" s="65"/>
      <c r="AQ20" s="65"/>
      <c r="AR20" s="65"/>
      <c r="AS20" s="66"/>
    </row>
    <row r="21" spans="1:46" ht="15" customHeight="1">
      <c r="A21" s="135" t="s">
        <v>297</v>
      </c>
      <c r="B21" s="136"/>
      <c r="C21" s="136"/>
      <c r="D21" s="136"/>
      <c r="E21" s="86" t="s">
        <v>290</v>
      </c>
      <c r="F21" s="86"/>
      <c r="G21" s="86"/>
      <c r="H21" s="86"/>
      <c r="I21" s="86"/>
      <c r="J21" s="110">
        <v>122</v>
      </c>
      <c r="K21" s="110"/>
      <c r="L21" s="110"/>
      <c r="M21" s="110"/>
      <c r="N21" s="110"/>
      <c r="O21" s="110"/>
      <c r="P21" s="110">
        <v>852</v>
      </c>
      <c r="Q21" s="110"/>
      <c r="R21" s="110"/>
      <c r="S21" s="110"/>
      <c r="T21" s="110"/>
      <c r="U21" s="110"/>
      <c r="V21" s="110">
        <v>1281</v>
      </c>
      <c r="W21" s="110"/>
      <c r="X21" s="110"/>
      <c r="Y21" s="110"/>
      <c r="Z21" s="110"/>
      <c r="AA21" s="110"/>
      <c r="AB21" s="110">
        <v>367</v>
      </c>
      <c r="AC21" s="110"/>
      <c r="AD21" s="110"/>
      <c r="AE21" s="110"/>
      <c r="AF21" s="110"/>
      <c r="AG21" s="110"/>
      <c r="AH21" s="110">
        <v>368</v>
      </c>
      <c r="AI21" s="110"/>
      <c r="AJ21" s="110"/>
      <c r="AK21" s="110"/>
      <c r="AL21" s="110"/>
      <c r="AM21" s="110"/>
      <c r="AN21" s="110">
        <v>369</v>
      </c>
      <c r="AO21" s="110"/>
      <c r="AP21" s="110"/>
      <c r="AQ21" s="110"/>
      <c r="AR21" s="110"/>
      <c r="AS21" s="143"/>
    </row>
    <row r="22" spans="1:46" ht="16.5">
      <c r="A22" s="137"/>
      <c r="B22" s="138"/>
      <c r="C22" s="138"/>
      <c r="D22" s="138"/>
      <c r="E22" s="126" t="s">
        <v>291</v>
      </c>
      <c r="F22" s="126"/>
      <c r="G22" s="126"/>
      <c r="H22" s="126" t="s">
        <v>294</v>
      </c>
      <c r="I22" s="126"/>
      <c r="J22" s="105">
        <v>42.04</v>
      </c>
      <c r="K22" s="105"/>
      <c r="L22" s="105"/>
      <c r="M22" s="105"/>
      <c r="N22" s="105"/>
      <c r="O22" s="105"/>
      <c r="P22" s="105">
        <v>42.22</v>
      </c>
      <c r="Q22" s="105"/>
      <c r="R22" s="105"/>
      <c r="S22" s="105"/>
      <c r="T22" s="105"/>
      <c r="U22" s="105"/>
      <c r="V22" s="105">
        <v>42.34</v>
      </c>
      <c r="W22" s="105"/>
      <c r="X22" s="105"/>
      <c r="Y22" s="105"/>
      <c r="Z22" s="105"/>
      <c r="AA22" s="105"/>
      <c r="AB22" s="105">
        <v>42.94</v>
      </c>
      <c r="AC22" s="105"/>
      <c r="AD22" s="105"/>
      <c r="AE22" s="105"/>
      <c r="AF22" s="105"/>
      <c r="AG22" s="105"/>
      <c r="AH22" s="105">
        <v>44.1</v>
      </c>
      <c r="AI22" s="105"/>
      <c r="AJ22" s="105"/>
      <c r="AK22" s="105"/>
      <c r="AL22" s="105"/>
      <c r="AM22" s="105"/>
      <c r="AN22" s="105">
        <v>44.1</v>
      </c>
      <c r="AO22" s="105"/>
      <c r="AP22" s="105"/>
      <c r="AQ22" s="105"/>
      <c r="AR22" s="105"/>
      <c r="AS22" s="106"/>
      <c r="AT22" s="12"/>
    </row>
    <row r="23" spans="1:46" ht="16.5">
      <c r="A23" s="137"/>
      <c r="B23" s="138"/>
      <c r="C23" s="138"/>
      <c r="D23" s="138"/>
      <c r="E23" s="126" t="s">
        <v>292</v>
      </c>
      <c r="F23" s="126"/>
      <c r="G23" s="126"/>
      <c r="H23" s="126" t="s">
        <v>294</v>
      </c>
      <c r="I23" s="126"/>
      <c r="J23" s="105">
        <v>32.47</v>
      </c>
      <c r="K23" s="105"/>
      <c r="L23" s="105"/>
      <c r="M23" s="105"/>
      <c r="N23" s="105"/>
      <c r="O23" s="105"/>
      <c r="P23" s="105">
        <v>32.54</v>
      </c>
      <c r="Q23" s="105"/>
      <c r="R23" s="105"/>
      <c r="S23" s="105"/>
      <c r="T23" s="105"/>
      <c r="U23" s="105"/>
      <c r="V23" s="105">
        <v>32.58</v>
      </c>
      <c r="W23" s="105"/>
      <c r="X23" s="105"/>
      <c r="Y23" s="105"/>
      <c r="Z23" s="105"/>
      <c r="AA23" s="105"/>
      <c r="AB23" s="105">
        <v>31.13</v>
      </c>
      <c r="AC23" s="105"/>
      <c r="AD23" s="105"/>
      <c r="AE23" s="105"/>
      <c r="AF23" s="105"/>
      <c r="AG23" s="105"/>
      <c r="AH23" s="141">
        <v>31.6</v>
      </c>
      <c r="AI23" s="141"/>
      <c r="AJ23" s="141"/>
      <c r="AK23" s="141"/>
      <c r="AL23" s="141"/>
      <c r="AM23" s="141"/>
      <c r="AN23" s="141">
        <v>31.6</v>
      </c>
      <c r="AO23" s="141"/>
      <c r="AP23" s="141"/>
      <c r="AQ23" s="141"/>
      <c r="AR23" s="141"/>
      <c r="AS23" s="142"/>
      <c r="AT23" s="12"/>
    </row>
    <row r="24" spans="1:46" ht="16.5">
      <c r="A24" s="137"/>
      <c r="B24" s="138"/>
      <c r="C24" s="138"/>
      <c r="D24" s="138"/>
      <c r="E24" s="126" t="s">
        <v>293</v>
      </c>
      <c r="F24" s="126"/>
      <c r="G24" s="126"/>
      <c r="H24" s="126" t="s">
        <v>294</v>
      </c>
      <c r="I24" s="126"/>
      <c r="J24" s="105">
        <v>22.18</v>
      </c>
      <c r="K24" s="105"/>
      <c r="L24" s="105"/>
      <c r="M24" s="105"/>
      <c r="N24" s="105"/>
      <c r="O24" s="105"/>
      <c r="P24" s="105">
        <v>22.17</v>
      </c>
      <c r="Q24" s="105"/>
      <c r="R24" s="105"/>
      <c r="S24" s="105"/>
      <c r="T24" s="105"/>
      <c r="U24" s="105"/>
      <c r="V24" s="105">
        <v>22.18</v>
      </c>
      <c r="W24" s="105"/>
      <c r="X24" s="105"/>
      <c r="Y24" s="105"/>
      <c r="Z24" s="105"/>
      <c r="AA24" s="105"/>
      <c r="AB24" s="141">
        <v>22.2</v>
      </c>
      <c r="AC24" s="141"/>
      <c r="AD24" s="141"/>
      <c r="AE24" s="141"/>
      <c r="AF24" s="141"/>
      <c r="AG24" s="141"/>
      <c r="AH24" s="141">
        <v>22.1</v>
      </c>
      <c r="AI24" s="141"/>
      <c r="AJ24" s="141"/>
      <c r="AK24" s="141"/>
      <c r="AL24" s="141"/>
      <c r="AM24" s="141"/>
      <c r="AN24" s="141">
        <v>22.1</v>
      </c>
      <c r="AO24" s="141"/>
      <c r="AP24" s="141"/>
      <c r="AQ24" s="141"/>
      <c r="AR24" s="141"/>
      <c r="AS24" s="142"/>
      <c r="AT24" s="12"/>
    </row>
    <row r="25" spans="1:46">
      <c r="A25" s="137"/>
      <c r="B25" s="138"/>
      <c r="C25" s="138"/>
      <c r="D25" s="138"/>
      <c r="E25" s="102" t="s">
        <v>295</v>
      </c>
      <c r="F25" s="102"/>
      <c r="G25" s="102"/>
      <c r="H25" s="102" t="s">
        <v>296</v>
      </c>
      <c r="I25" s="102"/>
      <c r="J25" s="79">
        <f>IF(COUNT(J22)=0,"",ROUND((J22-J23)/(J23-J24)*100,0))</f>
        <v>93</v>
      </c>
      <c r="K25" s="79"/>
      <c r="L25" s="79"/>
      <c r="M25" s="79"/>
      <c r="N25" s="79"/>
      <c r="O25" s="79"/>
      <c r="P25" s="79">
        <f t="shared" ref="P25" si="5">IF(COUNT(P22)=0,"",ROUND((P22-P23)/(P23-P24)*100,0))</f>
        <v>93</v>
      </c>
      <c r="Q25" s="79"/>
      <c r="R25" s="79"/>
      <c r="S25" s="79"/>
      <c r="T25" s="79"/>
      <c r="U25" s="79"/>
      <c r="V25" s="79">
        <f t="shared" ref="V25" si="6">IF(COUNT(V22)=0,"",ROUND((V22-V23)/(V23-V24)*100,0))</f>
        <v>94</v>
      </c>
      <c r="W25" s="79"/>
      <c r="X25" s="79"/>
      <c r="Y25" s="79"/>
      <c r="Z25" s="79"/>
      <c r="AA25" s="79"/>
      <c r="AB25" s="80">
        <f t="shared" ref="AB25" si="7">IF(COUNT(AB22)=0,"",ROUND((AB22-AB23)/(AB23-AB24)*100,0))</f>
        <v>132</v>
      </c>
      <c r="AC25" s="80"/>
      <c r="AD25" s="80"/>
      <c r="AE25" s="80"/>
      <c r="AF25" s="80"/>
      <c r="AG25" s="80"/>
      <c r="AH25" s="80">
        <f t="shared" ref="AH25" si="8">IF(COUNT(AH22)=0,"",ROUND((AH22-AH23)/(AH23-AH24)*100,0))</f>
        <v>132</v>
      </c>
      <c r="AI25" s="80"/>
      <c r="AJ25" s="80"/>
      <c r="AK25" s="80"/>
      <c r="AL25" s="80"/>
      <c r="AM25" s="80"/>
      <c r="AN25" s="80">
        <f t="shared" ref="AN25" si="9">IF(COUNT(AN22)=0,"",ROUND((AN22-AN23)/(AN23-AN24)*100,0))</f>
        <v>132</v>
      </c>
      <c r="AO25" s="80"/>
      <c r="AP25" s="80"/>
      <c r="AQ25" s="80"/>
      <c r="AR25" s="80"/>
      <c r="AS25" s="81"/>
    </row>
    <row r="26" spans="1:46">
      <c r="A26" s="139"/>
      <c r="B26" s="140"/>
      <c r="C26" s="140"/>
      <c r="D26" s="140"/>
      <c r="E26" s="132" t="s">
        <v>298</v>
      </c>
      <c r="F26" s="132"/>
      <c r="G26" s="132"/>
      <c r="H26" s="132" t="s">
        <v>296</v>
      </c>
      <c r="I26" s="132"/>
      <c r="J26" s="133">
        <f>IF(COUNT(J22)=0,"",ROUND(AVERAGE(J25:AA25),0))</f>
        <v>93</v>
      </c>
      <c r="K26" s="133"/>
      <c r="L26" s="133"/>
      <c r="M26" s="133"/>
      <c r="N26" s="133"/>
      <c r="O26" s="133"/>
      <c r="P26" s="133"/>
      <c r="Q26" s="133"/>
      <c r="R26" s="133"/>
      <c r="S26" s="133"/>
      <c r="T26" s="133"/>
      <c r="U26" s="133"/>
      <c r="V26" s="133"/>
      <c r="W26" s="133"/>
      <c r="X26" s="133"/>
      <c r="Y26" s="133"/>
      <c r="Z26" s="133"/>
      <c r="AA26" s="133"/>
      <c r="AB26" s="133">
        <f>IF(COUNT(AB22)=0,"",ROUND(AVERAGE(AB25:AS25),0))</f>
        <v>132</v>
      </c>
      <c r="AC26" s="133"/>
      <c r="AD26" s="133"/>
      <c r="AE26" s="133"/>
      <c r="AF26" s="133"/>
      <c r="AG26" s="133"/>
      <c r="AH26" s="133"/>
      <c r="AI26" s="133"/>
      <c r="AJ26" s="133"/>
      <c r="AK26" s="133"/>
      <c r="AL26" s="133"/>
      <c r="AM26" s="133"/>
      <c r="AN26" s="133"/>
      <c r="AO26" s="133"/>
      <c r="AP26" s="133"/>
      <c r="AQ26" s="133"/>
      <c r="AR26" s="133"/>
      <c r="AS26" s="134"/>
    </row>
    <row r="27" spans="1:46">
      <c r="A27" s="47" t="s">
        <v>299</v>
      </c>
      <c r="B27" s="39"/>
      <c r="C27" s="39"/>
      <c r="D27" s="39"/>
      <c r="E27" s="39"/>
      <c r="F27" s="39"/>
      <c r="G27" s="39"/>
      <c r="H27" s="39"/>
      <c r="I27" s="39"/>
      <c r="J27" s="129" t="s">
        <v>309</v>
      </c>
      <c r="K27" s="129"/>
      <c r="L27" s="129"/>
      <c r="M27" s="129"/>
      <c r="N27" s="129"/>
      <c r="O27" s="129"/>
      <c r="P27" s="129"/>
      <c r="Q27" s="129"/>
      <c r="R27" s="129"/>
      <c r="S27" s="129"/>
      <c r="T27" s="129"/>
      <c r="U27" s="129"/>
      <c r="V27" s="129"/>
      <c r="W27" s="129"/>
      <c r="X27" s="129"/>
      <c r="Y27" s="129"/>
      <c r="Z27" s="129"/>
      <c r="AA27" s="129"/>
      <c r="AB27" s="39" t="s">
        <v>304</v>
      </c>
      <c r="AC27" s="39"/>
      <c r="AD27" s="39"/>
      <c r="AE27" s="39"/>
      <c r="AF27" s="39"/>
      <c r="AG27" s="39"/>
      <c r="AH27" s="39"/>
      <c r="AI27" s="39"/>
      <c r="AJ27" s="39"/>
      <c r="AK27" s="39"/>
      <c r="AL27" s="39"/>
      <c r="AM27" s="39"/>
      <c r="AN27" s="39"/>
      <c r="AO27" s="39"/>
      <c r="AP27" s="39"/>
      <c r="AQ27" s="39"/>
      <c r="AR27" s="39"/>
      <c r="AS27" s="46"/>
    </row>
    <row r="28" spans="1:46" ht="15.75" thickBot="1">
      <c r="A28" s="127"/>
      <c r="B28" s="128"/>
      <c r="C28" s="128"/>
      <c r="D28" s="128"/>
      <c r="E28" s="128"/>
      <c r="F28" s="128"/>
      <c r="G28" s="128"/>
      <c r="H28" s="128"/>
      <c r="I28" s="128"/>
      <c r="J28" s="130"/>
      <c r="K28" s="130"/>
      <c r="L28" s="130"/>
      <c r="M28" s="130"/>
      <c r="N28" s="130"/>
      <c r="O28" s="130"/>
      <c r="P28" s="130"/>
      <c r="Q28" s="130"/>
      <c r="R28" s="130"/>
      <c r="S28" s="130"/>
      <c r="T28" s="130"/>
      <c r="U28" s="130"/>
      <c r="V28" s="130"/>
      <c r="W28" s="130"/>
      <c r="X28" s="130"/>
      <c r="Y28" s="130"/>
      <c r="Z28" s="130"/>
      <c r="AA28" s="130"/>
      <c r="AB28" s="128"/>
      <c r="AC28" s="128"/>
      <c r="AD28" s="128"/>
      <c r="AE28" s="128"/>
      <c r="AF28" s="128"/>
      <c r="AG28" s="128"/>
      <c r="AH28" s="128"/>
      <c r="AI28" s="128"/>
      <c r="AJ28" s="128"/>
      <c r="AK28" s="128"/>
      <c r="AL28" s="128"/>
      <c r="AM28" s="128"/>
      <c r="AN28" s="128"/>
      <c r="AO28" s="128"/>
      <c r="AP28" s="128"/>
      <c r="AQ28" s="128"/>
      <c r="AR28" s="128"/>
      <c r="AS28" s="131"/>
    </row>
    <row r="29" spans="1:46">
      <c r="A29" s="116" t="s">
        <v>259</v>
      </c>
      <c r="B29" s="117"/>
      <c r="C29" s="117"/>
      <c r="D29" s="117"/>
      <c r="E29" s="117"/>
      <c r="F29" s="117"/>
      <c r="G29" s="117"/>
      <c r="H29" s="117"/>
      <c r="I29" s="117"/>
      <c r="J29" s="123" t="s">
        <v>271</v>
      </c>
      <c r="K29" s="123"/>
      <c r="L29" s="123"/>
      <c r="M29" s="123"/>
      <c r="N29" s="123"/>
      <c r="O29" s="123"/>
      <c r="P29" s="123"/>
      <c r="Q29" s="123"/>
      <c r="R29" s="123"/>
      <c r="S29" s="123"/>
      <c r="T29" s="123"/>
      <c r="U29" s="123"/>
      <c r="V29" s="123"/>
      <c r="W29" s="123"/>
      <c r="X29" s="123"/>
      <c r="Y29" s="123"/>
      <c r="Z29" s="123"/>
      <c r="AA29" s="123"/>
      <c r="AB29" s="123" t="s">
        <v>263</v>
      </c>
      <c r="AC29" s="123"/>
      <c r="AD29" s="123"/>
      <c r="AE29" s="123"/>
      <c r="AF29" s="123"/>
      <c r="AG29" s="123"/>
      <c r="AH29" s="123"/>
      <c r="AI29" s="123"/>
      <c r="AJ29" s="123"/>
      <c r="AK29" s="123"/>
      <c r="AL29" s="123"/>
      <c r="AM29" s="123"/>
      <c r="AN29" s="123"/>
      <c r="AO29" s="123"/>
      <c r="AP29" s="123"/>
      <c r="AQ29" s="123"/>
      <c r="AR29" s="123"/>
      <c r="AS29" s="124"/>
    </row>
    <row r="30" spans="1:46">
      <c r="A30" s="111" t="s">
        <v>264</v>
      </c>
      <c r="B30" s="112"/>
      <c r="C30" s="112"/>
      <c r="D30" s="112"/>
      <c r="E30" s="112"/>
      <c r="F30" s="112"/>
      <c r="G30" s="125"/>
      <c r="H30" s="111"/>
      <c r="I30" s="112"/>
      <c r="J30" s="105" t="s">
        <v>302</v>
      </c>
      <c r="K30" s="105"/>
      <c r="L30" s="105"/>
      <c r="M30" s="105"/>
      <c r="N30" s="105"/>
      <c r="O30" s="105"/>
      <c r="P30" s="105"/>
      <c r="Q30" s="105"/>
      <c r="R30" s="105"/>
      <c r="S30" s="105" t="s">
        <v>303</v>
      </c>
      <c r="T30" s="105"/>
      <c r="U30" s="105"/>
      <c r="V30" s="105"/>
      <c r="W30" s="105"/>
      <c r="X30" s="105"/>
      <c r="Y30" s="105"/>
      <c r="Z30" s="105"/>
      <c r="AA30" s="105"/>
      <c r="AB30" s="105" t="s">
        <v>305</v>
      </c>
      <c r="AC30" s="105"/>
      <c r="AD30" s="105"/>
      <c r="AE30" s="105"/>
      <c r="AF30" s="105"/>
      <c r="AG30" s="105"/>
      <c r="AH30" s="105"/>
      <c r="AI30" s="105"/>
      <c r="AJ30" s="105"/>
      <c r="AK30" s="105" t="s">
        <v>306</v>
      </c>
      <c r="AL30" s="105"/>
      <c r="AM30" s="105"/>
      <c r="AN30" s="105"/>
      <c r="AO30" s="105"/>
      <c r="AP30" s="105"/>
      <c r="AQ30" s="105"/>
      <c r="AR30" s="105"/>
      <c r="AS30" s="106"/>
    </row>
    <row r="31" spans="1:46">
      <c r="A31" s="120" t="s">
        <v>276</v>
      </c>
      <c r="B31" s="121"/>
      <c r="C31" s="121"/>
      <c r="D31" s="121"/>
      <c r="E31" s="121"/>
      <c r="F31" s="121"/>
      <c r="G31" s="121"/>
      <c r="H31" s="121" t="s">
        <v>282</v>
      </c>
      <c r="I31" s="121"/>
      <c r="J31" s="77">
        <v>120.1</v>
      </c>
      <c r="K31" s="77"/>
      <c r="L31" s="77"/>
      <c r="M31" s="77"/>
      <c r="N31" s="77"/>
      <c r="O31" s="77"/>
      <c r="P31" s="77"/>
      <c r="Q31" s="77"/>
      <c r="R31" s="77"/>
      <c r="S31" s="76">
        <v>120</v>
      </c>
      <c r="T31" s="76"/>
      <c r="U31" s="76"/>
      <c r="V31" s="76"/>
      <c r="W31" s="76"/>
      <c r="X31" s="76"/>
      <c r="Y31" s="76"/>
      <c r="Z31" s="76"/>
      <c r="AA31" s="76"/>
      <c r="AB31" s="77">
        <v>39.200000000000003</v>
      </c>
      <c r="AC31" s="77"/>
      <c r="AD31" s="77"/>
      <c r="AE31" s="77"/>
      <c r="AF31" s="77"/>
      <c r="AG31" s="77"/>
      <c r="AH31" s="77"/>
      <c r="AI31" s="77"/>
      <c r="AJ31" s="77"/>
      <c r="AK31" s="77">
        <v>39.1</v>
      </c>
      <c r="AL31" s="77"/>
      <c r="AM31" s="77"/>
      <c r="AN31" s="77"/>
      <c r="AO31" s="77"/>
      <c r="AP31" s="77"/>
      <c r="AQ31" s="77"/>
      <c r="AR31" s="77"/>
      <c r="AS31" s="78"/>
    </row>
    <row r="32" spans="1:46" ht="16.5">
      <c r="A32" s="103" t="s">
        <v>277</v>
      </c>
      <c r="B32" s="102"/>
      <c r="C32" s="102"/>
      <c r="D32" s="102"/>
      <c r="E32" s="102"/>
      <c r="F32" s="102"/>
      <c r="G32" s="102"/>
      <c r="H32" s="102" t="s">
        <v>300</v>
      </c>
      <c r="I32" s="102"/>
      <c r="J32" s="79">
        <f>IF(COUNT(J31)=0,"",ROUND((J31/(1+$J$45/100)),1))</f>
        <v>30</v>
      </c>
      <c r="K32" s="79"/>
      <c r="L32" s="79"/>
      <c r="M32" s="79"/>
      <c r="N32" s="79"/>
      <c r="O32" s="79"/>
      <c r="P32" s="79"/>
      <c r="Q32" s="79"/>
      <c r="R32" s="79"/>
      <c r="S32" s="79">
        <f>IF(COUNT(S31)=0,"",ROUND((S31/(1+$J$45/100)),1))</f>
        <v>30</v>
      </c>
      <c r="T32" s="79"/>
      <c r="U32" s="79"/>
      <c r="V32" s="79"/>
      <c r="W32" s="79"/>
      <c r="X32" s="79"/>
      <c r="Y32" s="79"/>
      <c r="Z32" s="79"/>
      <c r="AA32" s="79"/>
      <c r="AB32" s="79">
        <f>IF(COUNT(AB31)=0,"",ROUND((AB31/(1+$AB$45/100)),1))</f>
        <v>30</v>
      </c>
      <c r="AC32" s="79"/>
      <c r="AD32" s="79"/>
      <c r="AE32" s="79"/>
      <c r="AF32" s="79"/>
      <c r="AG32" s="79"/>
      <c r="AH32" s="79"/>
      <c r="AI32" s="79"/>
      <c r="AJ32" s="79"/>
      <c r="AK32" s="79">
        <f>IF(COUNT(AK31)=0,"",ROUND((AK31/(1+$AB$45/100)),1))</f>
        <v>30</v>
      </c>
      <c r="AL32" s="79"/>
      <c r="AM32" s="79"/>
      <c r="AN32" s="79"/>
      <c r="AO32" s="79"/>
      <c r="AP32" s="79"/>
      <c r="AQ32" s="79"/>
      <c r="AR32" s="79"/>
      <c r="AS32" s="144"/>
    </row>
    <row r="33" spans="1:46" ht="16.5">
      <c r="A33" s="145" t="s">
        <v>278</v>
      </c>
      <c r="B33" s="126"/>
      <c r="C33" s="126"/>
      <c r="D33" s="126"/>
      <c r="E33" s="126"/>
      <c r="F33" s="126"/>
      <c r="G33" s="126"/>
      <c r="H33" s="126" t="s">
        <v>283</v>
      </c>
      <c r="I33" s="126"/>
      <c r="J33" s="146">
        <f>IF(COUNT(J31)=0,"",J32*5-(J31-J32))</f>
        <v>59.900000000000006</v>
      </c>
      <c r="K33" s="146"/>
      <c r="L33" s="146"/>
      <c r="M33" s="146"/>
      <c r="N33" s="146"/>
      <c r="O33" s="146"/>
      <c r="P33" s="146"/>
      <c r="Q33" s="146"/>
      <c r="R33" s="146"/>
      <c r="S33" s="146">
        <f>IF(COUNT(S31)=0,"",S32*5-(S31-S32))</f>
        <v>60</v>
      </c>
      <c r="T33" s="146"/>
      <c r="U33" s="146"/>
      <c r="V33" s="146"/>
      <c r="W33" s="146"/>
      <c r="X33" s="146"/>
      <c r="Y33" s="146"/>
      <c r="Z33" s="146"/>
      <c r="AA33" s="146"/>
      <c r="AB33" s="146">
        <f t="shared" ref="AB33" si="10">IF(COUNT(AB31)=0,"",AB32*5-(AB31-AB32))</f>
        <v>140.80000000000001</v>
      </c>
      <c r="AC33" s="146"/>
      <c r="AD33" s="146"/>
      <c r="AE33" s="146"/>
      <c r="AF33" s="146"/>
      <c r="AG33" s="146"/>
      <c r="AH33" s="146"/>
      <c r="AI33" s="146"/>
      <c r="AJ33" s="146"/>
      <c r="AK33" s="146">
        <f t="shared" ref="AK33" si="11">IF(COUNT(AK31)=0,"",AK32*5-(AK31-AK32))</f>
        <v>140.9</v>
      </c>
      <c r="AL33" s="146"/>
      <c r="AM33" s="146"/>
      <c r="AN33" s="146"/>
      <c r="AO33" s="146"/>
      <c r="AP33" s="146"/>
      <c r="AQ33" s="146"/>
      <c r="AR33" s="146"/>
      <c r="AS33" s="147"/>
      <c r="AT33" s="12"/>
    </row>
    <row r="34" spans="1:46" ht="16.5">
      <c r="A34" s="103" t="s">
        <v>279</v>
      </c>
      <c r="B34" s="102"/>
      <c r="C34" s="102"/>
      <c r="D34" s="102"/>
      <c r="E34" s="102"/>
      <c r="F34" s="102"/>
      <c r="G34" s="102"/>
      <c r="H34" s="102" t="s">
        <v>301</v>
      </c>
      <c r="I34" s="102"/>
      <c r="J34" s="71">
        <f>IF(COUNT(J31)=0,"",ROUND(((J31-J32+J33)/J32),2))</f>
        <v>5</v>
      </c>
      <c r="K34" s="71"/>
      <c r="L34" s="71"/>
      <c r="M34" s="71"/>
      <c r="N34" s="71"/>
      <c r="O34" s="71"/>
      <c r="P34" s="71"/>
      <c r="Q34" s="71"/>
      <c r="R34" s="71"/>
      <c r="S34" s="71">
        <f>IF(COUNT(S31)=0,"",ROUND(((S31-S32+S33)/S32),2))</f>
        <v>5</v>
      </c>
      <c r="T34" s="71"/>
      <c r="U34" s="71"/>
      <c r="V34" s="71"/>
      <c r="W34" s="71"/>
      <c r="X34" s="71"/>
      <c r="Y34" s="71"/>
      <c r="Z34" s="71"/>
      <c r="AA34" s="71"/>
      <c r="AB34" s="71">
        <f>IF(COUNT(AB31)=0,"",ROUND(((AB31-AB32+AB33)/AB32),2))</f>
        <v>5</v>
      </c>
      <c r="AC34" s="71"/>
      <c r="AD34" s="71"/>
      <c r="AE34" s="71"/>
      <c r="AF34" s="71"/>
      <c r="AG34" s="71"/>
      <c r="AH34" s="71"/>
      <c r="AI34" s="71"/>
      <c r="AJ34" s="71"/>
      <c r="AK34" s="71">
        <f>IF(COUNT(AK31)=0,"",ROUND(((AK31-AK32+AK33)/AK32),2))</f>
        <v>5</v>
      </c>
      <c r="AL34" s="71"/>
      <c r="AM34" s="71"/>
      <c r="AN34" s="71"/>
      <c r="AO34" s="71"/>
      <c r="AP34" s="71"/>
      <c r="AQ34" s="71"/>
      <c r="AR34" s="71"/>
      <c r="AS34" s="72"/>
    </row>
    <row r="35" spans="1:46">
      <c r="A35" s="101" t="s">
        <v>280</v>
      </c>
      <c r="B35" s="100"/>
      <c r="C35" s="100"/>
      <c r="D35" s="100"/>
      <c r="E35" s="100"/>
      <c r="F35" s="100"/>
      <c r="G35" s="100"/>
      <c r="H35" s="99" t="s">
        <v>281</v>
      </c>
      <c r="I35" s="100"/>
      <c r="J35" s="74">
        <v>25.1</v>
      </c>
      <c r="K35" s="74"/>
      <c r="L35" s="74"/>
      <c r="M35" s="74"/>
      <c r="N35" s="74"/>
      <c r="O35" s="74"/>
      <c r="P35" s="74"/>
      <c r="Q35" s="74"/>
      <c r="R35" s="74"/>
      <c r="S35" s="74">
        <v>25.1</v>
      </c>
      <c r="T35" s="74"/>
      <c r="U35" s="74"/>
      <c r="V35" s="74"/>
      <c r="W35" s="74"/>
      <c r="X35" s="74"/>
      <c r="Y35" s="74"/>
      <c r="Z35" s="74"/>
      <c r="AA35" s="74"/>
      <c r="AB35" s="74">
        <v>25.3</v>
      </c>
      <c r="AC35" s="74"/>
      <c r="AD35" s="74"/>
      <c r="AE35" s="74"/>
      <c r="AF35" s="74"/>
      <c r="AG35" s="74"/>
      <c r="AH35" s="74"/>
      <c r="AI35" s="74"/>
      <c r="AJ35" s="74"/>
      <c r="AK35" s="74">
        <v>25.2</v>
      </c>
      <c r="AL35" s="74"/>
      <c r="AM35" s="74"/>
      <c r="AN35" s="74"/>
      <c r="AO35" s="74"/>
      <c r="AP35" s="74"/>
      <c r="AQ35" s="74"/>
      <c r="AR35" s="74"/>
      <c r="AS35" s="75"/>
    </row>
    <row r="36" spans="1:46">
      <c r="A36" s="67" t="s">
        <v>172</v>
      </c>
      <c r="B36" s="68"/>
      <c r="C36" s="68"/>
      <c r="D36" s="68"/>
      <c r="E36" s="69" t="s">
        <v>286</v>
      </c>
      <c r="F36" s="69"/>
      <c r="G36" s="69"/>
      <c r="H36" s="69"/>
      <c r="I36" s="69"/>
      <c r="J36" s="63">
        <v>5.62</v>
      </c>
      <c r="K36" s="63"/>
      <c r="L36" s="63"/>
      <c r="M36" s="63"/>
      <c r="N36" s="63"/>
      <c r="O36" s="63"/>
      <c r="P36" s="63"/>
      <c r="Q36" s="63"/>
      <c r="R36" s="63"/>
      <c r="S36" s="63">
        <v>5.59</v>
      </c>
      <c r="T36" s="63"/>
      <c r="U36" s="63"/>
      <c r="V36" s="63"/>
      <c r="W36" s="63"/>
      <c r="X36" s="63"/>
      <c r="Y36" s="63"/>
      <c r="Z36" s="63"/>
      <c r="AA36" s="63"/>
      <c r="AB36" s="63">
        <v>9.2799999999999994</v>
      </c>
      <c r="AC36" s="63"/>
      <c r="AD36" s="63"/>
      <c r="AE36" s="63"/>
      <c r="AF36" s="63"/>
      <c r="AG36" s="63"/>
      <c r="AH36" s="63"/>
      <c r="AI36" s="63"/>
      <c r="AJ36" s="63"/>
      <c r="AK36" s="70">
        <v>9.3000000000000007</v>
      </c>
      <c r="AL36" s="70"/>
      <c r="AM36" s="70"/>
      <c r="AN36" s="70"/>
      <c r="AO36" s="70"/>
      <c r="AP36" s="70"/>
      <c r="AQ36" s="70"/>
      <c r="AR36" s="70"/>
      <c r="AS36" s="148"/>
    </row>
    <row r="37" spans="1:46">
      <c r="A37" s="67"/>
      <c r="B37" s="68"/>
      <c r="C37" s="68"/>
      <c r="D37" s="68"/>
      <c r="E37" s="149" t="s">
        <v>285</v>
      </c>
      <c r="F37" s="149"/>
      <c r="G37" s="149"/>
      <c r="H37" s="149"/>
      <c r="I37" s="149"/>
      <c r="J37" s="150">
        <f>IF(COUNT(J36)=0,"",ROUND(AVERAGE(J36:AA36),1))</f>
        <v>5.6</v>
      </c>
      <c r="K37" s="150"/>
      <c r="L37" s="150"/>
      <c r="M37" s="150"/>
      <c r="N37" s="150"/>
      <c r="O37" s="150"/>
      <c r="P37" s="150"/>
      <c r="Q37" s="150"/>
      <c r="R37" s="150"/>
      <c r="S37" s="150"/>
      <c r="T37" s="150"/>
      <c r="U37" s="150"/>
      <c r="V37" s="150"/>
      <c r="W37" s="150"/>
      <c r="X37" s="150"/>
      <c r="Y37" s="150"/>
      <c r="Z37" s="150"/>
      <c r="AA37" s="150"/>
      <c r="AB37" s="150">
        <f>IF(COUNT(AB36)=0,"",ROUND(AVERAGE(AB36:AS36),1))</f>
        <v>9.3000000000000007</v>
      </c>
      <c r="AC37" s="150"/>
      <c r="AD37" s="150"/>
      <c r="AE37" s="150"/>
      <c r="AF37" s="150"/>
      <c r="AG37" s="150"/>
      <c r="AH37" s="150"/>
      <c r="AI37" s="150"/>
      <c r="AJ37" s="150"/>
      <c r="AK37" s="150"/>
      <c r="AL37" s="150"/>
      <c r="AM37" s="150"/>
      <c r="AN37" s="150"/>
      <c r="AO37" s="150"/>
      <c r="AP37" s="150"/>
      <c r="AQ37" s="150"/>
      <c r="AR37" s="150"/>
      <c r="AS37" s="151"/>
    </row>
    <row r="38" spans="1:46">
      <c r="A38" s="67" t="s">
        <v>287</v>
      </c>
      <c r="B38" s="68"/>
      <c r="C38" s="68"/>
      <c r="D38" s="68"/>
      <c r="E38" s="69" t="s">
        <v>288</v>
      </c>
      <c r="F38" s="69"/>
      <c r="G38" s="69"/>
      <c r="H38" s="69"/>
      <c r="I38" s="69"/>
      <c r="J38" s="70">
        <v>7.15</v>
      </c>
      <c r="K38" s="70"/>
      <c r="L38" s="70"/>
      <c r="M38" s="70"/>
      <c r="N38" s="70"/>
      <c r="O38" s="70"/>
      <c r="P38" s="70"/>
      <c r="Q38" s="70"/>
      <c r="R38" s="70"/>
      <c r="S38" s="70">
        <v>7.02</v>
      </c>
      <c r="T38" s="70"/>
      <c r="U38" s="70"/>
      <c r="V38" s="70"/>
      <c r="W38" s="70"/>
      <c r="X38" s="70"/>
      <c r="Y38" s="70"/>
      <c r="Z38" s="70"/>
      <c r="AA38" s="70"/>
      <c r="AB38" s="65">
        <v>43</v>
      </c>
      <c r="AC38" s="65"/>
      <c r="AD38" s="65"/>
      <c r="AE38" s="65"/>
      <c r="AF38" s="65"/>
      <c r="AG38" s="65"/>
      <c r="AH38" s="65"/>
      <c r="AI38" s="65"/>
      <c r="AJ38" s="65"/>
      <c r="AK38" s="65">
        <v>42.8</v>
      </c>
      <c r="AL38" s="65"/>
      <c r="AM38" s="65"/>
      <c r="AN38" s="65"/>
      <c r="AO38" s="65"/>
      <c r="AP38" s="65"/>
      <c r="AQ38" s="65"/>
      <c r="AR38" s="65"/>
      <c r="AS38" s="66"/>
    </row>
    <row r="39" spans="1:46">
      <c r="A39" s="67"/>
      <c r="B39" s="68"/>
      <c r="C39" s="68"/>
      <c r="D39" s="68"/>
      <c r="E39" s="149" t="s">
        <v>289</v>
      </c>
      <c r="F39" s="149"/>
      <c r="G39" s="149"/>
      <c r="H39" s="149"/>
      <c r="I39" s="149"/>
      <c r="J39" s="150">
        <f>IF(COUNT(J38)=0,"",ROUND(AVERAGE(J38:AA38),1))</f>
        <v>7.1</v>
      </c>
      <c r="K39" s="150"/>
      <c r="L39" s="150"/>
      <c r="M39" s="150"/>
      <c r="N39" s="150"/>
      <c r="O39" s="150"/>
      <c r="P39" s="150"/>
      <c r="Q39" s="150"/>
      <c r="R39" s="150"/>
      <c r="S39" s="150"/>
      <c r="T39" s="150"/>
      <c r="U39" s="150"/>
      <c r="V39" s="150"/>
      <c r="W39" s="150"/>
      <c r="X39" s="150"/>
      <c r="Y39" s="150"/>
      <c r="Z39" s="150"/>
      <c r="AA39" s="150"/>
      <c r="AB39" s="152">
        <f>IF(COUNT(AB38)=0,"",ROUND(AVERAGE(AB38:AS38),1))</f>
        <v>42.9</v>
      </c>
      <c r="AC39" s="152"/>
      <c r="AD39" s="152"/>
      <c r="AE39" s="152"/>
      <c r="AF39" s="152"/>
      <c r="AG39" s="152"/>
      <c r="AH39" s="152"/>
      <c r="AI39" s="152"/>
      <c r="AJ39" s="152"/>
      <c r="AK39" s="152"/>
      <c r="AL39" s="152"/>
      <c r="AM39" s="152"/>
      <c r="AN39" s="152"/>
      <c r="AO39" s="152"/>
      <c r="AP39" s="152"/>
      <c r="AQ39" s="152"/>
      <c r="AR39" s="152"/>
      <c r="AS39" s="153"/>
    </row>
    <row r="40" spans="1:46">
      <c r="A40" s="135" t="s">
        <v>297</v>
      </c>
      <c r="B40" s="136"/>
      <c r="C40" s="136"/>
      <c r="D40" s="136"/>
      <c r="E40" s="86" t="s">
        <v>290</v>
      </c>
      <c r="F40" s="86"/>
      <c r="G40" s="86"/>
      <c r="H40" s="86"/>
      <c r="I40" s="86"/>
      <c r="J40" s="110">
        <v>717</v>
      </c>
      <c r="K40" s="110"/>
      <c r="L40" s="110"/>
      <c r="M40" s="110"/>
      <c r="N40" s="110"/>
      <c r="O40" s="110"/>
      <c r="P40" s="110">
        <v>365</v>
      </c>
      <c r="Q40" s="110"/>
      <c r="R40" s="110"/>
      <c r="S40" s="110"/>
      <c r="T40" s="110"/>
      <c r="U40" s="110"/>
      <c r="V40" s="110">
        <v>1890</v>
      </c>
      <c r="W40" s="110"/>
      <c r="X40" s="110"/>
      <c r="Y40" s="110"/>
      <c r="Z40" s="110"/>
      <c r="AA40" s="110"/>
      <c r="AB40" s="110">
        <v>556</v>
      </c>
      <c r="AC40" s="110"/>
      <c r="AD40" s="110"/>
      <c r="AE40" s="110"/>
      <c r="AF40" s="110"/>
      <c r="AG40" s="110"/>
      <c r="AH40" s="110">
        <v>1914</v>
      </c>
      <c r="AI40" s="110"/>
      <c r="AJ40" s="110"/>
      <c r="AK40" s="110"/>
      <c r="AL40" s="110"/>
      <c r="AM40" s="110"/>
      <c r="AN40" s="110">
        <v>1256</v>
      </c>
      <c r="AO40" s="110"/>
      <c r="AP40" s="110"/>
      <c r="AQ40" s="110"/>
      <c r="AR40" s="110"/>
      <c r="AS40" s="143"/>
    </row>
    <row r="41" spans="1:46" ht="16.5">
      <c r="A41" s="137"/>
      <c r="B41" s="138"/>
      <c r="C41" s="138"/>
      <c r="D41" s="138"/>
      <c r="E41" s="126" t="s">
        <v>291</v>
      </c>
      <c r="F41" s="126"/>
      <c r="G41" s="126"/>
      <c r="H41" s="126" t="s">
        <v>294</v>
      </c>
      <c r="I41" s="126"/>
      <c r="J41" s="141">
        <v>40.06</v>
      </c>
      <c r="K41" s="141"/>
      <c r="L41" s="141"/>
      <c r="M41" s="141"/>
      <c r="N41" s="141"/>
      <c r="O41" s="141"/>
      <c r="P41" s="141">
        <v>38.81</v>
      </c>
      <c r="Q41" s="141"/>
      <c r="R41" s="141"/>
      <c r="S41" s="141"/>
      <c r="T41" s="141"/>
      <c r="U41" s="141"/>
      <c r="V41" s="141">
        <v>37.909999999999997</v>
      </c>
      <c r="W41" s="141"/>
      <c r="X41" s="141"/>
      <c r="Y41" s="141"/>
      <c r="Z41" s="141"/>
      <c r="AA41" s="141"/>
      <c r="AB41" s="141">
        <v>42.1</v>
      </c>
      <c r="AC41" s="141"/>
      <c r="AD41" s="141"/>
      <c r="AE41" s="141"/>
      <c r="AF41" s="141"/>
      <c r="AG41" s="141"/>
      <c r="AH41" s="105">
        <v>43.84</v>
      </c>
      <c r="AI41" s="105"/>
      <c r="AJ41" s="105"/>
      <c r="AK41" s="105"/>
      <c r="AL41" s="105"/>
      <c r="AM41" s="105"/>
      <c r="AN41" s="105">
        <v>44.84</v>
      </c>
      <c r="AO41" s="105"/>
      <c r="AP41" s="105"/>
      <c r="AQ41" s="105"/>
      <c r="AR41" s="105"/>
      <c r="AS41" s="106"/>
    </row>
    <row r="42" spans="1:46" ht="16.5">
      <c r="A42" s="137"/>
      <c r="B42" s="138"/>
      <c r="C42" s="138"/>
      <c r="D42" s="138"/>
      <c r="E42" s="126" t="s">
        <v>292</v>
      </c>
      <c r="F42" s="126"/>
      <c r="G42" s="126"/>
      <c r="H42" s="126" t="s">
        <v>294</v>
      </c>
      <c r="I42" s="126"/>
      <c r="J42" s="141">
        <v>26.74</v>
      </c>
      <c r="K42" s="141"/>
      <c r="L42" s="141"/>
      <c r="M42" s="141"/>
      <c r="N42" s="141"/>
      <c r="O42" s="141"/>
      <c r="P42" s="141">
        <v>26.29</v>
      </c>
      <c r="Q42" s="141"/>
      <c r="R42" s="141"/>
      <c r="S42" s="141"/>
      <c r="T42" s="141"/>
      <c r="U42" s="141"/>
      <c r="V42" s="141">
        <v>26.1</v>
      </c>
      <c r="W42" s="141"/>
      <c r="X42" s="141"/>
      <c r="Y42" s="141"/>
      <c r="Z42" s="141"/>
      <c r="AA42" s="141"/>
      <c r="AB42" s="105">
        <v>37.43</v>
      </c>
      <c r="AC42" s="105"/>
      <c r="AD42" s="105"/>
      <c r="AE42" s="105"/>
      <c r="AF42" s="105"/>
      <c r="AG42" s="105"/>
      <c r="AH42" s="105">
        <v>38.78</v>
      </c>
      <c r="AI42" s="105"/>
      <c r="AJ42" s="105"/>
      <c r="AK42" s="105"/>
      <c r="AL42" s="105"/>
      <c r="AM42" s="105"/>
      <c r="AN42" s="105">
        <v>39.549999999999997</v>
      </c>
      <c r="AO42" s="105"/>
      <c r="AP42" s="105"/>
      <c r="AQ42" s="105"/>
      <c r="AR42" s="105"/>
      <c r="AS42" s="106"/>
    </row>
    <row r="43" spans="1:46" ht="16.5">
      <c r="A43" s="137"/>
      <c r="B43" s="138"/>
      <c r="C43" s="138"/>
      <c r="D43" s="138"/>
      <c r="E43" s="126" t="s">
        <v>293</v>
      </c>
      <c r="F43" s="126"/>
      <c r="G43" s="126"/>
      <c r="H43" s="126" t="s">
        <v>294</v>
      </c>
      <c r="I43" s="126"/>
      <c r="J43" s="141">
        <v>22.18</v>
      </c>
      <c r="K43" s="141"/>
      <c r="L43" s="141"/>
      <c r="M43" s="141"/>
      <c r="N43" s="141"/>
      <c r="O43" s="141"/>
      <c r="P43" s="141">
        <v>22.2</v>
      </c>
      <c r="Q43" s="141"/>
      <c r="R43" s="141"/>
      <c r="S43" s="141"/>
      <c r="T43" s="141"/>
      <c r="U43" s="141"/>
      <c r="V43" s="141">
        <v>22.19</v>
      </c>
      <c r="W43" s="141"/>
      <c r="X43" s="141"/>
      <c r="Y43" s="141"/>
      <c r="Z43" s="141"/>
      <c r="AA43" s="141"/>
      <c r="AB43" s="141">
        <v>22.17</v>
      </c>
      <c r="AC43" s="141"/>
      <c r="AD43" s="141"/>
      <c r="AE43" s="141"/>
      <c r="AF43" s="141"/>
      <c r="AG43" s="141"/>
      <c r="AH43" s="141">
        <v>22.19</v>
      </c>
      <c r="AI43" s="141"/>
      <c r="AJ43" s="141"/>
      <c r="AK43" s="141"/>
      <c r="AL43" s="141"/>
      <c r="AM43" s="141"/>
      <c r="AN43" s="141">
        <v>22.2</v>
      </c>
      <c r="AO43" s="141"/>
      <c r="AP43" s="141"/>
      <c r="AQ43" s="141"/>
      <c r="AR43" s="141"/>
      <c r="AS43" s="142"/>
    </row>
    <row r="44" spans="1:46">
      <c r="A44" s="137"/>
      <c r="B44" s="138"/>
      <c r="C44" s="138"/>
      <c r="D44" s="138"/>
      <c r="E44" s="102" t="s">
        <v>295</v>
      </c>
      <c r="F44" s="102"/>
      <c r="G44" s="102"/>
      <c r="H44" s="102" t="s">
        <v>296</v>
      </c>
      <c r="I44" s="102"/>
      <c r="J44" s="157">
        <f>IF(COUNT(J41)=0,"",ROUND((J41-J42)/(J42-J43)*100,1))</f>
        <v>292.10000000000002</v>
      </c>
      <c r="K44" s="157"/>
      <c r="L44" s="157"/>
      <c r="M44" s="157"/>
      <c r="N44" s="157"/>
      <c r="O44" s="157"/>
      <c r="P44" s="157">
        <f>IF(COUNT(P41)=0,"",ROUND((P41-P42)/(P42-P43)*100,1))</f>
        <v>306.10000000000002</v>
      </c>
      <c r="Q44" s="157"/>
      <c r="R44" s="157"/>
      <c r="S44" s="157"/>
      <c r="T44" s="157"/>
      <c r="U44" s="157"/>
      <c r="V44" s="157">
        <f>IF(COUNT(V41)=0,"",ROUND((V41-V42)/(V42-V43)*100,1))</f>
        <v>302</v>
      </c>
      <c r="W44" s="157"/>
      <c r="X44" s="157"/>
      <c r="Y44" s="157"/>
      <c r="Z44" s="157"/>
      <c r="AA44" s="157"/>
      <c r="AB44" s="80">
        <f>IF(COUNT(AB41)=0,"",ROUND((AB41-AB42)/(AB42-AB43)*100,1))</f>
        <v>30.6</v>
      </c>
      <c r="AC44" s="80"/>
      <c r="AD44" s="80"/>
      <c r="AE44" s="80"/>
      <c r="AF44" s="80"/>
      <c r="AG44" s="80"/>
      <c r="AH44" s="80">
        <f>IF(COUNT(AH41)=0,"",ROUND((AH41-AH42)/(AH42-AH43)*100,1))</f>
        <v>30.5</v>
      </c>
      <c r="AI44" s="80"/>
      <c r="AJ44" s="80"/>
      <c r="AK44" s="80"/>
      <c r="AL44" s="80"/>
      <c r="AM44" s="80"/>
      <c r="AN44" s="80">
        <f>IF(COUNT(AN41)=0,"",ROUND((AN41-AN42)/(AN42-AN43)*100,1))</f>
        <v>30.5</v>
      </c>
      <c r="AO44" s="80"/>
      <c r="AP44" s="80"/>
      <c r="AQ44" s="80"/>
      <c r="AR44" s="80"/>
      <c r="AS44" s="81"/>
    </row>
    <row r="45" spans="1:46">
      <c r="A45" s="139"/>
      <c r="B45" s="140"/>
      <c r="C45" s="140"/>
      <c r="D45" s="140"/>
      <c r="E45" s="132" t="s">
        <v>298</v>
      </c>
      <c r="F45" s="132"/>
      <c r="G45" s="132"/>
      <c r="H45" s="132" t="s">
        <v>296</v>
      </c>
      <c r="I45" s="132"/>
      <c r="J45" s="156">
        <f>IF(COUNT(J41)=0,"",ROUND(AVERAGE(J44:AA44),1))</f>
        <v>300.10000000000002</v>
      </c>
      <c r="K45" s="156"/>
      <c r="L45" s="156"/>
      <c r="M45" s="156"/>
      <c r="N45" s="156"/>
      <c r="O45" s="156"/>
      <c r="P45" s="156"/>
      <c r="Q45" s="156"/>
      <c r="R45" s="156"/>
      <c r="S45" s="156"/>
      <c r="T45" s="156"/>
      <c r="U45" s="156"/>
      <c r="V45" s="156"/>
      <c r="W45" s="156"/>
      <c r="X45" s="156"/>
      <c r="Y45" s="156"/>
      <c r="Z45" s="156"/>
      <c r="AA45" s="156"/>
      <c r="AB45" s="133">
        <f>IF(COUNT(AB41)=0,"",ROUND(AVERAGE(AB44:AS44),1))</f>
        <v>30.5</v>
      </c>
      <c r="AC45" s="133"/>
      <c r="AD45" s="133"/>
      <c r="AE45" s="133"/>
      <c r="AF45" s="133"/>
      <c r="AG45" s="133"/>
      <c r="AH45" s="133"/>
      <c r="AI45" s="133"/>
      <c r="AJ45" s="133"/>
      <c r="AK45" s="133"/>
      <c r="AL45" s="133"/>
      <c r="AM45" s="133"/>
      <c r="AN45" s="133"/>
      <c r="AO45" s="133"/>
      <c r="AP45" s="133"/>
      <c r="AQ45" s="133"/>
      <c r="AR45" s="133"/>
      <c r="AS45" s="134"/>
    </row>
    <row r="46" spans="1:46">
      <c r="A46" s="47" t="s">
        <v>299</v>
      </c>
      <c r="B46" s="39"/>
      <c r="C46" s="39"/>
      <c r="D46" s="39"/>
      <c r="E46" s="39"/>
      <c r="F46" s="39"/>
      <c r="G46" s="39"/>
      <c r="H46" s="39"/>
      <c r="I46" s="39"/>
      <c r="J46" s="129" t="s">
        <v>307</v>
      </c>
      <c r="K46" s="129"/>
      <c r="L46" s="129"/>
      <c r="M46" s="129"/>
      <c r="N46" s="129"/>
      <c r="O46" s="129"/>
      <c r="P46" s="129"/>
      <c r="Q46" s="129"/>
      <c r="R46" s="129"/>
      <c r="S46" s="129"/>
      <c r="T46" s="129"/>
      <c r="U46" s="129"/>
      <c r="V46" s="129"/>
      <c r="W46" s="129"/>
      <c r="X46" s="129"/>
      <c r="Y46" s="129"/>
      <c r="Z46" s="129"/>
      <c r="AA46" s="129"/>
      <c r="AB46" s="129" t="s">
        <v>308</v>
      </c>
      <c r="AC46" s="129"/>
      <c r="AD46" s="129"/>
      <c r="AE46" s="129"/>
      <c r="AF46" s="129"/>
      <c r="AG46" s="129"/>
      <c r="AH46" s="129"/>
      <c r="AI46" s="129"/>
      <c r="AJ46" s="129"/>
      <c r="AK46" s="129"/>
      <c r="AL46" s="129"/>
      <c r="AM46" s="129"/>
      <c r="AN46" s="129"/>
      <c r="AO46" s="129"/>
      <c r="AP46" s="129"/>
      <c r="AQ46" s="129"/>
      <c r="AR46" s="129"/>
      <c r="AS46" s="154"/>
    </row>
    <row r="47" spans="1:46" ht="15.75" thickBot="1">
      <c r="A47" s="127"/>
      <c r="B47" s="128"/>
      <c r="C47" s="128"/>
      <c r="D47" s="128"/>
      <c r="E47" s="128"/>
      <c r="F47" s="128"/>
      <c r="G47" s="128"/>
      <c r="H47" s="128"/>
      <c r="I47" s="128"/>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0"/>
      <c r="AR47" s="130"/>
      <c r="AS47" s="155"/>
    </row>
    <row r="51" spans="1:45">
      <c r="N51" s="21"/>
    </row>
    <row r="52" spans="1:4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row>
  </sheetData>
  <mergeCells count="241">
    <mergeCell ref="A46:I47"/>
    <mergeCell ref="J46:AA47"/>
    <mergeCell ref="AB46:AS47"/>
    <mergeCell ref="AB44:AG44"/>
    <mergeCell ref="AH44:AM44"/>
    <mergeCell ref="AN44:AS44"/>
    <mergeCell ref="E45:G45"/>
    <mergeCell ref="H45:I45"/>
    <mergeCell ref="J45:AA45"/>
    <mergeCell ref="AB45:AS45"/>
    <mergeCell ref="A40:D45"/>
    <mergeCell ref="E44:G44"/>
    <mergeCell ref="H44:I44"/>
    <mergeCell ref="J44:O44"/>
    <mergeCell ref="P44:U44"/>
    <mergeCell ref="V44:AA44"/>
    <mergeCell ref="AB42:AG42"/>
    <mergeCell ref="AH42:AM42"/>
    <mergeCell ref="AN42:AS42"/>
    <mergeCell ref="E43:G43"/>
    <mergeCell ref="H43:I43"/>
    <mergeCell ref="J43:O43"/>
    <mergeCell ref="P43:U43"/>
    <mergeCell ref="V43:AA43"/>
    <mergeCell ref="AB43:AG43"/>
    <mergeCell ref="AH43:AM43"/>
    <mergeCell ref="AN43:AS43"/>
    <mergeCell ref="E42:G42"/>
    <mergeCell ref="H42:I42"/>
    <mergeCell ref="J42:O42"/>
    <mergeCell ref="P42:U42"/>
    <mergeCell ref="V42:AA42"/>
    <mergeCell ref="AB40:AG40"/>
    <mergeCell ref="AH40:AM40"/>
    <mergeCell ref="AN40:AS40"/>
    <mergeCell ref="E41:G41"/>
    <mergeCell ref="H41:I41"/>
    <mergeCell ref="J41:O41"/>
    <mergeCell ref="P41:U41"/>
    <mergeCell ref="V41:AA41"/>
    <mergeCell ref="AB41:AG41"/>
    <mergeCell ref="AH41:AM41"/>
    <mergeCell ref="AN41:AS41"/>
    <mergeCell ref="E40:I40"/>
    <mergeCell ref="J40:O40"/>
    <mergeCell ref="P40:U40"/>
    <mergeCell ref="V40:AA40"/>
    <mergeCell ref="AK36:AS36"/>
    <mergeCell ref="E37:I37"/>
    <mergeCell ref="J37:AA37"/>
    <mergeCell ref="AB37:AS37"/>
    <mergeCell ref="A38:D39"/>
    <mergeCell ref="E38:I38"/>
    <mergeCell ref="J38:R38"/>
    <mergeCell ref="S38:AA38"/>
    <mergeCell ref="AB38:AJ38"/>
    <mergeCell ref="AK38:AS38"/>
    <mergeCell ref="E39:I39"/>
    <mergeCell ref="J39:AA39"/>
    <mergeCell ref="AB39:AS39"/>
    <mergeCell ref="A36:D37"/>
    <mergeCell ref="E36:I36"/>
    <mergeCell ref="J36:R36"/>
    <mergeCell ref="S36:AA36"/>
    <mergeCell ref="AB36:AJ36"/>
    <mergeCell ref="AK34:AS34"/>
    <mergeCell ref="A35:G35"/>
    <mergeCell ref="H35:I35"/>
    <mergeCell ref="J35:R35"/>
    <mergeCell ref="S35:AA35"/>
    <mergeCell ref="AB35:AJ35"/>
    <mergeCell ref="AK35:AS35"/>
    <mergeCell ref="A34:G34"/>
    <mergeCell ref="H34:I34"/>
    <mergeCell ref="J34:R34"/>
    <mergeCell ref="S34:AA34"/>
    <mergeCell ref="AB34:AJ34"/>
    <mergeCell ref="AK32:AS32"/>
    <mergeCell ref="A33:G33"/>
    <mergeCell ref="H33:I33"/>
    <mergeCell ref="J33:R33"/>
    <mergeCell ref="S33:AA33"/>
    <mergeCell ref="AB33:AJ33"/>
    <mergeCell ref="AK33:AS33"/>
    <mergeCell ref="A32:G32"/>
    <mergeCell ref="H32:I32"/>
    <mergeCell ref="J32:R32"/>
    <mergeCell ref="S32:AA32"/>
    <mergeCell ref="AB32:AJ32"/>
    <mergeCell ref="AK30:AS30"/>
    <mergeCell ref="A31:G31"/>
    <mergeCell ref="H31:I31"/>
    <mergeCell ref="J31:R31"/>
    <mergeCell ref="S31:AA31"/>
    <mergeCell ref="AB31:AJ31"/>
    <mergeCell ref="AK31:AS31"/>
    <mergeCell ref="A30:G30"/>
    <mergeCell ref="H30:I30"/>
    <mergeCell ref="J30:R30"/>
    <mergeCell ref="S30:AA30"/>
    <mergeCell ref="AB30:AJ30"/>
    <mergeCell ref="A27:I28"/>
    <mergeCell ref="J27:AA28"/>
    <mergeCell ref="AB27:AS28"/>
    <mergeCell ref="A29:I29"/>
    <mergeCell ref="J29:AA29"/>
    <mergeCell ref="AB29:AS29"/>
    <mergeCell ref="AB25:AG25"/>
    <mergeCell ref="AH25:AM25"/>
    <mergeCell ref="AN25:AS25"/>
    <mergeCell ref="E26:G26"/>
    <mergeCell ref="H26:I26"/>
    <mergeCell ref="J26:AA26"/>
    <mergeCell ref="AB26:AS26"/>
    <mergeCell ref="A21:D26"/>
    <mergeCell ref="AB23:AG23"/>
    <mergeCell ref="AH23:AM23"/>
    <mergeCell ref="AN23:AS23"/>
    <mergeCell ref="AB24:AG24"/>
    <mergeCell ref="AH24:AM24"/>
    <mergeCell ref="AN24:AS24"/>
    <mergeCell ref="AH21:AM21"/>
    <mergeCell ref="AN21:AS21"/>
    <mergeCell ref="AB22:AG22"/>
    <mergeCell ref="AH22:AM22"/>
    <mergeCell ref="AN22:AS22"/>
    <mergeCell ref="J24:O24"/>
    <mergeCell ref="P24:U24"/>
    <mergeCell ref="V24:AA24"/>
    <mergeCell ref="J25:O25"/>
    <mergeCell ref="P25:U25"/>
    <mergeCell ref="V25:AA25"/>
    <mergeCell ref="E24:G24"/>
    <mergeCell ref="H24:I24"/>
    <mergeCell ref="E25:G25"/>
    <mergeCell ref="H25:I25"/>
    <mergeCell ref="H22:I22"/>
    <mergeCell ref="E22:G22"/>
    <mergeCell ref="E23:G23"/>
    <mergeCell ref="H23:I23"/>
    <mergeCell ref="J22:O22"/>
    <mergeCell ref="P22:U22"/>
    <mergeCell ref="V22:AA22"/>
    <mergeCell ref="J23:O23"/>
    <mergeCell ref="P23:U23"/>
    <mergeCell ref="V23:AA23"/>
    <mergeCell ref="AB21:AG21"/>
    <mergeCell ref="A8:I8"/>
    <mergeCell ref="A7:I7"/>
    <mergeCell ref="A9:I9"/>
    <mergeCell ref="A10:I10"/>
    <mergeCell ref="J8:O8"/>
    <mergeCell ref="J9:O9"/>
    <mergeCell ref="AH7:AM7"/>
    <mergeCell ref="AN7:AS7"/>
    <mergeCell ref="E21:I21"/>
    <mergeCell ref="J21:O21"/>
    <mergeCell ref="P21:U21"/>
    <mergeCell ref="V21:AA21"/>
    <mergeCell ref="H13:I13"/>
    <mergeCell ref="H14:I14"/>
    <mergeCell ref="A12:G12"/>
    <mergeCell ref="A13:G13"/>
    <mergeCell ref="A14:G14"/>
    <mergeCell ref="J10:AA10"/>
    <mergeCell ref="AB10:AS10"/>
    <mergeCell ref="H12:I12"/>
    <mergeCell ref="A11:G11"/>
    <mergeCell ref="H11:I11"/>
    <mergeCell ref="J12:R12"/>
    <mergeCell ref="A1:D2"/>
    <mergeCell ref="E1:G1"/>
    <mergeCell ref="E2:G2"/>
    <mergeCell ref="H1:AJ2"/>
    <mergeCell ref="AK1:AS2"/>
    <mergeCell ref="H16:I16"/>
    <mergeCell ref="A16:G16"/>
    <mergeCell ref="J16:R16"/>
    <mergeCell ref="H15:I15"/>
    <mergeCell ref="A15:G15"/>
    <mergeCell ref="P8:U8"/>
    <mergeCell ref="J11:R11"/>
    <mergeCell ref="S11:AA11"/>
    <mergeCell ref="AB11:AJ11"/>
    <mergeCell ref="AK11:AS11"/>
    <mergeCell ref="V8:AA8"/>
    <mergeCell ref="P9:U9"/>
    <mergeCell ref="V9:AA9"/>
    <mergeCell ref="AB8:AG8"/>
    <mergeCell ref="AH8:AM8"/>
    <mergeCell ref="AN8:AS8"/>
    <mergeCell ref="AB9:AG9"/>
    <mergeCell ref="AH9:AM9"/>
    <mergeCell ref="AN9:AS9"/>
    <mergeCell ref="AH5:AS6"/>
    <mergeCell ref="J7:O7"/>
    <mergeCell ref="P7:U7"/>
    <mergeCell ref="V7:AA7"/>
    <mergeCell ref="AB7:AG7"/>
    <mergeCell ref="AB3:AG4"/>
    <mergeCell ref="AB5:AG6"/>
    <mergeCell ref="A3:G4"/>
    <mergeCell ref="H3:AA4"/>
    <mergeCell ref="A5:AA6"/>
    <mergeCell ref="AH3:AS4"/>
    <mergeCell ref="S12:AA12"/>
    <mergeCell ref="AB12:AJ12"/>
    <mergeCell ref="AK12:AS12"/>
    <mergeCell ref="J13:R13"/>
    <mergeCell ref="S13:AA13"/>
    <mergeCell ref="AB13:AJ13"/>
    <mergeCell ref="AK13:AS13"/>
    <mergeCell ref="AB14:AJ14"/>
    <mergeCell ref="AK14:AS14"/>
    <mergeCell ref="J15:R15"/>
    <mergeCell ref="S15:AA15"/>
    <mergeCell ref="AB15:AJ15"/>
    <mergeCell ref="AK15:AS15"/>
    <mergeCell ref="J14:R14"/>
    <mergeCell ref="S14:AA14"/>
    <mergeCell ref="S16:AA16"/>
    <mergeCell ref="AB16:AJ16"/>
    <mergeCell ref="AK16:AS16"/>
    <mergeCell ref="J17:R17"/>
    <mergeCell ref="S17:AA17"/>
    <mergeCell ref="AB17:AJ17"/>
    <mergeCell ref="AK17:AS17"/>
    <mergeCell ref="AB19:AJ19"/>
    <mergeCell ref="AK19:AS19"/>
    <mergeCell ref="J20:AA20"/>
    <mergeCell ref="AB20:AS20"/>
    <mergeCell ref="A17:D18"/>
    <mergeCell ref="E17:I17"/>
    <mergeCell ref="E18:I18"/>
    <mergeCell ref="J18:AA18"/>
    <mergeCell ref="AB18:AS18"/>
    <mergeCell ref="A19:D20"/>
    <mergeCell ref="E19:I19"/>
    <mergeCell ref="E20:I20"/>
    <mergeCell ref="J19:R19"/>
    <mergeCell ref="S19:AA19"/>
  </mergeCells>
  <phoneticPr fontId="2"/>
  <pageMargins left="0.39370078740157483" right="0.19685039370078741" top="0.98425196850393704" bottom="0.59055118110236227" header="0.51181102362204722" footer="0.51181102362204722"/>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pH</vt:lpstr>
      <vt:lpstr>pH (H2O2)</vt:lpstr>
      <vt:lpstr>Water Content</vt:lpstr>
      <vt:lpstr>Data Sheet</vt:lpstr>
      <vt:lpstr>pH!Print_Area</vt:lpstr>
      <vt:lpstr>'pH (H2O2)'!Print_Area</vt:lpstr>
      <vt:lpstr>'Water Content'!Print_Area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2017-03-06T09:43:42Z</dcterms:modified>
</cp:coreProperties>
</file>