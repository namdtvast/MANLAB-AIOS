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755"/>
  </bookViews>
  <sheets>
    <sheet name="Phân tích đất" sheetId="7" r:id="rId1"/>
    <sheet name="Bảng dữ liệu (mâũ) Trang 14" sheetId="8" r:id="rId2"/>
    <sheet name="Bảng dữ liệu Trang 15" sheetId="2" r:id="rId3"/>
  </sheets>
  <definedNames>
    <definedName name="_xlnm.Print_Area" localSheetId="0">'Phân tích đất'!$A$1:$I$720</definedName>
  </definedNames>
  <calcPr calcId="152511"/>
</workbook>
</file>

<file path=xl/calcChain.xml><?xml version="1.0" encoding="utf-8"?>
<calcChain xmlns="http://schemas.openxmlformats.org/spreadsheetml/2006/main">
  <c r="J18" i="8" l="1"/>
  <c r="AB18" i="8"/>
  <c r="J20" i="8"/>
  <c r="AB20" i="8"/>
  <c r="J25" i="8"/>
  <c r="P25" i="8"/>
  <c r="V25" i="8"/>
  <c r="AB25" i="8"/>
  <c r="AH25" i="8"/>
  <c r="AB26" i="8" s="1"/>
  <c r="AN25" i="8"/>
  <c r="J26" i="8"/>
  <c r="J13" i="8" s="1"/>
  <c r="J15" i="8" s="1"/>
  <c r="J37" i="8"/>
  <c r="AB37" i="8"/>
  <c r="J39" i="8"/>
  <c r="AB39" i="8"/>
  <c r="J44" i="8"/>
  <c r="P44" i="8"/>
  <c r="V44" i="8"/>
  <c r="AB44" i="8"/>
  <c r="AH44" i="8"/>
  <c r="AB45" i="8" s="1"/>
  <c r="AN44" i="8"/>
  <c r="J45" i="8"/>
  <c r="J32" i="8" s="1"/>
  <c r="J34" i="8" s="1"/>
  <c r="AK32" i="8" l="1"/>
  <c r="AK34" i="8" s="1"/>
  <c r="AB32" i="8"/>
  <c r="AB34" i="8" s="1"/>
  <c r="AK13" i="8"/>
  <c r="AK15" i="8" s="1"/>
  <c r="AB13" i="8"/>
  <c r="AB15" i="8" s="1"/>
  <c r="S32" i="8"/>
  <c r="S34" i="8" s="1"/>
  <c r="S13" i="8"/>
  <c r="S15" i="8" s="1"/>
  <c r="AB33" i="2" l="1"/>
  <c r="AK33" i="2"/>
  <c r="S33" i="2"/>
  <c r="J33" i="2"/>
  <c r="AK34" i="2" l="1"/>
  <c r="AB34" i="2"/>
  <c r="AB45" i="2"/>
  <c r="AK32" i="2" s="1"/>
  <c r="AN44" i="2"/>
  <c r="AH44" i="2"/>
  <c r="AB44" i="2"/>
  <c r="V44" i="2"/>
  <c r="P44" i="2"/>
  <c r="J44" i="2"/>
  <c r="AB39" i="2"/>
  <c r="J39" i="2"/>
  <c r="AB37" i="2"/>
  <c r="J37" i="2"/>
  <c r="AB20" i="2"/>
  <c r="J20" i="2"/>
  <c r="AB18" i="2"/>
  <c r="J18" i="2"/>
  <c r="P25" i="2"/>
  <c r="V25" i="2"/>
  <c r="AB25" i="2"/>
  <c r="AH25" i="2"/>
  <c r="AN25" i="2"/>
  <c r="J25" i="2"/>
  <c r="AB26" i="2" l="1"/>
  <c r="AK13" i="2" s="1"/>
  <c r="J45" i="2"/>
  <c r="J26" i="2"/>
  <c r="S13" i="2" s="1"/>
  <c r="AB32" i="2"/>
  <c r="S15" i="2" l="1"/>
  <c r="S14" i="2"/>
  <c r="AB13" i="2"/>
  <c r="AK14" i="2"/>
  <c r="AK15" i="2" s="1"/>
  <c r="J13" i="2"/>
  <c r="J14" i="2" s="1"/>
  <c r="J15" i="2" s="1"/>
  <c r="S32" i="2"/>
  <c r="S34" i="2" s="1"/>
  <c r="J32" i="2"/>
  <c r="J34" i="2" s="1"/>
  <c r="AB14" i="2" l="1"/>
  <c r="AB15" i="2" s="1"/>
</calcChain>
</file>

<file path=xl/comments1.xml><?xml version="1.0" encoding="utf-8"?>
<comments xmlns="http://schemas.openxmlformats.org/spreadsheetml/2006/main">
  <authors>
    <author>Author</author>
  </authors>
  <commentList>
    <comment ref="A1" authorId="0" shapeId="0">
      <text>
        <r>
          <rPr>
            <b/>
            <sz val="9"/>
            <color indexed="81"/>
            <rFont val="ＭＳ Ｐゴシック"/>
            <family val="3"/>
            <charset val="128"/>
          </rPr>
          <t>Masami Oue:</t>
        </r>
        <r>
          <rPr>
            <sz val="9"/>
            <color indexed="81"/>
            <rFont val="ＭＳ Ｐゴシック"/>
            <family val="3"/>
            <charset val="128"/>
          </rPr>
          <t xml:space="preserve">
 Chọn chỉ tiêu cần đo và số tiêu chuẩn JGS của pH và EC</t>
        </r>
      </text>
    </comment>
    <comment ref="H1" authorId="0" shapeId="0">
      <text>
        <r>
          <rPr>
            <b/>
            <sz val="9"/>
            <color indexed="81"/>
            <rFont val="ＭＳ Ｐゴシック"/>
            <family val="3"/>
            <charset val="128"/>
          </rPr>
          <t>Masami Oue:</t>
        </r>
        <r>
          <rPr>
            <sz val="9"/>
            <color indexed="81"/>
            <rFont val="ＭＳ Ｐゴシック"/>
            <family val="3"/>
            <charset val="128"/>
          </rPr>
          <t xml:space="preserve">
 Chọn chỉ tiêu cần đo và số tiêu chuẩn JGS của pH và EC</t>
        </r>
      </text>
    </comment>
    <comment ref="AK16" authorId="0" shapeId="0">
      <text>
        <r>
          <rPr>
            <b/>
            <sz val="9"/>
            <color indexed="81"/>
            <rFont val="ＭＳ Ｐゴシック"/>
            <family val="3"/>
            <charset val="128"/>
          </rPr>
          <t>Masami Oue:</t>
        </r>
        <r>
          <rPr>
            <sz val="9"/>
            <color indexed="81"/>
            <rFont val="ＭＳ Ｐゴシック"/>
            <family val="3"/>
            <charset val="128"/>
          </rPr>
          <t xml:space="preserve">
Đo pH khi nhiệt độ được giữ ở mức 25±0.5℃ trong trường hợp pH kế không có chức năng điều chỉnh nhiệt</t>
        </r>
      </text>
    </comment>
    <comment ref="AK17" authorId="0" shapeId="0">
      <text>
        <r>
          <rPr>
            <b/>
            <sz val="9"/>
            <color indexed="81"/>
            <rFont val="ＭＳ Ｐゴシック"/>
            <family val="3"/>
            <charset val="128"/>
          </rPr>
          <t>Masami Oue:</t>
        </r>
        <r>
          <rPr>
            <sz val="9"/>
            <color indexed="81"/>
            <rFont val="ＭＳ Ｐゴシック"/>
            <family val="3"/>
            <charset val="128"/>
          </rPr>
          <t xml:space="preserve">
 Giá trị đo pH được làm tròn 2 chữ số thập phân và 1 chữ số thập phân với giá trị trung bình</t>
        </r>
      </text>
    </comment>
    <comment ref="AB20" authorId="0" shapeId="0">
      <text>
        <r>
          <rPr>
            <b/>
            <sz val="9"/>
            <color indexed="81"/>
            <rFont val="ＭＳ Ｐゴシック"/>
            <family val="3"/>
            <charset val="128"/>
          </rPr>
          <t>Masami Oue:</t>
        </r>
        <r>
          <rPr>
            <sz val="9"/>
            <color indexed="81"/>
            <rFont val="ＭＳ Ｐゴシック"/>
            <family val="3"/>
            <charset val="128"/>
          </rPr>
          <t xml:space="preserve">
 Giá trị đo EC làm tròn đến 3 chữ số thập phân và 2 chữ số thập phân đối với giá trị trung bình</t>
        </r>
      </text>
    </comment>
  </commentList>
</comments>
</file>

<file path=xl/sharedStrings.xml><?xml version="1.0" encoding="utf-8"?>
<sst xmlns="http://schemas.openxmlformats.org/spreadsheetml/2006/main" count="708" uniqueCount="486">
  <si>
    <t>Phthalate</t>
    <phoneticPr fontId="2"/>
  </si>
  <si>
    <t>40</t>
  </si>
  <si>
    <t>4.00</t>
    <phoneticPr fontId="2"/>
  </si>
  <si>
    <t>Oxalate</t>
    <phoneticPr fontId="2"/>
  </si>
  <si>
    <t>Carbonate</t>
    <phoneticPr fontId="2"/>
  </si>
  <si>
    <t>JGS</t>
    <phoneticPr fontId="2"/>
  </si>
  <si>
    <t>0211</t>
    <phoneticPr fontId="2"/>
  </si>
  <si>
    <t>0212</t>
    <phoneticPr fontId="2"/>
  </si>
  <si>
    <t>pH</t>
    <phoneticPr fontId="2"/>
  </si>
  <si>
    <t>b)</t>
    <phoneticPr fontId="2"/>
  </si>
  <si>
    <t>Masami Oue</t>
    <phoneticPr fontId="2"/>
  </si>
  <si>
    <t>18</t>
    <phoneticPr fontId="2"/>
  </si>
  <si>
    <t>4.00</t>
    <phoneticPr fontId="2"/>
  </si>
  <si>
    <t>6.89</t>
    <phoneticPr fontId="2"/>
  </si>
  <si>
    <r>
      <t>T1-2(2.00</t>
    </r>
    <r>
      <rPr>
        <sz val="11"/>
        <color theme="1"/>
        <rFont val="ＭＳ Ｐ明朝"/>
        <family val="1"/>
        <charset val="128"/>
      </rPr>
      <t>～</t>
    </r>
    <r>
      <rPr>
        <sz val="11"/>
        <color theme="1"/>
        <rFont val="Times New Roman"/>
        <family val="1"/>
      </rPr>
      <t>2.80m)</t>
    </r>
    <r>
      <rPr>
        <sz val="11"/>
        <color theme="1"/>
        <rFont val="Calibri"/>
        <family val="2"/>
        <charset val="128"/>
        <scheme val="minor"/>
      </rPr>
      <t/>
    </r>
    <phoneticPr fontId="2"/>
  </si>
  <si>
    <t>Oxalate</t>
    <phoneticPr fontId="2"/>
  </si>
  <si>
    <t>Phthalate</t>
    <phoneticPr fontId="2"/>
  </si>
  <si>
    <t>Neutral phosphate</t>
    <phoneticPr fontId="2"/>
  </si>
  <si>
    <t>Borate</t>
    <phoneticPr fontId="2"/>
  </si>
  <si>
    <t>Carbonate</t>
    <phoneticPr fontId="2"/>
  </si>
  <si>
    <r>
      <t>T1-1(1.00</t>
    </r>
    <r>
      <rPr>
        <sz val="11"/>
        <color theme="1"/>
        <rFont val="ＭＳ Ｐ明朝"/>
        <family val="1"/>
        <charset val="128"/>
      </rPr>
      <t>～</t>
    </r>
    <r>
      <rPr>
        <sz val="11"/>
        <color theme="1"/>
        <rFont val="Times New Roman"/>
        <family val="1"/>
      </rPr>
      <t>1.80m)</t>
    </r>
    <phoneticPr fontId="2"/>
  </si>
  <si>
    <t>1A</t>
    <phoneticPr fontId="2"/>
  </si>
  <si>
    <t>1B</t>
    <phoneticPr fontId="2"/>
  </si>
  <si>
    <t>2A</t>
    <phoneticPr fontId="2"/>
  </si>
  <si>
    <t>2B</t>
    <phoneticPr fontId="2"/>
  </si>
  <si>
    <t>℃</t>
    <phoneticPr fontId="2"/>
  </si>
  <si>
    <t>EC</t>
    <phoneticPr fontId="2"/>
  </si>
  <si>
    <t>w</t>
    <phoneticPr fontId="2"/>
  </si>
  <si>
    <t>%</t>
    <phoneticPr fontId="2"/>
  </si>
  <si>
    <t>3A</t>
    <phoneticPr fontId="2"/>
  </si>
  <si>
    <t>3B</t>
    <phoneticPr fontId="2"/>
  </si>
  <si>
    <t>4A</t>
    <phoneticPr fontId="2"/>
  </si>
  <si>
    <t>4B</t>
    <phoneticPr fontId="2"/>
  </si>
  <si>
    <t>a)</t>
    <phoneticPr fontId="2"/>
  </si>
  <si>
    <t>c)</t>
    <phoneticPr fontId="2"/>
  </si>
  <si>
    <t>7.1</t>
    <phoneticPr fontId="2"/>
  </si>
  <si>
    <t>00</t>
    <phoneticPr fontId="2"/>
  </si>
  <si>
    <r>
      <rPr>
        <sz val="11"/>
        <color theme="1"/>
        <rFont val="ＭＳ Ｐ明朝"/>
        <family val="1"/>
        <charset val="128"/>
      </rPr>
      <t>･･･････・・・・・・・・・・・・・・・・・</t>
    </r>
    <phoneticPr fontId="2"/>
  </si>
  <si>
    <t>Beaker</t>
  </si>
  <si>
    <t>3/15</t>
  </si>
  <si>
    <t>5/15</t>
  </si>
  <si>
    <t>9/15</t>
  </si>
  <si>
    <t>14/15</t>
  </si>
  <si>
    <t>15/15</t>
  </si>
  <si>
    <t>HƯỚNG DẪN PHÂN TÍCH ĐẤT</t>
  </si>
  <si>
    <t>Ngày ban hành</t>
  </si>
  <si>
    <t>CHUGAI TECHNOS VIETNAM CO.,LTD.</t>
  </si>
  <si>
    <t xml:space="preserve"> MỤC LỤC</t>
  </si>
  <si>
    <t>Hàm lượng nước trong đất</t>
  </si>
  <si>
    <t>pH của huyền phù đất</t>
  </si>
  <si>
    <r>
      <t>pH sử dụng dung dịch H</t>
    </r>
    <r>
      <rPr>
        <vertAlign val="subscript"/>
        <sz val="11"/>
        <color theme="1"/>
        <rFont val="Times New Roman"/>
        <family val="1"/>
      </rPr>
      <t>2</t>
    </r>
    <r>
      <rPr>
        <sz val="11"/>
        <color theme="1"/>
        <rFont val="Times New Roman"/>
        <family val="1"/>
      </rPr>
      <t>O</t>
    </r>
    <r>
      <rPr>
        <vertAlign val="subscript"/>
        <sz val="11"/>
        <color theme="1"/>
        <rFont val="Times New Roman"/>
        <family val="1"/>
      </rPr>
      <t>2</t>
    </r>
  </si>
  <si>
    <t>Bảng dữ liệu (mẫu)</t>
  </si>
  <si>
    <t xml:space="preserve"> Bảng dữ liệu</t>
  </si>
  <si>
    <t>Phương pháp đo hàm lượng nước trong đất</t>
  </si>
  <si>
    <t>Tiêu chuẩn công nghiệp Nhật Bản (JIS A 1203:1999)</t>
  </si>
  <si>
    <t>1.</t>
    <phoneticPr fontId="0"/>
  </si>
  <si>
    <t>Phạm vi áp dụng</t>
  </si>
  <si>
    <t>2.</t>
    <phoneticPr fontId="0"/>
  </si>
  <si>
    <t>Tiêu chuẩn được trích dẫn</t>
  </si>
  <si>
    <t>Các tiêu chuẩn sử dụng một phần của tiêu chuẩn này phải có trích dẫn</t>
  </si>
  <si>
    <t>Tiêu chuẩn này được áp dụng phiên bản mới nhất</t>
  </si>
  <si>
    <t xml:space="preserve">JIS R 3503 dụng cụ thủy tinh cho phân tích </t>
  </si>
  <si>
    <t>3.</t>
    <phoneticPr fontId="0"/>
  </si>
  <si>
    <t>Định nghĩa</t>
  </si>
  <si>
    <t>a)</t>
    <phoneticPr fontId="0"/>
  </si>
  <si>
    <t>Hàm lượng nước</t>
  </si>
  <si>
    <t>4.</t>
    <phoneticPr fontId="0"/>
  </si>
  <si>
    <t>Thiết bị kiểm tra</t>
  </si>
  <si>
    <t>Thiết bị kiểm tra được mô tả dưới đây</t>
  </si>
  <si>
    <t>Dụng cụ chứa mẫu không thay đổi khối lượng trong quá trình kiểm tra</t>
  </si>
  <si>
    <t>b)</t>
    <phoneticPr fontId="0"/>
  </si>
  <si>
    <r>
      <t xml:space="preserve">Lò nung duy trì ở mức nhiệt độ 110 </t>
    </r>
    <r>
      <rPr>
        <sz val="11"/>
        <color theme="1"/>
        <rFont val="Calibri"/>
        <family val="2"/>
      </rPr>
      <t>± 5 ℃</t>
    </r>
  </si>
  <si>
    <t>Tham khảo</t>
  </si>
  <si>
    <t>c)</t>
    <phoneticPr fontId="0"/>
  </si>
  <si>
    <t xml:space="preserve"> Cân có giá trị đọc được tối thiểu được thể hiện trong bảng 1</t>
  </si>
  <si>
    <t>d)</t>
    <phoneticPr fontId="0"/>
  </si>
  <si>
    <t xml:space="preserve"> Bình hút ẩm được quy định theo tiêu chuẩn JIS G 3503 hoặc bình chứa có chức năng tương tự và đặt vào chất hút ẩm như silica gel và canxi clorua.   </t>
  </si>
  <si>
    <t xml:space="preserve">Bảng 1 </t>
  </si>
  <si>
    <t xml:space="preserve"> Giá trị đọc được tối thiểu của cân sử dụng đo khối lượng mẫu</t>
  </si>
  <si>
    <t>Đơn vị : g</t>
  </si>
  <si>
    <t>Khối lượng mẫu</t>
  </si>
  <si>
    <t>Giá trị tối thiểu đọc được</t>
  </si>
  <si>
    <t>&lt;10</t>
  </si>
  <si>
    <t>0.001</t>
    <phoneticPr fontId="0"/>
  </si>
  <si>
    <r>
      <rPr>
        <sz val="11"/>
        <color theme="1"/>
        <rFont val="Calibri"/>
        <family val="2"/>
      </rPr>
      <t>≥</t>
    </r>
    <r>
      <rPr>
        <sz val="11"/>
        <color theme="1"/>
        <rFont val="Times New Roman"/>
        <family val="1"/>
      </rPr>
      <t>10 và &lt;100</t>
    </r>
  </si>
  <si>
    <t>0.01</t>
    <phoneticPr fontId="0"/>
  </si>
  <si>
    <r>
      <t xml:space="preserve"> </t>
    </r>
    <r>
      <rPr>
        <sz val="11"/>
        <color theme="1"/>
        <rFont val="Calibri"/>
        <family val="2"/>
      </rPr>
      <t>≥</t>
    </r>
    <r>
      <rPr>
        <sz val="11"/>
        <color theme="1"/>
        <rFont val="Times New Roman"/>
        <family val="1"/>
      </rPr>
      <t>100 và &lt;1000</t>
    </r>
  </si>
  <si>
    <t>0.1</t>
    <phoneticPr fontId="0"/>
  </si>
  <si>
    <r>
      <rPr>
        <sz val="11"/>
        <color theme="1"/>
        <rFont val="Calibri"/>
        <family val="2"/>
      </rPr>
      <t>≥</t>
    </r>
    <r>
      <rPr>
        <sz val="11"/>
        <color theme="1"/>
        <rFont val="Times New Roman"/>
        <family val="1"/>
      </rPr>
      <t>1000</t>
    </r>
  </si>
  <si>
    <t>1</t>
    <phoneticPr fontId="0"/>
  </si>
  <si>
    <t>5.</t>
    <phoneticPr fontId="0"/>
  </si>
  <si>
    <t>Mẫu</t>
  </si>
  <si>
    <t xml:space="preserve"> Lấy lượng mẫu phù hợp cho mục đích đo và kích thước mẫu</t>
  </si>
  <si>
    <t>Tiêu chuẩn khối lượng mẫu tối thiểu tương ứng với kích thước hạt</t>
  </si>
  <si>
    <t>Lấy đi một ít phần mẫu có chứa nhiều hạt thô</t>
  </si>
  <si>
    <t>* Phương pháp chia mẫu
Phương pháp này mẫu được chia làm 4 phần lấy 2 phần</t>
  </si>
  <si>
    <t>Bảng tham khảo-1.</t>
  </si>
  <si>
    <t>Tiêu chuẩn khối lượng tối thiểu của mẫu để đo hàm lượng nước</t>
  </si>
  <si>
    <t>Kích cỡ hạt tối đa của mẫu (mm)</t>
  </si>
  <si>
    <t>Khối lượng mẫu tối thiểu</t>
  </si>
  <si>
    <t>75</t>
    <phoneticPr fontId="0"/>
  </si>
  <si>
    <r>
      <t>5</t>
    </r>
    <r>
      <rPr>
        <sz val="11"/>
        <color theme="1"/>
        <rFont val="ＭＳ Ｐ明朝"/>
        <family val="1"/>
        <charset val="128"/>
      </rPr>
      <t>～</t>
    </r>
    <r>
      <rPr>
        <sz val="11"/>
        <color theme="1"/>
        <rFont val="Times New Roman"/>
        <family val="1"/>
      </rPr>
      <t>30kg</t>
    </r>
  </si>
  <si>
    <t>37.5</t>
    <phoneticPr fontId="0"/>
  </si>
  <si>
    <r>
      <t>1</t>
    </r>
    <r>
      <rPr>
        <sz val="11"/>
        <color theme="1"/>
        <rFont val="ＭＳ Ｐ明朝"/>
        <family val="1"/>
        <charset val="128"/>
      </rPr>
      <t>～</t>
    </r>
    <r>
      <rPr>
        <sz val="11"/>
        <color theme="1"/>
        <rFont val="Times New Roman"/>
        <family val="1"/>
      </rPr>
      <t>5kg</t>
    </r>
  </si>
  <si>
    <t>19</t>
  </si>
  <si>
    <r>
      <t>150</t>
    </r>
    <r>
      <rPr>
        <sz val="11"/>
        <color theme="1"/>
        <rFont val="ＭＳ Ｐ明朝"/>
        <family val="1"/>
        <charset val="128"/>
      </rPr>
      <t>～</t>
    </r>
    <r>
      <rPr>
        <sz val="11"/>
        <color theme="1"/>
        <rFont val="Times New Roman"/>
        <family val="1"/>
      </rPr>
      <t>300g</t>
    </r>
  </si>
  <si>
    <t>4.75</t>
  </si>
  <si>
    <r>
      <t>30</t>
    </r>
    <r>
      <rPr>
        <sz val="11"/>
        <color theme="1"/>
        <rFont val="ＭＳ Ｐ明朝"/>
        <family val="1"/>
        <charset val="128"/>
      </rPr>
      <t>～</t>
    </r>
    <r>
      <rPr>
        <sz val="11"/>
        <color theme="1"/>
        <rFont val="Times New Roman"/>
        <family val="1"/>
      </rPr>
      <t>100g</t>
    </r>
    <r>
      <rPr>
        <sz val="11"/>
        <color theme="1"/>
        <rFont val="Calibri"/>
        <family val="2"/>
        <charset val="128"/>
        <scheme val="minor"/>
      </rPr>
      <t/>
    </r>
  </si>
  <si>
    <t>2</t>
  </si>
  <si>
    <r>
      <t>10</t>
    </r>
    <r>
      <rPr>
        <sz val="11"/>
        <color theme="1"/>
        <rFont val="ＭＳ Ｐ明朝"/>
        <family val="1"/>
        <charset val="128"/>
      </rPr>
      <t>～</t>
    </r>
    <r>
      <rPr>
        <sz val="11"/>
        <color theme="1"/>
        <rFont val="Times New Roman"/>
        <family val="1"/>
      </rPr>
      <t>30g</t>
    </r>
    <r>
      <rPr>
        <sz val="11"/>
        <color theme="1"/>
        <rFont val="Calibri"/>
        <family val="2"/>
        <charset val="128"/>
        <scheme val="minor"/>
      </rPr>
      <t/>
    </r>
  </si>
  <si>
    <t>0.425</t>
  </si>
  <si>
    <r>
      <t>5</t>
    </r>
    <r>
      <rPr>
        <sz val="11"/>
        <color theme="1"/>
        <rFont val="ＭＳ Ｐ明朝"/>
        <family val="1"/>
        <charset val="128"/>
      </rPr>
      <t>～</t>
    </r>
    <r>
      <rPr>
        <sz val="11"/>
        <color theme="1"/>
        <rFont val="Times New Roman"/>
        <family val="1"/>
      </rPr>
      <t>10g</t>
    </r>
    <r>
      <rPr>
        <sz val="11"/>
        <color theme="1"/>
        <rFont val="Calibri"/>
        <family val="2"/>
        <charset val="128"/>
        <scheme val="minor"/>
      </rPr>
      <t/>
    </r>
  </si>
  <si>
    <t>6.</t>
    <phoneticPr fontId="0"/>
  </si>
  <si>
    <t>Phương pháp đo</t>
  </si>
  <si>
    <t>Phương pháp được mô tả bên dưới</t>
  </si>
  <si>
    <t>Cân trọng lượng của dụng cụ chứa mẫu mc(g).</t>
  </si>
  <si>
    <t>Đặt mẫu vào dụng cụ chứa và cân tổng khối lượng ma(g)</t>
  </si>
  <si>
    <r>
      <t xml:space="preserve"> Đặt mẫu với dụng cụ chứa vào lò nung tự động ở nhiệt độ 110</t>
    </r>
    <r>
      <rPr>
        <sz val="11"/>
        <color theme="1"/>
        <rFont val="Calibri"/>
        <family val="2"/>
      </rPr>
      <t>±</t>
    </r>
    <r>
      <rPr>
        <sz val="11"/>
        <color theme="1"/>
        <rFont val="Times New Roman"/>
        <family val="1"/>
      </rPr>
      <t>5℃ cho đến khi khối lượng mẫu không thay đổi.</t>
    </r>
  </si>
  <si>
    <t>(d)</t>
    <phoneticPr fontId="0"/>
  </si>
  <si>
    <t xml:space="preserve"> Đặt mẫu với bình chứa vào bình hút ẩm và cân tổng khối lượng mb(g) sau khi để nguội đến gần nhiệt độ phòng. </t>
  </si>
  <si>
    <t>Thời gian để khối lượng mẫu không đổi là từ 18-24 giờ</t>
  </si>
  <si>
    <t>7.</t>
    <phoneticPr fontId="0"/>
  </si>
  <si>
    <t>Tính toán</t>
  </si>
  <si>
    <t>Hàm lượng nước được tính toán theo công thức sau:</t>
  </si>
  <si>
    <t>Trong đó</t>
  </si>
  <si>
    <t>w:</t>
    <phoneticPr fontId="0"/>
  </si>
  <si>
    <t>Hàm lượng nước (%)</t>
  </si>
  <si>
    <t>ma:</t>
    <phoneticPr fontId="0"/>
  </si>
  <si>
    <t>Khối lượng của mẫu và dụng cụ chứa (g)</t>
  </si>
  <si>
    <t>mb:</t>
    <phoneticPr fontId="0"/>
  </si>
  <si>
    <t>Khối lượng của mẫu khô và dụng cụ chứa (g)</t>
  </si>
  <si>
    <t>mc:</t>
    <phoneticPr fontId="0"/>
  </si>
  <si>
    <t>Khối lượng dụng cụ chứa (g)</t>
  </si>
  <si>
    <t>8.</t>
    <phoneticPr fontId="0"/>
  </si>
  <si>
    <t>Báo cáo</t>
  </si>
  <si>
    <t xml:space="preserve">Báo cáo đo đạc bao gồm những thông tin sau: </t>
  </si>
  <si>
    <t>Phương pháp đo pH của dung dịch huyền phù đất</t>
  </si>
  <si>
    <t>Hội kỹ thuật địa chất Nhật Bản (JGS 0211-2000)</t>
  </si>
  <si>
    <t>Tổng quan</t>
  </si>
  <si>
    <t>Mục đích</t>
  </si>
  <si>
    <t>Mục đích thử nghiệm này là để đo độ pH của đất có tiếp xúc với nước.</t>
  </si>
  <si>
    <t>Áp dụng cho đất sau khi đã loại các hạt đất có kích thước lớn hơn 10mm</t>
  </si>
  <si>
    <t>Giải thích từ ngữ</t>
  </si>
  <si>
    <t>pH của huyền phù đất là giá trị thể hiện qua hàm logarit thông thường. 
Giá trị này thể hiện tương ứng nồng độ mol của ion H+ [H+] (mol/L) các 
hạt đất trong nước khi các hạt đất ở trạng thái huyền phù</t>
  </si>
  <si>
    <t>[Mục bổ sung]</t>
  </si>
  <si>
    <t>Những mục trên được định nghĩa cụ thể trong tiêu chuẩn này</t>
  </si>
  <si>
    <t>Tiêu chuẩn này có thể được áp dụng cho đất có hàm lượng hữu cơ cao.</t>
  </si>
  <si>
    <t>pH cho thấy mức độ axit hoặc kiềm và được xác định bởi phương trình 
sau đây:</t>
  </si>
  <si>
    <t>pH=log(1/[H+]=-log[H+]</t>
  </si>
  <si>
    <t>Dụng cụ và hóa chất</t>
  </si>
  <si>
    <t>Dụng cụ</t>
  </si>
  <si>
    <t>1)</t>
  </si>
  <si>
    <t>pH kế với điện cực thủy tinh</t>
  </si>
  <si>
    <t>Giá trị tối thiểu đọc được không nhỏ hơn 0.1</t>
  </si>
  <si>
    <t>2)</t>
  </si>
  <si>
    <t>Cân</t>
  </si>
  <si>
    <t>Có thể đọc được đến 0.1g</t>
  </si>
  <si>
    <t>3)</t>
  </si>
  <si>
    <t>Thể tích từ 100mL-500mL</t>
  </si>
  <si>
    <t>4)</t>
  </si>
  <si>
    <t xml:space="preserve"> Dụng cụ khác</t>
  </si>
  <si>
    <t>Nhíp</t>
  </si>
  <si>
    <t>Bình tia</t>
  </si>
  <si>
    <t>Máy khuấy</t>
  </si>
  <si>
    <t>Khăn giấy</t>
  </si>
  <si>
    <t>Nhiệt kế</t>
  </si>
  <si>
    <t>Hóa chất</t>
  </si>
  <si>
    <t>Dung dịch chuẩn pH</t>
  </si>
  <si>
    <t>Nước</t>
  </si>
  <si>
    <t>Nước cất hoặc nước trao đổi ion</t>
  </si>
  <si>
    <t xml:space="preserve">pH kế </t>
  </si>
  <si>
    <t>a) Loại cố định</t>
  </si>
  <si>
    <t>b) Loại di động</t>
  </si>
  <si>
    <t>Thể tích beaker khác nhau dựa vào kích thước hạt đất được mô tả trong bảng 1</t>
  </si>
  <si>
    <t>Nếu đất không có độ kiềm cao sử dụng beaker làm bằng PE</t>
  </si>
  <si>
    <t>Dung dịch chuẩn pH là oxalate, phthalate, phosphate trung 
tính, borat và cacbonat. Phosphate trung tính và phthalate thường được sử dụng.</t>
  </si>
  <si>
    <t>Bảng 1</t>
  </si>
  <si>
    <t>Tiêu chuẩn về lượng mẫu và beaker</t>
  </si>
  <si>
    <t>Kích thước hạt (mm)</t>
  </si>
  <si>
    <t>Khối lượng mẫu khô (g)</t>
  </si>
  <si>
    <t xml:space="preserve">Thể tích Beaker (ml) </t>
  </si>
  <si>
    <t>≥10</t>
  </si>
  <si>
    <t>150</t>
    <phoneticPr fontId="0"/>
  </si>
  <si>
    <t>1000</t>
    <phoneticPr fontId="0"/>
  </si>
  <si>
    <t>≥5</t>
  </si>
  <si>
    <t>100</t>
    <phoneticPr fontId="0"/>
  </si>
  <si>
    <t>500</t>
    <phoneticPr fontId="0"/>
  </si>
  <si>
    <t>≥2</t>
  </si>
  <si>
    <t>30</t>
    <phoneticPr fontId="0"/>
  </si>
  <si>
    <t>200</t>
    <phoneticPr fontId="0"/>
  </si>
  <si>
    <t>Sử dụng mẫu đất theo mục 6.2 "Phương pháp không để khô" trong 
JIS A 1201:2009. Chuẩn bị mẫu đất xáo trộn cho việc đo pH</t>
  </si>
  <si>
    <t>Bảo quản mẫu để độ ẩm không đổi sau khi mẫu đã được trộn đều</t>
  </si>
  <si>
    <t xml:space="preserve">2) </t>
  </si>
  <si>
    <t>Mẫu đất được loại bỏ các hạt đất lớn hơn 10 mm bằng nhíp</t>
  </si>
  <si>
    <t>Cho vào beaker một khối lượng mẫu đất thích hợp, thêm nước 
gấp 5 lần khối lượng của mẫu</t>
  </si>
  <si>
    <t xml:space="preserve">4) </t>
  </si>
  <si>
    <t>Dùng đũa khuấy đều dung dịch mẫu và để yên từ 30 phút 
đến 3 tiếng</t>
  </si>
  <si>
    <t>Cần phải phá mẫu đất trong trường hợp đất cứng</t>
  </si>
  <si>
    <t>Lấy lượng mẫu nhiều hơn trong trường hợp đất có nhiều hạt thô</t>
  </si>
  <si>
    <t>Tiêu chuẩn về lượng mẫu và beaker được miêu tả trong bảng 1</t>
  </si>
  <si>
    <t xml:space="preserve">3) </t>
  </si>
  <si>
    <t>Cần tính toán khối lượng mẫu khô và độ ẩm trong mẫu trước. Thêm 
nước vào mẫu nếu dung dịch mẫu không tạo được huyền phù sao cho tỉ lệ mẫu và nước là 1:5</t>
  </si>
  <si>
    <t>Phương pháp kiểm tra</t>
  </si>
  <si>
    <t>Điều chỉnh pH kế</t>
  </si>
  <si>
    <t>Mở nguồn và ngâm điện cực đo pH  trong nước hơn 10 phút.</t>
  </si>
  <si>
    <t>Ngâm điện cực trong dung dịch pH chuẩn là phosphate trung 
tính, điều chỉnh pH kế sao cho giá trị tương ứng với từng nhiệt độ trong bảng 2 sau khi rửa điện cực bằng nước và lau khô bằng khăn giấy</t>
  </si>
  <si>
    <t xml:space="preserve">Tiến hành tương tự đối với dung dịch pH chuẩn phthalate </t>
  </si>
  <si>
    <t>Bảng -2</t>
  </si>
  <si>
    <t>Giá trị pH của dung dịch pH chuẩn tương ứng với từng nhiệt độ</t>
  </si>
  <si>
    <t>Nhiệt độ (℃)</t>
  </si>
  <si>
    <t>Phthalate</t>
  </si>
  <si>
    <t>Phosphate trung tính</t>
  </si>
  <si>
    <t>0</t>
    <phoneticPr fontId="0"/>
  </si>
  <si>
    <t>4.00</t>
    <phoneticPr fontId="0"/>
  </si>
  <si>
    <t>6.98</t>
    <phoneticPr fontId="0"/>
  </si>
  <si>
    <t>5</t>
    <phoneticPr fontId="0"/>
  </si>
  <si>
    <t>6.95</t>
    <phoneticPr fontId="0"/>
  </si>
  <si>
    <t>10</t>
    <phoneticPr fontId="0"/>
  </si>
  <si>
    <t>6.92</t>
    <phoneticPr fontId="0"/>
  </si>
  <si>
    <t>15</t>
    <phoneticPr fontId="0"/>
  </si>
  <si>
    <t>6.90</t>
    <phoneticPr fontId="0"/>
  </si>
  <si>
    <t>20</t>
    <phoneticPr fontId="0"/>
  </si>
  <si>
    <t>6.88</t>
    <phoneticPr fontId="0"/>
  </si>
  <si>
    <t>25</t>
    <phoneticPr fontId="0"/>
  </si>
  <si>
    <t>4.01</t>
    <phoneticPr fontId="0"/>
  </si>
  <si>
    <t>6.86</t>
    <phoneticPr fontId="0"/>
  </si>
  <si>
    <t>4.02</t>
    <phoneticPr fontId="0"/>
  </si>
  <si>
    <t>6.85</t>
    <phoneticPr fontId="0"/>
  </si>
  <si>
    <t>35</t>
    <phoneticPr fontId="0"/>
  </si>
  <si>
    <t>6.84</t>
    <phoneticPr fontId="0"/>
  </si>
  <si>
    <t>4.04</t>
    <phoneticPr fontId="0"/>
  </si>
  <si>
    <t xml:space="preserve">Điều chỉnh cả giá trị pH và nhiệt độ tương ứng với từng loại dung dịch 
chuẩn trong phạm vi ± 0.1 </t>
  </si>
  <si>
    <t>Đo pH</t>
  </si>
  <si>
    <t xml:space="preserve">1) </t>
  </si>
  <si>
    <t>Ngâm điện cực trong dung dịch mẫu sau khi đã khuấy</t>
  </si>
  <si>
    <t>Đọc giá trị pH trên màn hình sau khi giá trị đã ổn định</t>
  </si>
  <si>
    <t>Cần ngâm điện cực trong nước 12h trước khi sử dụng để phân tích nếu 
pH kế không được sử dụng trong thời gian dài</t>
  </si>
  <si>
    <t>a. Nhiệt độ của dung dịch chuẩn pH gần với nhiệt độ phòng</t>
  </si>
  <si>
    <t>b.Thiết lập nhiệt độ của pH kế đến nhiệt độ của dung dịch chuẩn pH nếu pH kế có chức năng điều chỉnh nhiệt độ.</t>
  </si>
  <si>
    <t xml:space="preserve">a. Sử dụng dung dịch Oxalate thay cho phthalate trong trường hợp pH của mẫu nhỏ hơn 2 và sử dụng dung dịch chuẩn pH là borate hoặc carbonate nếu pH lớn hơn 10 </t>
  </si>
  <si>
    <t>b. Rửa sạch điện cực bằng nước lau khô bằng khăn giấy trong trường hợp ngâm điện cực vào dung dịch chuẩn pH khác</t>
  </si>
  <si>
    <t>Bảng-3</t>
  </si>
  <si>
    <t xml:space="preserve">Giá trị pH của dung dịch pH chuẩn tương ứng với từng nhiệt độ. </t>
  </si>
  <si>
    <t>Oxalate</t>
    <phoneticPr fontId="0"/>
  </si>
  <si>
    <t>Borate</t>
    <phoneticPr fontId="0"/>
  </si>
  <si>
    <t>Carbonate</t>
    <phoneticPr fontId="0"/>
  </si>
  <si>
    <t>1.67</t>
    <phoneticPr fontId="0"/>
  </si>
  <si>
    <t>9.46</t>
    <phoneticPr fontId="0"/>
  </si>
  <si>
    <t>10.32</t>
    <phoneticPr fontId="0"/>
  </si>
  <si>
    <t>9.40</t>
    <phoneticPr fontId="0"/>
  </si>
  <si>
    <t>10.24</t>
    <phoneticPr fontId="0"/>
  </si>
  <si>
    <t>9.33</t>
    <phoneticPr fontId="0"/>
  </si>
  <si>
    <t>10.18</t>
    <phoneticPr fontId="0"/>
  </si>
  <si>
    <t>9.28</t>
    <phoneticPr fontId="0"/>
  </si>
  <si>
    <t>10.12</t>
    <phoneticPr fontId="0"/>
  </si>
  <si>
    <t>1.68</t>
    <phoneticPr fontId="0"/>
  </si>
  <si>
    <t>9.22</t>
    <phoneticPr fontId="0"/>
  </si>
  <si>
    <t>10.06</t>
    <phoneticPr fontId="0"/>
  </si>
  <si>
    <t>9.18</t>
    <phoneticPr fontId="0"/>
  </si>
  <si>
    <t>10.01</t>
    <phoneticPr fontId="0"/>
  </si>
  <si>
    <t>9.14</t>
    <phoneticPr fontId="0"/>
  </si>
  <si>
    <t>9.97</t>
    <phoneticPr fontId="0"/>
  </si>
  <si>
    <t>1.69</t>
    <phoneticPr fontId="0"/>
  </si>
  <si>
    <t>9.10</t>
    <phoneticPr fontId="0"/>
  </si>
  <si>
    <t>9.92</t>
    <phoneticPr fontId="0"/>
  </si>
  <si>
    <t>40</t>
    <phoneticPr fontId="0"/>
  </si>
  <si>
    <t>9.07</t>
    <phoneticPr fontId="0"/>
  </si>
  <si>
    <t>9.39</t>
    <phoneticPr fontId="0"/>
  </si>
  <si>
    <t xml:space="preserve">a. Đo ở nhiệt độ phòng và giảm thiểu tối đa sự sai lệch nhiệt độ giữa dung dịch mẫu và dung dịch pH chuẩn </t>
  </si>
  <si>
    <t>b. Ngâm điện cực của pH kế tới độ sâu được thể hiện ở hình 2. Rửa điện cực bằng nước và lau khô bằng khăn giấy trong trường hợp ngâm điện cực vào dung dịch chuẩn pH khác.</t>
  </si>
  <si>
    <t>Hình 2: Ví dụ về đo pH</t>
  </si>
  <si>
    <t>Các vấn đề cần báo cáo</t>
  </si>
  <si>
    <t>Báo cáo đo đạc pH bao gồm các thông tin sau:</t>
  </si>
  <si>
    <t>pH trong huyền phù của đất</t>
  </si>
  <si>
    <t>Nội dung trong trường hợp sử dụng những phương pháp khác từ phần
 4 của tiêu chuẩn này</t>
  </si>
  <si>
    <t>Những hướng dẫn khác</t>
  </si>
  <si>
    <t>Hội kỹ thuật địa chất Nhật Bản (JGS 0271-2015)</t>
  </si>
  <si>
    <t>1.</t>
    <phoneticPr fontId="0"/>
  </si>
  <si>
    <t>Chú ý</t>
  </si>
  <si>
    <t>Đất có thành phần hữu cơ cao được phân loại dựa vào JGS 0511 không nằm trong phạm vi áp dụng của phương pháp này bởi vì pH có khả năng giảm do sự oxi hóa các chất hữu cơ</t>
  </si>
  <si>
    <t>Các tiêu chuẩn trích dẫn</t>
  </si>
  <si>
    <t>JIS A 1201</t>
    <phoneticPr fontId="0"/>
  </si>
  <si>
    <t xml:space="preserve">Chuẩn bị mẫu đất xáo trộn để kiểm tra mẫu đất </t>
  </si>
  <si>
    <t>JIS K 0557</t>
    <phoneticPr fontId="0"/>
  </si>
  <si>
    <t>Nước cho việc kiểm tra dòng nước và nước thải</t>
  </si>
  <si>
    <t>JIS K 8230</t>
    <phoneticPr fontId="0"/>
  </si>
  <si>
    <t>Hydorogen peroxide (hóa chất)</t>
  </si>
  <si>
    <t>JIS R 3503</t>
    <phoneticPr fontId="0"/>
  </si>
  <si>
    <t>Dụng cụ thủy tinh cho việc phân tích</t>
  </si>
  <si>
    <t>JIS Z 8802</t>
    <phoneticPr fontId="0"/>
  </si>
  <si>
    <t>Phương pháp đo pH</t>
  </si>
  <si>
    <t xml:space="preserve"> </t>
    <phoneticPr fontId="0"/>
  </si>
  <si>
    <t>JGS 0051</t>
    <phoneticPr fontId="0"/>
  </si>
  <si>
    <t>Phương pháp phân loại mẫu đất</t>
  </si>
  <si>
    <t>JGS 0211</t>
    <phoneticPr fontId="0"/>
  </si>
  <si>
    <t>Phương pháp kiểm tra pH cho huyền phù của đất</t>
  </si>
  <si>
    <t>Thuật ngữ và định nghĩa</t>
  </si>
  <si>
    <t>Thuật ngữ và định nghĩa của tiêu chuẩn này được mô tả dưới đây.</t>
  </si>
  <si>
    <t>3.1</t>
    <phoneticPr fontId="0"/>
  </si>
  <si>
    <t>Khả năng oxi hóa</t>
  </si>
  <si>
    <t>Quá trình oxi hóa dất bắt nguồn từ các thành phần khoáng trong đất từ đó chỉ tiêu pH được đo đạc bằng cách oxi hóa bằng dung dịch hydrogen peroxide.</t>
  </si>
  <si>
    <t>pH đo được không biểu thị mức độ oxi hóa của đất trong môi trường bởi vì phương pháp này mẫu đất được được oxi hóa mạnh hơn trong môi trường thực tế.</t>
  </si>
  <si>
    <t>3.2</t>
    <phoneticPr fontId="0"/>
  </si>
  <si>
    <t>Mẫu đá nghiền</t>
  </si>
  <si>
    <t>Mẫu này được nghiền thành các hạt dưới 2 mm bằng búa hoặc các thiết bị nghiền.</t>
  </si>
  <si>
    <t>Thiết bị kiểm tra và hóa chất</t>
  </si>
  <si>
    <t>Thiết bị kiểm tra và hóa chất được mô tả bên dưới</t>
  </si>
  <si>
    <t>4.1</t>
    <phoneticPr fontId="0"/>
  </si>
  <si>
    <t>pH kế điện cực thủy tinh</t>
  </si>
  <si>
    <t>Giá trị tối thiểu đọc được dưới 0.1 được quy định trong JIS Z 8802</t>
  </si>
  <si>
    <t>4.2</t>
    <phoneticPr fontId="0"/>
  </si>
  <si>
    <t>Có thể đo được đến 0.01 g</t>
  </si>
  <si>
    <t>4.3</t>
    <phoneticPr fontId="0"/>
  </si>
  <si>
    <t>Nước A2 được quy định trong JIS K 0057</t>
  </si>
  <si>
    <t>4.4</t>
    <phoneticPr fontId="0"/>
  </si>
  <si>
    <t>Beaker cao</t>
  </si>
  <si>
    <t>Có thể tích từ 200ml đến 500ml được quy định trong JIS R 3503</t>
  </si>
  <si>
    <t>Chú ý 1</t>
  </si>
  <si>
    <t>Dung môi được sử dụng gấp 10 lần để an toàn cho người đo. Sử dụng beaker lớn hơn nếu dung dịch bắn ra ngoài.</t>
  </si>
  <si>
    <t>Chú ý 2</t>
  </si>
  <si>
    <t>Ví dụ về beaker cao trong hình 1</t>
  </si>
  <si>
    <t>Hình-1 Beaker cao ( Thể tích 200mL )</t>
  </si>
  <si>
    <t>4.5</t>
    <phoneticPr fontId="0"/>
  </si>
  <si>
    <t>Dung dịch hydrogen peroxide (30%) được quy định trong JIS K 8230</t>
  </si>
  <si>
    <t>Cần đọc kỹ các nguyên tắc an toàn vì hydrogen peroxide(30%) là một dung dịch mạnh. Đeo kính, găng tay và làm việc với các thiết bị và máy móc kín hoặc trong tủ hút.</t>
  </si>
  <si>
    <t>4.6</t>
    <phoneticPr fontId="0"/>
  </si>
  <si>
    <t>Dung dịch NaOH 10 mmol/L (0.04%)</t>
  </si>
  <si>
    <t>4.7</t>
    <phoneticPr fontId="0"/>
  </si>
  <si>
    <t xml:space="preserve"> Được quy định trong JIS Z 8802</t>
  </si>
  <si>
    <t>Dung dịch chuẩn phosphate trung tính pH 6.86</t>
  </si>
  <si>
    <t>Dung dịch chuẩn Phthalate pH 4.01 hoặc dung dịch chuẩn Borate 9.18</t>
  </si>
  <si>
    <t>4.8</t>
    <phoneticPr fontId="0"/>
  </si>
  <si>
    <t>Rây</t>
  </si>
  <si>
    <t>Rây có kích thước lỗ 2 mm</t>
  </si>
  <si>
    <t>4.9</t>
    <phoneticPr fontId="0"/>
  </si>
  <si>
    <t>Những thiết bị khác</t>
  </si>
  <si>
    <t>Thiết bị nghiền (cối chày kim loại, búa, máy nghiền)</t>
  </si>
  <si>
    <t>Mặt kính đồng hồ</t>
  </si>
  <si>
    <t>Đĩa đun, thiết bị gia nhiệt như là bếp gia nhiệt.</t>
  </si>
  <si>
    <t>Que khuấy</t>
  </si>
  <si>
    <t xml:space="preserve">Lưu ý </t>
  </si>
  <si>
    <t>Ví dụ mặt kính đồng hồ được trình bày như  Hình-2</t>
  </si>
  <si>
    <t>Hình-2 Mặt kính đồng hồ</t>
  </si>
  <si>
    <t>Mẫu được chuẩn bị theo mục  5.1 mẫu đất hoặc 5.2 mẫu đá được nghiền</t>
  </si>
  <si>
    <t>5.1</t>
    <phoneticPr fontId="0"/>
  </si>
  <si>
    <t>Mẫu đất</t>
  </si>
  <si>
    <t>Xáo trộn đất, rây bằng rây có kích thước 2mm sau khi đã loại bỏ những mẫu gỗ, chất vô cơ có kích thước lớn hơn 2mm</t>
  </si>
  <si>
    <t>Chuẩn bị mẫu ít nhất là 2g theo phương pháp mục 5.1 trong JIS A 1201  "Chuẩn bị mẫu đất xáo trộn để kiểm tra mẫu đất".</t>
  </si>
  <si>
    <t>5.2</t>
    <phoneticPr fontId="0"/>
  </si>
  <si>
    <t>Mẫu đá</t>
  </si>
  <si>
    <t>Nghiền mẫu đá có kích thước từ 10 ~ 20 mm bằng búa hoặc thiết bị nghiền. Sấy khô trong trường hợp mẫu có nước</t>
  </si>
  <si>
    <t>Rây mẫu bằng rây có kích thước 2mm</t>
  </si>
  <si>
    <t>Lưu ý 1</t>
  </si>
  <si>
    <t xml:space="preserve"> Tiêu chuẩn này không quy định về phương pháp nghiền, người thực hiện đo có thể chọn một trong các phương pháp sau đây: nghiền thủ công bằng búa hoặc cối chày, nghiền bằng máy.</t>
  </si>
  <si>
    <t>Lưu ý 2</t>
  </si>
  <si>
    <t>Sử dụng các thiết bị bảo hộ trong trường hợp dùng các thiết bị
 thủ công để nghiền đá.</t>
  </si>
  <si>
    <t>Chuẩn bị mẫu ít nhất là 2g theo phương pháp mục 5.1 như JIS A 1201  "Chuẩn bị mẫu đất xáo trộn để kiểm tra mẫu đất".</t>
  </si>
  <si>
    <t>Phương pháp kiểm tra được thực hiện theo các bước sau.</t>
  </si>
  <si>
    <t>6.1</t>
    <phoneticPr fontId="0"/>
  </si>
  <si>
    <t>Xử lý bằng dụng dịch hydro peroxide</t>
  </si>
  <si>
    <t>Xử lý bằng dụng dịch hydro peroxide được thực hiện bằng các bước sau</t>
  </si>
  <si>
    <t>Cân ms(g) mẫu và cho vào beaker.</t>
  </si>
  <si>
    <t>Cân tổng khối lượng của beaker và mẫu mt(g)</t>
  </si>
  <si>
    <t>Lưu ý</t>
  </si>
  <si>
    <t>Chính xác đến  0.01g</t>
  </si>
  <si>
    <t xml:space="preserve">Chỉnh pH dung dịch hydorogen peroxide  đến 6 bằng NaOH 10 mmol /L (0.04%)  </t>
  </si>
  <si>
    <r>
      <t>Thêm từ từ ms</t>
    </r>
    <r>
      <rPr>
        <sz val="11"/>
        <color theme="1"/>
        <rFont val="ＭＳ Ｐ明朝"/>
        <family val="1"/>
        <charset val="128"/>
      </rPr>
      <t xml:space="preserve">×10 </t>
    </r>
    <r>
      <rPr>
        <sz val="11"/>
        <color theme="1"/>
        <rFont val="Times New Roman"/>
        <family val="1"/>
      </rPr>
      <t>mL dung dịch H</t>
    </r>
    <r>
      <rPr>
        <vertAlign val="subscript"/>
        <sz val="11"/>
        <color theme="1"/>
        <rFont val="Times New Roman"/>
        <family val="1"/>
      </rPr>
      <t>2</t>
    </r>
    <r>
      <rPr>
        <sz val="11"/>
        <color theme="1"/>
        <rFont val="Times New Roman"/>
        <family val="1"/>
      </rPr>
      <t>O</t>
    </r>
    <r>
      <rPr>
        <vertAlign val="subscript"/>
        <sz val="11"/>
        <color theme="1"/>
        <rFont val="Times New Roman"/>
        <family val="1"/>
      </rPr>
      <t>2</t>
    </r>
    <r>
      <rPr>
        <sz val="11"/>
        <color theme="1"/>
        <rFont val="Times New Roman"/>
        <family val="1"/>
      </rPr>
      <t xml:space="preserve"> vào trong beaker và đậy bằng mặt kính đồng hồ.</t>
    </r>
  </si>
  <si>
    <t>Trong trường hợp có phản ứng mạnh xảy ra và có hiện tượng sủi bọt trong beaker.</t>
  </si>
  <si>
    <t>*</t>
    <phoneticPr fontId="0"/>
  </si>
  <si>
    <t>Thêm từ từ dung dịch hydro peroxide</t>
  </si>
  <si>
    <t>Làm lạnh beaker bằng nước</t>
  </si>
  <si>
    <t>Sử dụng beaker có dung tích lớn</t>
  </si>
  <si>
    <t>e)</t>
    <phoneticPr fontId="0"/>
  </si>
  <si>
    <t>Gia nhiệt beaker có đậy bằng mặt kính quan sát bằng bếp gia nhiệt cho đến khi beaker nóng lên (không sôi), đến khi phản ứng xảy ra hoàn toàn hoặc là không có phản ứng mạnh xảy ra. Trong lúc gia nhiệt dùng đũa thủy tinh khuấy đều.</t>
  </si>
  <si>
    <t>f)</t>
    <phoneticPr fontId="0"/>
  </si>
  <si>
    <t>Kết thúc quá trình gia nhiệt khi bóng khí mất đi và làm nguội beaker tới nhiệt độ phòng.</t>
  </si>
  <si>
    <t>Chú ý không quan sát khi dung dịch đang sôi lên trong lúc gia nhiệt.</t>
  </si>
  <si>
    <t>6.2</t>
    <phoneticPr fontId="0"/>
  </si>
  <si>
    <t>Hiệu chỉnh máy đo pH</t>
  </si>
  <si>
    <t>Được tiến hành thực hiện theo mục "6.1. Hiệu chỉnh máy đo pH" theo JGS 0211"Phương pháp xác định pH của đất".</t>
  </si>
  <si>
    <t>6.3</t>
    <phoneticPr fontId="0"/>
  </si>
  <si>
    <t>Mẫu được đo sau khi đã thêm nước và khuấy đều. Lượng nước được thêm vào sao cho tổng khối lượng của mẫu và beaker bằng với (mt+ms×10)g sau khi đã thêm nước vào.</t>
  </si>
  <si>
    <t>Mục đích là để phục hồi lại lượng nước sau quá trình gia nhiệt</t>
  </si>
  <si>
    <t>Nhúng điện cực vào trong dung dịch mẫu sau khi đã chuyển vào trong ống đo.</t>
  </si>
  <si>
    <t>Đọc giá trị pH khi pH ổn định.</t>
  </si>
  <si>
    <t>Đặt điện cực thủy tinh ngâm vào trong nước 12 tiếng trước nếu như điện cực không được sử dụng trong một khoản thời gian dài.</t>
  </si>
  <si>
    <t>Nhiệt độ của pH được đo bằng với nhiệt độ phòng. Cài đặt nhiệt độ của máy đo pH đến nhiệt độ chuẩn nếu như máy đo pH không có chức năng điều chỉnh nhiệt độ</t>
  </si>
  <si>
    <t>Lưu ý 3</t>
  </si>
  <si>
    <t>Dùng oxalate thay vì phthalate trong trường hợp pH của dung dịch mẫu nhỏ hơn 2 và sử dụng dụng dịch chuẩn pH borate hoặc là carbonate trong trường hợp pH lớn hơn 10.</t>
  </si>
  <si>
    <t>Lưu ý 4</t>
  </si>
  <si>
    <t>Rửa điện cực bằng nước và lau bằng khăn giấy trong trường hợp điện cực được ngâm vào trong một dung dịch chuẩn pH khác.</t>
  </si>
  <si>
    <t>Lưu ý 5</t>
  </si>
  <si>
    <t>Dung dịch phải được đo ở nhiệt độ phòng để giảm thiểu sự khác biệt nhiệt độ giữa dung dịch chuẩn pH và dung dịch mẫu.</t>
  </si>
  <si>
    <t>Lưu ý 6</t>
  </si>
  <si>
    <t>Hãy cẩn thận vì giá trị pH có thể không có độ lặp trong khoảng  ±0.1. Bằng cách này nó có thể được đo mà không cần phải chuyển dung dịch mẫu vào trong một vật chứa khác trong trường hợp điện cực pH ngập sâu vào trong phần dung dịch như hình số 3.</t>
  </si>
  <si>
    <t>Lưu ý 7</t>
  </si>
  <si>
    <t>Có thể còn sót lại đất và đá khi chuyển dung dịch mẫu vào trong ống đo pH.</t>
  </si>
  <si>
    <t>Lưu ý 8</t>
  </si>
  <si>
    <t>Có thể giá trị pH không giữ nguyên trong khoảng ±0.1 vì giá trị pH dễ thay đổi trong trường hợp đặc tính hấp thụ của mẫu thấp. Hãy tính giá trị pH bằng giá trị trung bình trong vòng  ±0.2 nếu gặp trường hợp này.</t>
  </si>
  <si>
    <t>7.</t>
    <phoneticPr fontId="2"/>
  </si>
  <si>
    <t>Báo cáo đo đạc bao gồm những thông tin sau:</t>
  </si>
  <si>
    <t>Thông tin mẫu</t>
  </si>
  <si>
    <t>Thông tin của mẫu được cho dưới đây:</t>
  </si>
  <si>
    <t>Điểm lấy mẫu (Vị trí lấy mẫu , Độ sâu lấy mẫu)</t>
  </si>
  <si>
    <t>Loại đất và đá</t>
  </si>
  <si>
    <t>Yêu cầu mô tả Andesite hoặc Mudstone</t>
  </si>
  <si>
    <t>7.2</t>
    <phoneticPr fontId="2"/>
  </si>
  <si>
    <t>Thông tin về phương pháp đo</t>
  </si>
  <si>
    <t>Thông tin về phương pháp đo được cho dưới đây:</t>
  </si>
  <si>
    <t>Phương pháp chuẩn bị mẫu</t>
  </si>
  <si>
    <t>Phương pháp chuẩn bị mẫu được mô tả trong mục số 5</t>
  </si>
  <si>
    <t>Khối lượng mẫu ms (g)</t>
  </si>
  <si>
    <t>7.3</t>
    <phoneticPr fontId="2"/>
  </si>
  <si>
    <t>Thông tin về kết quả đo</t>
  </si>
  <si>
    <t>Thông tin về kết quả đo được cho dưới đây:</t>
  </si>
  <si>
    <t>Dung dịch mẫu đo pH</t>
  </si>
  <si>
    <t>Lưu  ý</t>
  </si>
  <si>
    <t>Đo tới 1 số thập phân. Làm tròn 2 số thập phân trong trường hợp đo tới 2 số thập phân hoặc giá trị trung bình.</t>
  </si>
  <si>
    <t>Nội dung của những phương pháp khác ngoài tiêu chuẩn này.</t>
  </si>
  <si>
    <t>Những hướng dẫn đặc biệt khác</t>
  </si>
  <si>
    <t>Thực hiện đo mẫu đất sau khi loại bỏ phần bị oxi hóa có màu vàng nâu</t>
  </si>
  <si>
    <t xml:space="preserve"> Cho nước vào nhiều hơn quy định bởi vì mẫu sẽ không tạo huyền phù nếu cho nước vào theo quy định</t>
  </si>
  <si>
    <t>Hướng dẫn đặc biệt</t>
  </si>
  <si>
    <t>Giá trị trung bình w</t>
  </si>
  <si>
    <t>g</t>
    <phoneticPr fontId="2"/>
  </si>
  <si>
    <r>
      <t>m</t>
    </r>
    <r>
      <rPr>
        <vertAlign val="subscript"/>
        <sz val="11"/>
        <color theme="1"/>
        <rFont val="Times New Roman"/>
        <family val="1"/>
      </rPr>
      <t>c</t>
    </r>
  </si>
  <si>
    <r>
      <t>m</t>
    </r>
    <r>
      <rPr>
        <vertAlign val="subscript"/>
        <sz val="11"/>
        <color theme="1"/>
        <rFont val="Times New Roman"/>
        <family val="1"/>
      </rPr>
      <t>b</t>
    </r>
  </si>
  <si>
    <r>
      <t>m</t>
    </r>
    <r>
      <rPr>
        <vertAlign val="subscript"/>
        <sz val="11"/>
        <color theme="1"/>
        <rFont val="Times New Roman"/>
        <family val="1"/>
      </rPr>
      <t>a</t>
    </r>
  </si>
  <si>
    <t>Bình chứa số</t>
  </si>
  <si>
    <t>Trung bình xmS/m</t>
  </si>
  <si>
    <t>Giá trị đo xmS/m</t>
  </si>
  <si>
    <t>Trung bình</t>
  </si>
  <si>
    <t>Giá trị đo</t>
  </si>
  <si>
    <t>pH</t>
    <phoneticPr fontId="2"/>
  </si>
  <si>
    <t>Nhiệt độ dung dịch mẫu</t>
  </si>
  <si>
    <r>
      <t>R</t>
    </r>
    <r>
      <rPr>
        <vertAlign val="subscript"/>
        <sz val="11"/>
        <color rgb="FFFF0000"/>
        <rFont val="Times New Roman"/>
        <family val="1"/>
      </rPr>
      <t>w</t>
    </r>
  </si>
  <si>
    <t>Tỷ lệ khối lượng nước của mẫu trước khi làm khô</t>
  </si>
  <si>
    <r>
      <t>V</t>
    </r>
    <r>
      <rPr>
        <vertAlign val="subscript"/>
        <sz val="11"/>
        <color theme="1"/>
        <rFont val="Times New Roman"/>
        <family val="1"/>
      </rPr>
      <t>w</t>
    </r>
    <r>
      <rPr>
        <sz val="11"/>
        <color theme="1"/>
        <rFont val="Times New Roman"/>
        <family val="1"/>
      </rPr>
      <t>ml</t>
    </r>
  </si>
  <si>
    <t xml:space="preserve">Thể tích nước thêm vào </t>
  </si>
  <si>
    <r>
      <t>m</t>
    </r>
    <r>
      <rPr>
        <vertAlign val="subscript"/>
        <sz val="11"/>
        <color rgb="FFFF0000"/>
        <rFont val="Times New Roman"/>
        <family val="1"/>
      </rPr>
      <t>s</t>
    </r>
    <r>
      <rPr>
        <sz val="11"/>
        <color rgb="FFFF0000"/>
        <rFont val="Times New Roman"/>
        <family val="1"/>
      </rPr>
      <t>g</t>
    </r>
  </si>
  <si>
    <t>Khối lượng mẫu khô tính toán</t>
  </si>
  <si>
    <t>m g</t>
    <phoneticPr fontId="2"/>
  </si>
  <si>
    <t>Khối lượng mẫu ướt</t>
  </si>
  <si>
    <t>4A</t>
    <phoneticPr fontId="2"/>
  </si>
  <si>
    <t>3B</t>
    <phoneticPr fontId="2"/>
  </si>
  <si>
    <t>Beaker số</t>
  </si>
  <si>
    <r>
      <t>T1-2(2.00</t>
    </r>
    <r>
      <rPr>
        <sz val="11"/>
        <color theme="1"/>
        <rFont val="ＭＳ Ｐ明朝"/>
        <family val="1"/>
        <charset val="128"/>
      </rPr>
      <t>～</t>
    </r>
    <r>
      <rPr>
        <sz val="11"/>
        <color theme="1"/>
        <rFont val="Times New Roman"/>
        <family val="1"/>
      </rPr>
      <t>2.80m)</t>
    </r>
    <r>
      <rPr>
        <sz val="11"/>
        <color theme="1"/>
        <rFont val="Calibri"/>
        <family val="2"/>
        <charset val="128"/>
        <scheme val="minor"/>
      </rPr>
      <t/>
    </r>
  </si>
  <si>
    <r>
      <t>T1-1(1.00</t>
    </r>
    <r>
      <rPr>
        <sz val="11"/>
        <color theme="1"/>
        <rFont val="ＭＳ Ｐ明朝"/>
        <family val="1"/>
        <charset val="128"/>
      </rPr>
      <t>～</t>
    </r>
    <r>
      <rPr>
        <sz val="11"/>
        <color theme="1"/>
        <rFont val="Times New Roman"/>
        <family val="1"/>
      </rPr>
      <t>1.80m)</t>
    </r>
  </si>
  <si>
    <t>Mẫu số (độ sâu )</t>
  </si>
  <si>
    <t>Đất có màu nâu đen</t>
  </si>
  <si>
    <t>Sử dụng 30g mẫu khô trong trường hợp kích thước hạt lớn hơn 2mm</t>
  </si>
  <si>
    <t xml:space="preserve"> Trung bình w</t>
  </si>
  <si>
    <t>Khay chứa No.</t>
  </si>
  <si>
    <t xml:space="preserve"> Hàm lượng nước</t>
  </si>
  <si>
    <t xml:space="preserve">Giá trị đo </t>
  </si>
  <si>
    <t>EC (mS/m)</t>
  </si>
  <si>
    <t>2B</t>
    <phoneticPr fontId="2"/>
  </si>
  <si>
    <t>1A</t>
    <phoneticPr fontId="2"/>
  </si>
  <si>
    <t>Beaker No.</t>
  </si>
  <si>
    <r>
      <t>Nhiệt độ  (</t>
    </r>
    <r>
      <rPr>
        <sz val="11"/>
        <color theme="1"/>
        <rFont val="ＭＳ Ｐ明朝"/>
        <family val="1"/>
        <charset val="128"/>
      </rPr>
      <t>℃</t>
    </r>
    <r>
      <rPr>
        <sz val="11"/>
        <color theme="1"/>
        <rFont val="Times New Roman"/>
        <family val="1"/>
      </rPr>
      <t>)</t>
    </r>
  </si>
  <si>
    <t>Dung dịch chuẩn sử dụng</t>
  </si>
  <si>
    <t>Masami Oue</t>
    <phoneticPr fontId="2"/>
  </si>
  <si>
    <t>Người đo</t>
  </si>
  <si>
    <t>Ngày đo</t>
  </si>
  <si>
    <t>Tiêu đề đo đạc</t>
  </si>
  <si>
    <t>0212</t>
    <phoneticPr fontId="2"/>
  </si>
  <si>
    <r>
      <t xml:space="preserve">Chỉ tiêu đo ( </t>
    </r>
    <r>
      <rPr>
        <sz val="12"/>
        <color theme="1"/>
        <rFont val="ＭＳ Ｐ明朝"/>
        <family val="1"/>
        <charset val="128"/>
      </rPr>
      <t>　</t>
    </r>
    <r>
      <rPr>
        <sz val="12"/>
        <color theme="1"/>
        <rFont val="Times New Roman"/>
        <family val="1"/>
      </rPr>
      <t>pH</t>
    </r>
    <r>
      <rPr>
        <sz val="12"/>
        <color theme="1"/>
        <rFont val="ＭＳ Ｐ明朝"/>
        <family val="1"/>
        <charset val="128"/>
      </rPr>
      <t>　</t>
    </r>
    <r>
      <rPr>
        <sz val="12"/>
        <color theme="1"/>
        <rFont val="Times New Roman"/>
        <family val="1"/>
      </rPr>
      <t xml:space="preserve"> </t>
    </r>
    <r>
      <rPr>
        <sz val="12"/>
        <color theme="1"/>
        <rFont val="ＭＳ Ｐ明朝"/>
        <family val="1"/>
        <charset val="128"/>
      </rPr>
      <t>・　</t>
    </r>
    <r>
      <rPr>
        <sz val="12"/>
        <color theme="1"/>
        <rFont val="Times New Roman"/>
        <family val="1"/>
      </rPr>
      <t>　độ dẫn điện</t>
    </r>
    <r>
      <rPr>
        <sz val="12"/>
        <color theme="1"/>
        <rFont val="ＭＳ Ｐ明朝"/>
        <family val="1"/>
        <charset val="128"/>
      </rPr>
      <t>　</t>
    </r>
    <r>
      <rPr>
        <sz val="12"/>
        <color theme="1"/>
        <rFont val="Times New Roman"/>
        <family val="1"/>
      </rPr>
      <t>) của huyền phù đất</t>
    </r>
  </si>
  <si>
    <t>0211</t>
    <phoneticPr fontId="2"/>
  </si>
  <si>
    <t>JGS</t>
    <phoneticPr fontId="2"/>
  </si>
  <si>
    <t>Số kiểm soát</t>
  </si>
  <si>
    <t>Số ban hành</t>
  </si>
  <si>
    <t>Số xét duyệt</t>
  </si>
  <si>
    <r>
      <t>Phương pháp đo pH trong đất và đá sử dụng dung dịch hydorogen peroxide H</t>
    </r>
    <r>
      <rPr>
        <b/>
        <vertAlign val="subscript"/>
        <sz val="11"/>
        <color theme="1"/>
        <rFont val="Times New Roman"/>
        <family val="1"/>
      </rPr>
      <t>2</t>
    </r>
    <r>
      <rPr>
        <b/>
        <sz val="11"/>
        <color theme="1"/>
        <rFont val="Times New Roman"/>
        <family val="1"/>
      </rPr>
      <t>O</t>
    </r>
    <r>
      <rPr>
        <b/>
        <vertAlign val="subscript"/>
        <sz val="11"/>
        <color theme="1"/>
        <rFont val="Times New Roman"/>
        <family val="1"/>
      </rPr>
      <t>2</t>
    </r>
  </si>
  <si>
    <t>Rây kim loại được quy định trong JIS Z 8801-1 hoặc có thể sử dụng loại phi
 kim loại</t>
  </si>
  <si>
    <t>Thích hợp sử dụng lò nung tự động có luồng khí lưu thông được thổi bằng quạt điện</t>
  </si>
  <si>
    <t>Chuẩn bị mẫu</t>
  </si>
  <si>
    <t>Mục 2 của tiêu chuẩn này mô tả phương pháp đo hàm lượng nước trong đất bằng lò nung tự động</t>
  </si>
  <si>
    <t>Định nghĩa của tiêu chuẩn này được mô tả dưới đây</t>
  </si>
  <si>
    <r>
      <t>Tỉ lệ khối lượng của nước trong đất mất đi ở 100</t>
    </r>
    <r>
      <rPr>
        <sz val="11"/>
        <color theme="1"/>
        <rFont val="Calibri"/>
        <family val="2"/>
      </rPr>
      <t>±</t>
    </r>
    <r>
      <rPr>
        <sz val="11"/>
        <color theme="1"/>
        <rFont val="Times New Roman"/>
        <family val="1"/>
      </rPr>
      <t>5 ℃ trong lò nung tự động để sấy khô đất được thể hiện bằng phần trăm.</t>
    </r>
  </si>
  <si>
    <t xml:space="preserve">           b) </t>
  </si>
  <si>
    <t xml:space="preserve">2)        a) </t>
  </si>
  <si>
    <r>
      <t>Tiêu chuẩn này quy định phương pháp kiểm tra pH của huyền phù đất. Đất được tiền xử lý bằng dung dịch H</t>
    </r>
    <r>
      <rPr>
        <vertAlign val="subscript"/>
        <sz val="11"/>
        <color theme="1"/>
        <rFont val="Times New Roman"/>
        <family val="1"/>
      </rPr>
      <t>2</t>
    </r>
    <r>
      <rPr>
        <sz val="11"/>
        <color theme="1"/>
        <rFont val="Times New Roman"/>
        <family val="1"/>
      </rPr>
      <t>O</t>
    </r>
    <r>
      <rPr>
        <vertAlign val="subscript"/>
        <sz val="11"/>
        <color theme="1"/>
        <rFont val="Times New Roman"/>
        <family val="1"/>
      </rPr>
      <t>2</t>
    </r>
    <r>
      <rPr>
        <sz val="11"/>
        <color theme="1"/>
        <rFont val="Times New Roman"/>
        <family val="1"/>
      </rPr>
      <t xml:space="preserve"> và nước để đánh giá khả năng axit hóa của đất. Đất được sử dụng để kiểm tra là loại đất được loại bỏ các hạt đất và đá có kích thước trên 2 mm.</t>
    </r>
  </si>
  <si>
    <t>Các tiêu chuẩn dưới đây được trích dẫn một phần đến tiêu chuẩn này. Các tiêu chuẩn trích dẫn được áp dụng phiên bản mới nhất.</t>
  </si>
  <si>
    <t>Dung dịch hydorogen peroxide</t>
  </si>
  <si>
    <t xml:space="preserve">Dung dịch sodium hydroxide </t>
  </si>
  <si>
    <r>
      <rPr>
        <sz val="11"/>
        <color rgb="FFFF0000"/>
        <rFont val="Times New Roman"/>
        <family val="1"/>
      </rPr>
      <t>Sử dụng mẫu đã xử lý theo mục 6.3 phương pháp làm khô tự nhiên theo JIS A 1201 "Chuẩn bị mẫu đất xáo trộn để kiểm tra mẫu đất".
* 6.3 Phương pháp làm khô bằng không khí trong JIS A 1201
Làm khô mẫu cho đến khi hàm lượng nước bằng với hàm lượng nước trong phòng. Khuấy và trộn đều trong quá trình làm khô. Khi mẫu bị đóng cục, dùng tay để bóp mẫu. Bảo quản mẫu để không thay đổi hàm lượng nước.
Chú ý: có thể sử dụng tủ sấy ở nhiệt độ dưới 50 ℃ để sấy mẫu trong trường hợp cần làm khô nhanh.</t>
    </r>
    <r>
      <rPr>
        <sz val="11"/>
        <color theme="1"/>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</si>
</sst>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409]d\-mmm\-yy;@"/>
    <numFmt numFmtId="165" formatCode="0.0"/>
    <numFmt numFmtId="166" formatCode="[$-101042A]d\ mmmm\ yyyy;@"/>
    <numFmt numFmtId="167" formatCode="0.000"/>
  </numFmts>
  <fonts count="24">
    <font>
      <sz val="11"/>
      <color theme="1"/>
      <name val="Calibri"/>
      <family val="2"/>
      <scheme val="minor"/>
    </font>
    <font>
      <sz val="11"/>
      <color theme="1"/>
      <name val="Calibri"/>
      <family val="2"/>
      <charset val="128"/>
      <scheme val="minor"/>
    </font>
    <font>
      <sz val="6"/>
      <name val="Calibri"/>
      <family val="3"/>
      <charset val="128"/>
      <scheme val="minor"/>
    </font>
    <font>
      <sz val="11"/>
      <color theme="1"/>
      <name val="Times New Roman"/>
      <family val="1"/>
    </font>
    <font>
      <sz val="11"/>
      <color theme="1"/>
      <name val="ＭＳ Ｐ明朝"/>
      <family val="1"/>
      <charset val="128"/>
    </font>
    <font>
      <sz val="11"/>
      <color rgb="FFFF0000"/>
      <name val="Times New Roman"/>
      <family val="1"/>
    </font>
    <font>
      <sz val="12"/>
      <color theme="1"/>
      <name val="Times New Roman"/>
      <family val="1"/>
    </font>
    <font>
      <sz val="12"/>
      <color theme="1"/>
      <name val="ＭＳ Ｐ明朝"/>
      <family val="1"/>
      <charset val="128"/>
    </font>
    <font>
      <b/>
      <sz val="11"/>
      <color theme="1"/>
      <name val="Times New Roman"/>
      <family val="1"/>
    </font>
    <font>
      <vertAlign val="subscript"/>
      <sz val="11"/>
      <color theme="1"/>
      <name val="Times New Roman"/>
      <family val="1"/>
    </font>
    <font>
      <vertAlign val="subscript"/>
      <sz val="11"/>
      <color rgb="FFFF0000"/>
      <name val="Times New Roman"/>
      <family val="1"/>
    </font>
    <font>
      <sz val="8"/>
      <color theme="1"/>
      <name val="Times New Roman"/>
      <family val="1"/>
    </font>
    <font>
      <sz val="11"/>
      <color rgb="FF00B0F0"/>
      <name val="Times New Roman"/>
      <family val="1"/>
    </font>
    <font>
      <sz val="11"/>
      <color rgb="FF0070C0"/>
      <name val="Times New Roman"/>
      <family val="1"/>
    </font>
    <font>
      <sz val="11"/>
      <name val="Times New Roman"/>
      <family val="1"/>
    </font>
    <font>
      <sz val="9"/>
      <color rgb="FF0066CC"/>
      <name val="Times New Roman"/>
      <family val="1"/>
    </font>
    <font>
      <sz val="20"/>
      <color theme="1"/>
      <name val="Times New Roman"/>
      <family val="1"/>
    </font>
    <font>
      <sz val="28"/>
      <color theme="1"/>
      <name val="Times New Roman"/>
      <family val="1"/>
    </font>
    <font>
      <sz val="18"/>
      <color theme="1"/>
      <name val="Times New Roman"/>
      <family val="1"/>
    </font>
    <font>
      <sz val="10"/>
      <color theme="1"/>
      <name val="Times New Roman"/>
      <family val="1"/>
    </font>
    <font>
      <sz val="11"/>
      <color theme="1"/>
      <name val="Calibri"/>
      <family val="2"/>
    </font>
    <font>
      <b/>
      <sz val="9"/>
      <color indexed="81"/>
      <name val="ＭＳ Ｐゴシック"/>
      <family val="3"/>
      <charset val="128"/>
    </font>
    <font>
      <sz val="9"/>
      <color indexed="81"/>
      <name val="ＭＳ Ｐゴシック"/>
      <family val="3"/>
      <charset val="128"/>
    </font>
    <font>
      <b/>
      <vertAlign val="subscript"/>
      <sz val="11"/>
      <color theme="1"/>
      <name val="Times New Roman"/>
      <family val="1"/>
    </font>
  </fonts>
  <fills count="3">
    <fill>
      <patternFill patternType="none"/>
    </fill>
    <fill>
      <patternFill patternType="gray125"/>
    </fill>
    <fill>
      <patternFill patternType="solid">
        <fgColor theme="0"/>
        <bgColor indexed="64"/>
      </patternFill>
    </fill>
  </fills>
  <borders count="28">
    <border>
      <left/>
      <right/>
      <top/>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auto="1"/>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medium">
        <color indexed="64"/>
      </bottom>
      <diagonal/>
    </border>
    <border>
      <left/>
      <right/>
      <top style="thin">
        <color indexed="64"/>
      </top>
      <bottom style="thin">
        <color indexed="64"/>
      </bottom>
      <diagonal/>
    </border>
    <border>
      <left/>
      <right style="thin">
        <color indexed="64"/>
      </right>
      <top style="dotted">
        <color indexed="64"/>
      </top>
      <bottom/>
      <diagonal/>
    </border>
  </borders>
  <cellStyleXfs count="1">
    <xf numFmtId="0" fontId="0" fillId="0" borderId="0"/>
  </cellStyleXfs>
  <cellXfs count="144">
    <xf numFmtId="0" fontId="0" fillId="0" borderId="0" xfId="0"/>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0" xfId="0" applyNumberFormat="1" applyFont="1" applyAlignment="1">
      <alignment horizontal="left" vertical="center"/>
    </xf>
    <xf numFmtId="0" fontId="3" fillId="0" borderId="0" xfId="0" applyFont="1"/>
    <xf numFmtId="49" fontId="3" fillId="0" borderId="0" xfId="0" applyNumberFormat="1" applyFont="1" applyAlignment="1">
      <alignment vertical="center" wrapText="1"/>
    </xf>
    <xf numFmtId="49" fontId="3" fillId="0" borderId="0" xfId="0" applyNumberFormat="1" applyFont="1" applyBorder="1" applyAlignment="1">
      <alignment vertical="center"/>
    </xf>
    <xf numFmtId="49" fontId="3" fillId="0" borderId="0" xfId="0" applyNumberFormat="1" applyFont="1" applyAlignment="1">
      <alignment vertical="top" wrapText="1"/>
    </xf>
    <xf numFmtId="49" fontId="8" fillId="0" borderId="0" xfId="0" applyNumberFormat="1" applyFont="1" applyAlignment="1">
      <alignment horizontal="left" vertical="center"/>
    </xf>
    <xf numFmtId="49" fontId="8" fillId="0" borderId="0" xfId="0" applyNumberFormat="1" applyFont="1" applyAlignment="1">
      <alignment vertical="center"/>
    </xf>
    <xf numFmtId="49" fontId="3" fillId="0" borderId="0" xfId="0" applyNumberFormat="1" applyFont="1" applyBorder="1" applyAlignment="1">
      <alignment horizontal="left" vertical="center"/>
    </xf>
    <xf numFmtId="49" fontId="3" fillId="0" borderId="1" xfId="0" applyNumberFormat="1" applyFont="1" applyBorder="1" applyAlignment="1">
      <alignment vertical="center"/>
    </xf>
    <xf numFmtId="49" fontId="4" fillId="0" borderId="0" xfId="0" applyNumberFormat="1" applyFont="1" applyAlignment="1">
      <alignment vertical="center"/>
    </xf>
    <xf numFmtId="49" fontId="3" fillId="0" borderId="0" xfId="0" applyNumberFormat="1" applyFont="1" applyAlignment="1">
      <alignment horizontal="left" vertical="center" shrinkToFit="1"/>
    </xf>
    <xf numFmtId="49" fontId="3" fillId="0" borderId="0" xfId="0" applyNumberFormat="1" applyFont="1" applyBorder="1" applyAlignment="1">
      <alignment horizontal="right" vertical="center"/>
    </xf>
    <xf numFmtId="49" fontId="3" fillId="0" borderId="0" xfId="0" applyNumberFormat="1" applyFont="1" applyBorder="1" applyAlignment="1">
      <alignment vertical="center" wrapText="1"/>
    </xf>
    <xf numFmtId="49" fontId="14" fillId="0" borderId="0" xfId="0" applyNumberFormat="1" applyFont="1" applyAlignment="1">
      <alignment horizontal="left" vertical="center"/>
    </xf>
    <xf numFmtId="0" fontId="6" fillId="0" borderId="0" xfId="0" applyFont="1"/>
    <xf numFmtId="0" fontId="15" fillId="0" borderId="0" xfId="0" applyFont="1"/>
    <xf numFmtId="0" fontId="3" fillId="0" borderId="0" xfId="0" applyFont="1" applyAlignment="1">
      <alignment vertical="center"/>
    </xf>
    <xf numFmtId="0" fontId="3" fillId="0" borderId="0" xfId="0" applyFont="1" applyBorder="1" applyAlignment="1">
      <alignment vertical="center"/>
    </xf>
    <xf numFmtId="49" fontId="3" fillId="0" borderId="0" xfId="0" applyNumberFormat="1" applyFont="1" applyAlignment="1">
      <alignment horizontal="center" vertical="center"/>
    </xf>
    <xf numFmtId="49" fontId="3" fillId="0" borderId="0" xfId="0" applyNumberFormat="1" applyFont="1" applyBorder="1" applyAlignment="1">
      <alignment horizontal="left" vertical="center" wrapText="1"/>
    </xf>
    <xf numFmtId="49" fontId="3" fillId="0" borderId="0" xfId="0" applyNumberFormat="1" applyFont="1" applyAlignment="1">
      <alignment horizontal="left" vertical="center" wrapText="1"/>
    </xf>
    <xf numFmtId="49" fontId="3" fillId="0" borderId="0" xfId="0" applyNumberFormat="1" applyFont="1" applyBorder="1" applyAlignment="1">
      <alignment horizontal="center" vertical="center" shrinkToFit="1"/>
    </xf>
    <xf numFmtId="49" fontId="14" fillId="0" borderId="0" xfId="0" applyNumberFormat="1" applyFont="1" applyAlignment="1">
      <alignment horizontal="left" vertical="center" wrapText="1"/>
    </xf>
    <xf numFmtId="49" fontId="3" fillId="0" borderId="7" xfId="0" applyNumberFormat="1" applyFont="1" applyBorder="1" applyAlignment="1">
      <alignment vertical="center"/>
    </xf>
    <xf numFmtId="49" fontId="3" fillId="0" borderId="2" xfId="0" applyNumberFormat="1" applyFont="1" applyBorder="1" applyAlignment="1">
      <alignment vertical="center"/>
    </xf>
    <xf numFmtId="49" fontId="8" fillId="0" borderId="0" xfId="0" applyNumberFormat="1" applyFont="1" applyAlignment="1">
      <alignment horizontal="right" vertical="center"/>
    </xf>
    <xf numFmtId="49" fontId="8" fillId="0" borderId="0" xfId="0" applyNumberFormat="1" applyFont="1" applyAlignment="1">
      <alignment horizontal="left" vertical="center"/>
    </xf>
    <xf numFmtId="49" fontId="5" fillId="0" borderId="0" xfId="0" applyNumberFormat="1" applyFont="1" applyAlignment="1">
      <alignment horizontal="left" vertical="top" wrapText="1"/>
    </xf>
    <xf numFmtId="0" fontId="8" fillId="0" borderId="0" xfId="0" applyFont="1"/>
    <xf numFmtId="49" fontId="3" fillId="0" borderId="0" xfId="0" applyNumberFormat="1" applyFont="1"/>
    <xf numFmtId="0" fontId="3" fillId="0" borderId="0" xfId="0" applyFont="1" applyAlignment="1">
      <alignment horizontal="right"/>
    </xf>
    <xf numFmtId="0" fontId="3" fillId="0" borderId="0" xfId="0" applyFont="1" applyAlignment="1">
      <alignment horizontal="left"/>
    </xf>
    <xf numFmtId="0" fontId="3" fillId="0" borderId="0" xfId="0" applyFont="1" applyAlignment="1">
      <alignment vertical="top"/>
    </xf>
    <xf numFmtId="49" fontId="4" fillId="0" borderId="0" xfId="0" applyNumberFormat="1" applyFont="1" applyBorder="1" applyAlignment="1">
      <alignment vertical="center"/>
    </xf>
    <xf numFmtId="49" fontId="8" fillId="0" borderId="0" xfId="0" applyNumberFormat="1" applyFont="1" applyAlignment="1">
      <alignment horizontal="left" vertical="center" wrapText="1"/>
    </xf>
    <xf numFmtId="49" fontId="8" fillId="0" borderId="0" xfId="0" applyNumberFormat="1" applyFont="1" applyBorder="1" applyAlignment="1">
      <alignment vertical="center"/>
    </xf>
    <xf numFmtId="49" fontId="8" fillId="0" borderId="0" xfId="0" applyNumberFormat="1" applyFont="1" applyBorder="1" applyAlignment="1">
      <alignment horizontal="left" vertical="center"/>
    </xf>
    <xf numFmtId="49" fontId="3" fillId="0" borderId="0" xfId="0" applyNumberFormat="1" applyFont="1" applyAlignment="1">
      <alignment horizontal="left" vertical="top" wrapText="1"/>
    </xf>
    <xf numFmtId="49" fontId="3" fillId="0" borderId="0" xfId="0" applyNumberFormat="1" applyFont="1" applyBorder="1" applyAlignment="1">
      <alignment horizontal="left" vertical="top" wrapText="1"/>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0" fontId="3" fillId="0" borderId="0" xfId="0" applyFont="1" applyAlignment="1">
      <alignment horizontal="left" vertical="top" wrapText="1"/>
    </xf>
    <xf numFmtId="49" fontId="3" fillId="0" borderId="0" xfId="0" applyNumberFormat="1" applyFont="1" applyAlignment="1">
      <alignment horizontal="left" vertical="center" wrapText="1"/>
    </xf>
    <xf numFmtId="49" fontId="14" fillId="0" borderId="0" xfId="0" applyNumberFormat="1" applyFont="1" applyAlignment="1">
      <alignment horizontal="left" vertical="center" wrapText="1"/>
    </xf>
    <xf numFmtId="49" fontId="3" fillId="0" borderId="7" xfId="0" applyNumberFormat="1" applyFont="1" applyBorder="1" applyAlignment="1">
      <alignment horizontal="center" vertical="center"/>
    </xf>
    <xf numFmtId="49" fontId="3" fillId="0" borderId="8" xfId="0" applyNumberFormat="1" applyFont="1" applyBorder="1" applyAlignment="1">
      <alignment horizontal="center" vertical="center"/>
    </xf>
    <xf numFmtId="0" fontId="3" fillId="0" borderId="0" xfId="0" applyFont="1" applyAlignment="1">
      <alignment horizontal="left" vertical="top"/>
    </xf>
    <xf numFmtId="49" fontId="3" fillId="0" borderId="17" xfId="0" applyNumberFormat="1" applyFont="1" applyBorder="1" applyAlignment="1">
      <alignment horizontal="center" vertical="center"/>
    </xf>
    <xf numFmtId="49" fontId="3" fillId="0" borderId="15" xfId="0" applyNumberFormat="1" applyFont="1" applyBorder="1" applyAlignment="1">
      <alignment horizontal="center" vertical="center"/>
    </xf>
    <xf numFmtId="0" fontId="8"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center" vertical="center"/>
    </xf>
    <xf numFmtId="49" fontId="3" fillId="0" borderId="0" xfId="0" applyNumberFormat="1" applyFont="1" applyAlignment="1">
      <alignment horizontal="center" vertical="center"/>
    </xf>
    <xf numFmtId="49" fontId="3" fillId="0" borderId="0"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0" xfId="0" applyNumberFormat="1" applyFont="1" applyAlignment="1">
      <alignment horizontal="left" vertical="center"/>
    </xf>
    <xf numFmtId="49" fontId="3" fillId="0" borderId="0" xfId="0" applyNumberFormat="1" applyFont="1" applyBorder="1" applyAlignment="1">
      <alignment horizontal="center" vertical="center" shrinkToFit="1"/>
    </xf>
    <xf numFmtId="49" fontId="3" fillId="0" borderId="26" xfId="0" applyNumberFormat="1" applyFont="1" applyBorder="1" applyAlignment="1">
      <alignment horizontal="center" vertical="center"/>
    </xf>
    <xf numFmtId="0" fontId="18" fillId="0" borderId="0" xfId="0" applyFont="1" applyAlignment="1">
      <alignment horizontal="center" vertical="center"/>
    </xf>
    <xf numFmtId="0" fontId="8" fillId="0" borderId="16" xfId="0" applyFont="1" applyBorder="1" applyAlignment="1">
      <alignment horizontal="center" vertical="center"/>
    </xf>
    <xf numFmtId="49" fontId="3" fillId="0" borderId="16" xfId="0" applyNumberFormat="1" applyFont="1" applyBorder="1" applyAlignment="1">
      <alignment horizontal="center" vertical="center"/>
    </xf>
    <xf numFmtId="0" fontId="16" fillId="0" borderId="16" xfId="0" applyFont="1" applyBorder="1" applyAlignment="1">
      <alignment horizontal="center" vertical="center"/>
    </xf>
    <xf numFmtId="166" fontId="16" fillId="0" borderId="16" xfId="0" applyNumberFormat="1" applyFont="1" applyBorder="1" applyAlignment="1">
      <alignment horizontal="center" vertical="center"/>
    </xf>
    <xf numFmtId="0" fontId="17" fillId="0" borderId="0" xfId="0" applyFont="1" applyBorder="1" applyAlignment="1">
      <alignment horizontal="center" vertical="center"/>
    </xf>
    <xf numFmtId="49" fontId="3" fillId="0" borderId="1"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5" fillId="0" borderId="0" xfId="0" applyNumberFormat="1" applyFont="1" applyAlignment="1">
      <alignment horizontal="left" vertical="top" wrapText="1"/>
    </xf>
    <xf numFmtId="49" fontId="3" fillId="0" borderId="0" xfId="0" applyNumberFormat="1" applyFont="1" applyBorder="1" applyAlignment="1">
      <alignment horizontal="left" vertical="center" wrapText="1"/>
    </xf>
    <xf numFmtId="49" fontId="3" fillId="0" borderId="0" xfId="0" applyNumberFormat="1" applyFont="1" applyAlignment="1">
      <alignment horizontal="left" vertical="top"/>
    </xf>
    <xf numFmtId="49" fontId="3" fillId="2" borderId="0" xfId="0" applyNumberFormat="1" applyFont="1" applyFill="1" applyBorder="1" applyAlignment="1">
      <alignment horizontal="left" vertical="top" wrapText="1"/>
    </xf>
    <xf numFmtId="49" fontId="3" fillId="2" borderId="0" xfId="0" applyNumberFormat="1" applyFont="1" applyFill="1" applyBorder="1" applyAlignment="1">
      <alignment horizontal="left" vertical="center" wrapText="1"/>
    </xf>
    <xf numFmtId="49" fontId="3" fillId="0" borderId="0" xfId="0" applyNumberFormat="1" applyFont="1" applyBorder="1" applyAlignment="1">
      <alignment horizontal="left" vertical="top"/>
    </xf>
    <xf numFmtId="49" fontId="5" fillId="0" borderId="0" xfId="0" applyNumberFormat="1" applyFont="1" applyBorder="1" applyAlignment="1">
      <alignment horizontal="left" vertical="center" wrapText="1"/>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11" fillId="0" borderId="9" xfId="0" applyNumberFormat="1" applyFont="1" applyBorder="1" applyAlignment="1">
      <alignment horizontal="left" vertical="center" wrapText="1"/>
    </xf>
    <xf numFmtId="49" fontId="11" fillId="0" borderId="10" xfId="0" applyNumberFormat="1" applyFont="1" applyBorder="1" applyAlignment="1">
      <alignment horizontal="left" vertical="center" wrapText="1"/>
    </xf>
    <xf numFmtId="0" fontId="5" fillId="0" borderId="21" xfId="0" applyNumberFormat="1" applyFont="1" applyBorder="1" applyAlignment="1">
      <alignment horizontal="center" vertical="center"/>
    </xf>
    <xf numFmtId="49" fontId="5" fillId="0" borderId="23" xfId="0" applyNumberFormat="1" applyFont="1" applyBorder="1" applyAlignment="1">
      <alignment horizontal="center" vertical="center" shrinkToFit="1"/>
    </xf>
    <xf numFmtId="1" fontId="5" fillId="0" borderId="23" xfId="0" applyNumberFormat="1" applyFont="1" applyBorder="1" applyAlignment="1">
      <alignment horizontal="center" vertical="center"/>
    </xf>
    <xf numFmtId="0" fontId="5" fillId="0" borderId="23" xfId="0" applyNumberFormat="1" applyFont="1" applyBorder="1" applyAlignment="1">
      <alignment horizontal="center" vertical="center"/>
    </xf>
    <xf numFmtId="49" fontId="3" fillId="0" borderId="19" xfId="0" applyNumberFormat="1" applyFont="1" applyBorder="1" applyAlignment="1">
      <alignment horizontal="center" vertical="center" wrapText="1"/>
    </xf>
    <xf numFmtId="49" fontId="3" fillId="0" borderId="21"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5" fillId="0" borderId="21" xfId="0" applyNumberFormat="1" applyFont="1" applyBorder="1" applyAlignment="1">
      <alignment horizontal="center" vertical="center" shrinkToFit="1"/>
    </xf>
    <xf numFmtId="1" fontId="5" fillId="0" borderId="21" xfId="0" applyNumberFormat="1" applyFont="1" applyBorder="1" applyAlignment="1">
      <alignment horizontal="center" vertical="center"/>
    </xf>
    <xf numFmtId="49" fontId="3" fillId="0" borderId="21" xfId="0" applyNumberFormat="1" applyFont="1" applyBorder="1" applyAlignment="1">
      <alignment horizontal="center" vertical="center" shrinkToFit="1"/>
    </xf>
    <xf numFmtId="2" fontId="3" fillId="0" borderId="21" xfId="0" applyNumberFormat="1" applyFont="1" applyBorder="1" applyAlignment="1">
      <alignment horizontal="center" vertical="center"/>
    </xf>
    <xf numFmtId="0" fontId="3" fillId="0" borderId="21" xfId="0" applyNumberFormat="1" applyFont="1" applyBorder="1" applyAlignment="1">
      <alignment horizontal="center" vertical="center"/>
    </xf>
    <xf numFmtId="0" fontId="3" fillId="0" borderId="19" xfId="0" applyNumberFormat="1" applyFont="1" applyBorder="1" applyAlignment="1">
      <alignment horizontal="center" vertical="center"/>
    </xf>
    <xf numFmtId="49" fontId="3" fillId="0" borderId="19" xfId="0" applyNumberFormat="1" applyFont="1" applyBorder="1" applyAlignment="1">
      <alignment horizontal="center" vertical="center" shrinkToFit="1"/>
    </xf>
    <xf numFmtId="2" fontId="3" fillId="0" borderId="16" xfId="0" applyNumberFormat="1" applyFont="1" applyBorder="1" applyAlignment="1">
      <alignment horizontal="center" vertical="center"/>
    </xf>
    <xf numFmtId="49" fontId="3" fillId="0" borderId="16" xfId="0" applyNumberFormat="1" applyFont="1" applyBorder="1" applyAlignment="1">
      <alignment horizontal="center" vertical="center" shrinkToFit="1"/>
    </xf>
    <xf numFmtId="0" fontId="3" fillId="0" borderId="16" xfId="0" applyNumberFormat="1" applyFont="1" applyBorder="1" applyAlignment="1">
      <alignment horizontal="center" vertical="center"/>
    </xf>
    <xf numFmtId="165" fontId="3" fillId="0" borderId="16" xfId="0" applyNumberFormat="1" applyFont="1" applyBorder="1" applyAlignment="1">
      <alignment horizontal="center" vertical="center"/>
    </xf>
    <xf numFmtId="1" fontId="3" fillId="0" borderId="16" xfId="0" applyNumberFormat="1" applyFont="1" applyBorder="1" applyAlignment="1">
      <alignment horizontal="center" vertical="center"/>
    </xf>
    <xf numFmtId="2" fontId="5" fillId="0" borderId="21" xfId="0" applyNumberFormat="1" applyFont="1" applyBorder="1" applyAlignment="1">
      <alignment horizontal="center" vertical="center"/>
    </xf>
    <xf numFmtId="49" fontId="3" fillId="0" borderId="23"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165" fontId="3" fillId="0" borderId="23" xfId="0" applyNumberFormat="1" applyFont="1" applyBorder="1" applyAlignment="1">
      <alignment horizontal="center" vertical="center"/>
    </xf>
    <xf numFmtId="165" fontId="3" fillId="0" borderId="21" xfId="0" applyNumberFormat="1" applyFont="1" applyBorder="1" applyAlignment="1">
      <alignment horizontal="center" vertical="center"/>
    </xf>
    <xf numFmtId="167" fontId="3" fillId="0" borderId="21" xfId="0" applyNumberFormat="1" applyFont="1" applyBorder="1" applyAlignment="1">
      <alignment horizontal="center" vertical="center"/>
    </xf>
    <xf numFmtId="49" fontId="3" fillId="0" borderId="21" xfId="0" applyNumberFormat="1" applyFont="1" applyBorder="1" applyAlignment="1">
      <alignment horizontal="center" vertical="center"/>
    </xf>
    <xf numFmtId="49" fontId="3" fillId="0" borderId="22" xfId="0" applyNumberFormat="1" applyFont="1" applyBorder="1" applyAlignment="1">
      <alignment horizontal="center" vertical="center"/>
    </xf>
    <xf numFmtId="49" fontId="3" fillId="0" borderId="20" xfId="0" applyNumberFormat="1" applyFont="1" applyBorder="1" applyAlignment="1">
      <alignment horizontal="center" vertical="center"/>
    </xf>
    <xf numFmtId="165" fontId="5" fillId="0" borderId="21" xfId="0" applyNumberFormat="1" applyFont="1" applyBorder="1" applyAlignment="1">
      <alignment horizontal="center" vertical="center"/>
    </xf>
    <xf numFmtId="49" fontId="19" fillId="0" borderId="16" xfId="0" applyNumberFormat="1" applyFont="1" applyBorder="1" applyAlignment="1">
      <alignment horizontal="center" vertical="center"/>
    </xf>
    <xf numFmtId="49" fontId="3" fillId="0" borderId="19" xfId="0" applyNumberFormat="1" applyFont="1" applyBorder="1" applyAlignment="1">
      <alignment horizontal="center" vertical="center"/>
    </xf>
    <xf numFmtId="0" fontId="3" fillId="0" borderId="21" xfId="0" applyNumberFormat="1" applyFont="1" applyBorder="1" applyAlignment="1">
      <alignment horizontal="right" vertical="center"/>
    </xf>
    <xf numFmtId="0" fontId="3" fillId="0" borderId="23" xfId="0" applyNumberFormat="1" applyFont="1" applyBorder="1" applyAlignment="1">
      <alignment horizontal="right" vertical="center"/>
    </xf>
    <xf numFmtId="1" fontId="3" fillId="0" borderId="21" xfId="0" applyNumberFormat="1" applyFont="1" applyBorder="1" applyAlignment="1">
      <alignment horizontal="center" vertical="center"/>
    </xf>
    <xf numFmtId="49" fontId="3" fillId="0" borderId="2" xfId="0" applyNumberFormat="1" applyFont="1" applyBorder="1" applyAlignment="1">
      <alignment horizontal="right" vertical="center"/>
    </xf>
    <xf numFmtId="49" fontId="3" fillId="0" borderId="1" xfId="0" applyNumberFormat="1" applyFont="1" applyBorder="1" applyAlignment="1">
      <alignment horizontal="right" vertical="center"/>
    </xf>
    <xf numFmtId="49" fontId="6" fillId="0" borderId="5" xfId="0" applyNumberFormat="1" applyFont="1" applyBorder="1" applyAlignment="1">
      <alignment horizontal="center" vertical="center"/>
    </xf>
    <xf numFmtId="49" fontId="6" fillId="0" borderId="2" xfId="0" applyNumberFormat="1" applyFont="1" applyBorder="1" applyAlignment="1">
      <alignment horizontal="center" vertical="center"/>
    </xf>
    <xf numFmtId="49" fontId="6" fillId="0" borderId="6" xfId="0" applyNumberFormat="1" applyFont="1" applyBorder="1" applyAlignment="1">
      <alignment horizontal="center" vertical="center"/>
    </xf>
    <xf numFmtId="49" fontId="6" fillId="0" borderId="3" xfId="0" applyNumberFormat="1" applyFont="1" applyBorder="1" applyAlignment="1">
      <alignment horizontal="center" vertical="center"/>
    </xf>
    <xf numFmtId="49" fontId="6" fillId="0" borderId="1"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27" xfId="0" applyNumberFormat="1" applyFont="1" applyBorder="1" applyAlignment="1">
      <alignment horizontal="center" vertical="center"/>
    </xf>
    <xf numFmtId="49" fontId="3" fillId="0" borderId="7" xfId="0" applyNumberFormat="1" applyFont="1" applyBorder="1" applyAlignment="1">
      <alignment horizontal="center" vertical="center" wrapText="1"/>
    </xf>
    <xf numFmtId="49" fontId="3" fillId="0" borderId="0" xfId="0" applyNumberFormat="1" applyFont="1" applyBorder="1" applyAlignment="1">
      <alignment horizontal="center" vertical="center" wrapText="1"/>
    </xf>
    <xf numFmtId="49" fontId="3" fillId="0" borderId="11" xfId="0" applyNumberFormat="1" applyFont="1" applyBorder="1" applyAlignment="1">
      <alignment horizontal="center" vertical="center"/>
    </xf>
    <xf numFmtId="164" fontId="3" fillId="0" borderId="12" xfId="0" applyNumberFormat="1" applyFont="1" applyBorder="1" applyAlignment="1">
      <alignment horizontal="center" vertical="center"/>
    </xf>
    <xf numFmtId="164" fontId="3" fillId="0" borderId="18" xfId="0" applyNumberFormat="1" applyFont="1" applyBorder="1" applyAlignment="1">
      <alignment horizontal="center" vertical="center"/>
    </xf>
    <xf numFmtId="164" fontId="3" fillId="0" borderId="13" xfId="0" applyNumberFormat="1" applyFont="1" applyBorder="1" applyAlignment="1">
      <alignment horizontal="center" vertical="center"/>
    </xf>
    <xf numFmtId="164" fontId="3" fillId="0" borderId="20" xfId="0" applyNumberFormat="1" applyFont="1" applyBorder="1" applyAlignment="1">
      <alignment horizontal="center" vertical="center"/>
    </xf>
    <xf numFmtId="49" fontId="3" fillId="0" borderId="23" xfId="0" applyNumberFormat="1" applyFont="1" applyBorder="1" applyAlignment="1">
      <alignment horizontal="center" vertical="center"/>
    </xf>
    <xf numFmtId="0" fontId="5" fillId="0" borderId="16" xfId="0" applyNumberFormat="1" applyFont="1" applyBorder="1" applyAlignment="1">
      <alignment horizontal="center" vertical="center"/>
    </xf>
    <xf numFmtId="1" fontId="5" fillId="0" borderId="16" xfId="0" applyNumberFormat="1" applyFont="1" applyBorder="1" applyAlignment="1">
      <alignment horizontal="center" vertical="center"/>
    </xf>
    <xf numFmtId="165" fontId="13" fillId="0" borderId="21" xfId="0" applyNumberFormat="1" applyFont="1" applyBorder="1" applyAlignment="1">
      <alignment horizontal="center" vertical="center"/>
    </xf>
    <xf numFmtId="0" fontId="12" fillId="0" borderId="21" xfId="0" applyNumberFormat="1" applyFont="1" applyBorder="1" applyAlignment="1">
      <alignment horizontal="center" vertical="center"/>
    </xf>
    <xf numFmtId="165" fontId="12" fillId="0" borderId="21" xfId="0" applyNumberFormat="1" applyFont="1" applyBorder="1" applyAlignment="1">
      <alignment horizontal="center" vertical="center"/>
    </xf>
    <xf numFmtId="0" fontId="3" fillId="0" borderId="24" xfId="0" applyNumberFormat="1" applyFont="1" applyBorder="1" applyAlignment="1">
      <alignment horizontal="center" vertical="center"/>
    </xf>
    <xf numFmtId="0" fontId="3" fillId="0" borderId="25" xfId="0" applyNumberFormat="1" applyFont="1" applyBorder="1" applyAlignment="1">
      <alignment horizontal="right" vertical="center"/>
    </xf>
    <xf numFmtId="1" fontId="13" fillId="0" borderId="21" xfId="0" applyNumberFormat="1" applyFont="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emf"/><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368420</xdr:colOff>
      <xdr:row>458</xdr:row>
      <xdr:rowOff>53701</xdr:rowOff>
    </xdr:from>
    <xdr:to>
      <xdr:col>5</xdr:col>
      <xdr:colOff>476249</xdr:colOff>
      <xdr:row>469</xdr:row>
      <xdr:rowOff>122746</xdr:rowOff>
    </xdr:to>
    <xdr:pic>
      <xdr:nvPicPr>
        <xdr:cNvPr id="47" name="fullImg" descr="1060BK200 トールビーカー(目安目盛) ガラス IWAKI 030280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8570" y="10912201"/>
          <a:ext cx="1908054" cy="2164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17971</xdr:colOff>
      <xdr:row>612</xdr:row>
      <xdr:rowOff>35944</xdr:rowOff>
    </xdr:from>
    <xdr:to>
      <xdr:col>6</xdr:col>
      <xdr:colOff>299948</xdr:colOff>
      <xdr:row>614</xdr:row>
      <xdr:rowOff>49064</xdr:rowOff>
    </xdr:to>
    <xdr:sp macro="" textlink="">
      <xdr:nvSpPr>
        <xdr:cNvPr id="51" name="テキスト ボックス 7"/>
        <xdr:cNvSpPr txBox="1"/>
      </xdr:nvSpPr>
      <xdr:spPr>
        <a:xfrm>
          <a:off x="2418271" y="39678994"/>
          <a:ext cx="1482127" cy="394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4</xdr:col>
      <xdr:colOff>44929</xdr:colOff>
      <xdr:row>613</xdr:row>
      <xdr:rowOff>179717</xdr:rowOff>
    </xdr:from>
    <xdr:to>
      <xdr:col>6</xdr:col>
      <xdr:colOff>326906</xdr:colOff>
      <xdr:row>616</xdr:row>
      <xdr:rowOff>4133</xdr:rowOff>
    </xdr:to>
    <xdr:sp macro="" textlink="">
      <xdr:nvSpPr>
        <xdr:cNvPr id="52" name="テキスト ボックス 8"/>
        <xdr:cNvSpPr txBox="1"/>
      </xdr:nvSpPr>
      <xdr:spPr>
        <a:xfrm>
          <a:off x="2445229" y="40013267"/>
          <a:ext cx="1482127" cy="3959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4</xdr:col>
      <xdr:colOff>62902</xdr:colOff>
      <xdr:row>616</xdr:row>
      <xdr:rowOff>0</xdr:rowOff>
    </xdr:from>
    <xdr:to>
      <xdr:col>6</xdr:col>
      <xdr:colOff>344879</xdr:colOff>
      <xdr:row>618</xdr:row>
      <xdr:rowOff>13122</xdr:rowOff>
    </xdr:to>
    <xdr:sp macro="" textlink="">
      <xdr:nvSpPr>
        <xdr:cNvPr id="53" name="テキスト ボックス 9"/>
        <xdr:cNvSpPr txBox="1"/>
      </xdr:nvSpPr>
      <xdr:spPr>
        <a:xfrm>
          <a:off x="2463202" y="40405050"/>
          <a:ext cx="1482127" cy="3941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oneCellAnchor>
    <xdr:from>
      <xdr:col>1</xdr:col>
      <xdr:colOff>628650</xdr:colOff>
      <xdr:row>172</xdr:row>
      <xdr:rowOff>27463</xdr:rowOff>
    </xdr:from>
    <xdr:ext cx="1487750" cy="321435"/>
    <mc:AlternateContent xmlns:mc="http://schemas.openxmlformats.org/markup-compatibility/2006" xmlns:a14="http://schemas.microsoft.com/office/drawing/2010/main">
      <mc:Choice Requires="a14">
        <xdr:sp macro="" textlink="">
          <xdr:nvSpPr>
            <xdr:cNvPr id="54" name="テキスト ボックス 45"/>
            <xdr:cNvSpPr txBox="1"/>
          </xdr:nvSpPr>
          <xdr:spPr>
            <a:xfrm>
              <a:off x="1219200" y="14076838"/>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𝑚𝑎</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mlns="">
        <xdr:sp macro="" textlink="">
          <xdr:nvSpPr>
            <xdr:cNvPr id="54" name="テキスト ボックス 45"/>
            <xdr:cNvSpPr txBox="1"/>
          </xdr:nvSpPr>
          <xdr:spPr>
            <a:xfrm>
              <a:off x="1219200" y="14076838"/>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𝑚𝑎−𝑚𝑏)/(𝑚𝑏−𝑚𝑐)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twoCellAnchor editAs="oneCell">
    <xdr:from>
      <xdr:col>2</xdr:col>
      <xdr:colOff>38100</xdr:colOff>
      <xdr:row>240</xdr:row>
      <xdr:rowOff>152400</xdr:rowOff>
    </xdr:from>
    <xdr:to>
      <xdr:col>3</xdr:col>
      <xdr:colOff>440142</xdr:colOff>
      <xdr:row>248</xdr:row>
      <xdr:rowOff>171450</xdr:rowOff>
    </xdr:to>
    <xdr:pic>
      <xdr:nvPicPr>
        <xdr:cNvPr id="55" name="図 2" descr="http://www.horiba.com/uploads/tx_llproducts/F-71S_03.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57300" y="7772400"/>
          <a:ext cx="1002117"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47625</xdr:colOff>
      <xdr:row>240</xdr:row>
      <xdr:rowOff>47625</xdr:rowOff>
    </xdr:from>
    <xdr:to>
      <xdr:col>6</xdr:col>
      <xdr:colOff>338871</xdr:colOff>
      <xdr:row>248</xdr:row>
      <xdr:rowOff>133350</xdr:rowOff>
    </xdr:to>
    <xdr:pic>
      <xdr:nvPicPr>
        <xdr:cNvPr id="56" name="図 4" descr="http://www.horiba.com/uploads/tx_llproducts/D-72S.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095625" y="7667625"/>
          <a:ext cx="891321"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351</xdr:row>
      <xdr:rowOff>0</xdr:rowOff>
    </xdr:from>
    <xdr:to>
      <xdr:col>3</xdr:col>
      <xdr:colOff>161925</xdr:colOff>
      <xdr:row>365</xdr:row>
      <xdr:rowOff>161925</xdr:rowOff>
    </xdr:to>
    <xdr:grpSp>
      <xdr:nvGrpSpPr>
        <xdr:cNvPr id="57" name="グループ化 63"/>
        <xdr:cNvGrpSpPr/>
      </xdr:nvGrpSpPr>
      <xdr:grpSpPr>
        <a:xfrm>
          <a:off x="600075" y="66922650"/>
          <a:ext cx="1362075" cy="2828925"/>
          <a:chOff x="2962275" y="29556075"/>
          <a:chExt cx="1552575" cy="2828925"/>
        </a:xfrm>
      </xdr:grpSpPr>
      <xdr:grpSp>
        <xdr:nvGrpSpPr>
          <xdr:cNvPr id="58" name="グループ化 64"/>
          <xdr:cNvGrpSpPr/>
        </xdr:nvGrpSpPr>
        <xdr:grpSpPr>
          <a:xfrm>
            <a:off x="3133725" y="30880051"/>
            <a:ext cx="1381125" cy="1504949"/>
            <a:chOff x="5695950" y="30822901"/>
            <a:chExt cx="1381125" cy="1504949"/>
          </a:xfrm>
        </xdr:grpSpPr>
        <xdr:sp macro="" textlink="">
          <xdr:nvSpPr>
            <xdr:cNvPr id="71"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73" name="グループ化 79"/>
            <xdr:cNvGrpSpPr/>
          </xdr:nvGrpSpPr>
          <xdr:grpSpPr>
            <a:xfrm>
              <a:off x="5724525" y="32232599"/>
              <a:ext cx="1304925" cy="74295"/>
              <a:chOff x="5724525" y="32232599"/>
              <a:chExt cx="1304925" cy="74295"/>
            </a:xfrm>
          </xdr:grpSpPr>
          <xdr:sp macro="" textlink="">
            <xdr:nvSpPr>
              <xdr:cNvPr id="83"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74" name="グループ化 80"/>
            <xdr:cNvGrpSpPr/>
          </xdr:nvGrpSpPr>
          <xdr:grpSpPr>
            <a:xfrm>
              <a:off x="5724525" y="32146874"/>
              <a:ext cx="1304925" cy="74295"/>
              <a:chOff x="5724525" y="32232599"/>
              <a:chExt cx="1304925" cy="74295"/>
            </a:xfrm>
          </xdr:grpSpPr>
          <xdr:sp macro="" textlink="">
            <xdr:nvSpPr>
              <xdr:cNvPr id="76"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8"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0"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1"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2"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75"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59" name="グループ化 65"/>
          <xdr:cNvGrpSpPr/>
        </xdr:nvGrpSpPr>
        <xdr:grpSpPr>
          <a:xfrm>
            <a:off x="2962275" y="29556075"/>
            <a:ext cx="1171575" cy="2495550"/>
            <a:chOff x="2181225" y="30041850"/>
            <a:chExt cx="1171575" cy="2495550"/>
          </a:xfrm>
          <a:noFill/>
        </xdr:grpSpPr>
        <xdr:grpSp>
          <xdr:nvGrpSpPr>
            <xdr:cNvPr id="60" name="グループ化 66"/>
            <xdr:cNvGrpSpPr/>
          </xdr:nvGrpSpPr>
          <xdr:grpSpPr>
            <a:xfrm>
              <a:off x="2905125" y="30632400"/>
              <a:ext cx="447675" cy="1905000"/>
              <a:chOff x="2600325" y="29765625"/>
              <a:chExt cx="447675" cy="1905000"/>
            </a:xfrm>
            <a:grpFill/>
          </xdr:grpSpPr>
          <xdr:sp macro="" textlink="">
            <xdr:nvSpPr>
              <xdr:cNvPr id="62"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3"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4"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5"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6"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1"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3</xdr:col>
      <xdr:colOff>381000</xdr:colOff>
      <xdr:row>350</xdr:row>
      <xdr:rowOff>123825</xdr:rowOff>
    </xdr:from>
    <xdr:to>
      <xdr:col>9</xdr:col>
      <xdr:colOff>0</xdr:colOff>
      <xdr:row>353</xdr:row>
      <xdr:rowOff>152400</xdr:rowOff>
    </xdr:to>
    <xdr:sp macro="" textlink="">
      <xdr:nvSpPr>
        <xdr:cNvPr id="90" name="テキスト ボックス 60"/>
        <xdr:cNvSpPr txBox="1"/>
      </xdr:nvSpPr>
      <xdr:spPr>
        <a:xfrm>
          <a:off x="2209800" y="28889325"/>
          <a:ext cx="3276600"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t>Lỗ bổ</a:t>
          </a:r>
          <a:r>
            <a:rPr kumimoji="1" lang="en-US" altLang="ja-JP" sz="1100" baseline="0"/>
            <a:t> sung của điện cực so sánh </a:t>
          </a:r>
          <a:endParaRPr kumimoji="1" lang="ja-JP" altLang="en-US" sz="1100"/>
        </a:p>
      </xdr:txBody>
    </xdr:sp>
    <xdr:clientData/>
  </xdr:twoCellAnchor>
  <xdr:twoCellAnchor>
    <xdr:from>
      <xdr:col>2</xdr:col>
      <xdr:colOff>428625</xdr:colOff>
      <xdr:row>352</xdr:row>
      <xdr:rowOff>180975</xdr:rowOff>
    </xdr:from>
    <xdr:to>
      <xdr:col>3</xdr:col>
      <xdr:colOff>457199</xdr:colOff>
      <xdr:row>357</xdr:row>
      <xdr:rowOff>157163</xdr:rowOff>
    </xdr:to>
    <xdr:cxnSp macro="">
      <xdr:nvCxnSpPr>
        <xdr:cNvPr id="91" name="直線矢印コネクタ 100"/>
        <xdr:cNvCxnSpPr/>
      </xdr:nvCxnSpPr>
      <xdr:spPr>
        <a:xfrm flipH="1">
          <a:off x="1647825" y="29327475"/>
          <a:ext cx="63817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355</xdr:row>
      <xdr:rowOff>104775</xdr:rowOff>
    </xdr:from>
    <xdr:to>
      <xdr:col>6</xdr:col>
      <xdr:colOff>152401</xdr:colOff>
      <xdr:row>357</xdr:row>
      <xdr:rowOff>114301</xdr:rowOff>
    </xdr:to>
    <xdr:sp macro="" textlink="">
      <xdr:nvSpPr>
        <xdr:cNvPr id="92" name="テキスト ボックス 96"/>
        <xdr:cNvSpPr txBox="1"/>
      </xdr:nvSpPr>
      <xdr:spPr>
        <a:xfrm>
          <a:off x="2333625" y="29822775"/>
          <a:ext cx="14763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0" lang="en-US" altLang="ja-JP" sz="1100"/>
            <a:t>Điện cực</a:t>
          </a:r>
          <a:r>
            <a:rPr kumimoji="0" lang="en-US" altLang="ja-JP" sz="1100" baseline="0"/>
            <a:t> kết hợp</a:t>
          </a:r>
          <a:endParaRPr kumimoji="1" lang="ja-JP" altLang="en-US" sz="1100"/>
        </a:p>
      </xdr:txBody>
    </xdr:sp>
    <xdr:clientData/>
  </xdr:twoCellAnchor>
  <xdr:twoCellAnchor>
    <xdr:from>
      <xdr:col>2</xdr:col>
      <xdr:colOff>257175</xdr:colOff>
      <xdr:row>356</xdr:row>
      <xdr:rowOff>171450</xdr:rowOff>
    </xdr:from>
    <xdr:to>
      <xdr:col>3</xdr:col>
      <xdr:colOff>485775</xdr:colOff>
      <xdr:row>360</xdr:row>
      <xdr:rowOff>42863</xdr:rowOff>
    </xdr:to>
    <xdr:cxnSp macro="">
      <xdr:nvCxnSpPr>
        <xdr:cNvPr id="93" name="直線矢印コネクタ 102"/>
        <xdr:cNvCxnSpPr/>
      </xdr:nvCxnSpPr>
      <xdr:spPr>
        <a:xfrm flipH="1">
          <a:off x="1476375" y="30079950"/>
          <a:ext cx="83820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485774</xdr:colOff>
      <xdr:row>358</xdr:row>
      <xdr:rowOff>66675</xdr:rowOff>
    </xdr:from>
    <xdr:to>
      <xdr:col>6</xdr:col>
      <xdr:colOff>590550</xdr:colOff>
      <xdr:row>360</xdr:row>
      <xdr:rowOff>76201</xdr:rowOff>
    </xdr:to>
    <xdr:sp macro="" textlink="">
      <xdr:nvSpPr>
        <xdr:cNvPr id="94" name="テキスト ボックス 97"/>
        <xdr:cNvSpPr txBox="1"/>
      </xdr:nvSpPr>
      <xdr:spPr>
        <a:xfrm>
          <a:off x="2314574" y="30356175"/>
          <a:ext cx="19335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Phần</a:t>
          </a:r>
          <a:r>
            <a:rPr lang="en-US" altLang="ja-JP" baseline="0">
              <a:effectLst/>
            </a:rPr>
            <a:t> tiếp xúc với dung dịch</a:t>
          </a:r>
          <a:endParaRPr kumimoji="1" lang="ja-JP" altLang="en-US" sz="1100"/>
        </a:p>
      </xdr:txBody>
    </xdr:sp>
    <xdr:clientData/>
  </xdr:twoCellAnchor>
  <xdr:twoCellAnchor>
    <xdr:from>
      <xdr:col>2</xdr:col>
      <xdr:colOff>257175</xdr:colOff>
      <xdr:row>359</xdr:row>
      <xdr:rowOff>9525</xdr:rowOff>
    </xdr:from>
    <xdr:to>
      <xdr:col>3</xdr:col>
      <xdr:colOff>504825</xdr:colOff>
      <xdr:row>361</xdr:row>
      <xdr:rowOff>147638</xdr:rowOff>
    </xdr:to>
    <xdr:cxnSp macro="">
      <xdr:nvCxnSpPr>
        <xdr:cNvPr id="95" name="直線矢印コネクタ 104"/>
        <xdr:cNvCxnSpPr/>
      </xdr:nvCxnSpPr>
      <xdr:spPr>
        <a:xfrm flipH="1">
          <a:off x="1476375" y="30489525"/>
          <a:ext cx="85725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361</xdr:row>
      <xdr:rowOff>180975</xdr:rowOff>
    </xdr:from>
    <xdr:to>
      <xdr:col>5</xdr:col>
      <xdr:colOff>590551</xdr:colOff>
      <xdr:row>364</xdr:row>
      <xdr:rowOff>1</xdr:rowOff>
    </xdr:to>
    <xdr:sp macro="" textlink="">
      <xdr:nvSpPr>
        <xdr:cNvPr id="96" name="テキスト ボックス 98"/>
        <xdr:cNvSpPr txBox="1"/>
      </xdr:nvSpPr>
      <xdr:spPr>
        <a:xfrm>
          <a:off x="2162175" y="31041975"/>
          <a:ext cx="14763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Dung dịch</a:t>
          </a:r>
          <a:r>
            <a:rPr lang="en-US" altLang="ja-JP" baseline="0">
              <a:effectLst/>
            </a:rPr>
            <a:t> mẫu</a:t>
          </a:r>
          <a:endParaRPr kumimoji="1" lang="ja-JP" altLang="en-US" sz="1100"/>
        </a:p>
      </xdr:txBody>
    </xdr:sp>
    <xdr:clientData/>
  </xdr:twoCellAnchor>
  <xdr:twoCellAnchor>
    <xdr:from>
      <xdr:col>2</xdr:col>
      <xdr:colOff>409575</xdr:colOff>
      <xdr:row>363</xdr:row>
      <xdr:rowOff>19050</xdr:rowOff>
    </xdr:from>
    <xdr:to>
      <xdr:col>3</xdr:col>
      <xdr:colOff>285750</xdr:colOff>
      <xdr:row>364</xdr:row>
      <xdr:rowOff>33338</xdr:rowOff>
    </xdr:to>
    <xdr:cxnSp macro="">
      <xdr:nvCxnSpPr>
        <xdr:cNvPr id="97" name="直線矢印コネクタ 104"/>
        <xdr:cNvCxnSpPr/>
      </xdr:nvCxnSpPr>
      <xdr:spPr>
        <a:xfrm flipH="1">
          <a:off x="1628775" y="31261050"/>
          <a:ext cx="485775" cy="2047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400050</xdr:colOff>
      <xdr:row>368</xdr:row>
      <xdr:rowOff>57150</xdr:rowOff>
    </xdr:from>
    <xdr:to>
      <xdr:col>8</xdr:col>
      <xdr:colOff>333375</xdr:colOff>
      <xdr:row>375</xdr:row>
      <xdr:rowOff>152400</xdr:rowOff>
    </xdr:to>
    <xdr:pic>
      <xdr:nvPicPr>
        <xdr:cNvPr id="98" name="図 3" descr="pH計"/>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48050" y="32251650"/>
          <a:ext cx="173355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368420</xdr:colOff>
      <xdr:row>458</xdr:row>
      <xdr:rowOff>53701</xdr:rowOff>
    </xdr:from>
    <xdr:to>
      <xdr:col>5</xdr:col>
      <xdr:colOff>473733</xdr:colOff>
      <xdr:row>469</xdr:row>
      <xdr:rowOff>122746</xdr:rowOff>
    </xdr:to>
    <xdr:pic>
      <xdr:nvPicPr>
        <xdr:cNvPr id="99" name="fullImg" descr="1060BK200 トールビーカー(目安目盛) ガラス IWAKI 030280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620" y="10912201"/>
          <a:ext cx="1905538" cy="2174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38821</xdr:colOff>
      <xdr:row>501</xdr:row>
      <xdr:rowOff>41642</xdr:rowOff>
    </xdr:from>
    <xdr:to>
      <xdr:col>4</xdr:col>
      <xdr:colOff>209551</xdr:colOff>
      <xdr:row>508</xdr:row>
      <xdr:rowOff>37021</xdr:rowOff>
    </xdr:to>
    <xdr:pic>
      <xdr:nvPicPr>
        <xdr:cNvPr id="100" name="図 46" descr="時計皿"/>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58021" y="19101167"/>
          <a:ext cx="1370880" cy="1328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166060</xdr:colOff>
      <xdr:row>611</xdr:row>
      <xdr:rowOff>37022</xdr:rowOff>
    </xdr:from>
    <xdr:to>
      <xdr:col>6</xdr:col>
      <xdr:colOff>184413</xdr:colOff>
      <xdr:row>630</xdr:row>
      <xdr:rowOff>126879</xdr:rowOff>
    </xdr:to>
    <xdr:pic>
      <xdr:nvPicPr>
        <xdr:cNvPr id="101" name="図 4"/>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66285" y="116299172"/>
          <a:ext cx="1818578" cy="3709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532141</xdr:colOff>
      <xdr:row>618</xdr:row>
      <xdr:rowOff>80873</xdr:rowOff>
    </xdr:from>
    <xdr:to>
      <xdr:col>8</xdr:col>
      <xdr:colOff>438868</xdr:colOff>
      <xdr:row>621</xdr:row>
      <xdr:rowOff>114839</xdr:rowOff>
    </xdr:to>
    <xdr:sp macro="" textlink="">
      <xdr:nvSpPr>
        <xdr:cNvPr id="102" name="テキスト ボックス 6"/>
        <xdr:cNvSpPr txBox="1"/>
      </xdr:nvSpPr>
      <xdr:spPr>
        <a:xfrm>
          <a:off x="2970541" y="41238398"/>
          <a:ext cx="2345127" cy="6054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sz="1100">
              <a:solidFill>
                <a:schemeClr val="dk1"/>
              </a:solidFill>
              <a:effectLst/>
              <a:latin typeface="+mn-lt"/>
              <a:ea typeface="+mn-ea"/>
              <a:cs typeface="+mn-cs"/>
            </a:rPr>
            <a:t>Lỗ bổ</a:t>
          </a:r>
          <a:r>
            <a:rPr kumimoji="1" lang="en-US" sz="1100" baseline="0">
              <a:solidFill>
                <a:schemeClr val="dk1"/>
              </a:solidFill>
              <a:effectLst/>
              <a:latin typeface="+mn-lt"/>
              <a:ea typeface="+mn-ea"/>
              <a:cs typeface="+mn-cs"/>
            </a:rPr>
            <a:t> sung của điện cực so sánh </a:t>
          </a:r>
          <a:endParaRPr lang="en-US">
            <a:effectLst/>
          </a:endParaRPr>
        </a:p>
        <a:p>
          <a:endParaRPr kumimoji="1" lang="ja-JP" altLang="en-US" sz="1100"/>
        </a:p>
      </xdr:txBody>
    </xdr:sp>
    <xdr:clientData/>
  </xdr:twoCellAnchor>
  <xdr:twoCellAnchor>
    <xdr:from>
      <xdr:col>4</xdr:col>
      <xdr:colOff>458278</xdr:colOff>
      <xdr:row>620</xdr:row>
      <xdr:rowOff>143774</xdr:rowOff>
    </xdr:from>
    <xdr:to>
      <xdr:col>7</xdr:col>
      <xdr:colOff>57330</xdr:colOff>
      <xdr:row>622</xdr:row>
      <xdr:rowOff>156894</xdr:rowOff>
    </xdr:to>
    <xdr:sp macro="" textlink="">
      <xdr:nvSpPr>
        <xdr:cNvPr id="103" name="テキスト ボックス 7"/>
        <xdr:cNvSpPr txBox="1"/>
      </xdr:nvSpPr>
      <xdr:spPr>
        <a:xfrm>
          <a:off x="2896678" y="41682299"/>
          <a:ext cx="1427852" cy="394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Điện cực</a:t>
          </a:r>
          <a:r>
            <a:rPr lang="en-US" sz="1100" baseline="0">
              <a:solidFill>
                <a:schemeClr val="dk1"/>
              </a:solidFill>
              <a:effectLst/>
              <a:latin typeface="+mn-lt"/>
              <a:ea typeface="+mn-ea"/>
              <a:cs typeface="+mn-cs"/>
            </a:rPr>
            <a:t> kết hợp</a:t>
          </a:r>
          <a:endParaRPr lang="en-US">
            <a:effectLst/>
          </a:endParaRPr>
        </a:p>
        <a:p>
          <a:endParaRPr kumimoji="1" lang="ja-JP" altLang="en-US" sz="1100"/>
        </a:p>
      </xdr:txBody>
    </xdr:sp>
    <xdr:clientData/>
  </xdr:twoCellAnchor>
  <xdr:twoCellAnchor>
    <xdr:from>
      <xdr:col>4</xdr:col>
      <xdr:colOff>512193</xdr:colOff>
      <xdr:row>623</xdr:row>
      <xdr:rowOff>116816</xdr:rowOff>
    </xdr:from>
    <xdr:to>
      <xdr:col>7</xdr:col>
      <xdr:colOff>111245</xdr:colOff>
      <xdr:row>625</xdr:row>
      <xdr:rowOff>129936</xdr:rowOff>
    </xdr:to>
    <xdr:sp macro="" textlink="">
      <xdr:nvSpPr>
        <xdr:cNvPr id="104" name="テキスト ボックス 8"/>
        <xdr:cNvSpPr txBox="1"/>
      </xdr:nvSpPr>
      <xdr:spPr>
        <a:xfrm>
          <a:off x="2950593" y="42226841"/>
          <a:ext cx="1427852" cy="394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Phần</a:t>
          </a:r>
          <a:r>
            <a:rPr lang="en-US" sz="1100" baseline="0">
              <a:solidFill>
                <a:schemeClr val="dk1"/>
              </a:solidFill>
              <a:effectLst/>
              <a:latin typeface="+mn-lt"/>
              <a:ea typeface="+mn-ea"/>
              <a:cs typeface="+mn-cs"/>
            </a:rPr>
            <a:t> tiếp xúc với dung dịch</a:t>
          </a:r>
          <a:endParaRPr lang="en-US">
            <a:effectLst/>
          </a:endParaRPr>
        </a:p>
        <a:p>
          <a:endParaRPr kumimoji="1" lang="ja-JP" altLang="en-US" sz="1100"/>
        </a:p>
      </xdr:txBody>
    </xdr:sp>
    <xdr:clientData/>
  </xdr:twoCellAnchor>
  <xdr:twoCellAnchor>
    <xdr:from>
      <xdr:col>4</xdr:col>
      <xdr:colOff>530166</xdr:colOff>
      <xdr:row>627</xdr:row>
      <xdr:rowOff>53915</xdr:rowOff>
    </xdr:from>
    <xdr:to>
      <xdr:col>7</xdr:col>
      <xdr:colOff>129218</xdr:colOff>
      <xdr:row>629</xdr:row>
      <xdr:rowOff>67036</xdr:rowOff>
    </xdr:to>
    <xdr:sp macro="" textlink="">
      <xdr:nvSpPr>
        <xdr:cNvPr id="105" name="テキスト ボックス 9"/>
        <xdr:cNvSpPr txBox="1"/>
      </xdr:nvSpPr>
      <xdr:spPr>
        <a:xfrm>
          <a:off x="2968566" y="42925940"/>
          <a:ext cx="1427852" cy="3941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Dung dịch</a:t>
          </a:r>
          <a:r>
            <a:rPr lang="en-US" sz="1100" baseline="0">
              <a:solidFill>
                <a:schemeClr val="dk1"/>
              </a:solidFill>
              <a:effectLst/>
              <a:latin typeface="+mn-lt"/>
              <a:ea typeface="+mn-ea"/>
              <a:cs typeface="+mn-cs"/>
            </a:rPr>
            <a:t> mẫu</a:t>
          </a:r>
          <a:endParaRPr lang="en-US">
            <a:effectLst/>
          </a:endParaRPr>
        </a:p>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69818</xdr:colOff>
      <xdr:row>47</xdr:row>
      <xdr:rowOff>94138</xdr:rowOff>
    </xdr:from>
    <xdr:ext cx="1059906" cy="318421"/>
    <mc:AlternateContent xmlns:mc="http://schemas.openxmlformats.org/markup-compatibility/2006" xmlns:a14="http://schemas.microsoft.com/office/drawing/2010/main">
      <mc:Choice Requires="a14">
        <xdr:sp macro="" textlink="">
          <xdr:nvSpPr>
            <xdr:cNvPr id="2" name="テキスト ボックス 1"/>
            <xdr:cNvSpPr txBox="1"/>
          </xdr:nvSpPr>
          <xdr:spPr>
            <a:xfrm>
              <a:off x="669893" y="904763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𝑚</m:t>
                    </m:r>
                    <m:r>
                      <a:rPr kumimoji="1" lang="en-US" altLang="ja-JP" sz="1100" b="0" i="1" baseline="-25000">
                        <a:latin typeface="Cambria Math" panose="02040503050406030204" pitchFamily="18" charset="0"/>
                      </a:rPr>
                      <m:t>𝑠</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num>
                      <m:den>
                        <m:r>
                          <a:rPr kumimoji="1" lang="en-US" altLang="ja-JP" sz="1100" b="0" i="1">
                            <a:latin typeface="Cambria Math" panose="02040503050406030204" pitchFamily="18" charset="0"/>
                          </a:rPr>
                          <m:t>1+</m:t>
                        </m:r>
                        <m:r>
                          <a:rPr kumimoji="1" lang="en-US" altLang="ja-JP" sz="1100" b="0" i="1">
                            <a:latin typeface="Cambria Math" panose="02040503050406030204" pitchFamily="18" charset="0"/>
                          </a:rPr>
                          <m:t>𝑤</m:t>
                        </m:r>
                        <m:r>
                          <a:rPr kumimoji="1" lang="en-US" altLang="ja-JP" sz="1100" b="0" i="1">
                            <a:latin typeface="Cambria Math" panose="02040503050406030204" pitchFamily="18" charset="0"/>
                          </a:rPr>
                          <m:t>/100</m:t>
                        </m:r>
                      </m:den>
                    </m:f>
                  </m:oMath>
                </m:oMathPara>
              </a14:m>
              <a:endParaRPr kumimoji="1" lang="ja-JP" altLang="en-US" sz="1100"/>
            </a:p>
          </xdr:txBody>
        </xdr:sp>
      </mc:Choice>
      <mc:Fallback xmlns="">
        <xdr:sp macro="" textlink="">
          <xdr:nvSpPr>
            <xdr:cNvPr id="2" name="テキスト ボックス 1"/>
            <xdr:cNvSpPr txBox="1"/>
          </xdr:nvSpPr>
          <xdr:spPr>
            <a:xfrm>
              <a:off x="669893" y="904763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𝑚</a:t>
              </a:r>
              <a:r>
                <a:rPr kumimoji="1" lang="en-US" altLang="ja-JP" sz="1100" b="0" i="0" baseline="-25000">
                  <a:latin typeface="Cambria Math" panose="02040503050406030204" pitchFamily="18" charset="0"/>
                </a:rPr>
                <a:t>𝑠</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𝑚/(1+𝑤/100)</a:t>
              </a:r>
              <a:endParaRPr kumimoji="1" lang="ja-JP" altLang="en-US" sz="1100"/>
            </a:p>
          </xdr:txBody>
        </xdr:sp>
      </mc:Fallback>
    </mc:AlternateContent>
    <xdr:clientData/>
  </xdr:oneCellAnchor>
  <xdr:oneCellAnchor>
    <xdr:from>
      <xdr:col>15</xdr:col>
      <xdr:colOff>0</xdr:colOff>
      <xdr:row>47</xdr:row>
      <xdr:rowOff>122712</xdr:rowOff>
    </xdr:from>
    <xdr:ext cx="1381019" cy="372587"/>
    <mc:AlternateContent xmlns:mc="http://schemas.openxmlformats.org/markup-compatibility/2006" xmlns:a14="http://schemas.microsoft.com/office/drawing/2010/main">
      <mc:Choice Requires="a14">
        <xdr:sp macro="" textlink="">
          <xdr:nvSpPr>
            <xdr:cNvPr id="3" name="テキスト ボックス 3"/>
            <xdr:cNvSpPr txBox="1"/>
          </xdr:nvSpPr>
          <xdr:spPr>
            <a:xfrm>
              <a:off x="2143125" y="9000012"/>
              <a:ext cx="1381019" cy="372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𝑅</m:t>
                    </m:r>
                    <m:r>
                      <a:rPr kumimoji="1" lang="en-US" altLang="ja-JP" sz="1100" b="0" i="1" baseline="-25000">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𝑚𝑠</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𝑉𝑤</m:t>
                        </m:r>
                        <m:r>
                          <a:rPr kumimoji="1" lang="ja-JP" altLang="en-US" sz="1100" b="0" i="1">
                            <a:latin typeface="Cambria Math" panose="02040503050406030204" pitchFamily="18" charset="0"/>
                          </a:rPr>
                          <m:t>𝜌</m:t>
                        </m:r>
                        <m:r>
                          <a:rPr kumimoji="1" lang="en-US" altLang="ja-JP" sz="1100" b="0" i="1">
                            <a:latin typeface="Cambria Math" panose="02040503050406030204" pitchFamily="18" charset="0"/>
                          </a:rPr>
                          <m:t>𝑤</m:t>
                        </m:r>
                      </m:num>
                      <m:den>
                        <m:r>
                          <a:rPr kumimoji="1" lang="en-US" altLang="ja-JP" sz="1100" b="0" i="1">
                            <a:latin typeface="Cambria Math" panose="02040503050406030204" pitchFamily="18" charset="0"/>
                          </a:rPr>
                          <m:t>𝑚</m:t>
                        </m:r>
                        <m:r>
                          <a:rPr kumimoji="1" lang="en-US" altLang="ja-JP" sz="1100" b="0" i="1" baseline="-25000">
                            <a:latin typeface="Cambria Math" panose="02040503050406030204" pitchFamily="18" charset="0"/>
                          </a:rPr>
                          <m:t>𝑠</m:t>
                        </m:r>
                      </m:den>
                    </m:f>
                  </m:oMath>
                </m:oMathPara>
              </a14:m>
              <a:endParaRPr kumimoji="1" lang="ja-JP" altLang="en-US" sz="1100"/>
            </a:p>
          </xdr:txBody>
        </xdr:sp>
      </mc:Choice>
      <mc:Fallback xmlns="">
        <xdr:sp macro="" textlink="">
          <xdr:nvSpPr>
            <xdr:cNvPr id="3" name="テキスト ボックス 3"/>
            <xdr:cNvSpPr txBox="1"/>
          </xdr:nvSpPr>
          <xdr:spPr>
            <a:xfrm>
              <a:off x="2143125" y="9000012"/>
              <a:ext cx="1381019" cy="372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kumimoji="1" lang="en-US" altLang="ja-JP" sz="1100" b="0" i="0">
                  <a:latin typeface="Cambria Math" panose="02040503050406030204" pitchFamily="18" charset="0"/>
                </a:rPr>
                <a:t>𝑅</a:t>
              </a:r>
              <a:r>
                <a:rPr kumimoji="1" lang="en-US" altLang="ja-JP" sz="1100" b="0" i="0" baseline="-2500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𝑚−𝑚</a:t>
              </a:r>
              <a:r>
                <a:rPr kumimoji="1" lang="en-US" altLang="ja-JP" sz="1100" b="0" i="0" baseline="-25000">
                  <a:latin typeface="Cambria Math" panose="02040503050406030204" pitchFamily="18" charset="0"/>
                </a:rPr>
                <a:t>𝑠</a:t>
              </a:r>
              <a:r>
                <a:rPr kumimoji="1" lang="en-US" altLang="ja-JP" sz="1100" b="0" i="0">
                  <a:latin typeface="Cambria Math" panose="02040503050406030204" pitchFamily="18" charset="0"/>
                </a:rPr>
                <a:t>+𝑉</a:t>
              </a:r>
              <a:r>
                <a:rPr kumimoji="1" lang="en-US" altLang="ja-JP" sz="1100" b="0" i="0" baseline="-25000">
                  <a:latin typeface="Cambria Math" panose="02040503050406030204" pitchFamily="18" charset="0"/>
                </a:rPr>
                <a:t>𝑤</a:t>
              </a:r>
              <a:r>
                <a:rPr kumimoji="1" lang="ja-JP" altLang="en-US" sz="1100" b="0" i="0">
                  <a:latin typeface="Cambria Math" panose="02040503050406030204" pitchFamily="18" charset="0"/>
                </a:rPr>
                <a:t>𝜌</a:t>
              </a:r>
              <a:r>
                <a:rPr kumimoji="1" lang="en-US" altLang="ja-JP" sz="1100" b="0" i="0">
                  <a:latin typeface="Cambria Math" panose="02040503050406030204" pitchFamily="18" charset="0"/>
                </a:rPr>
                <a:t>𝑤)/𝑚</a:t>
              </a:r>
              <a:r>
                <a:rPr kumimoji="1" lang="en-US" altLang="ja-JP" sz="1100" b="0" i="0" baseline="-25000">
                  <a:latin typeface="Cambria Math" panose="02040503050406030204" pitchFamily="18" charset="0"/>
                </a:rPr>
                <a:t>𝑠</a:t>
              </a:r>
              <a:endParaRPr kumimoji="1" lang="ja-JP" altLang="en-US" sz="1100"/>
            </a:p>
          </xdr:txBody>
        </xdr:sp>
      </mc:Fallback>
    </mc:AlternateContent>
    <xdr:clientData/>
  </xdr:oneCellAnchor>
  <xdr:oneCellAnchor>
    <xdr:from>
      <xdr:col>29</xdr:col>
      <xdr:colOff>0</xdr:colOff>
      <xdr:row>47</xdr:row>
      <xdr:rowOff>142875</xdr:rowOff>
    </xdr:from>
    <xdr:ext cx="1581150" cy="172227"/>
    <mc:AlternateContent xmlns:mc="http://schemas.openxmlformats.org/markup-compatibility/2006" xmlns:a14="http://schemas.microsoft.com/office/drawing/2010/main">
      <mc:Choice Requires="a14">
        <xdr:sp macro="" textlink="">
          <xdr:nvSpPr>
            <xdr:cNvPr id="4" name="テキスト ボックス 4"/>
            <xdr:cNvSpPr txBox="1"/>
          </xdr:nvSpPr>
          <xdr:spPr>
            <a:xfrm>
              <a:off x="17402175" y="9096375"/>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kumimoji="1" lang="ja-JP" altLang="en-US" sz="1100" i="1">
                      <a:latin typeface="Cambria Math" panose="02040503050406030204" pitchFamily="18" charset="0"/>
                    </a:rPr>
                    <m:t>𝜌</m:t>
                  </m:r>
                  <m:r>
                    <m:rPr>
                      <m:sty m:val="p"/>
                    </m:rPr>
                    <a:rPr kumimoji="1" lang="en-US" altLang="ja-JP" sz="1100" i="1">
                      <a:latin typeface="Cambria Math" panose="02040503050406030204" pitchFamily="18" charset="0"/>
                    </a:rPr>
                    <m:t>w</m:t>
                  </m:r>
                </m:oMath>
              </a14:m>
              <a:r>
                <a:rPr kumimoji="1" lang="en-US" altLang="ja-JP" sz="1100"/>
                <a:t>= tỷ</a:t>
              </a:r>
              <a:r>
                <a:rPr kumimoji="1" lang="en-US" altLang="ja-JP" sz="1100" baseline="0"/>
                <a:t> trọng nước</a:t>
              </a:r>
              <a:r>
                <a:rPr kumimoji="1" lang="en-US" altLang="ja-JP" sz="1100"/>
                <a:t>=1.0</a:t>
              </a:r>
              <a:endParaRPr kumimoji="1" lang="ja-JP" altLang="en-US" sz="1100"/>
            </a:p>
          </xdr:txBody>
        </xdr:sp>
      </mc:Choice>
      <mc:Fallback xmlns="">
        <xdr:sp macro="" textlink="">
          <xdr:nvSpPr>
            <xdr:cNvPr id="4" name="テキスト ボックス 4"/>
            <xdr:cNvSpPr txBox="1"/>
          </xdr:nvSpPr>
          <xdr:spPr>
            <a:xfrm>
              <a:off x="17402175" y="9096375"/>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ja-JP" altLang="en-US" sz="1100" i="0">
                  <a:latin typeface="Cambria Math" panose="02040503050406030204" pitchFamily="18" charset="0"/>
                </a:rPr>
                <a:t>𝜌</a:t>
              </a:r>
              <a:r>
                <a:rPr kumimoji="1" lang="en-US" altLang="ja-JP" sz="1100" i="0">
                  <a:latin typeface="Cambria Math" panose="02040503050406030204" pitchFamily="18" charset="0"/>
                </a:rPr>
                <a:t>w</a:t>
              </a:r>
              <a:r>
                <a:rPr kumimoji="1" lang="en-US" altLang="ja-JP" sz="1100"/>
                <a:t>= tỷ</a:t>
              </a:r>
              <a:r>
                <a:rPr kumimoji="1" lang="en-US" altLang="ja-JP" sz="1100" baseline="0"/>
                <a:t> trọng nước</a:t>
              </a:r>
              <a:r>
                <a:rPr kumimoji="1" lang="en-US" altLang="ja-JP" sz="1100"/>
                <a:t>=1.0</a:t>
              </a:r>
              <a:endParaRPr kumimoji="1" lang="ja-JP" alt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47</xdr:row>
      <xdr:rowOff>47625</xdr:rowOff>
    </xdr:from>
    <xdr:ext cx="1059906" cy="318421"/>
    <mc:AlternateContent xmlns:mc="http://schemas.openxmlformats.org/markup-compatibility/2006" xmlns:a14="http://schemas.microsoft.com/office/drawing/2010/main">
      <mc:Choice Requires="a14">
        <xdr:sp macro="" textlink="">
          <xdr:nvSpPr>
            <xdr:cNvPr id="6" name="テキスト ボックス 1"/>
            <xdr:cNvSpPr txBox="1"/>
          </xdr:nvSpPr>
          <xdr:spPr>
            <a:xfrm>
              <a:off x="0" y="9229725"/>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𝑚</m:t>
                    </m:r>
                    <m:r>
                      <a:rPr kumimoji="1" lang="en-US" altLang="ja-JP" sz="1100" b="0" i="1" baseline="-25000">
                        <a:latin typeface="Cambria Math" panose="02040503050406030204" pitchFamily="18" charset="0"/>
                      </a:rPr>
                      <m:t>𝑠</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num>
                      <m:den>
                        <m:r>
                          <a:rPr kumimoji="1" lang="en-US" altLang="ja-JP" sz="1100" b="0" i="1">
                            <a:latin typeface="Cambria Math" panose="02040503050406030204" pitchFamily="18" charset="0"/>
                          </a:rPr>
                          <m:t>1+</m:t>
                        </m:r>
                        <m:r>
                          <a:rPr kumimoji="1" lang="en-US" altLang="ja-JP" sz="1100" b="0" i="1">
                            <a:latin typeface="Cambria Math" panose="02040503050406030204" pitchFamily="18" charset="0"/>
                          </a:rPr>
                          <m:t>𝑤</m:t>
                        </m:r>
                        <m:r>
                          <a:rPr kumimoji="1" lang="en-US" altLang="ja-JP" sz="1100" b="0" i="1">
                            <a:latin typeface="Cambria Math" panose="02040503050406030204" pitchFamily="18" charset="0"/>
                          </a:rPr>
                          <m:t>/100</m:t>
                        </m:r>
                      </m:den>
                    </m:f>
                  </m:oMath>
                </m:oMathPara>
              </a14:m>
              <a:endParaRPr kumimoji="1" lang="ja-JP" altLang="en-US" sz="1100"/>
            </a:p>
          </xdr:txBody>
        </xdr:sp>
      </mc:Choice>
      <mc:Fallback xmlns="">
        <xdr:sp macro="" textlink="">
          <xdr:nvSpPr>
            <xdr:cNvPr id="6" name="テキスト ボックス 1"/>
            <xdr:cNvSpPr txBox="1"/>
          </xdr:nvSpPr>
          <xdr:spPr>
            <a:xfrm>
              <a:off x="0" y="9229725"/>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𝑚</a:t>
              </a:r>
              <a:r>
                <a:rPr kumimoji="1" lang="en-US" altLang="ja-JP" sz="1100" b="0" i="0" baseline="-25000">
                  <a:latin typeface="Cambria Math" panose="02040503050406030204" pitchFamily="18" charset="0"/>
                </a:rPr>
                <a:t>𝑠</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𝑚/(1+𝑤/100)</a:t>
              </a:r>
              <a:endParaRPr kumimoji="1" lang="ja-JP" altLang="en-US" sz="1100"/>
            </a:p>
          </xdr:txBody>
        </xdr:sp>
      </mc:Fallback>
    </mc:AlternateContent>
    <xdr:clientData/>
  </xdr:oneCellAnchor>
  <xdr:oneCellAnchor>
    <xdr:from>
      <xdr:col>11</xdr:col>
      <xdr:colOff>104775</xdr:colOff>
      <xdr:row>47</xdr:row>
      <xdr:rowOff>19049</xdr:rowOff>
    </xdr:from>
    <xdr:ext cx="1381019" cy="352425"/>
    <mc:AlternateContent xmlns:mc="http://schemas.openxmlformats.org/markup-compatibility/2006" xmlns:a14="http://schemas.microsoft.com/office/drawing/2010/main">
      <mc:Choice Requires="a14">
        <xdr:sp macro="" textlink="">
          <xdr:nvSpPr>
            <xdr:cNvPr id="7" name="テキスト ボックス 3"/>
            <xdr:cNvSpPr txBox="1"/>
          </xdr:nvSpPr>
          <xdr:spPr>
            <a:xfrm>
              <a:off x="1676400" y="9201149"/>
              <a:ext cx="1381019"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𝑅</m:t>
                    </m:r>
                    <m:r>
                      <a:rPr kumimoji="1" lang="en-US" altLang="ja-JP" sz="1100" b="0" i="1" baseline="-25000">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𝑚𝑠</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𝑉𝑤</m:t>
                        </m:r>
                        <m:r>
                          <a:rPr kumimoji="1" lang="ja-JP" altLang="en-US" sz="1100" b="0" i="1">
                            <a:latin typeface="Cambria Math" panose="02040503050406030204" pitchFamily="18" charset="0"/>
                          </a:rPr>
                          <m:t>𝜌</m:t>
                        </m:r>
                        <m:r>
                          <a:rPr kumimoji="1" lang="en-US" altLang="ja-JP" sz="1100" b="0" i="1">
                            <a:latin typeface="Cambria Math" panose="02040503050406030204" pitchFamily="18" charset="0"/>
                          </a:rPr>
                          <m:t>𝑤</m:t>
                        </m:r>
                      </m:num>
                      <m:den>
                        <m:r>
                          <a:rPr kumimoji="1" lang="en-US" altLang="ja-JP" sz="1100" b="0" i="1">
                            <a:latin typeface="Cambria Math" panose="02040503050406030204" pitchFamily="18" charset="0"/>
                          </a:rPr>
                          <m:t>𝑚</m:t>
                        </m:r>
                        <m:r>
                          <a:rPr kumimoji="1" lang="en-US" altLang="ja-JP" sz="1100" b="0" i="1" baseline="-25000">
                            <a:latin typeface="Cambria Math" panose="02040503050406030204" pitchFamily="18" charset="0"/>
                          </a:rPr>
                          <m:t>𝑠</m:t>
                        </m:r>
                      </m:den>
                    </m:f>
                  </m:oMath>
                </m:oMathPara>
              </a14:m>
              <a:endParaRPr kumimoji="1" lang="ja-JP" altLang="en-US" sz="1100"/>
            </a:p>
          </xdr:txBody>
        </xdr:sp>
      </mc:Choice>
      <mc:Fallback xmlns="">
        <xdr:sp macro="" textlink="">
          <xdr:nvSpPr>
            <xdr:cNvPr id="7" name="テキスト ボックス 3"/>
            <xdr:cNvSpPr txBox="1"/>
          </xdr:nvSpPr>
          <xdr:spPr>
            <a:xfrm>
              <a:off x="1676400" y="9201149"/>
              <a:ext cx="1381019"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kumimoji="1" lang="en-US" altLang="ja-JP" sz="1100" b="0" i="0">
                  <a:latin typeface="Cambria Math" panose="02040503050406030204" pitchFamily="18" charset="0"/>
                </a:rPr>
                <a:t>𝑅</a:t>
              </a:r>
              <a:r>
                <a:rPr kumimoji="1" lang="en-US" altLang="ja-JP" sz="1100" b="0" i="0" baseline="-2500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𝑚−𝑚</a:t>
              </a:r>
              <a:r>
                <a:rPr kumimoji="1" lang="en-US" altLang="ja-JP" sz="1100" b="0" i="0" baseline="-25000">
                  <a:latin typeface="Cambria Math" panose="02040503050406030204" pitchFamily="18" charset="0"/>
                </a:rPr>
                <a:t>𝑠</a:t>
              </a:r>
              <a:r>
                <a:rPr kumimoji="1" lang="en-US" altLang="ja-JP" sz="1100" b="0" i="0">
                  <a:latin typeface="Cambria Math" panose="02040503050406030204" pitchFamily="18" charset="0"/>
                </a:rPr>
                <a:t>+𝑉</a:t>
              </a:r>
              <a:r>
                <a:rPr kumimoji="1" lang="en-US" altLang="ja-JP" sz="1100" b="0" i="0" baseline="-25000">
                  <a:latin typeface="Cambria Math" panose="02040503050406030204" pitchFamily="18" charset="0"/>
                </a:rPr>
                <a:t>𝑤</a:t>
              </a:r>
              <a:r>
                <a:rPr kumimoji="1" lang="ja-JP" altLang="en-US" sz="1100" b="0" i="0">
                  <a:latin typeface="Cambria Math" panose="02040503050406030204" pitchFamily="18" charset="0"/>
                </a:rPr>
                <a:t>𝜌</a:t>
              </a:r>
              <a:r>
                <a:rPr kumimoji="1" lang="en-US" altLang="ja-JP" sz="1100" b="0" i="0">
                  <a:latin typeface="Cambria Math" panose="02040503050406030204" pitchFamily="18" charset="0"/>
                </a:rPr>
                <a:t>𝑤)/𝑚</a:t>
              </a:r>
              <a:r>
                <a:rPr kumimoji="1" lang="en-US" altLang="ja-JP" sz="1100" b="0" i="0" baseline="-25000">
                  <a:latin typeface="Cambria Math" panose="02040503050406030204" pitchFamily="18" charset="0"/>
                </a:rPr>
                <a:t>𝑠</a:t>
              </a:r>
              <a:endParaRPr kumimoji="1" lang="ja-JP" altLang="en-US" sz="1100"/>
            </a:p>
          </xdr:txBody>
        </xdr:sp>
      </mc:Fallback>
    </mc:AlternateContent>
    <xdr:clientData/>
  </xdr:oneCellAnchor>
  <xdr:oneCellAnchor>
    <xdr:from>
      <xdr:col>27</xdr:col>
      <xdr:colOff>95250</xdr:colOff>
      <xdr:row>47</xdr:row>
      <xdr:rowOff>66675</xdr:rowOff>
    </xdr:from>
    <xdr:ext cx="1581150" cy="172227"/>
    <mc:AlternateContent xmlns:mc="http://schemas.openxmlformats.org/markup-compatibility/2006" xmlns:a14="http://schemas.microsoft.com/office/drawing/2010/main">
      <mc:Choice Requires="a14">
        <xdr:sp macro="" textlink="">
          <xdr:nvSpPr>
            <xdr:cNvPr id="8" name="テキスト ボックス 4"/>
            <xdr:cNvSpPr txBox="1"/>
          </xdr:nvSpPr>
          <xdr:spPr>
            <a:xfrm>
              <a:off x="3952875" y="9248775"/>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kumimoji="1" lang="ja-JP" altLang="en-US" sz="1100" i="1">
                      <a:latin typeface="Cambria Math" panose="02040503050406030204" pitchFamily="18" charset="0"/>
                    </a:rPr>
                    <m:t>𝜌</m:t>
                  </m:r>
                  <m:r>
                    <m:rPr>
                      <m:sty m:val="p"/>
                    </m:rPr>
                    <a:rPr kumimoji="1" lang="en-US" altLang="ja-JP" sz="1100" i="1">
                      <a:latin typeface="Cambria Math" panose="02040503050406030204" pitchFamily="18" charset="0"/>
                    </a:rPr>
                    <m:t>w</m:t>
                  </m:r>
                </m:oMath>
              </a14:m>
              <a:r>
                <a:rPr kumimoji="1" lang="en-US" altLang="ja-JP" sz="1100"/>
                <a:t>= tỷ</a:t>
              </a:r>
              <a:r>
                <a:rPr kumimoji="1" lang="en-US" altLang="ja-JP" sz="1100" baseline="0"/>
                <a:t> trọng nước</a:t>
              </a:r>
              <a:r>
                <a:rPr kumimoji="1" lang="en-US" altLang="ja-JP" sz="1100"/>
                <a:t>=1.0</a:t>
              </a:r>
              <a:endParaRPr kumimoji="1" lang="ja-JP" altLang="en-US" sz="1100"/>
            </a:p>
          </xdr:txBody>
        </xdr:sp>
      </mc:Choice>
      <mc:Fallback xmlns="">
        <xdr:sp macro="" textlink="">
          <xdr:nvSpPr>
            <xdr:cNvPr id="8" name="テキスト ボックス 4"/>
            <xdr:cNvSpPr txBox="1"/>
          </xdr:nvSpPr>
          <xdr:spPr>
            <a:xfrm>
              <a:off x="3952875" y="9248775"/>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ja-JP" altLang="en-US" sz="1100" i="0">
                  <a:latin typeface="Cambria Math" panose="02040503050406030204" pitchFamily="18" charset="0"/>
                </a:rPr>
                <a:t>𝜌</a:t>
              </a:r>
              <a:r>
                <a:rPr kumimoji="1" lang="en-US" altLang="ja-JP" sz="1100" i="0">
                  <a:latin typeface="Cambria Math" panose="02040503050406030204" pitchFamily="18" charset="0"/>
                </a:rPr>
                <a:t>w</a:t>
              </a:r>
              <a:r>
                <a:rPr kumimoji="1" lang="en-US" altLang="ja-JP" sz="1100"/>
                <a:t>= tỷ</a:t>
              </a:r>
              <a:r>
                <a:rPr kumimoji="1" lang="en-US" altLang="ja-JP" sz="1100" baseline="0"/>
                <a:t> trọng nước</a:t>
              </a:r>
              <a:r>
                <a:rPr kumimoji="1" lang="en-US" altLang="ja-JP" sz="1100"/>
                <a:t>=1.0</a:t>
              </a:r>
              <a:endParaRPr kumimoji="1" lang="ja-JP" alt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1"/>
  <sheetViews>
    <sheetView tabSelected="1" view="pageBreakPreview" topLeftCell="A492" zoomScaleNormal="100" zoomScaleSheetLayoutView="100" workbookViewId="0">
      <selection activeCell="D524" sqref="D524:I526"/>
    </sheetView>
  </sheetViews>
  <sheetFormatPr defaultColWidth="9" defaultRowHeight="15"/>
  <cols>
    <col min="1" max="16384" width="9" style="19"/>
  </cols>
  <sheetData>
    <row r="1" spans="1:4">
      <c r="A1" s="63" t="s">
        <v>469</v>
      </c>
      <c r="B1" s="63"/>
      <c r="C1" s="64"/>
      <c r="D1" s="64"/>
    </row>
    <row r="2" spans="1:4">
      <c r="A2" s="63" t="s">
        <v>470</v>
      </c>
      <c r="B2" s="63"/>
      <c r="C2" s="64"/>
      <c r="D2" s="64"/>
    </row>
    <row r="3" spans="1:4">
      <c r="A3" s="63" t="s">
        <v>471</v>
      </c>
      <c r="B3" s="63"/>
      <c r="C3" s="64" t="s">
        <v>36</v>
      </c>
      <c r="D3" s="64"/>
    </row>
    <row r="11" spans="1:4">
      <c r="A11" s="20"/>
      <c r="B11" s="20"/>
      <c r="C11" s="20"/>
      <c r="D11" s="20"/>
    </row>
    <row r="12" spans="1:4">
      <c r="A12" s="20"/>
      <c r="B12" s="20"/>
      <c r="C12" s="20"/>
      <c r="D12" s="20"/>
    </row>
    <row r="13" spans="1:4">
      <c r="A13" s="20"/>
      <c r="B13" s="20"/>
      <c r="C13" s="20"/>
      <c r="D13" s="20"/>
    </row>
    <row r="14" spans="1:4">
      <c r="A14" s="20"/>
      <c r="B14" s="20"/>
      <c r="C14" s="20"/>
      <c r="D14" s="20"/>
    </row>
    <row r="18" spans="1:9" ht="15.75" customHeight="1">
      <c r="A18" s="67" t="s">
        <v>44</v>
      </c>
      <c r="B18" s="67"/>
      <c r="C18" s="67"/>
      <c r="D18" s="67"/>
      <c r="E18" s="67"/>
      <c r="F18" s="67"/>
      <c r="G18" s="67"/>
      <c r="H18" s="67"/>
      <c r="I18" s="67"/>
    </row>
    <row r="19" spans="1:9" ht="15" customHeight="1">
      <c r="A19" s="67"/>
      <c r="B19" s="67"/>
      <c r="C19" s="67"/>
      <c r="D19" s="67"/>
      <c r="E19" s="67"/>
      <c r="F19" s="67"/>
      <c r="G19" s="67"/>
      <c r="H19" s="67"/>
      <c r="I19" s="67"/>
    </row>
    <row r="20" spans="1:9" ht="15" customHeight="1">
      <c r="A20" s="67"/>
      <c r="B20" s="67"/>
      <c r="C20" s="67"/>
      <c r="D20" s="67"/>
      <c r="E20" s="67"/>
      <c r="F20" s="67"/>
      <c r="G20" s="67"/>
      <c r="H20" s="67"/>
      <c r="I20" s="67"/>
    </row>
    <row r="21" spans="1:9" ht="15.75" customHeight="1">
      <c r="A21" s="67"/>
      <c r="B21" s="67"/>
      <c r="C21" s="67"/>
      <c r="D21" s="67"/>
      <c r="E21" s="67"/>
      <c r="F21" s="67"/>
      <c r="G21" s="67"/>
      <c r="H21" s="67"/>
      <c r="I21" s="67"/>
    </row>
    <row r="25" spans="1:9">
      <c r="B25" s="65" t="s">
        <v>45</v>
      </c>
      <c r="C25" s="65"/>
      <c r="D25" s="65"/>
      <c r="E25" s="66">
        <v>42801</v>
      </c>
      <c r="F25" s="66"/>
      <c r="G25" s="66"/>
      <c r="H25" s="66"/>
    </row>
    <row r="26" spans="1:9">
      <c r="B26" s="65"/>
      <c r="C26" s="65"/>
      <c r="D26" s="65"/>
      <c r="E26" s="66"/>
      <c r="F26" s="66"/>
      <c r="G26" s="66"/>
      <c r="H26" s="66"/>
    </row>
    <row r="45" spans="2:8">
      <c r="B45" s="62" t="s">
        <v>46</v>
      </c>
      <c r="C45" s="62"/>
      <c r="D45" s="62"/>
      <c r="E45" s="62"/>
      <c r="F45" s="62"/>
      <c r="G45" s="62"/>
      <c r="H45" s="62"/>
    </row>
    <row r="46" spans="2:8">
      <c r="B46" s="62"/>
      <c r="C46" s="62"/>
      <c r="D46" s="62"/>
      <c r="E46" s="62"/>
      <c r="F46" s="62"/>
      <c r="G46" s="62"/>
      <c r="H46" s="62"/>
    </row>
    <row r="54" spans="1:9">
      <c r="A54" s="55" t="s">
        <v>47</v>
      </c>
      <c r="B54" s="55"/>
      <c r="C54" s="55"/>
      <c r="D54" s="55"/>
      <c r="E54" s="55"/>
      <c r="F54" s="55"/>
      <c r="G54" s="55"/>
      <c r="H54" s="55"/>
      <c r="I54" s="55"/>
    </row>
    <row r="55" spans="1:9">
      <c r="A55" s="55"/>
      <c r="B55" s="55"/>
      <c r="C55" s="55"/>
      <c r="D55" s="55"/>
      <c r="E55" s="55"/>
      <c r="F55" s="55"/>
      <c r="G55" s="55"/>
      <c r="H55" s="55"/>
      <c r="I55" s="55"/>
    </row>
    <row r="57" spans="1:9">
      <c r="A57" s="55">
        <v>1</v>
      </c>
      <c r="B57" s="55" t="s">
        <v>48</v>
      </c>
      <c r="C57" s="55"/>
      <c r="D57" s="55"/>
      <c r="E57" s="55"/>
      <c r="F57" s="55" t="s">
        <v>37</v>
      </c>
      <c r="G57" s="55"/>
      <c r="H57" s="55"/>
      <c r="I57" s="56" t="s">
        <v>39</v>
      </c>
    </row>
    <row r="58" spans="1:9">
      <c r="A58" s="55"/>
      <c r="B58" s="55"/>
      <c r="C58" s="55"/>
      <c r="D58" s="55"/>
      <c r="E58" s="55"/>
      <c r="F58" s="55"/>
      <c r="G58" s="55"/>
      <c r="H58" s="55"/>
      <c r="I58" s="56"/>
    </row>
    <row r="59" spans="1:9">
      <c r="A59" s="55">
        <v>2</v>
      </c>
      <c r="B59" s="55" t="s">
        <v>49</v>
      </c>
      <c r="C59" s="55"/>
      <c r="D59" s="55"/>
      <c r="E59" s="55"/>
      <c r="F59" s="55" t="s">
        <v>37</v>
      </c>
      <c r="G59" s="55"/>
      <c r="H59" s="55"/>
      <c r="I59" s="56" t="s">
        <v>40</v>
      </c>
    </row>
    <row r="60" spans="1:9">
      <c r="A60" s="55"/>
      <c r="B60" s="55"/>
      <c r="C60" s="55"/>
      <c r="D60" s="55"/>
      <c r="E60" s="55"/>
      <c r="F60" s="55"/>
      <c r="G60" s="55"/>
      <c r="H60" s="55"/>
      <c r="I60" s="56"/>
    </row>
    <row r="61" spans="1:9">
      <c r="A61" s="55">
        <v>3</v>
      </c>
      <c r="B61" s="55" t="s">
        <v>50</v>
      </c>
      <c r="C61" s="55"/>
      <c r="D61" s="55"/>
      <c r="E61" s="55"/>
      <c r="F61" s="55" t="s">
        <v>37</v>
      </c>
      <c r="G61" s="55"/>
      <c r="H61" s="55"/>
      <c r="I61" s="56" t="s">
        <v>41</v>
      </c>
    </row>
    <row r="62" spans="1:9">
      <c r="A62" s="55"/>
      <c r="B62" s="55"/>
      <c r="C62" s="55"/>
      <c r="D62" s="55"/>
      <c r="E62" s="55"/>
      <c r="F62" s="55"/>
      <c r="G62" s="55"/>
      <c r="H62" s="55"/>
      <c r="I62" s="56"/>
    </row>
    <row r="63" spans="1:9">
      <c r="A63" s="55">
        <v>4</v>
      </c>
      <c r="B63" s="55" t="s">
        <v>51</v>
      </c>
      <c r="C63" s="55"/>
      <c r="D63" s="55"/>
      <c r="E63" s="55"/>
      <c r="F63" s="55" t="s">
        <v>37</v>
      </c>
      <c r="G63" s="55"/>
      <c r="H63" s="55"/>
      <c r="I63" s="56" t="s">
        <v>42</v>
      </c>
    </row>
    <row r="64" spans="1:9">
      <c r="A64" s="55"/>
      <c r="B64" s="55"/>
      <c r="C64" s="55"/>
      <c r="D64" s="55"/>
      <c r="E64" s="55"/>
      <c r="F64" s="55"/>
      <c r="G64" s="55"/>
      <c r="H64" s="55"/>
      <c r="I64" s="56"/>
    </row>
    <row r="65" spans="1:9">
      <c r="A65" s="55">
        <v>5</v>
      </c>
      <c r="B65" s="55" t="s">
        <v>52</v>
      </c>
      <c r="C65" s="55"/>
      <c r="D65" s="55"/>
      <c r="E65" s="55"/>
      <c r="F65" s="55" t="s">
        <v>37</v>
      </c>
      <c r="G65" s="55"/>
      <c r="H65" s="55"/>
      <c r="I65" s="56" t="s">
        <v>43</v>
      </c>
    </row>
    <row r="66" spans="1:9">
      <c r="A66" s="55"/>
      <c r="B66" s="55"/>
      <c r="C66" s="55"/>
      <c r="D66" s="55"/>
      <c r="E66" s="55"/>
      <c r="F66" s="55"/>
      <c r="G66" s="55"/>
      <c r="H66" s="55"/>
      <c r="I66" s="56"/>
    </row>
    <row r="101" spans="1:10">
      <c r="A101" s="58" t="s">
        <v>53</v>
      </c>
      <c r="B101" s="56"/>
      <c r="C101" s="56"/>
      <c r="D101" s="56"/>
      <c r="E101" s="56"/>
      <c r="F101" s="56"/>
      <c r="G101" s="56"/>
      <c r="H101" s="56"/>
      <c r="I101" s="56"/>
      <c r="J101" s="1"/>
    </row>
    <row r="102" spans="1:10">
      <c r="A102" s="56"/>
      <c r="B102" s="56"/>
      <c r="C102" s="56"/>
      <c r="D102" s="56"/>
      <c r="E102" s="56"/>
      <c r="F102" s="56"/>
      <c r="G102" s="56"/>
      <c r="H102" s="56"/>
      <c r="I102" s="56"/>
      <c r="J102" s="1"/>
    </row>
    <row r="103" spans="1:10">
      <c r="A103" s="58" t="s">
        <v>54</v>
      </c>
      <c r="B103" s="56"/>
      <c r="C103" s="56"/>
      <c r="D103" s="56"/>
      <c r="E103" s="56"/>
      <c r="F103" s="56"/>
      <c r="G103" s="56"/>
      <c r="H103" s="56"/>
      <c r="I103" s="56"/>
      <c r="J103" s="1"/>
    </row>
    <row r="104" spans="1:10">
      <c r="A104" s="21"/>
      <c r="B104" s="21"/>
      <c r="C104" s="21"/>
      <c r="D104" s="21"/>
      <c r="E104" s="21"/>
      <c r="F104" s="21"/>
      <c r="G104" s="21"/>
      <c r="H104" s="21"/>
      <c r="I104" s="21"/>
      <c r="J104" s="1"/>
    </row>
    <row r="105" spans="1:10">
      <c r="A105" s="28" t="s">
        <v>55</v>
      </c>
      <c r="B105" s="9" t="s">
        <v>56</v>
      </c>
      <c r="C105" s="9"/>
      <c r="D105" s="1"/>
      <c r="E105" s="1"/>
      <c r="F105" s="1"/>
      <c r="G105" s="1"/>
      <c r="H105" s="1"/>
      <c r="I105" s="1"/>
      <c r="J105" s="1"/>
    </row>
    <row r="106" spans="1:10" ht="15" customHeight="1">
      <c r="A106" s="1"/>
      <c r="B106" s="45" t="s">
        <v>476</v>
      </c>
      <c r="C106" s="45"/>
      <c r="D106" s="45"/>
      <c r="E106" s="45"/>
      <c r="F106" s="45"/>
      <c r="G106" s="45"/>
      <c r="H106" s="45"/>
      <c r="I106" s="45"/>
      <c r="J106" s="1"/>
    </row>
    <row r="107" spans="1:10">
      <c r="A107" s="1"/>
      <c r="B107" s="45"/>
      <c r="C107" s="45"/>
      <c r="D107" s="45"/>
      <c r="E107" s="45"/>
      <c r="F107" s="45"/>
      <c r="G107" s="45"/>
      <c r="H107" s="45"/>
      <c r="I107" s="45"/>
      <c r="J107" s="1"/>
    </row>
    <row r="108" spans="1:10">
      <c r="A108" s="7"/>
      <c r="B108" s="2"/>
      <c r="C108" s="1"/>
      <c r="D108" s="1"/>
      <c r="E108" s="1"/>
      <c r="F108" s="1"/>
      <c r="G108" s="1"/>
      <c r="H108" s="1"/>
      <c r="I108" s="1"/>
      <c r="J108" s="1"/>
    </row>
    <row r="109" spans="1:10">
      <c r="A109" s="28" t="s">
        <v>57</v>
      </c>
      <c r="B109" s="9" t="s">
        <v>58</v>
      </c>
      <c r="C109" s="9"/>
      <c r="D109" s="9"/>
      <c r="E109" s="1"/>
      <c r="F109" s="1"/>
      <c r="G109" s="1"/>
      <c r="H109" s="1"/>
      <c r="I109" s="1"/>
      <c r="J109" s="1"/>
    </row>
    <row r="110" spans="1:10" ht="15" customHeight="1">
      <c r="A110" s="1"/>
      <c r="B110" s="3" t="s">
        <v>59</v>
      </c>
      <c r="C110" s="1"/>
      <c r="D110" s="1"/>
      <c r="E110" s="1"/>
      <c r="F110" s="1"/>
      <c r="G110" s="1"/>
      <c r="H110" s="1"/>
      <c r="I110" s="1"/>
      <c r="J110" s="1"/>
    </row>
    <row r="111" spans="1:10">
      <c r="A111" s="1"/>
      <c r="B111" s="3" t="s">
        <v>60</v>
      </c>
      <c r="C111" s="5"/>
      <c r="D111" s="5"/>
      <c r="E111" s="5"/>
      <c r="F111" s="5"/>
      <c r="G111" s="5"/>
      <c r="H111" s="5"/>
      <c r="I111" s="5"/>
      <c r="J111" s="1"/>
    </row>
    <row r="112" spans="1:10">
      <c r="A112" s="2"/>
      <c r="B112" s="8" t="s">
        <v>61</v>
      </c>
      <c r="C112" s="5"/>
      <c r="D112" s="5"/>
      <c r="E112" s="5"/>
      <c r="F112" s="5"/>
      <c r="G112" s="5"/>
      <c r="H112" s="5"/>
      <c r="I112" s="5"/>
      <c r="J112" s="1"/>
    </row>
    <row r="113" spans="1:10">
      <c r="A113" s="1"/>
      <c r="B113" s="3"/>
      <c r="C113" s="5"/>
      <c r="D113" s="5"/>
      <c r="E113" s="5"/>
      <c r="F113" s="5"/>
      <c r="G113" s="5"/>
      <c r="H113" s="5"/>
      <c r="I113" s="5"/>
      <c r="J113" s="1"/>
    </row>
    <row r="114" spans="1:10">
      <c r="A114" s="28" t="s">
        <v>62</v>
      </c>
      <c r="B114" s="59" t="s">
        <v>63</v>
      </c>
      <c r="C114" s="59"/>
      <c r="D114" s="1"/>
      <c r="E114" s="1"/>
      <c r="F114" s="1"/>
      <c r="G114" s="1"/>
      <c r="H114" s="1"/>
      <c r="I114" s="1"/>
      <c r="J114" s="1"/>
    </row>
    <row r="115" spans="1:10">
      <c r="A115" s="1"/>
      <c r="B115" s="1" t="s">
        <v>477</v>
      </c>
      <c r="C115" s="1"/>
      <c r="D115" s="1"/>
      <c r="E115" s="1"/>
      <c r="F115" s="1"/>
      <c r="G115" s="1"/>
      <c r="H115" s="1"/>
      <c r="I115" s="1"/>
      <c r="J115" s="1"/>
    </row>
    <row r="116" spans="1:10">
      <c r="A116" s="1"/>
      <c r="B116" s="2" t="s">
        <v>64</v>
      </c>
      <c r="C116" s="1" t="s">
        <v>65</v>
      </c>
      <c r="D116" s="5"/>
      <c r="E116" s="5"/>
      <c r="F116" s="5"/>
      <c r="G116" s="5"/>
      <c r="H116" s="5"/>
      <c r="I116" s="5"/>
      <c r="J116" s="1"/>
    </row>
    <row r="117" spans="1:10">
      <c r="A117" s="1"/>
      <c r="B117" s="1"/>
      <c r="C117" s="45" t="s">
        <v>478</v>
      </c>
      <c r="D117" s="45"/>
      <c r="E117" s="45"/>
      <c r="F117" s="45"/>
      <c r="G117" s="45"/>
      <c r="H117" s="45"/>
      <c r="I117" s="45"/>
      <c r="J117" s="1"/>
    </row>
    <row r="118" spans="1:10" ht="15" customHeight="1">
      <c r="A118" s="1"/>
      <c r="B118" s="2"/>
      <c r="C118" s="45"/>
      <c r="D118" s="45"/>
      <c r="E118" s="45"/>
      <c r="F118" s="45"/>
      <c r="G118" s="45"/>
      <c r="H118" s="45"/>
      <c r="I118" s="45"/>
      <c r="J118" s="1"/>
    </row>
    <row r="119" spans="1:10">
      <c r="A119" s="1"/>
      <c r="B119" s="2"/>
      <c r="C119" s="1"/>
      <c r="D119" s="1"/>
      <c r="E119" s="1"/>
      <c r="F119" s="1"/>
      <c r="G119" s="1"/>
      <c r="H119" s="1"/>
      <c r="I119" s="1"/>
      <c r="J119" s="1"/>
    </row>
    <row r="120" spans="1:10">
      <c r="A120" s="1"/>
      <c r="B120" s="2"/>
      <c r="C120" s="1"/>
      <c r="D120" s="1"/>
      <c r="E120" s="1"/>
      <c r="F120" s="1"/>
      <c r="G120" s="1"/>
      <c r="H120" s="1"/>
      <c r="I120" s="1"/>
      <c r="J120" s="1"/>
    </row>
    <row r="121" spans="1:10">
      <c r="A121" s="28" t="s">
        <v>66</v>
      </c>
      <c r="B121" s="9" t="s">
        <v>67</v>
      </c>
      <c r="C121" s="1"/>
      <c r="D121" s="1"/>
      <c r="E121" s="1"/>
      <c r="F121" s="1"/>
      <c r="G121" s="1"/>
      <c r="H121" s="1"/>
      <c r="I121" s="1"/>
      <c r="J121" s="1"/>
    </row>
    <row r="122" spans="1:10">
      <c r="A122" s="2"/>
      <c r="B122" s="3" t="s">
        <v>68</v>
      </c>
      <c r="C122" s="1"/>
      <c r="D122" s="1"/>
      <c r="E122" s="1"/>
      <c r="F122" s="1"/>
      <c r="G122" s="1"/>
      <c r="H122" s="1"/>
      <c r="I122" s="1"/>
      <c r="J122" s="1"/>
    </row>
    <row r="123" spans="1:10">
      <c r="A123" s="1"/>
      <c r="B123" s="2" t="s">
        <v>64</v>
      </c>
      <c r="C123" s="1" t="s">
        <v>69</v>
      </c>
      <c r="D123" s="1"/>
      <c r="E123" s="1"/>
      <c r="F123" s="1"/>
      <c r="G123" s="1"/>
      <c r="H123" s="1"/>
      <c r="I123" s="1"/>
      <c r="J123" s="1"/>
    </row>
    <row r="124" spans="1:10">
      <c r="A124" s="1"/>
      <c r="B124" s="2" t="s">
        <v>70</v>
      </c>
      <c r="C124" s="3" t="s">
        <v>71</v>
      </c>
      <c r="D124" s="1"/>
      <c r="E124" s="1"/>
      <c r="F124" s="1"/>
      <c r="G124" s="1"/>
      <c r="H124" s="1"/>
      <c r="I124" s="1"/>
      <c r="J124" s="1"/>
    </row>
    <row r="125" spans="1:10">
      <c r="A125" s="1"/>
      <c r="B125" s="3"/>
      <c r="C125" s="9" t="s">
        <v>72</v>
      </c>
      <c r="D125" s="1"/>
      <c r="E125" s="1"/>
      <c r="F125" s="1"/>
      <c r="G125" s="1"/>
      <c r="H125" s="1"/>
      <c r="I125" s="1"/>
      <c r="J125" s="1"/>
    </row>
    <row r="126" spans="1:10" ht="15" customHeight="1">
      <c r="A126" s="1"/>
      <c r="B126" s="3"/>
      <c r="C126" s="45" t="s">
        <v>474</v>
      </c>
      <c r="D126" s="45"/>
      <c r="E126" s="45"/>
      <c r="F126" s="45"/>
      <c r="G126" s="45"/>
      <c r="H126" s="45"/>
      <c r="I126" s="45"/>
      <c r="J126" s="1"/>
    </row>
    <row r="127" spans="1:10">
      <c r="A127" s="1"/>
      <c r="B127" s="3"/>
      <c r="C127" s="45"/>
      <c r="D127" s="45"/>
      <c r="E127" s="45"/>
      <c r="F127" s="45"/>
      <c r="G127" s="45"/>
      <c r="H127" s="45"/>
      <c r="I127" s="45"/>
      <c r="J127" s="1"/>
    </row>
    <row r="128" spans="1:10">
      <c r="A128" s="1"/>
      <c r="B128" s="2" t="s">
        <v>73</v>
      </c>
      <c r="C128" s="1" t="s">
        <v>74</v>
      </c>
      <c r="D128" s="1"/>
      <c r="E128" s="1"/>
      <c r="F128" s="1"/>
      <c r="G128" s="1"/>
      <c r="H128" s="1"/>
      <c r="I128" s="1"/>
      <c r="J128" s="1"/>
    </row>
    <row r="129" spans="1:10" ht="15" customHeight="1">
      <c r="A129" s="1"/>
      <c r="B129" s="2" t="s">
        <v>75</v>
      </c>
      <c r="C129" s="45" t="s">
        <v>76</v>
      </c>
      <c r="D129" s="45"/>
      <c r="E129" s="45"/>
      <c r="F129" s="45"/>
      <c r="G129" s="45"/>
      <c r="H129" s="45"/>
      <c r="I129" s="45"/>
      <c r="J129" s="1"/>
    </row>
    <row r="130" spans="1:10">
      <c r="A130" s="1"/>
      <c r="B130" s="3"/>
      <c r="C130" s="45"/>
      <c r="D130" s="45"/>
      <c r="E130" s="45"/>
      <c r="F130" s="45"/>
      <c r="G130" s="45"/>
      <c r="H130" s="45"/>
      <c r="I130" s="45"/>
      <c r="J130" s="1"/>
    </row>
    <row r="131" spans="1:10">
      <c r="A131" s="1"/>
      <c r="B131" s="3"/>
      <c r="C131" s="1"/>
      <c r="D131" s="1"/>
      <c r="E131" s="1"/>
      <c r="F131" s="1"/>
      <c r="G131" s="1"/>
      <c r="H131" s="1"/>
      <c r="I131" s="1"/>
      <c r="J131" s="1"/>
    </row>
    <row r="132" spans="1:10">
      <c r="A132" s="1"/>
      <c r="B132" s="3"/>
      <c r="C132" s="6" t="s">
        <v>77</v>
      </c>
      <c r="D132" s="60" t="s">
        <v>78</v>
      </c>
      <c r="E132" s="60"/>
      <c r="F132" s="60"/>
      <c r="G132" s="60"/>
      <c r="H132" s="60"/>
      <c r="I132" s="60"/>
      <c r="J132" s="1"/>
    </row>
    <row r="133" spans="1:10">
      <c r="A133" s="1"/>
      <c r="B133" s="3"/>
      <c r="C133" s="6"/>
      <c r="D133" s="24"/>
      <c r="E133" s="24"/>
      <c r="F133" s="24"/>
      <c r="G133" s="24"/>
      <c r="H133" s="24" t="s">
        <v>79</v>
      </c>
      <c r="I133" s="24"/>
      <c r="J133" s="1"/>
    </row>
    <row r="134" spans="1:10">
      <c r="A134" s="1"/>
      <c r="B134" s="1"/>
      <c r="C134" s="50" t="s">
        <v>80</v>
      </c>
      <c r="D134" s="61"/>
      <c r="E134" s="51"/>
      <c r="F134" s="61" t="s">
        <v>81</v>
      </c>
      <c r="G134" s="61"/>
      <c r="H134" s="61"/>
      <c r="I134" s="51"/>
      <c r="J134" s="1"/>
    </row>
    <row r="135" spans="1:10">
      <c r="A135" s="1"/>
      <c r="B135" s="1"/>
      <c r="C135" s="47" t="s">
        <v>82</v>
      </c>
      <c r="D135" s="57"/>
      <c r="E135" s="48"/>
      <c r="F135" s="57" t="s">
        <v>83</v>
      </c>
      <c r="G135" s="57"/>
      <c r="H135" s="57"/>
      <c r="I135" s="48"/>
      <c r="J135" s="1"/>
    </row>
    <row r="136" spans="1:10">
      <c r="A136" s="1"/>
      <c r="B136" s="3"/>
      <c r="C136" s="47" t="s">
        <v>84</v>
      </c>
      <c r="D136" s="57"/>
      <c r="E136" s="48"/>
      <c r="F136" s="57" t="s">
        <v>85</v>
      </c>
      <c r="G136" s="57"/>
      <c r="H136" s="57"/>
      <c r="I136" s="48"/>
      <c r="J136" s="4"/>
    </row>
    <row r="137" spans="1:10">
      <c r="A137" s="1"/>
      <c r="B137" s="3"/>
      <c r="C137" s="47" t="s">
        <v>86</v>
      </c>
      <c r="D137" s="57"/>
      <c r="E137" s="48"/>
      <c r="F137" s="57" t="s">
        <v>87</v>
      </c>
      <c r="G137" s="57"/>
      <c r="H137" s="57"/>
      <c r="I137" s="48"/>
      <c r="J137" s="4"/>
    </row>
    <row r="138" spans="1:10">
      <c r="A138" s="1"/>
      <c r="B138" s="3"/>
      <c r="C138" s="42" t="s">
        <v>88</v>
      </c>
      <c r="D138" s="68"/>
      <c r="E138" s="43"/>
      <c r="F138" s="68" t="s">
        <v>89</v>
      </c>
      <c r="G138" s="68"/>
      <c r="H138" s="68"/>
      <c r="I138" s="43"/>
      <c r="J138" s="4"/>
    </row>
    <row r="139" spans="1:10">
      <c r="A139" s="1"/>
      <c r="B139" s="3"/>
      <c r="C139" s="3"/>
      <c r="D139" s="3"/>
      <c r="E139" s="3"/>
      <c r="F139" s="3"/>
      <c r="G139" s="3"/>
      <c r="H139" s="3"/>
      <c r="I139" s="3"/>
      <c r="J139" s="4"/>
    </row>
    <row r="140" spans="1:10">
      <c r="A140" s="28" t="s">
        <v>90</v>
      </c>
      <c r="B140" s="9" t="s">
        <v>91</v>
      </c>
      <c r="C140" s="3"/>
      <c r="D140" s="3"/>
      <c r="E140" s="3"/>
      <c r="F140" s="3"/>
      <c r="G140" s="3"/>
      <c r="H140" s="3"/>
      <c r="I140" s="3"/>
      <c r="J140" s="4"/>
    </row>
    <row r="141" spans="1:10">
      <c r="A141" s="1"/>
      <c r="B141" s="3" t="s">
        <v>92</v>
      </c>
      <c r="C141" s="3"/>
      <c r="D141" s="3"/>
      <c r="E141" s="3"/>
      <c r="F141" s="3"/>
      <c r="G141" s="3"/>
      <c r="H141" s="3"/>
      <c r="I141" s="3"/>
      <c r="J141" s="1"/>
    </row>
    <row r="142" spans="1:10">
      <c r="A142" s="1"/>
      <c r="B142" s="8" t="s">
        <v>72</v>
      </c>
      <c r="C142" s="3"/>
      <c r="D142" s="3"/>
      <c r="E142" s="3"/>
      <c r="F142" s="3"/>
      <c r="G142" s="3"/>
      <c r="H142" s="3"/>
      <c r="I142" s="3"/>
      <c r="J142" s="1"/>
    </row>
    <row r="143" spans="1:10">
      <c r="A143" s="1"/>
      <c r="B143" s="3" t="s">
        <v>93</v>
      </c>
      <c r="C143" s="3"/>
      <c r="D143" s="3"/>
      <c r="E143" s="3"/>
      <c r="F143" s="3"/>
      <c r="G143" s="3"/>
      <c r="H143" s="3"/>
      <c r="I143" s="3"/>
      <c r="J143" s="1"/>
    </row>
    <row r="144" spans="1:10" ht="15" customHeight="1">
      <c r="A144" s="1"/>
      <c r="B144" s="45" t="s">
        <v>94</v>
      </c>
      <c r="C144" s="45"/>
      <c r="D144" s="45"/>
      <c r="E144" s="45"/>
      <c r="F144" s="45"/>
      <c r="G144" s="45"/>
      <c r="H144" s="45"/>
      <c r="I144" s="45"/>
      <c r="J144" s="1"/>
    </row>
    <row r="145" spans="1:10">
      <c r="A145" s="1"/>
      <c r="B145" s="45"/>
      <c r="C145" s="45"/>
      <c r="D145" s="45"/>
      <c r="E145" s="45"/>
      <c r="F145" s="45"/>
      <c r="G145" s="45"/>
      <c r="H145" s="45"/>
      <c r="I145" s="45"/>
      <c r="J145" s="1"/>
    </row>
    <row r="146" spans="1:10" ht="15" customHeight="1">
      <c r="A146" s="1"/>
      <c r="B146" s="72" t="s">
        <v>95</v>
      </c>
      <c r="C146" s="72"/>
      <c r="D146" s="72"/>
      <c r="E146" s="72"/>
      <c r="F146" s="72"/>
      <c r="G146" s="72"/>
      <c r="H146" s="72"/>
      <c r="I146" s="72"/>
      <c r="J146" s="1"/>
    </row>
    <row r="147" spans="1:10">
      <c r="A147"/>
      <c r="B147" s="72"/>
      <c r="C147" s="72"/>
      <c r="D147" s="72"/>
      <c r="E147" s="72"/>
      <c r="F147" s="72"/>
      <c r="G147" s="72"/>
      <c r="H147" s="72"/>
      <c r="I147" s="72"/>
      <c r="J147" s="4"/>
    </row>
    <row r="148" spans="1:10">
      <c r="A148"/>
      <c r="B148" s="30"/>
      <c r="C148" s="30"/>
      <c r="D148" s="30"/>
      <c r="E148" s="30"/>
      <c r="F148" s="30"/>
      <c r="G148" s="30"/>
      <c r="H148" s="30"/>
      <c r="I148" s="30"/>
      <c r="J148" s="4"/>
    </row>
    <row r="149" spans="1:10">
      <c r="A149"/>
      <c r="B149"/>
      <c r="C149"/>
      <c r="D149"/>
      <c r="E149"/>
      <c r="F149"/>
      <c r="G149"/>
      <c r="H149"/>
      <c r="I149"/>
      <c r="J149" s="1"/>
    </row>
    <row r="150" spans="1:10">
      <c r="A150"/>
      <c r="B150"/>
      <c r="C150"/>
      <c r="D150"/>
      <c r="E150"/>
      <c r="F150"/>
      <c r="G150"/>
      <c r="H150"/>
      <c r="I150"/>
      <c r="J150" s="1"/>
    </row>
    <row r="151" spans="1:10">
      <c r="A151" s="1"/>
      <c r="B151" s="57" t="s">
        <v>96</v>
      </c>
      <c r="C151" s="57"/>
      <c r="D151" s="60" t="s">
        <v>97</v>
      </c>
      <c r="E151" s="60"/>
      <c r="F151" s="60"/>
      <c r="G151" s="60"/>
      <c r="H151" s="60"/>
      <c r="I151" s="60"/>
      <c r="J151" s="1"/>
    </row>
    <row r="152" spans="1:10">
      <c r="A152" s="1"/>
      <c r="B152" s="69" t="s">
        <v>98</v>
      </c>
      <c r="C152" s="70"/>
      <c r="D152" s="70"/>
      <c r="E152" s="71"/>
      <c r="F152" s="69" t="s">
        <v>99</v>
      </c>
      <c r="G152" s="70"/>
      <c r="H152" s="70"/>
      <c r="I152" s="71"/>
      <c r="J152" s="1"/>
    </row>
    <row r="153" spans="1:10">
      <c r="A153" s="1"/>
      <c r="B153" s="42"/>
      <c r="C153" s="68"/>
      <c r="D153" s="68"/>
      <c r="E153" s="43"/>
      <c r="F153" s="42"/>
      <c r="G153" s="68"/>
      <c r="H153" s="68"/>
      <c r="I153" s="43"/>
      <c r="J153" s="1"/>
    </row>
    <row r="154" spans="1:10">
      <c r="A154" s="1"/>
      <c r="B154" s="69" t="s">
        <v>100</v>
      </c>
      <c r="C154" s="70"/>
      <c r="D154" s="70"/>
      <c r="E154" s="71"/>
      <c r="F154" s="69" t="s">
        <v>101</v>
      </c>
      <c r="G154" s="70"/>
      <c r="H154" s="70"/>
      <c r="I154" s="71"/>
      <c r="J154" s="1"/>
    </row>
    <row r="155" spans="1:10">
      <c r="A155" s="1"/>
      <c r="B155" s="47" t="s">
        <v>102</v>
      </c>
      <c r="C155" s="57"/>
      <c r="D155" s="57"/>
      <c r="E155" s="48"/>
      <c r="F155" s="47" t="s">
        <v>103</v>
      </c>
      <c r="G155" s="57"/>
      <c r="H155" s="57"/>
      <c r="I155" s="48"/>
      <c r="J155" s="1"/>
    </row>
    <row r="156" spans="1:10">
      <c r="A156" s="1"/>
      <c r="B156" s="47" t="s">
        <v>104</v>
      </c>
      <c r="C156" s="57"/>
      <c r="D156" s="57"/>
      <c r="E156" s="48"/>
      <c r="F156" s="47" t="s">
        <v>105</v>
      </c>
      <c r="G156" s="57"/>
      <c r="H156" s="57"/>
      <c r="I156" s="48"/>
      <c r="J156" s="1"/>
    </row>
    <row r="157" spans="1:10">
      <c r="A157" s="1"/>
      <c r="B157" s="47" t="s">
        <v>106</v>
      </c>
      <c r="C157" s="57"/>
      <c r="D157" s="57"/>
      <c r="E157" s="48"/>
      <c r="F157" s="47" t="s">
        <v>107</v>
      </c>
      <c r="G157" s="57"/>
      <c r="H157" s="57"/>
      <c r="I157" s="48"/>
      <c r="J157" s="1"/>
    </row>
    <row r="158" spans="1:10">
      <c r="A158" s="1"/>
      <c r="B158" s="47" t="s">
        <v>108</v>
      </c>
      <c r="C158" s="57"/>
      <c r="D158" s="57"/>
      <c r="E158" s="48"/>
      <c r="F158" s="47" t="s">
        <v>109</v>
      </c>
      <c r="G158" s="57"/>
      <c r="H158" s="57"/>
      <c r="I158" s="48"/>
      <c r="J158" s="1"/>
    </row>
    <row r="159" spans="1:10">
      <c r="A159" s="1"/>
      <c r="B159" s="42" t="s">
        <v>110</v>
      </c>
      <c r="C159" s="68"/>
      <c r="D159" s="68"/>
      <c r="E159" s="43"/>
      <c r="F159" s="42" t="s">
        <v>111</v>
      </c>
      <c r="G159" s="68"/>
      <c r="H159" s="68"/>
      <c r="I159" s="43"/>
      <c r="J159" s="1"/>
    </row>
    <row r="160" spans="1:10">
      <c r="A160" s="1"/>
      <c r="B160" s="3"/>
      <c r="C160" s="3"/>
      <c r="D160" s="3"/>
      <c r="E160" s="3"/>
      <c r="F160" s="3"/>
      <c r="G160" s="3"/>
      <c r="H160" s="3"/>
      <c r="I160" s="3"/>
      <c r="J160" s="1"/>
    </row>
    <row r="161" spans="1:10">
      <c r="A161" s="28" t="s">
        <v>112</v>
      </c>
      <c r="B161" s="9" t="s">
        <v>113</v>
      </c>
      <c r="C161" s="8"/>
      <c r="D161" s="3"/>
      <c r="E161" s="3"/>
      <c r="F161" s="3"/>
      <c r="G161" s="3"/>
      <c r="H161" s="3"/>
      <c r="I161" s="3"/>
      <c r="J161" s="1"/>
    </row>
    <row r="162" spans="1:10">
      <c r="A162" s="1"/>
      <c r="B162" s="3" t="s">
        <v>114</v>
      </c>
      <c r="C162" s="3"/>
      <c r="D162" s="23"/>
      <c r="E162" s="23"/>
      <c r="F162" s="23"/>
      <c r="G162" s="23"/>
      <c r="H162" s="23"/>
      <c r="I162" s="23"/>
      <c r="J162" s="1"/>
    </row>
    <row r="163" spans="1:10">
      <c r="A163" s="1"/>
      <c r="B163" s="2" t="s">
        <v>64</v>
      </c>
      <c r="C163" s="3" t="s">
        <v>115</v>
      </c>
      <c r="D163" s="23"/>
      <c r="E163" s="23"/>
      <c r="F163" s="23"/>
      <c r="G163" s="23"/>
      <c r="H163" s="23"/>
      <c r="I163" s="23"/>
      <c r="J163" s="1"/>
    </row>
    <row r="164" spans="1:10">
      <c r="A164" s="1"/>
      <c r="B164" s="2" t="s">
        <v>70</v>
      </c>
      <c r="C164" s="1" t="s">
        <v>116</v>
      </c>
      <c r="D164" s="1"/>
      <c r="E164" s="1"/>
      <c r="F164" s="1"/>
      <c r="G164" s="1"/>
      <c r="H164" s="1"/>
      <c r="I164" s="1"/>
      <c r="J164" s="1"/>
    </row>
    <row r="165" spans="1:10" ht="15" customHeight="1">
      <c r="A165" s="1"/>
      <c r="B165" s="2" t="s">
        <v>73</v>
      </c>
      <c r="C165" s="41" t="s">
        <v>117</v>
      </c>
      <c r="D165" s="41"/>
      <c r="E165" s="41"/>
      <c r="F165" s="41"/>
      <c r="G165" s="41"/>
      <c r="H165" s="41"/>
      <c r="I165" s="41"/>
      <c r="J165" s="1"/>
    </row>
    <row r="166" spans="1:10">
      <c r="A166" s="1"/>
      <c r="B166" s="2"/>
      <c r="C166" s="41"/>
      <c r="D166" s="41"/>
      <c r="E166" s="41"/>
      <c r="F166" s="41"/>
      <c r="G166" s="41"/>
      <c r="H166" s="41"/>
      <c r="I166" s="41"/>
      <c r="J166" s="1"/>
    </row>
    <row r="167" spans="1:10" ht="15" customHeight="1">
      <c r="A167" s="1"/>
      <c r="B167" s="2" t="s">
        <v>118</v>
      </c>
      <c r="C167" s="41" t="s">
        <v>119</v>
      </c>
      <c r="D167" s="41"/>
      <c r="E167" s="41"/>
      <c r="F167" s="41"/>
      <c r="G167" s="41"/>
      <c r="H167" s="41"/>
      <c r="I167" s="41"/>
      <c r="J167" s="1"/>
    </row>
    <row r="168" spans="1:10" ht="17.25" customHeight="1">
      <c r="A168" s="1"/>
      <c r="B168" s="10"/>
      <c r="C168" s="41"/>
      <c r="D168" s="41"/>
      <c r="E168" s="41"/>
      <c r="F168" s="41"/>
      <c r="G168" s="41"/>
      <c r="H168" s="41"/>
      <c r="I168" s="41"/>
      <c r="J168" s="1"/>
    </row>
    <row r="169" spans="1:10" ht="15.75" customHeight="1">
      <c r="A169" s="1"/>
      <c r="B169" s="8" t="s">
        <v>72</v>
      </c>
      <c r="C169" s="8"/>
      <c r="D169" s="10"/>
      <c r="E169" s="10"/>
      <c r="F169" s="10"/>
      <c r="G169" s="10"/>
      <c r="H169" s="10"/>
      <c r="I169" s="10"/>
      <c r="J169" s="1"/>
    </row>
    <row r="170" spans="1:10">
      <c r="A170" s="1"/>
      <c r="B170" s="10" t="s">
        <v>120</v>
      </c>
      <c r="C170" s="10"/>
      <c r="D170" s="10"/>
      <c r="E170" s="10"/>
      <c r="F170" s="10"/>
      <c r="G170" s="10"/>
      <c r="H170" s="10"/>
      <c r="I170" s="10"/>
      <c r="J170" s="1"/>
    </row>
    <row r="171" spans="1:10">
      <c r="A171" s="28" t="s">
        <v>121</v>
      </c>
      <c r="B171" s="9" t="s">
        <v>122</v>
      </c>
      <c r="C171" s="1"/>
      <c r="D171" s="1"/>
      <c r="E171" s="1"/>
      <c r="F171" s="1"/>
      <c r="G171" s="1"/>
      <c r="H171" s="1"/>
      <c r="I171" s="1"/>
      <c r="J171" s="1"/>
    </row>
    <row r="172" spans="1:10" ht="15" customHeight="1">
      <c r="A172" s="1"/>
      <c r="B172" s="1" t="s">
        <v>123</v>
      </c>
      <c r="C172" s="1"/>
      <c r="D172" s="1"/>
      <c r="E172" s="1"/>
      <c r="F172" s="1"/>
      <c r="G172" s="1"/>
      <c r="H172" s="1"/>
      <c r="I172" s="1"/>
      <c r="J172" s="1"/>
    </row>
    <row r="173" spans="1:10">
      <c r="A173" s="1"/>
      <c r="B173" s="1"/>
      <c r="C173" s="1"/>
      <c r="D173" s="1"/>
      <c r="E173" s="1"/>
      <c r="F173" s="1"/>
      <c r="G173" s="1"/>
      <c r="H173" s="1"/>
      <c r="I173" s="1"/>
      <c r="J173" s="1"/>
    </row>
    <row r="174" spans="1:10" ht="15" customHeight="1">
      <c r="A174" s="1"/>
      <c r="B174" s="1"/>
      <c r="C174" s="1"/>
      <c r="D174" s="1"/>
      <c r="E174" s="1"/>
      <c r="F174" s="1"/>
      <c r="G174" s="1"/>
      <c r="H174" s="1"/>
      <c r="I174" s="1"/>
      <c r="J174" s="1"/>
    </row>
    <row r="175" spans="1:10">
      <c r="A175" s="1"/>
      <c r="B175" s="1"/>
      <c r="C175" s="1" t="s">
        <v>124</v>
      </c>
      <c r="D175" s="1"/>
      <c r="E175" s="1"/>
      <c r="F175" s="1"/>
      <c r="G175" s="1"/>
      <c r="H175" s="1"/>
      <c r="I175" s="1"/>
      <c r="J175" s="1"/>
    </row>
    <row r="176" spans="1:10">
      <c r="A176" s="1"/>
      <c r="B176" s="1"/>
      <c r="C176" s="2" t="s">
        <v>125</v>
      </c>
      <c r="D176" s="1" t="s">
        <v>126</v>
      </c>
      <c r="E176" s="1"/>
      <c r="F176" s="1"/>
      <c r="G176" s="1"/>
      <c r="H176" s="1"/>
      <c r="I176" s="1"/>
      <c r="J176" s="1"/>
    </row>
    <row r="177" spans="1:10">
      <c r="A177" s="1"/>
      <c r="B177" s="1"/>
      <c r="C177" s="2" t="s">
        <v>127</v>
      </c>
      <c r="D177" s="1" t="s">
        <v>128</v>
      </c>
      <c r="E177" s="1"/>
      <c r="F177" s="1"/>
      <c r="G177" s="1"/>
      <c r="H177" s="1"/>
      <c r="I177" s="1"/>
      <c r="J177" s="1"/>
    </row>
    <row r="178" spans="1:10">
      <c r="A178" s="1"/>
      <c r="B178" s="1"/>
      <c r="C178" s="2" t="s">
        <v>129</v>
      </c>
      <c r="D178" s="1" t="s">
        <v>130</v>
      </c>
      <c r="E178" s="1"/>
      <c r="F178" s="1"/>
      <c r="G178" s="1"/>
      <c r="H178" s="1"/>
      <c r="I178" s="1"/>
      <c r="J178" s="1"/>
    </row>
    <row r="179" spans="1:10">
      <c r="A179" s="1"/>
      <c r="B179" s="1"/>
      <c r="C179" s="2" t="s">
        <v>131</v>
      </c>
      <c r="D179" s="1" t="s">
        <v>132</v>
      </c>
      <c r="E179" s="1"/>
      <c r="F179" s="1"/>
      <c r="G179" s="1"/>
      <c r="H179" s="1"/>
      <c r="I179" s="1"/>
      <c r="J179" s="1"/>
    </row>
    <row r="180" spans="1:10">
      <c r="A180" s="1"/>
      <c r="B180" s="1"/>
      <c r="C180" s="1"/>
      <c r="D180" s="1"/>
      <c r="E180" s="1"/>
      <c r="F180" s="1"/>
      <c r="G180" s="1"/>
      <c r="H180" s="1"/>
      <c r="I180" s="1"/>
      <c r="J180" s="1"/>
    </row>
    <row r="181" spans="1:10">
      <c r="A181" s="28" t="s">
        <v>133</v>
      </c>
      <c r="B181" s="9" t="s">
        <v>134</v>
      </c>
      <c r="C181" s="1"/>
      <c r="D181" s="1"/>
      <c r="E181" s="1"/>
      <c r="F181" s="1"/>
      <c r="G181" s="1"/>
      <c r="H181" s="1"/>
      <c r="I181" s="1"/>
      <c r="J181" s="1"/>
    </row>
    <row r="182" spans="1:10">
      <c r="A182" s="1"/>
      <c r="B182" s="1" t="s">
        <v>135</v>
      </c>
      <c r="C182" s="1"/>
      <c r="D182" s="1"/>
      <c r="E182" s="1"/>
      <c r="F182" s="1"/>
      <c r="G182" s="1"/>
      <c r="H182" s="1"/>
      <c r="I182" s="1"/>
      <c r="J182" s="1"/>
    </row>
    <row r="183" spans="1:10">
      <c r="A183" s="1"/>
      <c r="B183" s="2" t="s">
        <v>64</v>
      </c>
      <c r="C183" s="1" t="s">
        <v>48</v>
      </c>
      <c r="D183" s="1"/>
      <c r="E183" s="1"/>
      <c r="F183" s="1"/>
      <c r="G183" s="1"/>
      <c r="H183" s="1"/>
      <c r="I183" s="1"/>
      <c r="J183" s="1"/>
    </row>
    <row r="184" spans="1:10">
      <c r="A184" s="2"/>
      <c r="B184" s="1"/>
      <c r="C184" s="1"/>
      <c r="D184" s="1"/>
      <c r="E184" s="1"/>
      <c r="F184" s="1"/>
      <c r="G184" s="1"/>
      <c r="H184" s="1"/>
      <c r="I184" s="1"/>
      <c r="J184" s="1"/>
    </row>
    <row r="185" spans="1:10">
      <c r="A185" s="1"/>
      <c r="B185" s="1"/>
      <c r="C185" s="1"/>
      <c r="D185" s="1"/>
      <c r="E185" s="1"/>
      <c r="F185" s="1"/>
      <c r="G185" s="1"/>
      <c r="H185" s="1"/>
      <c r="I185" s="1"/>
      <c r="J185" s="1"/>
    </row>
    <row r="186" spans="1:10">
      <c r="A186" s="1"/>
      <c r="B186" s="2"/>
      <c r="C186" s="1"/>
      <c r="D186" s="1"/>
      <c r="E186" s="1"/>
      <c r="F186" s="1"/>
      <c r="G186" s="1"/>
      <c r="H186" s="1"/>
      <c r="I186" s="1"/>
      <c r="J186" s="1"/>
    </row>
    <row r="187" spans="1:10">
      <c r="J187" s="1"/>
    </row>
    <row r="188" spans="1:10">
      <c r="J188" s="1"/>
    </row>
    <row r="189" spans="1:10">
      <c r="J189" s="1"/>
    </row>
    <row r="190" spans="1:10">
      <c r="J190" s="1"/>
    </row>
    <row r="191" spans="1:10">
      <c r="J191" s="1"/>
    </row>
    <row r="201" spans="1:10">
      <c r="A201" s="52" t="s">
        <v>136</v>
      </c>
      <c r="B201" s="53"/>
      <c r="C201" s="53"/>
      <c r="D201" s="53"/>
      <c r="E201" s="53"/>
      <c r="F201" s="53"/>
      <c r="G201" s="53"/>
      <c r="H201" s="53"/>
      <c r="I201" s="53"/>
    </row>
    <row r="202" spans="1:10">
      <c r="A202" s="52" t="s">
        <v>137</v>
      </c>
      <c r="B202" s="53"/>
      <c r="C202" s="53"/>
      <c r="D202" s="53"/>
      <c r="E202" s="53"/>
      <c r="F202" s="53"/>
      <c r="G202" s="53"/>
      <c r="H202" s="53"/>
      <c r="I202" s="53"/>
      <c r="J202" s="1"/>
    </row>
    <row r="203" spans="1:10">
      <c r="A203" s="4"/>
      <c r="B203" s="4"/>
      <c r="C203" s="4"/>
      <c r="D203" s="4"/>
      <c r="E203" s="4"/>
      <c r="F203" s="4"/>
      <c r="G203" s="4"/>
      <c r="H203" s="4"/>
      <c r="I203" s="4"/>
      <c r="J203" s="1"/>
    </row>
    <row r="204" spans="1:10">
      <c r="A204" s="31">
        <v>1</v>
      </c>
      <c r="B204" s="31" t="s">
        <v>138</v>
      </c>
      <c r="C204" s="4"/>
      <c r="D204" s="4"/>
      <c r="E204" s="4"/>
      <c r="F204" s="4"/>
      <c r="G204" s="4"/>
      <c r="H204" s="4"/>
      <c r="I204" s="4"/>
      <c r="J204" s="1"/>
    </row>
    <row r="205" spans="1:10">
      <c r="A205" s="4"/>
      <c r="B205" s="4">
        <v>1.1000000000000001</v>
      </c>
      <c r="C205" s="4" t="s">
        <v>139</v>
      </c>
      <c r="D205" s="4"/>
      <c r="E205" s="4"/>
      <c r="F205" s="4"/>
      <c r="G205" s="4"/>
      <c r="H205" s="4"/>
      <c r="I205" s="4"/>
      <c r="J205" s="1"/>
    </row>
    <row r="206" spans="1:10">
      <c r="A206" s="4"/>
      <c r="B206" s="4"/>
      <c r="C206" s="4" t="s">
        <v>140</v>
      </c>
      <c r="D206" s="4"/>
      <c r="E206" s="4"/>
      <c r="F206" s="4"/>
      <c r="G206" s="4"/>
      <c r="H206" s="4"/>
      <c r="I206" s="4"/>
      <c r="J206" s="1"/>
    </row>
    <row r="207" spans="1:10">
      <c r="A207" s="4"/>
      <c r="B207" s="4">
        <v>1.2</v>
      </c>
      <c r="C207" s="4" t="s">
        <v>56</v>
      </c>
      <c r="D207" s="4"/>
      <c r="E207" s="4"/>
      <c r="F207" s="4"/>
      <c r="G207" s="4"/>
      <c r="H207" s="4"/>
      <c r="I207" s="4"/>
      <c r="J207" s="1"/>
    </row>
    <row r="208" spans="1:10">
      <c r="A208" s="4"/>
      <c r="B208" s="4"/>
      <c r="C208" s="4" t="s">
        <v>141</v>
      </c>
      <c r="D208" s="4"/>
      <c r="E208" s="4"/>
      <c r="F208" s="4"/>
      <c r="G208" s="4"/>
      <c r="H208" s="4"/>
      <c r="I208" s="4"/>
      <c r="J208" s="1"/>
    </row>
    <row r="209" spans="1:10">
      <c r="A209" s="4"/>
      <c r="B209" s="4">
        <v>1.3</v>
      </c>
      <c r="C209" s="4" t="s">
        <v>142</v>
      </c>
      <c r="D209" s="4"/>
      <c r="E209" s="4"/>
      <c r="F209" s="4"/>
      <c r="G209" s="4"/>
      <c r="H209" s="4"/>
      <c r="I209" s="4"/>
      <c r="J209" s="1"/>
    </row>
    <row r="210" spans="1:10" ht="15" customHeight="1">
      <c r="A210" s="4"/>
      <c r="B210" s="4"/>
      <c r="C210" s="44" t="s">
        <v>143</v>
      </c>
      <c r="D210" s="44"/>
      <c r="E210" s="44"/>
      <c r="F210" s="44"/>
      <c r="G210" s="44"/>
      <c r="H210" s="44"/>
      <c r="I210" s="44"/>
      <c r="J210" s="1"/>
    </row>
    <row r="211" spans="1:10">
      <c r="A211" s="4"/>
      <c r="B211" s="4"/>
      <c r="C211" s="44"/>
      <c r="D211" s="44"/>
      <c r="E211" s="44"/>
      <c r="F211" s="44"/>
      <c r="G211" s="44"/>
      <c r="H211" s="44"/>
      <c r="I211" s="44"/>
      <c r="J211" s="1"/>
    </row>
    <row r="212" spans="1:10">
      <c r="A212" s="4"/>
      <c r="B212" s="4"/>
      <c r="C212" s="44"/>
      <c r="D212" s="44"/>
      <c r="E212" s="44"/>
      <c r="F212" s="44"/>
      <c r="G212" s="44"/>
      <c r="H212" s="44"/>
      <c r="I212" s="44"/>
      <c r="J212" s="1"/>
    </row>
    <row r="213" spans="1:10" ht="15" customHeight="1">
      <c r="A213" s="4"/>
      <c r="B213" s="49" t="s">
        <v>144</v>
      </c>
      <c r="C213" s="49"/>
      <c r="D213" s="49"/>
      <c r="E213" s="4"/>
      <c r="F213" s="4"/>
      <c r="G213" s="4"/>
      <c r="H213" s="4"/>
      <c r="I213" s="4"/>
      <c r="J213" s="1"/>
    </row>
    <row r="214" spans="1:10">
      <c r="A214" s="4"/>
      <c r="B214" s="4">
        <v>1.1000000000000001</v>
      </c>
      <c r="C214" s="4" t="s">
        <v>145</v>
      </c>
      <c r="D214" s="4"/>
      <c r="E214" s="4"/>
      <c r="F214" s="4"/>
      <c r="G214" s="4"/>
      <c r="H214" s="4"/>
      <c r="I214" s="4"/>
      <c r="J214" s="1"/>
    </row>
    <row r="215" spans="1:10">
      <c r="A215" s="4"/>
      <c r="B215" s="4">
        <v>1.2</v>
      </c>
      <c r="C215" s="4" t="s">
        <v>146</v>
      </c>
      <c r="D215" s="4"/>
      <c r="E215" s="4"/>
      <c r="F215" s="4"/>
      <c r="G215" s="4"/>
      <c r="H215" s="4"/>
      <c r="I215" s="4"/>
      <c r="J215" s="1"/>
    </row>
    <row r="216" spans="1:10">
      <c r="A216" s="4"/>
      <c r="B216" s="4">
        <v>1.3</v>
      </c>
      <c r="C216" s="44" t="s">
        <v>147</v>
      </c>
      <c r="D216" s="49"/>
      <c r="E216" s="49"/>
      <c r="F216" s="49"/>
      <c r="G216" s="49"/>
      <c r="H216" s="49"/>
      <c r="I216" s="49"/>
      <c r="J216" s="1"/>
    </row>
    <row r="217" spans="1:10">
      <c r="A217" s="4"/>
      <c r="B217" s="4"/>
      <c r="C217" s="49"/>
      <c r="D217" s="49"/>
      <c r="E217" s="49"/>
      <c r="F217" s="49"/>
      <c r="G217" s="49"/>
      <c r="H217" s="49"/>
      <c r="I217" s="49"/>
      <c r="J217" s="1"/>
    </row>
    <row r="218" spans="1:10" ht="15" customHeight="1">
      <c r="A218" s="4"/>
      <c r="B218" s="4"/>
      <c r="C218" s="4"/>
      <c r="D218" s="4" t="s">
        <v>148</v>
      </c>
      <c r="E218" s="4"/>
      <c r="F218" s="4"/>
      <c r="G218" s="4"/>
      <c r="H218" s="4"/>
      <c r="I218" s="4"/>
      <c r="J218" s="1"/>
    </row>
    <row r="219" spans="1:10">
      <c r="A219" s="4"/>
      <c r="B219" s="4"/>
      <c r="C219" s="4"/>
      <c r="D219" s="4"/>
      <c r="E219" s="4"/>
      <c r="F219" s="4"/>
      <c r="G219" s="4"/>
      <c r="H219" s="4"/>
      <c r="I219" s="4"/>
      <c r="J219" s="1"/>
    </row>
    <row r="220" spans="1:10">
      <c r="A220" s="31">
        <v>2</v>
      </c>
      <c r="B220" s="31" t="s">
        <v>149</v>
      </c>
      <c r="C220" s="4"/>
      <c r="D220" s="4"/>
      <c r="E220" s="4"/>
      <c r="F220" s="4"/>
      <c r="G220" s="4"/>
      <c r="H220" s="4"/>
      <c r="I220" s="4"/>
      <c r="J220" s="1"/>
    </row>
    <row r="221" spans="1:10" ht="15" customHeight="1">
      <c r="A221" s="4"/>
      <c r="B221" s="4">
        <v>2.1</v>
      </c>
      <c r="C221" s="4" t="s">
        <v>150</v>
      </c>
      <c r="D221" s="4"/>
      <c r="E221" s="4"/>
      <c r="F221" s="4"/>
      <c r="G221" s="4"/>
      <c r="H221" s="4"/>
      <c r="I221" s="4"/>
      <c r="J221" s="1"/>
    </row>
    <row r="222" spans="1:10">
      <c r="A222" s="4"/>
      <c r="B222" s="4"/>
      <c r="C222" s="32" t="s">
        <v>151</v>
      </c>
      <c r="D222" s="4" t="s">
        <v>152</v>
      </c>
      <c r="E222" s="4"/>
      <c r="F222" s="4"/>
      <c r="G222" s="4"/>
      <c r="H222" s="4"/>
      <c r="I222" s="4"/>
      <c r="J222" s="1"/>
    </row>
    <row r="223" spans="1:10">
      <c r="A223" s="4"/>
      <c r="B223" s="4"/>
      <c r="C223" s="4"/>
      <c r="D223" s="4" t="s">
        <v>153</v>
      </c>
      <c r="E223" s="4"/>
      <c r="F223" s="4"/>
      <c r="G223" s="4"/>
      <c r="H223" s="4"/>
      <c r="I223" s="4"/>
      <c r="J223" s="1"/>
    </row>
    <row r="224" spans="1:10">
      <c r="A224" s="4"/>
      <c r="B224" s="4"/>
      <c r="C224" s="4" t="s">
        <v>154</v>
      </c>
      <c r="D224" s="4" t="s">
        <v>155</v>
      </c>
      <c r="E224" s="4"/>
      <c r="F224" s="4"/>
      <c r="G224" s="4"/>
      <c r="H224" s="4"/>
      <c r="I224" s="4"/>
      <c r="J224" s="1"/>
    </row>
    <row r="225" spans="1:10">
      <c r="A225" s="4"/>
      <c r="B225" s="4"/>
      <c r="C225" s="4"/>
      <c r="D225" s="4" t="s">
        <v>156</v>
      </c>
      <c r="E225" s="4"/>
      <c r="F225" s="4"/>
      <c r="G225" s="4"/>
      <c r="H225" s="4"/>
      <c r="I225" s="4"/>
      <c r="J225" s="1"/>
    </row>
    <row r="226" spans="1:10">
      <c r="A226" s="4"/>
      <c r="B226" s="4"/>
      <c r="C226" s="4" t="s">
        <v>157</v>
      </c>
      <c r="D226" s="4" t="s">
        <v>38</v>
      </c>
      <c r="E226" s="4"/>
      <c r="F226" s="4"/>
      <c r="G226" s="4"/>
      <c r="H226" s="4"/>
      <c r="I226" s="4"/>
      <c r="J226" s="1"/>
    </row>
    <row r="227" spans="1:10">
      <c r="A227" s="4"/>
      <c r="B227" s="4"/>
      <c r="C227" s="4"/>
      <c r="D227" s="4" t="s">
        <v>158</v>
      </c>
      <c r="E227" s="4"/>
      <c r="F227" s="4"/>
      <c r="G227" s="4"/>
      <c r="H227" s="4"/>
      <c r="I227" s="4"/>
      <c r="J227" s="1"/>
    </row>
    <row r="228" spans="1:10">
      <c r="A228" s="4"/>
      <c r="B228" s="4"/>
      <c r="C228" s="4" t="s">
        <v>159</v>
      </c>
      <c r="D228" s="4" t="s">
        <v>160</v>
      </c>
      <c r="E228" s="4"/>
      <c r="F228" s="4"/>
      <c r="G228" s="4"/>
      <c r="H228" s="4"/>
      <c r="I228" s="4"/>
      <c r="J228" s="1"/>
    </row>
    <row r="229" spans="1:10">
      <c r="A229" s="4"/>
      <c r="B229" s="4"/>
      <c r="C229" s="4"/>
      <c r="D229" s="4" t="s">
        <v>161</v>
      </c>
      <c r="E229" s="4"/>
      <c r="F229" s="4"/>
      <c r="G229" s="4"/>
      <c r="H229" s="4"/>
      <c r="I229" s="4"/>
      <c r="J229" s="1"/>
    </row>
    <row r="230" spans="1:10">
      <c r="A230" s="4"/>
      <c r="B230" s="4"/>
      <c r="C230" s="4"/>
      <c r="D230" s="4" t="s">
        <v>162</v>
      </c>
      <c r="E230" s="4"/>
      <c r="F230" s="4"/>
      <c r="G230" s="4"/>
      <c r="H230" s="4"/>
      <c r="I230" s="4"/>
      <c r="J230" s="1"/>
    </row>
    <row r="231" spans="1:10">
      <c r="A231" s="4"/>
      <c r="B231" s="4"/>
      <c r="C231" s="4"/>
      <c r="D231" s="4" t="s">
        <v>163</v>
      </c>
      <c r="E231" s="4"/>
      <c r="F231" s="4"/>
      <c r="G231" s="4"/>
      <c r="H231" s="4"/>
      <c r="I231" s="4"/>
      <c r="J231" s="1"/>
    </row>
    <row r="232" spans="1:10">
      <c r="A232" s="4"/>
      <c r="B232" s="4"/>
      <c r="C232" s="4"/>
      <c r="D232" s="4" t="s">
        <v>164</v>
      </c>
      <c r="E232" s="4"/>
      <c r="F232" s="4"/>
      <c r="G232" s="4"/>
      <c r="H232" s="4"/>
      <c r="I232" s="4"/>
      <c r="J232" s="1"/>
    </row>
    <row r="233" spans="1:10">
      <c r="A233" s="4"/>
      <c r="B233" s="4"/>
      <c r="C233" s="4"/>
      <c r="D233" s="4" t="s">
        <v>165</v>
      </c>
      <c r="E233" s="4"/>
      <c r="F233" s="4"/>
      <c r="G233" s="4"/>
      <c r="H233" s="4"/>
      <c r="I233" s="4"/>
      <c r="J233" s="1"/>
    </row>
    <row r="234" spans="1:10">
      <c r="A234" s="4"/>
      <c r="B234" s="4">
        <v>2.2000000000000002</v>
      </c>
      <c r="C234" s="4" t="s">
        <v>166</v>
      </c>
      <c r="D234" s="4"/>
      <c r="E234" s="4"/>
      <c r="F234" s="4"/>
      <c r="G234" s="4"/>
      <c r="H234" s="4"/>
      <c r="I234" s="4"/>
      <c r="J234" s="1"/>
    </row>
    <row r="235" spans="1:10">
      <c r="A235" s="4"/>
      <c r="B235" s="4"/>
      <c r="C235" s="4" t="s">
        <v>151</v>
      </c>
      <c r="D235" s="4" t="s">
        <v>167</v>
      </c>
      <c r="E235" s="4"/>
      <c r="F235" s="4"/>
      <c r="G235" s="4"/>
      <c r="H235" s="4"/>
      <c r="I235" s="4"/>
      <c r="J235" s="1"/>
    </row>
    <row r="236" spans="1:10">
      <c r="A236" s="4"/>
      <c r="B236" s="4"/>
      <c r="C236" s="4" t="s">
        <v>154</v>
      </c>
      <c r="D236" s="4" t="s">
        <v>168</v>
      </c>
      <c r="E236" s="4"/>
      <c r="F236" s="4"/>
      <c r="G236" s="4"/>
      <c r="H236" s="4"/>
      <c r="I236" s="4"/>
      <c r="J236" s="1"/>
    </row>
    <row r="237" spans="1:10">
      <c r="A237" s="4"/>
      <c r="B237" s="4"/>
      <c r="C237" s="4"/>
      <c r="D237" s="4" t="s">
        <v>169</v>
      </c>
      <c r="E237" s="4"/>
      <c r="F237" s="4"/>
      <c r="G237" s="4"/>
      <c r="H237" s="4"/>
      <c r="I237" s="4"/>
      <c r="J237" s="1"/>
    </row>
    <row r="238" spans="1:10">
      <c r="A238" s="4"/>
      <c r="B238" s="54" t="s">
        <v>144</v>
      </c>
      <c r="C238" s="54"/>
      <c r="D238" s="54"/>
      <c r="E238" s="4"/>
      <c r="F238" s="4"/>
      <c r="G238" s="4"/>
      <c r="H238" s="4"/>
      <c r="I238" s="4"/>
      <c r="J238" s="4"/>
    </row>
    <row r="239" spans="1:10">
      <c r="A239" s="4"/>
      <c r="B239" s="4">
        <v>2.1</v>
      </c>
      <c r="C239" s="4"/>
      <c r="D239" s="4"/>
      <c r="E239" s="4"/>
      <c r="F239" s="4"/>
      <c r="G239" s="4"/>
      <c r="H239" s="4"/>
      <c r="I239" s="4"/>
      <c r="J239" s="4"/>
    </row>
    <row r="240" spans="1:10">
      <c r="A240" s="4"/>
      <c r="B240" s="4"/>
      <c r="C240" s="4" t="s">
        <v>151</v>
      </c>
      <c r="D240" s="4" t="s">
        <v>170</v>
      </c>
      <c r="E240" s="4"/>
      <c r="F240" s="4"/>
      <c r="G240" s="4"/>
      <c r="H240" s="4"/>
      <c r="I240" s="4"/>
      <c r="J240" s="4"/>
    </row>
    <row r="241" spans="1:10">
      <c r="A241" s="4"/>
      <c r="B241" s="4"/>
      <c r="C241" s="4"/>
      <c r="D241" s="4"/>
      <c r="E241" s="4"/>
      <c r="F241" s="4"/>
      <c r="G241" s="4"/>
      <c r="H241" s="4"/>
      <c r="I241" s="4"/>
      <c r="J241" s="4"/>
    </row>
    <row r="242" spans="1:10">
      <c r="A242" s="4"/>
      <c r="B242" s="4"/>
      <c r="C242" s="4"/>
      <c r="D242" s="4"/>
      <c r="E242" s="4"/>
      <c r="F242" s="4"/>
      <c r="G242" s="4"/>
      <c r="H242" s="4"/>
      <c r="I242" s="4"/>
      <c r="J242" s="4"/>
    </row>
    <row r="243" spans="1:10">
      <c r="A243" s="4"/>
      <c r="B243" s="4"/>
      <c r="C243" s="4"/>
      <c r="D243" s="4"/>
      <c r="E243" s="4"/>
      <c r="F243" s="4"/>
      <c r="G243" s="4"/>
      <c r="H243" s="4"/>
      <c r="I243" s="4"/>
      <c r="J243" s="4"/>
    </row>
    <row r="244" spans="1:10">
      <c r="A244" s="4"/>
      <c r="B244" s="4"/>
      <c r="C244" s="4"/>
      <c r="D244" s="4"/>
      <c r="E244" s="4"/>
      <c r="F244" s="4"/>
      <c r="G244" s="4"/>
      <c r="H244" s="4"/>
      <c r="I244" s="4"/>
      <c r="J244" s="4"/>
    </row>
    <row r="245" spans="1:10">
      <c r="A245" s="4"/>
      <c r="B245" s="4"/>
      <c r="C245" s="4"/>
      <c r="D245" s="4"/>
      <c r="E245" s="4"/>
      <c r="F245" s="4"/>
      <c r="G245" s="4"/>
      <c r="H245" s="4"/>
      <c r="I245" s="4"/>
      <c r="J245" s="4"/>
    </row>
    <row r="246" spans="1:10">
      <c r="A246" s="4"/>
      <c r="B246" s="4"/>
      <c r="C246" s="4"/>
      <c r="D246" s="4"/>
      <c r="E246" s="4"/>
      <c r="F246" s="4"/>
      <c r="G246" s="4"/>
      <c r="H246" s="4"/>
      <c r="I246" s="4"/>
      <c r="J246" s="4"/>
    </row>
    <row r="247" spans="1:10">
      <c r="A247" s="4"/>
      <c r="B247" s="4"/>
      <c r="C247" s="4"/>
      <c r="D247" s="4"/>
      <c r="E247" s="4"/>
      <c r="F247" s="4"/>
      <c r="G247" s="4"/>
      <c r="H247" s="4"/>
      <c r="I247" s="4"/>
      <c r="J247" s="4"/>
    </row>
    <row r="248" spans="1:10">
      <c r="A248" s="4"/>
      <c r="B248" s="4"/>
      <c r="C248" s="4"/>
      <c r="D248" s="4"/>
      <c r="E248" s="4"/>
      <c r="F248" s="4"/>
      <c r="G248" s="4"/>
      <c r="H248" s="4"/>
      <c r="I248" s="4"/>
      <c r="J248" s="4"/>
    </row>
    <row r="249" spans="1:10">
      <c r="A249" s="4"/>
      <c r="B249" s="4"/>
      <c r="C249" s="4"/>
      <c r="D249" s="4"/>
      <c r="E249" s="4"/>
      <c r="F249" s="4"/>
      <c r="G249" s="4"/>
      <c r="H249" s="4"/>
      <c r="I249" s="4"/>
      <c r="J249" s="4"/>
    </row>
    <row r="250" spans="1:10">
      <c r="A250" s="4"/>
      <c r="B250" s="4"/>
      <c r="C250" s="4" t="s">
        <v>171</v>
      </c>
      <c r="D250" s="4"/>
      <c r="E250" s="4"/>
      <c r="F250" s="4" t="s">
        <v>172</v>
      </c>
      <c r="G250" s="4"/>
      <c r="H250" s="4"/>
      <c r="I250" s="4"/>
      <c r="J250" s="4"/>
    </row>
    <row r="251" spans="1:10">
      <c r="A251" s="4"/>
      <c r="B251" s="4"/>
      <c r="C251" s="4"/>
      <c r="D251" s="4"/>
      <c r="E251" s="4"/>
      <c r="F251" s="4"/>
      <c r="G251" s="4"/>
      <c r="H251" s="4"/>
      <c r="I251" s="4"/>
      <c r="J251" s="4"/>
    </row>
    <row r="252" spans="1:10">
      <c r="A252" s="4"/>
      <c r="B252" s="4"/>
      <c r="C252" s="4"/>
      <c r="D252" s="4"/>
      <c r="E252" s="4"/>
      <c r="F252" s="4"/>
      <c r="G252" s="4"/>
      <c r="H252" s="4"/>
      <c r="I252" s="4"/>
      <c r="J252" s="1"/>
    </row>
    <row r="253" spans="1:10">
      <c r="A253" s="4"/>
      <c r="B253" s="4"/>
      <c r="C253" s="4" t="s">
        <v>480</v>
      </c>
      <c r="D253" s="44" t="s">
        <v>173</v>
      </c>
      <c r="E253" s="49"/>
      <c r="F253" s="49"/>
      <c r="G253" s="49"/>
      <c r="H253" s="49"/>
      <c r="I253" s="49"/>
      <c r="J253" s="1"/>
    </row>
    <row r="254" spans="1:10">
      <c r="A254" s="4"/>
      <c r="B254" s="4"/>
      <c r="C254" s="4"/>
      <c r="D254" s="49"/>
      <c r="E254" s="49"/>
      <c r="F254" s="49"/>
      <c r="G254" s="49"/>
      <c r="H254" s="49"/>
      <c r="I254" s="49"/>
      <c r="J254" s="1"/>
    </row>
    <row r="255" spans="1:10">
      <c r="A255" s="4"/>
      <c r="B255" s="4"/>
      <c r="C255" s="4" t="s">
        <v>479</v>
      </c>
      <c r="D255" s="4" t="s">
        <v>174</v>
      </c>
      <c r="E255" s="4"/>
      <c r="F255" s="4"/>
      <c r="G255" s="4"/>
      <c r="H255" s="4"/>
      <c r="I255" s="4"/>
      <c r="J255" s="4"/>
    </row>
    <row r="256" spans="1:10">
      <c r="A256" s="4"/>
      <c r="B256" s="4"/>
      <c r="C256" s="4"/>
      <c r="D256" s="4"/>
      <c r="E256" s="4"/>
      <c r="F256" s="4"/>
      <c r="G256" s="4"/>
      <c r="H256" s="4"/>
      <c r="I256" s="4"/>
      <c r="J256" s="1"/>
    </row>
    <row r="257" spans="1:10">
      <c r="A257" s="4"/>
      <c r="B257" s="4">
        <v>2.2000000000000002</v>
      </c>
      <c r="C257" s="33" t="s">
        <v>151</v>
      </c>
      <c r="D257" s="44" t="s">
        <v>175</v>
      </c>
      <c r="E257" s="49"/>
      <c r="F257" s="49"/>
      <c r="G257" s="49"/>
      <c r="H257" s="49"/>
      <c r="I257" s="49"/>
      <c r="J257" s="1"/>
    </row>
    <row r="258" spans="1:10">
      <c r="A258" s="4"/>
      <c r="B258" s="4"/>
      <c r="C258" s="4"/>
      <c r="D258" s="44"/>
      <c r="E258" s="49"/>
      <c r="F258" s="49"/>
      <c r="G258" s="49"/>
      <c r="H258" s="49"/>
      <c r="I258" s="49"/>
      <c r="J258" s="1"/>
    </row>
    <row r="259" spans="1:10">
      <c r="A259" s="4"/>
      <c r="B259" s="4"/>
      <c r="C259" s="4"/>
      <c r="D259" s="49"/>
      <c r="E259" s="49"/>
      <c r="F259" s="49"/>
      <c r="G259" s="49"/>
      <c r="H259" s="49"/>
      <c r="I259" s="49"/>
      <c r="J259" s="1"/>
    </row>
    <row r="260" spans="1:10">
      <c r="A260" s="4"/>
      <c r="B260" s="4" t="s">
        <v>176</v>
      </c>
      <c r="C260" s="4" t="s">
        <v>177</v>
      </c>
      <c r="D260" s="4"/>
      <c r="E260" s="4"/>
      <c r="F260" s="4"/>
      <c r="G260" s="4"/>
      <c r="H260" s="4"/>
      <c r="I260" s="4"/>
      <c r="J260" s="1"/>
    </row>
    <row r="261" spans="1:10">
      <c r="A261" s="4"/>
      <c r="B261" s="4"/>
      <c r="C261" s="4"/>
      <c r="D261" s="4"/>
      <c r="E261" s="4"/>
      <c r="F261" s="4"/>
      <c r="G261" s="4"/>
      <c r="H261" s="4"/>
      <c r="I261" s="4"/>
      <c r="J261" s="1"/>
    </row>
    <row r="262" spans="1:10">
      <c r="A262" s="4"/>
      <c r="B262" s="69" t="s">
        <v>178</v>
      </c>
      <c r="C262" s="71"/>
      <c r="D262" s="69" t="s">
        <v>179</v>
      </c>
      <c r="E262" s="70"/>
      <c r="F262" s="71"/>
      <c r="G262" s="69" t="s">
        <v>180</v>
      </c>
      <c r="H262" s="71"/>
      <c r="I262" s="4"/>
      <c r="J262" s="1"/>
    </row>
    <row r="263" spans="1:10">
      <c r="A263" s="4"/>
      <c r="B263" s="42"/>
      <c r="C263" s="43"/>
      <c r="D263" s="42"/>
      <c r="E263" s="68"/>
      <c r="F263" s="43"/>
      <c r="G263" s="42"/>
      <c r="H263" s="43"/>
      <c r="I263" s="4"/>
      <c r="J263" s="1"/>
    </row>
    <row r="264" spans="1:10">
      <c r="A264" s="4"/>
      <c r="B264" s="69" t="s">
        <v>181</v>
      </c>
      <c r="C264" s="71"/>
      <c r="D264" s="69" t="s">
        <v>182</v>
      </c>
      <c r="E264" s="70"/>
      <c r="F264" s="71"/>
      <c r="G264" s="69" t="s">
        <v>183</v>
      </c>
      <c r="H264" s="71"/>
      <c r="I264" s="4"/>
      <c r="J264" s="1"/>
    </row>
    <row r="265" spans="1:10" ht="15" customHeight="1">
      <c r="A265" s="4"/>
      <c r="B265" s="47" t="s">
        <v>184</v>
      </c>
      <c r="C265" s="48"/>
      <c r="D265" s="47" t="s">
        <v>185</v>
      </c>
      <c r="E265" s="57"/>
      <c r="F265" s="48"/>
      <c r="G265" s="47" t="s">
        <v>186</v>
      </c>
      <c r="H265" s="48"/>
      <c r="I265" s="4"/>
      <c r="J265" s="1"/>
    </row>
    <row r="266" spans="1:10">
      <c r="A266" s="4"/>
      <c r="B266" s="42" t="s">
        <v>187</v>
      </c>
      <c r="C266" s="43"/>
      <c r="D266" s="42" t="s">
        <v>188</v>
      </c>
      <c r="E266" s="68"/>
      <c r="F266" s="43"/>
      <c r="G266" s="42" t="s">
        <v>189</v>
      </c>
      <c r="H266" s="43"/>
      <c r="I266" s="4"/>
      <c r="J266" s="1"/>
    </row>
    <row r="267" spans="1:10">
      <c r="A267" s="4"/>
      <c r="B267" s="4"/>
      <c r="C267" s="4"/>
      <c r="D267" s="4"/>
      <c r="E267" s="4"/>
      <c r="F267" s="4"/>
      <c r="G267" s="4"/>
      <c r="H267" s="4"/>
      <c r="I267" s="4"/>
      <c r="J267" s="1"/>
    </row>
    <row r="268" spans="1:10">
      <c r="A268" s="31">
        <v>3</v>
      </c>
      <c r="B268" s="31" t="s">
        <v>91</v>
      </c>
      <c r="C268" s="4"/>
      <c r="D268" s="4"/>
      <c r="E268" s="4"/>
      <c r="F268" s="4"/>
      <c r="G268" s="4"/>
      <c r="H268" s="4"/>
      <c r="I268" s="4"/>
      <c r="J268" s="1"/>
    </row>
    <row r="269" spans="1:10" ht="15" customHeight="1">
      <c r="A269" s="4"/>
      <c r="B269" s="4" t="s">
        <v>151</v>
      </c>
      <c r="C269" s="44" t="s">
        <v>190</v>
      </c>
      <c r="D269" s="49"/>
      <c r="E269" s="49"/>
      <c r="F269" s="49"/>
      <c r="G269" s="49"/>
      <c r="H269" s="49"/>
      <c r="I269" s="49"/>
      <c r="J269" s="1"/>
    </row>
    <row r="270" spans="1:10">
      <c r="A270" s="4"/>
      <c r="B270" s="4"/>
      <c r="C270" s="49"/>
      <c r="D270" s="49"/>
      <c r="E270" s="49"/>
      <c r="F270" s="49"/>
      <c r="G270" s="49"/>
      <c r="H270" s="49"/>
      <c r="I270" s="49"/>
      <c r="J270" s="1"/>
    </row>
    <row r="271" spans="1:10">
      <c r="A271" s="4"/>
      <c r="B271" s="4"/>
      <c r="C271" s="4" t="s">
        <v>191</v>
      </c>
      <c r="D271" s="4"/>
      <c r="E271" s="4"/>
      <c r="F271" s="4"/>
      <c r="G271" s="4"/>
      <c r="H271" s="4"/>
      <c r="I271" s="4"/>
      <c r="J271" s="1"/>
    </row>
    <row r="272" spans="1:10">
      <c r="A272" s="4"/>
      <c r="B272" s="4" t="s">
        <v>192</v>
      </c>
      <c r="C272" s="4" t="s">
        <v>193</v>
      </c>
      <c r="D272" s="4"/>
      <c r="E272" s="4"/>
      <c r="F272" s="4"/>
      <c r="G272" s="4"/>
      <c r="H272" s="4"/>
      <c r="I272" s="4"/>
      <c r="J272" s="1"/>
    </row>
    <row r="273" spans="1:10">
      <c r="A273" s="4"/>
      <c r="B273" s="4" t="s">
        <v>157</v>
      </c>
      <c r="C273" s="44" t="s">
        <v>194</v>
      </c>
      <c r="D273" s="49"/>
      <c r="E273" s="49"/>
      <c r="F273" s="49"/>
      <c r="G273" s="49"/>
      <c r="H273" s="49"/>
      <c r="I273" s="49"/>
      <c r="J273" s="1"/>
    </row>
    <row r="274" spans="1:10" ht="15" customHeight="1">
      <c r="A274" s="4"/>
      <c r="B274" s="4"/>
      <c r="C274" s="49"/>
      <c r="D274" s="49"/>
      <c r="E274" s="49"/>
      <c r="F274" s="49"/>
      <c r="G274" s="49"/>
      <c r="H274" s="49"/>
      <c r="I274" s="49"/>
      <c r="J274" s="1"/>
    </row>
    <row r="275" spans="1:10">
      <c r="A275" s="4"/>
      <c r="B275" s="4" t="s">
        <v>195</v>
      </c>
      <c r="C275" s="44" t="s">
        <v>196</v>
      </c>
      <c r="D275" s="49"/>
      <c r="E275" s="49"/>
      <c r="F275" s="49"/>
      <c r="G275" s="49"/>
      <c r="H275" s="49"/>
      <c r="I275" s="49"/>
      <c r="J275" s="1"/>
    </row>
    <row r="276" spans="1:10">
      <c r="A276" s="4"/>
      <c r="B276" s="4"/>
      <c r="C276" s="44"/>
      <c r="D276" s="49"/>
      <c r="E276" s="49"/>
      <c r="F276" s="49"/>
      <c r="G276" s="49"/>
      <c r="H276" s="49"/>
      <c r="I276" s="49"/>
      <c r="J276" s="1"/>
    </row>
    <row r="277" spans="1:10">
      <c r="A277" s="4"/>
      <c r="B277" s="4"/>
      <c r="C277" s="49"/>
      <c r="D277" s="49"/>
      <c r="E277" s="49"/>
      <c r="F277" s="49"/>
      <c r="G277" s="49"/>
      <c r="H277" s="49"/>
      <c r="I277" s="49"/>
      <c r="J277" s="1"/>
    </row>
    <row r="278" spans="1:10">
      <c r="A278" s="4"/>
      <c r="B278" s="4" t="s">
        <v>144</v>
      </c>
      <c r="C278" s="4"/>
      <c r="D278" s="4"/>
      <c r="E278" s="4"/>
      <c r="F278" s="4"/>
      <c r="G278" s="4"/>
      <c r="H278" s="4"/>
      <c r="I278" s="4"/>
      <c r="J278" s="1"/>
    </row>
    <row r="279" spans="1:10">
      <c r="A279" s="4"/>
      <c r="B279" s="4" t="s">
        <v>151</v>
      </c>
      <c r="C279" s="4" t="s">
        <v>197</v>
      </c>
      <c r="D279" s="4"/>
      <c r="E279" s="4"/>
      <c r="F279" s="4"/>
      <c r="G279" s="4"/>
      <c r="H279" s="4"/>
      <c r="I279" s="4"/>
      <c r="J279" s="1"/>
    </row>
    <row r="280" spans="1:10" ht="15" customHeight="1">
      <c r="A280" s="4"/>
      <c r="B280" s="4" t="s">
        <v>154</v>
      </c>
      <c r="C280" s="4" t="s">
        <v>198</v>
      </c>
      <c r="D280" s="4"/>
      <c r="E280" s="4"/>
      <c r="F280" s="4"/>
      <c r="G280" s="4"/>
      <c r="H280" s="4"/>
      <c r="I280" s="4"/>
      <c r="J280" s="1"/>
    </row>
    <row r="281" spans="1:10">
      <c r="A281" s="4"/>
      <c r="B281" s="4"/>
      <c r="C281" s="4" t="s">
        <v>199</v>
      </c>
      <c r="D281" s="4"/>
      <c r="E281" s="4"/>
      <c r="F281" s="4"/>
      <c r="G281" s="4"/>
      <c r="H281" s="4"/>
      <c r="I281" s="4"/>
      <c r="J281" s="1"/>
    </row>
    <row r="282" spans="1:10">
      <c r="A282" s="4"/>
      <c r="B282" s="4" t="s">
        <v>200</v>
      </c>
      <c r="C282" s="44" t="s">
        <v>201</v>
      </c>
      <c r="D282" s="49"/>
      <c r="E282" s="49"/>
      <c r="F282" s="49"/>
      <c r="G282" s="49"/>
      <c r="H282" s="49"/>
      <c r="I282" s="49"/>
      <c r="J282" s="1"/>
    </row>
    <row r="283" spans="1:10" ht="15" customHeight="1">
      <c r="A283" s="4"/>
      <c r="B283" s="4"/>
      <c r="C283" s="44"/>
      <c r="D283" s="49"/>
      <c r="E283" s="49"/>
      <c r="F283" s="49"/>
      <c r="G283" s="49"/>
      <c r="H283" s="49"/>
      <c r="I283" s="49"/>
      <c r="J283" s="1"/>
    </row>
    <row r="284" spans="1:10">
      <c r="A284" s="4"/>
      <c r="B284" s="4"/>
      <c r="C284" s="49"/>
      <c r="D284" s="49"/>
      <c r="E284" s="49"/>
      <c r="F284" s="49"/>
      <c r="G284" s="49"/>
      <c r="H284" s="49"/>
      <c r="I284" s="49"/>
      <c r="J284" s="1"/>
    </row>
    <row r="285" spans="1:10" ht="15" customHeight="1">
      <c r="A285" s="31">
        <v>4</v>
      </c>
      <c r="B285" s="31" t="s">
        <v>202</v>
      </c>
      <c r="C285" s="4"/>
      <c r="D285" s="4"/>
      <c r="E285" s="4"/>
      <c r="F285" s="4"/>
      <c r="G285" s="4"/>
      <c r="H285" s="4"/>
      <c r="I285" s="4"/>
      <c r="J285" s="1"/>
    </row>
    <row r="286" spans="1:10" ht="15" customHeight="1">
      <c r="A286" s="4"/>
      <c r="B286" s="4">
        <v>4.0999999999999996</v>
      </c>
      <c r="C286" s="4" t="s">
        <v>203</v>
      </c>
      <c r="D286" s="4"/>
      <c r="E286" s="4"/>
      <c r="F286" s="4"/>
      <c r="G286" s="4"/>
      <c r="H286" s="4"/>
      <c r="I286" s="4"/>
      <c r="J286" s="1"/>
    </row>
    <row r="287" spans="1:10">
      <c r="A287" s="4"/>
      <c r="B287" s="4"/>
      <c r="C287" s="4" t="s">
        <v>151</v>
      </c>
      <c r="D287" s="4" t="s">
        <v>204</v>
      </c>
      <c r="E287" s="4"/>
      <c r="F287" s="4"/>
      <c r="G287" s="4"/>
      <c r="H287" s="4"/>
      <c r="I287" s="4"/>
      <c r="J287" s="1"/>
    </row>
    <row r="288" spans="1:10" ht="15" customHeight="1">
      <c r="A288" s="4"/>
      <c r="B288" s="4"/>
      <c r="C288" s="4" t="s">
        <v>192</v>
      </c>
      <c r="D288" s="44" t="s">
        <v>205</v>
      </c>
      <c r="E288" s="49"/>
      <c r="F288" s="49"/>
      <c r="G288" s="49"/>
      <c r="H288" s="49"/>
      <c r="I288" s="49"/>
      <c r="J288" s="1"/>
    </row>
    <row r="289" spans="1:10">
      <c r="A289" s="4"/>
      <c r="B289" s="4"/>
      <c r="C289" s="4"/>
      <c r="D289" s="44"/>
      <c r="E289" s="49"/>
      <c r="F289" s="49"/>
      <c r="G289" s="49"/>
      <c r="H289" s="49"/>
      <c r="I289" s="49"/>
      <c r="J289" s="1"/>
    </row>
    <row r="290" spans="1:10">
      <c r="A290" s="4"/>
      <c r="B290" s="4"/>
      <c r="C290" s="4"/>
      <c r="D290" s="44"/>
      <c r="E290" s="49"/>
      <c r="F290" s="49"/>
      <c r="G290" s="49"/>
      <c r="H290" s="49"/>
      <c r="I290" s="49"/>
      <c r="J290" s="1"/>
    </row>
    <row r="291" spans="1:10" ht="15" customHeight="1">
      <c r="A291" s="4"/>
      <c r="B291" s="4"/>
      <c r="C291" s="4"/>
      <c r="D291" s="49"/>
      <c r="E291" s="49"/>
      <c r="F291" s="49"/>
      <c r="G291" s="49"/>
      <c r="H291" s="49"/>
      <c r="I291" s="49"/>
      <c r="J291" s="1"/>
    </row>
    <row r="292" spans="1:10">
      <c r="A292" s="4"/>
      <c r="B292" s="4"/>
      <c r="C292" s="4" t="s">
        <v>157</v>
      </c>
      <c r="D292" s="4" t="s">
        <v>206</v>
      </c>
      <c r="E292" s="4"/>
      <c r="F292" s="4"/>
      <c r="G292" s="4"/>
      <c r="H292" s="4"/>
      <c r="I292" s="4"/>
      <c r="J292" s="1"/>
    </row>
    <row r="293" spans="1:10">
      <c r="A293" s="4"/>
      <c r="B293" s="4"/>
      <c r="C293" s="4"/>
      <c r="D293" s="4"/>
      <c r="E293" s="4"/>
      <c r="F293" s="4"/>
      <c r="G293" s="4"/>
      <c r="H293" s="4"/>
      <c r="I293" s="4"/>
      <c r="J293" s="1"/>
    </row>
    <row r="294" spans="1:10">
      <c r="A294" s="4"/>
      <c r="B294" s="4"/>
      <c r="C294" s="4"/>
      <c r="D294" s="4"/>
      <c r="E294" s="4"/>
      <c r="F294" s="4"/>
      <c r="G294" s="4"/>
      <c r="H294" s="4"/>
      <c r="I294" s="4"/>
      <c r="J294" s="1"/>
    </row>
    <row r="295" spans="1:10">
      <c r="A295" s="4"/>
      <c r="B295" s="4"/>
      <c r="C295" s="4"/>
      <c r="D295" s="4"/>
      <c r="E295" s="4"/>
      <c r="F295" s="4"/>
      <c r="G295" s="4"/>
      <c r="H295" s="4"/>
      <c r="I295" s="4"/>
      <c r="J295" s="1"/>
    </row>
    <row r="296" spans="1:10">
      <c r="A296" s="4"/>
      <c r="B296" s="4"/>
      <c r="C296" s="4"/>
      <c r="D296" s="4"/>
      <c r="E296" s="4"/>
      <c r="F296" s="4"/>
      <c r="G296" s="4"/>
      <c r="H296" s="4"/>
      <c r="I296" s="4"/>
      <c r="J296" s="1"/>
    </row>
    <row r="297" spans="1:10">
      <c r="A297" s="4"/>
      <c r="B297" s="4"/>
      <c r="C297" s="4"/>
      <c r="D297" s="4"/>
      <c r="E297" s="4"/>
      <c r="F297" s="4"/>
      <c r="G297" s="4"/>
      <c r="H297" s="4"/>
      <c r="I297" s="4"/>
      <c r="J297" s="1"/>
    </row>
    <row r="298" spans="1:10">
      <c r="A298" s="4"/>
      <c r="B298" s="4"/>
      <c r="C298" s="4"/>
      <c r="D298" s="4"/>
      <c r="E298" s="4"/>
      <c r="F298" s="4"/>
      <c r="G298" s="4"/>
      <c r="H298" s="4"/>
      <c r="I298" s="4"/>
      <c r="J298" s="1"/>
    </row>
    <row r="299" spans="1:10">
      <c r="A299" s="4"/>
      <c r="B299" s="4"/>
      <c r="C299" s="4"/>
      <c r="D299" s="4"/>
      <c r="E299" s="4"/>
      <c r="F299" s="4"/>
      <c r="G299" s="4"/>
      <c r="H299" s="4"/>
      <c r="I299" s="4"/>
      <c r="J299" s="1"/>
    </row>
    <row r="300" spans="1:10">
      <c r="A300" s="4"/>
      <c r="B300" s="4"/>
      <c r="C300" s="4"/>
      <c r="D300" s="4"/>
      <c r="E300" s="4"/>
      <c r="F300" s="4"/>
      <c r="G300" s="4"/>
      <c r="H300" s="4"/>
      <c r="I300" s="4"/>
      <c r="J300" s="1"/>
    </row>
    <row r="301" spans="1:10">
      <c r="A301" s="4"/>
      <c r="B301" s="4" t="s">
        <v>207</v>
      </c>
      <c r="C301" s="4" t="s">
        <v>208</v>
      </c>
      <c r="D301" s="4"/>
      <c r="E301" s="4"/>
      <c r="F301" s="4"/>
      <c r="G301" s="4"/>
      <c r="H301" s="4"/>
      <c r="I301" s="4"/>
      <c r="J301" s="1"/>
    </row>
    <row r="302" spans="1:10">
      <c r="A302" s="50" t="s">
        <v>209</v>
      </c>
      <c r="B302" s="61"/>
      <c r="C302" s="51"/>
      <c r="D302" s="50" t="s">
        <v>210</v>
      </c>
      <c r="E302" s="51"/>
      <c r="F302" s="50" t="s">
        <v>211</v>
      </c>
      <c r="G302" s="61"/>
      <c r="H302" s="61"/>
      <c r="I302" s="51"/>
      <c r="J302" s="1"/>
    </row>
    <row r="303" spans="1:10">
      <c r="A303" s="69" t="s">
        <v>212</v>
      </c>
      <c r="B303" s="70"/>
      <c r="C303" s="71"/>
      <c r="D303" s="69" t="s">
        <v>213</v>
      </c>
      <c r="E303" s="71"/>
      <c r="F303" s="69" t="s">
        <v>214</v>
      </c>
      <c r="G303" s="70"/>
      <c r="H303" s="70"/>
      <c r="I303" s="71"/>
      <c r="J303" s="1"/>
    </row>
    <row r="304" spans="1:10">
      <c r="A304" s="47" t="s">
        <v>215</v>
      </c>
      <c r="B304" s="57"/>
      <c r="C304" s="48"/>
      <c r="D304" s="47" t="s">
        <v>213</v>
      </c>
      <c r="E304" s="48"/>
      <c r="F304" s="47" t="s">
        <v>216</v>
      </c>
      <c r="G304" s="57"/>
      <c r="H304" s="57"/>
      <c r="I304" s="48"/>
      <c r="J304" s="1"/>
    </row>
    <row r="305" spans="1:10" ht="15" customHeight="1">
      <c r="A305" s="47" t="s">
        <v>217</v>
      </c>
      <c r="B305" s="57"/>
      <c r="C305" s="48"/>
      <c r="D305" s="47" t="s">
        <v>213</v>
      </c>
      <c r="E305" s="48"/>
      <c r="F305" s="47" t="s">
        <v>218</v>
      </c>
      <c r="G305" s="57"/>
      <c r="H305" s="57"/>
      <c r="I305" s="48"/>
      <c r="J305" s="1"/>
    </row>
    <row r="306" spans="1:10">
      <c r="A306" s="47" t="s">
        <v>219</v>
      </c>
      <c r="B306" s="57"/>
      <c r="C306" s="48"/>
      <c r="D306" s="47" t="s">
        <v>213</v>
      </c>
      <c r="E306" s="48"/>
      <c r="F306" s="47" t="s">
        <v>220</v>
      </c>
      <c r="G306" s="57"/>
      <c r="H306" s="57"/>
      <c r="I306" s="48"/>
      <c r="J306" s="1"/>
    </row>
    <row r="307" spans="1:10">
      <c r="A307" s="47" t="s">
        <v>221</v>
      </c>
      <c r="B307" s="57"/>
      <c r="C307" s="48"/>
      <c r="D307" s="47" t="s">
        <v>213</v>
      </c>
      <c r="E307" s="48"/>
      <c r="F307" s="47" t="s">
        <v>222</v>
      </c>
      <c r="G307" s="57"/>
      <c r="H307" s="57"/>
      <c r="I307" s="48"/>
      <c r="J307" s="1"/>
    </row>
    <row r="308" spans="1:10">
      <c r="A308" s="47" t="s">
        <v>223</v>
      </c>
      <c r="B308" s="57"/>
      <c r="C308" s="48"/>
      <c r="D308" s="47" t="s">
        <v>224</v>
      </c>
      <c r="E308" s="48"/>
      <c r="F308" s="47" t="s">
        <v>225</v>
      </c>
      <c r="G308" s="57"/>
      <c r="H308" s="57"/>
      <c r="I308" s="48"/>
      <c r="J308" s="1"/>
    </row>
    <row r="309" spans="1:10">
      <c r="A309" s="47" t="s">
        <v>188</v>
      </c>
      <c r="B309" s="57"/>
      <c r="C309" s="48"/>
      <c r="D309" s="47" t="s">
        <v>226</v>
      </c>
      <c r="E309" s="48"/>
      <c r="F309" s="47" t="s">
        <v>227</v>
      </c>
      <c r="G309" s="57"/>
      <c r="H309" s="57"/>
      <c r="I309" s="48"/>
      <c r="J309" s="1"/>
    </row>
    <row r="310" spans="1:10">
      <c r="A310" s="47" t="s">
        <v>228</v>
      </c>
      <c r="B310" s="57"/>
      <c r="C310" s="48"/>
      <c r="D310" s="47" t="s">
        <v>226</v>
      </c>
      <c r="E310" s="48"/>
      <c r="F310" s="47" t="s">
        <v>229</v>
      </c>
      <c r="G310" s="57"/>
      <c r="H310" s="57"/>
      <c r="I310" s="48"/>
      <c r="J310" s="1"/>
    </row>
    <row r="311" spans="1:10" ht="15" customHeight="1">
      <c r="A311" s="42" t="s">
        <v>1</v>
      </c>
      <c r="B311" s="68"/>
      <c r="C311" s="43"/>
      <c r="D311" s="42" t="s">
        <v>230</v>
      </c>
      <c r="E311" s="43"/>
      <c r="F311" s="42" t="s">
        <v>229</v>
      </c>
      <c r="G311" s="68"/>
      <c r="H311" s="68"/>
      <c r="I311" s="43"/>
      <c r="J311" s="1"/>
    </row>
    <row r="312" spans="1:10">
      <c r="A312" s="4"/>
      <c r="B312" s="4"/>
      <c r="C312" s="4"/>
      <c r="D312" s="4"/>
      <c r="E312" s="4"/>
      <c r="F312" s="4"/>
      <c r="G312" s="4"/>
      <c r="H312" s="4"/>
      <c r="I312" s="4"/>
      <c r="J312" s="1"/>
    </row>
    <row r="313" spans="1:10" ht="15" customHeight="1">
      <c r="A313" s="4"/>
      <c r="B313" s="4" t="s">
        <v>159</v>
      </c>
      <c r="C313" s="44" t="s">
        <v>231</v>
      </c>
      <c r="D313" s="49"/>
      <c r="E313" s="49"/>
      <c r="F313" s="49"/>
      <c r="G313" s="49"/>
      <c r="H313" s="49"/>
      <c r="I313" s="49"/>
      <c r="J313" s="1"/>
    </row>
    <row r="314" spans="1:10">
      <c r="A314" s="4"/>
      <c r="B314" s="4"/>
      <c r="C314" s="49"/>
      <c r="D314" s="49"/>
      <c r="E314" s="49"/>
      <c r="F314" s="49"/>
      <c r="G314" s="49"/>
      <c r="H314" s="49"/>
      <c r="I314" s="49"/>
      <c r="J314" s="1"/>
    </row>
    <row r="315" spans="1:10">
      <c r="A315" s="4">
        <v>4.2</v>
      </c>
      <c r="B315" s="4" t="s">
        <v>232</v>
      </c>
      <c r="C315" s="4"/>
      <c r="D315" s="4"/>
      <c r="E315" s="4"/>
      <c r="F315" s="4"/>
      <c r="G315" s="4"/>
      <c r="H315" s="4"/>
      <c r="I315" s="4"/>
      <c r="J315" s="1"/>
    </row>
    <row r="316" spans="1:10">
      <c r="A316" s="4"/>
      <c r="B316" s="4" t="s">
        <v>233</v>
      </c>
      <c r="C316" s="4" t="s">
        <v>234</v>
      </c>
      <c r="D316" s="4"/>
      <c r="E316" s="4"/>
      <c r="F316" s="4"/>
      <c r="G316" s="4"/>
      <c r="H316" s="4"/>
      <c r="I316" s="4"/>
      <c r="J316" s="1"/>
    </row>
    <row r="317" spans="1:10" ht="15" customHeight="1">
      <c r="A317" s="4"/>
      <c r="B317" s="4" t="s">
        <v>154</v>
      </c>
      <c r="C317" s="4" t="s">
        <v>235</v>
      </c>
      <c r="D317" s="4"/>
      <c r="E317" s="4"/>
      <c r="F317" s="4"/>
      <c r="G317" s="4"/>
      <c r="H317" s="4"/>
      <c r="I317" s="4"/>
      <c r="J317" s="1"/>
    </row>
    <row r="318" spans="1:10">
      <c r="A318" s="4"/>
      <c r="B318" s="4"/>
      <c r="C318" s="4"/>
      <c r="D318" s="4"/>
      <c r="E318" s="4"/>
      <c r="F318" s="4"/>
      <c r="G318" s="4"/>
      <c r="H318" s="4"/>
      <c r="I318" s="4"/>
      <c r="J318" s="1"/>
    </row>
    <row r="319" spans="1:10">
      <c r="A319" s="4"/>
      <c r="B319" s="4" t="s">
        <v>144</v>
      </c>
      <c r="C319" s="4"/>
      <c r="D319" s="4"/>
      <c r="E319" s="4"/>
      <c r="F319" s="4"/>
      <c r="G319" s="4"/>
      <c r="H319" s="4"/>
      <c r="I319" s="4"/>
      <c r="J319" s="1"/>
    </row>
    <row r="320" spans="1:10">
      <c r="A320" s="4"/>
      <c r="B320" s="4">
        <v>4.0999999999999996</v>
      </c>
      <c r="C320" s="4"/>
      <c r="D320" s="4"/>
      <c r="E320" s="4"/>
      <c r="F320" s="4"/>
      <c r="G320" s="4"/>
      <c r="H320" s="4"/>
      <c r="I320" s="4"/>
      <c r="J320" s="1"/>
    </row>
    <row r="321" spans="1:10">
      <c r="A321" s="4"/>
      <c r="B321" s="4" t="s">
        <v>151</v>
      </c>
      <c r="C321" s="44" t="s">
        <v>236</v>
      </c>
      <c r="D321" s="49"/>
      <c r="E321" s="49"/>
      <c r="F321" s="49"/>
      <c r="G321" s="49"/>
      <c r="H321" s="49"/>
      <c r="I321" s="49"/>
      <c r="J321" s="1"/>
    </row>
    <row r="322" spans="1:10">
      <c r="A322" s="4"/>
      <c r="B322" s="4"/>
      <c r="C322" s="49"/>
      <c r="D322" s="49"/>
      <c r="E322" s="49"/>
      <c r="F322" s="49"/>
      <c r="G322" s="49"/>
      <c r="H322" s="49"/>
      <c r="I322" s="49"/>
      <c r="J322" s="1"/>
    </row>
    <row r="323" spans="1:10">
      <c r="A323" s="4"/>
      <c r="B323" s="4" t="s">
        <v>192</v>
      </c>
      <c r="C323" s="4" t="s">
        <v>237</v>
      </c>
      <c r="D323" s="4"/>
      <c r="E323" s="4"/>
      <c r="F323" s="4"/>
      <c r="G323" s="4"/>
      <c r="H323" s="4"/>
      <c r="I323" s="4"/>
      <c r="J323" s="1"/>
    </row>
    <row r="324" spans="1:10">
      <c r="A324" s="4"/>
      <c r="B324" s="4"/>
      <c r="C324" s="44" t="s">
        <v>238</v>
      </c>
      <c r="D324" s="49"/>
      <c r="E324" s="49"/>
      <c r="F324" s="49"/>
      <c r="G324" s="49"/>
      <c r="H324" s="49"/>
      <c r="I324" s="49"/>
      <c r="J324" s="1"/>
    </row>
    <row r="325" spans="1:10">
      <c r="A325" s="4"/>
      <c r="B325" s="4"/>
      <c r="C325" s="49"/>
      <c r="D325" s="49"/>
      <c r="E325" s="49"/>
      <c r="F325" s="49"/>
      <c r="G325" s="49"/>
      <c r="H325" s="49"/>
      <c r="I325" s="49"/>
      <c r="J325" s="1"/>
    </row>
    <row r="326" spans="1:10">
      <c r="A326" s="4"/>
      <c r="B326" s="4" t="s">
        <v>157</v>
      </c>
      <c r="C326" s="44" t="s">
        <v>239</v>
      </c>
      <c r="D326" s="49"/>
      <c r="E326" s="49"/>
      <c r="F326" s="49"/>
      <c r="G326" s="49"/>
      <c r="H326" s="49"/>
      <c r="I326" s="49"/>
      <c r="J326" s="1"/>
    </row>
    <row r="327" spans="1:10">
      <c r="A327" s="4"/>
      <c r="B327" s="4"/>
      <c r="C327" s="44"/>
      <c r="D327" s="49"/>
      <c r="E327" s="49"/>
      <c r="F327" s="49"/>
      <c r="G327" s="49"/>
      <c r="H327" s="49"/>
      <c r="I327" s="49"/>
      <c r="J327" s="1"/>
    </row>
    <row r="328" spans="1:10">
      <c r="A328" s="4"/>
      <c r="B328" s="4"/>
      <c r="C328" s="49"/>
      <c r="D328" s="49"/>
      <c r="E328" s="49"/>
      <c r="F328" s="49"/>
      <c r="G328" s="49"/>
      <c r="H328" s="49"/>
      <c r="I328" s="49"/>
      <c r="J328" s="1"/>
    </row>
    <row r="329" spans="1:10">
      <c r="A329" s="4"/>
      <c r="B329" s="4"/>
      <c r="C329" s="44" t="s">
        <v>240</v>
      </c>
      <c r="D329" s="49"/>
      <c r="E329" s="49"/>
      <c r="F329" s="49"/>
      <c r="G329" s="49"/>
      <c r="H329" s="49"/>
      <c r="I329" s="49"/>
      <c r="J329" s="1"/>
    </row>
    <row r="330" spans="1:10">
      <c r="A330" s="4"/>
      <c r="B330" s="4"/>
      <c r="C330" s="49"/>
      <c r="D330" s="49"/>
      <c r="E330" s="49"/>
      <c r="F330" s="49"/>
      <c r="G330" s="49"/>
      <c r="H330" s="49"/>
      <c r="I330" s="49"/>
      <c r="J330" s="1"/>
    </row>
    <row r="331" spans="1:10">
      <c r="A331" s="4"/>
      <c r="B331" s="4"/>
      <c r="C331" s="4"/>
      <c r="D331" s="4"/>
      <c r="E331" s="4"/>
      <c r="F331" s="4"/>
      <c r="G331" s="4"/>
      <c r="H331" s="4"/>
      <c r="I331" s="4"/>
      <c r="J331" s="1"/>
    </row>
    <row r="332" spans="1:10" ht="15" customHeight="1">
      <c r="A332" s="4"/>
      <c r="B332" s="4" t="s">
        <v>241</v>
      </c>
      <c r="C332" s="4" t="s">
        <v>242</v>
      </c>
      <c r="D332" s="4"/>
      <c r="E332" s="4"/>
      <c r="F332" s="4"/>
      <c r="G332" s="4"/>
      <c r="H332" s="4"/>
      <c r="I332" s="4"/>
      <c r="J332" s="1"/>
    </row>
    <row r="333" spans="1:10">
      <c r="A333" s="4"/>
      <c r="B333" s="50" t="s">
        <v>209</v>
      </c>
      <c r="C333" s="51"/>
      <c r="D333" s="50" t="s">
        <v>243</v>
      </c>
      <c r="E333" s="51"/>
      <c r="F333" s="50" t="s">
        <v>244</v>
      </c>
      <c r="G333" s="51"/>
      <c r="H333" s="50" t="s">
        <v>245</v>
      </c>
      <c r="I333" s="51"/>
      <c r="J333" s="1"/>
    </row>
    <row r="334" spans="1:10">
      <c r="A334" s="4"/>
      <c r="B334" s="69" t="s">
        <v>212</v>
      </c>
      <c r="C334" s="71"/>
      <c r="D334" s="69" t="s">
        <v>246</v>
      </c>
      <c r="E334" s="71"/>
      <c r="F334" s="69" t="s">
        <v>247</v>
      </c>
      <c r="G334" s="71"/>
      <c r="H334" s="69" t="s">
        <v>248</v>
      </c>
      <c r="I334" s="71"/>
      <c r="J334" s="1"/>
    </row>
    <row r="335" spans="1:10">
      <c r="A335" s="4"/>
      <c r="B335" s="47" t="s">
        <v>215</v>
      </c>
      <c r="C335" s="48"/>
      <c r="D335" s="47" t="s">
        <v>246</v>
      </c>
      <c r="E335" s="48"/>
      <c r="F335" s="47" t="s">
        <v>249</v>
      </c>
      <c r="G335" s="48"/>
      <c r="H335" s="47" t="s">
        <v>250</v>
      </c>
      <c r="I335" s="48"/>
      <c r="J335" s="1"/>
    </row>
    <row r="336" spans="1:10">
      <c r="A336" s="4"/>
      <c r="B336" s="47" t="s">
        <v>217</v>
      </c>
      <c r="C336" s="48"/>
      <c r="D336" s="47" t="s">
        <v>246</v>
      </c>
      <c r="E336" s="48"/>
      <c r="F336" s="47" t="s">
        <v>251</v>
      </c>
      <c r="G336" s="48"/>
      <c r="H336" s="47" t="s">
        <v>252</v>
      </c>
      <c r="I336" s="48"/>
      <c r="J336" s="1"/>
    </row>
    <row r="337" spans="1:10" ht="15" customHeight="1">
      <c r="A337" s="4"/>
      <c r="B337" s="47" t="s">
        <v>219</v>
      </c>
      <c r="C337" s="48"/>
      <c r="D337" s="47" t="s">
        <v>246</v>
      </c>
      <c r="E337" s="48"/>
      <c r="F337" s="47" t="s">
        <v>253</v>
      </c>
      <c r="G337" s="48"/>
      <c r="H337" s="47" t="s">
        <v>254</v>
      </c>
      <c r="I337" s="48"/>
      <c r="J337" s="1"/>
    </row>
    <row r="338" spans="1:10">
      <c r="A338" s="4"/>
      <c r="B338" s="47" t="s">
        <v>221</v>
      </c>
      <c r="C338" s="48"/>
      <c r="D338" s="47" t="s">
        <v>255</v>
      </c>
      <c r="E338" s="48"/>
      <c r="F338" s="47" t="s">
        <v>256</v>
      </c>
      <c r="G338" s="48"/>
      <c r="H338" s="47" t="s">
        <v>257</v>
      </c>
      <c r="I338" s="48"/>
      <c r="J338" s="1"/>
    </row>
    <row r="339" spans="1:10">
      <c r="A339" s="4"/>
      <c r="B339" s="47" t="s">
        <v>223</v>
      </c>
      <c r="C339" s="48"/>
      <c r="D339" s="47" t="s">
        <v>255</v>
      </c>
      <c r="E339" s="48"/>
      <c r="F339" s="47" t="s">
        <v>258</v>
      </c>
      <c r="G339" s="48"/>
      <c r="H339" s="47" t="s">
        <v>259</v>
      </c>
      <c r="I339" s="48"/>
      <c r="J339" s="1"/>
    </row>
    <row r="340" spans="1:10">
      <c r="A340" s="4"/>
      <c r="B340" s="47" t="s">
        <v>188</v>
      </c>
      <c r="C340" s="48"/>
      <c r="D340" s="47" t="s">
        <v>255</v>
      </c>
      <c r="E340" s="48"/>
      <c r="F340" s="47" t="s">
        <v>260</v>
      </c>
      <c r="G340" s="48"/>
      <c r="H340" s="47" t="s">
        <v>261</v>
      </c>
      <c r="I340" s="48"/>
      <c r="J340" s="1"/>
    </row>
    <row r="341" spans="1:10">
      <c r="A341" s="4"/>
      <c r="B341" s="47" t="s">
        <v>228</v>
      </c>
      <c r="C341" s="48"/>
      <c r="D341" s="47" t="s">
        <v>262</v>
      </c>
      <c r="E341" s="48"/>
      <c r="F341" s="47" t="s">
        <v>263</v>
      </c>
      <c r="G341" s="48"/>
      <c r="H341" s="47" t="s">
        <v>264</v>
      </c>
      <c r="I341" s="48"/>
      <c r="J341" s="1"/>
    </row>
    <row r="342" spans="1:10">
      <c r="A342" s="4"/>
      <c r="B342" s="42" t="s">
        <v>265</v>
      </c>
      <c r="C342" s="43"/>
      <c r="D342" s="42" t="s">
        <v>262</v>
      </c>
      <c r="E342" s="43"/>
      <c r="F342" s="42" t="s">
        <v>266</v>
      </c>
      <c r="G342" s="43"/>
      <c r="H342" s="42" t="s">
        <v>267</v>
      </c>
      <c r="I342" s="43"/>
      <c r="J342" s="1"/>
    </row>
    <row r="343" spans="1:10" ht="15" customHeight="1">
      <c r="A343" s="4"/>
      <c r="B343" s="4"/>
      <c r="C343" s="4"/>
      <c r="D343" s="4"/>
      <c r="E343" s="4"/>
      <c r="F343" s="4"/>
      <c r="G343" s="4"/>
      <c r="H343" s="4"/>
      <c r="I343" s="4"/>
      <c r="J343" s="1"/>
    </row>
    <row r="344" spans="1:10">
      <c r="A344" s="4"/>
      <c r="B344" s="34">
        <v>4.2</v>
      </c>
      <c r="C344" s="4"/>
      <c r="D344" s="4"/>
      <c r="E344" s="4"/>
      <c r="F344" s="4"/>
      <c r="G344" s="4"/>
      <c r="H344" s="4"/>
      <c r="I344" s="4"/>
      <c r="J344" s="1"/>
    </row>
    <row r="345" spans="1:10" ht="15" customHeight="1">
      <c r="A345" s="4"/>
      <c r="B345" s="4" t="s">
        <v>233</v>
      </c>
      <c r="C345" s="44" t="s">
        <v>268</v>
      </c>
      <c r="D345" s="44"/>
      <c r="E345" s="44"/>
      <c r="F345" s="44"/>
      <c r="G345" s="44"/>
      <c r="H345" s="44"/>
      <c r="I345" s="44"/>
      <c r="J345" s="1"/>
    </row>
    <row r="346" spans="1:10">
      <c r="A346" s="4"/>
      <c r="B346" s="4"/>
      <c r="C346" s="44"/>
      <c r="D346" s="44"/>
      <c r="E346" s="44"/>
      <c r="F346" s="44"/>
      <c r="G346" s="44"/>
      <c r="H346" s="44"/>
      <c r="I346" s="44"/>
      <c r="J346" s="1"/>
    </row>
    <row r="347" spans="1:10" ht="15" customHeight="1">
      <c r="A347" s="4"/>
      <c r="B347" s="4"/>
      <c r="C347" s="44" t="s">
        <v>269</v>
      </c>
      <c r="D347" s="44"/>
      <c r="E347" s="44"/>
      <c r="F347" s="44"/>
      <c r="G347" s="44"/>
      <c r="H347" s="44"/>
      <c r="I347" s="44"/>
      <c r="J347" s="1"/>
    </row>
    <row r="348" spans="1:10">
      <c r="A348" s="4"/>
      <c r="B348" s="4"/>
      <c r="C348" s="44"/>
      <c r="D348" s="44"/>
      <c r="E348" s="44"/>
      <c r="F348" s="44"/>
      <c r="G348" s="44"/>
      <c r="H348" s="44"/>
      <c r="I348" s="44"/>
      <c r="J348" s="1"/>
    </row>
    <row r="349" spans="1:10" ht="15" customHeight="1">
      <c r="A349" s="4"/>
      <c r="B349" s="4"/>
      <c r="C349" s="44"/>
      <c r="D349" s="44"/>
      <c r="E349" s="44"/>
      <c r="F349" s="44"/>
      <c r="G349" s="44"/>
      <c r="H349" s="44"/>
      <c r="I349" s="44"/>
      <c r="J349" s="1"/>
    </row>
    <row r="350" spans="1:10">
      <c r="A350" s="4"/>
      <c r="B350" s="4"/>
      <c r="C350" s="4"/>
      <c r="D350" s="4"/>
      <c r="E350" s="4"/>
      <c r="F350" s="4"/>
      <c r="G350" s="4"/>
      <c r="H350" s="4"/>
      <c r="I350" s="4"/>
      <c r="J350" s="1"/>
    </row>
    <row r="351" spans="1:10">
      <c r="A351" s="4"/>
      <c r="B351" s="4"/>
      <c r="C351" s="4"/>
      <c r="D351" s="4"/>
      <c r="E351" s="4"/>
      <c r="F351" s="4"/>
      <c r="G351" s="4"/>
      <c r="H351" s="4"/>
      <c r="I351" s="4"/>
      <c r="J351" s="1"/>
    </row>
    <row r="352" spans="1:10">
      <c r="A352" s="4"/>
      <c r="B352" s="4"/>
      <c r="C352" s="4"/>
      <c r="D352" s="4"/>
      <c r="E352" s="4"/>
      <c r="F352" s="4"/>
      <c r="G352" s="4"/>
      <c r="H352" s="4"/>
      <c r="I352" s="4"/>
      <c r="J352" s="1"/>
    </row>
    <row r="353" spans="1:10">
      <c r="A353" s="4"/>
      <c r="B353" s="4"/>
      <c r="C353" s="4"/>
      <c r="D353" s="4"/>
      <c r="E353" s="4"/>
      <c r="F353" s="4"/>
      <c r="G353" s="4"/>
      <c r="H353" s="4"/>
      <c r="I353" s="4"/>
      <c r="J353" s="1"/>
    </row>
    <row r="354" spans="1:10">
      <c r="A354" s="4"/>
      <c r="B354" s="4"/>
      <c r="C354" s="4"/>
      <c r="D354" s="4"/>
      <c r="E354" s="4"/>
      <c r="F354" s="4"/>
      <c r="G354" s="4"/>
      <c r="H354" s="4"/>
      <c r="I354" s="4"/>
      <c r="J354" s="1"/>
    </row>
    <row r="355" spans="1:10">
      <c r="A355" s="4"/>
      <c r="B355" s="4"/>
      <c r="C355" s="4"/>
      <c r="D355" s="4"/>
      <c r="E355" s="4"/>
      <c r="F355" s="4"/>
      <c r="G355" s="4"/>
      <c r="H355" s="4"/>
      <c r="I355" s="4"/>
      <c r="J355" s="1"/>
    </row>
    <row r="356" spans="1:10">
      <c r="A356" s="4"/>
      <c r="B356" s="4"/>
      <c r="C356" s="4"/>
      <c r="D356" s="4"/>
      <c r="E356" s="4"/>
      <c r="F356" s="4"/>
      <c r="G356" s="4"/>
      <c r="H356" s="4"/>
      <c r="I356" s="4"/>
      <c r="J356" s="1"/>
    </row>
    <row r="357" spans="1:10">
      <c r="A357" s="4"/>
      <c r="B357" s="4"/>
      <c r="C357" s="4"/>
      <c r="D357" s="4"/>
      <c r="E357" s="4"/>
      <c r="F357" s="4"/>
      <c r="G357" s="4"/>
      <c r="H357" s="4"/>
      <c r="I357" s="4"/>
      <c r="J357" s="1"/>
    </row>
    <row r="358" spans="1:10">
      <c r="A358" s="4"/>
      <c r="B358" s="4"/>
      <c r="C358" s="4"/>
      <c r="D358" s="4"/>
      <c r="E358" s="4"/>
      <c r="F358" s="4"/>
      <c r="G358" s="4"/>
      <c r="H358" s="4"/>
      <c r="I358" s="4"/>
      <c r="J358" s="1"/>
    </row>
    <row r="359" spans="1:10">
      <c r="A359" s="4"/>
      <c r="B359" s="4"/>
      <c r="C359" s="4"/>
      <c r="D359" s="4"/>
      <c r="E359" s="4"/>
      <c r="F359" s="4"/>
      <c r="G359" s="4"/>
      <c r="H359" s="4"/>
      <c r="I359" s="4"/>
      <c r="J359" s="1"/>
    </row>
    <row r="360" spans="1:10">
      <c r="A360" s="4"/>
      <c r="B360" s="4"/>
      <c r="C360" s="4"/>
      <c r="D360" s="4"/>
      <c r="E360" s="4"/>
      <c r="F360" s="4"/>
      <c r="G360" s="4"/>
      <c r="H360" s="4"/>
      <c r="I360" s="4"/>
      <c r="J360" s="1"/>
    </row>
    <row r="361" spans="1:10">
      <c r="A361" s="4"/>
      <c r="B361" s="4"/>
      <c r="C361" s="4"/>
      <c r="D361" s="4"/>
      <c r="E361" s="4"/>
      <c r="F361" s="4"/>
      <c r="G361" s="4"/>
      <c r="H361" s="4"/>
      <c r="I361" s="4"/>
      <c r="J361" s="1"/>
    </row>
    <row r="362" spans="1:10">
      <c r="A362" s="4"/>
      <c r="B362" s="4"/>
      <c r="C362" s="4"/>
      <c r="D362" s="4"/>
      <c r="E362" s="4"/>
      <c r="F362" s="4"/>
      <c r="G362" s="4"/>
      <c r="H362" s="4"/>
      <c r="I362" s="4"/>
      <c r="J362" s="1"/>
    </row>
    <row r="363" spans="1:10" ht="15" customHeight="1">
      <c r="A363" s="4"/>
      <c r="B363" s="4"/>
      <c r="C363" s="4"/>
      <c r="D363" s="4"/>
      <c r="E363" s="4"/>
      <c r="F363" s="4"/>
      <c r="G363" s="4"/>
      <c r="H363" s="4"/>
      <c r="I363" s="4"/>
      <c r="J363" s="1"/>
    </row>
    <row r="364" spans="1:10">
      <c r="A364" s="4"/>
      <c r="B364" s="4"/>
      <c r="C364" s="4"/>
      <c r="D364" s="4"/>
      <c r="E364" s="4"/>
      <c r="F364" s="4"/>
      <c r="G364" s="4"/>
      <c r="H364" s="4"/>
      <c r="I364" s="4"/>
      <c r="J364" s="1"/>
    </row>
    <row r="365" spans="1:10" ht="15" customHeight="1">
      <c r="A365" s="4"/>
      <c r="B365" s="4"/>
      <c r="C365" s="4"/>
      <c r="D365" s="4"/>
      <c r="E365" s="4"/>
      <c r="F365" s="4"/>
      <c r="G365" s="4"/>
      <c r="H365" s="4"/>
      <c r="I365" s="4"/>
      <c r="J365" s="1"/>
    </row>
    <row r="366" spans="1:10">
      <c r="A366" s="4"/>
      <c r="B366" s="4"/>
      <c r="C366" s="4"/>
      <c r="D366" s="4"/>
      <c r="E366" s="4"/>
      <c r="F366" s="4"/>
      <c r="G366" s="4"/>
      <c r="H366" s="4"/>
      <c r="I366" s="4"/>
      <c r="J366" s="1"/>
    </row>
    <row r="367" spans="1:10">
      <c r="A367" s="4"/>
      <c r="B367" s="4" t="s">
        <v>270</v>
      </c>
      <c r="C367" s="4"/>
      <c r="D367" s="4"/>
      <c r="E367" s="4"/>
      <c r="F367" s="4"/>
      <c r="G367" s="4"/>
      <c r="H367" s="4"/>
      <c r="I367" s="4"/>
      <c r="J367" s="1"/>
    </row>
    <row r="368" spans="1:10">
      <c r="A368" s="4"/>
      <c r="B368" s="4"/>
      <c r="C368" s="4"/>
      <c r="D368" s="4"/>
      <c r="E368" s="4"/>
      <c r="F368" s="4"/>
      <c r="G368" s="4"/>
      <c r="H368" s="4"/>
      <c r="I368" s="4"/>
      <c r="J368" s="1"/>
    </row>
    <row r="369" spans="1:10">
      <c r="A369" s="4"/>
      <c r="B369" s="4"/>
      <c r="C369" s="4"/>
      <c r="D369" s="4"/>
      <c r="E369" s="4"/>
      <c r="F369" s="4"/>
      <c r="G369" s="4"/>
      <c r="H369" s="4"/>
      <c r="I369" s="4"/>
      <c r="J369" s="1"/>
    </row>
    <row r="370" spans="1:10">
      <c r="A370" s="4"/>
      <c r="B370" s="4"/>
      <c r="C370" s="4"/>
      <c r="D370" s="4"/>
      <c r="E370" s="4"/>
      <c r="F370" s="4"/>
      <c r="G370" s="4"/>
      <c r="H370" s="4"/>
      <c r="I370" s="4"/>
      <c r="J370" s="1"/>
    </row>
    <row r="371" spans="1:10">
      <c r="A371" s="4"/>
      <c r="B371" s="4"/>
      <c r="C371" s="4"/>
      <c r="D371" s="4"/>
      <c r="E371" s="4"/>
      <c r="F371" s="4"/>
      <c r="G371" s="4"/>
      <c r="H371" s="4"/>
      <c r="I371" s="4"/>
      <c r="J371" s="1"/>
    </row>
    <row r="372" spans="1:10">
      <c r="A372" s="4"/>
      <c r="B372" s="4"/>
      <c r="C372" s="4"/>
      <c r="D372" s="4"/>
      <c r="E372" s="4"/>
      <c r="F372" s="4"/>
      <c r="G372" s="4"/>
      <c r="H372" s="4"/>
      <c r="I372" s="4"/>
      <c r="J372" s="1"/>
    </row>
    <row r="373" spans="1:10">
      <c r="A373" s="4"/>
      <c r="B373" s="4"/>
      <c r="C373" s="4"/>
      <c r="D373" s="4"/>
      <c r="E373" s="4"/>
      <c r="F373" s="4"/>
      <c r="G373" s="4"/>
      <c r="H373" s="4"/>
      <c r="I373" s="4"/>
      <c r="J373" s="1"/>
    </row>
    <row r="374" spans="1:10">
      <c r="A374" s="4"/>
      <c r="B374" s="4"/>
      <c r="C374" s="4"/>
      <c r="D374" s="4"/>
      <c r="E374" s="4"/>
      <c r="F374" s="4"/>
      <c r="G374" s="4"/>
      <c r="H374" s="4"/>
      <c r="I374" s="4"/>
      <c r="J374" s="1"/>
    </row>
    <row r="375" spans="1:10">
      <c r="A375" s="4"/>
      <c r="B375" s="4"/>
      <c r="C375" s="4"/>
      <c r="D375" s="4"/>
      <c r="E375" s="4"/>
      <c r="F375" s="4"/>
      <c r="G375" s="4"/>
      <c r="H375" s="4"/>
      <c r="I375" s="4"/>
      <c r="J375" s="1"/>
    </row>
    <row r="376" spans="1:10">
      <c r="A376" s="4"/>
      <c r="B376" s="4"/>
      <c r="C376" s="4"/>
      <c r="D376" s="4"/>
      <c r="E376" s="4"/>
      <c r="F376" s="4"/>
      <c r="G376" s="4"/>
      <c r="H376" s="4"/>
      <c r="I376" s="4"/>
      <c r="J376" s="1"/>
    </row>
    <row r="377" spans="1:10">
      <c r="A377" s="31">
        <v>5</v>
      </c>
      <c r="B377" s="31" t="s">
        <v>271</v>
      </c>
      <c r="C377" s="4"/>
      <c r="D377" s="4"/>
      <c r="E377" s="4"/>
      <c r="F377" s="4"/>
      <c r="G377" s="4"/>
      <c r="H377" s="4"/>
      <c r="I377" s="4"/>
      <c r="J377" s="1"/>
    </row>
    <row r="378" spans="1:10">
      <c r="A378" s="4"/>
      <c r="B378" s="4" t="s">
        <v>272</v>
      </c>
      <c r="C378" s="4"/>
      <c r="D378" s="4"/>
      <c r="E378" s="4"/>
      <c r="F378" s="4"/>
      <c r="G378" s="4"/>
      <c r="H378" s="4"/>
      <c r="I378" s="4"/>
      <c r="J378" s="1"/>
    </row>
    <row r="379" spans="1:10">
      <c r="A379" s="4"/>
      <c r="B379" s="4" t="s">
        <v>151</v>
      </c>
      <c r="C379" s="4" t="s">
        <v>273</v>
      </c>
      <c r="D379" s="4"/>
      <c r="E379" s="4"/>
      <c r="F379" s="4"/>
      <c r="G379" s="4"/>
      <c r="H379" s="4"/>
      <c r="I379" s="4"/>
      <c r="J379" s="1"/>
    </row>
    <row r="380" spans="1:10" ht="15" customHeight="1">
      <c r="A380" s="4"/>
      <c r="B380" s="35" t="s">
        <v>154</v>
      </c>
      <c r="C380" s="44" t="s">
        <v>274</v>
      </c>
      <c r="D380" s="44"/>
      <c r="E380" s="44"/>
      <c r="F380" s="44"/>
      <c r="G380" s="44"/>
      <c r="H380" s="44"/>
      <c r="I380" s="44"/>
      <c r="J380" s="1"/>
    </row>
    <row r="381" spans="1:10">
      <c r="A381" s="4"/>
      <c r="B381" s="35"/>
      <c r="C381" s="44"/>
      <c r="D381" s="44"/>
      <c r="E381" s="44"/>
      <c r="F381" s="44"/>
      <c r="G381" s="44"/>
      <c r="H381" s="44"/>
      <c r="I381" s="44"/>
      <c r="J381" s="1"/>
    </row>
    <row r="382" spans="1:10">
      <c r="A382" s="4"/>
      <c r="B382" s="4" t="s">
        <v>157</v>
      </c>
      <c r="C382" s="4" t="s">
        <v>275</v>
      </c>
      <c r="D382" s="4"/>
      <c r="E382" s="4"/>
      <c r="F382" s="4"/>
      <c r="G382" s="4"/>
      <c r="H382" s="4"/>
      <c r="I382" s="4"/>
      <c r="J382" s="1"/>
    </row>
    <row r="383" spans="1:10">
      <c r="A383" s="1"/>
      <c r="B383" s="1"/>
      <c r="C383" s="1"/>
      <c r="D383" s="1"/>
      <c r="E383" s="1"/>
      <c r="F383" s="1"/>
      <c r="G383" s="1"/>
      <c r="H383" s="1"/>
      <c r="I383" s="1"/>
      <c r="J383" s="1"/>
    </row>
    <row r="384" spans="1:10">
      <c r="A384" s="1"/>
      <c r="B384" s="1"/>
      <c r="C384" s="1"/>
      <c r="D384" s="1"/>
      <c r="E384" s="1"/>
      <c r="F384" s="1"/>
      <c r="G384" s="1"/>
      <c r="H384" s="1"/>
      <c r="I384" s="1"/>
      <c r="J384" s="1"/>
    </row>
    <row r="385" spans="1:10">
      <c r="A385" s="1"/>
      <c r="B385" s="1"/>
      <c r="C385" s="1"/>
      <c r="D385" s="1"/>
      <c r="E385" s="1"/>
      <c r="F385" s="1"/>
      <c r="G385" s="1"/>
      <c r="H385" s="1"/>
      <c r="I385" s="1"/>
      <c r="J385" s="1"/>
    </row>
    <row r="386" spans="1:10">
      <c r="A386" s="1"/>
      <c r="B386" s="1"/>
      <c r="C386" s="1"/>
      <c r="D386" s="1"/>
      <c r="E386" s="1"/>
      <c r="F386" s="1"/>
      <c r="G386" s="1"/>
      <c r="H386" s="1"/>
      <c r="I386" s="1"/>
      <c r="J386" s="1"/>
    </row>
    <row r="387" spans="1:10">
      <c r="A387" s="1"/>
      <c r="B387" s="1"/>
      <c r="C387" s="1"/>
      <c r="D387" s="1"/>
      <c r="E387" s="1"/>
      <c r="F387" s="1"/>
      <c r="G387" s="1"/>
      <c r="H387" s="1"/>
      <c r="I387" s="1"/>
      <c r="J387" s="1"/>
    </row>
    <row r="388" spans="1:10">
      <c r="A388" s="1"/>
      <c r="B388" s="1"/>
      <c r="C388" s="1"/>
      <c r="D388" s="1"/>
      <c r="E388" s="1"/>
      <c r="F388" s="1"/>
      <c r="G388" s="1"/>
      <c r="H388" s="1"/>
      <c r="I388" s="1"/>
      <c r="J388" s="1"/>
    </row>
    <row r="389" spans="1:10">
      <c r="A389" s="1"/>
      <c r="B389" s="1"/>
      <c r="C389" s="1"/>
      <c r="D389" s="1"/>
      <c r="E389" s="1"/>
      <c r="F389" s="1"/>
      <c r="G389" s="1"/>
      <c r="H389" s="1"/>
      <c r="I389" s="1"/>
      <c r="J389" s="1"/>
    </row>
    <row r="390" spans="1:10">
      <c r="A390" s="1"/>
      <c r="B390" s="1"/>
      <c r="C390" s="1"/>
      <c r="D390" s="1"/>
      <c r="E390" s="1"/>
      <c r="F390" s="1"/>
      <c r="G390" s="1"/>
      <c r="H390" s="1"/>
      <c r="I390" s="1"/>
      <c r="J390" s="1"/>
    </row>
    <row r="391" spans="1:10">
      <c r="A391" s="1"/>
      <c r="B391" s="1"/>
      <c r="C391" s="1"/>
      <c r="D391" s="1"/>
      <c r="E391" s="1"/>
      <c r="F391" s="1"/>
      <c r="G391" s="1"/>
      <c r="H391" s="1"/>
      <c r="I391" s="1"/>
      <c r="J391" s="1"/>
    </row>
    <row r="392" spans="1:10">
      <c r="A392" s="1"/>
      <c r="B392" s="1"/>
      <c r="C392" s="1"/>
      <c r="D392" s="1"/>
      <c r="E392" s="1"/>
      <c r="F392" s="1"/>
      <c r="G392" s="1"/>
      <c r="H392" s="1"/>
      <c r="I392" s="1"/>
      <c r="J392" s="1"/>
    </row>
    <row r="393" spans="1:10">
      <c r="A393" s="1"/>
      <c r="B393" s="1"/>
      <c r="C393" s="1"/>
      <c r="D393" s="1"/>
      <c r="E393" s="1"/>
      <c r="F393" s="1"/>
      <c r="G393" s="1"/>
      <c r="H393" s="1"/>
      <c r="I393" s="1"/>
      <c r="J393" s="1"/>
    </row>
    <row r="394" spans="1:10">
      <c r="A394" s="1"/>
      <c r="B394" s="1"/>
      <c r="C394" s="1"/>
      <c r="D394" s="1"/>
      <c r="E394" s="1"/>
      <c r="F394" s="1"/>
      <c r="G394" s="1"/>
      <c r="H394" s="1"/>
      <c r="I394" s="1"/>
      <c r="J394" s="1"/>
    </row>
    <row r="395" spans="1:10">
      <c r="A395" s="2"/>
      <c r="B395" s="3"/>
      <c r="C395" s="1"/>
      <c r="D395" s="1"/>
      <c r="E395" s="1"/>
      <c r="F395" s="1"/>
      <c r="G395" s="1"/>
      <c r="H395" s="1"/>
      <c r="I395" s="1"/>
      <c r="J395" s="1"/>
    </row>
    <row r="396" spans="1:10">
      <c r="A396" s="1"/>
      <c r="B396" s="2"/>
      <c r="C396" s="1"/>
      <c r="D396" s="1"/>
      <c r="E396" s="1"/>
      <c r="F396" s="1"/>
      <c r="G396" s="1"/>
      <c r="H396" s="1"/>
      <c r="I396" s="1"/>
      <c r="J396" s="1"/>
    </row>
    <row r="397" spans="1:10">
      <c r="A397" s="1"/>
      <c r="B397" s="2"/>
      <c r="C397" s="1"/>
      <c r="D397" s="1"/>
      <c r="E397" s="1"/>
      <c r="F397" s="1"/>
      <c r="G397" s="1"/>
      <c r="H397" s="1"/>
      <c r="I397" s="1"/>
      <c r="J397" s="1"/>
    </row>
    <row r="398" spans="1:10">
      <c r="A398" s="1"/>
      <c r="B398" s="2"/>
      <c r="C398" s="1"/>
      <c r="D398" s="1"/>
      <c r="E398" s="1"/>
      <c r="F398" s="1"/>
      <c r="G398" s="1"/>
      <c r="H398" s="1"/>
      <c r="I398" s="1"/>
      <c r="J398" s="1"/>
    </row>
    <row r="399" spans="1:10">
      <c r="A399" s="1"/>
      <c r="B399" s="2"/>
      <c r="C399" s="1"/>
      <c r="D399" s="1"/>
      <c r="E399" s="1"/>
      <c r="F399" s="1"/>
      <c r="G399" s="1"/>
      <c r="H399" s="1"/>
      <c r="I399" s="1"/>
      <c r="J399" s="1"/>
    </row>
    <row r="402" spans="1:9">
      <c r="A402" s="58" t="s">
        <v>472</v>
      </c>
      <c r="B402" s="58"/>
      <c r="C402" s="58"/>
      <c r="D402" s="58"/>
      <c r="E402" s="58"/>
      <c r="F402" s="58"/>
      <c r="G402" s="58"/>
      <c r="H402" s="58"/>
      <c r="I402" s="58"/>
    </row>
    <row r="403" spans="1:9">
      <c r="A403" s="58"/>
      <c r="B403" s="58"/>
      <c r="C403" s="58"/>
      <c r="D403" s="58"/>
      <c r="E403" s="58"/>
      <c r="F403" s="58"/>
      <c r="G403" s="58"/>
      <c r="H403" s="58"/>
      <c r="I403" s="58"/>
    </row>
    <row r="404" spans="1:9">
      <c r="A404" s="58" t="s">
        <v>276</v>
      </c>
      <c r="B404" s="58"/>
      <c r="C404" s="58"/>
      <c r="D404" s="58"/>
      <c r="E404" s="58"/>
      <c r="F404" s="58"/>
      <c r="G404" s="58"/>
      <c r="H404" s="58"/>
      <c r="I404" s="58"/>
    </row>
    <row r="405" spans="1:9">
      <c r="A405" s="21"/>
      <c r="B405" s="21"/>
      <c r="C405" s="21"/>
      <c r="D405" s="21"/>
      <c r="E405" s="21"/>
      <c r="F405" s="21"/>
      <c r="G405" s="21"/>
      <c r="H405" s="21"/>
      <c r="I405" s="21"/>
    </row>
    <row r="406" spans="1:9">
      <c r="A406" s="28" t="s">
        <v>277</v>
      </c>
      <c r="B406" s="9" t="s">
        <v>56</v>
      </c>
      <c r="C406" s="9"/>
      <c r="D406" s="1"/>
      <c r="E406" s="1"/>
      <c r="F406" s="1"/>
      <c r="G406" s="1"/>
      <c r="H406" s="1"/>
      <c r="I406" s="1"/>
    </row>
    <row r="407" spans="1:9" ht="15" customHeight="1">
      <c r="A407" s="1"/>
      <c r="B407" s="45" t="s">
        <v>481</v>
      </c>
      <c r="C407" s="45"/>
      <c r="D407" s="45"/>
      <c r="E407" s="45"/>
      <c r="F407" s="45"/>
      <c r="G407" s="45"/>
      <c r="H407" s="45"/>
      <c r="I407" s="45"/>
    </row>
    <row r="408" spans="1:9">
      <c r="A408" s="1"/>
      <c r="B408" s="45"/>
      <c r="C408" s="45"/>
      <c r="D408" s="45"/>
      <c r="E408" s="45"/>
      <c r="F408" s="45"/>
      <c r="G408" s="45"/>
      <c r="H408" s="45"/>
      <c r="I408" s="45"/>
    </row>
    <row r="409" spans="1:9">
      <c r="A409" s="1"/>
      <c r="B409" s="45"/>
      <c r="C409" s="45"/>
      <c r="D409" s="45"/>
      <c r="E409" s="45"/>
      <c r="F409" s="45"/>
      <c r="G409" s="45"/>
      <c r="H409" s="45"/>
      <c r="I409" s="45"/>
    </row>
    <row r="410" spans="1:9">
      <c r="A410" s="1"/>
      <c r="B410" s="45"/>
      <c r="C410" s="45"/>
      <c r="D410" s="45"/>
      <c r="E410" s="45"/>
      <c r="F410" s="45"/>
      <c r="G410" s="45"/>
      <c r="H410" s="45"/>
      <c r="I410" s="45"/>
    </row>
    <row r="411" spans="1:9">
      <c r="A411" s="1"/>
      <c r="B411" s="3"/>
      <c r="C411" s="3"/>
      <c r="D411" s="3"/>
      <c r="E411" s="3"/>
      <c r="F411" s="3"/>
      <c r="G411" s="3"/>
      <c r="H411" s="3"/>
      <c r="I411" s="3"/>
    </row>
    <row r="412" spans="1:9">
      <c r="A412" s="1"/>
      <c r="B412" s="3" t="s">
        <v>278</v>
      </c>
      <c r="C412" s="23"/>
      <c r="D412" s="23"/>
      <c r="E412" s="23"/>
      <c r="F412" s="23"/>
      <c r="G412" s="23"/>
      <c r="H412" s="23"/>
      <c r="I412" s="23"/>
    </row>
    <row r="413" spans="1:9" ht="15" customHeight="1">
      <c r="A413" s="1"/>
      <c r="B413" s="45" t="s">
        <v>279</v>
      </c>
      <c r="C413" s="45"/>
      <c r="D413" s="45"/>
      <c r="E413" s="45"/>
      <c r="F413" s="45"/>
      <c r="G413" s="45"/>
      <c r="H413" s="45"/>
      <c r="I413" s="45"/>
    </row>
    <row r="414" spans="1:9">
      <c r="A414" s="1"/>
      <c r="B414" s="45"/>
      <c r="C414" s="45"/>
      <c r="D414" s="45"/>
      <c r="E414" s="45"/>
      <c r="F414" s="45"/>
      <c r="G414" s="45"/>
      <c r="H414" s="45"/>
      <c r="I414" s="45"/>
    </row>
    <row r="415" spans="1:9">
      <c r="A415" s="1"/>
      <c r="B415" s="45"/>
      <c r="C415" s="45"/>
      <c r="D415" s="45"/>
      <c r="E415" s="45"/>
      <c r="F415" s="45"/>
      <c r="G415" s="45"/>
      <c r="H415" s="45"/>
      <c r="I415" s="45"/>
    </row>
    <row r="416" spans="1:9">
      <c r="A416" s="1"/>
      <c r="B416" s="3"/>
      <c r="C416" s="3"/>
      <c r="D416" s="3"/>
      <c r="E416" s="3"/>
      <c r="F416" s="3"/>
      <c r="G416" s="3"/>
      <c r="H416" s="3"/>
      <c r="I416" s="3"/>
    </row>
    <row r="417" spans="1:9">
      <c r="A417" s="28" t="s">
        <v>57</v>
      </c>
      <c r="B417" s="29" t="s">
        <v>280</v>
      </c>
      <c r="C417" s="37"/>
      <c r="D417" s="37"/>
      <c r="E417" s="23"/>
      <c r="F417" s="23"/>
      <c r="G417" s="23"/>
      <c r="H417" s="23"/>
      <c r="I417" s="23"/>
    </row>
    <row r="418" spans="1:9" ht="15" customHeight="1">
      <c r="A418" s="1"/>
      <c r="B418" s="45" t="s">
        <v>482</v>
      </c>
      <c r="C418" s="45"/>
      <c r="D418" s="45"/>
      <c r="E418" s="45"/>
      <c r="F418" s="45"/>
      <c r="G418" s="45"/>
      <c r="H418" s="45"/>
      <c r="I418" s="45"/>
    </row>
    <row r="419" spans="1:9">
      <c r="A419" s="1"/>
      <c r="B419" s="45"/>
      <c r="C419" s="45"/>
      <c r="D419" s="45"/>
      <c r="E419" s="45"/>
      <c r="F419" s="45"/>
      <c r="G419" s="45"/>
      <c r="H419" s="45"/>
      <c r="I419" s="45"/>
    </row>
    <row r="420" spans="1:9">
      <c r="A420" s="1"/>
      <c r="B420" s="13" t="s">
        <v>281</v>
      </c>
      <c r="C420" s="3" t="s">
        <v>282</v>
      </c>
      <c r="D420" s="3"/>
      <c r="E420" s="3"/>
      <c r="F420" s="3"/>
      <c r="G420" s="3"/>
      <c r="H420" s="3"/>
      <c r="I420" s="3"/>
    </row>
    <row r="421" spans="1:9">
      <c r="A421" s="1"/>
      <c r="B421" s="13" t="s">
        <v>283</v>
      </c>
      <c r="C421" s="3" t="s">
        <v>284</v>
      </c>
      <c r="D421" s="3"/>
      <c r="E421" s="3"/>
      <c r="F421" s="3"/>
      <c r="G421" s="3"/>
      <c r="H421" s="3"/>
      <c r="I421" s="3"/>
    </row>
    <row r="422" spans="1:9">
      <c r="A422" s="2"/>
      <c r="B422" s="13" t="s">
        <v>285</v>
      </c>
      <c r="C422" s="3" t="s">
        <v>286</v>
      </c>
      <c r="D422" s="3"/>
      <c r="E422" s="3"/>
      <c r="F422" s="3"/>
      <c r="G422" s="3"/>
      <c r="H422" s="3"/>
      <c r="I422" s="3"/>
    </row>
    <row r="423" spans="1:9">
      <c r="A423" s="1"/>
      <c r="B423" s="13" t="s">
        <v>287</v>
      </c>
      <c r="C423" s="3" t="s">
        <v>288</v>
      </c>
      <c r="D423" s="3"/>
      <c r="E423" s="3"/>
      <c r="F423" s="3"/>
      <c r="G423" s="3"/>
      <c r="H423" s="3"/>
      <c r="I423" s="3"/>
    </row>
    <row r="424" spans="1:9">
      <c r="A424" s="1"/>
      <c r="B424" s="13" t="s">
        <v>289</v>
      </c>
      <c r="C424" s="3" t="s">
        <v>290</v>
      </c>
      <c r="D424" s="3"/>
      <c r="E424" s="3"/>
      <c r="F424" s="3"/>
      <c r="G424" s="3"/>
      <c r="H424" s="3" t="s">
        <v>291</v>
      </c>
      <c r="I424" s="3"/>
    </row>
    <row r="425" spans="1:9">
      <c r="A425" s="1"/>
      <c r="B425" s="13" t="s">
        <v>292</v>
      </c>
      <c r="C425" s="3" t="s">
        <v>293</v>
      </c>
      <c r="D425" s="3"/>
      <c r="E425" s="3"/>
      <c r="F425" s="3"/>
      <c r="G425" s="3"/>
      <c r="H425" s="3"/>
      <c r="I425" s="3"/>
    </row>
    <row r="426" spans="1:9">
      <c r="A426" s="1"/>
      <c r="B426" s="13" t="s">
        <v>294</v>
      </c>
      <c r="C426" s="3" t="s">
        <v>295</v>
      </c>
      <c r="D426" s="3"/>
      <c r="E426" s="3"/>
      <c r="F426" s="3"/>
      <c r="G426" s="3"/>
      <c r="H426" s="3"/>
      <c r="I426" s="3"/>
    </row>
    <row r="427" spans="1:9">
      <c r="A427" s="1"/>
      <c r="B427" s="3"/>
      <c r="C427" s="3"/>
      <c r="D427" s="3"/>
      <c r="E427" s="3"/>
      <c r="F427" s="3"/>
      <c r="G427" s="3"/>
      <c r="H427" s="3"/>
      <c r="I427" s="1"/>
    </row>
    <row r="428" spans="1:9">
      <c r="A428" s="28" t="s">
        <v>62</v>
      </c>
      <c r="B428" s="29" t="s">
        <v>296</v>
      </c>
      <c r="C428" s="29"/>
      <c r="D428" s="29"/>
      <c r="E428" s="3"/>
      <c r="F428" s="3"/>
      <c r="G428" s="3"/>
      <c r="H428" s="3"/>
      <c r="I428" s="1"/>
    </row>
    <row r="429" spans="1:9">
      <c r="A429" s="1"/>
      <c r="B429" s="3" t="s">
        <v>297</v>
      </c>
      <c r="C429" s="3"/>
      <c r="D429" s="3"/>
      <c r="E429" s="3"/>
      <c r="F429" s="3"/>
      <c r="G429" s="3"/>
      <c r="H429" s="3"/>
      <c r="I429" s="1"/>
    </row>
    <row r="430" spans="1:9">
      <c r="A430" s="1"/>
      <c r="B430" s="2" t="s">
        <v>298</v>
      </c>
      <c r="C430" s="3" t="s">
        <v>299</v>
      </c>
      <c r="D430" s="3"/>
      <c r="E430" s="3"/>
      <c r="F430" s="3"/>
      <c r="G430" s="3"/>
      <c r="H430" s="3"/>
      <c r="I430" s="1"/>
    </row>
    <row r="431" spans="1:9" ht="15" customHeight="1">
      <c r="A431" s="1"/>
      <c r="B431" s="3"/>
      <c r="C431" s="45" t="s">
        <v>300</v>
      </c>
      <c r="D431" s="45"/>
      <c r="E431" s="45"/>
      <c r="F431" s="45"/>
      <c r="G431" s="45"/>
      <c r="H431" s="45"/>
      <c r="I431" s="45"/>
    </row>
    <row r="432" spans="1:9">
      <c r="A432" s="1"/>
      <c r="B432" s="3"/>
      <c r="C432" s="45"/>
      <c r="D432" s="45"/>
      <c r="E432" s="45"/>
      <c r="F432" s="45"/>
      <c r="G432" s="45"/>
      <c r="H432" s="45"/>
      <c r="I432" s="45"/>
    </row>
    <row r="433" spans="1:9">
      <c r="A433" s="1"/>
      <c r="B433" s="3"/>
      <c r="C433" s="45"/>
      <c r="D433" s="45"/>
      <c r="E433" s="45"/>
      <c r="F433" s="45"/>
      <c r="G433" s="45"/>
      <c r="H433" s="45"/>
      <c r="I433" s="45"/>
    </row>
    <row r="434" spans="1:9">
      <c r="A434" s="1"/>
      <c r="B434" s="3"/>
      <c r="C434" s="3"/>
      <c r="D434" s="3"/>
      <c r="E434" s="3"/>
      <c r="F434" s="3"/>
      <c r="G434" s="3"/>
      <c r="H434" s="3"/>
      <c r="I434" s="1"/>
    </row>
    <row r="435" spans="1:9" ht="15" customHeight="1">
      <c r="A435" s="1"/>
      <c r="B435" s="3" t="s">
        <v>278</v>
      </c>
      <c r="C435" s="45" t="s">
        <v>301</v>
      </c>
      <c r="D435" s="45"/>
      <c r="E435" s="45"/>
      <c r="F435" s="45"/>
      <c r="G435" s="45"/>
      <c r="H435" s="45"/>
      <c r="I435" s="45"/>
    </row>
    <row r="436" spans="1:9">
      <c r="A436" s="1"/>
      <c r="B436" s="2"/>
      <c r="C436" s="45"/>
      <c r="D436" s="45"/>
      <c r="E436" s="45"/>
      <c r="F436" s="45"/>
      <c r="G436" s="45"/>
      <c r="H436" s="45"/>
      <c r="I436" s="45"/>
    </row>
    <row r="437" spans="1:9">
      <c r="A437" s="3"/>
      <c r="B437" s="3"/>
      <c r="C437" s="45"/>
      <c r="D437" s="45"/>
      <c r="E437" s="45"/>
      <c r="F437" s="45"/>
      <c r="G437" s="45"/>
      <c r="H437" s="45"/>
      <c r="I437" s="45"/>
    </row>
    <row r="438" spans="1:9">
      <c r="A438" s="3"/>
      <c r="B438" s="2" t="s">
        <v>302</v>
      </c>
      <c r="C438" s="3" t="s">
        <v>303</v>
      </c>
      <c r="D438" s="3"/>
      <c r="E438" s="3"/>
      <c r="F438" s="3"/>
      <c r="G438" s="3"/>
      <c r="H438" s="3"/>
      <c r="I438" s="3"/>
    </row>
    <row r="439" spans="1:9" ht="15" customHeight="1">
      <c r="A439" s="3"/>
      <c r="B439" s="3"/>
      <c r="C439" s="45" t="s">
        <v>304</v>
      </c>
      <c r="D439" s="45"/>
      <c r="E439" s="45"/>
      <c r="F439" s="45"/>
      <c r="G439" s="45"/>
      <c r="H439" s="45"/>
      <c r="I439" s="45"/>
    </row>
    <row r="440" spans="1:9">
      <c r="A440" s="3"/>
      <c r="B440" s="3"/>
      <c r="C440" s="45"/>
      <c r="D440" s="45"/>
      <c r="E440" s="45"/>
      <c r="F440" s="45"/>
      <c r="G440" s="45"/>
      <c r="H440" s="45"/>
      <c r="I440" s="45"/>
    </row>
    <row r="441" spans="1:9">
      <c r="A441" s="3"/>
      <c r="B441" s="3"/>
      <c r="C441" s="3"/>
      <c r="D441" s="3"/>
      <c r="E441" s="3"/>
      <c r="F441" s="3"/>
      <c r="G441" s="3"/>
      <c r="H441" s="3"/>
      <c r="I441" s="3"/>
    </row>
    <row r="442" spans="1:9">
      <c r="A442" s="28" t="s">
        <v>66</v>
      </c>
      <c r="B442" s="29" t="s">
        <v>305</v>
      </c>
      <c r="C442" s="29"/>
      <c r="D442" s="29"/>
      <c r="E442" s="29"/>
      <c r="F442" s="3"/>
      <c r="G442" s="3"/>
      <c r="H442" s="3"/>
      <c r="I442" s="3"/>
    </row>
    <row r="443" spans="1:9">
      <c r="A443" s="3"/>
      <c r="B443" s="3" t="s">
        <v>306</v>
      </c>
      <c r="C443" s="3"/>
      <c r="D443" s="3"/>
      <c r="E443" s="3"/>
      <c r="F443" s="3"/>
      <c r="G443" s="3"/>
      <c r="H443" s="3"/>
      <c r="I443" s="3"/>
    </row>
    <row r="444" spans="1:9">
      <c r="A444" s="3"/>
      <c r="B444" s="2" t="s">
        <v>307</v>
      </c>
      <c r="C444" s="3" t="s">
        <v>308</v>
      </c>
      <c r="D444" s="3"/>
      <c r="E444" s="3"/>
      <c r="F444" s="3"/>
      <c r="G444" s="3"/>
      <c r="H444" s="3"/>
      <c r="I444" s="3"/>
    </row>
    <row r="445" spans="1:9">
      <c r="A445" s="3"/>
      <c r="B445" s="3"/>
      <c r="C445" s="3" t="s">
        <v>309</v>
      </c>
      <c r="D445" s="3"/>
      <c r="E445" s="3"/>
      <c r="F445" s="3"/>
      <c r="G445" s="3"/>
      <c r="H445" s="3"/>
      <c r="I445" s="3"/>
    </row>
    <row r="446" spans="1:9">
      <c r="A446" s="3"/>
      <c r="B446" s="3"/>
      <c r="C446" s="3"/>
      <c r="D446" s="3"/>
      <c r="E446" s="3"/>
      <c r="F446" s="3"/>
      <c r="G446" s="3"/>
      <c r="H446" s="3"/>
      <c r="I446" s="3"/>
    </row>
    <row r="447" spans="1:9">
      <c r="A447" s="3"/>
      <c r="B447" s="2" t="s">
        <v>310</v>
      </c>
      <c r="C447" s="3" t="s">
        <v>155</v>
      </c>
      <c r="D447" s="3"/>
      <c r="E447" s="3"/>
      <c r="F447" s="3"/>
      <c r="G447" s="3"/>
      <c r="H447" s="3"/>
      <c r="I447" s="3"/>
    </row>
    <row r="448" spans="1:9">
      <c r="A448" s="3"/>
      <c r="B448" s="3"/>
      <c r="C448" s="3" t="s">
        <v>311</v>
      </c>
      <c r="D448" s="3"/>
      <c r="E448" s="3"/>
      <c r="F448" s="3"/>
      <c r="G448" s="3"/>
      <c r="H448" s="3"/>
      <c r="I448" s="3"/>
    </row>
    <row r="449" spans="1:9">
      <c r="A449" s="3"/>
      <c r="B449" s="3"/>
      <c r="C449" s="3"/>
      <c r="D449" s="3"/>
      <c r="E449" s="3"/>
      <c r="F449" s="3"/>
      <c r="G449" s="3"/>
      <c r="H449" s="3"/>
      <c r="I449" s="3"/>
    </row>
    <row r="450" spans="1:9">
      <c r="A450" s="3"/>
      <c r="B450" s="2" t="s">
        <v>312</v>
      </c>
      <c r="C450" s="3" t="s">
        <v>168</v>
      </c>
      <c r="D450" s="3"/>
      <c r="E450" s="3"/>
      <c r="F450" s="3"/>
      <c r="G450" s="3"/>
      <c r="H450" s="3"/>
      <c r="I450" s="3"/>
    </row>
    <row r="451" spans="1:9">
      <c r="A451" s="3"/>
      <c r="B451" s="3"/>
      <c r="C451" s="3" t="s">
        <v>313</v>
      </c>
      <c r="D451" s="3"/>
      <c r="E451" s="3"/>
      <c r="F451" s="3"/>
      <c r="G451" s="3"/>
      <c r="H451" s="3"/>
      <c r="I451" s="3"/>
    </row>
    <row r="452" spans="1:9">
      <c r="A452" s="3"/>
      <c r="B452" s="3"/>
      <c r="C452" s="3"/>
      <c r="D452" s="3"/>
      <c r="E452" s="3"/>
      <c r="F452" s="3"/>
      <c r="G452" s="3"/>
      <c r="H452" s="3"/>
      <c r="I452" s="3"/>
    </row>
    <row r="453" spans="1:9">
      <c r="A453" s="3"/>
      <c r="B453" s="2" t="s">
        <v>314</v>
      </c>
      <c r="C453" s="3" t="s">
        <v>315</v>
      </c>
      <c r="D453" s="3"/>
      <c r="E453" s="3"/>
      <c r="F453" s="3"/>
      <c r="G453" s="3"/>
      <c r="H453" s="3"/>
      <c r="I453" s="3"/>
    </row>
    <row r="454" spans="1:9">
      <c r="A454" s="1"/>
      <c r="B454" s="10"/>
      <c r="C454" s="10" t="s">
        <v>316</v>
      </c>
      <c r="D454" s="10"/>
      <c r="E454" s="10"/>
      <c r="F454" s="10"/>
      <c r="G454" s="10"/>
      <c r="H454" s="10"/>
      <c r="I454" s="10"/>
    </row>
    <row r="455" spans="1:9" ht="15" customHeight="1">
      <c r="A455" s="1"/>
      <c r="B455" s="3" t="s">
        <v>317</v>
      </c>
      <c r="C455" s="73" t="s">
        <v>318</v>
      </c>
      <c r="D455" s="73"/>
      <c r="E455" s="73"/>
      <c r="F455" s="73"/>
      <c r="G455" s="73"/>
      <c r="H455" s="73"/>
      <c r="I455" s="73"/>
    </row>
    <row r="456" spans="1:9">
      <c r="A456" s="1"/>
      <c r="B456" s="10"/>
      <c r="C456" s="73"/>
      <c r="D456" s="73"/>
      <c r="E456" s="73"/>
      <c r="F456" s="73"/>
      <c r="G456" s="73"/>
      <c r="H456" s="73"/>
      <c r="I456" s="73"/>
    </row>
    <row r="457" spans="1:9">
      <c r="A457" s="1"/>
      <c r="B457" s="10"/>
      <c r="C457" s="10"/>
      <c r="D457" s="10"/>
      <c r="E457" s="10"/>
      <c r="F457" s="10"/>
      <c r="G457" s="10"/>
      <c r="H457" s="10"/>
      <c r="I457" s="10"/>
    </row>
    <row r="458" spans="1:9">
      <c r="A458" s="1"/>
      <c r="B458" s="3" t="s">
        <v>319</v>
      </c>
      <c r="C458" s="10" t="s">
        <v>320</v>
      </c>
      <c r="D458" s="22"/>
      <c r="E458" s="22"/>
      <c r="F458" s="22"/>
      <c r="G458" s="22"/>
      <c r="H458" s="22"/>
      <c r="I458" s="22"/>
    </row>
    <row r="459" spans="1:9">
      <c r="A459" s="1"/>
      <c r="B459" s="10"/>
      <c r="C459" s="10"/>
      <c r="D459" s="22"/>
      <c r="E459" s="22"/>
      <c r="F459" s="22"/>
      <c r="G459" s="22"/>
      <c r="H459" s="22"/>
      <c r="I459" s="22"/>
    </row>
    <row r="460" spans="1:9" ht="15.75">
      <c r="A460" s="1"/>
      <c r="B460" s="10"/>
      <c r="C460" s="10"/>
      <c r="D460" s="17"/>
      <c r="E460" s="22"/>
      <c r="F460" s="22"/>
      <c r="G460" s="22"/>
      <c r="H460" s="22"/>
      <c r="I460" s="22"/>
    </row>
    <row r="461" spans="1:9">
      <c r="A461" s="1"/>
      <c r="B461" s="10"/>
      <c r="C461" s="10"/>
      <c r="D461" s="10"/>
      <c r="E461" s="10"/>
      <c r="F461" s="10"/>
      <c r="G461" s="10"/>
      <c r="H461" s="10"/>
      <c r="I461" s="10"/>
    </row>
    <row r="462" spans="1:9">
      <c r="A462" s="1"/>
      <c r="B462" s="10"/>
      <c r="C462" s="10"/>
      <c r="D462" s="10"/>
      <c r="E462" s="10"/>
      <c r="F462" s="10"/>
      <c r="G462" s="10"/>
      <c r="H462" s="10"/>
      <c r="I462" s="10"/>
    </row>
    <row r="463" spans="1:9">
      <c r="A463" s="1"/>
      <c r="B463" s="10"/>
      <c r="C463" s="10"/>
      <c r="D463" s="10"/>
      <c r="E463" s="10"/>
      <c r="F463" s="10"/>
      <c r="G463" s="10"/>
      <c r="H463" s="10"/>
      <c r="I463" s="10"/>
    </row>
    <row r="464" spans="1:9">
      <c r="A464" s="1"/>
      <c r="B464" s="10"/>
      <c r="C464" s="10"/>
      <c r="D464" s="10"/>
      <c r="E464" s="10"/>
      <c r="F464" s="10"/>
      <c r="G464" s="10"/>
      <c r="H464" s="10"/>
      <c r="I464" s="10"/>
    </row>
    <row r="465" spans="1:9">
      <c r="A465" s="1"/>
      <c r="B465" s="10"/>
      <c r="C465" s="10"/>
      <c r="D465" s="10"/>
      <c r="E465" s="10"/>
      <c r="F465" s="10"/>
      <c r="G465" s="10"/>
      <c r="H465" s="10"/>
      <c r="I465" s="10"/>
    </row>
    <row r="466" spans="1:9">
      <c r="A466" s="1"/>
      <c r="B466" s="10"/>
      <c r="C466" s="10"/>
      <c r="D466" s="10"/>
      <c r="E466" s="10"/>
      <c r="F466" s="10"/>
      <c r="G466" s="10"/>
      <c r="H466" s="10"/>
      <c r="I466" s="10"/>
    </row>
    <row r="467" spans="1:9">
      <c r="A467" s="1"/>
      <c r="B467" s="10"/>
      <c r="C467" s="10"/>
      <c r="D467" s="10"/>
      <c r="E467" s="10"/>
      <c r="F467" s="10"/>
      <c r="G467" s="10"/>
      <c r="H467" s="10"/>
      <c r="I467" s="10"/>
    </row>
    <row r="468" spans="1:9">
      <c r="A468" s="1"/>
      <c r="B468" s="1"/>
      <c r="C468" s="1"/>
      <c r="D468" s="1"/>
      <c r="E468" s="1"/>
      <c r="F468" s="1"/>
      <c r="G468" s="1"/>
      <c r="H468" s="1"/>
      <c r="I468" s="1"/>
    </row>
    <row r="469" spans="1:9">
      <c r="A469" s="16"/>
      <c r="B469" s="16"/>
      <c r="C469" s="16"/>
      <c r="D469" s="16"/>
      <c r="E469" s="16"/>
      <c r="F469" s="16"/>
      <c r="G469" s="16"/>
      <c r="H469" s="16"/>
      <c r="I469" s="16"/>
    </row>
    <row r="470" spans="1:9">
      <c r="A470" s="16"/>
      <c r="B470" s="16"/>
      <c r="C470" s="16"/>
      <c r="D470" s="25"/>
      <c r="E470" s="25"/>
      <c r="F470" s="25"/>
      <c r="G470" s="25"/>
      <c r="H470" s="25"/>
      <c r="I470" s="25"/>
    </row>
    <row r="471" spans="1:9">
      <c r="A471" s="16"/>
      <c r="B471" s="16"/>
      <c r="C471" s="16" t="s">
        <v>321</v>
      </c>
      <c r="D471" s="25"/>
      <c r="E471" s="25"/>
      <c r="F471" s="25"/>
      <c r="G471" s="25"/>
      <c r="H471" s="25"/>
      <c r="I471" s="25"/>
    </row>
    <row r="472" spans="1:9">
      <c r="A472" s="16"/>
      <c r="B472" s="16"/>
      <c r="C472" s="16"/>
      <c r="D472" s="25"/>
      <c r="E472" s="25"/>
      <c r="F472" s="25"/>
      <c r="G472" s="25"/>
      <c r="H472" s="25"/>
      <c r="I472" s="25"/>
    </row>
    <row r="473" spans="1:9">
      <c r="A473" s="16"/>
      <c r="B473" s="2" t="s">
        <v>322</v>
      </c>
      <c r="C473" s="3" t="s">
        <v>483</v>
      </c>
      <c r="D473" s="25"/>
      <c r="E473" s="25"/>
      <c r="F473" s="25"/>
      <c r="G473" s="25"/>
      <c r="H473" s="25"/>
      <c r="I473" s="25"/>
    </row>
    <row r="474" spans="1:9">
      <c r="A474" s="16"/>
      <c r="B474" s="16"/>
      <c r="C474" s="3" t="s">
        <v>323</v>
      </c>
      <c r="D474" s="25"/>
      <c r="E474" s="25"/>
      <c r="F474" s="25"/>
      <c r="G474" s="25"/>
      <c r="H474" s="25"/>
      <c r="I474" s="25"/>
    </row>
    <row r="475" spans="1:9">
      <c r="A475" s="16"/>
      <c r="B475" s="16"/>
      <c r="C475" s="16"/>
      <c r="D475" s="25"/>
      <c r="E475" s="25"/>
      <c r="F475" s="25"/>
      <c r="G475" s="25"/>
      <c r="H475" s="25"/>
      <c r="I475" s="25"/>
    </row>
    <row r="476" spans="1:9" ht="15" customHeight="1">
      <c r="A476" s="16"/>
      <c r="B476" s="3" t="s">
        <v>278</v>
      </c>
      <c r="C476" s="46" t="s">
        <v>324</v>
      </c>
      <c r="D476" s="46"/>
      <c r="E476" s="46"/>
      <c r="F476" s="46"/>
      <c r="G476" s="46"/>
      <c r="H476" s="46"/>
      <c r="I476" s="46"/>
    </row>
    <row r="477" spans="1:9">
      <c r="A477" s="16"/>
      <c r="B477" s="16"/>
      <c r="C477" s="46"/>
      <c r="D477" s="46"/>
      <c r="E477" s="46"/>
      <c r="F477" s="46"/>
      <c r="G477" s="46"/>
      <c r="H477" s="46"/>
      <c r="I477" s="46"/>
    </row>
    <row r="478" spans="1:9">
      <c r="A478" s="16"/>
      <c r="B478" s="16"/>
      <c r="C478" s="46"/>
      <c r="D478" s="46"/>
      <c r="E478" s="46"/>
      <c r="F478" s="46"/>
      <c r="G478" s="46"/>
      <c r="H478" s="46"/>
      <c r="I478" s="46"/>
    </row>
    <row r="479" spans="1:9">
      <c r="A479" s="16"/>
      <c r="B479" s="16"/>
      <c r="C479" s="16"/>
      <c r="D479" s="25"/>
      <c r="E479" s="25"/>
      <c r="F479" s="25"/>
      <c r="G479" s="25"/>
      <c r="H479" s="25"/>
      <c r="I479" s="25"/>
    </row>
    <row r="480" spans="1:9">
      <c r="A480" s="16"/>
      <c r="B480" s="2" t="s">
        <v>325</v>
      </c>
      <c r="C480" s="3" t="s">
        <v>484</v>
      </c>
      <c r="D480" s="25"/>
      <c r="E480" s="25"/>
      <c r="F480" s="25"/>
      <c r="G480" s="25"/>
      <c r="H480" s="25"/>
      <c r="I480" s="25"/>
    </row>
    <row r="481" spans="1:9">
      <c r="A481" s="16"/>
      <c r="B481" s="16"/>
      <c r="C481" s="16" t="s">
        <v>326</v>
      </c>
      <c r="D481" s="25"/>
      <c r="E481" s="25"/>
      <c r="F481" s="25"/>
      <c r="G481" s="25"/>
      <c r="H481" s="25"/>
      <c r="I481" s="25"/>
    </row>
    <row r="482" spans="1:9">
      <c r="A482" s="1"/>
      <c r="B482" s="1"/>
      <c r="C482" s="1"/>
      <c r="D482" s="1"/>
      <c r="E482" s="1"/>
      <c r="F482" s="1"/>
      <c r="G482" s="1"/>
      <c r="H482" s="1"/>
      <c r="I482" s="1"/>
    </row>
    <row r="483" spans="1:9">
      <c r="A483" s="1"/>
      <c r="B483" s="2" t="s">
        <v>327</v>
      </c>
      <c r="C483" s="1" t="s">
        <v>167</v>
      </c>
      <c r="D483" s="1"/>
      <c r="E483" s="1"/>
      <c r="F483" s="1"/>
      <c r="G483" s="1"/>
      <c r="H483" s="1"/>
      <c r="I483" s="1"/>
    </row>
    <row r="484" spans="1:9">
      <c r="A484" s="1"/>
      <c r="B484" s="1"/>
      <c r="C484" s="3" t="s">
        <v>328</v>
      </c>
      <c r="D484" s="1"/>
      <c r="E484" s="1"/>
      <c r="F484" s="1"/>
      <c r="G484" s="1"/>
      <c r="H484" s="1"/>
      <c r="I484" s="1"/>
    </row>
    <row r="485" spans="1:9">
      <c r="A485" s="1"/>
      <c r="B485" s="1"/>
      <c r="C485" s="2" t="s">
        <v>64</v>
      </c>
      <c r="D485" s="1" t="s">
        <v>329</v>
      </c>
      <c r="E485" s="1"/>
      <c r="F485" s="1"/>
      <c r="G485" s="1"/>
      <c r="H485" s="1"/>
      <c r="I485" s="1"/>
    </row>
    <row r="486" spans="1:9">
      <c r="A486" s="1"/>
      <c r="B486" s="1"/>
      <c r="C486" s="2" t="s">
        <v>70</v>
      </c>
      <c r="D486" s="45" t="s">
        <v>330</v>
      </c>
      <c r="E486" s="45"/>
      <c r="F486" s="45"/>
      <c r="G486" s="45"/>
      <c r="H486" s="45"/>
      <c r="I486" s="45"/>
    </row>
    <row r="487" spans="1:9" ht="15" customHeight="1">
      <c r="A487" s="1"/>
      <c r="B487" s="1"/>
      <c r="C487" s="1"/>
      <c r="D487" s="45"/>
      <c r="E487" s="45"/>
      <c r="F487" s="45"/>
      <c r="G487" s="45"/>
      <c r="H487" s="45"/>
      <c r="I487" s="45"/>
    </row>
    <row r="488" spans="1:9">
      <c r="A488" s="1"/>
      <c r="B488" s="1"/>
      <c r="C488" s="1"/>
      <c r="D488" s="5"/>
      <c r="E488" s="5"/>
      <c r="F488" s="5"/>
      <c r="G488" s="5"/>
      <c r="H488" s="5"/>
      <c r="I488" s="5"/>
    </row>
    <row r="489" spans="1:9">
      <c r="A489" s="1"/>
      <c r="B489" s="2" t="s">
        <v>331</v>
      </c>
      <c r="C489" s="1" t="s">
        <v>332</v>
      </c>
      <c r="D489" s="5"/>
      <c r="E489" s="5"/>
      <c r="F489" s="5"/>
      <c r="G489" s="5"/>
      <c r="H489" s="5"/>
      <c r="I489" s="5"/>
    </row>
    <row r="490" spans="1:9">
      <c r="A490" s="1"/>
      <c r="B490" s="1"/>
      <c r="C490" s="1" t="s">
        <v>333</v>
      </c>
      <c r="D490" s="1"/>
      <c r="E490" s="1"/>
      <c r="F490" s="1"/>
      <c r="G490" s="1"/>
      <c r="H490" s="1"/>
      <c r="I490" s="1"/>
    </row>
    <row r="491" spans="1:9">
      <c r="A491" s="2"/>
      <c r="B491" s="3"/>
      <c r="C491" s="1"/>
      <c r="D491" s="1"/>
      <c r="E491" s="1"/>
      <c r="F491" s="1"/>
      <c r="G491" s="1"/>
      <c r="H491" s="1"/>
      <c r="I491" s="1"/>
    </row>
    <row r="492" spans="1:9">
      <c r="A492" s="1"/>
      <c r="B492" s="3" t="s">
        <v>278</v>
      </c>
      <c r="C492" s="40" t="s">
        <v>473</v>
      </c>
      <c r="D492" s="74"/>
      <c r="E492" s="74"/>
      <c r="F492" s="74"/>
      <c r="G492" s="74"/>
      <c r="H492" s="74"/>
      <c r="I492" s="74"/>
    </row>
    <row r="493" spans="1:9">
      <c r="A493" s="1"/>
      <c r="B493" s="1"/>
      <c r="C493" s="74"/>
      <c r="D493" s="74"/>
      <c r="E493" s="74"/>
      <c r="F493" s="74"/>
      <c r="G493" s="74"/>
      <c r="H493" s="74"/>
      <c r="I493" s="74"/>
    </row>
    <row r="494" spans="1:9">
      <c r="A494" s="1"/>
      <c r="B494" s="2" t="s">
        <v>334</v>
      </c>
      <c r="C494" s="1" t="s">
        <v>335</v>
      </c>
      <c r="D494" s="5"/>
      <c r="E494" s="5"/>
      <c r="F494" s="5"/>
      <c r="G494" s="5"/>
      <c r="H494" s="5"/>
      <c r="I494" s="5"/>
    </row>
    <row r="495" spans="1:9">
      <c r="A495" s="1"/>
      <c r="B495" s="3"/>
      <c r="C495" s="2" t="s">
        <v>64</v>
      </c>
      <c r="D495" s="3" t="s">
        <v>336</v>
      </c>
      <c r="E495" s="3"/>
      <c r="F495" s="3"/>
      <c r="G495" s="3"/>
      <c r="H495" s="3"/>
      <c r="I495" s="3"/>
    </row>
    <row r="496" spans="1:9">
      <c r="A496" s="1"/>
      <c r="B496" s="3"/>
      <c r="C496" s="2" t="s">
        <v>70</v>
      </c>
      <c r="D496" s="3" t="s">
        <v>337</v>
      </c>
      <c r="E496" s="3"/>
      <c r="F496" s="3"/>
      <c r="G496" s="3"/>
      <c r="H496" s="3"/>
      <c r="I496" s="3"/>
    </row>
    <row r="497" spans="1:9">
      <c r="A497" s="1"/>
      <c r="B497" s="3"/>
      <c r="C497" s="2" t="s">
        <v>73</v>
      </c>
      <c r="D497" s="3" t="s">
        <v>338</v>
      </c>
      <c r="E497" s="3"/>
      <c r="F497" s="3"/>
      <c r="G497" s="3"/>
      <c r="H497" s="3"/>
      <c r="I497" s="3"/>
    </row>
    <row r="498" spans="1:9">
      <c r="A498" s="1"/>
      <c r="B498" s="3"/>
      <c r="C498" s="2" t="s">
        <v>75</v>
      </c>
      <c r="D498" s="3" t="s">
        <v>339</v>
      </c>
      <c r="E498" s="3"/>
      <c r="F498" s="3"/>
      <c r="G498" s="3"/>
      <c r="H498" s="3"/>
      <c r="I498" s="3"/>
    </row>
    <row r="499" spans="1:9">
      <c r="A499" s="1"/>
      <c r="B499" s="3"/>
      <c r="C499" s="3"/>
      <c r="D499" s="3"/>
      <c r="E499" s="3"/>
      <c r="F499" s="3"/>
      <c r="G499" s="3"/>
      <c r="H499" s="3"/>
      <c r="I499" s="3"/>
    </row>
    <row r="500" spans="1:9">
      <c r="A500" s="1"/>
      <c r="B500" s="3" t="s">
        <v>340</v>
      </c>
      <c r="C500" s="10" t="s">
        <v>341</v>
      </c>
      <c r="D500" s="10"/>
      <c r="E500" s="3"/>
      <c r="F500" s="3"/>
      <c r="G500" s="3"/>
      <c r="H500" s="3"/>
      <c r="I500" s="3"/>
    </row>
    <row r="501" spans="1:9">
      <c r="A501" s="1"/>
      <c r="B501" s="3"/>
      <c r="C501" s="3"/>
      <c r="D501" s="3"/>
      <c r="E501" s="3"/>
      <c r="F501" s="3"/>
      <c r="G501" s="3"/>
      <c r="H501" s="3"/>
      <c r="I501" s="3"/>
    </row>
    <row r="502" spans="1:9">
      <c r="A502" s="1"/>
      <c r="B502" s="6"/>
      <c r="C502" s="6"/>
      <c r="D502" s="6"/>
      <c r="E502" s="6"/>
      <c r="F502" s="6"/>
      <c r="G502" s="6"/>
      <c r="H502" s="6"/>
      <c r="I502" s="6"/>
    </row>
    <row r="503" spans="1:9">
      <c r="A503" s="1"/>
      <c r="B503" s="6"/>
      <c r="C503" s="6"/>
      <c r="D503" s="18"/>
      <c r="E503" s="6"/>
      <c r="F503" s="6"/>
      <c r="G503" s="6"/>
      <c r="H503" s="6"/>
      <c r="I503" s="6"/>
    </row>
    <row r="504" spans="1:9">
      <c r="A504" s="1"/>
      <c r="B504" s="6"/>
      <c r="C504" s="6"/>
      <c r="D504" s="6"/>
      <c r="E504" s="6"/>
      <c r="F504" s="6"/>
      <c r="G504" s="6"/>
      <c r="H504" s="6"/>
      <c r="I504" s="6"/>
    </row>
    <row r="505" spans="1:9">
      <c r="A505" s="1"/>
      <c r="B505" s="6"/>
      <c r="C505" s="6"/>
      <c r="D505" s="6"/>
      <c r="E505" s="6"/>
      <c r="F505" s="6"/>
      <c r="G505" s="6"/>
      <c r="H505" s="6"/>
      <c r="I505" s="6"/>
    </row>
    <row r="506" spans="1:9">
      <c r="A506" s="1"/>
      <c r="B506" s="6"/>
      <c r="C506" s="6"/>
      <c r="D506" s="6"/>
      <c r="E506" s="6"/>
      <c r="F506" s="6"/>
      <c r="G506" s="6"/>
      <c r="H506" s="6"/>
      <c r="I506" s="6"/>
    </row>
    <row r="507" spans="1:9">
      <c r="A507" s="1"/>
      <c r="B507" s="6"/>
      <c r="C507" s="6"/>
      <c r="D507" s="6"/>
      <c r="E507" s="6"/>
      <c r="F507" s="6"/>
      <c r="G507" s="6"/>
      <c r="H507" s="6"/>
      <c r="I507" s="6"/>
    </row>
    <row r="508" spans="1:9">
      <c r="A508" s="1"/>
      <c r="B508" s="6"/>
      <c r="C508" s="16"/>
      <c r="D508" s="6"/>
      <c r="E508" s="6"/>
      <c r="F508" s="6"/>
      <c r="G508" s="6"/>
      <c r="H508" s="6"/>
      <c r="I508" s="6"/>
    </row>
    <row r="509" spans="1:9">
      <c r="A509" s="1"/>
      <c r="B509" s="6"/>
      <c r="C509" s="16" t="s">
        <v>342</v>
      </c>
      <c r="D509" s="6"/>
      <c r="E509" s="6"/>
      <c r="F509" s="6"/>
      <c r="G509" s="6"/>
      <c r="H509" s="6"/>
      <c r="I509" s="6"/>
    </row>
    <row r="510" spans="1:9">
      <c r="A510" s="28" t="s">
        <v>90</v>
      </c>
      <c r="B510" s="29" t="s">
        <v>475</v>
      </c>
      <c r="C510" s="38"/>
      <c r="D510" s="6"/>
      <c r="E510" s="6"/>
      <c r="F510" s="6"/>
      <c r="G510" s="6"/>
      <c r="H510" s="6"/>
      <c r="I510" s="6"/>
    </row>
    <row r="511" spans="1:9">
      <c r="A511" s="1"/>
      <c r="B511" s="6" t="s">
        <v>343</v>
      </c>
      <c r="C511" s="6"/>
      <c r="D511" s="6"/>
      <c r="E511" s="6"/>
      <c r="F511" s="6"/>
      <c r="G511" s="6"/>
      <c r="H511" s="6"/>
      <c r="I511" s="6"/>
    </row>
    <row r="512" spans="1:9">
      <c r="A512" s="1"/>
      <c r="B512" s="2" t="s">
        <v>344</v>
      </c>
      <c r="C512" s="3" t="s">
        <v>345</v>
      </c>
      <c r="D512" s="15"/>
      <c r="E512" s="15"/>
      <c r="F512" s="15"/>
      <c r="G512" s="15"/>
      <c r="H512" s="15"/>
      <c r="I512" s="15"/>
    </row>
    <row r="513" spans="1:9">
      <c r="A513" s="1"/>
      <c r="B513" s="6"/>
      <c r="C513" s="2" t="s">
        <v>64</v>
      </c>
      <c r="D513" s="73" t="s">
        <v>485</v>
      </c>
      <c r="E513" s="73"/>
      <c r="F513" s="73"/>
      <c r="G513" s="73"/>
      <c r="H513" s="73"/>
      <c r="I513" s="73"/>
    </row>
    <row r="514" spans="1:9" ht="15" customHeight="1">
      <c r="A514" s="1"/>
      <c r="B514" s="6"/>
      <c r="C514" s="2"/>
      <c r="D514" s="73"/>
      <c r="E514" s="73"/>
      <c r="F514" s="73"/>
      <c r="G514" s="73"/>
      <c r="H514" s="73"/>
      <c r="I514" s="73"/>
    </row>
    <row r="515" spans="1:9">
      <c r="A515" s="1"/>
      <c r="B515" s="6"/>
      <c r="C515" s="2"/>
      <c r="D515" s="73"/>
      <c r="E515" s="73"/>
      <c r="F515" s="73"/>
      <c r="G515" s="73"/>
      <c r="H515" s="73"/>
      <c r="I515" s="73"/>
    </row>
    <row r="516" spans="1:9">
      <c r="A516" s="1"/>
      <c r="B516" s="6"/>
      <c r="C516" s="2"/>
      <c r="D516" s="73"/>
      <c r="E516" s="73"/>
      <c r="F516" s="73"/>
      <c r="G516" s="73"/>
      <c r="H516" s="73"/>
      <c r="I516" s="73"/>
    </row>
    <row r="517" spans="1:9" ht="15" customHeight="1">
      <c r="A517" s="1"/>
      <c r="B517" s="6"/>
      <c r="C517" s="2"/>
      <c r="D517" s="73"/>
      <c r="E517" s="73"/>
      <c r="F517" s="73"/>
      <c r="G517" s="73"/>
      <c r="H517" s="73"/>
      <c r="I517" s="73"/>
    </row>
    <row r="518" spans="1:9">
      <c r="A518" s="1"/>
      <c r="B518" s="6"/>
      <c r="C518" s="2"/>
      <c r="D518" s="73"/>
      <c r="E518" s="73"/>
      <c r="F518" s="73"/>
      <c r="G518" s="73"/>
      <c r="H518" s="73"/>
      <c r="I518" s="73"/>
    </row>
    <row r="519" spans="1:9">
      <c r="A519" s="1"/>
      <c r="B519" s="6"/>
      <c r="C519" s="2"/>
      <c r="D519" s="73"/>
      <c r="E519" s="73"/>
      <c r="F519" s="73"/>
      <c r="G519" s="73"/>
      <c r="H519" s="73"/>
      <c r="I519" s="73"/>
    </row>
    <row r="520" spans="1:9">
      <c r="A520" s="1"/>
      <c r="B520" s="6"/>
      <c r="C520" s="2"/>
      <c r="D520" s="73"/>
      <c r="E520" s="73"/>
      <c r="F520" s="73"/>
      <c r="G520" s="73"/>
      <c r="H520" s="73"/>
      <c r="I520" s="73"/>
    </row>
    <row r="521" spans="1:9" ht="15" customHeight="1">
      <c r="A521" s="1"/>
      <c r="B521" s="6"/>
      <c r="C521" s="2"/>
      <c r="D521" s="73"/>
      <c r="E521" s="73"/>
      <c r="F521" s="73"/>
      <c r="G521" s="73"/>
      <c r="H521" s="73"/>
      <c r="I521" s="73"/>
    </row>
    <row r="522" spans="1:9">
      <c r="A522" s="1"/>
      <c r="B522" s="6"/>
      <c r="C522" s="2"/>
      <c r="D522" s="73"/>
      <c r="E522" s="73"/>
      <c r="F522" s="73"/>
      <c r="G522" s="73"/>
      <c r="H522" s="73"/>
      <c r="I522" s="73"/>
    </row>
    <row r="523" spans="1:9" ht="15" customHeight="1">
      <c r="A523" s="1"/>
      <c r="B523" s="6"/>
      <c r="C523" s="6"/>
      <c r="D523" s="73"/>
      <c r="E523" s="73"/>
      <c r="F523" s="73"/>
      <c r="G523" s="73"/>
      <c r="H523" s="73"/>
      <c r="I523" s="73"/>
    </row>
    <row r="524" spans="1:9">
      <c r="A524" s="1"/>
      <c r="B524" s="10"/>
      <c r="C524" s="14" t="s">
        <v>70</v>
      </c>
      <c r="D524" s="75" t="s">
        <v>346</v>
      </c>
      <c r="E524" s="75"/>
      <c r="F524" s="75"/>
      <c r="G524" s="75"/>
      <c r="H524" s="75"/>
      <c r="I524" s="75"/>
    </row>
    <row r="525" spans="1:9">
      <c r="A525" s="1"/>
      <c r="B525" s="10"/>
      <c r="C525" s="2"/>
      <c r="D525" s="75"/>
      <c r="E525" s="75"/>
      <c r="F525" s="75"/>
      <c r="G525" s="75"/>
      <c r="H525" s="75"/>
      <c r="I525" s="75"/>
    </row>
    <row r="526" spans="1:9" ht="15" customHeight="1">
      <c r="A526" s="1"/>
      <c r="B526" s="10"/>
      <c r="C526" s="6"/>
      <c r="D526" s="75"/>
      <c r="E526" s="75"/>
      <c r="F526" s="75"/>
      <c r="G526" s="75"/>
      <c r="H526" s="75"/>
      <c r="I526" s="75"/>
    </row>
    <row r="527" spans="1:9">
      <c r="A527" s="1"/>
      <c r="B527" s="10"/>
      <c r="C527" s="14" t="s">
        <v>73</v>
      </c>
      <c r="D527" s="41" t="s">
        <v>347</v>
      </c>
      <c r="E527" s="41"/>
      <c r="F527" s="41"/>
      <c r="G527" s="41"/>
      <c r="H527" s="41"/>
      <c r="I527" s="41"/>
    </row>
    <row r="528" spans="1:9">
      <c r="A528" s="1"/>
      <c r="B528" s="10"/>
      <c r="C528" s="10"/>
      <c r="D528" s="41"/>
      <c r="E528" s="41"/>
      <c r="F528" s="41"/>
      <c r="G528" s="41"/>
      <c r="H528" s="41"/>
      <c r="I528" s="41"/>
    </row>
    <row r="529" spans="1:9">
      <c r="A529" s="1"/>
      <c r="B529" s="10"/>
      <c r="C529" s="10"/>
      <c r="D529" s="41"/>
      <c r="E529" s="41"/>
      <c r="F529" s="41"/>
      <c r="G529" s="41"/>
      <c r="H529" s="41"/>
      <c r="I529" s="41"/>
    </row>
    <row r="530" spans="1:9" ht="15" customHeight="1">
      <c r="A530" s="1"/>
      <c r="B530" s="2" t="s">
        <v>348</v>
      </c>
      <c r="C530" s="3" t="s">
        <v>349</v>
      </c>
      <c r="D530" s="10"/>
      <c r="E530" s="10"/>
      <c r="F530" s="10"/>
      <c r="G530" s="10"/>
      <c r="H530" s="10"/>
      <c r="I530" s="10"/>
    </row>
    <row r="531" spans="1:9">
      <c r="A531" s="1"/>
      <c r="B531" s="10"/>
      <c r="C531" s="2" t="s">
        <v>64</v>
      </c>
      <c r="D531" s="41" t="s">
        <v>350</v>
      </c>
      <c r="E531" s="41"/>
      <c r="F531" s="41"/>
      <c r="G531" s="41"/>
      <c r="H531" s="41"/>
      <c r="I531" s="41"/>
    </row>
    <row r="532" spans="1:9">
      <c r="A532" s="1"/>
      <c r="B532" s="10"/>
      <c r="C532" s="10"/>
      <c r="D532" s="41"/>
      <c r="E532" s="41"/>
      <c r="F532" s="41"/>
      <c r="G532" s="41"/>
      <c r="H532" s="41"/>
      <c r="I532" s="41"/>
    </row>
    <row r="533" spans="1:9">
      <c r="A533" s="1"/>
      <c r="B533" s="10"/>
      <c r="C533" s="10"/>
      <c r="D533" s="41"/>
      <c r="E533" s="41"/>
      <c r="F533" s="41"/>
      <c r="G533" s="41"/>
      <c r="H533" s="41"/>
      <c r="I533" s="41"/>
    </row>
    <row r="534" spans="1:9" ht="15" customHeight="1">
      <c r="A534" s="1"/>
      <c r="B534" s="10"/>
      <c r="C534" s="14" t="s">
        <v>70</v>
      </c>
      <c r="D534" s="10" t="s">
        <v>351</v>
      </c>
      <c r="E534" s="10"/>
      <c r="F534" s="10"/>
      <c r="G534" s="10"/>
      <c r="H534" s="10"/>
      <c r="I534" s="10"/>
    </row>
    <row r="535" spans="1:9">
      <c r="A535" s="1"/>
      <c r="B535" s="10"/>
      <c r="C535" s="3" t="s">
        <v>352</v>
      </c>
      <c r="D535" s="76" t="s">
        <v>353</v>
      </c>
      <c r="E535" s="76"/>
      <c r="F535" s="76"/>
      <c r="G535" s="76"/>
      <c r="H535" s="76"/>
      <c r="I535" s="76"/>
    </row>
    <row r="536" spans="1:9">
      <c r="A536" s="1"/>
      <c r="B536" s="10"/>
      <c r="C536" s="10"/>
      <c r="D536" s="76"/>
      <c r="E536" s="76"/>
      <c r="F536" s="76"/>
      <c r="G536" s="76"/>
      <c r="H536" s="76"/>
      <c r="I536" s="76"/>
    </row>
    <row r="537" spans="1:9">
      <c r="A537" s="1"/>
      <c r="B537" s="10"/>
      <c r="C537" s="10"/>
      <c r="D537" s="76"/>
      <c r="E537" s="76"/>
      <c r="F537" s="76"/>
      <c r="G537" s="76"/>
      <c r="H537" s="76"/>
      <c r="I537" s="76"/>
    </row>
    <row r="538" spans="1:9" ht="15" customHeight="1">
      <c r="A538" s="1"/>
      <c r="B538" s="10"/>
      <c r="C538" s="3" t="s">
        <v>354</v>
      </c>
      <c r="D538" s="41" t="s">
        <v>355</v>
      </c>
      <c r="E538" s="77"/>
      <c r="F538" s="77"/>
      <c r="G538" s="77"/>
      <c r="H538" s="77"/>
      <c r="I538" s="77"/>
    </row>
    <row r="539" spans="1:9">
      <c r="A539" s="1"/>
      <c r="B539" s="10"/>
      <c r="C539" s="3"/>
      <c r="D539" s="77"/>
      <c r="E539" s="77"/>
      <c r="F539" s="77"/>
      <c r="G539" s="77"/>
      <c r="H539" s="77"/>
      <c r="I539" s="77"/>
    </row>
    <row r="540" spans="1:9">
      <c r="A540" s="1"/>
      <c r="B540" s="10"/>
      <c r="C540" s="14" t="s">
        <v>73</v>
      </c>
      <c r="D540" s="41" t="s">
        <v>356</v>
      </c>
      <c r="E540" s="41"/>
      <c r="F540" s="41"/>
      <c r="G540" s="41"/>
      <c r="H540" s="41"/>
      <c r="I540" s="41"/>
    </row>
    <row r="541" spans="1:9">
      <c r="A541" s="1"/>
      <c r="B541" s="10"/>
      <c r="C541" s="10"/>
      <c r="D541" s="41"/>
      <c r="E541" s="41"/>
      <c r="F541" s="41"/>
      <c r="G541" s="41"/>
      <c r="H541" s="41"/>
      <c r="I541" s="41"/>
    </row>
    <row r="542" spans="1:9">
      <c r="A542" s="1"/>
      <c r="B542" s="10"/>
      <c r="C542" s="10"/>
      <c r="D542" s="41"/>
      <c r="E542" s="41"/>
      <c r="F542" s="41"/>
      <c r="G542" s="41"/>
      <c r="H542" s="41"/>
      <c r="I542" s="41"/>
    </row>
    <row r="543" spans="1:9">
      <c r="A543" s="1"/>
      <c r="B543" s="10"/>
      <c r="C543" s="10"/>
      <c r="D543" s="22"/>
      <c r="E543" s="22"/>
      <c r="F543" s="22"/>
      <c r="G543" s="22"/>
      <c r="H543" s="22"/>
      <c r="I543" s="22"/>
    </row>
    <row r="544" spans="1:9">
      <c r="A544" s="28" t="s">
        <v>112</v>
      </c>
      <c r="B544" s="29" t="s">
        <v>202</v>
      </c>
      <c r="C544" s="39"/>
      <c r="D544" s="22"/>
      <c r="E544" s="22"/>
      <c r="F544" s="22"/>
      <c r="G544" s="22"/>
      <c r="H544" s="22"/>
      <c r="I544" s="22"/>
    </row>
    <row r="545" spans="1:9">
      <c r="A545" s="1"/>
      <c r="B545" s="10" t="s">
        <v>357</v>
      </c>
      <c r="C545" s="10"/>
      <c r="D545" s="22"/>
      <c r="E545" s="22"/>
      <c r="F545" s="22"/>
      <c r="G545" s="22"/>
      <c r="H545" s="22"/>
      <c r="I545" s="22"/>
    </row>
    <row r="546" spans="1:9">
      <c r="A546" s="3"/>
      <c r="B546" s="14" t="s">
        <v>358</v>
      </c>
      <c r="C546" s="10" t="s">
        <v>359</v>
      </c>
      <c r="D546" s="22"/>
      <c r="E546" s="22"/>
      <c r="F546" s="22"/>
      <c r="G546" s="22"/>
      <c r="H546" s="22"/>
      <c r="I546" s="22"/>
    </row>
    <row r="547" spans="1:9">
      <c r="A547" s="3"/>
      <c r="B547" s="10"/>
      <c r="C547" s="10" t="s">
        <v>360</v>
      </c>
      <c r="D547" s="10"/>
      <c r="E547" s="10"/>
      <c r="F547" s="10"/>
      <c r="G547" s="10"/>
      <c r="H547" s="10"/>
      <c r="I547" s="10"/>
    </row>
    <row r="548" spans="1:9">
      <c r="A548" s="3"/>
      <c r="B548" s="10"/>
      <c r="C548" s="2" t="s">
        <v>64</v>
      </c>
      <c r="D548" s="10" t="s">
        <v>361</v>
      </c>
      <c r="E548" s="10"/>
      <c r="F548" s="10"/>
      <c r="G548" s="10"/>
      <c r="H548" s="10"/>
      <c r="I548" s="10"/>
    </row>
    <row r="549" spans="1:9" ht="15" customHeight="1">
      <c r="A549" s="3"/>
      <c r="B549" s="10"/>
      <c r="C549" s="14" t="s">
        <v>70</v>
      </c>
      <c r="D549" s="10" t="s">
        <v>362</v>
      </c>
      <c r="E549" s="10"/>
      <c r="F549" s="10"/>
      <c r="G549" s="10"/>
      <c r="H549" s="10"/>
      <c r="I549" s="10"/>
    </row>
    <row r="550" spans="1:9">
      <c r="A550" s="3"/>
      <c r="B550" s="10"/>
      <c r="C550" s="3" t="s">
        <v>363</v>
      </c>
      <c r="D550" s="10" t="s">
        <v>364</v>
      </c>
      <c r="E550" s="10"/>
      <c r="F550" s="10"/>
      <c r="G550" s="10"/>
      <c r="H550" s="10"/>
      <c r="I550" s="10"/>
    </row>
    <row r="551" spans="1:9">
      <c r="A551" s="3"/>
      <c r="B551" s="10"/>
      <c r="C551" s="3"/>
      <c r="D551" s="10"/>
      <c r="E551" s="10"/>
      <c r="F551" s="10"/>
      <c r="G551" s="10"/>
      <c r="H551" s="10"/>
      <c r="I551" s="10"/>
    </row>
    <row r="552" spans="1:9">
      <c r="A552" s="3"/>
      <c r="B552" s="10"/>
      <c r="C552" s="14" t="s">
        <v>73</v>
      </c>
      <c r="D552" s="78" t="s">
        <v>365</v>
      </c>
      <c r="E552" s="78"/>
      <c r="F552" s="78"/>
      <c r="G552" s="78"/>
      <c r="H552" s="78"/>
      <c r="I552" s="78"/>
    </row>
    <row r="553" spans="1:9" ht="15" customHeight="1">
      <c r="A553" s="3"/>
      <c r="B553" s="10"/>
      <c r="C553" s="10"/>
      <c r="D553" s="78"/>
      <c r="E553" s="78"/>
      <c r="F553" s="78"/>
      <c r="G553" s="78"/>
      <c r="H553" s="78"/>
      <c r="I553" s="78"/>
    </row>
    <row r="554" spans="1:9">
      <c r="A554" s="3"/>
      <c r="B554" s="10"/>
      <c r="C554" s="14" t="s">
        <v>75</v>
      </c>
      <c r="D554" s="73" t="s">
        <v>366</v>
      </c>
      <c r="E554" s="73"/>
      <c r="F554" s="73"/>
      <c r="G554" s="73"/>
      <c r="H554" s="73"/>
      <c r="I554" s="73"/>
    </row>
    <row r="555" spans="1:9" ht="15" customHeight="1">
      <c r="A555" s="3"/>
      <c r="B555" s="10"/>
      <c r="C555" s="10"/>
      <c r="D555" s="73"/>
      <c r="E555" s="73"/>
      <c r="F555" s="73"/>
      <c r="G555" s="73"/>
      <c r="H555" s="73"/>
      <c r="I555" s="73"/>
    </row>
    <row r="556" spans="1:9">
      <c r="A556" s="3"/>
      <c r="B556" s="10"/>
      <c r="C556" s="3" t="s">
        <v>363</v>
      </c>
      <c r="D556" s="73" t="s">
        <v>367</v>
      </c>
      <c r="E556" s="73"/>
      <c r="F556" s="73"/>
      <c r="G556" s="73"/>
      <c r="H556" s="73"/>
      <c r="I556" s="73"/>
    </row>
    <row r="557" spans="1:9">
      <c r="A557" s="3"/>
      <c r="B557" s="10"/>
      <c r="C557" s="10"/>
      <c r="D557" s="73"/>
      <c r="E557" s="73"/>
      <c r="F557" s="73"/>
      <c r="G557" s="73"/>
      <c r="H557" s="73"/>
      <c r="I557" s="73"/>
    </row>
    <row r="558" spans="1:9">
      <c r="A558" s="3"/>
      <c r="B558" s="10"/>
      <c r="C558" s="14" t="s">
        <v>368</v>
      </c>
      <c r="D558" s="10" t="s">
        <v>369</v>
      </c>
      <c r="E558" s="10"/>
      <c r="F558" s="10"/>
      <c r="G558" s="10"/>
      <c r="H558" s="10"/>
      <c r="I558" s="10"/>
    </row>
    <row r="559" spans="1:9">
      <c r="A559" s="3"/>
      <c r="B559" s="10"/>
      <c r="C559" s="14" t="s">
        <v>368</v>
      </c>
      <c r="D559" s="10" t="s">
        <v>370</v>
      </c>
      <c r="E559" s="10"/>
      <c r="F559" s="10"/>
      <c r="G559" s="10"/>
      <c r="H559" s="10"/>
      <c r="I559" s="10"/>
    </row>
    <row r="560" spans="1:9" ht="15" customHeight="1">
      <c r="A560" s="3"/>
      <c r="B560" s="10"/>
      <c r="C560" s="14" t="s">
        <v>368</v>
      </c>
      <c r="D560" s="10" t="s">
        <v>371</v>
      </c>
      <c r="E560" s="10"/>
      <c r="F560" s="10"/>
      <c r="G560" s="10"/>
      <c r="H560" s="10"/>
      <c r="I560" s="10"/>
    </row>
    <row r="561" spans="1:9">
      <c r="A561" s="3"/>
      <c r="B561" s="3"/>
      <c r="C561" s="14" t="s">
        <v>372</v>
      </c>
      <c r="D561" s="45" t="s">
        <v>373</v>
      </c>
      <c r="E561" s="45"/>
      <c r="F561" s="45"/>
      <c r="G561" s="45"/>
      <c r="H561" s="45"/>
      <c r="I561" s="45"/>
    </row>
    <row r="562" spans="1:9">
      <c r="A562" s="3"/>
      <c r="B562" s="3"/>
      <c r="C562" s="3"/>
      <c r="D562" s="45"/>
      <c r="E562" s="45"/>
      <c r="F562" s="45"/>
      <c r="G562" s="45"/>
      <c r="H562" s="45"/>
      <c r="I562" s="45"/>
    </row>
    <row r="563" spans="1:9">
      <c r="A563" s="3"/>
      <c r="B563" s="3"/>
      <c r="C563" s="3"/>
      <c r="D563" s="45"/>
      <c r="E563" s="45"/>
      <c r="F563" s="45"/>
      <c r="G563" s="45"/>
      <c r="H563" s="45"/>
      <c r="I563" s="45"/>
    </row>
    <row r="564" spans="1:9" ht="15" customHeight="1">
      <c r="A564" s="3"/>
      <c r="B564" s="3"/>
      <c r="C564" s="3"/>
      <c r="D564" s="45"/>
      <c r="E564" s="45"/>
      <c r="F564" s="45"/>
      <c r="G564" s="45"/>
      <c r="H564" s="45"/>
      <c r="I564" s="45"/>
    </row>
    <row r="565" spans="1:9">
      <c r="A565" s="3"/>
      <c r="B565" s="3"/>
      <c r="C565" s="2" t="s">
        <v>374</v>
      </c>
      <c r="D565" s="45" t="s">
        <v>375</v>
      </c>
      <c r="E565" s="45"/>
      <c r="F565" s="45"/>
      <c r="G565" s="45"/>
      <c r="H565" s="45"/>
      <c r="I565" s="45"/>
    </row>
    <row r="566" spans="1:9" ht="15" customHeight="1">
      <c r="A566" s="3"/>
      <c r="B566" s="3"/>
      <c r="C566" s="3"/>
      <c r="D566" s="45"/>
      <c r="E566" s="45"/>
      <c r="F566" s="45"/>
      <c r="G566" s="45"/>
      <c r="H566" s="45"/>
      <c r="I566" s="45"/>
    </row>
    <row r="567" spans="1:9">
      <c r="A567" s="3"/>
      <c r="B567" s="3"/>
      <c r="C567" s="3" t="s">
        <v>363</v>
      </c>
      <c r="D567" s="45" t="s">
        <v>376</v>
      </c>
      <c r="E567" s="45"/>
      <c r="F567" s="45"/>
      <c r="G567" s="45"/>
      <c r="H567" s="45"/>
      <c r="I567" s="45"/>
    </row>
    <row r="568" spans="1:9">
      <c r="A568" s="3"/>
      <c r="B568" s="3"/>
      <c r="C568" s="3"/>
      <c r="D568" s="45"/>
      <c r="E568" s="45"/>
      <c r="F568" s="45"/>
      <c r="G568" s="45"/>
      <c r="H568" s="45"/>
      <c r="I568" s="45"/>
    </row>
    <row r="569" spans="1:9">
      <c r="A569" s="1"/>
      <c r="B569" s="1"/>
      <c r="C569" s="1"/>
      <c r="D569" s="1"/>
      <c r="E569" s="1"/>
      <c r="F569" s="1"/>
      <c r="G569" s="1"/>
      <c r="H569" s="1"/>
      <c r="I569" s="1"/>
    </row>
    <row r="570" spans="1:9" ht="15" customHeight="1">
      <c r="A570" s="1"/>
      <c r="B570" s="14" t="s">
        <v>377</v>
      </c>
      <c r="C570" s="1" t="s">
        <v>378</v>
      </c>
      <c r="D570" s="1"/>
      <c r="E570" s="1"/>
      <c r="F570" s="1"/>
      <c r="G570" s="1"/>
      <c r="H570" s="1"/>
      <c r="I570" s="1"/>
    </row>
    <row r="571" spans="1:9">
      <c r="A571" s="1"/>
      <c r="B571" s="1"/>
      <c r="C571" s="45" t="s">
        <v>379</v>
      </c>
      <c r="D571" s="45"/>
      <c r="E571" s="45"/>
      <c r="F571" s="45"/>
      <c r="G571" s="45"/>
      <c r="H571" s="45"/>
      <c r="I571" s="45"/>
    </row>
    <row r="572" spans="1:9">
      <c r="A572" s="1"/>
      <c r="B572" s="1"/>
      <c r="C572" s="45"/>
      <c r="D572" s="45"/>
      <c r="E572" s="45"/>
      <c r="F572" s="45"/>
      <c r="G572" s="45"/>
      <c r="H572" s="45"/>
      <c r="I572" s="45"/>
    </row>
    <row r="573" spans="1:9">
      <c r="A573" s="1"/>
      <c r="B573" s="1"/>
      <c r="C573" s="1"/>
      <c r="D573" s="1"/>
      <c r="E573" s="1"/>
      <c r="F573" s="1"/>
      <c r="G573" s="1"/>
      <c r="H573" s="1"/>
      <c r="I573" s="1"/>
    </row>
    <row r="574" spans="1:9" ht="15" customHeight="1">
      <c r="A574" s="1"/>
      <c r="B574" s="14" t="s">
        <v>380</v>
      </c>
      <c r="C574" s="1" t="s">
        <v>232</v>
      </c>
      <c r="D574" s="1"/>
      <c r="E574" s="1"/>
      <c r="F574" s="1"/>
      <c r="G574" s="1"/>
      <c r="H574" s="1"/>
      <c r="I574" s="1"/>
    </row>
    <row r="575" spans="1:9">
      <c r="A575" s="1"/>
      <c r="B575" s="1"/>
      <c r="C575" s="2" t="s">
        <v>64</v>
      </c>
      <c r="D575" s="40" t="s">
        <v>381</v>
      </c>
      <c r="E575" s="40"/>
      <c r="F575" s="40"/>
      <c r="G575" s="40"/>
      <c r="H575" s="40"/>
      <c r="I575" s="40"/>
    </row>
    <row r="576" spans="1:9">
      <c r="A576" s="1"/>
      <c r="B576" s="1"/>
      <c r="C576" s="1"/>
      <c r="D576" s="40"/>
      <c r="E576" s="40"/>
      <c r="F576" s="40"/>
      <c r="G576" s="40"/>
      <c r="H576" s="40"/>
      <c r="I576" s="40"/>
    </row>
    <row r="577" spans="1:9">
      <c r="A577" s="1"/>
      <c r="B577" s="1"/>
      <c r="C577" s="1"/>
      <c r="D577" s="40"/>
      <c r="E577" s="40"/>
      <c r="F577" s="40"/>
      <c r="G577" s="40"/>
      <c r="H577" s="40"/>
      <c r="I577" s="40"/>
    </row>
    <row r="578" spans="1:9" ht="15" customHeight="1">
      <c r="A578" s="1"/>
      <c r="B578" s="1"/>
      <c r="C578" s="1"/>
      <c r="D578" s="40"/>
      <c r="E578" s="40"/>
      <c r="F578" s="40"/>
      <c r="G578" s="40"/>
      <c r="H578" s="40"/>
      <c r="I578" s="40"/>
    </row>
    <row r="579" spans="1:9">
      <c r="A579" s="1"/>
      <c r="B579" s="1"/>
      <c r="C579" s="3" t="s">
        <v>363</v>
      </c>
      <c r="D579" s="40" t="s">
        <v>382</v>
      </c>
      <c r="E579" s="40"/>
      <c r="F579" s="40"/>
      <c r="G579" s="40"/>
      <c r="H579" s="40"/>
      <c r="I579" s="40"/>
    </row>
    <row r="580" spans="1:9" ht="15" customHeight="1">
      <c r="A580" s="1"/>
      <c r="B580" s="1"/>
      <c r="C580" s="1"/>
      <c r="D580" s="40"/>
      <c r="E580" s="40"/>
      <c r="F580" s="40"/>
      <c r="G580" s="40"/>
      <c r="H580" s="40"/>
      <c r="I580" s="40"/>
    </row>
    <row r="581" spans="1:9">
      <c r="A581" s="1"/>
      <c r="B581" s="1"/>
      <c r="C581" s="2" t="s">
        <v>70</v>
      </c>
      <c r="D581" s="45" t="s">
        <v>383</v>
      </c>
      <c r="E581" s="45"/>
      <c r="F581" s="45"/>
      <c r="G581" s="45"/>
      <c r="H581" s="45"/>
      <c r="I581" s="45"/>
    </row>
    <row r="582" spans="1:9">
      <c r="A582" s="1"/>
      <c r="B582" s="1"/>
      <c r="C582" s="1"/>
      <c r="D582" s="45"/>
      <c r="E582" s="45"/>
      <c r="F582" s="45"/>
      <c r="G582" s="45"/>
      <c r="H582" s="45"/>
      <c r="I582" s="45"/>
    </row>
    <row r="583" spans="1:9" ht="15" customHeight="1">
      <c r="A583" s="1"/>
      <c r="B583" s="1"/>
      <c r="C583" s="2" t="s">
        <v>73</v>
      </c>
      <c r="D583" s="1" t="s">
        <v>384</v>
      </c>
      <c r="E583" s="1"/>
      <c r="F583" s="1"/>
      <c r="G583" s="1"/>
      <c r="H583" s="1"/>
      <c r="I583" s="1"/>
    </row>
    <row r="584" spans="1:9">
      <c r="A584" s="1"/>
      <c r="B584" s="1"/>
      <c r="C584" s="3" t="s">
        <v>352</v>
      </c>
      <c r="D584" s="45" t="s">
        <v>385</v>
      </c>
      <c r="E584" s="45"/>
      <c r="F584" s="45"/>
      <c r="G584" s="45"/>
      <c r="H584" s="45"/>
      <c r="I584" s="45"/>
    </row>
    <row r="585" spans="1:9">
      <c r="A585" s="1"/>
      <c r="B585" s="1"/>
      <c r="C585" s="3"/>
      <c r="D585" s="45"/>
      <c r="E585" s="45"/>
      <c r="F585" s="45"/>
      <c r="G585" s="45"/>
      <c r="H585" s="45"/>
      <c r="I585" s="45"/>
    </row>
    <row r="586" spans="1:9" ht="15" customHeight="1">
      <c r="A586" s="1"/>
      <c r="B586" s="1"/>
      <c r="C586" s="1"/>
      <c r="D586" s="45"/>
      <c r="E586" s="45"/>
      <c r="F586" s="45"/>
      <c r="G586" s="45"/>
      <c r="H586" s="45"/>
      <c r="I586" s="45"/>
    </row>
    <row r="587" spans="1:9">
      <c r="A587" s="1"/>
      <c r="B587" s="1"/>
      <c r="C587" s="3" t="s">
        <v>354</v>
      </c>
      <c r="D587" s="45" t="s">
        <v>386</v>
      </c>
      <c r="E587" s="45"/>
      <c r="F587" s="45"/>
      <c r="G587" s="45"/>
      <c r="H587" s="45"/>
      <c r="I587" s="45"/>
    </row>
    <row r="588" spans="1:9">
      <c r="A588" s="1"/>
      <c r="B588" s="1"/>
      <c r="C588" s="3"/>
      <c r="D588" s="45"/>
      <c r="E588" s="45"/>
      <c r="F588" s="45"/>
      <c r="G588" s="45"/>
      <c r="H588" s="45"/>
      <c r="I588" s="45"/>
    </row>
    <row r="589" spans="1:9" ht="15" customHeight="1">
      <c r="A589" s="1"/>
      <c r="B589" s="1"/>
      <c r="C589" s="1"/>
      <c r="D589" s="45"/>
      <c r="E589" s="45"/>
      <c r="F589" s="45"/>
      <c r="G589" s="45"/>
      <c r="H589" s="45"/>
      <c r="I589" s="45"/>
    </row>
    <row r="590" spans="1:9">
      <c r="A590" s="1"/>
      <c r="B590" s="1"/>
      <c r="C590" s="3" t="s">
        <v>387</v>
      </c>
      <c r="D590" s="45" t="s">
        <v>388</v>
      </c>
      <c r="E590" s="45"/>
      <c r="F590" s="45"/>
      <c r="G590" s="45"/>
      <c r="H590" s="45"/>
      <c r="I590" s="45"/>
    </row>
    <row r="591" spans="1:9">
      <c r="A591" s="1"/>
      <c r="B591" s="1"/>
      <c r="C591" s="1"/>
      <c r="D591" s="45"/>
      <c r="E591" s="45"/>
      <c r="F591" s="45"/>
      <c r="G591" s="45"/>
      <c r="H591" s="45"/>
      <c r="I591" s="45"/>
    </row>
    <row r="592" spans="1:9" ht="15" customHeight="1">
      <c r="A592" s="1"/>
      <c r="B592" s="1"/>
      <c r="C592" s="1"/>
      <c r="D592" s="45"/>
      <c r="E592" s="45"/>
      <c r="F592" s="45"/>
      <c r="G592" s="45"/>
      <c r="H592" s="45"/>
      <c r="I592" s="45"/>
    </row>
    <row r="593" spans="1:9">
      <c r="A593" s="1"/>
      <c r="B593" s="1"/>
      <c r="C593" s="3" t="s">
        <v>389</v>
      </c>
      <c r="D593" s="45" t="s">
        <v>390</v>
      </c>
      <c r="E593" s="45"/>
      <c r="F593" s="45"/>
      <c r="G593" s="45"/>
      <c r="H593" s="45"/>
      <c r="I593" s="45"/>
    </row>
    <row r="594" spans="1:9">
      <c r="A594" s="1"/>
      <c r="B594" s="1"/>
      <c r="C594" s="1"/>
      <c r="D594" s="45"/>
      <c r="E594" s="45"/>
      <c r="F594" s="45"/>
      <c r="G594" s="45"/>
      <c r="H594" s="45"/>
      <c r="I594" s="45"/>
    </row>
    <row r="595" spans="1:9" ht="15" customHeight="1">
      <c r="A595" s="1"/>
      <c r="B595" s="1"/>
      <c r="C595" s="1"/>
      <c r="D595" s="45"/>
      <c r="E595" s="45"/>
      <c r="F595" s="45"/>
      <c r="G595" s="45"/>
      <c r="H595" s="45"/>
      <c r="I595" s="45"/>
    </row>
    <row r="596" spans="1:9">
      <c r="A596" s="1"/>
      <c r="B596" s="1"/>
      <c r="C596" s="3" t="s">
        <v>391</v>
      </c>
      <c r="D596" s="40" t="s">
        <v>392</v>
      </c>
      <c r="E596" s="40"/>
      <c r="F596" s="40"/>
      <c r="G596" s="40"/>
      <c r="H596" s="40"/>
      <c r="I596" s="40"/>
    </row>
    <row r="597" spans="1:9">
      <c r="A597" s="3"/>
      <c r="B597" s="3"/>
      <c r="C597" s="3"/>
      <c r="D597" s="40"/>
      <c r="E597" s="40"/>
      <c r="F597" s="40"/>
      <c r="G597" s="40"/>
      <c r="H597" s="40"/>
      <c r="I597" s="40"/>
    </row>
    <row r="598" spans="1:9">
      <c r="A598" s="3"/>
      <c r="B598" s="3"/>
      <c r="C598" s="3" t="s">
        <v>393</v>
      </c>
      <c r="D598" s="45" t="s">
        <v>394</v>
      </c>
      <c r="E598" s="45"/>
      <c r="F598" s="45"/>
      <c r="G598" s="45"/>
      <c r="H598" s="45"/>
      <c r="I598" s="45"/>
    </row>
    <row r="599" spans="1:9">
      <c r="A599" s="3"/>
      <c r="B599" s="3"/>
      <c r="C599" s="3"/>
      <c r="D599" s="45"/>
      <c r="E599" s="45"/>
      <c r="F599" s="45"/>
      <c r="G599" s="45"/>
      <c r="H599" s="45"/>
      <c r="I599" s="45"/>
    </row>
    <row r="600" spans="1:9">
      <c r="A600" s="3"/>
      <c r="B600" s="3"/>
      <c r="C600" s="3"/>
      <c r="D600" s="45"/>
      <c r="E600" s="45"/>
      <c r="F600" s="45"/>
      <c r="G600" s="45"/>
      <c r="H600" s="45"/>
      <c r="I600" s="45"/>
    </row>
    <row r="601" spans="1:9" ht="15" customHeight="1">
      <c r="A601" s="3"/>
      <c r="B601" s="3"/>
      <c r="C601" s="3"/>
      <c r="D601" s="45"/>
      <c r="E601" s="45"/>
      <c r="F601" s="45"/>
      <c r="G601" s="45"/>
      <c r="H601" s="45"/>
      <c r="I601" s="45"/>
    </row>
    <row r="602" spans="1:9">
      <c r="A602" s="3"/>
      <c r="B602" s="3"/>
      <c r="C602" s="3"/>
      <c r="D602" s="45"/>
      <c r="E602" s="45"/>
      <c r="F602" s="45"/>
      <c r="G602" s="45"/>
      <c r="H602" s="45"/>
      <c r="I602" s="45"/>
    </row>
    <row r="603" spans="1:9" ht="15" customHeight="1">
      <c r="A603" s="1"/>
      <c r="B603" s="1"/>
      <c r="C603" s="3" t="s">
        <v>395</v>
      </c>
      <c r="D603" s="45" t="s">
        <v>396</v>
      </c>
      <c r="E603" s="45"/>
      <c r="F603" s="45"/>
      <c r="G603" s="45"/>
      <c r="H603" s="45"/>
      <c r="I603" s="45"/>
    </row>
    <row r="604" spans="1:9">
      <c r="A604" s="1"/>
      <c r="B604" s="1"/>
      <c r="C604" s="1"/>
      <c r="D604" s="45"/>
      <c r="E604" s="45"/>
      <c r="F604" s="45"/>
      <c r="G604" s="45"/>
      <c r="H604" s="45"/>
      <c r="I604" s="45"/>
    </row>
    <row r="605" spans="1:9">
      <c r="A605" s="1"/>
      <c r="B605" s="1"/>
      <c r="C605" s="3" t="s">
        <v>397</v>
      </c>
      <c r="D605" s="45" t="s">
        <v>398</v>
      </c>
      <c r="E605" s="45"/>
      <c r="F605" s="45"/>
      <c r="G605" s="45"/>
      <c r="H605" s="45"/>
      <c r="I605" s="45"/>
    </row>
    <row r="606" spans="1:9">
      <c r="A606" s="1"/>
      <c r="B606" s="1"/>
      <c r="C606" s="1"/>
      <c r="D606" s="45"/>
      <c r="E606" s="45"/>
      <c r="F606" s="45"/>
      <c r="G606" s="45"/>
      <c r="H606" s="45"/>
      <c r="I606" s="45"/>
    </row>
    <row r="607" spans="1:9">
      <c r="A607" s="1"/>
      <c r="B607" s="1"/>
      <c r="C607" s="1"/>
      <c r="D607" s="45"/>
      <c r="E607" s="45"/>
      <c r="F607" s="45"/>
      <c r="G607" s="45"/>
      <c r="H607" s="45"/>
      <c r="I607" s="45"/>
    </row>
    <row r="608" spans="1:9">
      <c r="A608" s="1"/>
      <c r="B608" s="1"/>
      <c r="C608" s="1"/>
      <c r="D608" s="45"/>
      <c r="E608" s="45"/>
      <c r="F608" s="45"/>
      <c r="G608" s="45"/>
      <c r="H608" s="45"/>
      <c r="I608" s="45"/>
    </row>
    <row r="609" spans="1:9">
      <c r="A609" s="1"/>
      <c r="B609" s="1"/>
      <c r="C609" s="1"/>
      <c r="D609" s="1"/>
      <c r="E609" s="1"/>
      <c r="F609" s="1"/>
      <c r="G609" s="1"/>
      <c r="H609" s="1"/>
      <c r="I609" s="1"/>
    </row>
    <row r="610" spans="1:9">
      <c r="A610" s="1"/>
      <c r="B610" s="1"/>
      <c r="C610" s="1"/>
      <c r="D610" s="1"/>
      <c r="E610" s="1"/>
      <c r="F610" s="1"/>
      <c r="G610" s="1"/>
      <c r="H610" s="1"/>
      <c r="I610" s="1"/>
    </row>
    <row r="611" spans="1:9">
      <c r="A611" s="1"/>
      <c r="B611" s="1"/>
      <c r="C611" s="1"/>
      <c r="D611" s="1"/>
      <c r="E611" s="1"/>
      <c r="F611" s="1"/>
      <c r="G611" s="1"/>
      <c r="H611" s="1"/>
      <c r="I611" s="1"/>
    </row>
    <row r="612" spans="1:9">
      <c r="A612" s="1"/>
      <c r="B612" s="1"/>
      <c r="C612" s="1"/>
      <c r="D612" s="1"/>
      <c r="E612" s="1"/>
      <c r="F612" s="1"/>
      <c r="G612" s="1"/>
      <c r="H612" s="1"/>
      <c r="I612" s="1"/>
    </row>
    <row r="613" spans="1:9">
      <c r="A613" s="1"/>
      <c r="B613" s="1"/>
      <c r="C613" s="1"/>
      <c r="D613" s="1"/>
      <c r="E613" s="1"/>
      <c r="F613" s="1"/>
      <c r="G613" s="1"/>
      <c r="H613" s="1"/>
      <c r="I613" s="1"/>
    </row>
    <row r="614" spans="1:9">
      <c r="A614" s="1"/>
      <c r="B614" s="1"/>
      <c r="C614" s="1"/>
      <c r="D614" s="1"/>
      <c r="E614" s="1"/>
      <c r="F614" s="1"/>
      <c r="G614" s="1"/>
      <c r="H614" s="1"/>
      <c r="I614" s="1"/>
    </row>
    <row r="615" spans="1:9">
      <c r="A615" s="1"/>
      <c r="B615" s="1"/>
      <c r="C615" s="1"/>
      <c r="D615" s="1"/>
      <c r="E615" s="1"/>
      <c r="F615" s="1"/>
      <c r="G615" s="1"/>
      <c r="H615" s="1"/>
      <c r="I615" s="1"/>
    </row>
    <row r="616" spans="1:9">
      <c r="A616" s="1"/>
      <c r="B616" s="1"/>
      <c r="C616" s="1"/>
      <c r="D616" s="1"/>
      <c r="E616" s="1"/>
      <c r="F616" s="1"/>
      <c r="G616" s="1"/>
      <c r="H616" s="1"/>
      <c r="I616" s="1"/>
    </row>
    <row r="617" spans="1:9">
      <c r="A617" s="1"/>
      <c r="B617" s="1"/>
      <c r="C617" s="1"/>
      <c r="D617" s="1"/>
      <c r="E617" s="1"/>
      <c r="F617" s="1"/>
      <c r="G617" s="1"/>
      <c r="H617" s="1"/>
      <c r="I617" s="1"/>
    </row>
    <row r="618" spans="1:9">
      <c r="A618" s="1"/>
      <c r="B618" s="1"/>
      <c r="C618" s="1"/>
      <c r="D618" s="1"/>
      <c r="E618" s="1"/>
      <c r="F618" s="1"/>
      <c r="G618" s="1"/>
      <c r="H618" s="1"/>
      <c r="I618" s="1"/>
    </row>
    <row r="619" spans="1:9">
      <c r="A619" s="1"/>
      <c r="B619" s="1"/>
      <c r="C619" s="1"/>
      <c r="D619" s="1"/>
      <c r="E619" s="1"/>
      <c r="F619" s="1"/>
      <c r="G619" s="1"/>
      <c r="H619" s="1"/>
      <c r="I619" s="1"/>
    </row>
    <row r="620" spans="1:9">
      <c r="A620" s="1"/>
      <c r="B620" s="1"/>
      <c r="C620" s="1"/>
      <c r="D620" s="1"/>
      <c r="E620" s="1"/>
      <c r="F620" s="1"/>
      <c r="G620" s="1"/>
      <c r="H620" s="1"/>
      <c r="I620" s="1"/>
    </row>
    <row r="621" spans="1:9">
      <c r="A621" s="1"/>
      <c r="B621" s="1"/>
      <c r="C621" s="1"/>
      <c r="D621" s="1"/>
      <c r="E621" s="1"/>
      <c r="F621" s="1"/>
      <c r="G621" s="1"/>
      <c r="H621" s="1"/>
      <c r="I621" s="1"/>
    </row>
    <row r="622" spans="1:9">
      <c r="A622" s="1"/>
      <c r="B622" s="1"/>
      <c r="C622" s="1"/>
      <c r="D622" s="1"/>
      <c r="E622" s="1"/>
      <c r="F622" s="1"/>
      <c r="G622" s="1"/>
      <c r="H622" s="1"/>
      <c r="I622" s="1"/>
    </row>
    <row r="623" spans="1:9">
      <c r="A623" s="1"/>
      <c r="B623" s="1"/>
      <c r="C623" s="1"/>
      <c r="D623" s="1"/>
      <c r="E623" s="1"/>
      <c r="F623" s="1"/>
      <c r="G623" s="1"/>
      <c r="H623" s="1"/>
      <c r="I623" s="1"/>
    </row>
    <row r="624" spans="1:9">
      <c r="A624" s="1"/>
      <c r="B624" s="1"/>
      <c r="C624" s="1"/>
      <c r="D624" s="1"/>
      <c r="E624" s="1"/>
      <c r="F624" s="1"/>
      <c r="G624" s="1"/>
      <c r="H624" s="1"/>
      <c r="I624" s="1"/>
    </row>
    <row r="625" spans="1:9">
      <c r="A625" s="1"/>
      <c r="B625" s="1"/>
      <c r="C625" s="1"/>
      <c r="D625" s="1"/>
      <c r="E625" s="1"/>
      <c r="F625" s="1"/>
      <c r="G625" s="1"/>
      <c r="H625" s="1"/>
      <c r="I625" s="1"/>
    </row>
    <row r="626" spans="1:9">
      <c r="A626" s="1"/>
      <c r="B626" s="1"/>
      <c r="C626" s="1"/>
      <c r="D626" s="1"/>
      <c r="E626" s="1"/>
      <c r="F626" s="1"/>
      <c r="G626" s="1"/>
      <c r="H626" s="1"/>
      <c r="I626" s="1"/>
    </row>
    <row r="627" spans="1:9">
      <c r="A627" s="1"/>
      <c r="B627" s="1"/>
      <c r="C627" s="1"/>
      <c r="D627" s="1"/>
      <c r="E627" s="1"/>
      <c r="F627" s="1"/>
      <c r="G627" s="1"/>
      <c r="H627" s="1"/>
      <c r="I627" s="1"/>
    </row>
    <row r="628" spans="1:9">
      <c r="A628" s="1"/>
      <c r="B628" s="1"/>
      <c r="C628" s="1"/>
      <c r="D628" s="1"/>
      <c r="E628" s="1"/>
      <c r="F628" s="1"/>
      <c r="G628" s="1"/>
      <c r="H628" s="1"/>
      <c r="I628" s="1"/>
    </row>
    <row r="629" spans="1:9">
      <c r="A629" s="1"/>
      <c r="B629" s="1"/>
      <c r="C629" s="1"/>
      <c r="D629" s="1"/>
      <c r="E629" s="1"/>
      <c r="F629" s="1"/>
      <c r="G629" s="1"/>
      <c r="H629" s="1"/>
      <c r="I629" s="1"/>
    </row>
    <row r="630" spans="1:9">
      <c r="A630" s="1"/>
      <c r="B630" s="1"/>
      <c r="C630" s="1"/>
      <c r="D630" s="1"/>
      <c r="E630" s="1"/>
      <c r="F630" s="1"/>
      <c r="G630" s="1"/>
      <c r="H630" s="1"/>
      <c r="I630" s="1"/>
    </row>
    <row r="631" spans="1:9" ht="15" customHeight="1">
      <c r="A631" s="1"/>
      <c r="B631" s="1"/>
      <c r="C631" s="1"/>
      <c r="D631" s="1"/>
      <c r="E631" s="1"/>
      <c r="F631" s="1"/>
      <c r="G631" s="1"/>
      <c r="H631" s="1"/>
      <c r="I631" s="1"/>
    </row>
    <row r="632" spans="1:9">
      <c r="A632" s="1"/>
      <c r="B632" s="1"/>
      <c r="C632" s="1"/>
      <c r="D632" s="1"/>
      <c r="E632" s="1"/>
      <c r="F632" s="1"/>
      <c r="G632" s="1"/>
      <c r="H632" s="1"/>
      <c r="I632" s="1"/>
    </row>
    <row r="633" spans="1:9">
      <c r="A633" s="28" t="s">
        <v>399</v>
      </c>
      <c r="B633" s="29" t="s">
        <v>134</v>
      </c>
      <c r="C633" s="1"/>
      <c r="D633" s="1"/>
      <c r="E633" s="1"/>
      <c r="F633" s="1"/>
      <c r="G633" s="1"/>
      <c r="H633" s="1"/>
      <c r="I633" s="1"/>
    </row>
    <row r="634" spans="1:9">
      <c r="A634" s="1"/>
      <c r="B634" s="1" t="s">
        <v>400</v>
      </c>
      <c r="C634" s="1"/>
      <c r="D634" s="1"/>
      <c r="E634" s="1"/>
      <c r="F634" s="1"/>
      <c r="G634" s="1"/>
      <c r="H634" s="1"/>
      <c r="I634" s="1"/>
    </row>
    <row r="635" spans="1:9">
      <c r="A635" s="1"/>
      <c r="B635" s="2" t="s">
        <v>35</v>
      </c>
      <c r="C635" s="1" t="s">
        <v>401</v>
      </c>
      <c r="D635" s="1"/>
      <c r="E635" s="1"/>
      <c r="F635" s="1"/>
      <c r="G635" s="1"/>
      <c r="H635" s="1"/>
      <c r="I635" s="1"/>
    </row>
    <row r="636" spans="1:9">
      <c r="A636" s="1"/>
      <c r="B636" s="1"/>
      <c r="C636" s="1" t="s">
        <v>402</v>
      </c>
      <c r="D636" s="1"/>
      <c r="E636" s="1"/>
      <c r="F636" s="1"/>
      <c r="G636" s="1"/>
      <c r="H636" s="1"/>
      <c r="I636" s="1"/>
    </row>
    <row r="637" spans="1:9" ht="15" customHeight="1">
      <c r="A637" s="1"/>
      <c r="B637" s="1"/>
      <c r="C637" s="2" t="s">
        <v>33</v>
      </c>
      <c r="D637" s="1" t="s">
        <v>403</v>
      </c>
      <c r="E637" s="1"/>
      <c r="F637" s="1"/>
      <c r="G637" s="1"/>
      <c r="H637" s="1"/>
      <c r="I637" s="1"/>
    </row>
    <row r="638" spans="1:9">
      <c r="A638" s="1"/>
      <c r="B638" s="1"/>
      <c r="C638" s="2" t="s">
        <v>9</v>
      </c>
      <c r="D638" s="1" t="s">
        <v>404</v>
      </c>
      <c r="E638" s="1"/>
      <c r="F638" s="1"/>
      <c r="G638" s="1"/>
      <c r="H638" s="1"/>
      <c r="I638" s="1"/>
    </row>
    <row r="639" spans="1:9">
      <c r="A639" s="1"/>
      <c r="B639" s="1"/>
      <c r="C639" s="3" t="s">
        <v>363</v>
      </c>
      <c r="D639" s="1" t="s">
        <v>405</v>
      </c>
      <c r="E639" s="1"/>
      <c r="F639" s="1"/>
      <c r="G639" s="1"/>
      <c r="H639" s="1"/>
      <c r="I639" s="1"/>
    </row>
    <row r="640" spans="1:9" ht="15" customHeight="1">
      <c r="A640" s="1"/>
      <c r="B640" s="2" t="s">
        <v>406</v>
      </c>
      <c r="C640" s="1" t="s">
        <v>407</v>
      </c>
      <c r="D640" s="1"/>
      <c r="E640" s="1"/>
      <c r="F640" s="1"/>
      <c r="G640" s="1"/>
      <c r="H640" s="1"/>
      <c r="I640" s="1"/>
    </row>
    <row r="641" spans="1:9">
      <c r="A641" s="1"/>
      <c r="B641" s="1"/>
      <c r="C641" s="1" t="s">
        <v>408</v>
      </c>
      <c r="D641" s="1"/>
      <c r="E641" s="1"/>
      <c r="F641" s="1"/>
      <c r="G641" s="1"/>
      <c r="H641" s="1"/>
      <c r="I641" s="1"/>
    </row>
    <row r="642" spans="1:9">
      <c r="A642" s="1"/>
      <c r="B642" s="1"/>
      <c r="C642" s="2" t="s">
        <v>33</v>
      </c>
      <c r="D642" s="1" t="s">
        <v>409</v>
      </c>
      <c r="E642" s="1"/>
      <c r="F642" s="1"/>
      <c r="G642" s="1"/>
      <c r="H642" s="1"/>
      <c r="I642" s="1"/>
    </row>
    <row r="643" spans="1:9">
      <c r="A643" s="1"/>
      <c r="B643" s="1"/>
      <c r="C643" s="3" t="s">
        <v>363</v>
      </c>
      <c r="D643" s="1" t="s">
        <v>410</v>
      </c>
      <c r="E643" s="1"/>
      <c r="F643" s="1"/>
      <c r="G643" s="1"/>
      <c r="H643" s="1"/>
      <c r="I643" s="1"/>
    </row>
    <row r="644" spans="1:9">
      <c r="A644" s="1"/>
      <c r="B644" s="1"/>
      <c r="C644" s="2" t="s">
        <v>9</v>
      </c>
      <c r="D644" s="1" t="s">
        <v>411</v>
      </c>
      <c r="E644" s="1"/>
      <c r="F644" s="1"/>
      <c r="G644" s="1"/>
      <c r="H644" s="1"/>
      <c r="I644" s="1"/>
    </row>
    <row r="645" spans="1:9">
      <c r="A645" s="1"/>
      <c r="B645" s="2" t="s">
        <v>412</v>
      </c>
      <c r="C645" s="1" t="s">
        <v>413</v>
      </c>
      <c r="D645" s="1"/>
      <c r="E645" s="1"/>
      <c r="F645" s="1"/>
      <c r="G645" s="1"/>
      <c r="H645" s="1"/>
      <c r="I645" s="1"/>
    </row>
    <row r="646" spans="1:9">
      <c r="A646" s="1"/>
      <c r="B646" s="1"/>
      <c r="C646" s="1" t="s">
        <v>414</v>
      </c>
      <c r="D646" s="1"/>
      <c r="E646" s="1"/>
      <c r="F646" s="1"/>
      <c r="G646" s="1"/>
      <c r="H646" s="1"/>
      <c r="I646" s="1"/>
    </row>
    <row r="647" spans="1:9">
      <c r="A647" s="1"/>
      <c r="B647" s="1"/>
      <c r="C647" s="2" t="s">
        <v>33</v>
      </c>
      <c r="D647" s="1" t="s">
        <v>415</v>
      </c>
      <c r="E647" s="1"/>
      <c r="F647" s="1"/>
      <c r="G647" s="1"/>
      <c r="H647" s="1"/>
      <c r="I647" s="1"/>
    </row>
    <row r="648" spans="1:9">
      <c r="A648" s="1"/>
      <c r="B648" s="1"/>
      <c r="C648" s="3" t="s">
        <v>416</v>
      </c>
      <c r="D648" s="40" t="s">
        <v>417</v>
      </c>
      <c r="E648" s="40"/>
      <c r="F648" s="40"/>
      <c r="G648" s="40"/>
      <c r="H648" s="40"/>
      <c r="I648" s="40"/>
    </row>
    <row r="649" spans="1:9">
      <c r="A649" s="1"/>
      <c r="B649" s="1"/>
      <c r="C649" s="2" t="s">
        <v>9</v>
      </c>
      <c r="D649" s="1" t="s">
        <v>418</v>
      </c>
      <c r="E649" s="1"/>
      <c r="F649" s="1"/>
      <c r="G649" s="1"/>
      <c r="H649" s="1"/>
      <c r="I649" s="1"/>
    </row>
    <row r="650" spans="1:9">
      <c r="A650" s="1"/>
      <c r="B650" s="1"/>
      <c r="C650" s="2" t="s">
        <v>34</v>
      </c>
      <c r="D650" s="1" t="s">
        <v>419</v>
      </c>
      <c r="E650" s="1"/>
      <c r="F650" s="1"/>
      <c r="G650" s="1"/>
      <c r="H650" s="1"/>
      <c r="I650" s="1"/>
    </row>
    <row r="651" spans="1:9">
      <c r="A651" s="1"/>
      <c r="B651" s="1"/>
      <c r="C651"/>
      <c r="D651"/>
      <c r="E651"/>
      <c r="F651"/>
      <c r="G651"/>
      <c r="H651"/>
      <c r="I651"/>
    </row>
  </sheetData>
  <mergeCells count="210">
    <mergeCell ref="D552:I553"/>
    <mergeCell ref="D554:I555"/>
    <mergeCell ref="D556:I557"/>
    <mergeCell ref="D590:I592"/>
    <mergeCell ref="D593:I595"/>
    <mergeCell ref="D596:I597"/>
    <mergeCell ref="D598:I602"/>
    <mergeCell ref="D603:I604"/>
    <mergeCell ref="D605:I608"/>
    <mergeCell ref="D561:I564"/>
    <mergeCell ref="D565:I566"/>
    <mergeCell ref="D567:I568"/>
    <mergeCell ref="C571:I572"/>
    <mergeCell ref="D575:I578"/>
    <mergeCell ref="D579:I580"/>
    <mergeCell ref="D581:I582"/>
    <mergeCell ref="D584:I586"/>
    <mergeCell ref="D587:I589"/>
    <mergeCell ref="D486:I487"/>
    <mergeCell ref="C492:I493"/>
    <mergeCell ref="D513:I523"/>
    <mergeCell ref="D524:I526"/>
    <mergeCell ref="D527:I529"/>
    <mergeCell ref="D531:I533"/>
    <mergeCell ref="D535:I537"/>
    <mergeCell ref="D538:I539"/>
    <mergeCell ref="D540:I542"/>
    <mergeCell ref="C431:I433"/>
    <mergeCell ref="C439:I440"/>
    <mergeCell ref="B338:C338"/>
    <mergeCell ref="D338:E338"/>
    <mergeCell ref="F338:G338"/>
    <mergeCell ref="H338:I338"/>
    <mergeCell ref="C455:I456"/>
    <mergeCell ref="A402:I403"/>
    <mergeCell ref="A404:I404"/>
    <mergeCell ref="B407:I410"/>
    <mergeCell ref="B413:I415"/>
    <mergeCell ref="B418:I419"/>
    <mergeCell ref="C380:I381"/>
    <mergeCell ref="A306:C306"/>
    <mergeCell ref="D306:E306"/>
    <mergeCell ref="F306:I306"/>
    <mergeCell ref="A307:C307"/>
    <mergeCell ref="D307:E307"/>
    <mergeCell ref="F307:I307"/>
    <mergeCell ref="A308:C308"/>
    <mergeCell ref="D308:E308"/>
    <mergeCell ref="B334:C334"/>
    <mergeCell ref="D334:E334"/>
    <mergeCell ref="F334:G334"/>
    <mergeCell ref="H334:I334"/>
    <mergeCell ref="F308:I308"/>
    <mergeCell ref="A309:C309"/>
    <mergeCell ref="D309:E309"/>
    <mergeCell ref="F309:I309"/>
    <mergeCell ref="A310:C310"/>
    <mergeCell ref="D310:E310"/>
    <mergeCell ref="F310:I310"/>
    <mergeCell ref="A311:C311"/>
    <mergeCell ref="D311:E311"/>
    <mergeCell ref="F311:I311"/>
    <mergeCell ref="C313:I314"/>
    <mergeCell ref="C321:I322"/>
    <mergeCell ref="B266:C266"/>
    <mergeCell ref="D266:F266"/>
    <mergeCell ref="G266:H266"/>
    <mergeCell ref="C269:I270"/>
    <mergeCell ref="A304:C304"/>
    <mergeCell ref="D304:E304"/>
    <mergeCell ref="F304:I304"/>
    <mergeCell ref="A305:C305"/>
    <mergeCell ref="D305:E305"/>
    <mergeCell ref="F305:I305"/>
    <mergeCell ref="C273:I274"/>
    <mergeCell ref="C275:I277"/>
    <mergeCell ref="C282:I284"/>
    <mergeCell ref="D288:I291"/>
    <mergeCell ref="A302:C302"/>
    <mergeCell ref="D302:E302"/>
    <mergeCell ref="F302:I302"/>
    <mergeCell ref="A303:C303"/>
    <mergeCell ref="D303:E303"/>
    <mergeCell ref="F303:I303"/>
    <mergeCell ref="D257:I259"/>
    <mergeCell ref="B262:C263"/>
    <mergeCell ref="D262:F263"/>
    <mergeCell ref="G262:H263"/>
    <mergeCell ref="B264:C264"/>
    <mergeCell ref="D264:F264"/>
    <mergeCell ref="G264:H264"/>
    <mergeCell ref="B265:C265"/>
    <mergeCell ref="D265:F265"/>
    <mergeCell ref="G265:H265"/>
    <mergeCell ref="C136:E136"/>
    <mergeCell ref="F159:I159"/>
    <mergeCell ref="B159:E159"/>
    <mergeCell ref="F154:I154"/>
    <mergeCell ref="B152:E153"/>
    <mergeCell ref="F152:I153"/>
    <mergeCell ref="B154:E154"/>
    <mergeCell ref="B155:E155"/>
    <mergeCell ref="F155:I155"/>
    <mergeCell ref="B156:E156"/>
    <mergeCell ref="B157:E157"/>
    <mergeCell ref="B158:E158"/>
    <mergeCell ref="F156:I156"/>
    <mergeCell ref="F157:I157"/>
    <mergeCell ref="F158:I158"/>
    <mergeCell ref="B144:I145"/>
    <mergeCell ref="B146:I147"/>
    <mergeCell ref="F137:I137"/>
    <mergeCell ref="F138:I138"/>
    <mergeCell ref="C137:E137"/>
    <mergeCell ref="C138:E138"/>
    <mergeCell ref="B151:C151"/>
    <mergeCell ref="D151:I151"/>
    <mergeCell ref="B45:H46"/>
    <mergeCell ref="A1:B1"/>
    <mergeCell ref="C1:D1"/>
    <mergeCell ref="A2:B2"/>
    <mergeCell ref="C2:D2"/>
    <mergeCell ref="A3:B3"/>
    <mergeCell ref="C3:D3"/>
    <mergeCell ref="B25:D26"/>
    <mergeCell ref="E25:H26"/>
    <mergeCell ref="A18:I21"/>
    <mergeCell ref="B59:E60"/>
    <mergeCell ref="B61:E62"/>
    <mergeCell ref="B63:E64"/>
    <mergeCell ref="B65:E66"/>
    <mergeCell ref="A63:A64"/>
    <mergeCell ref="I63:I64"/>
    <mergeCell ref="A54:I55"/>
    <mergeCell ref="A57:A58"/>
    <mergeCell ref="B57:E58"/>
    <mergeCell ref="A59:A60"/>
    <mergeCell ref="A61:A62"/>
    <mergeCell ref="I57:I58"/>
    <mergeCell ref="I59:I60"/>
    <mergeCell ref="I61:I62"/>
    <mergeCell ref="F57:H58"/>
    <mergeCell ref="F59:H60"/>
    <mergeCell ref="F61:H62"/>
    <mergeCell ref="A201:I201"/>
    <mergeCell ref="A202:I202"/>
    <mergeCell ref="C210:I212"/>
    <mergeCell ref="B213:D213"/>
    <mergeCell ref="C216:I217"/>
    <mergeCell ref="B238:D238"/>
    <mergeCell ref="D253:I254"/>
    <mergeCell ref="F63:H64"/>
    <mergeCell ref="F65:H66"/>
    <mergeCell ref="I65:I66"/>
    <mergeCell ref="A65:A66"/>
    <mergeCell ref="F135:I135"/>
    <mergeCell ref="F136:I136"/>
    <mergeCell ref="A101:I102"/>
    <mergeCell ref="A103:I103"/>
    <mergeCell ref="B106:I107"/>
    <mergeCell ref="C126:I127"/>
    <mergeCell ref="B114:C114"/>
    <mergeCell ref="C117:I118"/>
    <mergeCell ref="C129:I130"/>
    <mergeCell ref="D132:I132"/>
    <mergeCell ref="C134:E134"/>
    <mergeCell ref="F134:I134"/>
    <mergeCell ref="C135:E135"/>
    <mergeCell ref="C324:I325"/>
    <mergeCell ref="C326:I328"/>
    <mergeCell ref="C329:I330"/>
    <mergeCell ref="B333:C333"/>
    <mergeCell ref="D333:E333"/>
    <mergeCell ref="F333:G333"/>
    <mergeCell ref="H333:I333"/>
    <mergeCell ref="H336:I336"/>
    <mergeCell ref="B337:C337"/>
    <mergeCell ref="D337:E337"/>
    <mergeCell ref="F337:G337"/>
    <mergeCell ref="H337:I337"/>
    <mergeCell ref="B335:C335"/>
    <mergeCell ref="D335:E335"/>
    <mergeCell ref="F335:G335"/>
    <mergeCell ref="H335:I335"/>
    <mergeCell ref="B336:C336"/>
    <mergeCell ref="D336:E336"/>
    <mergeCell ref="F336:G336"/>
    <mergeCell ref="D648:I648"/>
    <mergeCell ref="C165:I166"/>
    <mergeCell ref="C167:I168"/>
    <mergeCell ref="B342:C342"/>
    <mergeCell ref="D342:E342"/>
    <mergeCell ref="F342:G342"/>
    <mergeCell ref="H342:I342"/>
    <mergeCell ref="C345:I346"/>
    <mergeCell ref="C347:I349"/>
    <mergeCell ref="C435:I437"/>
    <mergeCell ref="C476:I478"/>
    <mergeCell ref="B339:C339"/>
    <mergeCell ref="D339:E339"/>
    <mergeCell ref="F339:G339"/>
    <mergeCell ref="H339:I339"/>
    <mergeCell ref="B340:C340"/>
    <mergeCell ref="D340:E340"/>
    <mergeCell ref="F340:G340"/>
    <mergeCell ref="H340:I340"/>
    <mergeCell ref="B341:C341"/>
    <mergeCell ref="D341:E341"/>
    <mergeCell ref="F341:G341"/>
    <mergeCell ref="H341:I341"/>
  </mergeCells>
  <phoneticPr fontId="2"/>
  <conditionalFormatting sqref="A171:I183">
    <cfRule type="duplicateValues" dxfId="0" priority="1"/>
  </conditionalFormatting>
  <printOptions horizontalCentered="1"/>
  <pageMargins left="0.70866141732283505" right="0.70866141732283505" top="0.74803149606299202" bottom="0.74803149606299202" header="0.31496062992126" footer="0.31496062992126"/>
  <pageSetup paperSize="9" orientation="portrait" horizontalDpi="4294967295" verticalDpi="4294967295" r:id="rId1"/>
  <headerFooter differentFirst="1">
    <oddFooter>&amp;C&amp;P</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S52"/>
  <sheetViews>
    <sheetView topLeftCell="A33" zoomScaleNormal="100" workbookViewId="0">
      <selection activeCell="AW24" sqref="AW24"/>
    </sheetView>
  </sheetViews>
  <sheetFormatPr defaultColWidth="9" defaultRowHeight="15"/>
  <cols>
    <col min="1" max="1" width="2.140625" style="26" customWidth="1"/>
    <col min="2" max="45" width="2.140625" style="6" customWidth="1"/>
    <col min="46" max="16384" width="9" style="6"/>
  </cols>
  <sheetData>
    <row r="1" spans="1:45" s="27" customFormat="1" ht="15" customHeight="1">
      <c r="A1" s="69" t="s">
        <v>468</v>
      </c>
      <c r="B1" s="70"/>
      <c r="C1" s="70"/>
      <c r="D1" s="70"/>
      <c r="E1" s="117" t="s">
        <v>467</v>
      </c>
      <c r="F1" s="117"/>
      <c r="G1" s="117"/>
      <c r="H1" s="119" t="s">
        <v>466</v>
      </c>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1"/>
      <c r="AK1" s="70"/>
      <c r="AL1" s="70"/>
      <c r="AM1" s="70"/>
      <c r="AN1" s="70"/>
      <c r="AO1" s="70"/>
      <c r="AP1" s="70"/>
      <c r="AQ1" s="70"/>
      <c r="AR1" s="70"/>
      <c r="AS1" s="71"/>
    </row>
    <row r="2" spans="1:45" ht="10.5" customHeight="1">
      <c r="A2" s="42"/>
      <c r="B2" s="68"/>
      <c r="C2" s="68"/>
      <c r="D2" s="68"/>
      <c r="E2" s="118" t="s">
        <v>465</v>
      </c>
      <c r="F2" s="118"/>
      <c r="G2" s="118"/>
      <c r="H2" s="122"/>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4"/>
      <c r="AK2" s="68"/>
      <c r="AL2" s="68"/>
      <c r="AM2" s="68"/>
      <c r="AN2" s="68"/>
      <c r="AO2" s="68"/>
      <c r="AP2" s="68"/>
      <c r="AQ2" s="68"/>
      <c r="AR2" s="68"/>
      <c r="AS2" s="43"/>
    </row>
    <row r="3" spans="1:45" ht="15" customHeight="1">
      <c r="A3" s="128" t="s">
        <v>464</v>
      </c>
      <c r="B3" s="129"/>
      <c r="C3" s="129"/>
      <c r="D3" s="129"/>
      <c r="E3" s="129"/>
      <c r="F3" s="129"/>
      <c r="G3" s="129"/>
      <c r="H3" s="70"/>
      <c r="I3" s="70"/>
      <c r="J3" s="70"/>
      <c r="K3" s="70"/>
      <c r="L3" s="70"/>
      <c r="M3" s="70"/>
      <c r="N3" s="70"/>
      <c r="O3" s="70"/>
      <c r="P3" s="70"/>
      <c r="Q3" s="70"/>
      <c r="R3" s="70"/>
      <c r="S3" s="70"/>
      <c r="T3" s="70"/>
      <c r="U3" s="70"/>
      <c r="V3" s="70"/>
      <c r="W3" s="70"/>
      <c r="X3" s="70"/>
      <c r="Y3" s="70"/>
      <c r="Z3" s="70"/>
      <c r="AA3" s="70"/>
      <c r="AB3" s="57" t="s">
        <v>463</v>
      </c>
      <c r="AC3" s="57"/>
      <c r="AD3" s="57"/>
      <c r="AE3" s="57"/>
      <c r="AF3" s="57"/>
      <c r="AG3" s="57"/>
      <c r="AH3" s="131">
        <v>42795</v>
      </c>
      <c r="AI3" s="131"/>
      <c r="AJ3" s="131"/>
      <c r="AK3" s="131"/>
      <c r="AL3" s="131"/>
      <c r="AM3" s="131"/>
      <c r="AN3" s="131"/>
      <c r="AO3" s="131"/>
      <c r="AP3" s="131"/>
      <c r="AQ3" s="131"/>
      <c r="AR3" s="131"/>
      <c r="AS3" s="132"/>
    </row>
    <row r="4" spans="1:45" ht="4.5" customHeight="1">
      <c r="A4" s="128"/>
      <c r="B4" s="129"/>
      <c r="C4" s="129"/>
      <c r="D4" s="129"/>
      <c r="E4" s="129"/>
      <c r="F4" s="129"/>
      <c r="G4" s="129"/>
      <c r="H4" s="130"/>
      <c r="I4" s="130"/>
      <c r="J4" s="130"/>
      <c r="K4" s="130"/>
      <c r="L4" s="130"/>
      <c r="M4" s="130"/>
      <c r="N4" s="130"/>
      <c r="O4" s="130"/>
      <c r="P4" s="130"/>
      <c r="Q4" s="130"/>
      <c r="R4" s="130"/>
      <c r="S4" s="130"/>
      <c r="T4" s="130"/>
      <c r="U4" s="130"/>
      <c r="V4" s="130"/>
      <c r="W4" s="130"/>
      <c r="X4" s="130"/>
      <c r="Y4" s="130"/>
      <c r="Z4" s="130"/>
      <c r="AA4" s="130"/>
      <c r="AB4" s="57"/>
      <c r="AC4" s="57"/>
      <c r="AD4" s="57"/>
      <c r="AE4" s="57"/>
      <c r="AF4" s="57"/>
      <c r="AG4" s="57"/>
      <c r="AH4" s="133"/>
      <c r="AI4" s="133"/>
      <c r="AJ4" s="133"/>
      <c r="AK4" s="133"/>
      <c r="AL4" s="133"/>
      <c r="AM4" s="133"/>
      <c r="AN4" s="133"/>
      <c r="AO4" s="133"/>
      <c r="AP4" s="133"/>
      <c r="AQ4" s="133"/>
      <c r="AR4" s="133"/>
      <c r="AS4" s="134"/>
    </row>
    <row r="5" spans="1:45" ht="19.5" customHeight="1">
      <c r="A5" s="47"/>
      <c r="B5" s="57"/>
      <c r="C5" s="57"/>
      <c r="D5" s="57"/>
      <c r="E5" s="57"/>
      <c r="F5" s="57"/>
      <c r="G5" s="57"/>
      <c r="H5" s="57"/>
      <c r="I5" s="57"/>
      <c r="J5" s="57"/>
      <c r="K5" s="57"/>
      <c r="L5" s="57"/>
      <c r="M5" s="57"/>
      <c r="N5" s="57"/>
      <c r="O5" s="57"/>
      <c r="P5" s="57"/>
      <c r="Q5" s="57"/>
      <c r="R5" s="57"/>
      <c r="S5" s="57"/>
      <c r="T5" s="57"/>
      <c r="U5" s="57"/>
      <c r="V5" s="57"/>
      <c r="W5" s="57"/>
      <c r="X5" s="57"/>
      <c r="Y5" s="57"/>
      <c r="Z5" s="57"/>
      <c r="AA5" s="57"/>
      <c r="AB5" s="57" t="s">
        <v>462</v>
      </c>
      <c r="AC5" s="57"/>
      <c r="AD5" s="57"/>
      <c r="AE5" s="57"/>
      <c r="AF5" s="57"/>
      <c r="AG5" s="57"/>
      <c r="AH5" s="125" t="s">
        <v>461</v>
      </c>
      <c r="AI5" s="125"/>
      <c r="AJ5" s="125"/>
      <c r="AK5" s="125"/>
      <c r="AL5" s="125"/>
      <c r="AM5" s="125"/>
      <c r="AN5" s="125"/>
      <c r="AO5" s="125"/>
      <c r="AP5" s="125"/>
      <c r="AQ5" s="125"/>
      <c r="AR5" s="125"/>
      <c r="AS5" s="110"/>
    </row>
    <row r="6" spans="1:45" ht="1.5" customHeight="1">
      <c r="A6" s="47"/>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126"/>
      <c r="AI6" s="126"/>
      <c r="AJ6" s="126"/>
      <c r="AK6" s="126"/>
      <c r="AL6" s="126"/>
      <c r="AM6" s="126"/>
      <c r="AN6" s="126"/>
      <c r="AO6" s="126"/>
      <c r="AP6" s="126"/>
      <c r="AQ6" s="126"/>
      <c r="AR6" s="126"/>
      <c r="AS6" s="127"/>
    </row>
    <row r="7" spans="1:45" ht="15" customHeight="1">
      <c r="A7" s="96" t="s">
        <v>460</v>
      </c>
      <c r="B7" s="96"/>
      <c r="C7" s="96"/>
      <c r="D7" s="96"/>
      <c r="E7" s="96"/>
      <c r="F7" s="96"/>
      <c r="G7" s="96"/>
      <c r="H7" s="96"/>
      <c r="I7" s="96"/>
      <c r="J7" s="113" t="s">
        <v>3</v>
      </c>
      <c r="K7" s="113"/>
      <c r="L7" s="113"/>
      <c r="M7" s="113"/>
      <c r="N7" s="113"/>
      <c r="O7" s="113"/>
      <c r="P7" s="113" t="s">
        <v>0</v>
      </c>
      <c r="Q7" s="113"/>
      <c r="R7" s="113"/>
      <c r="S7" s="113"/>
      <c r="T7" s="113"/>
      <c r="U7" s="113"/>
      <c r="V7" s="96" t="s">
        <v>211</v>
      </c>
      <c r="W7" s="96"/>
      <c r="X7" s="96"/>
      <c r="Y7" s="96"/>
      <c r="Z7" s="96"/>
      <c r="AA7" s="96"/>
      <c r="AB7" s="113" t="s">
        <v>18</v>
      </c>
      <c r="AC7" s="113"/>
      <c r="AD7" s="113"/>
      <c r="AE7" s="113"/>
      <c r="AF7" s="113"/>
      <c r="AG7" s="113"/>
      <c r="AH7" s="113" t="s">
        <v>4</v>
      </c>
      <c r="AI7" s="113"/>
      <c r="AJ7" s="113"/>
      <c r="AK7" s="113"/>
      <c r="AL7" s="113"/>
      <c r="AM7" s="113"/>
      <c r="AN7" s="113"/>
      <c r="AO7" s="113"/>
      <c r="AP7" s="113"/>
      <c r="AQ7" s="113"/>
      <c r="AR7" s="113"/>
      <c r="AS7" s="113"/>
    </row>
    <row r="8" spans="1:45" ht="15" customHeight="1">
      <c r="A8" s="108" t="s">
        <v>459</v>
      </c>
      <c r="B8" s="108"/>
      <c r="C8" s="108"/>
      <c r="D8" s="108"/>
      <c r="E8" s="108"/>
      <c r="F8" s="108"/>
      <c r="G8" s="108"/>
      <c r="H8" s="108"/>
      <c r="I8" s="108"/>
      <c r="J8" s="114"/>
      <c r="K8" s="114"/>
      <c r="L8" s="114"/>
      <c r="M8" s="114"/>
      <c r="N8" s="114"/>
      <c r="O8" s="114"/>
      <c r="P8" s="114" t="s">
        <v>11</v>
      </c>
      <c r="Q8" s="114"/>
      <c r="R8" s="114"/>
      <c r="S8" s="114"/>
      <c r="T8" s="114"/>
      <c r="U8" s="114"/>
      <c r="V8" s="114" t="s">
        <v>11</v>
      </c>
      <c r="W8" s="114"/>
      <c r="X8" s="114"/>
      <c r="Y8" s="114"/>
      <c r="Z8" s="114"/>
      <c r="AA8" s="114"/>
      <c r="AB8" s="114"/>
      <c r="AC8" s="114"/>
      <c r="AD8" s="114"/>
      <c r="AE8" s="114"/>
      <c r="AF8" s="114"/>
      <c r="AG8" s="114"/>
      <c r="AH8" s="114"/>
      <c r="AI8" s="114"/>
      <c r="AJ8" s="114"/>
      <c r="AK8" s="114"/>
      <c r="AL8" s="114"/>
      <c r="AM8" s="114"/>
      <c r="AN8" s="114"/>
      <c r="AO8" s="114"/>
      <c r="AP8" s="114"/>
      <c r="AQ8" s="114"/>
      <c r="AR8" s="114"/>
      <c r="AS8" s="114"/>
    </row>
    <row r="9" spans="1:45" ht="15" customHeight="1">
      <c r="A9" s="135" t="s">
        <v>433</v>
      </c>
      <c r="B9" s="135"/>
      <c r="C9" s="135"/>
      <c r="D9" s="135"/>
      <c r="E9" s="135"/>
      <c r="F9" s="135"/>
      <c r="G9" s="135"/>
      <c r="H9" s="135"/>
      <c r="I9" s="135"/>
      <c r="J9" s="115"/>
      <c r="K9" s="115"/>
      <c r="L9" s="115"/>
      <c r="M9" s="115"/>
      <c r="N9" s="115"/>
      <c r="O9" s="115"/>
      <c r="P9" s="115" t="s">
        <v>2</v>
      </c>
      <c r="Q9" s="115"/>
      <c r="R9" s="115"/>
      <c r="S9" s="115"/>
      <c r="T9" s="115"/>
      <c r="U9" s="115"/>
      <c r="V9" s="115" t="s">
        <v>13</v>
      </c>
      <c r="W9" s="115"/>
      <c r="X9" s="115"/>
      <c r="Y9" s="115"/>
      <c r="Z9" s="115"/>
      <c r="AA9" s="115"/>
      <c r="AB9" s="115"/>
      <c r="AC9" s="115"/>
      <c r="AD9" s="115"/>
      <c r="AE9" s="115"/>
      <c r="AF9" s="115"/>
      <c r="AG9" s="115"/>
      <c r="AH9" s="115"/>
      <c r="AI9" s="115"/>
      <c r="AJ9" s="115"/>
      <c r="AK9" s="115"/>
      <c r="AL9" s="115"/>
      <c r="AM9" s="115"/>
      <c r="AN9" s="115"/>
      <c r="AO9" s="115"/>
      <c r="AP9" s="115"/>
      <c r="AQ9" s="115"/>
      <c r="AR9" s="115"/>
      <c r="AS9" s="115"/>
    </row>
    <row r="10" spans="1:45" ht="15" customHeight="1">
      <c r="A10" s="96" t="s">
        <v>448</v>
      </c>
      <c r="B10" s="96"/>
      <c r="C10" s="96"/>
      <c r="D10" s="96"/>
      <c r="E10" s="96"/>
      <c r="F10" s="96"/>
      <c r="G10" s="96"/>
      <c r="H10" s="96"/>
      <c r="I10" s="96"/>
      <c r="J10" s="95" t="s">
        <v>447</v>
      </c>
      <c r="K10" s="95"/>
      <c r="L10" s="95"/>
      <c r="M10" s="95"/>
      <c r="N10" s="95"/>
      <c r="O10" s="95"/>
      <c r="P10" s="95"/>
      <c r="Q10" s="95"/>
      <c r="R10" s="95"/>
      <c r="S10" s="95"/>
      <c r="T10" s="95"/>
      <c r="U10" s="95"/>
      <c r="V10" s="95"/>
      <c r="W10" s="95"/>
      <c r="X10" s="95"/>
      <c r="Y10" s="95"/>
      <c r="Z10" s="95"/>
      <c r="AA10" s="95"/>
      <c r="AB10" s="95" t="s">
        <v>446</v>
      </c>
      <c r="AC10" s="95"/>
      <c r="AD10" s="95"/>
      <c r="AE10" s="95"/>
      <c r="AF10" s="95"/>
      <c r="AG10" s="95"/>
      <c r="AH10" s="95"/>
      <c r="AI10" s="95"/>
      <c r="AJ10" s="95"/>
      <c r="AK10" s="95"/>
      <c r="AL10" s="95"/>
      <c r="AM10" s="95"/>
      <c r="AN10" s="95"/>
      <c r="AO10" s="95"/>
      <c r="AP10" s="95"/>
      <c r="AQ10" s="95"/>
      <c r="AR10" s="95"/>
      <c r="AS10" s="95"/>
    </row>
    <row r="11" spans="1:45" ht="15" customHeight="1">
      <c r="A11" s="108" t="s">
        <v>458</v>
      </c>
      <c r="B11" s="108"/>
      <c r="C11" s="108"/>
      <c r="D11" s="108"/>
      <c r="E11" s="108"/>
      <c r="F11" s="108"/>
      <c r="G11" s="109"/>
      <c r="H11" s="110"/>
      <c r="I11" s="108"/>
      <c r="J11" s="94" t="s">
        <v>457</v>
      </c>
      <c r="K11" s="94"/>
      <c r="L11" s="94"/>
      <c r="M11" s="94"/>
      <c r="N11" s="94"/>
      <c r="O11" s="94"/>
      <c r="P11" s="94"/>
      <c r="Q11" s="94"/>
      <c r="R11" s="94"/>
      <c r="S11" s="94" t="s">
        <v>22</v>
      </c>
      <c r="T11" s="94"/>
      <c r="U11" s="94"/>
      <c r="V11" s="94"/>
      <c r="W11" s="94"/>
      <c r="X11" s="94"/>
      <c r="Y11" s="94"/>
      <c r="Z11" s="94"/>
      <c r="AA11" s="94"/>
      <c r="AB11" s="94" t="s">
        <v>23</v>
      </c>
      <c r="AC11" s="94"/>
      <c r="AD11" s="94"/>
      <c r="AE11" s="94"/>
      <c r="AF11" s="94"/>
      <c r="AG11" s="94"/>
      <c r="AH11" s="94"/>
      <c r="AI11" s="94"/>
      <c r="AJ11" s="94"/>
      <c r="AK11" s="94" t="s">
        <v>456</v>
      </c>
      <c r="AL11" s="94"/>
      <c r="AM11" s="94"/>
      <c r="AN11" s="94"/>
      <c r="AO11" s="94"/>
      <c r="AP11" s="94"/>
      <c r="AQ11" s="94"/>
      <c r="AR11" s="94"/>
      <c r="AS11" s="94"/>
    </row>
    <row r="12" spans="1:45" ht="15" customHeight="1">
      <c r="A12" s="92" t="s">
        <v>442</v>
      </c>
      <c r="B12" s="92"/>
      <c r="C12" s="92"/>
      <c r="D12" s="92"/>
      <c r="E12" s="92"/>
      <c r="F12" s="92"/>
      <c r="G12" s="92"/>
      <c r="H12" s="92" t="s">
        <v>441</v>
      </c>
      <c r="I12" s="92"/>
      <c r="J12" s="106">
        <v>58</v>
      </c>
      <c r="K12" s="106"/>
      <c r="L12" s="106"/>
      <c r="M12" s="106"/>
      <c r="N12" s="106"/>
      <c r="O12" s="106"/>
      <c r="P12" s="106"/>
      <c r="Q12" s="106"/>
      <c r="R12" s="106"/>
      <c r="S12" s="106">
        <v>58.3</v>
      </c>
      <c r="T12" s="106"/>
      <c r="U12" s="106"/>
      <c r="V12" s="106"/>
      <c r="W12" s="106"/>
      <c r="X12" s="106"/>
      <c r="Y12" s="106"/>
      <c r="Z12" s="106"/>
      <c r="AA12" s="106"/>
      <c r="AB12" s="94">
        <v>70.5</v>
      </c>
      <c r="AC12" s="94"/>
      <c r="AD12" s="94"/>
      <c r="AE12" s="94"/>
      <c r="AF12" s="94"/>
      <c r="AG12" s="94"/>
      <c r="AH12" s="94"/>
      <c r="AI12" s="94"/>
      <c r="AJ12" s="94"/>
      <c r="AK12" s="94">
        <v>71.2</v>
      </c>
      <c r="AL12" s="94"/>
      <c r="AM12" s="94"/>
      <c r="AN12" s="94"/>
      <c r="AO12" s="94"/>
      <c r="AP12" s="94"/>
      <c r="AQ12" s="94"/>
      <c r="AR12" s="94"/>
      <c r="AS12" s="94"/>
    </row>
    <row r="13" spans="1:45" ht="16.5">
      <c r="A13" s="90" t="s">
        <v>440</v>
      </c>
      <c r="B13" s="90"/>
      <c r="C13" s="90"/>
      <c r="D13" s="90"/>
      <c r="E13" s="90"/>
      <c r="F13" s="90"/>
      <c r="G13" s="90"/>
      <c r="H13" s="90" t="s">
        <v>439</v>
      </c>
      <c r="I13" s="90"/>
      <c r="J13" s="111">
        <f>IF(COUNT(J12)=0,"",ROUND((J12/(1+$J$26/100)),1))</f>
        <v>30.1</v>
      </c>
      <c r="K13" s="111"/>
      <c r="L13" s="111"/>
      <c r="M13" s="111"/>
      <c r="N13" s="111"/>
      <c r="O13" s="111"/>
      <c r="P13" s="111"/>
      <c r="Q13" s="111"/>
      <c r="R13" s="111"/>
      <c r="S13" s="111">
        <f>IF(COUNT(S12)=0,"",ROUND((S12/(1+$J$26/100)),1))</f>
        <v>30.2</v>
      </c>
      <c r="T13" s="111"/>
      <c r="U13" s="111"/>
      <c r="V13" s="111"/>
      <c r="W13" s="111"/>
      <c r="X13" s="111"/>
      <c r="Y13" s="111"/>
      <c r="Z13" s="111"/>
      <c r="AA13" s="111"/>
      <c r="AB13" s="83">
        <f>IF(COUNT(AB12)=0,"",ROUND((AB12/(1+$AB$26/100)),1))</f>
        <v>9.4</v>
      </c>
      <c r="AC13" s="83"/>
      <c r="AD13" s="83"/>
      <c r="AE13" s="83"/>
      <c r="AF13" s="83"/>
      <c r="AG13" s="83"/>
      <c r="AH13" s="83"/>
      <c r="AI13" s="83"/>
      <c r="AJ13" s="83"/>
      <c r="AK13" s="83">
        <f>IF(COUNT(AK12)=0,"",ROUND((AK12/(1+$AB$26/100)),1))</f>
        <v>9.5</v>
      </c>
      <c r="AL13" s="83"/>
      <c r="AM13" s="83"/>
      <c r="AN13" s="83"/>
      <c r="AO13" s="83"/>
      <c r="AP13" s="83"/>
      <c r="AQ13" s="83"/>
      <c r="AR13" s="83"/>
      <c r="AS13" s="83"/>
    </row>
    <row r="14" spans="1:45" ht="16.5">
      <c r="A14" s="92" t="s">
        <v>438</v>
      </c>
      <c r="B14" s="92"/>
      <c r="C14" s="92"/>
      <c r="D14" s="92"/>
      <c r="E14" s="92"/>
      <c r="F14" s="92"/>
      <c r="G14" s="92"/>
      <c r="H14" s="92" t="s">
        <v>437</v>
      </c>
      <c r="I14" s="92"/>
      <c r="J14" s="116">
        <v>124</v>
      </c>
      <c r="K14" s="116"/>
      <c r="L14" s="116"/>
      <c r="M14" s="116"/>
      <c r="N14" s="116"/>
      <c r="O14" s="116"/>
      <c r="P14" s="116"/>
      <c r="Q14" s="116"/>
      <c r="R14" s="116"/>
      <c r="S14" s="116">
        <v>124</v>
      </c>
      <c r="T14" s="116"/>
      <c r="U14" s="116"/>
      <c r="V14" s="116"/>
      <c r="W14" s="116"/>
      <c r="X14" s="116"/>
      <c r="Y14" s="116"/>
      <c r="Z14" s="116"/>
      <c r="AA14" s="116"/>
      <c r="AB14" s="106">
        <v>30</v>
      </c>
      <c r="AC14" s="106"/>
      <c r="AD14" s="106"/>
      <c r="AE14" s="106"/>
      <c r="AF14" s="106"/>
      <c r="AG14" s="106"/>
      <c r="AH14" s="106"/>
      <c r="AI14" s="106"/>
      <c r="AJ14" s="106"/>
      <c r="AK14" s="106">
        <v>30</v>
      </c>
      <c r="AL14" s="106"/>
      <c r="AM14" s="106"/>
      <c r="AN14" s="106"/>
      <c r="AO14" s="106"/>
      <c r="AP14" s="106"/>
      <c r="AQ14" s="106"/>
      <c r="AR14" s="106"/>
      <c r="AS14" s="106"/>
    </row>
    <row r="15" spans="1:45" ht="16.5">
      <c r="A15" s="90" t="s">
        <v>436</v>
      </c>
      <c r="B15" s="90"/>
      <c r="C15" s="90"/>
      <c r="D15" s="90"/>
      <c r="E15" s="90"/>
      <c r="F15" s="90"/>
      <c r="G15" s="90"/>
      <c r="H15" s="90" t="s">
        <v>435</v>
      </c>
      <c r="I15" s="90"/>
      <c r="J15" s="102">
        <f>IF(COUNT(J12)=0,"",ROUND(((J12-J13+J14)/J13),1))</f>
        <v>5</v>
      </c>
      <c r="K15" s="102"/>
      <c r="L15" s="102"/>
      <c r="M15" s="102"/>
      <c r="N15" s="102"/>
      <c r="O15" s="102"/>
      <c r="P15" s="102"/>
      <c r="Q15" s="102"/>
      <c r="R15" s="102"/>
      <c r="S15" s="102">
        <f>IF(COUNT(S12)=0,"",ROUND(((S12-S13+S14)/S13),0))</f>
        <v>5</v>
      </c>
      <c r="T15" s="102"/>
      <c r="U15" s="102"/>
      <c r="V15" s="102"/>
      <c r="W15" s="102"/>
      <c r="X15" s="102"/>
      <c r="Y15" s="102"/>
      <c r="Z15" s="102"/>
      <c r="AA15" s="102"/>
      <c r="AB15" s="111">
        <f>IF(COUNT(AB12)=0,"",ROUND(((AB12-AB13+AB14)/AB13),1))</f>
        <v>9.6999999999999993</v>
      </c>
      <c r="AC15" s="111"/>
      <c r="AD15" s="111"/>
      <c r="AE15" s="111"/>
      <c r="AF15" s="111"/>
      <c r="AG15" s="111"/>
      <c r="AH15" s="111"/>
      <c r="AI15" s="111"/>
      <c r="AJ15" s="111"/>
      <c r="AK15" s="111">
        <f>IF(COUNT(AK12)=0,"",ROUND(((AK12-AK13+AK14)/AK13),1))</f>
        <v>9.6999999999999993</v>
      </c>
      <c r="AL15" s="111"/>
      <c r="AM15" s="111"/>
      <c r="AN15" s="111"/>
      <c r="AO15" s="111"/>
      <c r="AP15" s="111"/>
      <c r="AQ15" s="111"/>
      <c r="AR15" s="111"/>
      <c r="AS15" s="111"/>
    </row>
    <row r="16" spans="1:45">
      <c r="A16" s="103" t="s">
        <v>434</v>
      </c>
      <c r="B16" s="103"/>
      <c r="C16" s="103"/>
      <c r="D16" s="103"/>
      <c r="E16" s="103"/>
      <c r="F16" s="103"/>
      <c r="G16" s="103"/>
      <c r="H16" s="104" t="s">
        <v>25</v>
      </c>
      <c r="I16" s="103"/>
      <c r="J16" s="105">
        <v>25.2</v>
      </c>
      <c r="K16" s="105"/>
      <c r="L16" s="105"/>
      <c r="M16" s="105"/>
      <c r="N16" s="105"/>
      <c r="O16" s="105"/>
      <c r="P16" s="105"/>
      <c r="Q16" s="105"/>
      <c r="R16" s="105"/>
      <c r="S16" s="105">
        <v>25.3</v>
      </c>
      <c r="T16" s="105"/>
      <c r="U16" s="105"/>
      <c r="V16" s="105"/>
      <c r="W16" s="105"/>
      <c r="X16" s="105"/>
      <c r="Y16" s="105"/>
      <c r="Z16" s="105"/>
      <c r="AA16" s="105"/>
      <c r="AB16" s="105">
        <v>18</v>
      </c>
      <c r="AC16" s="105"/>
      <c r="AD16" s="105"/>
      <c r="AE16" s="105"/>
      <c r="AF16" s="105"/>
      <c r="AG16" s="105"/>
      <c r="AH16" s="105"/>
      <c r="AI16" s="105"/>
      <c r="AJ16" s="105"/>
      <c r="AK16" s="105">
        <v>18</v>
      </c>
      <c r="AL16" s="105"/>
      <c r="AM16" s="105"/>
      <c r="AN16" s="105"/>
      <c r="AO16" s="105"/>
      <c r="AP16" s="105"/>
      <c r="AQ16" s="105"/>
      <c r="AR16" s="105"/>
      <c r="AS16" s="105"/>
    </row>
    <row r="17" spans="1:45">
      <c r="A17" s="64" t="s">
        <v>8</v>
      </c>
      <c r="B17" s="64"/>
      <c r="C17" s="64"/>
      <c r="D17" s="64"/>
      <c r="E17" s="98" t="s">
        <v>432</v>
      </c>
      <c r="F17" s="98"/>
      <c r="G17" s="98"/>
      <c r="H17" s="98"/>
      <c r="I17" s="98"/>
      <c r="J17" s="99">
        <v>6.67</v>
      </c>
      <c r="K17" s="99"/>
      <c r="L17" s="99"/>
      <c r="M17" s="99"/>
      <c r="N17" s="99"/>
      <c r="O17" s="99"/>
      <c r="P17" s="99"/>
      <c r="Q17" s="99"/>
      <c r="R17" s="99"/>
      <c r="S17" s="99">
        <v>6.71</v>
      </c>
      <c r="T17" s="99"/>
      <c r="U17" s="99"/>
      <c r="V17" s="99"/>
      <c r="W17" s="99"/>
      <c r="X17" s="99"/>
      <c r="Y17" s="99"/>
      <c r="Z17" s="99"/>
      <c r="AA17" s="99"/>
      <c r="AB17" s="99">
        <v>6.6</v>
      </c>
      <c r="AC17" s="99"/>
      <c r="AD17" s="99"/>
      <c r="AE17" s="99"/>
      <c r="AF17" s="99"/>
      <c r="AG17" s="99"/>
      <c r="AH17" s="99"/>
      <c r="AI17" s="99"/>
      <c r="AJ17" s="99"/>
      <c r="AK17" s="99">
        <v>6.6</v>
      </c>
      <c r="AL17" s="99"/>
      <c r="AM17" s="99"/>
      <c r="AN17" s="99"/>
      <c r="AO17" s="99"/>
      <c r="AP17" s="99"/>
      <c r="AQ17" s="99"/>
      <c r="AR17" s="99"/>
      <c r="AS17" s="99"/>
    </row>
    <row r="18" spans="1:45">
      <c r="A18" s="64"/>
      <c r="B18" s="64"/>
      <c r="C18" s="64"/>
      <c r="D18" s="64"/>
      <c r="E18" s="98" t="s">
        <v>431</v>
      </c>
      <c r="F18" s="98"/>
      <c r="G18" s="98"/>
      <c r="H18" s="98"/>
      <c r="I18" s="98"/>
      <c r="J18" s="99">
        <f>IF(COUNT(J17)=0,"",ROUND(AVERAGE(J17:AA17),1))</f>
        <v>6.7</v>
      </c>
      <c r="K18" s="99"/>
      <c r="L18" s="99"/>
      <c r="M18" s="99"/>
      <c r="N18" s="99"/>
      <c r="O18" s="99"/>
      <c r="P18" s="99"/>
      <c r="Q18" s="99"/>
      <c r="R18" s="99"/>
      <c r="S18" s="99"/>
      <c r="T18" s="99"/>
      <c r="U18" s="99"/>
      <c r="V18" s="99"/>
      <c r="W18" s="99"/>
      <c r="X18" s="99"/>
      <c r="Y18" s="99"/>
      <c r="Z18" s="99"/>
      <c r="AA18" s="99"/>
      <c r="AB18" s="99">
        <f>IF(COUNT(AB17)=0,"",ROUND(AVERAGE(AB17:AS17),1))</f>
        <v>6.6</v>
      </c>
      <c r="AC18" s="99"/>
      <c r="AD18" s="99"/>
      <c r="AE18" s="99"/>
      <c r="AF18" s="99"/>
      <c r="AG18" s="99"/>
      <c r="AH18" s="99"/>
      <c r="AI18" s="99"/>
      <c r="AJ18" s="99"/>
      <c r="AK18" s="99"/>
      <c r="AL18" s="99"/>
      <c r="AM18" s="99"/>
      <c r="AN18" s="99"/>
      <c r="AO18" s="99"/>
      <c r="AP18" s="99"/>
      <c r="AQ18" s="99"/>
      <c r="AR18" s="99"/>
      <c r="AS18" s="99"/>
    </row>
    <row r="19" spans="1:45">
      <c r="A19" s="112" t="s">
        <v>455</v>
      </c>
      <c r="B19" s="64"/>
      <c r="C19" s="64"/>
      <c r="D19" s="64"/>
      <c r="E19" s="98" t="s">
        <v>454</v>
      </c>
      <c r="F19" s="98"/>
      <c r="G19" s="98"/>
      <c r="H19" s="98"/>
      <c r="I19" s="98"/>
      <c r="J19" s="97">
        <v>8.61</v>
      </c>
      <c r="K19" s="97"/>
      <c r="L19" s="97"/>
      <c r="M19" s="97"/>
      <c r="N19" s="97"/>
      <c r="O19" s="97"/>
      <c r="P19" s="97"/>
      <c r="Q19" s="97"/>
      <c r="R19" s="97"/>
      <c r="S19" s="100">
        <v>8.58</v>
      </c>
      <c r="T19" s="100"/>
      <c r="U19" s="100"/>
      <c r="V19" s="100"/>
      <c r="W19" s="100"/>
      <c r="X19" s="100"/>
      <c r="Y19" s="100"/>
      <c r="Z19" s="100"/>
      <c r="AA19" s="100"/>
      <c r="AB19" s="100">
        <v>14</v>
      </c>
      <c r="AC19" s="100"/>
      <c r="AD19" s="100"/>
      <c r="AE19" s="100"/>
      <c r="AF19" s="100"/>
      <c r="AG19" s="100"/>
      <c r="AH19" s="100"/>
      <c r="AI19" s="100"/>
      <c r="AJ19" s="100"/>
      <c r="AK19" s="100">
        <v>16</v>
      </c>
      <c r="AL19" s="100"/>
      <c r="AM19" s="100"/>
      <c r="AN19" s="100"/>
      <c r="AO19" s="100"/>
      <c r="AP19" s="100"/>
      <c r="AQ19" s="100"/>
      <c r="AR19" s="100"/>
      <c r="AS19" s="100"/>
    </row>
    <row r="20" spans="1:45">
      <c r="A20" s="64"/>
      <c r="B20" s="64"/>
      <c r="C20" s="64"/>
      <c r="D20" s="64"/>
      <c r="E20" s="98" t="s">
        <v>431</v>
      </c>
      <c r="F20" s="98"/>
      <c r="G20" s="98"/>
      <c r="H20" s="98"/>
      <c r="I20" s="98"/>
      <c r="J20" s="99">
        <f>IF(COUNT(J19)=0,"",ROUND(AVERAGE(J19:AA19),1))</f>
        <v>8.6</v>
      </c>
      <c r="K20" s="99"/>
      <c r="L20" s="99"/>
      <c r="M20" s="99"/>
      <c r="N20" s="99"/>
      <c r="O20" s="99"/>
      <c r="P20" s="99"/>
      <c r="Q20" s="99"/>
      <c r="R20" s="99"/>
      <c r="S20" s="99"/>
      <c r="T20" s="99"/>
      <c r="U20" s="99"/>
      <c r="V20" s="99"/>
      <c r="W20" s="99"/>
      <c r="X20" s="99"/>
      <c r="Y20" s="99"/>
      <c r="Z20" s="99"/>
      <c r="AA20" s="99"/>
      <c r="AB20" s="100">
        <f>IF(COUNT(AB19)=0,"",ROUND(AVERAGE(AB19:AS19),1))</f>
        <v>15</v>
      </c>
      <c r="AC20" s="100"/>
      <c r="AD20" s="100"/>
      <c r="AE20" s="100"/>
      <c r="AF20" s="100"/>
      <c r="AG20" s="100"/>
      <c r="AH20" s="100"/>
      <c r="AI20" s="100"/>
      <c r="AJ20" s="100"/>
      <c r="AK20" s="100"/>
      <c r="AL20" s="100"/>
      <c r="AM20" s="100"/>
      <c r="AN20" s="100"/>
      <c r="AO20" s="100"/>
      <c r="AP20" s="100"/>
      <c r="AQ20" s="100"/>
      <c r="AR20" s="100"/>
      <c r="AS20" s="100"/>
    </row>
    <row r="21" spans="1:45" ht="15" customHeight="1">
      <c r="A21" s="87" t="s">
        <v>453</v>
      </c>
      <c r="B21" s="87"/>
      <c r="C21" s="87"/>
      <c r="D21" s="87"/>
      <c r="E21" s="96" t="s">
        <v>452</v>
      </c>
      <c r="F21" s="96"/>
      <c r="G21" s="96"/>
      <c r="H21" s="96"/>
      <c r="I21" s="96"/>
      <c r="J21" s="95">
        <v>122</v>
      </c>
      <c r="K21" s="95"/>
      <c r="L21" s="95"/>
      <c r="M21" s="95"/>
      <c r="N21" s="95"/>
      <c r="O21" s="95"/>
      <c r="P21" s="95">
        <v>852</v>
      </c>
      <c r="Q21" s="95"/>
      <c r="R21" s="95"/>
      <c r="S21" s="95"/>
      <c r="T21" s="95"/>
      <c r="U21" s="95"/>
      <c r="V21" s="95">
        <v>1281</v>
      </c>
      <c r="W21" s="95"/>
      <c r="X21" s="95"/>
      <c r="Y21" s="95"/>
      <c r="Z21" s="95"/>
      <c r="AA21" s="95"/>
      <c r="AB21" s="95">
        <v>367</v>
      </c>
      <c r="AC21" s="95"/>
      <c r="AD21" s="95"/>
      <c r="AE21" s="95"/>
      <c r="AF21" s="95"/>
      <c r="AG21" s="95"/>
      <c r="AH21" s="95">
        <v>368</v>
      </c>
      <c r="AI21" s="95"/>
      <c r="AJ21" s="95"/>
      <c r="AK21" s="95"/>
      <c r="AL21" s="95"/>
      <c r="AM21" s="95"/>
      <c r="AN21" s="95">
        <v>369</v>
      </c>
      <c r="AO21" s="95"/>
      <c r="AP21" s="95"/>
      <c r="AQ21" s="95"/>
      <c r="AR21" s="95"/>
      <c r="AS21" s="95"/>
    </row>
    <row r="22" spans="1:45" ht="16.5">
      <c r="A22" s="88"/>
      <c r="B22" s="88"/>
      <c r="C22" s="88"/>
      <c r="D22" s="88"/>
      <c r="E22" s="92" t="s">
        <v>427</v>
      </c>
      <c r="F22" s="92"/>
      <c r="G22" s="92"/>
      <c r="H22" s="92" t="s">
        <v>424</v>
      </c>
      <c r="I22" s="92"/>
      <c r="J22" s="94">
        <v>42.04</v>
      </c>
      <c r="K22" s="94"/>
      <c r="L22" s="94"/>
      <c r="M22" s="94"/>
      <c r="N22" s="94"/>
      <c r="O22" s="94"/>
      <c r="P22" s="94">
        <v>42.22</v>
      </c>
      <c r="Q22" s="94"/>
      <c r="R22" s="94"/>
      <c r="S22" s="94"/>
      <c r="T22" s="94"/>
      <c r="U22" s="94"/>
      <c r="V22" s="94">
        <v>42.34</v>
      </c>
      <c r="W22" s="94"/>
      <c r="X22" s="94"/>
      <c r="Y22" s="94"/>
      <c r="Z22" s="94"/>
      <c r="AA22" s="94"/>
      <c r="AB22" s="94">
        <v>74.92</v>
      </c>
      <c r="AC22" s="94"/>
      <c r="AD22" s="94"/>
      <c r="AE22" s="94"/>
      <c r="AF22" s="94"/>
      <c r="AG22" s="94"/>
      <c r="AH22" s="94">
        <v>67.66</v>
      </c>
      <c r="AI22" s="94"/>
      <c r="AJ22" s="94"/>
      <c r="AK22" s="94"/>
      <c r="AL22" s="94"/>
      <c r="AM22" s="94"/>
      <c r="AN22" s="94">
        <v>68.44</v>
      </c>
      <c r="AO22" s="94"/>
      <c r="AP22" s="94"/>
      <c r="AQ22" s="94"/>
      <c r="AR22" s="94"/>
      <c r="AS22" s="94"/>
    </row>
    <row r="23" spans="1:45" ht="16.5">
      <c r="A23" s="88"/>
      <c r="B23" s="88"/>
      <c r="C23" s="88"/>
      <c r="D23" s="88"/>
      <c r="E23" s="92" t="s">
        <v>426</v>
      </c>
      <c r="F23" s="92"/>
      <c r="G23" s="92"/>
      <c r="H23" s="92" t="s">
        <v>424</v>
      </c>
      <c r="I23" s="92"/>
      <c r="J23" s="94">
        <v>32.47</v>
      </c>
      <c r="K23" s="94"/>
      <c r="L23" s="94"/>
      <c r="M23" s="94"/>
      <c r="N23" s="94"/>
      <c r="O23" s="94"/>
      <c r="P23" s="94">
        <v>32.54</v>
      </c>
      <c r="Q23" s="94"/>
      <c r="R23" s="94"/>
      <c r="S23" s="94"/>
      <c r="T23" s="94"/>
      <c r="U23" s="94"/>
      <c r="V23" s="94">
        <v>32.58</v>
      </c>
      <c r="W23" s="94"/>
      <c r="X23" s="94"/>
      <c r="Y23" s="94"/>
      <c r="Z23" s="94"/>
      <c r="AA23" s="94"/>
      <c r="AB23" s="94">
        <v>47.77</v>
      </c>
      <c r="AC23" s="94"/>
      <c r="AD23" s="94"/>
      <c r="AE23" s="94"/>
      <c r="AF23" s="94"/>
      <c r="AG23" s="94"/>
      <c r="AH23" s="94">
        <v>42.26</v>
      </c>
      <c r="AI23" s="94"/>
      <c r="AJ23" s="94"/>
      <c r="AK23" s="94"/>
      <c r="AL23" s="94"/>
      <c r="AM23" s="94"/>
      <c r="AN23" s="94">
        <v>43.89</v>
      </c>
      <c r="AO23" s="94"/>
      <c r="AP23" s="94"/>
      <c r="AQ23" s="94"/>
      <c r="AR23" s="94"/>
      <c r="AS23" s="94"/>
    </row>
    <row r="24" spans="1:45" ht="16.5">
      <c r="A24" s="88"/>
      <c r="B24" s="88"/>
      <c r="C24" s="88"/>
      <c r="D24" s="88"/>
      <c r="E24" s="92" t="s">
        <v>425</v>
      </c>
      <c r="F24" s="92"/>
      <c r="G24" s="92"/>
      <c r="H24" s="92" t="s">
        <v>424</v>
      </c>
      <c r="I24" s="92"/>
      <c r="J24" s="94">
        <v>22.18</v>
      </c>
      <c r="K24" s="94"/>
      <c r="L24" s="94"/>
      <c r="M24" s="94"/>
      <c r="N24" s="94"/>
      <c r="O24" s="94"/>
      <c r="P24" s="94">
        <v>22.17</v>
      </c>
      <c r="Q24" s="94"/>
      <c r="R24" s="94"/>
      <c r="S24" s="94"/>
      <c r="T24" s="94"/>
      <c r="U24" s="94"/>
      <c r="V24" s="94">
        <v>22.18</v>
      </c>
      <c r="W24" s="94"/>
      <c r="X24" s="94"/>
      <c r="Y24" s="94"/>
      <c r="Z24" s="94"/>
      <c r="AA24" s="94"/>
      <c r="AB24" s="94">
        <v>43.51</v>
      </c>
      <c r="AC24" s="94"/>
      <c r="AD24" s="94"/>
      <c r="AE24" s="94"/>
      <c r="AF24" s="94"/>
      <c r="AG24" s="94"/>
      <c r="AH24" s="94">
        <v>38.369999999999997</v>
      </c>
      <c r="AI24" s="94"/>
      <c r="AJ24" s="94"/>
      <c r="AK24" s="94"/>
      <c r="AL24" s="94"/>
      <c r="AM24" s="94"/>
      <c r="AN24" s="94">
        <v>40.159999999999997</v>
      </c>
      <c r="AO24" s="94"/>
      <c r="AP24" s="94"/>
      <c r="AQ24" s="94"/>
      <c r="AR24" s="94"/>
      <c r="AS24" s="94"/>
    </row>
    <row r="25" spans="1:45">
      <c r="A25" s="88"/>
      <c r="B25" s="88"/>
      <c r="C25" s="88"/>
      <c r="D25" s="88"/>
      <c r="E25" s="90" t="s">
        <v>27</v>
      </c>
      <c r="F25" s="90"/>
      <c r="G25" s="90"/>
      <c r="H25" s="90" t="s">
        <v>28</v>
      </c>
      <c r="I25" s="90"/>
      <c r="J25" s="111">
        <f>IF(COUNT(J22)=0,"",ROUND((J22-J23)/(J23-J24)*100,0))</f>
        <v>93</v>
      </c>
      <c r="K25" s="111"/>
      <c r="L25" s="111"/>
      <c r="M25" s="111"/>
      <c r="N25" s="111"/>
      <c r="O25" s="111"/>
      <c r="P25" s="111">
        <f>IF(COUNT(P22)=0,"",ROUND((P22-P23)/(P23-P24)*100,0))</f>
        <v>93</v>
      </c>
      <c r="Q25" s="111"/>
      <c r="R25" s="111"/>
      <c r="S25" s="111"/>
      <c r="T25" s="111"/>
      <c r="U25" s="111"/>
      <c r="V25" s="111">
        <f>IF(COUNT(V22)=0,"",ROUND((V22-V23)/(V23-V24)*100,0))</f>
        <v>94</v>
      </c>
      <c r="W25" s="111"/>
      <c r="X25" s="111"/>
      <c r="Y25" s="111"/>
      <c r="Z25" s="111"/>
      <c r="AA25" s="111"/>
      <c r="AB25" s="83">
        <f>IF(COUNT(AB22)=0,"",ROUND((AB22-AB23)/(AB23-AB24)*100,0))</f>
        <v>637</v>
      </c>
      <c r="AC25" s="83"/>
      <c r="AD25" s="83"/>
      <c r="AE25" s="83"/>
      <c r="AF25" s="83"/>
      <c r="AG25" s="83"/>
      <c r="AH25" s="83">
        <f>IF(COUNT(AH22)=0,"",ROUND((AH22-AH23)/(AH23-AH24)*100,0))</f>
        <v>653</v>
      </c>
      <c r="AI25" s="83"/>
      <c r="AJ25" s="83"/>
      <c r="AK25" s="83"/>
      <c r="AL25" s="83"/>
      <c r="AM25" s="83"/>
      <c r="AN25" s="83">
        <f>IF(COUNT(AN22)=0,"",ROUND((AN22-AN23)/(AN23-AN24)*100,0))</f>
        <v>658</v>
      </c>
      <c r="AO25" s="83"/>
      <c r="AP25" s="83"/>
      <c r="AQ25" s="83"/>
      <c r="AR25" s="83"/>
      <c r="AS25" s="83"/>
    </row>
    <row r="26" spans="1:45">
      <c r="A26" s="89"/>
      <c r="B26" s="89"/>
      <c r="C26" s="89"/>
      <c r="D26" s="89"/>
      <c r="E26" s="84" t="s">
        <v>451</v>
      </c>
      <c r="F26" s="84"/>
      <c r="G26" s="84"/>
      <c r="H26" s="84" t="s">
        <v>28</v>
      </c>
      <c r="I26" s="84"/>
      <c r="J26" s="86">
        <f>IF(COUNT(J22)=0,"",ROUND(AVERAGE(J25:AA25),0))</f>
        <v>93</v>
      </c>
      <c r="K26" s="86"/>
      <c r="L26" s="86"/>
      <c r="M26" s="86"/>
      <c r="N26" s="86"/>
      <c r="O26" s="86"/>
      <c r="P26" s="86"/>
      <c r="Q26" s="86"/>
      <c r="R26" s="86"/>
      <c r="S26" s="86"/>
      <c r="T26" s="86"/>
      <c r="U26" s="86"/>
      <c r="V26" s="86"/>
      <c r="W26" s="86"/>
      <c r="X26" s="86"/>
      <c r="Y26" s="86"/>
      <c r="Z26" s="86"/>
      <c r="AA26" s="86"/>
      <c r="AB26" s="86">
        <f>IF(COUNT(AB22)=0,"",ROUND(AVERAGE(AB25:AS25),0))</f>
        <v>649</v>
      </c>
      <c r="AC26" s="86"/>
      <c r="AD26" s="86"/>
      <c r="AE26" s="86"/>
      <c r="AF26" s="86"/>
      <c r="AG26" s="86"/>
      <c r="AH26" s="86"/>
      <c r="AI26" s="86"/>
      <c r="AJ26" s="86"/>
      <c r="AK26" s="86"/>
      <c r="AL26" s="86"/>
      <c r="AM26" s="86"/>
      <c r="AN26" s="86"/>
      <c r="AO26" s="86"/>
      <c r="AP26" s="86"/>
      <c r="AQ26" s="86"/>
      <c r="AR26" s="86"/>
      <c r="AS26" s="86"/>
    </row>
    <row r="27" spans="1:45">
      <c r="A27" s="79" t="s">
        <v>422</v>
      </c>
      <c r="B27" s="79"/>
      <c r="C27" s="79"/>
      <c r="D27" s="79"/>
      <c r="E27" s="79"/>
      <c r="F27" s="79"/>
      <c r="G27" s="79"/>
      <c r="H27" s="79"/>
      <c r="I27" s="79"/>
      <c r="J27" s="81" t="s">
        <v>450</v>
      </c>
      <c r="K27" s="81"/>
      <c r="L27" s="81"/>
      <c r="M27" s="81"/>
      <c r="N27" s="81"/>
      <c r="O27" s="81"/>
      <c r="P27" s="81"/>
      <c r="Q27" s="81"/>
      <c r="R27" s="81"/>
      <c r="S27" s="81"/>
      <c r="T27" s="81"/>
      <c r="U27" s="81"/>
      <c r="V27" s="81"/>
      <c r="W27" s="81"/>
      <c r="X27" s="81"/>
      <c r="Y27" s="81"/>
      <c r="Z27" s="81"/>
      <c r="AA27" s="81"/>
      <c r="AB27" s="79" t="s">
        <v>449</v>
      </c>
      <c r="AC27" s="79"/>
      <c r="AD27" s="79"/>
      <c r="AE27" s="79"/>
      <c r="AF27" s="79"/>
      <c r="AG27" s="79"/>
      <c r="AH27" s="79"/>
      <c r="AI27" s="79"/>
      <c r="AJ27" s="79"/>
      <c r="AK27" s="79"/>
      <c r="AL27" s="79"/>
      <c r="AM27" s="79"/>
      <c r="AN27" s="79"/>
      <c r="AO27" s="79"/>
      <c r="AP27" s="79"/>
      <c r="AQ27" s="79"/>
      <c r="AR27" s="79"/>
      <c r="AS27" s="79"/>
    </row>
    <row r="28" spans="1:45">
      <c r="A28" s="80"/>
      <c r="B28" s="80"/>
      <c r="C28" s="80"/>
      <c r="D28" s="80"/>
      <c r="E28" s="80"/>
      <c r="F28" s="80"/>
      <c r="G28" s="80"/>
      <c r="H28" s="80"/>
      <c r="I28" s="80"/>
      <c r="J28" s="82"/>
      <c r="K28" s="82"/>
      <c r="L28" s="82"/>
      <c r="M28" s="82"/>
      <c r="N28" s="82"/>
      <c r="O28" s="82"/>
      <c r="P28" s="82"/>
      <c r="Q28" s="82"/>
      <c r="R28" s="82"/>
      <c r="S28" s="82"/>
      <c r="T28" s="82"/>
      <c r="U28" s="82"/>
      <c r="V28" s="82"/>
      <c r="W28" s="82"/>
      <c r="X28" s="82"/>
      <c r="Y28" s="82"/>
      <c r="Z28" s="82"/>
      <c r="AA28" s="82"/>
      <c r="AB28" s="80"/>
      <c r="AC28" s="80"/>
      <c r="AD28" s="80"/>
      <c r="AE28" s="80"/>
      <c r="AF28" s="80"/>
      <c r="AG28" s="80"/>
      <c r="AH28" s="80"/>
      <c r="AI28" s="80"/>
      <c r="AJ28" s="80"/>
      <c r="AK28" s="80"/>
      <c r="AL28" s="80"/>
      <c r="AM28" s="80"/>
      <c r="AN28" s="80"/>
      <c r="AO28" s="80"/>
      <c r="AP28" s="80"/>
      <c r="AQ28" s="80"/>
      <c r="AR28" s="80"/>
      <c r="AS28" s="80"/>
    </row>
    <row r="29" spans="1:45">
      <c r="A29" s="96" t="s">
        <v>448</v>
      </c>
      <c r="B29" s="96"/>
      <c r="C29" s="96"/>
      <c r="D29" s="96"/>
      <c r="E29" s="96"/>
      <c r="F29" s="96"/>
      <c r="G29" s="96"/>
      <c r="H29" s="96"/>
      <c r="I29" s="96"/>
      <c r="J29" s="95" t="s">
        <v>447</v>
      </c>
      <c r="K29" s="95"/>
      <c r="L29" s="95"/>
      <c r="M29" s="95"/>
      <c r="N29" s="95"/>
      <c r="O29" s="95"/>
      <c r="P29" s="95"/>
      <c r="Q29" s="95"/>
      <c r="R29" s="95"/>
      <c r="S29" s="95"/>
      <c r="T29" s="95"/>
      <c r="U29" s="95"/>
      <c r="V29" s="95"/>
      <c r="W29" s="95"/>
      <c r="X29" s="95"/>
      <c r="Y29" s="95"/>
      <c r="Z29" s="95"/>
      <c r="AA29" s="95"/>
      <c r="AB29" s="95" t="s">
        <v>446</v>
      </c>
      <c r="AC29" s="95"/>
      <c r="AD29" s="95"/>
      <c r="AE29" s="95"/>
      <c r="AF29" s="95"/>
      <c r="AG29" s="95"/>
      <c r="AH29" s="95"/>
      <c r="AI29" s="95"/>
      <c r="AJ29" s="95"/>
      <c r="AK29" s="95"/>
      <c r="AL29" s="95"/>
      <c r="AM29" s="95"/>
      <c r="AN29" s="95"/>
      <c r="AO29" s="95"/>
      <c r="AP29" s="95"/>
      <c r="AQ29" s="95"/>
      <c r="AR29" s="95"/>
      <c r="AS29" s="95"/>
    </row>
    <row r="30" spans="1:45">
      <c r="A30" s="108" t="s">
        <v>445</v>
      </c>
      <c r="B30" s="108"/>
      <c r="C30" s="108"/>
      <c r="D30" s="108"/>
      <c r="E30" s="108"/>
      <c r="F30" s="108"/>
      <c r="G30" s="109"/>
      <c r="H30" s="110"/>
      <c r="I30" s="108"/>
      <c r="J30" s="94" t="s">
        <v>29</v>
      </c>
      <c r="K30" s="94"/>
      <c r="L30" s="94"/>
      <c r="M30" s="94"/>
      <c r="N30" s="94"/>
      <c r="O30" s="94"/>
      <c r="P30" s="94"/>
      <c r="Q30" s="94"/>
      <c r="R30" s="94"/>
      <c r="S30" s="94" t="s">
        <v>444</v>
      </c>
      <c r="T30" s="94"/>
      <c r="U30" s="94"/>
      <c r="V30" s="94"/>
      <c r="W30" s="94"/>
      <c r="X30" s="94"/>
      <c r="Y30" s="94"/>
      <c r="Z30" s="94"/>
      <c r="AA30" s="94"/>
      <c r="AB30" s="94" t="s">
        <v>443</v>
      </c>
      <c r="AC30" s="94"/>
      <c r="AD30" s="94"/>
      <c r="AE30" s="94"/>
      <c r="AF30" s="94"/>
      <c r="AG30" s="94"/>
      <c r="AH30" s="94"/>
      <c r="AI30" s="94"/>
      <c r="AJ30" s="94"/>
      <c r="AK30" s="94" t="s">
        <v>32</v>
      </c>
      <c r="AL30" s="94"/>
      <c r="AM30" s="94"/>
      <c r="AN30" s="94"/>
      <c r="AO30" s="94"/>
      <c r="AP30" s="94"/>
      <c r="AQ30" s="94"/>
      <c r="AR30" s="94"/>
      <c r="AS30" s="94"/>
    </row>
    <row r="31" spans="1:45">
      <c r="A31" s="92" t="s">
        <v>442</v>
      </c>
      <c r="B31" s="92"/>
      <c r="C31" s="92"/>
      <c r="D31" s="92"/>
      <c r="E31" s="92"/>
      <c r="F31" s="92"/>
      <c r="G31" s="92"/>
      <c r="H31" s="92" t="s">
        <v>441</v>
      </c>
      <c r="I31" s="92"/>
      <c r="J31" s="94">
        <v>120.1</v>
      </c>
      <c r="K31" s="94"/>
      <c r="L31" s="94"/>
      <c r="M31" s="94"/>
      <c r="N31" s="94"/>
      <c r="O31" s="94"/>
      <c r="P31" s="94"/>
      <c r="Q31" s="94"/>
      <c r="R31" s="94"/>
      <c r="S31" s="107">
        <v>120</v>
      </c>
      <c r="T31" s="107"/>
      <c r="U31" s="107"/>
      <c r="V31" s="107"/>
      <c r="W31" s="107"/>
      <c r="X31" s="107"/>
      <c r="Y31" s="107"/>
      <c r="Z31" s="107"/>
      <c r="AA31" s="107"/>
      <c r="AB31" s="94">
        <v>39.200000000000003</v>
      </c>
      <c r="AC31" s="94"/>
      <c r="AD31" s="94"/>
      <c r="AE31" s="94"/>
      <c r="AF31" s="94"/>
      <c r="AG31" s="94"/>
      <c r="AH31" s="94"/>
      <c r="AI31" s="94"/>
      <c r="AJ31" s="94"/>
      <c r="AK31" s="94">
        <v>39.1</v>
      </c>
      <c r="AL31" s="94"/>
      <c r="AM31" s="94"/>
      <c r="AN31" s="94"/>
      <c r="AO31" s="94"/>
      <c r="AP31" s="94"/>
      <c r="AQ31" s="94"/>
      <c r="AR31" s="94"/>
      <c r="AS31" s="94"/>
    </row>
    <row r="32" spans="1:45" ht="16.5">
      <c r="A32" s="90" t="s">
        <v>440</v>
      </c>
      <c r="B32" s="90"/>
      <c r="C32" s="90"/>
      <c r="D32" s="90"/>
      <c r="E32" s="90"/>
      <c r="F32" s="90"/>
      <c r="G32" s="90"/>
      <c r="H32" s="90" t="s">
        <v>439</v>
      </c>
      <c r="I32" s="90"/>
      <c r="J32" s="83">
        <f>IF(COUNT(J31)=0,"",ROUND((J31/(1+$J$45/100)),1))</f>
        <v>30</v>
      </c>
      <c r="K32" s="83"/>
      <c r="L32" s="83"/>
      <c r="M32" s="83"/>
      <c r="N32" s="83"/>
      <c r="O32" s="83"/>
      <c r="P32" s="83"/>
      <c r="Q32" s="83"/>
      <c r="R32" s="83"/>
      <c r="S32" s="83">
        <f>IF(COUNT(S31)=0,"",ROUND((S31/(1+$J$45/100)),1))</f>
        <v>30</v>
      </c>
      <c r="T32" s="83"/>
      <c r="U32" s="83"/>
      <c r="V32" s="83"/>
      <c r="W32" s="83"/>
      <c r="X32" s="83"/>
      <c r="Y32" s="83"/>
      <c r="Z32" s="83"/>
      <c r="AA32" s="83"/>
      <c r="AB32" s="83">
        <f>IF(COUNT(AB31)=0,"",ROUND((AB31/(1+$AB$45/100)),1))</f>
        <v>30</v>
      </c>
      <c r="AC32" s="83"/>
      <c r="AD32" s="83"/>
      <c r="AE32" s="83"/>
      <c r="AF32" s="83"/>
      <c r="AG32" s="83"/>
      <c r="AH32" s="83"/>
      <c r="AI32" s="83"/>
      <c r="AJ32" s="83"/>
      <c r="AK32" s="83">
        <f>IF(COUNT(AK31)=0,"",ROUND((AK31/(1+$AB$45/100)),1))</f>
        <v>30</v>
      </c>
      <c r="AL32" s="83"/>
      <c r="AM32" s="83"/>
      <c r="AN32" s="83"/>
      <c r="AO32" s="83"/>
      <c r="AP32" s="83"/>
      <c r="AQ32" s="83"/>
      <c r="AR32" s="83"/>
      <c r="AS32" s="83"/>
    </row>
    <row r="33" spans="1:45" ht="16.5">
      <c r="A33" s="92" t="s">
        <v>438</v>
      </c>
      <c r="B33" s="92"/>
      <c r="C33" s="92"/>
      <c r="D33" s="92"/>
      <c r="E33" s="92"/>
      <c r="F33" s="92"/>
      <c r="G33" s="92"/>
      <c r="H33" s="92" t="s">
        <v>437</v>
      </c>
      <c r="I33" s="92"/>
      <c r="J33" s="106">
        <v>150</v>
      </c>
      <c r="K33" s="106"/>
      <c r="L33" s="106"/>
      <c r="M33" s="106"/>
      <c r="N33" s="106"/>
      <c r="O33" s="106"/>
      <c r="P33" s="106"/>
      <c r="Q33" s="106"/>
      <c r="R33" s="106"/>
      <c r="S33" s="106">
        <v>150</v>
      </c>
      <c r="T33" s="106"/>
      <c r="U33" s="106"/>
      <c r="V33" s="106"/>
      <c r="W33" s="106"/>
      <c r="X33" s="106"/>
      <c r="Y33" s="106"/>
      <c r="Z33" s="106"/>
      <c r="AA33" s="106"/>
      <c r="AB33" s="106">
        <v>142</v>
      </c>
      <c r="AC33" s="106"/>
      <c r="AD33" s="106"/>
      <c r="AE33" s="106"/>
      <c r="AF33" s="106"/>
      <c r="AG33" s="106"/>
      <c r="AH33" s="106"/>
      <c r="AI33" s="106"/>
      <c r="AJ33" s="106"/>
      <c r="AK33" s="106">
        <v>142</v>
      </c>
      <c r="AL33" s="106"/>
      <c r="AM33" s="106"/>
      <c r="AN33" s="106"/>
      <c r="AO33" s="106"/>
      <c r="AP33" s="106"/>
      <c r="AQ33" s="106"/>
      <c r="AR33" s="106"/>
      <c r="AS33" s="106"/>
    </row>
    <row r="34" spans="1:45" ht="16.5">
      <c r="A34" s="90" t="s">
        <v>436</v>
      </c>
      <c r="B34" s="90"/>
      <c r="C34" s="90"/>
      <c r="D34" s="90"/>
      <c r="E34" s="90"/>
      <c r="F34" s="90"/>
      <c r="G34" s="90"/>
      <c r="H34" s="90" t="s">
        <v>435</v>
      </c>
      <c r="I34" s="90"/>
      <c r="J34" s="102">
        <f>IF(COUNT(J31)=0,"",ROUND(((J31-J32+J33)/J32),2))</f>
        <v>8</v>
      </c>
      <c r="K34" s="102"/>
      <c r="L34" s="102"/>
      <c r="M34" s="102"/>
      <c r="N34" s="102"/>
      <c r="O34" s="102"/>
      <c r="P34" s="102"/>
      <c r="Q34" s="102"/>
      <c r="R34" s="102"/>
      <c r="S34" s="102">
        <f>IF(COUNT(S31)=0,"",ROUND(((S31-S32+S33)/S32),2))</f>
        <v>8</v>
      </c>
      <c r="T34" s="102"/>
      <c r="U34" s="102"/>
      <c r="V34" s="102"/>
      <c r="W34" s="102"/>
      <c r="X34" s="102"/>
      <c r="Y34" s="102"/>
      <c r="Z34" s="102"/>
      <c r="AA34" s="102"/>
      <c r="AB34" s="102">
        <f>IF(COUNT(AB31)=0,"",ROUND(((AB31-AB32+AB33)/AB32),2))</f>
        <v>5.04</v>
      </c>
      <c r="AC34" s="102"/>
      <c r="AD34" s="102"/>
      <c r="AE34" s="102"/>
      <c r="AF34" s="102"/>
      <c r="AG34" s="102"/>
      <c r="AH34" s="102"/>
      <c r="AI34" s="102"/>
      <c r="AJ34" s="102"/>
      <c r="AK34" s="102">
        <f>IF(COUNT(AK31)=0,"",ROUND(((AK31-AK32+AK33)/AK32),2))</f>
        <v>5.04</v>
      </c>
      <c r="AL34" s="102"/>
      <c r="AM34" s="102"/>
      <c r="AN34" s="102"/>
      <c r="AO34" s="102"/>
      <c r="AP34" s="102"/>
      <c r="AQ34" s="102"/>
      <c r="AR34" s="102"/>
      <c r="AS34" s="102"/>
    </row>
    <row r="35" spans="1:45">
      <c r="A35" s="103" t="s">
        <v>434</v>
      </c>
      <c r="B35" s="103"/>
      <c r="C35" s="103"/>
      <c r="D35" s="103"/>
      <c r="E35" s="103"/>
      <c r="F35" s="103"/>
      <c r="G35" s="103"/>
      <c r="H35" s="104" t="s">
        <v>25</v>
      </c>
      <c r="I35" s="103"/>
      <c r="J35" s="105">
        <v>25.1</v>
      </c>
      <c r="K35" s="105"/>
      <c r="L35" s="105"/>
      <c r="M35" s="105"/>
      <c r="N35" s="105"/>
      <c r="O35" s="105"/>
      <c r="P35" s="105"/>
      <c r="Q35" s="105"/>
      <c r="R35" s="105"/>
      <c r="S35" s="105">
        <v>25.1</v>
      </c>
      <c r="T35" s="105"/>
      <c r="U35" s="105"/>
      <c r="V35" s="105"/>
      <c r="W35" s="105"/>
      <c r="X35" s="105"/>
      <c r="Y35" s="105"/>
      <c r="Z35" s="105"/>
      <c r="AA35" s="105"/>
      <c r="AB35" s="105">
        <v>25.3</v>
      </c>
      <c r="AC35" s="105"/>
      <c r="AD35" s="105"/>
      <c r="AE35" s="105"/>
      <c r="AF35" s="105"/>
      <c r="AG35" s="105"/>
      <c r="AH35" s="105"/>
      <c r="AI35" s="105"/>
      <c r="AJ35" s="105"/>
      <c r="AK35" s="105">
        <v>25.2</v>
      </c>
      <c r="AL35" s="105"/>
      <c r="AM35" s="105"/>
      <c r="AN35" s="105"/>
      <c r="AO35" s="105"/>
      <c r="AP35" s="105"/>
      <c r="AQ35" s="105"/>
      <c r="AR35" s="105"/>
      <c r="AS35" s="105"/>
    </row>
    <row r="36" spans="1:45">
      <c r="A36" s="64" t="s">
        <v>433</v>
      </c>
      <c r="B36" s="64"/>
      <c r="C36" s="64"/>
      <c r="D36" s="64"/>
      <c r="E36" s="98" t="s">
        <v>432</v>
      </c>
      <c r="F36" s="98"/>
      <c r="G36" s="98"/>
      <c r="H36" s="98"/>
      <c r="I36" s="98"/>
      <c r="J36" s="99">
        <v>5.62</v>
      </c>
      <c r="K36" s="99"/>
      <c r="L36" s="99"/>
      <c r="M36" s="99"/>
      <c r="N36" s="99"/>
      <c r="O36" s="99"/>
      <c r="P36" s="99"/>
      <c r="Q36" s="99"/>
      <c r="R36" s="99"/>
      <c r="S36" s="99">
        <v>5.59</v>
      </c>
      <c r="T36" s="99"/>
      <c r="U36" s="99"/>
      <c r="V36" s="99"/>
      <c r="W36" s="99"/>
      <c r="X36" s="99"/>
      <c r="Y36" s="99"/>
      <c r="Z36" s="99"/>
      <c r="AA36" s="99"/>
      <c r="AB36" s="99">
        <v>9.2799999999999994</v>
      </c>
      <c r="AC36" s="99"/>
      <c r="AD36" s="99"/>
      <c r="AE36" s="99"/>
      <c r="AF36" s="99"/>
      <c r="AG36" s="99"/>
      <c r="AH36" s="99"/>
      <c r="AI36" s="99"/>
      <c r="AJ36" s="99"/>
      <c r="AK36" s="97">
        <v>9.3000000000000007</v>
      </c>
      <c r="AL36" s="97"/>
      <c r="AM36" s="97"/>
      <c r="AN36" s="97"/>
      <c r="AO36" s="97"/>
      <c r="AP36" s="97"/>
      <c r="AQ36" s="97"/>
      <c r="AR36" s="97"/>
      <c r="AS36" s="97"/>
    </row>
    <row r="37" spans="1:45">
      <c r="A37" s="64"/>
      <c r="B37" s="64"/>
      <c r="C37" s="64"/>
      <c r="D37" s="64"/>
      <c r="E37" s="98" t="s">
        <v>431</v>
      </c>
      <c r="F37" s="98"/>
      <c r="G37" s="98"/>
      <c r="H37" s="98"/>
      <c r="I37" s="98"/>
      <c r="J37" s="99">
        <f>IF(COUNT(J36)=0,"",ROUND(AVERAGE(J36:AA36),1))</f>
        <v>5.6</v>
      </c>
      <c r="K37" s="99"/>
      <c r="L37" s="99"/>
      <c r="M37" s="99"/>
      <c r="N37" s="99"/>
      <c r="O37" s="99"/>
      <c r="P37" s="99"/>
      <c r="Q37" s="99"/>
      <c r="R37" s="99"/>
      <c r="S37" s="99"/>
      <c r="T37" s="99"/>
      <c r="U37" s="99"/>
      <c r="V37" s="99"/>
      <c r="W37" s="99"/>
      <c r="X37" s="99"/>
      <c r="Y37" s="99"/>
      <c r="Z37" s="99"/>
      <c r="AA37" s="99"/>
      <c r="AB37" s="99">
        <f>IF(COUNT(AB36)=0,"",ROUND(AVERAGE(AB36:AS36),1))</f>
        <v>9.3000000000000007</v>
      </c>
      <c r="AC37" s="99"/>
      <c r="AD37" s="99"/>
      <c r="AE37" s="99"/>
      <c r="AF37" s="99"/>
      <c r="AG37" s="99"/>
      <c r="AH37" s="99"/>
      <c r="AI37" s="99"/>
      <c r="AJ37" s="99"/>
      <c r="AK37" s="99"/>
      <c r="AL37" s="99"/>
      <c r="AM37" s="99"/>
      <c r="AN37" s="99"/>
      <c r="AO37" s="99"/>
      <c r="AP37" s="99"/>
      <c r="AQ37" s="99"/>
      <c r="AR37" s="99"/>
      <c r="AS37" s="99"/>
    </row>
    <row r="38" spans="1:45">
      <c r="A38" s="64" t="s">
        <v>26</v>
      </c>
      <c r="B38" s="64"/>
      <c r="C38" s="64"/>
      <c r="D38" s="64"/>
      <c r="E38" s="98" t="s">
        <v>430</v>
      </c>
      <c r="F38" s="98"/>
      <c r="G38" s="98"/>
      <c r="H38" s="98"/>
      <c r="I38" s="98"/>
      <c r="J38" s="97">
        <v>7.15</v>
      </c>
      <c r="K38" s="97"/>
      <c r="L38" s="97"/>
      <c r="M38" s="97"/>
      <c r="N38" s="97"/>
      <c r="O38" s="97"/>
      <c r="P38" s="97"/>
      <c r="Q38" s="97"/>
      <c r="R38" s="97"/>
      <c r="S38" s="97">
        <v>7.02</v>
      </c>
      <c r="T38" s="97"/>
      <c r="U38" s="97"/>
      <c r="V38" s="97"/>
      <c r="W38" s="97"/>
      <c r="X38" s="97"/>
      <c r="Y38" s="97"/>
      <c r="Z38" s="97"/>
      <c r="AA38" s="97"/>
      <c r="AB38" s="100">
        <v>43</v>
      </c>
      <c r="AC38" s="100"/>
      <c r="AD38" s="100"/>
      <c r="AE38" s="100"/>
      <c r="AF38" s="100"/>
      <c r="AG38" s="100"/>
      <c r="AH38" s="100"/>
      <c r="AI38" s="100"/>
      <c r="AJ38" s="100"/>
      <c r="AK38" s="100">
        <v>42.8</v>
      </c>
      <c r="AL38" s="100"/>
      <c r="AM38" s="100"/>
      <c r="AN38" s="100"/>
      <c r="AO38" s="100"/>
      <c r="AP38" s="100"/>
      <c r="AQ38" s="100"/>
      <c r="AR38" s="100"/>
      <c r="AS38" s="100"/>
    </row>
    <row r="39" spans="1:45">
      <c r="A39" s="64"/>
      <c r="B39" s="64"/>
      <c r="C39" s="64"/>
      <c r="D39" s="64"/>
      <c r="E39" s="98" t="s">
        <v>429</v>
      </c>
      <c r="F39" s="98"/>
      <c r="G39" s="98"/>
      <c r="H39" s="98"/>
      <c r="I39" s="98"/>
      <c r="J39" s="99">
        <f>IF(COUNT(J38)=0,"",ROUND(AVERAGE(J38:AA38),1))</f>
        <v>7.1</v>
      </c>
      <c r="K39" s="99"/>
      <c r="L39" s="99"/>
      <c r="M39" s="99"/>
      <c r="N39" s="99"/>
      <c r="O39" s="99"/>
      <c r="P39" s="99"/>
      <c r="Q39" s="99"/>
      <c r="R39" s="99"/>
      <c r="S39" s="99"/>
      <c r="T39" s="99"/>
      <c r="U39" s="99"/>
      <c r="V39" s="99"/>
      <c r="W39" s="99"/>
      <c r="X39" s="99"/>
      <c r="Y39" s="99"/>
      <c r="Z39" s="99"/>
      <c r="AA39" s="99"/>
      <c r="AB39" s="101">
        <f>IF(COUNT(AB38)=0,"",ROUND(AVERAGE(AB38:AS38),1))</f>
        <v>42.9</v>
      </c>
      <c r="AC39" s="101"/>
      <c r="AD39" s="101"/>
      <c r="AE39" s="101"/>
      <c r="AF39" s="101"/>
      <c r="AG39" s="101"/>
      <c r="AH39" s="101"/>
      <c r="AI39" s="101"/>
      <c r="AJ39" s="101"/>
      <c r="AK39" s="101"/>
      <c r="AL39" s="101"/>
      <c r="AM39" s="101"/>
      <c r="AN39" s="101"/>
      <c r="AO39" s="101"/>
      <c r="AP39" s="101"/>
      <c r="AQ39" s="101"/>
      <c r="AR39" s="101"/>
      <c r="AS39" s="101"/>
    </row>
    <row r="40" spans="1:45">
      <c r="A40" s="87" t="s">
        <v>65</v>
      </c>
      <c r="B40" s="87"/>
      <c r="C40" s="87"/>
      <c r="D40" s="87"/>
      <c r="E40" s="96" t="s">
        <v>428</v>
      </c>
      <c r="F40" s="96"/>
      <c r="G40" s="96"/>
      <c r="H40" s="96"/>
      <c r="I40" s="96"/>
      <c r="J40" s="95">
        <v>717</v>
      </c>
      <c r="K40" s="95"/>
      <c r="L40" s="95"/>
      <c r="M40" s="95"/>
      <c r="N40" s="95"/>
      <c r="O40" s="95"/>
      <c r="P40" s="95">
        <v>365</v>
      </c>
      <c r="Q40" s="95"/>
      <c r="R40" s="95"/>
      <c r="S40" s="95"/>
      <c r="T40" s="95"/>
      <c r="U40" s="95"/>
      <c r="V40" s="95">
        <v>1890</v>
      </c>
      <c r="W40" s="95"/>
      <c r="X40" s="95"/>
      <c r="Y40" s="95"/>
      <c r="Z40" s="95"/>
      <c r="AA40" s="95"/>
      <c r="AB40" s="95">
        <v>556</v>
      </c>
      <c r="AC40" s="95"/>
      <c r="AD40" s="95"/>
      <c r="AE40" s="95"/>
      <c r="AF40" s="95"/>
      <c r="AG40" s="95"/>
      <c r="AH40" s="95">
        <v>1914</v>
      </c>
      <c r="AI40" s="95"/>
      <c r="AJ40" s="95"/>
      <c r="AK40" s="95"/>
      <c r="AL40" s="95"/>
      <c r="AM40" s="95"/>
      <c r="AN40" s="95">
        <v>1256</v>
      </c>
      <c r="AO40" s="95"/>
      <c r="AP40" s="95"/>
      <c r="AQ40" s="95"/>
      <c r="AR40" s="95"/>
      <c r="AS40" s="95"/>
    </row>
    <row r="41" spans="1:45" ht="16.5">
      <c r="A41" s="88"/>
      <c r="B41" s="88"/>
      <c r="C41" s="88"/>
      <c r="D41" s="88"/>
      <c r="E41" s="92" t="s">
        <v>427</v>
      </c>
      <c r="F41" s="92"/>
      <c r="G41" s="92"/>
      <c r="H41" s="92" t="s">
        <v>424</v>
      </c>
      <c r="I41" s="92"/>
      <c r="J41" s="93">
        <v>40.06</v>
      </c>
      <c r="K41" s="93"/>
      <c r="L41" s="93"/>
      <c r="M41" s="93"/>
      <c r="N41" s="93"/>
      <c r="O41" s="93"/>
      <c r="P41" s="93">
        <v>38.81</v>
      </c>
      <c r="Q41" s="93"/>
      <c r="R41" s="93"/>
      <c r="S41" s="93"/>
      <c r="T41" s="93"/>
      <c r="U41" s="93"/>
      <c r="V41" s="93">
        <v>37.909999999999997</v>
      </c>
      <c r="W41" s="93"/>
      <c r="X41" s="93"/>
      <c r="Y41" s="93"/>
      <c r="Z41" s="93"/>
      <c r="AA41" s="93"/>
      <c r="AB41" s="94">
        <v>42.1</v>
      </c>
      <c r="AC41" s="94"/>
      <c r="AD41" s="94"/>
      <c r="AE41" s="94"/>
      <c r="AF41" s="94"/>
      <c r="AG41" s="94"/>
      <c r="AH41" s="94">
        <v>43.84</v>
      </c>
      <c r="AI41" s="94"/>
      <c r="AJ41" s="94"/>
      <c r="AK41" s="94"/>
      <c r="AL41" s="94"/>
      <c r="AM41" s="94"/>
      <c r="AN41" s="94">
        <v>44.84</v>
      </c>
      <c r="AO41" s="94"/>
      <c r="AP41" s="94"/>
      <c r="AQ41" s="94"/>
      <c r="AR41" s="94"/>
      <c r="AS41" s="94"/>
    </row>
    <row r="42" spans="1:45" ht="16.5">
      <c r="A42" s="88"/>
      <c r="B42" s="88"/>
      <c r="C42" s="88"/>
      <c r="D42" s="88"/>
      <c r="E42" s="92" t="s">
        <v>426</v>
      </c>
      <c r="F42" s="92"/>
      <c r="G42" s="92"/>
      <c r="H42" s="92" t="s">
        <v>424</v>
      </c>
      <c r="I42" s="92"/>
      <c r="J42" s="93">
        <v>26.74</v>
      </c>
      <c r="K42" s="93"/>
      <c r="L42" s="93"/>
      <c r="M42" s="93"/>
      <c r="N42" s="93"/>
      <c r="O42" s="93"/>
      <c r="P42" s="93">
        <v>26.29</v>
      </c>
      <c r="Q42" s="93"/>
      <c r="R42" s="93"/>
      <c r="S42" s="93"/>
      <c r="T42" s="93"/>
      <c r="U42" s="93"/>
      <c r="V42" s="93">
        <v>26.1</v>
      </c>
      <c r="W42" s="93"/>
      <c r="X42" s="93"/>
      <c r="Y42" s="93"/>
      <c r="Z42" s="93"/>
      <c r="AA42" s="93"/>
      <c r="AB42" s="94">
        <v>37.43</v>
      </c>
      <c r="AC42" s="94"/>
      <c r="AD42" s="94"/>
      <c r="AE42" s="94"/>
      <c r="AF42" s="94"/>
      <c r="AG42" s="94"/>
      <c r="AH42" s="94">
        <v>38.78</v>
      </c>
      <c r="AI42" s="94"/>
      <c r="AJ42" s="94"/>
      <c r="AK42" s="94"/>
      <c r="AL42" s="94"/>
      <c r="AM42" s="94"/>
      <c r="AN42" s="94">
        <v>39.549999999999997</v>
      </c>
      <c r="AO42" s="94"/>
      <c r="AP42" s="94"/>
      <c r="AQ42" s="94"/>
      <c r="AR42" s="94"/>
      <c r="AS42" s="94"/>
    </row>
    <row r="43" spans="1:45" ht="16.5">
      <c r="A43" s="88"/>
      <c r="B43" s="88"/>
      <c r="C43" s="88"/>
      <c r="D43" s="88"/>
      <c r="E43" s="92" t="s">
        <v>425</v>
      </c>
      <c r="F43" s="92"/>
      <c r="G43" s="92"/>
      <c r="H43" s="92" t="s">
        <v>424</v>
      </c>
      <c r="I43" s="92"/>
      <c r="J43" s="93">
        <v>22.18</v>
      </c>
      <c r="K43" s="93"/>
      <c r="L43" s="93"/>
      <c r="M43" s="93"/>
      <c r="N43" s="93"/>
      <c r="O43" s="93"/>
      <c r="P43" s="93">
        <v>22.2</v>
      </c>
      <c r="Q43" s="93"/>
      <c r="R43" s="93"/>
      <c r="S43" s="93"/>
      <c r="T43" s="93"/>
      <c r="U43" s="93"/>
      <c r="V43" s="93">
        <v>22.19</v>
      </c>
      <c r="W43" s="93"/>
      <c r="X43" s="93"/>
      <c r="Y43" s="93"/>
      <c r="Z43" s="93"/>
      <c r="AA43" s="93"/>
      <c r="AB43" s="93">
        <v>22.17</v>
      </c>
      <c r="AC43" s="93"/>
      <c r="AD43" s="93"/>
      <c r="AE43" s="93"/>
      <c r="AF43" s="93"/>
      <c r="AG43" s="93"/>
      <c r="AH43" s="93">
        <v>22.19</v>
      </c>
      <c r="AI43" s="93"/>
      <c r="AJ43" s="93"/>
      <c r="AK43" s="93"/>
      <c r="AL43" s="93"/>
      <c r="AM43" s="93"/>
      <c r="AN43" s="93">
        <v>22.2</v>
      </c>
      <c r="AO43" s="93"/>
      <c r="AP43" s="93"/>
      <c r="AQ43" s="93"/>
      <c r="AR43" s="93"/>
      <c r="AS43" s="93"/>
    </row>
    <row r="44" spans="1:45">
      <c r="A44" s="88"/>
      <c r="B44" s="88"/>
      <c r="C44" s="88"/>
      <c r="D44" s="88"/>
      <c r="E44" s="90" t="s">
        <v>27</v>
      </c>
      <c r="F44" s="90"/>
      <c r="G44" s="90"/>
      <c r="H44" s="90" t="s">
        <v>28</v>
      </c>
      <c r="I44" s="90"/>
      <c r="J44" s="91">
        <f>IF(COUNT(J41)=0,"",ROUND((J41-J42)/(J42-J43)*100,1))</f>
        <v>292.10000000000002</v>
      </c>
      <c r="K44" s="91"/>
      <c r="L44" s="91"/>
      <c r="M44" s="91"/>
      <c r="N44" s="91"/>
      <c r="O44" s="91"/>
      <c r="P44" s="91">
        <f>IF(COUNT(P41)=0,"",ROUND((P41-P42)/(P42-P43)*100,1))</f>
        <v>306.10000000000002</v>
      </c>
      <c r="Q44" s="91"/>
      <c r="R44" s="91"/>
      <c r="S44" s="91"/>
      <c r="T44" s="91"/>
      <c r="U44" s="91"/>
      <c r="V44" s="91">
        <f>IF(COUNT(V41)=0,"",ROUND((V41-V42)/(V42-V43)*100,1))</f>
        <v>302</v>
      </c>
      <c r="W44" s="91"/>
      <c r="X44" s="91"/>
      <c r="Y44" s="91"/>
      <c r="Z44" s="91"/>
      <c r="AA44" s="91"/>
      <c r="AB44" s="83">
        <f>IF(COUNT(AB41)=0,"",ROUND((AB41-AB42)/(AB42-AB43)*100,1))</f>
        <v>30.6</v>
      </c>
      <c r="AC44" s="83"/>
      <c r="AD44" s="83"/>
      <c r="AE44" s="83"/>
      <c r="AF44" s="83"/>
      <c r="AG44" s="83"/>
      <c r="AH44" s="83">
        <f>IF(COUNT(AH41)=0,"",ROUND((AH41-AH42)/(AH42-AH43)*100,1))</f>
        <v>30.5</v>
      </c>
      <c r="AI44" s="83"/>
      <c r="AJ44" s="83"/>
      <c r="AK44" s="83"/>
      <c r="AL44" s="83"/>
      <c r="AM44" s="83"/>
      <c r="AN44" s="83">
        <f>IF(COUNT(AN41)=0,"",ROUND((AN41-AN42)/(AN42-AN43)*100,1))</f>
        <v>30.5</v>
      </c>
      <c r="AO44" s="83"/>
      <c r="AP44" s="83"/>
      <c r="AQ44" s="83"/>
      <c r="AR44" s="83"/>
      <c r="AS44" s="83"/>
    </row>
    <row r="45" spans="1:45">
      <c r="A45" s="89"/>
      <c r="B45" s="89"/>
      <c r="C45" s="89"/>
      <c r="D45" s="89"/>
      <c r="E45" s="84" t="s">
        <v>423</v>
      </c>
      <c r="F45" s="84"/>
      <c r="G45" s="84"/>
      <c r="H45" s="84" t="s">
        <v>28</v>
      </c>
      <c r="I45" s="84"/>
      <c r="J45" s="85">
        <f>IF(COUNT(J41)=0,"",ROUND(AVERAGE(J44:AA44),1))</f>
        <v>300.10000000000002</v>
      </c>
      <c r="K45" s="85"/>
      <c r="L45" s="85"/>
      <c r="M45" s="85"/>
      <c r="N45" s="85"/>
      <c r="O45" s="85"/>
      <c r="P45" s="85"/>
      <c r="Q45" s="85"/>
      <c r="R45" s="85"/>
      <c r="S45" s="85"/>
      <c r="T45" s="85"/>
      <c r="U45" s="85"/>
      <c r="V45" s="85"/>
      <c r="W45" s="85"/>
      <c r="X45" s="85"/>
      <c r="Y45" s="85"/>
      <c r="Z45" s="85"/>
      <c r="AA45" s="85"/>
      <c r="AB45" s="86">
        <f>IF(COUNT(AB41)=0,"",ROUND(AVERAGE(AB44:AS44),1))</f>
        <v>30.5</v>
      </c>
      <c r="AC45" s="86"/>
      <c r="AD45" s="86"/>
      <c r="AE45" s="86"/>
      <c r="AF45" s="86"/>
      <c r="AG45" s="86"/>
      <c r="AH45" s="86"/>
      <c r="AI45" s="86"/>
      <c r="AJ45" s="86"/>
      <c r="AK45" s="86"/>
      <c r="AL45" s="86"/>
      <c r="AM45" s="86"/>
      <c r="AN45" s="86"/>
      <c r="AO45" s="86"/>
      <c r="AP45" s="86"/>
      <c r="AQ45" s="86"/>
      <c r="AR45" s="86"/>
      <c r="AS45" s="86"/>
    </row>
    <row r="46" spans="1:45">
      <c r="A46" s="79" t="s">
        <v>422</v>
      </c>
      <c r="B46" s="79"/>
      <c r="C46" s="79"/>
      <c r="D46" s="79"/>
      <c r="E46" s="79"/>
      <c r="F46" s="79"/>
      <c r="G46" s="79"/>
      <c r="H46" s="79"/>
      <c r="I46" s="79"/>
      <c r="J46" s="81" t="s">
        <v>421</v>
      </c>
      <c r="K46" s="81"/>
      <c r="L46" s="81"/>
      <c r="M46" s="81"/>
      <c r="N46" s="81"/>
      <c r="O46" s="81"/>
      <c r="P46" s="81"/>
      <c r="Q46" s="81"/>
      <c r="R46" s="81"/>
      <c r="S46" s="81"/>
      <c r="T46" s="81"/>
      <c r="U46" s="81"/>
      <c r="V46" s="81"/>
      <c r="W46" s="81"/>
      <c r="X46" s="81"/>
      <c r="Y46" s="81"/>
      <c r="Z46" s="81"/>
      <c r="AA46" s="81"/>
      <c r="AB46" s="81" t="s">
        <v>420</v>
      </c>
      <c r="AC46" s="81"/>
      <c r="AD46" s="81"/>
      <c r="AE46" s="81"/>
      <c r="AF46" s="81"/>
      <c r="AG46" s="81"/>
      <c r="AH46" s="81"/>
      <c r="AI46" s="81"/>
      <c r="AJ46" s="81"/>
      <c r="AK46" s="81"/>
      <c r="AL46" s="81"/>
      <c r="AM46" s="81"/>
      <c r="AN46" s="81"/>
      <c r="AO46" s="81"/>
      <c r="AP46" s="81"/>
      <c r="AQ46" s="81"/>
      <c r="AR46" s="81"/>
      <c r="AS46" s="81"/>
    </row>
    <row r="47" spans="1:45">
      <c r="A47" s="80"/>
      <c r="B47" s="80"/>
      <c r="C47" s="80"/>
      <c r="D47" s="80"/>
      <c r="E47" s="80"/>
      <c r="F47" s="80"/>
      <c r="G47" s="80"/>
      <c r="H47" s="80"/>
      <c r="I47" s="80"/>
      <c r="J47" s="82"/>
      <c r="K47" s="82"/>
      <c r="L47" s="82"/>
      <c r="M47" s="82"/>
      <c r="N47" s="82"/>
      <c r="O47" s="82"/>
      <c r="P47" s="82"/>
      <c r="Q47" s="82"/>
      <c r="R47" s="82"/>
      <c r="S47" s="82"/>
      <c r="T47" s="82"/>
      <c r="U47" s="82"/>
      <c r="V47" s="82"/>
      <c r="W47" s="82"/>
      <c r="X47" s="82"/>
      <c r="Y47" s="82"/>
      <c r="Z47" s="82"/>
      <c r="AA47" s="82"/>
      <c r="AB47" s="82"/>
      <c r="AC47" s="82"/>
      <c r="AD47" s="82"/>
      <c r="AE47" s="82"/>
      <c r="AF47" s="82"/>
      <c r="AG47" s="82"/>
      <c r="AH47" s="82"/>
      <c r="AI47" s="82"/>
      <c r="AJ47" s="82"/>
      <c r="AK47" s="82"/>
      <c r="AL47" s="82"/>
      <c r="AM47" s="82"/>
      <c r="AN47" s="82"/>
      <c r="AO47" s="82"/>
      <c r="AP47" s="82"/>
      <c r="AQ47" s="82"/>
      <c r="AR47" s="82"/>
      <c r="AS47" s="82"/>
    </row>
    <row r="48" spans="1:45">
      <c r="A48" s="6"/>
    </row>
    <row r="49" spans="1:14">
      <c r="A49" s="6"/>
    </row>
    <row r="50" spans="1:14">
      <c r="A50" s="6"/>
    </row>
    <row r="51" spans="1:14">
      <c r="A51" s="6"/>
      <c r="N51" s="36"/>
    </row>
    <row r="52" spans="1:14" ht="24.75" customHeight="1">
      <c r="A52" s="6"/>
    </row>
  </sheetData>
  <mergeCells count="241">
    <mergeCell ref="A17:D18"/>
    <mergeCell ref="AH7:AM7"/>
    <mergeCell ref="AB10:AS10"/>
    <mergeCell ref="AB9:AG9"/>
    <mergeCell ref="AB3:AG4"/>
    <mergeCell ref="AB5:AG6"/>
    <mergeCell ref="A3:G4"/>
    <mergeCell ref="H3:AA4"/>
    <mergeCell ref="A5:AA6"/>
    <mergeCell ref="AH3:AS4"/>
    <mergeCell ref="S12:AA12"/>
    <mergeCell ref="AB12:AJ12"/>
    <mergeCell ref="AK12:AS12"/>
    <mergeCell ref="A7:I7"/>
    <mergeCell ref="A9:I9"/>
    <mergeCell ref="A10:I10"/>
    <mergeCell ref="A1:D2"/>
    <mergeCell ref="E1:G1"/>
    <mergeCell ref="E2:G2"/>
    <mergeCell ref="H1:AJ2"/>
    <mergeCell ref="AK1:AS2"/>
    <mergeCell ref="H16:I16"/>
    <mergeCell ref="A16:G16"/>
    <mergeCell ref="J16:R16"/>
    <mergeCell ref="H15:I15"/>
    <mergeCell ref="A15:G15"/>
    <mergeCell ref="J11:R11"/>
    <mergeCell ref="S11:AA11"/>
    <mergeCell ref="AB11:AJ11"/>
    <mergeCell ref="AK11:AS11"/>
    <mergeCell ref="V8:AA8"/>
    <mergeCell ref="P9:U9"/>
    <mergeCell ref="V9:AA9"/>
    <mergeCell ref="AB8:AG8"/>
    <mergeCell ref="AH8:AM8"/>
    <mergeCell ref="AN8:AS8"/>
    <mergeCell ref="AH9:AM9"/>
    <mergeCell ref="AN9:AS9"/>
    <mergeCell ref="AH5:AS6"/>
    <mergeCell ref="J7:O7"/>
    <mergeCell ref="E21:I21"/>
    <mergeCell ref="J21:O21"/>
    <mergeCell ref="P21:U21"/>
    <mergeCell ref="V21:AA21"/>
    <mergeCell ref="H13:I13"/>
    <mergeCell ref="H14:I14"/>
    <mergeCell ref="P7:U7"/>
    <mergeCell ref="V7:AA7"/>
    <mergeCell ref="J8:O8"/>
    <mergeCell ref="J9:O9"/>
    <mergeCell ref="J13:R13"/>
    <mergeCell ref="S13:AA13"/>
    <mergeCell ref="J15:R15"/>
    <mergeCell ref="S15:AA15"/>
    <mergeCell ref="J14:R14"/>
    <mergeCell ref="S14:AA14"/>
    <mergeCell ref="S16:AA16"/>
    <mergeCell ref="J17:R17"/>
    <mergeCell ref="S17:AA17"/>
    <mergeCell ref="E17:I17"/>
    <mergeCell ref="J10:AA10"/>
    <mergeCell ref="P8:U8"/>
    <mergeCell ref="J20:AA20"/>
    <mergeCell ref="AH22:AM22"/>
    <mergeCell ref="AN22:AS22"/>
    <mergeCell ref="P22:U22"/>
    <mergeCell ref="AB7:AG7"/>
    <mergeCell ref="AN7:AS7"/>
    <mergeCell ref="AB13:AJ13"/>
    <mergeCell ref="AK13:AS13"/>
    <mergeCell ref="AB14:AJ14"/>
    <mergeCell ref="AK14:AS14"/>
    <mergeCell ref="AB15:AJ15"/>
    <mergeCell ref="AK15:AS15"/>
    <mergeCell ref="AB16:AJ16"/>
    <mergeCell ref="AK16:AS16"/>
    <mergeCell ref="AB17:AJ17"/>
    <mergeCell ref="AK17:AS17"/>
    <mergeCell ref="J18:AA18"/>
    <mergeCell ref="AB18:AS18"/>
    <mergeCell ref="J19:R19"/>
    <mergeCell ref="AK19:AS19"/>
    <mergeCell ref="AB20:AS20"/>
    <mergeCell ref="H22:I22"/>
    <mergeCell ref="E22:G22"/>
    <mergeCell ref="E23:G23"/>
    <mergeCell ref="H23:I23"/>
    <mergeCell ref="J23:O23"/>
    <mergeCell ref="P23:U23"/>
    <mergeCell ref="V23:AA23"/>
    <mergeCell ref="AB21:AG21"/>
    <mergeCell ref="A8:I8"/>
    <mergeCell ref="H12:I12"/>
    <mergeCell ref="A11:G11"/>
    <mergeCell ref="H11:I11"/>
    <mergeCell ref="J12:R12"/>
    <mergeCell ref="J22:O22"/>
    <mergeCell ref="A12:G12"/>
    <mergeCell ref="A13:G13"/>
    <mergeCell ref="A14:G14"/>
    <mergeCell ref="E18:I18"/>
    <mergeCell ref="A19:D20"/>
    <mergeCell ref="E19:I19"/>
    <mergeCell ref="E20:I20"/>
    <mergeCell ref="S19:AA19"/>
    <mergeCell ref="AB19:AJ19"/>
    <mergeCell ref="V22:AA22"/>
    <mergeCell ref="P24:U24"/>
    <mergeCell ref="V24:AA24"/>
    <mergeCell ref="J25:O25"/>
    <mergeCell ref="P25:U25"/>
    <mergeCell ref="V25:AA25"/>
    <mergeCell ref="E24:G24"/>
    <mergeCell ref="H24:I24"/>
    <mergeCell ref="E25:G25"/>
    <mergeCell ref="H25:I25"/>
    <mergeCell ref="A27:I28"/>
    <mergeCell ref="J27:AA28"/>
    <mergeCell ref="AB27:AS28"/>
    <mergeCell ref="A29:I29"/>
    <mergeCell ref="J29:AA29"/>
    <mergeCell ref="AB29:AS29"/>
    <mergeCell ref="AB25:AG25"/>
    <mergeCell ref="AH25:AM25"/>
    <mergeCell ref="AN25:AS25"/>
    <mergeCell ref="E26:G26"/>
    <mergeCell ref="H26:I26"/>
    <mergeCell ref="J26:AA26"/>
    <mergeCell ref="AB26:AS26"/>
    <mergeCell ref="A21:D26"/>
    <mergeCell ref="AB23:AG23"/>
    <mergeCell ref="AH23:AM23"/>
    <mergeCell ref="AN23:AS23"/>
    <mergeCell ref="AB24:AG24"/>
    <mergeCell ref="AH24:AM24"/>
    <mergeCell ref="AN24:AS24"/>
    <mergeCell ref="AH21:AM21"/>
    <mergeCell ref="AN21:AS21"/>
    <mergeCell ref="AB22:AG22"/>
    <mergeCell ref="J24:O24"/>
    <mergeCell ref="AK30:AS30"/>
    <mergeCell ref="A31:G31"/>
    <mergeCell ref="H31:I31"/>
    <mergeCell ref="J31:R31"/>
    <mergeCell ref="S31:AA31"/>
    <mergeCell ref="AB31:AJ31"/>
    <mergeCell ref="AK31:AS31"/>
    <mergeCell ref="A30:G30"/>
    <mergeCell ref="H30:I30"/>
    <mergeCell ref="J30:R30"/>
    <mergeCell ref="S30:AA30"/>
    <mergeCell ref="AB30:AJ30"/>
    <mergeCell ref="AK32:AS32"/>
    <mergeCell ref="A33:G33"/>
    <mergeCell ref="H33:I33"/>
    <mergeCell ref="J33:R33"/>
    <mergeCell ref="S33:AA33"/>
    <mergeCell ref="AB33:AJ33"/>
    <mergeCell ref="AK33:AS33"/>
    <mergeCell ref="A32:G32"/>
    <mergeCell ref="H32:I32"/>
    <mergeCell ref="J32:R32"/>
    <mergeCell ref="S32:AA32"/>
    <mergeCell ref="AB32:AJ32"/>
    <mergeCell ref="AK34:AS34"/>
    <mergeCell ref="A35:G35"/>
    <mergeCell ref="H35:I35"/>
    <mergeCell ref="J35:R35"/>
    <mergeCell ref="S35:AA35"/>
    <mergeCell ref="AB35:AJ35"/>
    <mergeCell ref="AK35:AS35"/>
    <mergeCell ref="A34:G34"/>
    <mergeCell ref="H34:I34"/>
    <mergeCell ref="J34:R34"/>
    <mergeCell ref="S34:AA34"/>
    <mergeCell ref="AB34:AJ34"/>
    <mergeCell ref="AK36:AS36"/>
    <mergeCell ref="E37:I37"/>
    <mergeCell ref="J37:AA37"/>
    <mergeCell ref="AB37:AS37"/>
    <mergeCell ref="AB40:AG40"/>
    <mergeCell ref="A38:D39"/>
    <mergeCell ref="E38:I38"/>
    <mergeCell ref="J38:R38"/>
    <mergeCell ref="S38:AA38"/>
    <mergeCell ref="AB38:AJ38"/>
    <mergeCell ref="AK38:AS38"/>
    <mergeCell ref="E39:I39"/>
    <mergeCell ref="J39:AA39"/>
    <mergeCell ref="AB39:AS39"/>
    <mergeCell ref="A36:D37"/>
    <mergeCell ref="E36:I36"/>
    <mergeCell ref="J36:R36"/>
    <mergeCell ref="S36:AA36"/>
    <mergeCell ref="AB36:AJ36"/>
    <mergeCell ref="H42:I42"/>
    <mergeCell ref="J42:O42"/>
    <mergeCell ref="P42:U42"/>
    <mergeCell ref="V42:AA42"/>
    <mergeCell ref="AB42:AG42"/>
    <mergeCell ref="AH42:AM42"/>
    <mergeCell ref="AN42:AS42"/>
    <mergeCell ref="E43:G43"/>
    <mergeCell ref="AH40:AM40"/>
    <mergeCell ref="AN40:AS40"/>
    <mergeCell ref="E41:G41"/>
    <mergeCell ref="H41:I41"/>
    <mergeCell ref="J41:O41"/>
    <mergeCell ref="P41:U41"/>
    <mergeCell ref="V41:AA41"/>
    <mergeCell ref="AB41:AG41"/>
    <mergeCell ref="AH41:AM41"/>
    <mergeCell ref="AN41:AS41"/>
    <mergeCell ref="E40:I40"/>
    <mergeCell ref="J40:O40"/>
    <mergeCell ref="P40:U40"/>
    <mergeCell ref="V40:AA40"/>
    <mergeCell ref="A46:I47"/>
    <mergeCell ref="J46:AA47"/>
    <mergeCell ref="AB46:AS47"/>
    <mergeCell ref="AB44:AG44"/>
    <mergeCell ref="AH44:AM44"/>
    <mergeCell ref="AN44:AS44"/>
    <mergeCell ref="E45:G45"/>
    <mergeCell ref="H45:I45"/>
    <mergeCell ref="J45:AA45"/>
    <mergeCell ref="AB45:AS45"/>
    <mergeCell ref="A40:D45"/>
    <mergeCell ref="E44:G44"/>
    <mergeCell ref="H44:I44"/>
    <mergeCell ref="J44:O44"/>
    <mergeCell ref="P44:U44"/>
    <mergeCell ref="V44:AA44"/>
    <mergeCell ref="H43:I43"/>
    <mergeCell ref="J43:O43"/>
    <mergeCell ref="P43:U43"/>
    <mergeCell ref="V43:AA43"/>
    <mergeCell ref="AB43:AG43"/>
    <mergeCell ref="AH43:AM43"/>
    <mergeCell ref="AN43:AS43"/>
    <mergeCell ref="E42:G42"/>
  </mergeCells>
  <pageMargins left="0.39370078740157483" right="0.19685039370078741" top="0.98425196850393704" bottom="0.59055118110236227" header="0.51181102362204722" footer="0.51181102362204722"/>
  <pageSetup paperSize="9" orientation="portrait" horizontalDpi="4294967295" verticalDpi="4294967295"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2"/>
  <sheetViews>
    <sheetView view="pageBreakPreview" topLeftCell="A37" zoomScaleNormal="100" zoomScaleSheetLayoutView="100" workbookViewId="0">
      <selection activeCell="AK14" sqref="AK14:AS14"/>
    </sheetView>
  </sheetViews>
  <sheetFormatPr defaultColWidth="9" defaultRowHeight="15"/>
  <cols>
    <col min="1" max="45" width="2.140625" style="1" customWidth="1"/>
    <col min="46" max="16384" width="9" style="1"/>
  </cols>
  <sheetData>
    <row r="1" spans="1:46" ht="15" customHeight="1">
      <c r="A1" s="69" t="s">
        <v>5</v>
      </c>
      <c r="B1" s="70"/>
      <c r="C1" s="70"/>
      <c r="D1" s="70"/>
      <c r="E1" s="117" t="s">
        <v>6</v>
      </c>
      <c r="F1" s="117"/>
      <c r="G1" s="117"/>
      <c r="H1" s="119" t="s">
        <v>466</v>
      </c>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1"/>
      <c r="AK1" s="70"/>
      <c r="AL1" s="70"/>
      <c r="AM1" s="70"/>
      <c r="AN1" s="70"/>
      <c r="AO1" s="70"/>
      <c r="AP1" s="70"/>
      <c r="AQ1" s="70"/>
      <c r="AR1" s="70"/>
      <c r="AS1" s="71"/>
    </row>
    <row r="2" spans="1:46" ht="15" customHeight="1">
      <c r="A2" s="42"/>
      <c r="B2" s="68"/>
      <c r="C2" s="68"/>
      <c r="D2" s="68"/>
      <c r="E2" s="118" t="s">
        <v>7</v>
      </c>
      <c r="F2" s="118"/>
      <c r="G2" s="118"/>
      <c r="H2" s="122"/>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4"/>
      <c r="AK2" s="68"/>
      <c r="AL2" s="68"/>
      <c r="AM2" s="68"/>
      <c r="AN2" s="68"/>
      <c r="AO2" s="68"/>
      <c r="AP2" s="68"/>
      <c r="AQ2" s="68"/>
      <c r="AR2" s="68"/>
      <c r="AS2" s="43"/>
    </row>
    <row r="3" spans="1:46" ht="15" customHeight="1">
      <c r="A3" s="128" t="s">
        <v>464</v>
      </c>
      <c r="B3" s="129"/>
      <c r="C3" s="129"/>
      <c r="D3" s="129"/>
      <c r="E3" s="129"/>
      <c r="F3" s="129"/>
      <c r="G3" s="129"/>
      <c r="H3" s="70"/>
      <c r="I3" s="70"/>
      <c r="J3" s="70"/>
      <c r="K3" s="70"/>
      <c r="L3" s="70"/>
      <c r="M3" s="70"/>
      <c r="N3" s="70"/>
      <c r="O3" s="70"/>
      <c r="P3" s="70"/>
      <c r="Q3" s="70"/>
      <c r="R3" s="70"/>
      <c r="S3" s="70"/>
      <c r="T3" s="70"/>
      <c r="U3" s="70"/>
      <c r="V3" s="70"/>
      <c r="W3" s="70"/>
      <c r="X3" s="70"/>
      <c r="Y3" s="70"/>
      <c r="Z3" s="70"/>
      <c r="AA3" s="70"/>
      <c r="AB3" s="57" t="s">
        <v>463</v>
      </c>
      <c r="AC3" s="57"/>
      <c r="AD3" s="57"/>
      <c r="AE3" s="57"/>
      <c r="AF3" s="57"/>
      <c r="AG3" s="57"/>
      <c r="AH3" s="131">
        <v>42795</v>
      </c>
      <c r="AI3" s="131"/>
      <c r="AJ3" s="131"/>
      <c r="AK3" s="131"/>
      <c r="AL3" s="131"/>
      <c r="AM3" s="131"/>
      <c r="AN3" s="131"/>
      <c r="AO3" s="131"/>
      <c r="AP3" s="131"/>
      <c r="AQ3" s="131"/>
      <c r="AR3" s="131"/>
      <c r="AS3" s="132"/>
    </row>
    <row r="4" spans="1:46">
      <c r="A4" s="128"/>
      <c r="B4" s="129"/>
      <c r="C4" s="129"/>
      <c r="D4" s="129"/>
      <c r="E4" s="129"/>
      <c r="F4" s="129"/>
      <c r="G4" s="129"/>
      <c r="H4" s="130"/>
      <c r="I4" s="130"/>
      <c r="J4" s="130"/>
      <c r="K4" s="130"/>
      <c r="L4" s="130"/>
      <c r="M4" s="130"/>
      <c r="N4" s="130"/>
      <c r="O4" s="130"/>
      <c r="P4" s="130"/>
      <c r="Q4" s="130"/>
      <c r="R4" s="130"/>
      <c r="S4" s="130"/>
      <c r="T4" s="130"/>
      <c r="U4" s="130"/>
      <c r="V4" s="130"/>
      <c r="W4" s="130"/>
      <c r="X4" s="130"/>
      <c r="Y4" s="130"/>
      <c r="Z4" s="130"/>
      <c r="AA4" s="130"/>
      <c r="AB4" s="57"/>
      <c r="AC4" s="57"/>
      <c r="AD4" s="57"/>
      <c r="AE4" s="57"/>
      <c r="AF4" s="57"/>
      <c r="AG4" s="57"/>
      <c r="AH4" s="133"/>
      <c r="AI4" s="133"/>
      <c r="AJ4" s="133"/>
      <c r="AK4" s="133"/>
      <c r="AL4" s="133"/>
      <c r="AM4" s="133"/>
      <c r="AN4" s="133"/>
      <c r="AO4" s="133"/>
      <c r="AP4" s="133"/>
      <c r="AQ4" s="133"/>
      <c r="AR4" s="133"/>
      <c r="AS4" s="134"/>
    </row>
    <row r="5" spans="1:46" ht="15" customHeight="1">
      <c r="A5" s="47"/>
      <c r="B5" s="57"/>
      <c r="C5" s="57"/>
      <c r="D5" s="57"/>
      <c r="E5" s="57"/>
      <c r="F5" s="57"/>
      <c r="G5" s="57"/>
      <c r="H5" s="57"/>
      <c r="I5" s="57"/>
      <c r="J5" s="57"/>
      <c r="K5" s="57"/>
      <c r="L5" s="57"/>
      <c r="M5" s="57"/>
      <c r="N5" s="57"/>
      <c r="O5" s="57"/>
      <c r="P5" s="57"/>
      <c r="Q5" s="57"/>
      <c r="R5" s="57"/>
      <c r="S5" s="57"/>
      <c r="T5" s="57"/>
      <c r="U5" s="57"/>
      <c r="V5" s="57"/>
      <c r="W5" s="57"/>
      <c r="X5" s="57"/>
      <c r="Y5" s="57"/>
      <c r="Z5" s="57"/>
      <c r="AA5" s="57"/>
      <c r="AB5" s="57" t="s">
        <v>462</v>
      </c>
      <c r="AC5" s="57"/>
      <c r="AD5" s="57"/>
      <c r="AE5" s="57"/>
      <c r="AF5" s="57"/>
      <c r="AG5" s="57"/>
      <c r="AH5" s="125" t="s">
        <v>10</v>
      </c>
      <c r="AI5" s="125"/>
      <c r="AJ5" s="125"/>
      <c r="AK5" s="125"/>
      <c r="AL5" s="125"/>
      <c r="AM5" s="125"/>
      <c r="AN5" s="125"/>
      <c r="AO5" s="125"/>
      <c r="AP5" s="125"/>
      <c r="AQ5" s="125"/>
      <c r="AR5" s="125"/>
      <c r="AS5" s="110"/>
    </row>
    <row r="6" spans="1:46" ht="15" customHeight="1">
      <c r="A6" s="47"/>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126"/>
      <c r="AI6" s="126"/>
      <c r="AJ6" s="126"/>
      <c r="AK6" s="126"/>
      <c r="AL6" s="126"/>
      <c r="AM6" s="126"/>
      <c r="AN6" s="126"/>
      <c r="AO6" s="126"/>
      <c r="AP6" s="126"/>
      <c r="AQ6" s="126"/>
      <c r="AR6" s="126"/>
      <c r="AS6" s="127"/>
    </row>
    <row r="7" spans="1:46" ht="15" customHeight="1">
      <c r="A7" s="96" t="s">
        <v>460</v>
      </c>
      <c r="B7" s="96"/>
      <c r="C7" s="96"/>
      <c r="D7" s="96"/>
      <c r="E7" s="96"/>
      <c r="F7" s="96"/>
      <c r="G7" s="96"/>
      <c r="H7" s="96"/>
      <c r="I7" s="96"/>
      <c r="J7" s="113" t="s">
        <v>15</v>
      </c>
      <c r="K7" s="113"/>
      <c r="L7" s="113"/>
      <c r="M7" s="113"/>
      <c r="N7" s="113"/>
      <c r="O7" s="113"/>
      <c r="P7" s="113" t="s">
        <v>16</v>
      </c>
      <c r="Q7" s="113"/>
      <c r="R7" s="113"/>
      <c r="S7" s="113"/>
      <c r="T7" s="113"/>
      <c r="U7" s="113"/>
      <c r="V7" s="96" t="s">
        <v>17</v>
      </c>
      <c r="W7" s="96"/>
      <c r="X7" s="96"/>
      <c r="Y7" s="96"/>
      <c r="Z7" s="96"/>
      <c r="AA7" s="96"/>
      <c r="AB7" s="113" t="s">
        <v>18</v>
      </c>
      <c r="AC7" s="113"/>
      <c r="AD7" s="113"/>
      <c r="AE7" s="113"/>
      <c r="AF7" s="113"/>
      <c r="AG7" s="113"/>
      <c r="AH7" s="113" t="s">
        <v>19</v>
      </c>
      <c r="AI7" s="113"/>
      <c r="AJ7" s="113"/>
      <c r="AK7" s="113"/>
      <c r="AL7" s="113"/>
      <c r="AM7" s="113"/>
      <c r="AN7" s="113"/>
      <c r="AO7" s="113"/>
      <c r="AP7" s="113"/>
      <c r="AQ7" s="113"/>
      <c r="AR7" s="113"/>
      <c r="AS7" s="113"/>
    </row>
    <row r="8" spans="1:46" ht="15" customHeight="1">
      <c r="A8" s="108" t="s">
        <v>459</v>
      </c>
      <c r="B8" s="108"/>
      <c r="C8" s="108"/>
      <c r="D8" s="108"/>
      <c r="E8" s="108"/>
      <c r="F8" s="108"/>
      <c r="G8" s="108"/>
      <c r="H8" s="108"/>
      <c r="I8" s="108"/>
      <c r="J8" s="114"/>
      <c r="K8" s="114"/>
      <c r="L8" s="114"/>
      <c r="M8" s="114"/>
      <c r="N8" s="114"/>
      <c r="O8" s="114"/>
      <c r="P8" s="114" t="s">
        <v>11</v>
      </c>
      <c r="Q8" s="114"/>
      <c r="R8" s="114"/>
      <c r="S8" s="114"/>
      <c r="T8" s="114"/>
      <c r="U8" s="114"/>
      <c r="V8" s="114" t="s">
        <v>11</v>
      </c>
      <c r="W8" s="114"/>
      <c r="X8" s="114"/>
      <c r="Y8" s="114"/>
      <c r="Z8" s="114"/>
      <c r="AA8" s="114"/>
      <c r="AB8" s="114"/>
      <c r="AC8" s="114"/>
      <c r="AD8" s="114"/>
      <c r="AE8" s="114"/>
      <c r="AF8" s="114"/>
      <c r="AG8" s="114"/>
      <c r="AH8" s="114"/>
      <c r="AI8" s="114"/>
      <c r="AJ8" s="114"/>
      <c r="AK8" s="114"/>
      <c r="AL8" s="114"/>
      <c r="AM8" s="114"/>
      <c r="AN8" s="114"/>
      <c r="AO8" s="114"/>
      <c r="AP8" s="114"/>
      <c r="AQ8" s="114"/>
      <c r="AR8" s="114"/>
      <c r="AS8" s="114"/>
    </row>
    <row r="9" spans="1:46" ht="15" customHeight="1" thickBot="1">
      <c r="A9" s="135" t="s">
        <v>433</v>
      </c>
      <c r="B9" s="135"/>
      <c r="C9" s="135"/>
      <c r="D9" s="135"/>
      <c r="E9" s="135"/>
      <c r="F9" s="135"/>
      <c r="G9" s="135"/>
      <c r="H9" s="135"/>
      <c r="I9" s="135"/>
      <c r="J9" s="142"/>
      <c r="K9" s="142"/>
      <c r="L9" s="142"/>
      <c r="M9" s="142"/>
      <c r="N9" s="142"/>
      <c r="O9" s="142"/>
      <c r="P9" s="142" t="s">
        <v>12</v>
      </c>
      <c r="Q9" s="142"/>
      <c r="R9" s="142"/>
      <c r="S9" s="142"/>
      <c r="T9" s="142"/>
      <c r="U9" s="142"/>
      <c r="V9" s="142" t="s">
        <v>13</v>
      </c>
      <c r="W9" s="142"/>
      <c r="X9" s="142"/>
      <c r="Y9" s="142"/>
      <c r="Z9" s="142"/>
      <c r="AA9" s="142"/>
      <c r="AB9" s="142"/>
      <c r="AC9" s="142"/>
      <c r="AD9" s="142"/>
      <c r="AE9" s="142"/>
      <c r="AF9" s="142"/>
      <c r="AG9" s="142"/>
      <c r="AH9" s="142"/>
      <c r="AI9" s="142"/>
      <c r="AJ9" s="142"/>
      <c r="AK9" s="142"/>
      <c r="AL9" s="142"/>
      <c r="AM9" s="142"/>
      <c r="AN9" s="142"/>
      <c r="AO9" s="142"/>
      <c r="AP9" s="142"/>
      <c r="AQ9" s="142"/>
      <c r="AR9" s="142"/>
      <c r="AS9" s="142"/>
    </row>
    <row r="10" spans="1:46" ht="15" customHeight="1">
      <c r="A10" s="96" t="s">
        <v>448</v>
      </c>
      <c r="B10" s="96"/>
      <c r="C10" s="96"/>
      <c r="D10" s="96"/>
      <c r="E10" s="96"/>
      <c r="F10" s="96"/>
      <c r="G10" s="96"/>
      <c r="H10" s="96"/>
      <c r="I10" s="96"/>
      <c r="J10" s="141" t="s">
        <v>20</v>
      </c>
      <c r="K10" s="141"/>
      <c r="L10" s="141"/>
      <c r="M10" s="141"/>
      <c r="N10" s="141"/>
      <c r="O10" s="141"/>
      <c r="P10" s="141"/>
      <c r="Q10" s="141"/>
      <c r="R10" s="141"/>
      <c r="S10" s="141"/>
      <c r="T10" s="141"/>
      <c r="U10" s="141"/>
      <c r="V10" s="141"/>
      <c r="W10" s="141"/>
      <c r="X10" s="141"/>
      <c r="Y10" s="141"/>
      <c r="Z10" s="141"/>
      <c r="AA10" s="141"/>
      <c r="AB10" s="141" t="s">
        <v>14</v>
      </c>
      <c r="AC10" s="141"/>
      <c r="AD10" s="141"/>
      <c r="AE10" s="141"/>
      <c r="AF10" s="141"/>
      <c r="AG10" s="141"/>
      <c r="AH10" s="141"/>
      <c r="AI10" s="141"/>
      <c r="AJ10" s="141"/>
      <c r="AK10" s="141"/>
      <c r="AL10" s="141"/>
      <c r="AM10" s="141"/>
      <c r="AN10" s="141"/>
      <c r="AO10" s="141"/>
      <c r="AP10" s="141"/>
      <c r="AQ10" s="141"/>
      <c r="AR10" s="141"/>
      <c r="AS10" s="141"/>
    </row>
    <row r="11" spans="1:46" ht="15" customHeight="1">
      <c r="A11" s="108" t="s">
        <v>458</v>
      </c>
      <c r="B11" s="108"/>
      <c r="C11" s="108"/>
      <c r="D11" s="108"/>
      <c r="E11" s="108"/>
      <c r="F11" s="108"/>
      <c r="G11" s="109"/>
      <c r="H11" s="110"/>
      <c r="I11" s="108"/>
      <c r="J11" s="94" t="s">
        <v>21</v>
      </c>
      <c r="K11" s="94"/>
      <c r="L11" s="94"/>
      <c r="M11" s="94"/>
      <c r="N11" s="94"/>
      <c r="O11" s="94"/>
      <c r="P11" s="94"/>
      <c r="Q11" s="94"/>
      <c r="R11" s="94"/>
      <c r="S11" s="94" t="s">
        <v>22</v>
      </c>
      <c r="T11" s="94"/>
      <c r="U11" s="94"/>
      <c r="V11" s="94"/>
      <c r="W11" s="94"/>
      <c r="X11" s="94"/>
      <c r="Y11" s="94"/>
      <c r="Z11" s="94"/>
      <c r="AA11" s="94"/>
      <c r="AB11" s="94" t="s">
        <v>23</v>
      </c>
      <c r="AC11" s="94"/>
      <c r="AD11" s="94"/>
      <c r="AE11" s="94"/>
      <c r="AF11" s="94"/>
      <c r="AG11" s="94"/>
      <c r="AH11" s="94"/>
      <c r="AI11" s="94"/>
      <c r="AJ11" s="94"/>
      <c r="AK11" s="94" t="s">
        <v>24</v>
      </c>
      <c r="AL11" s="94"/>
      <c r="AM11" s="94"/>
      <c r="AN11" s="94"/>
      <c r="AO11" s="94"/>
      <c r="AP11" s="94"/>
      <c r="AQ11" s="94"/>
      <c r="AR11" s="94"/>
      <c r="AS11" s="94"/>
    </row>
    <row r="12" spans="1:46" ht="15" customHeight="1">
      <c r="A12" s="92" t="s">
        <v>442</v>
      </c>
      <c r="B12" s="92"/>
      <c r="C12" s="92"/>
      <c r="D12" s="92"/>
      <c r="E12" s="92"/>
      <c r="F12" s="92"/>
      <c r="G12" s="92"/>
      <c r="H12" s="92" t="s">
        <v>441</v>
      </c>
      <c r="I12" s="92"/>
      <c r="J12" s="140">
        <v>20</v>
      </c>
      <c r="K12" s="140"/>
      <c r="L12" s="140"/>
      <c r="M12" s="140"/>
      <c r="N12" s="140"/>
      <c r="O12" s="140"/>
      <c r="P12" s="140"/>
      <c r="Q12" s="140"/>
      <c r="R12" s="140"/>
      <c r="S12" s="140">
        <v>20</v>
      </c>
      <c r="T12" s="140"/>
      <c r="U12" s="140"/>
      <c r="V12" s="140"/>
      <c r="W12" s="140"/>
      <c r="X12" s="140"/>
      <c r="Y12" s="140"/>
      <c r="Z12" s="140"/>
      <c r="AA12" s="140"/>
      <c r="AB12" s="139">
        <v>69.900000000000006</v>
      </c>
      <c r="AC12" s="139"/>
      <c r="AD12" s="139"/>
      <c r="AE12" s="139"/>
      <c r="AF12" s="139"/>
      <c r="AG12" s="139"/>
      <c r="AH12" s="139"/>
      <c r="AI12" s="139"/>
      <c r="AJ12" s="139"/>
      <c r="AK12" s="139">
        <v>71.2</v>
      </c>
      <c r="AL12" s="139"/>
      <c r="AM12" s="139"/>
      <c r="AN12" s="139"/>
      <c r="AO12" s="139"/>
      <c r="AP12" s="139"/>
      <c r="AQ12" s="139"/>
      <c r="AR12" s="139"/>
      <c r="AS12" s="139"/>
    </row>
    <row r="13" spans="1:46" ht="16.5">
      <c r="A13" s="90" t="s">
        <v>440</v>
      </c>
      <c r="B13" s="90"/>
      <c r="C13" s="90"/>
      <c r="D13" s="90"/>
      <c r="E13" s="90"/>
      <c r="F13" s="90"/>
      <c r="G13" s="90"/>
      <c r="H13" s="90" t="s">
        <v>439</v>
      </c>
      <c r="I13" s="90"/>
      <c r="J13" s="111">
        <f>IF(COUNT(J12)=0,"",ROUND((J12/(1+$J$26/100)),1))</f>
        <v>10.4</v>
      </c>
      <c r="K13" s="111"/>
      <c r="L13" s="111"/>
      <c r="M13" s="111"/>
      <c r="N13" s="111"/>
      <c r="O13" s="111"/>
      <c r="P13" s="111"/>
      <c r="Q13" s="111"/>
      <c r="R13" s="111"/>
      <c r="S13" s="111">
        <f t="shared" ref="S13" si="0">IF(COUNT(S12)=0,"",ROUND((S12/(1+$J$26/100)),1))</f>
        <v>10.4</v>
      </c>
      <c r="T13" s="111"/>
      <c r="U13" s="111"/>
      <c r="V13" s="111"/>
      <c r="W13" s="111"/>
      <c r="X13" s="111"/>
      <c r="Y13" s="111"/>
      <c r="Z13" s="111"/>
      <c r="AA13" s="111"/>
      <c r="AB13" s="83">
        <f>IF(COUNT(AB12)=0,"",ROUND((AB12/(1+$AB$26/100)),1))</f>
        <v>30.1</v>
      </c>
      <c r="AC13" s="83"/>
      <c r="AD13" s="83"/>
      <c r="AE13" s="83"/>
      <c r="AF13" s="83"/>
      <c r="AG13" s="83"/>
      <c r="AH13" s="83"/>
      <c r="AI13" s="83"/>
      <c r="AJ13" s="83"/>
      <c r="AK13" s="83">
        <f>IF(COUNT(AK12)=0,"",ROUND((AK12/(1+$AB$26/100)),1))</f>
        <v>30.7</v>
      </c>
      <c r="AL13" s="83"/>
      <c r="AM13" s="83"/>
      <c r="AN13" s="83"/>
      <c r="AO13" s="83"/>
      <c r="AP13" s="83"/>
      <c r="AQ13" s="83"/>
      <c r="AR13" s="83"/>
      <c r="AS13" s="83"/>
    </row>
    <row r="14" spans="1:46" ht="16.5">
      <c r="A14" s="92" t="s">
        <v>438</v>
      </c>
      <c r="B14" s="92"/>
      <c r="C14" s="92"/>
      <c r="D14" s="92"/>
      <c r="E14" s="92"/>
      <c r="F14" s="92"/>
      <c r="G14" s="92"/>
      <c r="H14" s="92" t="s">
        <v>437</v>
      </c>
      <c r="I14" s="92"/>
      <c r="J14" s="143">
        <f>IF(COUNT(J12)=0,"",J13*5-(J12-J13))</f>
        <v>42.4</v>
      </c>
      <c r="K14" s="143"/>
      <c r="L14" s="143"/>
      <c r="M14" s="143"/>
      <c r="N14" s="143"/>
      <c r="O14" s="143"/>
      <c r="P14" s="143"/>
      <c r="Q14" s="143"/>
      <c r="R14" s="143"/>
      <c r="S14" s="143">
        <f>IF(COUNT(S12)=0,"",S13*5-(S12-S13))</f>
        <v>42.4</v>
      </c>
      <c r="T14" s="143"/>
      <c r="U14" s="143"/>
      <c r="V14" s="143"/>
      <c r="W14" s="143"/>
      <c r="X14" s="143"/>
      <c r="Y14" s="143"/>
      <c r="Z14" s="143"/>
      <c r="AA14" s="143"/>
      <c r="AB14" s="143">
        <f>IF(COUNT(AB12)=0,"",AB13*5-(AB12-AB13))</f>
        <v>110.69999999999999</v>
      </c>
      <c r="AC14" s="143"/>
      <c r="AD14" s="143"/>
      <c r="AE14" s="143"/>
      <c r="AF14" s="143"/>
      <c r="AG14" s="143"/>
      <c r="AH14" s="143"/>
      <c r="AI14" s="143"/>
      <c r="AJ14" s="143"/>
      <c r="AK14" s="143">
        <f>IF(COUNT(AK12)=0,"",AK13*5-(AK12-AK13))</f>
        <v>113</v>
      </c>
      <c r="AL14" s="143"/>
      <c r="AM14" s="143"/>
      <c r="AN14" s="143"/>
      <c r="AO14" s="143"/>
      <c r="AP14" s="143"/>
      <c r="AQ14" s="143"/>
      <c r="AR14" s="143"/>
      <c r="AS14" s="143"/>
      <c r="AT14" s="6"/>
    </row>
    <row r="15" spans="1:46" ht="16.5">
      <c r="A15" s="90" t="s">
        <v>436</v>
      </c>
      <c r="B15" s="90"/>
      <c r="C15" s="90"/>
      <c r="D15" s="90"/>
      <c r="E15" s="90"/>
      <c r="F15" s="90"/>
      <c r="G15" s="90"/>
      <c r="H15" s="90" t="s">
        <v>435</v>
      </c>
      <c r="I15" s="90"/>
      <c r="J15" s="102">
        <f t="shared" ref="J15" si="1">IF(COUNT(J12)=0,"",ROUND(((J12-J13+J14)/J13),1))</f>
        <v>5</v>
      </c>
      <c r="K15" s="102"/>
      <c r="L15" s="102"/>
      <c r="M15" s="102"/>
      <c r="N15" s="102"/>
      <c r="O15" s="102"/>
      <c r="P15" s="102"/>
      <c r="Q15" s="102"/>
      <c r="R15" s="102"/>
      <c r="S15" s="102">
        <f t="shared" ref="S15" si="2">IF(COUNT(S12)=0,"",ROUND(((S12-S13+S14)/S13),1))</f>
        <v>5</v>
      </c>
      <c r="T15" s="102"/>
      <c r="U15" s="102"/>
      <c r="V15" s="102"/>
      <c r="W15" s="102"/>
      <c r="X15" s="102"/>
      <c r="Y15" s="102"/>
      <c r="Z15" s="102"/>
      <c r="AA15" s="102"/>
      <c r="AB15" s="102">
        <f t="shared" ref="AB15" si="3">IF(COUNT(AB12)=0,"",ROUND(((AB12-AB13+AB14)/AB13),1))</f>
        <v>5</v>
      </c>
      <c r="AC15" s="102"/>
      <c r="AD15" s="102"/>
      <c r="AE15" s="102"/>
      <c r="AF15" s="102"/>
      <c r="AG15" s="102"/>
      <c r="AH15" s="102"/>
      <c r="AI15" s="102"/>
      <c r="AJ15" s="102"/>
      <c r="AK15" s="102">
        <f t="shared" ref="AK15" si="4">IF(COUNT(AK12)=0,"",ROUND(((AK12-AK13+AK14)/AK13),1))</f>
        <v>5</v>
      </c>
      <c r="AL15" s="102"/>
      <c r="AM15" s="102"/>
      <c r="AN15" s="102"/>
      <c r="AO15" s="102"/>
      <c r="AP15" s="102"/>
      <c r="AQ15" s="102"/>
      <c r="AR15" s="102"/>
      <c r="AS15" s="102"/>
    </row>
    <row r="16" spans="1:46">
      <c r="A16" s="103" t="s">
        <v>434</v>
      </c>
      <c r="B16" s="103"/>
      <c r="C16" s="103"/>
      <c r="D16" s="103"/>
      <c r="E16" s="103"/>
      <c r="F16" s="103"/>
      <c r="G16" s="103"/>
      <c r="H16" s="104" t="s">
        <v>25</v>
      </c>
      <c r="I16" s="103"/>
      <c r="J16" s="105">
        <v>25.2</v>
      </c>
      <c r="K16" s="105"/>
      <c r="L16" s="105"/>
      <c r="M16" s="105"/>
      <c r="N16" s="105"/>
      <c r="O16" s="105"/>
      <c r="P16" s="105"/>
      <c r="Q16" s="105"/>
      <c r="R16" s="105"/>
      <c r="S16" s="105">
        <v>25.3</v>
      </c>
      <c r="T16" s="105"/>
      <c r="U16" s="105"/>
      <c r="V16" s="105"/>
      <c r="W16" s="105"/>
      <c r="X16" s="105"/>
      <c r="Y16" s="105"/>
      <c r="Z16" s="105"/>
      <c r="AA16" s="105"/>
      <c r="AB16" s="105">
        <v>18</v>
      </c>
      <c r="AC16" s="105"/>
      <c r="AD16" s="105"/>
      <c r="AE16" s="105"/>
      <c r="AF16" s="105"/>
      <c r="AG16" s="105"/>
      <c r="AH16" s="105"/>
      <c r="AI16" s="105"/>
      <c r="AJ16" s="105"/>
      <c r="AK16" s="105">
        <v>18</v>
      </c>
      <c r="AL16" s="105"/>
      <c r="AM16" s="105"/>
      <c r="AN16" s="105"/>
      <c r="AO16" s="105"/>
      <c r="AP16" s="105"/>
      <c r="AQ16" s="105"/>
      <c r="AR16" s="105"/>
      <c r="AS16" s="105"/>
    </row>
    <row r="17" spans="1:46">
      <c r="A17" s="64" t="s">
        <v>8</v>
      </c>
      <c r="B17" s="64"/>
      <c r="C17" s="64"/>
      <c r="D17" s="64"/>
      <c r="E17" s="98" t="s">
        <v>432</v>
      </c>
      <c r="F17" s="98"/>
      <c r="G17" s="98"/>
      <c r="H17" s="98"/>
      <c r="I17" s="98"/>
      <c r="J17" s="99">
        <v>6.67</v>
      </c>
      <c r="K17" s="99"/>
      <c r="L17" s="99"/>
      <c r="M17" s="99"/>
      <c r="N17" s="99"/>
      <c r="O17" s="99"/>
      <c r="P17" s="99"/>
      <c r="Q17" s="99"/>
      <c r="R17" s="99"/>
      <c r="S17" s="99">
        <v>6.71</v>
      </c>
      <c r="T17" s="99"/>
      <c r="U17" s="99"/>
      <c r="V17" s="99"/>
      <c r="W17" s="99"/>
      <c r="X17" s="99"/>
      <c r="Y17" s="99"/>
      <c r="Z17" s="99"/>
      <c r="AA17" s="99"/>
      <c r="AB17" s="99">
        <v>6.6</v>
      </c>
      <c r="AC17" s="99"/>
      <c r="AD17" s="99"/>
      <c r="AE17" s="99"/>
      <c r="AF17" s="99"/>
      <c r="AG17" s="99"/>
      <c r="AH17" s="99"/>
      <c r="AI17" s="99"/>
      <c r="AJ17" s="99"/>
      <c r="AK17" s="99">
        <v>6.6</v>
      </c>
      <c r="AL17" s="99"/>
      <c r="AM17" s="99"/>
      <c r="AN17" s="99"/>
      <c r="AO17" s="99"/>
      <c r="AP17" s="99"/>
      <c r="AQ17" s="99"/>
      <c r="AR17" s="99"/>
      <c r="AS17" s="99"/>
    </row>
    <row r="18" spans="1:46">
      <c r="A18" s="64"/>
      <c r="B18" s="64"/>
      <c r="C18" s="64"/>
      <c r="D18" s="64"/>
      <c r="E18" s="98" t="s">
        <v>431</v>
      </c>
      <c r="F18" s="98"/>
      <c r="G18" s="98"/>
      <c r="H18" s="98"/>
      <c r="I18" s="98"/>
      <c r="J18" s="99">
        <f>IF(COUNT(J17)=0,"",ROUND(AVERAGE(J17:AA17),1))</f>
        <v>6.7</v>
      </c>
      <c r="K18" s="99"/>
      <c r="L18" s="99"/>
      <c r="M18" s="99"/>
      <c r="N18" s="99"/>
      <c r="O18" s="99"/>
      <c r="P18" s="99"/>
      <c r="Q18" s="99"/>
      <c r="R18" s="99"/>
      <c r="S18" s="99"/>
      <c r="T18" s="99"/>
      <c r="U18" s="99"/>
      <c r="V18" s="99"/>
      <c r="W18" s="99"/>
      <c r="X18" s="99"/>
      <c r="Y18" s="99"/>
      <c r="Z18" s="99"/>
      <c r="AA18" s="99"/>
      <c r="AB18" s="99">
        <f>IF(COUNT(AB17)=0,"",ROUND(AVERAGE(AB17:AS17),1))</f>
        <v>6.6</v>
      </c>
      <c r="AC18" s="99"/>
      <c r="AD18" s="99"/>
      <c r="AE18" s="99"/>
      <c r="AF18" s="99"/>
      <c r="AG18" s="99"/>
      <c r="AH18" s="99"/>
      <c r="AI18" s="99"/>
      <c r="AJ18" s="99"/>
      <c r="AK18" s="99"/>
      <c r="AL18" s="99"/>
      <c r="AM18" s="99"/>
      <c r="AN18" s="99"/>
      <c r="AO18" s="99"/>
      <c r="AP18" s="99"/>
      <c r="AQ18" s="99"/>
      <c r="AR18" s="99"/>
      <c r="AS18" s="99"/>
    </row>
    <row r="19" spans="1:46">
      <c r="A19" s="112" t="s">
        <v>455</v>
      </c>
      <c r="B19" s="64"/>
      <c r="C19" s="64"/>
      <c r="D19" s="64"/>
      <c r="E19" s="98" t="s">
        <v>454</v>
      </c>
      <c r="F19" s="98"/>
      <c r="G19" s="98"/>
      <c r="H19" s="98"/>
      <c r="I19" s="98"/>
      <c r="J19" s="97">
        <v>8.61</v>
      </c>
      <c r="K19" s="97"/>
      <c r="L19" s="97"/>
      <c r="M19" s="97"/>
      <c r="N19" s="97"/>
      <c r="O19" s="97"/>
      <c r="P19" s="97"/>
      <c r="Q19" s="97"/>
      <c r="R19" s="97"/>
      <c r="S19" s="100">
        <v>8.58</v>
      </c>
      <c r="T19" s="100"/>
      <c r="U19" s="100"/>
      <c r="V19" s="100"/>
      <c r="W19" s="100"/>
      <c r="X19" s="100"/>
      <c r="Y19" s="100"/>
      <c r="Z19" s="100"/>
      <c r="AA19" s="100"/>
      <c r="AB19" s="100">
        <v>14</v>
      </c>
      <c r="AC19" s="100"/>
      <c r="AD19" s="100"/>
      <c r="AE19" s="100"/>
      <c r="AF19" s="100"/>
      <c r="AG19" s="100"/>
      <c r="AH19" s="100"/>
      <c r="AI19" s="100"/>
      <c r="AJ19" s="100"/>
      <c r="AK19" s="100">
        <v>16</v>
      </c>
      <c r="AL19" s="100"/>
      <c r="AM19" s="100"/>
      <c r="AN19" s="100"/>
      <c r="AO19" s="100"/>
      <c r="AP19" s="100"/>
      <c r="AQ19" s="100"/>
      <c r="AR19" s="100"/>
      <c r="AS19" s="100"/>
    </row>
    <row r="20" spans="1:46">
      <c r="A20" s="64"/>
      <c r="B20" s="64"/>
      <c r="C20" s="64"/>
      <c r="D20" s="64"/>
      <c r="E20" s="98" t="s">
        <v>431</v>
      </c>
      <c r="F20" s="98"/>
      <c r="G20" s="98"/>
      <c r="H20" s="98"/>
      <c r="I20" s="98"/>
      <c r="J20" s="99">
        <f>IF(COUNT(J19)=0,"",ROUND(AVERAGE(J19:AA19),1))</f>
        <v>8.6</v>
      </c>
      <c r="K20" s="99"/>
      <c r="L20" s="99"/>
      <c r="M20" s="99"/>
      <c r="N20" s="99"/>
      <c r="O20" s="99"/>
      <c r="P20" s="99"/>
      <c r="Q20" s="99"/>
      <c r="R20" s="99"/>
      <c r="S20" s="99"/>
      <c r="T20" s="99"/>
      <c r="U20" s="99"/>
      <c r="V20" s="99"/>
      <c r="W20" s="99"/>
      <c r="X20" s="99"/>
      <c r="Y20" s="99"/>
      <c r="Z20" s="99"/>
      <c r="AA20" s="99"/>
      <c r="AB20" s="100">
        <f>IF(COUNT(AB19)=0,"",ROUND(AVERAGE(AB19:AS19),1))</f>
        <v>15</v>
      </c>
      <c r="AC20" s="100"/>
      <c r="AD20" s="100"/>
      <c r="AE20" s="100"/>
      <c r="AF20" s="100"/>
      <c r="AG20" s="100"/>
      <c r="AH20" s="100"/>
      <c r="AI20" s="100"/>
      <c r="AJ20" s="100"/>
      <c r="AK20" s="100"/>
      <c r="AL20" s="100"/>
      <c r="AM20" s="100"/>
      <c r="AN20" s="100"/>
      <c r="AO20" s="100"/>
      <c r="AP20" s="100"/>
      <c r="AQ20" s="100"/>
      <c r="AR20" s="100"/>
      <c r="AS20" s="100"/>
    </row>
    <row r="21" spans="1:46" ht="15" customHeight="1">
      <c r="A21" s="87" t="s">
        <v>453</v>
      </c>
      <c r="B21" s="87"/>
      <c r="C21" s="87"/>
      <c r="D21" s="87"/>
      <c r="E21" s="96" t="s">
        <v>452</v>
      </c>
      <c r="F21" s="96"/>
      <c r="G21" s="96"/>
      <c r="H21" s="96"/>
      <c r="I21" s="96"/>
      <c r="J21" s="95">
        <v>122</v>
      </c>
      <c r="K21" s="95"/>
      <c r="L21" s="95"/>
      <c r="M21" s="95"/>
      <c r="N21" s="95"/>
      <c r="O21" s="95"/>
      <c r="P21" s="95">
        <v>852</v>
      </c>
      <c r="Q21" s="95"/>
      <c r="R21" s="95"/>
      <c r="S21" s="95"/>
      <c r="T21" s="95"/>
      <c r="U21" s="95"/>
      <c r="V21" s="95">
        <v>1281</v>
      </c>
      <c r="W21" s="95"/>
      <c r="X21" s="95"/>
      <c r="Y21" s="95"/>
      <c r="Z21" s="95"/>
      <c r="AA21" s="95"/>
      <c r="AB21" s="95">
        <v>367</v>
      </c>
      <c r="AC21" s="95"/>
      <c r="AD21" s="95"/>
      <c r="AE21" s="95"/>
      <c r="AF21" s="95"/>
      <c r="AG21" s="95"/>
      <c r="AH21" s="95">
        <v>368</v>
      </c>
      <c r="AI21" s="95"/>
      <c r="AJ21" s="95"/>
      <c r="AK21" s="95"/>
      <c r="AL21" s="95"/>
      <c r="AM21" s="95"/>
      <c r="AN21" s="95">
        <v>369</v>
      </c>
      <c r="AO21" s="95"/>
      <c r="AP21" s="95"/>
      <c r="AQ21" s="95"/>
      <c r="AR21" s="95"/>
      <c r="AS21" s="95"/>
    </row>
    <row r="22" spans="1:46" ht="16.5">
      <c r="A22" s="88"/>
      <c r="B22" s="88"/>
      <c r="C22" s="88"/>
      <c r="D22" s="88"/>
      <c r="E22" s="92" t="s">
        <v>427</v>
      </c>
      <c r="F22" s="92"/>
      <c r="G22" s="92"/>
      <c r="H22" s="92" t="s">
        <v>424</v>
      </c>
      <c r="I22" s="92"/>
      <c r="J22" s="94">
        <v>42.04</v>
      </c>
      <c r="K22" s="94"/>
      <c r="L22" s="94"/>
      <c r="M22" s="94"/>
      <c r="N22" s="94"/>
      <c r="O22" s="94"/>
      <c r="P22" s="94">
        <v>42.22</v>
      </c>
      <c r="Q22" s="94"/>
      <c r="R22" s="94"/>
      <c r="S22" s="94"/>
      <c r="T22" s="94"/>
      <c r="U22" s="94"/>
      <c r="V22" s="94">
        <v>42.34</v>
      </c>
      <c r="W22" s="94"/>
      <c r="X22" s="94"/>
      <c r="Y22" s="94"/>
      <c r="Z22" s="94"/>
      <c r="AA22" s="94"/>
      <c r="AB22" s="94">
        <v>42.94</v>
      </c>
      <c r="AC22" s="94"/>
      <c r="AD22" s="94"/>
      <c r="AE22" s="94"/>
      <c r="AF22" s="94"/>
      <c r="AG22" s="94"/>
      <c r="AH22" s="94">
        <v>44.1</v>
      </c>
      <c r="AI22" s="94"/>
      <c r="AJ22" s="94"/>
      <c r="AK22" s="94"/>
      <c r="AL22" s="94"/>
      <c r="AM22" s="94"/>
      <c r="AN22" s="94">
        <v>44.1</v>
      </c>
      <c r="AO22" s="94"/>
      <c r="AP22" s="94"/>
      <c r="AQ22" s="94"/>
      <c r="AR22" s="94"/>
      <c r="AS22" s="94"/>
      <c r="AT22" s="6"/>
    </row>
    <row r="23" spans="1:46" ht="16.5">
      <c r="A23" s="88"/>
      <c r="B23" s="88"/>
      <c r="C23" s="88"/>
      <c r="D23" s="88"/>
      <c r="E23" s="92" t="s">
        <v>426</v>
      </c>
      <c r="F23" s="92"/>
      <c r="G23" s="92"/>
      <c r="H23" s="92" t="s">
        <v>424</v>
      </c>
      <c r="I23" s="92"/>
      <c r="J23" s="94">
        <v>32.47</v>
      </c>
      <c r="K23" s="94"/>
      <c r="L23" s="94"/>
      <c r="M23" s="94"/>
      <c r="N23" s="94"/>
      <c r="O23" s="94"/>
      <c r="P23" s="94">
        <v>32.54</v>
      </c>
      <c r="Q23" s="94"/>
      <c r="R23" s="94"/>
      <c r="S23" s="94"/>
      <c r="T23" s="94"/>
      <c r="U23" s="94"/>
      <c r="V23" s="94">
        <v>32.58</v>
      </c>
      <c r="W23" s="94"/>
      <c r="X23" s="94"/>
      <c r="Y23" s="94"/>
      <c r="Z23" s="94"/>
      <c r="AA23" s="94"/>
      <c r="AB23" s="94">
        <v>31.13</v>
      </c>
      <c r="AC23" s="94"/>
      <c r="AD23" s="94"/>
      <c r="AE23" s="94"/>
      <c r="AF23" s="94"/>
      <c r="AG23" s="94"/>
      <c r="AH23" s="93">
        <v>31.6</v>
      </c>
      <c r="AI23" s="93"/>
      <c r="AJ23" s="93"/>
      <c r="AK23" s="93"/>
      <c r="AL23" s="93"/>
      <c r="AM23" s="93"/>
      <c r="AN23" s="93">
        <v>31.6</v>
      </c>
      <c r="AO23" s="93"/>
      <c r="AP23" s="93"/>
      <c r="AQ23" s="93"/>
      <c r="AR23" s="93"/>
      <c r="AS23" s="93"/>
      <c r="AT23" s="6"/>
    </row>
    <row r="24" spans="1:46" ht="16.5">
      <c r="A24" s="88"/>
      <c r="B24" s="88"/>
      <c r="C24" s="88"/>
      <c r="D24" s="88"/>
      <c r="E24" s="92" t="s">
        <v>425</v>
      </c>
      <c r="F24" s="92"/>
      <c r="G24" s="92"/>
      <c r="H24" s="92" t="s">
        <v>424</v>
      </c>
      <c r="I24" s="92"/>
      <c r="J24" s="94">
        <v>22.18</v>
      </c>
      <c r="K24" s="94"/>
      <c r="L24" s="94"/>
      <c r="M24" s="94"/>
      <c r="N24" s="94"/>
      <c r="O24" s="94"/>
      <c r="P24" s="94">
        <v>22.17</v>
      </c>
      <c r="Q24" s="94"/>
      <c r="R24" s="94"/>
      <c r="S24" s="94"/>
      <c r="T24" s="94"/>
      <c r="U24" s="94"/>
      <c r="V24" s="94">
        <v>22.18</v>
      </c>
      <c r="W24" s="94"/>
      <c r="X24" s="94"/>
      <c r="Y24" s="94"/>
      <c r="Z24" s="94"/>
      <c r="AA24" s="94"/>
      <c r="AB24" s="93">
        <v>22.2</v>
      </c>
      <c r="AC24" s="93"/>
      <c r="AD24" s="93"/>
      <c r="AE24" s="93"/>
      <c r="AF24" s="93"/>
      <c r="AG24" s="93"/>
      <c r="AH24" s="93">
        <v>22.1</v>
      </c>
      <c r="AI24" s="93"/>
      <c r="AJ24" s="93"/>
      <c r="AK24" s="93"/>
      <c r="AL24" s="93"/>
      <c r="AM24" s="93"/>
      <c r="AN24" s="93">
        <v>22.1</v>
      </c>
      <c r="AO24" s="93"/>
      <c r="AP24" s="93"/>
      <c r="AQ24" s="93"/>
      <c r="AR24" s="93"/>
      <c r="AS24" s="93"/>
      <c r="AT24" s="6"/>
    </row>
    <row r="25" spans="1:46">
      <c r="A25" s="88"/>
      <c r="B25" s="88"/>
      <c r="C25" s="88"/>
      <c r="D25" s="88"/>
      <c r="E25" s="90" t="s">
        <v>27</v>
      </c>
      <c r="F25" s="90"/>
      <c r="G25" s="90"/>
      <c r="H25" s="90" t="s">
        <v>28</v>
      </c>
      <c r="I25" s="90"/>
      <c r="J25" s="111">
        <f>IF(COUNT(J22)=0,"",ROUND((J22-J23)/(J23-J24)*100,0))</f>
        <v>93</v>
      </c>
      <c r="K25" s="111"/>
      <c r="L25" s="111"/>
      <c r="M25" s="111"/>
      <c r="N25" s="111"/>
      <c r="O25" s="111"/>
      <c r="P25" s="111">
        <f t="shared" ref="P25" si="5">IF(COUNT(P22)=0,"",ROUND((P22-P23)/(P23-P24)*100,0))</f>
        <v>93</v>
      </c>
      <c r="Q25" s="111"/>
      <c r="R25" s="111"/>
      <c r="S25" s="111"/>
      <c r="T25" s="111"/>
      <c r="U25" s="111"/>
      <c r="V25" s="111">
        <f t="shared" ref="V25" si="6">IF(COUNT(V22)=0,"",ROUND((V22-V23)/(V23-V24)*100,0))</f>
        <v>94</v>
      </c>
      <c r="W25" s="111"/>
      <c r="X25" s="111"/>
      <c r="Y25" s="111"/>
      <c r="Z25" s="111"/>
      <c r="AA25" s="111"/>
      <c r="AB25" s="83">
        <f t="shared" ref="AB25" si="7">IF(COUNT(AB22)=0,"",ROUND((AB22-AB23)/(AB23-AB24)*100,0))</f>
        <v>132</v>
      </c>
      <c r="AC25" s="83"/>
      <c r="AD25" s="83"/>
      <c r="AE25" s="83"/>
      <c r="AF25" s="83"/>
      <c r="AG25" s="83"/>
      <c r="AH25" s="83">
        <f t="shared" ref="AH25" si="8">IF(COUNT(AH22)=0,"",ROUND((AH22-AH23)/(AH23-AH24)*100,0))</f>
        <v>132</v>
      </c>
      <c r="AI25" s="83"/>
      <c r="AJ25" s="83"/>
      <c r="AK25" s="83"/>
      <c r="AL25" s="83"/>
      <c r="AM25" s="83"/>
      <c r="AN25" s="83">
        <f t="shared" ref="AN25" si="9">IF(COUNT(AN22)=0,"",ROUND((AN22-AN23)/(AN23-AN24)*100,0))</f>
        <v>132</v>
      </c>
      <c r="AO25" s="83"/>
      <c r="AP25" s="83"/>
      <c r="AQ25" s="83"/>
      <c r="AR25" s="83"/>
      <c r="AS25" s="83"/>
    </row>
    <row r="26" spans="1:46">
      <c r="A26" s="89"/>
      <c r="B26" s="89"/>
      <c r="C26" s="89"/>
      <c r="D26" s="89"/>
      <c r="E26" s="84" t="s">
        <v>451</v>
      </c>
      <c r="F26" s="84"/>
      <c r="G26" s="84"/>
      <c r="H26" s="84" t="s">
        <v>28</v>
      </c>
      <c r="I26" s="84"/>
      <c r="J26" s="86">
        <f>IF(COUNT(J22)=0,"",ROUND(AVERAGE(J25:AA25),0))</f>
        <v>93</v>
      </c>
      <c r="K26" s="86"/>
      <c r="L26" s="86"/>
      <c r="M26" s="86"/>
      <c r="N26" s="86"/>
      <c r="O26" s="86"/>
      <c r="P26" s="86"/>
      <c r="Q26" s="86"/>
      <c r="R26" s="86"/>
      <c r="S26" s="86"/>
      <c r="T26" s="86"/>
      <c r="U26" s="86"/>
      <c r="V26" s="86"/>
      <c r="W26" s="86"/>
      <c r="X26" s="86"/>
      <c r="Y26" s="86"/>
      <c r="Z26" s="86"/>
      <c r="AA26" s="86"/>
      <c r="AB26" s="86">
        <f>IF(COUNT(AB22)=0,"",ROUND(AVERAGE(AB25:AS25),0))</f>
        <v>132</v>
      </c>
      <c r="AC26" s="86"/>
      <c r="AD26" s="86"/>
      <c r="AE26" s="86"/>
      <c r="AF26" s="86"/>
      <c r="AG26" s="86"/>
      <c r="AH26" s="86"/>
      <c r="AI26" s="86"/>
      <c r="AJ26" s="86"/>
      <c r="AK26" s="86"/>
      <c r="AL26" s="86"/>
      <c r="AM26" s="86"/>
      <c r="AN26" s="86"/>
      <c r="AO26" s="86"/>
      <c r="AP26" s="86"/>
      <c r="AQ26" s="86"/>
      <c r="AR26" s="86"/>
      <c r="AS26" s="86"/>
    </row>
    <row r="27" spans="1:46" ht="15" customHeight="1">
      <c r="A27" s="79" t="s">
        <v>422</v>
      </c>
      <c r="B27" s="79"/>
      <c r="C27" s="79"/>
      <c r="D27" s="79"/>
      <c r="E27" s="79"/>
      <c r="F27" s="79"/>
      <c r="G27" s="79"/>
      <c r="H27" s="79"/>
      <c r="I27" s="79"/>
      <c r="J27" s="81" t="s">
        <v>450</v>
      </c>
      <c r="K27" s="81"/>
      <c r="L27" s="81"/>
      <c r="M27" s="81"/>
      <c r="N27" s="81"/>
      <c r="O27" s="81"/>
      <c r="P27" s="81"/>
      <c r="Q27" s="81"/>
      <c r="R27" s="81"/>
      <c r="S27" s="81"/>
      <c r="T27" s="81"/>
      <c r="U27" s="81"/>
      <c r="V27" s="81"/>
      <c r="W27" s="81"/>
      <c r="X27" s="81"/>
      <c r="Y27" s="81"/>
      <c r="Z27" s="81"/>
      <c r="AA27" s="81"/>
      <c r="AB27" s="79" t="s">
        <v>449</v>
      </c>
      <c r="AC27" s="79"/>
      <c r="AD27" s="79"/>
      <c r="AE27" s="79"/>
      <c r="AF27" s="79"/>
      <c r="AG27" s="79"/>
      <c r="AH27" s="79"/>
      <c r="AI27" s="79"/>
      <c r="AJ27" s="79"/>
      <c r="AK27" s="79"/>
      <c r="AL27" s="79"/>
      <c r="AM27" s="79"/>
      <c r="AN27" s="79"/>
      <c r="AO27" s="79"/>
      <c r="AP27" s="79"/>
      <c r="AQ27" s="79"/>
      <c r="AR27" s="79"/>
      <c r="AS27" s="79"/>
    </row>
    <row r="28" spans="1:46">
      <c r="A28" s="80"/>
      <c r="B28" s="80"/>
      <c r="C28" s="80"/>
      <c r="D28" s="80"/>
      <c r="E28" s="80"/>
      <c r="F28" s="80"/>
      <c r="G28" s="80"/>
      <c r="H28" s="80"/>
      <c r="I28" s="80"/>
      <c r="J28" s="82"/>
      <c r="K28" s="82"/>
      <c r="L28" s="82"/>
      <c r="M28" s="82"/>
      <c r="N28" s="82"/>
      <c r="O28" s="82"/>
      <c r="P28" s="82"/>
      <c r="Q28" s="82"/>
      <c r="R28" s="82"/>
      <c r="S28" s="82"/>
      <c r="T28" s="82"/>
      <c r="U28" s="82"/>
      <c r="V28" s="82"/>
      <c r="W28" s="82"/>
      <c r="X28" s="82"/>
      <c r="Y28" s="82"/>
      <c r="Z28" s="82"/>
      <c r="AA28" s="82"/>
      <c r="AB28" s="80"/>
      <c r="AC28" s="80"/>
      <c r="AD28" s="80"/>
      <c r="AE28" s="80"/>
      <c r="AF28" s="80"/>
      <c r="AG28" s="80"/>
      <c r="AH28" s="80"/>
      <c r="AI28" s="80"/>
      <c r="AJ28" s="80"/>
      <c r="AK28" s="80"/>
      <c r="AL28" s="80"/>
      <c r="AM28" s="80"/>
      <c r="AN28" s="80"/>
      <c r="AO28" s="80"/>
      <c r="AP28" s="80"/>
      <c r="AQ28" s="80"/>
      <c r="AR28" s="80"/>
      <c r="AS28" s="80"/>
    </row>
    <row r="29" spans="1:46">
      <c r="A29" s="96" t="s">
        <v>448</v>
      </c>
      <c r="B29" s="96"/>
      <c r="C29" s="96"/>
      <c r="D29" s="96"/>
      <c r="E29" s="96"/>
      <c r="F29" s="96"/>
      <c r="G29" s="96"/>
      <c r="H29" s="96"/>
      <c r="I29" s="96"/>
      <c r="J29" s="141" t="s">
        <v>20</v>
      </c>
      <c r="K29" s="141"/>
      <c r="L29" s="141"/>
      <c r="M29" s="141"/>
      <c r="N29" s="141"/>
      <c r="O29" s="141"/>
      <c r="P29" s="141"/>
      <c r="Q29" s="141"/>
      <c r="R29" s="141"/>
      <c r="S29" s="141"/>
      <c r="T29" s="141"/>
      <c r="U29" s="141"/>
      <c r="V29" s="141"/>
      <c r="W29" s="141"/>
      <c r="X29" s="141"/>
      <c r="Y29" s="141"/>
      <c r="Z29" s="141"/>
      <c r="AA29" s="141"/>
      <c r="AB29" s="141" t="s">
        <v>14</v>
      </c>
      <c r="AC29" s="141"/>
      <c r="AD29" s="141"/>
      <c r="AE29" s="141"/>
      <c r="AF29" s="141"/>
      <c r="AG29" s="141"/>
      <c r="AH29" s="141"/>
      <c r="AI29" s="141"/>
      <c r="AJ29" s="141"/>
      <c r="AK29" s="141"/>
      <c r="AL29" s="141"/>
      <c r="AM29" s="141"/>
      <c r="AN29" s="141"/>
      <c r="AO29" s="141"/>
      <c r="AP29" s="141"/>
      <c r="AQ29" s="141"/>
      <c r="AR29" s="141"/>
      <c r="AS29" s="141"/>
    </row>
    <row r="30" spans="1:46">
      <c r="A30" s="108" t="s">
        <v>445</v>
      </c>
      <c r="B30" s="108"/>
      <c r="C30" s="108"/>
      <c r="D30" s="108"/>
      <c r="E30" s="108"/>
      <c r="F30" s="108"/>
      <c r="G30" s="109"/>
      <c r="H30" s="110"/>
      <c r="I30" s="108"/>
      <c r="J30" s="94" t="s">
        <v>29</v>
      </c>
      <c r="K30" s="94"/>
      <c r="L30" s="94"/>
      <c r="M30" s="94"/>
      <c r="N30" s="94"/>
      <c r="O30" s="94"/>
      <c r="P30" s="94"/>
      <c r="Q30" s="94"/>
      <c r="R30" s="94"/>
      <c r="S30" s="94" t="s">
        <v>30</v>
      </c>
      <c r="T30" s="94"/>
      <c r="U30" s="94"/>
      <c r="V30" s="94"/>
      <c r="W30" s="94"/>
      <c r="X30" s="94"/>
      <c r="Y30" s="94"/>
      <c r="Z30" s="94"/>
      <c r="AA30" s="94"/>
      <c r="AB30" s="94" t="s">
        <v>31</v>
      </c>
      <c r="AC30" s="94"/>
      <c r="AD30" s="94"/>
      <c r="AE30" s="94"/>
      <c r="AF30" s="94"/>
      <c r="AG30" s="94"/>
      <c r="AH30" s="94"/>
      <c r="AI30" s="94"/>
      <c r="AJ30" s="94"/>
      <c r="AK30" s="94" t="s">
        <v>32</v>
      </c>
      <c r="AL30" s="94"/>
      <c r="AM30" s="94"/>
      <c r="AN30" s="94"/>
      <c r="AO30" s="94"/>
      <c r="AP30" s="94"/>
      <c r="AQ30" s="94"/>
      <c r="AR30" s="94"/>
      <c r="AS30" s="94"/>
    </row>
    <row r="31" spans="1:46">
      <c r="A31" s="92" t="s">
        <v>442</v>
      </c>
      <c r="B31" s="92"/>
      <c r="C31" s="92"/>
      <c r="D31" s="92"/>
      <c r="E31" s="92"/>
      <c r="F31" s="92"/>
      <c r="G31" s="92"/>
      <c r="H31" s="92" t="s">
        <v>441</v>
      </c>
      <c r="I31" s="92"/>
      <c r="J31" s="139">
        <v>120.1</v>
      </c>
      <c r="K31" s="139"/>
      <c r="L31" s="139"/>
      <c r="M31" s="139"/>
      <c r="N31" s="139"/>
      <c r="O31" s="139"/>
      <c r="P31" s="139"/>
      <c r="Q31" s="139"/>
      <c r="R31" s="139"/>
      <c r="S31" s="140">
        <v>120</v>
      </c>
      <c r="T31" s="140"/>
      <c r="U31" s="140"/>
      <c r="V31" s="140"/>
      <c r="W31" s="140"/>
      <c r="X31" s="140"/>
      <c r="Y31" s="140"/>
      <c r="Z31" s="140"/>
      <c r="AA31" s="140"/>
      <c r="AB31" s="139">
        <v>39.200000000000003</v>
      </c>
      <c r="AC31" s="139"/>
      <c r="AD31" s="139"/>
      <c r="AE31" s="139"/>
      <c r="AF31" s="139"/>
      <c r="AG31" s="139"/>
      <c r="AH31" s="139"/>
      <c r="AI31" s="139"/>
      <c r="AJ31" s="139"/>
      <c r="AK31" s="139">
        <v>39.1</v>
      </c>
      <c r="AL31" s="139"/>
      <c r="AM31" s="139"/>
      <c r="AN31" s="139"/>
      <c r="AO31" s="139"/>
      <c r="AP31" s="139"/>
      <c r="AQ31" s="139"/>
      <c r="AR31" s="139"/>
      <c r="AS31" s="139"/>
    </row>
    <row r="32" spans="1:46" ht="16.5">
      <c r="A32" s="90" t="s">
        <v>440</v>
      </c>
      <c r="B32" s="90"/>
      <c r="C32" s="90"/>
      <c r="D32" s="90"/>
      <c r="E32" s="90"/>
      <c r="F32" s="90"/>
      <c r="G32" s="90"/>
      <c r="H32" s="90" t="s">
        <v>439</v>
      </c>
      <c r="I32" s="90"/>
      <c r="J32" s="111">
        <f>IF(COUNT(J31)=0,"",ROUND((J31/(1+$J$45/100)),1))</f>
        <v>30</v>
      </c>
      <c r="K32" s="111"/>
      <c r="L32" s="111"/>
      <c r="M32" s="111"/>
      <c r="N32" s="111"/>
      <c r="O32" s="111"/>
      <c r="P32" s="111"/>
      <c r="Q32" s="111"/>
      <c r="R32" s="111"/>
      <c r="S32" s="111">
        <f>IF(COUNT(S31)=0,"",ROUND((S31/(1+$J$45/100)),1))</f>
        <v>30</v>
      </c>
      <c r="T32" s="111"/>
      <c r="U32" s="111"/>
      <c r="V32" s="111"/>
      <c r="W32" s="111"/>
      <c r="X32" s="111"/>
      <c r="Y32" s="111"/>
      <c r="Z32" s="111"/>
      <c r="AA32" s="111"/>
      <c r="AB32" s="111">
        <f>IF(COUNT(AB31)=0,"",ROUND((AB31/(1+$AB$45/100)),1))</f>
        <v>30</v>
      </c>
      <c r="AC32" s="111"/>
      <c r="AD32" s="111"/>
      <c r="AE32" s="111"/>
      <c r="AF32" s="111"/>
      <c r="AG32" s="111"/>
      <c r="AH32" s="111"/>
      <c r="AI32" s="111"/>
      <c r="AJ32" s="111"/>
      <c r="AK32" s="111">
        <f>IF(COUNT(AK31)=0,"",ROUND((AK31/(1+$AB$45/100)),1))</f>
        <v>30</v>
      </c>
      <c r="AL32" s="111"/>
      <c r="AM32" s="111"/>
      <c r="AN32" s="111"/>
      <c r="AO32" s="111"/>
      <c r="AP32" s="111"/>
      <c r="AQ32" s="111"/>
      <c r="AR32" s="111"/>
      <c r="AS32" s="111"/>
    </row>
    <row r="33" spans="1:46" ht="16.5">
      <c r="A33" s="92" t="s">
        <v>438</v>
      </c>
      <c r="B33" s="92"/>
      <c r="C33" s="92"/>
      <c r="D33" s="92"/>
      <c r="E33" s="92"/>
      <c r="F33" s="92"/>
      <c r="G33" s="92"/>
      <c r="H33" s="92" t="s">
        <v>437</v>
      </c>
      <c r="I33" s="92"/>
      <c r="J33" s="138">
        <f>IF(COUNT(J31)=0,"",J32*5-(J31-J32))</f>
        <v>59.900000000000006</v>
      </c>
      <c r="K33" s="138"/>
      <c r="L33" s="138"/>
      <c r="M33" s="138"/>
      <c r="N33" s="138"/>
      <c r="O33" s="138"/>
      <c r="P33" s="138"/>
      <c r="Q33" s="138"/>
      <c r="R33" s="138"/>
      <c r="S33" s="138">
        <f>IF(COUNT(S31)=0,"",S32*5-(S31-S32))</f>
        <v>60</v>
      </c>
      <c r="T33" s="138"/>
      <c r="U33" s="138"/>
      <c r="V33" s="138"/>
      <c r="W33" s="138"/>
      <c r="X33" s="138"/>
      <c r="Y33" s="138"/>
      <c r="Z33" s="138"/>
      <c r="AA33" s="138"/>
      <c r="AB33" s="138">
        <f t="shared" ref="AB33" si="10">IF(COUNT(AB31)=0,"",AB32*5-(AB31-AB32))</f>
        <v>140.80000000000001</v>
      </c>
      <c r="AC33" s="138"/>
      <c r="AD33" s="138"/>
      <c r="AE33" s="138"/>
      <c r="AF33" s="138"/>
      <c r="AG33" s="138"/>
      <c r="AH33" s="138"/>
      <c r="AI33" s="138"/>
      <c r="AJ33" s="138"/>
      <c r="AK33" s="138">
        <f t="shared" ref="AK33" si="11">IF(COUNT(AK31)=0,"",AK32*5-(AK31-AK32))</f>
        <v>140.9</v>
      </c>
      <c r="AL33" s="138"/>
      <c r="AM33" s="138"/>
      <c r="AN33" s="138"/>
      <c r="AO33" s="138"/>
      <c r="AP33" s="138"/>
      <c r="AQ33" s="138"/>
      <c r="AR33" s="138"/>
      <c r="AS33" s="138"/>
      <c r="AT33" s="6"/>
    </row>
    <row r="34" spans="1:46" ht="16.5">
      <c r="A34" s="90" t="s">
        <v>436</v>
      </c>
      <c r="B34" s="90"/>
      <c r="C34" s="90"/>
      <c r="D34" s="90"/>
      <c r="E34" s="90"/>
      <c r="F34" s="90"/>
      <c r="G34" s="90"/>
      <c r="H34" s="90" t="s">
        <v>435</v>
      </c>
      <c r="I34" s="90"/>
      <c r="J34" s="102">
        <f>IF(COUNT(J31)=0,"",ROUND(((J31-J32+J33)/J32),2))</f>
        <v>5</v>
      </c>
      <c r="K34" s="102"/>
      <c r="L34" s="102"/>
      <c r="M34" s="102"/>
      <c r="N34" s="102"/>
      <c r="O34" s="102"/>
      <c r="P34" s="102"/>
      <c r="Q34" s="102"/>
      <c r="R34" s="102"/>
      <c r="S34" s="102">
        <f>IF(COUNT(S31)=0,"",ROUND(((S31-S32+S33)/S32),2))</f>
        <v>5</v>
      </c>
      <c r="T34" s="102"/>
      <c r="U34" s="102"/>
      <c r="V34" s="102"/>
      <c r="W34" s="102"/>
      <c r="X34" s="102"/>
      <c r="Y34" s="102"/>
      <c r="Z34" s="102"/>
      <c r="AA34" s="102"/>
      <c r="AB34" s="102">
        <f>IF(COUNT(AB31)=0,"",ROUND(((AB31-AB32+AB33)/AB32),2))</f>
        <v>5</v>
      </c>
      <c r="AC34" s="102"/>
      <c r="AD34" s="102"/>
      <c r="AE34" s="102"/>
      <c r="AF34" s="102"/>
      <c r="AG34" s="102"/>
      <c r="AH34" s="102"/>
      <c r="AI34" s="102"/>
      <c r="AJ34" s="102"/>
      <c r="AK34" s="102">
        <f>IF(COUNT(AK31)=0,"",ROUND(((AK31-AK32+AK33)/AK32),2))</f>
        <v>5</v>
      </c>
      <c r="AL34" s="102"/>
      <c r="AM34" s="102"/>
      <c r="AN34" s="102"/>
      <c r="AO34" s="102"/>
      <c r="AP34" s="102"/>
      <c r="AQ34" s="102"/>
      <c r="AR34" s="102"/>
      <c r="AS34" s="102"/>
    </row>
    <row r="35" spans="1:46">
      <c r="A35" s="103" t="s">
        <v>434</v>
      </c>
      <c r="B35" s="103"/>
      <c r="C35" s="103"/>
      <c r="D35" s="103"/>
      <c r="E35" s="103"/>
      <c r="F35" s="103"/>
      <c r="G35" s="103"/>
      <c r="H35" s="104" t="s">
        <v>25</v>
      </c>
      <c r="I35" s="103"/>
      <c r="J35" s="105">
        <v>25.1</v>
      </c>
      <c r="K35" s="105"/>
      <c r="L35" s="105"/>
      <c r="M35" s="105"/>
      <c r="N35" s="105"/>
      <c r="O35" s="105"/>
      <c r="P35" s="105"/>
      <c r="Q35" s="105"/>
      <c r="R35" s="105"/>
      <c r="S35" s="105">
        <v>25.1</v>
      </c>
      <c r="T35" s="105"/>
      <c r="U35" s="105"/>
      <c r="V35" s="105"/>
      <c r="W35" s="105"/>
      <c r="X35" s="105"/>
      <c r="Y35" s="105"/>
      <c r="Z35" s="105"/>
      <c r="AA35" s="105"/>
      <c r="AB35" s="105">
        <v>25.3</v>
      </c>
      <c r="AC35" s="105"/>
      <c r="AD35" s="105"/>
      <c r="AE35" s="105"/>
      <c r="AF35" s="105"/>
      <c r="AG35" s="105"/>
      <c r="AH35" s="105"/>
      <c r="AI35" s="105"/>
      <c r="AJ35" s="105"/>
      <c r="AK35" s="105">
        <v>25.2</v>
      </c>
      <c r="AL35" s="105"/>
      <c r="AM35" s="105"/>
      <c r="AN35" s="105"/>
      <c r="AO35" s="105"/>
      <c r="AP35" s="105"/>
      <c r="AQ35" s="105"/>
      <c r="AR35" s="105"/>
      <c r="AS35" s="105"/>
    </row>
    <row r="36" spans="1:46">
      <c r="A36" s="64" t="s">
        <v>433</v>
      </c>
      <c r="B36" s="64"/>
      <c r="C36" s="64"/>
      <c r="D36" s="64"/>
      <c r="E36" s="98" t="s">
        <v>432</v>
      </c>
      <c r="F36" s="98"/>
      <c r="G36" s="98"/>
      <c r="H36" s="98"/>
      <c r="I36" s="98"/>
      <c r="J36" s="99">
        <v>5.62</v>
      </c>
      <c r="K36" s="99"/>
      <c r="L36" s="99"/>
      <c r="M36" s="99"/>
      <c r="N36" s="99"/>
      <c r="O36" s="99"/>
      <c r="P36" s="99"/>
      <c r="Q36" s="99"/>
      <c r="R36" s="99"/>
      <c r="S36" s="99">
        <v>5.59</v>
      </c>
      <c r="T36" s="99"/>
      <c r="U36" s="99"/>
      <c r="V36" s="99"/>
      <c r="W36" s="99"/>
      <c r="X36" s="99"/>
      <c r="Y36" s="99"/>
      <c r="Z36" s="99"/>
      <c r="AA36" s="99"/>
      <c r="AB36" s="99">
        <v>9.2799999999999994</v>
      </c>
      <c r="AC36" s="99"/>
      <c r="AD36" s="99"/>
      <c r="AE36" s="99"/>
      <c r="AF36" s="99"/>
      <c r="AG36" s="99"/>
      <c r="AH36" s="99"/>
      <c r="AI36" s="99"/>
      <c r="AJ36" s="99"/>
      <c r="AK36" s="97">
        <v>9.3000000000000007</v>
      </c>
      <c r="AL36" s="97"/>
      <c r="AM36" s="97"/>
      <c r="AN36" s="97"/>
      <c r="AO36" s="97"/>
      <c r="AP36" s="97"/>
      <c r="AQ36" s="97"/>
      <c r="AR36" s="97"/>
      <c r="AS36" s="97"/>
    </row>
    <row r="37" spans="1:46">
      <c r="A37" s="64"/>
      <c r="B37" s="64"/>
      <c r="C37" s="64"/>
      <c r="D37" s="64"/>
      <c r="E37" s="98" t="s">
        <v>431</v>
      </c>
      <c r="F37" s="98"/>
      <c r="G37" s="98"/>
      <c r="H37" s="98"/>
      <c r="I37" s="98"/>
      <c r="J37" s="136">
        <f>IF(COUNT(J36)=0,"",ROUND(AVERAGE(J36:AA36),1))</f>
        <v>5.6</v>
      </c>
      <c r="K37" s="136"/>
      <c r="L37" s="136"/>
      <c r="M37" s="136"/>
      <c r="N37" s="136"/>
      <c r="O37" s="136"/>
      <c r="P37" s="136"/>
      <c r="Q37" s="136"/>
      <c r="R37" s="136"/>
      <c r="S37" s="136"/>
      <c r="T37" s="136"/>
      <c r="U37" s="136"/>
      <c r="V37" s="136"/>
      <c r="W37" s="136"/>
      <c r="X37" s="136"/>
      <c r="Y37" s="136"/>
      <c r="Z37" s="136"/>
      <c r="AA37" s="136"/>
      <c r="AB37" s="136">
        <f>IF(COUNT(AB36)=0,"",ROUND(AVERAGE(AB36:AS36),1))</f>
        <v>9.3000000000000007</v>
      </c>
      <c r="AC37" s="136"/>
      <c r="AD37" s="136"/>
      <c r="AE37" s="136"/>
      <c r="AF37" s="136"/>
      <c r="AG37" s="136"/>
      <c r="AH37" s="136"/>
      <c r="AI37" s="136"/>
      <c r="AJ37" s="136"/>
      <c r="AK37" s="136"/>
      <c r="AL37" s="136"/>
      <c r="AM37" s="136"/>
      <c r="AN37" s="136"/>
      <c r="AO37" s="136"/>
      <c r="AP37" s="136"/>
      <c r="AQ37" s="136"/>
      <c r="AR37" s="136"/>
      <c r="AS37" s="136"/>
    </row>
    <row r="38" spans="1:46">
      <c r="A38" s="64" t="s">
        <v>26</v>
      </c>
      <c r="B38" s="64"/>
      <c r="C38" s="64"/>
      <c r="D38" s="64"/>
      <c r="E38" s="98" t="s">
        <v>430</v>
      </c>
      <c r="F38" s="98"/>
      <c r="G38" s="98"/>
      <c r="H38" s="98"/>
      <c r="I38" s="98"/>
      <c r="J38" s="97">
        <v>7.15</v>
      </c>
      <c r="K38" s="97"/>
      <c r="L38" s="97"/>
      <c r="M38" s="97"/>
      <c r="N38" s="97"/>
      <c r="O38" s="97"/>
      <c r="P38" s="97"/>
      <c r="Q38" s="97"/>
      <c r="R38" s="97"/>
      <c r="S38" s="97">
        <v>7.02</v>
      </c>
      <c r="T38" s="97"/>
      <c r="U38" s="97"/>
      <c r="V38" s="97"/>
      <c r="W38" s="97"/>
      <c r="X38" s="97"/>
      <c r="Y38" s="97"/>
      <c r="Z38" s="97"/>
      <c r="AA38" s="97"/>
      <c r="AB38" s="100">
        <v>43</v>
      </c>
      <c r="AC38" s="100"/>
      <c r="AD38" s="100"/>
      <c r="AE38" s="100"/>
      <c r="AF38" s="100"/>
      <c r="AG38" s="100"/>
      <c r="AH38" s="100"/>
      <c r="AI38" s="100"/>
      <c r="AJ38" s="100"/>
      <c r="AK38" s="100">
        <v>42.8</v>
      </c>
      <c r="AL38" s="100"/>
      <c r="AM38" s="100"/>
      <c r="AN38" s="100"/>
      <c r="AO38" s="100"/>
      <c r="AP38" s="100"/>
      <c r="AQ38" s="100"/>
      <c r="AR38" s="100"/>
      <c r="AS38" s="100"/>
    </row>
    <row r="39" spans="1:46">
      <c r="A39" s="64"/>
      <c r="B39" s="64"/>
      <c r="C39" s="64"/>
      <c r="D39" s="64"/>
      <c r="E39" s="98" t="s">
        <v>429</v>
      </c>
      <c r="F39" s="98"/>
      <c r="G39" s="98"/>
      <c r="H39" s="98"/>
      <c r="I39" s="98"/>
      <c r="J39" s="136">
        <f>IF(COUNT(J38)=0,"",ROUND(AVERAGE(J38:AA38),1))</f>
        <v>7.1</v>
      </c>
      <c r="K39" s="136"/>
      <c r="L39" s="136"/>
      <c r="M39" s="136"/>
      <c r="N39" s="136"/>
      <c r="O39" s="136"/>
      <c r="P39" s="136"/>
      <c r="Q39" s="136"/>
      <c r="R39" s="136"/>
      <c r="S39" s="136"/>
      <c r="T39" s="136"/>
      <c r="U39" s="136"/>
      <c r="V39" s="136"/>
      <c r="W39" s="136"/>
      <c r="X39" s="136"/>
      <c r="Y39" s="136"/>
      <c r="Z39" s="136"/>
      <c r="AA39" s="136"/>
      <c r="AB39" s="137">
        <f>IF(COUNT(AB38)=0,"",ROUND(AVERAGE(AB38:AS38),1))</f>
        <v>42.9</v>
      </c>
      <c r="AC39" s="137"/>
      <c r="AD39" s="137"/>
      <c r="AE39" s="137"/>
      <c r="AF39" s="137"/>
      <c r="AG39" s="137"/>
      <c r="AH39" s="137"/>
      <c r="AI39" s="137"/>
      <c r="AJ39" s="137"/>
      <c r="AK39" s="137"/>
      <c r="AL39" s="137"/>
      <c r="AM39" s="137"/>
      <c r="AN39" s="137"/>
      <c r="AO39" s="137"/>
      <c r="AP39" s="137"/>
      <c r="AQ39" s="137"/>
      <c r="AR39" s="137"/>
      <c r="AS39" s="137"/>
    </row>
    <row r="40" spans="1:46" ht="15" customHeight="1">
      <c r="A40" s="87" t="s">
        <v>65</v>
      </c>
      <c r="B40" s="87"/>
      <c r="C40" s="87"/>
      <c r="D40" s="87"/>
      <c r="E40" s="96" t="s">
        <v>428</v>
      </c>
      <c r="F40" s="96"/>
      <c r="G40" s="96"/>
      <c r="H40" s="96"/>
      <c r="I40" s="96"/>
      <c r="J40" s="95">
        <v>717</v>
      </c>
      <c r="K40" s="95"/>
      <c r="L40" s="95"/>
      <c r="M40" s="95"/>
      <c r="N40" s="95"/>
      <c r="O40" s="95"/>
      <c r="P40" s="95">
        <v>365</v>
      </c>
      <c r="Q40" s="95"/>
      <c r="R40" s="95"/>
      <c r="S40" s="95"/>
      <c r="T40" s="95"/>
      <c r="U40" s="95"/>
      <c r="V40" s="95">
        <v>1890</v>
      </c>
      <c r="W40" s="95"/>
      <c r="X40" s="95"/>
      <c r="Y40" s="95"/>
      <c r="Z40" s="95"/>
      <c r="AA40" s="95"/>
      <c r="AB40" s="95">
        <v>556</v>
      </c>
      <c r="AC40" s="95"/>
      <c r="AD40" s="95"/>
      <c r="AE40" s="95"/>
      <c r="AF40" s="95"/>
      <c r="AG40" s="95"/>
      <c r="AH40" s="95">
        <v>1914</v>
      </c>
      <c r="AI40" s="95"/>
      <c r="AJ40" s="95"/>
      <c r="AK40" s="95"/>
      <c r="AL40" s="95"/>
      <c r="AM40" s="95"/>
      <c r="AN40" s="95">
        <v>1256</v>
      </c>
      <c r="AO40" s="95"/>
      <c r="AP40" s="95"/>
      <c r="AQ40" s="95"/>
      <c r="AR40" s="95"/>
      <c r="AS40" s="95"/>
    </row>
    <row r="41" spans="1:46" ht="16.5">
      <c r="A41" s="88"/>
      <c r="B41" s="88"/>
      <c r="C41" s="88"/>
      <c r="D41" s="88"/>
      <c r="E41" s="92" t="s">
        <v>427</v>
      </c>
      <c r="F41" s="92"/>
      <c r="G41" s="92"/>
      <c r="H41" s="92" t="s">
        <v>424</v>
      </c>
      <c r="I41" s="92"/>
      <c r="J41" s="93">
        <v>40.06</v>
      </c>
      <c r="K41" s="93"/>
      <c r="L41" s="93"/>
      <c r="M41" s="93"/>
      <c r="N41" s="93"/>
      <c r="O41" s="93"/>
      <c r="P41" s="93">
        <v>38.81</v>
      </c>
      <c r="Q41" s="93"/>
      <c r="R41" s="93"/>
      <c r="S41" s="93"/>
      <c r="T41" s="93"/>
      <c r="U41" s="93"/>
      <c r="V41" s="93">
        <v>37.909999999999997</v>
      </c>
      <c r="W41" s="93"/>
      <c r="X41" s="93"/>
      <c r="Y41" s="93"/>
      <c r="Z41" s="93"/>
      <c r="AA41" s="93"/>
      <c r="AB41" s="93">
        <v>42.1</v>
      </c>
      <c r="AC41" s="93"/>
      <c r="AD41" s="93"/>
      <c r="AE41" s="93"/>
      <c r="AF41" s="93"/>
      <c r="AG41" s="93"/>
      <c r="AH41" s="94">
        <v>43.84</v>
      </c>
      <c r="AI41" s="94"/>
      <c r="AJ41" s="94"/>
      <c r="AK41" s="94"/>
      <c r="AL41" s="94"/>
      <c r="AM41" s="94"/>
      <c r="AN41" s="94">
        <v>44.84</v>
      </c>
      <c r="AO41" s="94"/>
      <c r="AP41" s="94"/>
      <c r="AQ41" s="94"/>
      <c r="AR41" s="94"/>
      <c r="AS41" s="94"/>
    </row>
    <row r="42" spans="1:46" ht="16.5">
      <c r="A42" s="88"/>
      <c r="B42" s="88"/>
      <c r="C42" s="88"/>
      <c r="D42" s="88"/>
      <c r="E42" s="92" t="s">
        <v>426</v>
      </c>
      <c r="F42" s="92"/>
      <c r="G42" s="92"/>
      <c r="H42" s="92" t="s">
        <v>424</v>
      </c>
      <c r="I42" s="92"/>
      <c r="J42" s="93">
        <v>26.74</v>
      </c>
      <c r="K42" s="93"/>
      <c r="L42" s="93"/>
      <c r="M42" s="93"/>
      <c r="N42" s="93"/>
      <c r="O42" s="93"/>
      <c r="P42" s="93">
        <v>26.29</v>
      </c>
      <c r="Q42" s="93"/>
      <c r="R42" s="93"/>
      <c r="S42" s="93"/>
      <c r="T42" s="93"/>
      <c r="U42" s="93"/>
      <c r="V42" s="93">
        <v>26.1</v>
      </c>
      <c r="W42" s="93"/>
      <c r="X42" s="93"/>
      <c r="Y42" s="93"/>
      <c r="Z42" s="93"/>
      <c r="AA42" s="93"/>
      <c r="AB42" s="94">
        <v>37.43</v>
      </c>
      <c r="AC42" s="94"/>
      <c r="AD42" s="94"/>
      <c r="AE42" s="94"/>
      <c r="AF42" s="94"/>
      <c r="AG42" s="94"/>
      <c r="AH42" s="94">
        <v>38.78</v>
      </c>
      <c r="AI42" s="94"/>
      <c r="AJ42" s="94"/>
      <c r="AK42" s="94"/>
      <c r="AL42" s="94"/>
      <c r="AM42" s="94"/>
      <c r="AN42" s="94">
        <v>39.549999999999997</v>
      </c>
      <c r="AO42" s="94"/>
      <c r="AP42" s="94"/>
      <c r="AQ42" s="94"/>
      <c r="AR42" s="94"/>
      <c r="AS42" s="94"/>
    </row>
    <row r="43" spans="1:46" ht="16.5">
      <c r="A43" s="88"/>
      <c r="B43" s="88"/>
      <c r="C43" s="88"/>
      <c r="D43" s="88"/>
      <c r="E43" s="92" t="s">
        <v>425</v>
      </c>
      <c r="F43" s="92"/>
      <c r="G43" s="92"/>
      <c r="H43" s="92" t="s">
        <v>424</v>
      </c>
      <c r="I43" s="92"/>
      <c r="J43" s="93">
        <v>22.18</v>
      </c>
      <c r="K43" s="93"/>
      <c r="L43" s="93"/>
      <c r="M43" s="93"/>
      <c r="N43" s="93"/>
      <c r="O43" s="93"/>
      <c r="P43" s="93">
        <v>22.2</v>
      </c>
      <c r="Q43" s="93"/>
      <c r="R43" s="93"/>
      <c r="S43" s="93"/>
      <c r="T43" s="93"/>
      <c r="U43" s="93"/>
      <c r="V43" s="93">
        <v>22.19</v>
      </c>
      <c r="W43" s="93"/>
      <c r="X43" s="93"/>
      <c r="Y43" s="93"/>
      <c r="Z43" s="93"/>
      <c r="AA43" s="93"/>
      <c r="AB43" s="93">
        <v>22.17</v>
      </c>
      <c r="AC43" s="93"/>
      <c r="AD43" s="93"/>
      <c r="AE43" s="93"/>
      <c r="AF43" s="93"/>
      <c r="AG43" s="93"/>
      <c r="AH43" s="93">
        <v>22.19</v>
      </c>
      <c r="AI43" s="93"/>
      <c r="AJ43" s="93"/>
      <c r="AK43" s="93"/>
      <c r="AL43" s="93"/>
      <c r="AM43" s="93"/>
      <c r="AN43" s="93">
        <v>22.2</v>
      </c>
      <c r="AO43" s="93"/>
      <c r="AP43" s="93"/>
      <c r="AQ43" s="93"/>
      <c r="AR43" s="93"/>
      <c r="AS43" s="93"/>
    </row>
    <row r="44" spans="1:46">
      <c r="A44" s="88"/>
      <c r="B44" s="88"/>
      <c r="C44" s="88"/>
      <c r="D44" s="88"/>
      <c r="E44" s="90" t="s">
        <v>27</v>
      </c>
      <c r="F44" s="90"/>
      <c r="G44" s="90"/>
      <c r="H44" s="90" t="s">
        <v>28</v>
      </c>
      <c r="I44" s="90"/>
      <c r="J44" s="91">
        <f>IF(COUNT(J41)=0,"",ROUND((J41-J42)/(J42-J43)*100,1))</f>
        <v>292.10000000000002</v>
      </c>
      <c r="K44" s="91"/>
      <c r="L44" s="91"/>
      <c r="M44" s="91"/>
      <c r="N44" s="91"/>
      <c r="O44" s="91"/>
      <c r="P44" s="91">
        <f>IF(COUNT(P41)=0,"",ROUND((P41-P42)/(P42-P43)*100,1))</f>
        <v>306.10000000000002</v>
      </c>
      <c r="Q44" s="91"/>
      <c r="R44" s="91"/>
      <c r="S44" s="91"/>
      <c r="T44" s="91"/>
      <c r="U44" s="91"/>
      <c r="V44" s="91">
        <f>IF(COUNT(V41)=0,"",ROUND((V41-V42)/(V42-V43)*100,1))</f>
        <v>302</v>
      </c>
      <c r="W44" s="91"/>
      <c r="X44" s="91"/>
      <c r="Y44" s="91"/>
      <c r="Z44" s="91"/>
      <c r="AA44" s="91"/>
      <c r="AB44" s="83">
        <f>IF(COUNT(AB41)=0,"",ROUND((AB41-AB42)/(AB42-AB43)*100,1))</f>
        <v>30.6</v>
      </c>
      <c r="AC44" s="83"/>
      <c r="AD44" s="83"/>
      <c r="AE44" s="83"/>
      <c r="AF44" s="83"/>
      <c r="AG44" s="83"/>
      <c r="AH44" s="83">
        <f>IF(COUNT(AH41)=0,"",ROUND((AH41-AH42)/(AH42-AH43)*100,1))</f>
        <v>30.5</v>
      </c>
      <c r="AI44" s="83"/>
      <c r="AJ44" s="83"/>
      <c r="AK44" s="83"/>
      <c r="AL44" s="83"/>
      <c r="AM44" s="83"/>
      <c r="AN44" s="83">
        <f>IF(COUNT(AN41)=0,"",ROUND((AN41-AN42)/(AN42-AN43)*100,1))</f>
        <v>30.5</v>
      </c>
      <c r="AO44" s="83"/>
      <c r="AP44" s="83"/>
      <c r="AQ44" s="83"/>
      <c r="AR44" s="83"/>
      <c r="AS44" s="83"/>
    </row>
    <row r="45" spans="1:46">
      <c r="A45" s="89"/>
      <c r="B45" s="89"/>
      <c r="C45" s="89"/>
      <c r="D45" s="89"/>
      <c r="E45" s="84" t="s">
        <v>423</v>
      </c>
      <c r="F45" s="84"/>
      <c r="G45" s="84"/>
      <c r="H45" s="84" t="s">
        <v>28</v>
      </c>
      <c r="I45" s="84"/>
      <c r="J45" s="85">
        <f>IF(COUNT(J41)=0,"",ROUND(AVERAGE(J44:AA44),1))</f>
        <v>300.10000000000002</v>
      </c>
      <c r="K45" s="85"/>
      <c r="L45" s="85"/>
      <c r="M45" s="85"/>
      <c r="N45" s="85"/>
      <c r="O45" s="85"/>
      <c r="P45" s="85"/>
      <c r="Q45" s="85"/>
      <c r="R45" s="85"/>
      <c r="S45" s="85"/>
      <c r="T45" s="85"/>
      <c r="U45" s="85"/>
      <c r="V45" s="85"/>
      <c r="W45" s="85"/>
      <c r="X45" s="85"/>
      <c r="Y45" s="85"/>
      <c r="Z45" s="85"/>
      <c r="AA45" s="85"/>
      <c r="AB45" s="86">
        <f>IF(COUNT(AB41)=0,"",ROUND(AVERAGE(AB44:AS44),1))</f>
        <v>30.5</v>
      </c>
      <c r="AC45" s="86"/>
      <c r="AD45" s="86"/>
      <c r="AE45" s="86"/>
      <c r="AF45" s="86"/>
      <c r="AG45" s="86"/>
      <c r="AH45" s="86"/>
      <c r="AI45" s="86"/>
      <c r="AJ45" s="86"/>
      <c r="AK45" s="86"/>
      <c r="AL45" s="86"/>
      <c r="AM45" s="86"/>
      <c r="AN45" s="86"/>
      <c r="AO45" s="86"/>
      <c r="AP45" s="86"/>
      <c r="AQ45" s="86"/>
      <c r="AR45" s="86"/>
      <c r="AS45" s="86"/>
    </row>
    <row r="46" spans="1:46" ht="15" customHeight="1">
      <c r="A46" s="79" t="s">
        <v>422</v>
      </c>
      <c r="B46" s="79"/>
      <c r="C46" s="79"/>
      <c r="D46" s="79"/>
      <c r="E46" s="79"/>
      <c r="F46" s="79"/>
      <c r="G46" s="79"/>
      <c r="H46" s="79"/>
      <c r="I46" s="79"/>
      <c r="J46" s="81" t="s">
        <v>421</v>
      </c>
      <c r="K46" s="81"/>
      <c r="L46" s="81"/>
      <c r="M46" s="81"/>
      <c r="N46" s="81"/>
      <c r="O46" s="81"/>
      <c r="P46" s="81"/>
      <c r="Q46" s="81"/>
      <c r="R46" s="81"/>
      <c r="S46" s="81"/>
      <c r="T46" s="81"/>
      <c r="U46" s="81"/>
      <c r="V46" s="81"/>
      <c r="W46" s="81"/>
      <c r="X46" s="81"/>
      <c r="Y46" s="81"/>
      <c r="Z46" s="81"/>
      <c r="AA46" s="81"/>
      <c r="AB46" s="81" t="s">
        <v>420</v>
      </c>
      <c r="AC46" s="81"/>
      <c r="AD46" s="81"/>
      <c r="AE46" s="81"/>
      <c r="AF46" s="81"/>
      <c r="AG46" s="81"/>
      <c r="AH46" s="81"/>
      <c r="AI46" s="81"/>
      <c r="AJ46" s="81"/>
      <c r="AK46" s="81"/>
      <c r="AL46" s="81"/>
      <c r="AM46" s="81"/>
      <c r="AN46" s="81"/>
      <c r="AO46" s="81"/>
      <c r="AP46" s="81"/>
      <c r="AQ46" s="81"/>
      <c r="AR46" s="81"/>
      <c r="AS46" s="81"/>
    </row>
    <row r="47" spans="1:46">
      <c r="A47" s="80"/>
      <c r="B47" s="80"/>
      <c r="C47" s="80"/>
      <c r="D47" s="80"/>
      <c r="E47" s="80"/>
      <c r="F47" s="80"/>
      <c r="G47" s="80"/>
      <c r="H47" s="80"/>
      <c r="I47" s="80"/>
      <c r="J47" s="82"/>
      <c r="K47" s="82"/>
      <c r="L47" s="82"/>
      <c r="M47" s="82"/>
      <c r="N47" s="82"/>
      <c r="O47" s="82"/>
      <c r="P47" s="82"/>
      <c r="Q47" s="82"/>
      <c r="R47" s="82"/>
      <c r="S47" s="82"/>
      <c r="T47" s="82"/>
      <c r="U47" s="82"/>
      <c r="V47" s="82"/>
      <c r="W47" s="82"/>
      <c r="X47" s="82"/>
      <c r="Y47" s="82"/>
      <c r="Z47" s="82"/>
      <c r="AA47" s="82"/>
      <c r="AB47" s="82"/>
      <c r="AC47" s="82"/>
      <c r="AD47" s="82"/>
      <c r="AE47" s="82"/>
      <c r="AF47" s="82"/>
      <c r="AG47" s="82"/>
      <c r="AH47" s="82"/>
      <c r="AI47" s="82"/>
      <c r="AJ47" s="82"/>
      <c r="AK47" s="82"/>
      <c r="AL47" s="82"/>
      <c r="AM47" s="82"/>
      <c r="AN47" s="82"/>
      <c r="AO47" s="82"/>
      <c r="AP47" s="82"/>
      <c r="AQ47" s="82"/>
      <c r="AR47" s="82"/>
      <c r="AS47" s="82"/>
    </row>
    <row r="51" spans="1:45">
      <c r="N51" s="12"/>
    </row>
    <row r="52" spans="1:4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row>
  </sheetData>
  <mergeCells count="241">
    <mergeCell ref="J17:R17"/>
    <mergeCell ref="S17:AA17"/>
    <mergeCell ref="AB17:AJ17"/>
    <mergeCell ref="AK17:AS17"/>
    <mergeCell ref="AB19:AJ19"/>
    <mergeCell ref="AK19:AS19"/>
    <mergeCell ref="J20:AA20"/>
    <mergeCell ref="AB20:AS20"/>
    <mergeCell ref="A17:D18"/>
    <mergeCell ref="E17:I17"/>
    <mergeCell ref="E18:I18"/>
    <mergeCell ref="J18:AA18"/>
    <mergeCell ref="AB18:AS18"/>
    <mergeCell ref="A19:D20"/>
    <mergeCell ref="E19:I19"/>
    <mergeCell ref="E20:I20"/>
    <mergeCell ref="J19:R19"/>
    <mergeCell ref="S19:AA19"/>
    <mergeCell ref="J15:R15"/>
    <mergeCell ref="S15:AA15"/>
    <mergeCell ref="AB15:AJ15"/>
    <mergeCell ref="AK15:AS15"/>
    <mergeCell ref="J14:R14"/>
    <mergeCell ref="S14:AA14"/>
    <mergeCell ref="S16:AA16"/>
    <mergeCell ref="AB16:AJ16"/>
    <mergeCell ref="AK16:AS16"/>
    <mergeCell ref="S12:AA12"/>
    <mergeCell ref="AB12:AJ12"/>
    <mergeCell ref="AK12:AS12"/>
    <mergeCell ref="J13:R13"/>
    <mergeCell ref="S13:AA13"/>
    <mergeCell ref="AB13:AJ13"/>
    <mergeCell ref="AK13:AS13"/>
    <mergeCell ref="AB14:AJ14"/>
    <mergeCell ref="AK14:AS14"/>
    <mergeCell ref="AH5:AS6"/>
    <mergeCell ref="J7:O7"/>
    <mergeCell ref="P7:U7"/>
    <mergeCell ref="V7:AA7"/>
    <mergeCell ref="AB7:AG7"/>
    <mergeCell ref="AB3:AG4"/>
    <mergeCell ref="AB5:AG6"/>
    <mergeCell ref="A3:G4"/>
    <mergeCell ref="H3:AA4"/>
    <mergeCell ref="A5:AA6"/>
    <mergeCell ref="AH3:AS4"/>
    <mergeCell ref="A1:D2"/>
    <mergeCell ref="E1:G1"/>
    <mergeCell ref="E2:G2"/>
    <mergeCell ref="H1:AJ2"/>
    <mergeCell ref="AK1:AS2"/>
    <mergeCell ref="H16:I16"/>
    <mergeCell ref="A16:G16"/>
    <mergeCell ref="J16:R16"/>
    <mergeCell ref="H15:I15"/>
    <mergeCell ref="A15:G15"/>
    <mergeCell ref="P8:U8"/>
    <mergeCell ref="J11:R11"/>
    <mergeCell ref="S11:AA11"/>
    <mergeCell ref="AB11:AJ11"/>
    <mergeCell ref="AK11:AS11"/>
    <mergeCell ref="V8:AA8"/>
    <mergeCell ref="P9:U9"/>
    <mergeCell ref="V9:AA9"/>
    <mergeCell ref="AB8:AG8"/>
    <mergeCell ref="AH8:AM8"/>
    <mergeCell ref="AN8:AS8"/>
    <mergeCell ref="AB9:AG9"/>
    <mergeCell ref="AH9:AM9"/>
    <mergeCell ref="AN9:AS9"/>
    <mergeCell ref="AB21:AG21"/>
    <mergeCell ref="A8:I8"/>
    <mergeCell ref="A7:I7"/>
    <mergeCell ref="A9:I9"/>
    <mergeCell ref="A10:I10"/>
    <mergeCell ref="J8:O8"/>
    <mergeCell ref="J9:O9"/>
    <mergeCell ref="AH7:AM7"/>
    <mergeCell ref="AN7:AS7"/>
    <mergeCell ref="E21:I21"/>
    <mergeCell ref="J21:O21"/>
    <mergeCell ref="P21:U21"/>
    <mergeCell ref="V21:AA21"/>
    <mergeCell ref="H13:I13"/>
    <mergeCell ref="H14:I14"/>
    <mergeCell ref="A12:G12"/>
    <mergeCell ref="A13:G13"/>
    <mergeCell ref="A14:G14"/>
    <mergeCell ref="J10:AA10"/>
    <mergeCell ref="AB10:AS10"/>
    <mergeCell ref="H12:I12"/>
    <mergeCell ref="A11:G11"/>
    <mergeCell ref="H11:I11"/>
    <mergeCell ref="J12:R12"/>
    <mergeCell ref="AN22:AS22"/>
    <mergeCell ref="J24:O24"/>
    <mergeCell ref="P24:U24"/>
    <mergeCell ref="V24:AA24"/>
    <mergeCell ref="J25:O25"/>
    <mergeCell ref="P25:U25"/>
    <mergeCell ref="V25:AA25"/>
    <mergeCell ref="E24:G24"/>
    <mergeCell ref="H24:I24"/>
    <mergeCell ref="E25:G25"/>
    <mergeCell ref="H25:I25"/>
    <mergeCell ref="H22:I22"/>
    <mergeCell ref="E22:G22"/>
    <mergeCell ref="E23:G23"/>
    <mergeCell ref="H23:I23"/>
    <mergeCell ref="J22:O22"/>
    <mergeCell ref="P22:U22"/>
    <mergeCell ref="V22:AA22"/>
    <mergeCell ref="J23:O23"/>
    <mergeCell ref="P23:U23"/>
    <mergeCell ref="V23:AA23"/>
    <mergeCell ref="A27:I28"/>
    <mergeCell ref="J27:AA28"/>
    <mergeCell ref="AB27:AS28"/>
    <mergeCell ref="A29:I29"/>
    <mergeCell ref="J29:AA29"/>
    <mergeCell ref="AB29:AS29"/>
    <mergeCell ref="AB25:AG25"/>
    <mergeCell ref="AH25:AM25"/>
    <mergeCell ref="AN25:AS25"/>
    <mergeCell ref="E26:G26"/>
    <mergeCell ref="H26:I26"/>
    <mergeCell ref="J26:AA26"/>
    <mergeCell ref="AB26:AS26"/>
    <mergeCell ref="A21:D26"/>
    <mergeCell ref="AB23:AG23"/>
    <mergeCell ref="AH23:AM23"/>
    <mergeCell ref="AN23:AS23"/>
    <mergeCell ref="AB24:AG24"/>
    <mergeCell ref="AH24:AM24"/>
    <mergeCell ref="AN24:AS24"/>
    <mergeCell ref="AH21:AM21"/>
    <mergeCell ref="AN21:AS21"/>
    <mergeCell ref="AB22:AG22"/>
    <mergeCell ref="AH22:AM22"/>
    <mergeCell ref="AK30:AS30"/>
    <mergeCell ref="A31:G31"/>
    <mergeCell ref="H31:I31"/>
    <mergeCell ref="J31:R31"/>
    <mergeCell ref="S31:AA31"/>
    <mergeCell ref="AB31:AJ31"/>
    <mergeCell ref="AK31:AS31"/>
    <mergeCell ref="A30:G30"/>
    <mergeCell ref="H30:I30"/>
    <mergeCell ref="J30:R30"/>
    <mergeCell ref="S30:AA30"/>
    <mergeCell ref="AB30:AJ30"/>
    <mergeCell ref="AK32:AS32"/>
    <mergeCell ref="A33:G33"/>
    <mergeCell ref="H33:I33"/>
    <mergeCell ref="J33:R33"/>
    <mergeCell ref="S33:AA33"/>
    <mergeCell ref="AB33:AJ33"/>
    <mergeCell ref="AK33:AS33"/>
    <mergeCell ref="A32:G32"/>
    <mergeCell ref="H32:I32"/>
    <mergeCell ref="J32:R32"/>
    <mergeCell ref="S32:AA32"/>
    <mergeCell ref="AB32:AJ32"/>
    <mergeCell ref="AK34:AS34"/>
    <mergeCell ref="A35:G35"/>
    <mergeCell ref="H35:I35"/>
    <mergeCell ref="J35:R35"/>
    <mergeCell ref="S35:AA35"/>
    <mergeCell ref="AB35:AJ35"/>
    <mergeCell ref="AK35:AS35"/>
    <mergeCell ref="A34:G34"/>
    <mergeCell ref="H34:I34"/>
    <mergeCell ref="J34:R34"/>
    <mergeCell ref="S34:AA34"/>
    <mergeCell ref="AB34:AJ34"/>
    <mergeCell ref="AK36:AS36"/>
    <mergeCell ref="E37:I37"/>
    <mergeCell ref="J37:AA37"/>
    <mergeCell ref="AB37:AS37"/>
    <mergeCell ref="A38:D39"/>
    <mergeCell ref="E38:I38"/>
    <mergeCell ref="J38:R38"/>
    <mergeCell ref="S38:AA38"/>
    <mergeCell ref="AB38:AJ38"/>
    <mergeCell ref="AK38:AS38"/>
    <mergeCell ref="E39:I39"/>
    <mergeCell ref="J39:AA39"/>
    <mergeCell ref="AB39:AS39"/>
    <mergeCell ref="A36:D37"/>
    <mergeCell ref="E36:I36"/>
    <mergeCell ref="J36:R36"/>
    <mergeCell ref="S36:AA36"/>
    <mergeCell ref="AB36:AJ36"/>
    <mergeCell ref="AB43:AG43"/>
    <mergeCell ref="AH43:AM43"/>
    <mergeCell ref="AN43:AS43"/>
    <mergeCell ref="E42:G42"/>
    <mergeCell ref="H42:I42"/>
    <mergeCell ref="J42:O42"/>
    <mergeCell ref="P42:U42"/>
    <mergeCell ref="V42:AA42"/>
    <mergeCell ref="AB40:AG40"/>
    <mergeCell ref="AH40:AM40"/>
    <mergeCell ref="AN40:AS40"/>
    <mergeCell ref="E41:G41"/>
    <mergeCell ref="H41:I41"/>
    <mergeCell ref="J41:O41"/>
    <mergeCell ref="P41:U41"/>
    <mergeCell ref="V41:AA41"/>
    <mergeCell ref="AB41:AG41"/>
    <mergeCell ref="AH41:AM41"/>
    <mergeCell ref="AN41:AS41"/>
    <mergeCell ref="E40:I40"/>
    <mergeCell ref="J40:O40"/>
    <mergeCell ref="P40:U40"/>
    <mergeCell ref="V40:AA40"/>
    <mergeCell ref="A46:I47"/>
    <mergeCell ref="J46:AA47"/>
    <mergeCell ref="AB46:AS47"/>
    <mergeCell ref="AB44:AG44"/>
    <mergeCell ref="AH44:AM44"/>
    <mergeCell ref="AN44:AS44"/>
    <mergeCell ref="E45:G45"/>
    <mergeCell ref="H45:I45"/>
    <mergeCell ref="J45:AA45"/>
    <mergeCell ref="AB45:AS45"/>
    <mergeCell ref="A40:D45"/>
    <mergeCell ref="E44:G44"/>
    <mergeCell ref="H44:I44"/>
    <mergeCell ref="J44:O44"/>
    <mergeCell ref="P44:U44"/>
    <mergeCell ref="V44:AA44"/>
    <mergeCell ref="AB42:AG42"/>
    <mergeCell ref="AH42:AM42"/>
    <mergeCell ref="AN42:AS42"/>
    <mergeCell ref="E43:G43"/>
    <mergeCell ref="H43:I43"/>
    <mergeCell ref="J43:O43"/>
    <mergeCell ref="P43:U43"/>
    <mergeCell ref="V43:AA43"/>
  </mergeCells>
  <phoneticPr fontId="2"/>
  <pageMargins left="0.39370078740157483" right="0.19685039370078741" top="0.98425196850393704" bottom="0.59055118110236227" header="0.51181102362204722" footer="0.51181102362204722"/>
  <pageSetup paperSize="9" scale="99" orientation="portrait" horizontalDpi="4294967295" verticalDpi="4294967295" r:id="rId1"/>
  <headerFooter>
    <oddFooter>&amp;R&amp;"Times New Roman,標準"CHUGAI TECHNOS VIETNAM</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Phân tích đất</vt:lpstr>
      <vt:lpstr>Bảng dữ liệu (mâũ) Trang 14</vt:lpstr>
      <vt:lpstr>Bảng dữ liệu Trang 15</vt:lpstr>
      <vt:lpstr>'Phân tích đất'!Print_Area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2017-03-08T03:28:09Z</dcterms:modified>
</cp:coreProperties>
</file>