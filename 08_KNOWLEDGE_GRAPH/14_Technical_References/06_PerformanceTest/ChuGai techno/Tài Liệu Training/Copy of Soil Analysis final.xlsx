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755" activeTab="1"/>
  </bookViews>
  <sheets>
    <sheet name="pH" sheetId="1" r:id="rId1"/>
    <sheet name="pH (H2O2)" sheetId="5" r:id="rId2"/>
    <sheet name="Water Content" sheetId="4" r:id="rId3"/>
    <sheet name="Data Sheet" sheetId="2" r:id="rId4"/>
  </sheets>
  <definedNames>
    <definedName name="_xlnm.Print_Area" localSheetId="0">pH!$A$1:$I$190</definedName>
    <definedName name="_xlnm.Print_Area" localSheetId="1">'pH (H2O2)'!$A$1:$I$235</definedName>
    <definedName name="_xlnm.Print_Area" localSheetId="2">'Water Content'!$A$1:$I$67</definedName>
  </definedNames>
  <calcPr calcId="152511"/>
</workbook>
</file>

<file path=xl/calcChain.xml><?xml version="1.0" encoding="utf-8"?>
<calcChain xmlns="http://schemas.openxmlformats.org/spreadsheetml/2006/main">
  <c r="AB33" i="2" l="1"/>
  <c r="AK33" i="2"/>
  <c r="S33" i="2"/>
  <c r="J33" i="2"/>
  <c r="AK34" i="2" l="1"/>
  <c r="AB34" i="2"/>
  <c r="AB45" i="2"/>
  <c r="AK32" i="2" s="1"/>
  <c r="AN44" i="2"/>
  <c r="AH44" i="2"/>
  <c r="AB44" i="2"/>
  <c r="V44" i="2"/>
  <c r="P44" i="2"/>
  <c r="J44" i="2"/>
  <c r="AB39" i="2"/>
  <c r="J39" i="2"/>
  <c r="AB37" i="2"/>
  <c r="J37" i="2"/>
  <c r="AB20" i="2"/>
  <c r="J20" i="2"/>
  <c r="AB18" i="2"/>
  <c r="J18" i="2"/>
  <c r="P25" i="2"/>
  <c r="V25" i="2"/>
  <c r="AB25" i="2"/>
  <c r="AH25" i="2"/>
  <c r="AN25" i="2"/>
  <c r="J25" i="2"/>
  <c r="AB26" i="2" l="1"/>
  <c r="AK13" i="2" s="1"/>
  <c r="J45" i="2"/>
  <c r="J26" i="2"/>
  <c r="S13" i="2" s="1"/>
  <c r="AB32" i="2"/>
  <c r="S15" i="2" l="1"/>
  <c r="S14" i="2"/>
  <c r="AB13" i="2"/>
  <c r="AK14" i="2"/>
  <c r="AK15" i="2" s="1"/>
  <c r="J13" i="2"/>
  <c r="J14" i="2" s="1"/>
  <c r="J15" i="2" s="1"/>
  <c r="S32" i="2"/>
  <c r="S34" i="2" s="1"/>
  <c r="J32" i="2"/>
  <c r="J34" i="2" s="1"/>
  <c r="AB14" i="2" l="1"/>
  <c r="AB15" i="2" s="1"/>
</calcChain>
</file>

<file path=xl/comments1.xml><?xml version="1.0" encoding="utf-8"?>
<comments xmlns="http://schemas.openxmlformats.org/spreadsheetml/2006/main">
  <authors>
    <author>Author</author>
  </authors>
  <commentList>
    <comment ref="A1" authorId="0" shapeId="0">
      <text>
        <r>
          <rPr>
            <b/>
            <sz val="9"/>
            <color indexed="81"/>
            <rFont val="ＭＳ Ｐゴシック"/>
            <family val="3"/>
            <charset val="128"/>
          </rPr>
          <t>Masami Oue:</t>
        </r>
        <r>
          <rPr>
            <sz val="9"/>
            <color indexed="81"/>
            <rFont val="ＭＳ Ｐゴシック"/>
            <family val="3"/>
            <charset val="128"/>
          </rPr>
          <t xml:space="preserve">
Choose measured items and JGS number from pH and EC</t>
        </r>
      </text>
    </comment>
    <comment ref="H1" authorId="0" shapeId="0">
      <text>
        <r>
          <rPr>
            <b/>
            <sz val="9"/>
            <color indexed="81"/>
            <rFont val="ＭＳ Ｐゴシック"/>
            <family val="3"/>
            <charset val="128"/>
          </rPr>
          <t>Masami Oue:</t>
        </r>
        <r>
          <rPr>
            <sz val="9"/>
            <color indexed="81"/>
            <rFont val="ＭＳ Ｐゴシック"/>
            <family val="3"/>
            <charset val="128"/>
          </rPr>
          <t xml:space="preserve">
Choose measured items and JGS number from pH and EC</t>
        </r>
      </text>
    </comment>
    <comment ref="AK16" authorId="0" shapeId="0">
      <text>
        <r>
          <rPr>
            <b/>
            <sz val="9"/>
            <color indexed="81"/>
            <rFont val="ＭＳ Ｐゴシック"/>
            <family val="3"/>
            <charset val="128"/>
          </rPr>
          <t>Masami Oue:</t>
        </r>
        <r>
          <rPr>
            <sz val="9"/>
            <color indexed="81"/>
            <rFont val="ＭＳ Ｐゴシック"/>
            <family val="3"/>
            <charset val="128"/>
          </rPr>
          <t xml:space="preserve">
Measure pH while holding temperature at 25±0.5℃ in case that EC meter which does't have temperature compensation function is used </t>
        </r>
      </text>
    </comment>
    <comment ref="AK17" authorId="0" shapeId="0">
      <text>
        <r>
          <rPr>
            <b/>
            <sz val="9"/>
            <color indexed="81"/>
            <rFont val="ＭＳ Ｐゴシック"/>
            <family val="3"/>
            <charset val="128"/>
          </rPr>
          <t>Masami Oue:</t>
        </r>
        <r>
          <rPr>
            <sz val="9"/>
            <color indexed="81"/>
            <rFont val="ＭＳ Ｐゴシック"/>
            <family val="3"/>
            <charset val="128"/>
          </rPr>
          <t xml:space="preserve">
Measure pH value up to two decimal places and round one decimal places when average is calcurated.</t>
        </r>
      </text>
    </comment>
    <comment ref="AB20" authorId="0" shapeId="0">
      <text>
        <r>
          <rPr>
            <b/>
            <sz val="9"/>
            <color indexed="81"/>
            <rFont val="ＭＳ Ｐゴシック"/>
            <family val="3"/>
            <charset val="128"/>
          </rPr>
          <t>Masami Oue:</t>
        </r>
        <r>
          <rPr>
            <sz val="9"/>
            <color indexed="81"/>
            <rFont val="ＭＳ Ｐゴシック"/>
            <family val="3"/>
            <charset val="128"/>
          </rPr>
          <t xml:space="preserve">
Measure EC value up to 3 significant digits and round 2 digits when average is calcurated.</t>
        </r>
      </text>
    </comment>
  </commentList>
</comments>
</file>

<file path=xl/sharedStrings.xml><?xml version="1.0" encoding="utf-8"?>
<sst xmlns="http://schemas.openxmlformats.org/spreadsheetml/2006/main" count="609" uniqueCount="484">
  <si>
    <t>1.</t>
    <phoneticPr fontId="2"/>
  </si>
  <si>
    <t>General provision</t>
    <phoneticPr fontId="2"/>
  </si>
  <si>
    <t>1.1</t>
    <phoneticPr fontId="2"/>
  </si>
  <si>
    <t>Test purpose</t>
    <phoneticPr fontId="2"/>
  </si>
  <si>
    <t>This test perpuse is to measure pH of soils in abutting contact with water.</t>
    <phoneticPr fontId="2"/>
  </si>
  <si>
    <t>1.2</t>
    <phoneticPr fontId="2"/>
  </si>
  <si>
    <t>Applicable scope</t>
    <phoneticPr fontId="2"/>
  </si>
  <si>
    <t>1.3</t>
    <phoneticPr fontId="2"/>
  </si>
  <si>
    <t>Japanese Geotechnical Society (JGS 0211-2000)</t>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</si>
  <si>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</si>
  <si>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Those contents shall be specified on in report items if different methods from this standard is used partially.</t>
    <phoneticPr fontId="2"/>
  </si>
  <si>
    <t>This standard can be applied to high organic soils too.</t>
    <phoneticPr fontId="2"/>
  </si>
  <si>
    <t>PH shows degree of acid or alkali and it is defined by the following equation.</t>
    <phoneticPr fontId="2"/>
  </si>
  <si>
    <t>2.</t>
    <phoneticPr fontId="2"/>
  </si>
  <si>
    <t>Test equipment and reagents</t>
    <phoneticPr fontId="2"/>
  </si>
  <si>
    <t>2.1</t>
    <phoneticPr fontId="2"/>
  </si>
  <si>
    <t>Test equipment</t>
    <phoneticPr fontId="2"/>
  </si>
  <si>
    <t>Glass electrode pH meter</t>
    <phoneticPr fontId="2"/>
  </si>
  <si>
    <t>(1)</t>
    <phoneticPr fontId="2"/>
  </si>
  <si>
    <t>Minimum reading value is not less than 0.1</t>
    <phoneticPr fontId="2"/>
  </si>
  <si>
    <t>(2)</t>
    <phoneticPr fontId="2"/>
  </si>
  <si>
    <t>Weight balance</t>
    <phoneticPr fontId="2"/>
  </si>
  <si>
    <t>Possible to read up to 0.1 g</t>
    <phoneticPr fontId="2"/>
  </si>
  <si>
    <t>(3)</t>
    <phoneticPr fontId="2"/>
  </si>
  <si>
    <t>Beaker</t>
    <phoneticPr fontId="2"/>
  </si>
  <si>
    <t>Capacity is from 100 mL to 500 mL</t>
    <phoneticPr fontId="2"/>
  </si>
  <si>
    <t>(4)</t>
    <phoneticPr fontId="2"/>
  </si>
  <si>
    <t>Other</t>
    <phoneticPr fontId="2"/>
  </si>
  <si>
    <t>Tweezers</t>
    <phoneticPr fontId="2"/>
  </si>
  <si>
    <t>Washing bottle</t>
    <phoneticPr fontId="2"/>
  </si>
  <si>
    <t>Agitator</t>
    <phoneticPr fontId="2"/>
  </si>
  <si>
    <t>Filter</t>
    <phoneticPr fontId="2"/>
  </si>
  <si>
    <t>Thermometer</t>
    <phoneticPr fontId="2"/>
  </si>
  <si>
    <t>3.</t>
    <phoneticPr fontId="2"/>
  </si>
  <si>
    <t>Sample</t>
    <phoneticPr fontId="2"/>
  </si>
  <si>
    <t>This method is aimed at soils after removal of soil particle more than 10 mm.</t>
    <phoneticPr fontId="2"/>
  </si>
  <si>
    <t>Use as sample which soils removal of soil particle more than 10 mm by tweezers.</t>
    <phoneticPr fontId="2"/>
  </si>
  <si>
    <t>Put moderate amount of samples to a beaker by thinking particle size and add water in orde that water weight ratio to dry sample ( including moisture in samples ) weight  is  5.</t>
    <phoneticPr fontId="2"/>
  </si>
  <si>
    <t>Definition of terms</t>
    <phoneticPr fontId="2"/>
  </si>
  <si>
    <t>(a) Desktop type</t>
    <phoneticPr fontId="2"/>
  </si>
  <si>
    <t>(b) Mobile type</t>
    <phoneticPr fontId="2"/>
  </si>
  <si>
    <t>(1)</t>
    <phoneticPr fontId="2"/>
  </si>
  <si>
    <t>(2)</t>
  </si>
  <si>
    <t>(2)</t>
    <phoneticPr fontId="2"/>
  </si>
  <si>
    <t>PH meter examples are shown in Figure-1</t>
    <phoneticPr fontId="2"/>
  </si>
  <si>
    <t xml:space="preserve">a. Capacity is different by sample particle as indicated in the Table-1. </t>
    <phoneticPr fontId="2"/>
  </si>
  <si>
    <t>Table-1</t>
    <phoneticPr fontId="2"/>
  </si>
  <si>
    <t>Sample Particle</t>
    <phoneticPr fontId="2"/>
  </si>
  <si>
    <t>(mm)</t>
    <phoneticPr fontId="2"/>
  </si>
  <si>
    <t>Sample furnace dry mass</t>
    <phoneticPr fontId="2"/>
  </si>
  <si>
    <t>(g)</t>
    <phoneticPr fontId="2"/>
  </si>
  <si>
    <t>Beaker capacity</t>
    <phoneticPr fontId="2"/>
  </si>
  <si>
    <t>(mL)</t>
    <phoneticPr fontId="2"/>
  </si>
  <si>
    <t>Not less than 10</t>
    <phoneticPr fontId="2"/>
  </si>
  <si>
    <t>Not less than 5</t>
    <phoneticPr fontId="2"/>
  </si>
  <si>
    <t>Not less than 2</t>
    <phoneticPr fontId="2"/>
  </si>
  <si>
    <t>150</t>
    <phoneticPr fontId="2"/>
  </si>
  <si>
    <t>100</t>
    <phoneticPr fontId="2"/>
  </si>
  <si>
    <t>30</t>
    <phoneticPr fontId="2"/>
  </si>
  <si>
    <t>1000</t>
    <phoneticPr fontId="2"/>
  </si>
  <si>
    <t>500</t>
    <phoneticPr fontId="2"/>
  </si>
  <si>
    <t>200</t>
    <phoneticPr fontId="2"/>
  </si>
  <si>
    <t>Preserve sample so that moisture ratio may change after mixing samples enough in the state of sampling ratio .</t>
    <phoneticPr fontId="2"/>
  </si>
  <si>
    <t>(JIS A 1201:2009)</t>
    <phoneticPr fontId="2"/>
  </si>
  <si>
    <t>That rough standard and beaker capacity are shown in Table-1</t>
    <phoneticPr fontId="2"/>
  </si>
  <si>
    <t>b. Calcurate sample dry mass to measure sample moisture ratio in advance. Add water more if sample liquid is not suspended situation to adjust mass ratio 5.</t>
    <phoneticPr fontId="2"/>
  </si>
  <si>
    <t>4.</t>
    <phoneticPr fontId="2"/>
  </si>
  <si>
    <t>Test method</t>
    <phoneticPr fontId="2"/>
  </si>
  <si>
    <t>2.2</t>
    <phoneticPr fontId="2"/>
  </si>
  <si>
    <t>b. If highly alkalic soils are treated, use polyethylene beaker.</t>
    <phoneticPr fontId="2"/>
  </si>
  <si>
    <t>Rough standard of necessary sample amount and beaker capacity</t>
    <phoneticPr fontId="2"/>
  </si>
  <si>
    <t>4.1</t>
    <phoneticPr fontId="2"/>
  </si>
  <si>
    <t>PH meter ajustment</t>
    <phoneticPr fontId="2"/>
  </si>
  <si>
    <t>(1)</t>
    <phoneticPr fontId="2"/>
  </si>
  <si>
    <t xml:space="preserve">It shall be sample liquid which soil is suspended in water by stirring rod and then is left at rest from 30 minites to 3 hours. </t>
    <phoneticPr fontId="2"/>
  </si>
  <si>
    <t>2.2</t>
    <phoneticPr fontId="2"/>
  </si>
  <si>
    <t>Reagents</t>
    <phoneticPr fontId="2"/>
  </si>
  <si>
    <t>PH standard solution</t>
    <phoneticPr fontId="2"/>
  </si>
  <si>
    <t>Water</t>
    <phoneticPr fontId="2"/>
  </si>
  <si>
    <t>Distillated water or ion-exchanged water</t>
    <phoneticPr fontId="2"/>
  </si>
  <si>
    <t>Soak electrode of pH meter energized in advance in water more than 10 minutes.</t>
    <phoneticPr fontId="2"/>
  </si>
  <si>
    <t>Adjust pH meter to correspond pH meter indicated value to pH corresponding to temperature in Table-2 to soak electrode in neutral phosphate pH standard solution after drawing water drops attached to electrode by filter paper.</t>
    <phoneticPr fontId="2"/>
  </si>
  <si>
    <t>(3)</t>
    <phoneticPr fontId="2"/>
  </si>
  <si>
    <t>PH standard solution is oxalate, phthalate, neutral phosphate, borate, and carbonate. Neutral phosphate and phthalate are usually used.</t>
    <phoneticPr fontId="2"/>
  </si>
  <si>
    <t>Table-2</t>
    <phoneticPr fontId="2"/>
  </si>
  <si>
    <t>PH of pH standard solution at each temperature</t>
    <phoneticPr fontId="2"/>
  </si>
  <si>
    <t>Obtain the same result as same as (2) about phthalate pH standard solution.</t>
    <phoneticPr fontId="2"/>
  </si>
  <si>
    <t>Phthalate</t>
    <phoneticPr fontId="2"/>
  </si>
  <si>
    <t>35</t>
    <phoneticPr fontId="2"/>
  </si>
  <si>
    <t>0</t>
    <phoneticPr fontId="2"/>
  </si>
  <si>
    <t>5</t>
    <phoneticPr fontId="2"/>
  </si>
  <si>
    <t>10</t>
    <phoneticPr fontId="2"/>
  </si>
  <si>
    <t>15</t>
    <phoneticPr fontId="2"/>
  </si>
  <si>
    <t>20</t>
    <phoneticPr fontId="2"/>
  </si>
  <si>
    <t>25</t>
    <phoneticPr fontId="2"/>
  </si>
  <si>
    <t>30</t>
    <phoneticPr fontId="2"/>
  </si>
  <si>
    <t>40</t>
  </si>
  <si>
    <t>4.00</t>
    <phoneticPr fontId="2"/>
  </si>
  <si>
    <t>4.01</t>
    <phoneticPr fontId="2"/>
  </si>
  <si>
    <t>4.02</t>
    <phoneticPr fontId="2"/>
  </si>
  <si>
    <t>4.04</t>
    <phoneticPr fontId="2"/>
  </si>
  <si>
    <t>6.98</t>
    <phoneticPr fontId="2"/>
  </si>
  <si>
    <t>6.95</t>
    <phoneticPr fontId="2"/>
  </si>
  <si>
    <t>6.92</t>
    <phoneticPr fontId="2"/>
  </si>
  <si>
    <t>6.90</t>
    <phoneticPr fontId="2"/>
  </si>
  <si>
    <t>6.88</t>
    <phoneticPr fontId="2"/>
  </si>
  <si>
    <t>6.86</t>
    <phoneticPr fontId="2"/>
  </si>
  <si>
    <t>6.85</t>
    <phoneticPr fontId="2"/>
  </si>
  <si>
    <t>6.84</t>
    <phoneticPr fontId="2"/>
  </si>
  <si>
    <r>
      <t>pH=log(1/[H</t>
    </r>
    <r>
      <rPr>
        <vertAlign val="superscript"/>
        <sz val="11"/>
        <color theme="1"/>
        <rFont val="Times New Roman"/>
        <family val="1"/>
      </rPr>
      <t>+</t>
    </r>
    <r>
      <rPr>
        <sz val="11"/>
        <color theme="1"/>
        <rFont val="Times New Roman"/>
        <family val="1"/>
      </rPr>
      <t>]=-log[H</t>
    </r>
    <r>
      <rPr>
        <vertAlign val="superscript"/>
        <sz val="11"/>
        <color theme="1"/>
        <rFont val="Times New Roman"/>
        <family val="1"/>
      </rPr>
      <t>+</t>
    </r>
    <r>
      <rPr>
        <sz val="11"/>
        <color theme="1"/>
        <rFont val="Times New Roman"/>
        <family val="1"/>
      </rPr>
      <t>]</t>
    </r>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</si>
  <si>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</si>
  <si>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(4)</t>
    <phoneticPr fontId="2"/>
  </si>
  <si>
    <r>
      <t xml:space="preserve">Adjust both indicated values to pH value corresponded temperature of each pH standard liquid  in </t>
    </r>
    <r>
      <rPr>
        <sz val="11"/>
        <color theme="1"/>
        <rFont val="ＭＳ Ｐ明朝"/>
        <family val="1"/>
        <charset val="128"/>
      </rPr>
      <t>±</t>
    </r>
    <r>
      <rPr>
        <sz val="11"/>
        <color theme="1"/>
        <rFont val="Times New Roman"/>
        <family val="1"/>
      </rPr>
      <t>0.1 to alternate operation between (2) and (3)</t>
    </r>
    <phoneticPr fontId="2"/>
  </si>
  <si>
    <t>4.2</t>
  </si>
  <si>
    <t>Measurement of pH</t>
    <phoneticPr fontId="2"/>
  </si>
  <si>
    <t>Soak electrode in sample solution after stirring sample solution in beaker.</t>
    <phoneticPr fontId="2"/>
  </si>
  <si>
    <t>Read pH after pH meter Indicated value is stable.</t>
    <phoneticPr fontId="2"/>
  </si>
  <si>
    <t>a. Temperature of pH standard shall be used near room temperature.</t>
    <phoneticPr fontId="2"/>
  </si>
  <si>
    <t>b. Set pH meter temperature to pH standard temperature if pH meter has temperature compensation function.</t>
    <phoneticPr fontId="2"/>
  </si>
  <si>
    <t>(3)</t>
  </si>
  <si>
    <t>(3)</t>
    <phoneticPr fontId="2"/>
  </si>
  <si>
    <t>Use Glass electrode after soaking it in water for 12 hours in advance, if glass slectrode has not been used for a long time.</t>
    <phoneticPr fontId="2"/>
  </si>
  <si>
    <t>b. Wash electrode enough by water each time and draw water drops by filter paper etc. in case of soaking electrode in another pH standard solution.</t>
    <phoneticPr fontId="2"/>
  </si>
  <si>
    <r>
      <t>Temperature (</t>
    </r>
    <r>
      <rPr>
        <sz val="11"/>
        <color theme="1"/>
        <rFont val="ＭＳ Ｐ明朝"/>
        <family val="1"/>
        <charset val="128"/>
      </rPr>
      <t>℃</t>
    </r>
    <r>
      <rPr>
        <sz val="11"/>
        <color theme="1"/>
        <rFont val="Times New Roman"/>
        <family val="1"/>
      </rPr>
      <t>)</t>
    </r>
  </si>
  <si>
    <r>
      <t>Temperature (</t>
    </r>
    <r>
      <rPr>
        <sz val="11"/>
        <color theme="1"/>
        <rFont val="ＭＳ Ｐ明朝"/>
        <family val="1"/>
        <charset val="128"/>
      </rPr>
      <t>℃</t>
    </r>
    <r>
      <rPr>
        <sz val="11"/>
        <color theme="1"/>
        <rFont val="Times New Roman"/>
        <family val="1"/>
      </rPr>
      <t>)</t>
    </r>
    <phoneticPr fontId="2"/>
  </si>
  <si>
    <t>Oxalate</t>
    <phoneticPr fontId="2"/>
  </si>
  <si>
    <t>Carbonate</t>
    <phoneticPr fontId="2"/>
  </si>
  <si>
    <t>0</t>
    <phoneticPr fontId="2"/>
  </si>
  <si>
    <t>5</t>
    <phoneticPr fontId="2"/>
  </si>
  <si>
    <t>10</t>
    <phoneticPr fontId="2"/>
  </si>
  <si>
    <t>15</t>
    <phoneticPr fontId="2"/>
  </si>
  <si>
    <t>20</t>
    <phoneticPr fontId="2"/>
  </si>
  <si>
    <t>25</t>
    <phoneticPr fontId="2"/>
  </si>
  <si>
    <t>30</t>
    <phoneticPr fontId="2"/>
  </si>
  <si>
    <t>35</t>
    <phoneticPr fontId="2"/>
  </si>
  <si>
    <t>40</t>
    <phoneticPr fontId="2"/>
  </si>
  <si>
    <t>1.67</t>
    <phoneticPr fontId="2"/>
  </si>
  <si>
    <t>1.68</t>
    <phoneticPr fontId="2"/>
  </si>
  <si>
    <t>1.69</t>
    <phoneticPr fontId="2"/>
  </si>
  <si>
    <t>9.46</t>
    <phoneticPr fontId="2"/>
  </si>
  <si>
    <t>9.40</t>
    <phoneticPr fontId="2"/>
  </si>
  <si>
    <t>9.33</t>
    <phoneticPr fontId="2"/>
  </si>
  <si>
    <t>9.28</t>
    <phoneticPr fontId="2"/>
  </si>
  <si>
    <t>9.22</t>
    <phoneticPr fontId="2"/>
  </si>
  <si>
    <t>9.18</t>
    <phoneticPr fontId="2"/>
  </si>
  <si>
    <t>9.14</t>
    <phoneticPr fontId="2"/>
  </si>
  <si>
    <t>9.10</t>
    <phoneticPr fontId="2"/>
  </si>
  <si>
    <t>9.07</t>
    <phoneticPr fontId="2"/>
  </si>
  <si>
    <t>10.32</t>
    <phoneticPr fontId="2"/>
  </si>
  <si>
    <t>10.24</t>
    <phoneticPr fontId="2"/>
  </si>
  <si>
    <t>10.18</t>
    <phoneticPr fontId="2"/>
  </si>
  <si>
    <t>10.12</t>
    <phoneticPr fontId="2"/>
  </si>
  <si>
    <t>10.06</t>
    <phoneticPr fontId="2"/>
  </si>
  <si>
    <t>10.01</t>
    <phoneticPr fontId="2"/>
  </si>
  <si>
    <t>9.97</t>
    <phoneticPr fontId="2"/>
  </si>
  <si>
    <t>9.92</t>
    <phoneticPr fontId="2"/>
  </si>
  <si>
    <t>9.39</t>
    <phoneticPr fontId="2"/>
  </si>
  <si>
    <t>4.2</t>
    <phoneticPr fontId="2"/>
  </si>
  <si>
    <t>a. Measure at room temperature and reduce temperature difference between pH standard solution and sample solution if at all possible.</t>
    <phoneticPr fontId="2"/>
  </si>
  <si>
    <t>b. Soak pH meter electrode up to level of deepth shown in Figture-2. Wash electrode enough by water each time and draw water drops by filter paper etc. in case of soaking electrode in another sample solution.</t>
    <phoneticPr fontId="2"/>
  </si>
  <si>
    <t>Figture-2 Example of pH measurement</t>
    <phoneticPr fontId="2"/>
  </si>
  <si>
    <t>5.</t>
    <phoneticPr fontId="2"/>
  </si>
  <si>
    <t>Matters to be reported</t>
    <phoneticPr fontId="2"/>
  </si>
  <si>
    <t>The test report should include the following matters.</t>
    <phoneticPr fontId="2"/>
  </si>
  <si>
    <t>pH of suspended soils</t>
    <phoneticPr fontId="2"/>
  </si>
  <si>
    <t>Others and special instruction</t>
    <phoneticPr fontId="2"/>
  </si>
  <si>
    <t>JGS</t>
    <phoneticPr fontId="2"/>
  </si>
  <si>
    <t>0211</t>
    <phoneticPr fontId="2"/>
  </si>
  <si>
    <t>0212</t>
    <phoneticPr fontId="2"/>
  </si>
  <si>
    <t xml:space="preserve">Subject Line of Investigation </t>
    <phoneticPr fontId="2"/>
  </si>
  <si>
    <t>Using Standard solution</t>
    <phoneticPr fontId="2"/>
  </si>
  <si>
    <t>pH</t>
    <phoneticPr fontId="2"/>
  </si>
  <si>
    <t>Test Method for Water Content Soils</t>
    <phoneticPr fontId="2"/>
  </si>
  <si>
    <t>Japanese Industial Standard (JIS A 1203:1999)</t>
    <phoneticPr fontId="2"/>
  </si>
  <si>
    <t>This standard 2.prescribes test method to measure water content in soils by using automatic oven.</t>
    <phoneticPr fontId="2"/>
  </si>
  <si>
    <t>2.</t>
    <phoneticPr fontId="2"/>
  </si>
  <si>
    <t>Citation standard</t>
    <phoneticPr fontId="2"/>
  </si>
  <si>
    <t>The following standard consists on a part of this standard rule to be quoted this standard.</t>
    <phoneticPr fontId="2"/>
  </si>
  <si>
    <t>This standard shall be applied current version.</t>
    <phoneticPr fontId="2"/>
  </si>
  <si>
    <t>JIS R 3503 Glass equipment for chemical analysis</t>
    <phoneticPr fontId="2"/>
  </si>
  <si>
    <t>3.</t>
    <phoneticPr fontId="2"/>
  </si>
  <si>
    <t>Definition</t>
    <phoneticPr fontId="2"/>
  </si>
  <si>
    <t>Definition of this standard shall be the followings.</t>
    <phoneticPr fontId="2"/>
  </si>
  <si>
    <t>a)</t>
    <phoneticPr fontId="2"/>
  </si>
  <si>
    <t>Water content</t>
    <phoneticPr fontId="2"/>
  </si>
  <si>
    <t>4.</t>
    <phoneticPr fontId="2"/>
  </si>
  <si>
    <t>Test equipment</t>
    <phoneticPr fontId="2"/>
  </si>
  <si>
    <t>Test equipment shall be the followings</t>
    <phoneticPr fontId="2"/>
  </si>
  <si>
    <t>Container shall be no variation in mass in test.</t>
    <phoneticPr fontId="2"/>
  </si>
  <si>
    <t>b)</t>
    <phoneticPr fontId="2"/>
  </si>
  <si>
    <t>Reference</t>
  </si>
  <si>
    <t>Reference</t>
    <phoneticPr fontId="2"/>
  </si>
  <si>
    <t xml:space="preserve">it's preferable that automatic oven is circulation air flow system to circulate oven air by compulsion by electrical fan </t>
    <phoneticPr fontId="2"/>
  </si>
  <si>
    <t>c)</t>
    <phoneticPr fontId="2"/>
  </si>
  <si>
    <t>Weight balance shall be to read minimum shown in Table-1.</t>
    <phoneticPr fontId="2"/>
  </si>
  <si>
    <t>d)</t>
    <phoneticPr fontId="2"/>
  </si>
  <si>
    <t xml:space="preserve">Desicator shall be prescribed by JIS R 3503 or container has the same function as this, and is put moisture absorbent such as silica-gel and calcium chloride.   </t>
    <phoneticPr fontId="2"/>
  </si>
  <si>
    <t xml:space="preserve">Table-1 </t>
    <phoneticPr fontId="2"/>
  </si>
  <si>
    <t>Minimum reading value of weight balance to be used to measure sample mass</t>
    <phoneticPr fontId="2"/>
  </si>
  <si>
    <t>Sample</t>
    <phoneticPr fontId="2"/>
  </si>
  <si>
    <t>Unit : g</t>
    <phoneticPr fontId="2"/>
  </si>
  <si>
    <t>Sample mass</t>
    <phoneticPr fontId="2"/>
  </si>
  <si>
    <t>Minimum reading value</t>
    <phoneticPr fontId="2"/>
  </si>
  <si>
    <t>under 10</t>
    <phoneticPr fontId="2"/>
  </si>
  <si>
    <t>more than 10 but less than 100</t>
    <phoneticPr fontId="2"/>
  </si>
  <si>
    <t>more than 1000</t>
    <phoneticPr fontId="2"/>
  </si>
  <si>
    <t>more than 100 but less than 1000</t>
    <phoneticPr fontId="2"/>
  </si>
  <si>
    <t>0.001</t>
    <phoneticPr fontId="2"/>
  </si>
  <si>
    <t>0.01</t>
    <phoneticPr fontId="2"/>
  </si>
  <si>
    <t>0.1</t>
    <phoneticPr fontId="2"/>
  </si>
  <si>
    <t>1</t>
    <phoneticPr fontId="2"/>
  </si>
  <si>
    <t>5.</t>
    <phoneticPr fontId="2"/>
  </si>
  <si>
    <t>Take moderate amount of sample to respond to test purpose and sample particle size.</t>
    <phoneticPr fontId="2"/>
  </si>
  <si>
    <t>Take a little heavy-handed with the amount of sample in case that sample has coarse-grained fraction.</t>
    <phoneticPr fontId="2"/>
  </si>
  <si>
    <t>The rough standard of necessary minimum mass as sample is shown in Reference Table-1.</t>
    <phoneticPr fontId="2"/>
  </si>
  <si>
    <t>Reference Table-1.</t>
    <phoneticPr fontId="2"/>
  </si>
  <si>
    <t>The rough standard of necessary minimum mass to measure water content</t>
    <phoneticPr fontId="2"/>
  </si>
  <si>
    <t>Maximum particle size of sample</t>
    <phoneticPr fontId="2"/>
  </si>
  <si>
    <t>(mm)</t>
    <phoneticPr fontId="2"/>
  </si>
  <si>
    <t>Minimum mass of sample</t>
    <phoneticPr fontId="2"/>
  </si>
  <si>
    <t>75</t>
    <phoneticPr fontId="2"/>
  </si>
  <si>
    <t>37.5</t>
    <phoneticPr fontId="2"/>
  </si>
  <si>
    <r>
      <t>The ratio of water mass in soils lost in 100 ± 5</t>
    </r>
    <r>
      <rPr>
        <sz val="11"/>
        <color theme="1"/>
        <rFont val="ＭＳ Ｐ明朝"/>
        <family val="1"/>
        <charset val="128"/>
      </rPr>
      <t>　℃</t>
    </r>
    <r>
      <rPr>
        <sz val="11"/>
        <color theme="1"/>
        <rFont val="Times New Roman"/>
        <family val="1"/>
      </rPr>
      <t xml:space="preserve"> automatic oven to dry soil mass. It shall be shown percentage.</t>
    </r>
    <phoneticPr fontId="2"/>
  </si>
  <si>
    <r>
      <t xml:space="preserve">Automatic oven shall hold 110 ± 5 </t>
    </r>
    <r>
      <rPr>
        <sz val="11"/>
        <color theme="1"/>
        <rFont val="ＭＳ Ｐ明朝"/>
        <family val="1"/>
        <charset val="128"/>
      </rPr>
      <t>℃</t>
    </r>
    <r>
      <rPr>
        <sz val="11"/>
        <color theme="1"/>
        <rFont val="Times New Roman"/>
        <family val="1"/>
      </rPr>
      <t xml:space="preserve"> at temperature.</t>
    </r>
    <phoneticPr fontId="2"/>
  </si>
  <si>
    <r>
      <t>5</t>
    </r>
    <r>
      <rPr>
        <sz val="11"/>
        <color theme="1"/>
        <rFont val="ＭＳ Ｐ明朝"/>
        <family val="1"/>
        <charset val="128"/>
      </rPr>
      <t>～</t>
    </r>
    <r>
      <rPr>
        <sz val="11"/>
        <color theme="1"/>
        <rFont val="Times New Roman"/>
        <family val="1"/>
      </rPr>
      <t>30kg</t>
    </r>
    <phoneticPr fontId="2"/>
  </si>
  <si>
    <r>
      <t>1</t>
    </r>
    <r>
      <rPr>
        <sz val="11"/>
        <color theme="1"/>
        <rFont val="ＭＳ Ｐ明朝"/>
        <family val="1"/>
        <charset val="128"/>
      </rPr>
      <t>～</t>
    </r>
    <r>
      <rPr>
        <sz val="11"/>
        <color theme="1"/>
        <rFont val="Times New Roman"/>
        <family val="1"/>
      </rPr>
      <t>5kg</t>
    </r>
    <phoneticPr fontId="2"/>
  </si>
  <si>
    <r>
      <t>150</t>
    </r>
    <r>
      <rPr>
        <sz val="11"/>
        <color theme="1"/>
        <rFont val="ＭＳ Ｐ明朝"/>
        <family val="1"/>
        <charset val="128"/>
      </rPr>
      <t>～</t>
    </r>
    <r>
      <rPr>
        <sz val="11"/>
        <color theme="1"/>
        <rFont val="Times New Roman"/>
        <family val="1"/>
      </rPr>
      <t>300g</t>
    </r>
    <phoneticPr fontId="2"/>
  </si>
  <si>
    <r>
      <t>30</t>
    </r>
    <r>
      <rPr>
        <sz val="11"/>
        <color theme="1"/>
        <rFont val="ＭＳ Ｐ明朝"/>
        <family val="1"/>
        <charset val="128"/>
      </rPr>
      <t>～</t>
    </r>
    <r>
      <rPr>
        <sz val="11"/>
        <color theme="1"/>
        <rFont val="Times New Roman"/>
        <family val="1"/>
      </rPr>
      <t>100g</t>
    </r>
    <r>
      <rPr>
        <sz val="11"/>
        <color theme="1"/>
        <rFont val="Calibri"/>
        <family val="2"/>
        <charset val="128"/>
        <scheme val="minor"/>
      </rPr>
      <t/>
    </r>
    <phoneticPr fontId="2"/>
  </si>
  <si>
    <r>
      <t>10</t>
    </r>
    <r>
      <rPr>
        <sz val="11"/>
        <color theme="1"/>
        <rFont val="ＭＳ Ｐ明朝"/>
        <family val="1"/>
        <charset val="128"/>
      </rPr>
      <t>～</t>
    </r>
    <r>
      <rPr>
        <sz val="11"/>
        <color theme="1"/>
        <rFont val="Times New Roman"/>
        <family val="1"/>
      </rPr>
      <t>30g</t>
    </r>
    <r>
      <rPr>
        <sz val="11"/>
        <color theme="1"/>
        <rFont val="Calibri"/>
        <family val="2"/>
        <charset val="128"/>
        <scheme val="minor"/>
      </rPr>
      <t/>
    </r>
    <phoneticPr fontId="2"/>
  </si>
  <si>
    <r>
      <t>5</t>
    </r>
    <r>
      <rPr>
        <sz val="11"/>
        <color theme="1"/>
        <rFont val="ＭＳ Ｐ明朝"/>
        <family val="1"/>
        <charset val="128"/>
      </rPr>
      <t>～</t>
    </r>
    <r>
      <rPr>
        <sz val="11"/>
        <color theme="1"/>
        <rFont val="Times New Roman"/>
        <family val="1"/>
      </rPr>
      <t>10g</t>
    </r>
    <r>
      <rPr>
        <sz val="11"/>
        <color theme="1"/>
        <rFont val="Calibri"/>
        <family val="2"/>
        <charset val="128"/>
        <scheme val="minor"/>
      </rPr>
      <t/>
    </r>
    <phoneticPr fontId="2"/>
  </si>
  <si>
    <t>6.</t>
    <phoneticPr fontId="2"/>
  </si>
  <si>
    <t>Test method</t>
    <phoneticPr fontId="2"/>
  </si>
  <si>
    <t>Test method shall be following</t>
    <phoneticPr fontId="2"/>
  </si>
  <si>
    <t>Measure container weight mc(g).</t>
    <phoneticPr fontId="2"/>
  </si>
  <si>
    <t>Put sample into container and mesure total weight ma(g)</t>
    <phoneticPr fontId="2"/>
  </si>
  <si>
    <r>
      <t>Put sample with container into automatic oven dry up at 110</t>
    </r>
    <r>
      <rPr>
        <sz val="11"/>
        <color theme="1"/>
        <rFont val="ＭＳ Ｐ明朝"/>
        <family val="1"/>
        <charset val="128"/>
      </rPr>
      <t>±</t>
    </r>
    <r>
      <rPr>
        <sz val="11"/>
        <color theme="1"/>
        <rFont val="Times New Roman"/>
        <family val="1"/>
      </rPr>
      <t>5</t>
    </r>
    <r>
      <rPr>
        <sz val="11"/>
        <color theme="1"/>
        <rFont val="ＭＳ Ｐ明朝"/>
        <family val="1"/>
        <charset val="128"/>
      </rPr>
      <t>℃</t>
    </r>
    <r>
      <rPr>
        <sz val="11"/>
        <color theme="1"/>
        <rFont val="Times New Roman"/>
        <family val="1"/>
      </rPr>
      <t xml:space="preserve"> until sample weight is constant in oven.</t>
    </r>
    <phoneticPr fontId="2"/>
  </si>
  <si>
    <t>(d)</t>
    <phoneticPr fontId="2"/>
  </si>
  <si>
    <t>Put sample with container into desicator and measure total weight mb(g) after cooling down up to near room temperature</t>
    <phoneticPr fontId="2"/>
  </si>
  <si>
    <r>
      <t>The time that sample weight is constant is about 18</t>
    </r>
    <r>
      <rPr>
        <sz val="11"/>
        <color theme="1"/>
        <rFont val="ＭＳ Ｐ明朝"/>
        <family val="1"/>
        <charset val="128"/>
      </rPr>
      <t>～</t>
    </r>
    <r>
      <rPr>
        <sz val="11"/>
        <color theme="1"/>
        <rFont val="Times New Roman"/>
        <family val="1"/>
      </rPr>
      <t>24 hours.</t>
    </r>
    <phoneticPr fontId="2"/>
  </si>
  <si>
    <t>7.</t>
    <phoneticPr fontId="2"/>
  </si>
  <si>
    <t>Calculation</t>
    <phoneticPr fontId="2"/>
  </si>
  <si>
    <t>Water content shall be calculated by following formula</t>
    <phoneticPr fontId="2"/>
  </si>
  <si>
    <t>Herein</t>
    <phoneticPr fontId="2"/>
  </si>
  <si>
    <t>w:</t>
    <phoneticPr fontId="2"/>
  </si>
  <si>
    <t>ma:</t>
    <phoneticPr fontId="2"/>
  </si>
  <si>
    <t>mb:</t>
    <phoneticPr fontId="2"/>
  </si>
  <si>
    <t>mc:</t>
    <phoneticPr fontId="2"/>
  </si>
  <si>
    <t>Water content (%)</t>
    <phoneticPr fontId="2"/>
  </si>
  <si>
    <t>Mass of sample and container (g)</t>
    <phoneticPr fontId="2"/>
  </si>
  <si>
    <t>Mass of dry sample and container (g)</t>
    <phoneticPr fontId="2"/>
  </si>
  <si>
    <t>Mass of container (g)</t>
    <phoneticPr fontId="2"/>
  </si>
  <si>
    <t>8.</t>
    <phoneticPr fontId="2"/>
  </si>
  <si>
    <t>Report</t>
    <phoneticPr fontId="2"/>
  </si>
  <si>
    <t>Water content in soils</t>
    <phoneticPr fontId="2"/>
  </si>
  <si>
    <t>Masami Oue</t>
    <phoneticPr fontId="2"/>
  </si>
  <si>
    <t>Test Date</t>
  </si>
  <si>
    <t>Tester</t>
    <phoneticPr fontId="2"/>
  </si>
  <si>
    <r>
      <t>Temperature  (</t>
    </r>
    <r>
      <rPr>
        <sz val="11"/>
        <color theme="1"/>
        <rFont val="ＭＳ Ｐ明朝"/>
        <family val="1"/>
        <charset val="128"/>
      </rPr>
      <t>℃</t>
    </r>
    <r>
      <rPr>
        <sz val="11"/>
        <color theme="1"/>
        <rFont val="Times New Roman"/>
        <family val="1"/>
      </rPr>
      <t>)</t>
    </r>
    <phoneticPr fontId="2"/>
  </si>
  <si>
    <t>Sample Number (deepness)</t>
    <phoneticPr fontId="2"/>
  </si>
  <si>
    <t>18</t>
    <phoneticPr fontId="2"/>
  </si>
  <si>
    <t>4.00</t>
    <phoneticPr fontId="2"/>
  </si>
  <si>
    <t>6.89</t>
    <phoneticPr fontId="2"/>
  </si>
  <si>
    <r>
      <t>T1-2(2.00</t>
    </r>
    <r>
      <rPr>
        <sz val="11"/>
        <color theme="1"/>
        <rFont val="ＭＳ Ｐ明朝"/>
        <family val="1"/>
        <charset val="128"/>
      </rPr>
      <t>～</t>
    </r>
    <r>
      <rPr>
        <sz val="11"/>
        <color theme="1"/>
        <rFont val="Times New Roman"/>
        <family val="1"/>
      </rPr>
      <t>2.80m)</t>
    </r>
    <r>
      <rPr>
        <sz val="11"/>
        <color theme="1"/>
        <rFont val="Calibri"/>
        <family val="2"/>
        <charset val="128"/>
        <scheme val="minor"/>
      </rPr>
      <t/>
    </r>
    <phoneticPr fontId="2"/>
  </si>
  <si>
    <t>Beaker No.</t>
    <phoneticPr fontId="2"/>
  </si>
  <si>
    <t>Oxalate</t>
    <phoneticPr fontId="2"/>
  </si>
  <si>
    <t>Phthalate</t>
    <phoneticPr fontId="2"/>
  </si>
  <si>
    <t>Neutral phosphate</t>
    <phoneticPr fontId="2"/>
  </si>
  <si>
    <t>Borate</t>
    <phoneticPr fontId="2"/>
  </si>
  <si>
    <t>Carbonate</t>
    <phoneticPr fontId="2"/>
  </si>
  <si>
    <r>
      <t xml:space="preserve">Test for ( </t>
    </r>
    <r>
      <rPr>
        <sz val="12"/>
        <color theme="1"/>
        <rFont val="ＭＳ Ｐ明朝"/>
        <family val="1"/>
        <charset val="128"/>
      </rPr>
      <t>　</t>
    </r>
    <r>
      <rPr>
        <sz val="12"/>
        <color theme="1"/>
        <rFont val="Times New Roman"/>
        <family val="1"/>
      </rPr>
      <t>pH</t>
    </r>
    <r>
      <rPr>
        <sz val="12"/>
        <color theme="1"/>
        <rFont val="ＭＳ Ｐ明朝"/>
        <family val="1"/>
        <charset val="128"/>
      </rPr>
      <t>　</t>
    </r>
    <r>
      <rPr>
        <sz val="12"/>
        <color theme="1"/>
        <rFont val="Times New Roman"/>
        <family val="1"/>
      </rPr>
      <t xml:space="preserve"> </t>
    </r>
    <r>
      <rPr>
        <sz val="12"/>
        <color theme="1"/>
        <rFont val="ＭＳ Ｐ明朝"/>
        <family val="1"/>
        <charset val="128"/>
      </rPr>
      <t>・　　</t>
    </r>
    <r>
      <rPr>
        <sz val="12"/>
        <color theme="1"/>
        <rFont val="Times New Roman"/>
        <family val="1"/>
      </rPr>
      <t>Electric conductivity</t>
    </r>
    <r>
      <rPr>
        <sz val="12"/>
        <color theme="1"/>
        <rFont val="ＭＳ Ｐ明朝"/>
        <family val="1"/>
        <charset val="128"/>
      </rPr>
      <t>　</t>
    </r>
    <r>
      <rPr>
        <sz val="12"/>
        <color theme="1"/>
        <rFont val="Times New Roman"/>
        <family val="1"/>
      </rPr>
      <t>) of Suspended Soils</t>
    </r>
    <phoneticPr fontId="2"/>
  </si>
  <si>
    <r>
      <t>T1-1(1.00</t>
    </r>
    <r>
      <rPr>
        <sz val="11"/>
        <color theme="1"/>
        <rFont val="ＭＳ Ｐ明朝"/>
        <family val="1"/>
        <charset val="128"/>
      </rPr>
      <t>～</t>
    </r>
    <r>
      <rPr>
        <sz val="11"/>
        <color theme="1"/>
        <rFont val="Times New Roman"/>
        <family val="1"/>
      </rPr>
      <t>1.80m)</t>
    </r>
    <phoneticPr fontId="2"/>
  </si>
  <si>
    <t>1A</t>
    <phoneticPr fontId="2"/>
  </si>
  <si>
    <t>1B</t>
    <phoneticPr fontId="2"/>
  </si>
  <si>
    <t>2A</t>
    <phoneticPr fontId="2"/>
  </si>
  <si>
    <t>2B</t>
    <phoneticPr fontId="2"/>
  </si>
  <si>
    <t>Wet sample mass</t>
    <phoneticPr fontId="2"/>
  </si>
  <si>
    <t>Dry sample mass by Calcuration</t>
    <phoneticPr fontId="2"/>
  </si>
  <si>
    <t>Additonal water amount</t>
    <phoneticPr fontId="2"/>
  </si>
  <si>
    <t>The ratio of water mass to dry sample mass</t>
    <phoneticPr fontId="2"/>
  </si>
  <si>
    <t>Sample solution temperature</t>
    <phoneticPr fontId="2"/>
  </si>
  <si>
    <t>℃</t>
    <phoneticPr fontId="2"/>
  </si>
  <si>
    <t>m g</t>
    <phoneticPr fontId="2"/>
  </si>
  <si>
    <r>
      <t>V</t>
    </r>
    <r>
      <rPr>
        <vertAlign val="subscript"/>
        <sz val="11"/>
        <color theme="1"/>
        <rFont val="Times New Roman"/>
        <family val="1"/>
      </rPr>
      <t>w</t>
    </r>
    <r>
      <rPr>
        <sz val="11"/>
        <color theme="1"/>
        <rFont val="Times New Roman"/>
        <family val="1"/>
      </rPr>
      <t>ml</t>
    </r>
    <phoneticPr fontId="2"/>
  </si>
  <si>
    <t>pH</t>
    <phoneticPr fontId="2"/>
  </si>
  <si>
    <t>Average</t>
    <phoneticPr fontId="2"/>
  </si>
  <si>
    <t>Measuring value</t>
    <phoneticPr fontId="2"/>
  </si>
  <si>
    <t>EC</t>
    <phoneticPr fontId="2"/>
  </si>
  <si>
    <t>Measuring value xmS/m</t>
    <phoneticPr fontId="2"/>
  </si>
  <si>
    <t>Average xmS/m</t>
    <phoneticPr fontId="2"/>
  </si>
  <si>
    <t>Container No.</t>
    <phoneticPr fontId="2"/>
  </si>
  <si>
    <r>
      <t>m</t>
    </r>
    <r>
      <rPr>
        <vertAlign val="subscript"/>
        <sz val="11"/>
        <color theme="1"/>
        <rFont val="Times New Roman"/>
        <family val="1"/>
      </rPr>
      <t>a</t>
    </r>
    <phoneticPr fontId="2"/>
  </si>
  <si>
    <r>
      <t>m</t>
    </r>
    <r>
      <rPr>
        <vertAlign val="subscript"/>
        <sz val="11"/>
        <color theme="1"/>
        <rFont val="Times New Roman"/>
        <family val="1"/>
      </rPr>
      <t>b</t>
    </r>
    <phoneticPr fontId="2"/>
  </si>
  <si>
    <r>
      <t>m</t>
    </r>
    <r>
      <rPr>
        <vertAlign val="subscript"/>
        <sz val="11"/>
        <color theme="1"/>
        <rFont val="Times New Roman"/>
        <family val="1"/>
      </rPr>
      <t>c</t>
    </r>
    <phoneticPr fontId="2"/>
  </si>
  <si>
    <t>g</t>
    <phoneticPr fontId="2"/>
  </si>
  <si>
    <t>w</t>
    <phoneticPr fontId="2"/>
  </si>
  <si>
    <t>%</t>
    <phoneticPr fontId="2"/>
  </si>
  <si>
    <t>Water
content</t>
    <phoneticPr fontId="2"/>
  </si>
  <si>
    <t>Average value w</t>
    <phoneticPr fontId="2"/>
  </si>
  <si>
    <t>Special instruction</t>
    <phoneticPr fontId="2"/>
  </si>
  <si>
    <r>
      <t>m</t>
    </r>
    <r>
      <rPr>
        <vertAlign val="subscript"/>
        <sz val="11"/>
        <color rgb="FFFF0000"/>
        <rFont val="Times New Roman"/>
        <family val="1"/>
      </rPr>
      <t>s</t>
    </r>
    <r>
      <rPr>
        <sz val="11"/>
        <color rgb="FFFF0000"/>
        <rFont val="Times New Roman"/>
        <family val="1"/>
      </rPr>
      <t>g</t>
    </r>
    <phoneticPr fontId="2"/>
  </si>
  <si>
    <r>
      <t>R</t>
    </r>
    <r>
      <rPr>
        <vertAlign val="subscript"/>
        <sz val="11"/>
        <color rgb="FFFF0000"/>
        <rFont val="Times New Roman"/>
        <family val="1"/>
      </rPr>
      <t>w</t>
    </r>
    <phoneticPr fontId="2"/>
  </si>
  <si>
    <t>3A</t>
    <phoneticPr fontId="2"/>
  </si>
  <si>
    <t>3B</t>
    <phoneticPr fontId="2"/>
  </si>
  <si>
    <t>Soil color is blackish brown</t>
    <phoneticPr fontId="2"/>
  </si>
  <si>
    <t>4A</t>
    <phoneticPr fontId="2"/>
  </si>
  <si>
    <t>4B</t>
    <phoneticPr fontId="2"/>
  </si>
  <si>
    <t>We added water more than the ruled amount so that sample was not suspended sistuation to be added the ruled amount of water.</t>
    <phoneticPr fontId="2"/>
  </si>
  <si>
    <t>We made samples after removing of oxdized parts so that sample surface was oxidized to yellow-brown color.</t>
    <phoneticPr fontId="2"/>
  </si>
  <si>
    <t>We measured to use 30g dry mass sample so that sample had particle more than 2mm but sample was small amount.</t>
    <phoneticPr fontId="2"/>
  </si>
  <si>
    <t>a. Use oxalate instead of phthalate in case that pH of sample solution is not less than 2, and use pH standard solution of borate or carbonate in case that pH is more than 10.</t>
    <phoneticPr fontId="2"/>
  </si>
  <si>
    <t>a. Take more sample amount if soil has coarse particle.</t>
    <phoneticPr fontId="2"/>
  </si>
  <si>
    <r>
      <t>PH of suspended soils is the value expressed as common logarithm, which the reciprocal of hydrogen-ion molar concentration[H</t>
    </r>
    <r>
      <rPr>
        <vertAlign val="superscript"/>
        <sz val="11"/>
        <color theme="1"/>
        <rFont val="Times New Roman"/>
        <family val="1"/>
      </rPr>
      <t>+</t>
    </r>
    <r>
      <rPr>
        <sz val="11"/>
        <color theme="1"/>
        <rFont val="Times New Roman"/>
        <family val="1"/>
      </rPr>
      <t xml:space="preserve">] (mol/L) in water soil particle mechanically suspended </t>
    </r>
    <phoneticPr fontId="2"/>
  </si>
  <si>
    <t>Sample Number (deepness)</t>
    <phoneticPr fontId="2"/>
  </si>
  <si>
    <t>Japanese Geotechnical Society (JGS 0271-2015)</t>
    <phoneticPr fontId="2"/>
  </si>
  <si>
    <t>Notation</t>
    <phoneticPr fontId="2"/>
  </si>
  <si>
    <t>According to ground materials which falls to organic soil and highly organic soil by large classfication based on JGS 0511, they shall be at out of applicable scopebecause there is posibility that PH goes down by organic oxidation.</t>
    <phoneticPr fontId="2"/>
  </si>
  <si>
    <t>2.</t>
    <phoneticPr fontId="2"/>
  </si>
  <si>
    <t>Citation standard and standard</t>
    <phoneticPr fontId="2"/>
  </si>
  <si>
    <r>
      <t>V</t>
    </r>
    <r>
      <rPr>
        <vertAlign val="subscript"/>
        <sz val="11"/>
        <color rgb="FF0070C0"/>
        <rFont val="Times New Roman"/>
        <family val="1"/>
      </rPr>
      <t>w</t>
    </r>
    <r>
      <rPr>
        <sz val="11"/>
        <color rgb="FF0070C0"/>
        <rFont val="Times New Roman"/>
        <family val="1"/>
      </rPr>
      <t>ml</t>
    </r>
    <phoneticPr fontId="2"/>
  </si>
  <si>
    <t>JIS A 1201</t>
    <phoneticPr fontId="2"/>
  </si>
  <si>
    <t>JIS K 0557</t>
    <phoneticPr fontId="2"/>
  </si>
  <si>
    <t>JIS K 8230</t>
    <phoneticPr fontId="2"/>
  </si>
  <si>
    <t>JIS R 3503</t>
    <phoneticPr fontId="2"/>
  </si>
  <si>
    <t>JIS Z 8802</t>
    <phoneticPr fontId="2"/>
  </si>
  <si>
    <t>JGS 0051</t>
    <phoneticPr fontId="2"/>
  </si>
  <si>
    <t>JGS 0211</t>
    <phoneticPr fontId="2"/>
  </si>
  <si>
    <t xml:space="preserve">Use soil followed by Cabinet Order 6.2 "Non-dry method " in JIS A 1201:2009  " Practise for preparing disturbed soil samples for soil testing ". </t>
    <phoneticPr fontId="2"/>
  </si>
  <si>
    <t>Water for test of diversion of water and waste water</t>
    <phoneticPr fontId="2"/>
  </si>
  <si>
    <t>Hydorogen peroxide (Reagent)</t>
    <phoneticPr fontId="2"/>
  </si>
  <si>
    <t>Glassware for chemical analysis</t>
    <phoneticPr fontId="2"/>
  </si>
  <si>
    <t>Method for pH measurement</t>
    <phoneticPr fontId="2"/>
  </si>
  <si>
    <t>Test Method for pH of Suspended Soils</t>
    <phoneticPr fontId="2"/>
  </si>
  <si>
    <t>Method for engineering classification of ground materials</t>
    <phoneticPr fontId="2"/>
  </si>
  <si>
    <t>Terms and definition</t>
    <phoneticPr fontId="2"/>
  </si>
  <si>
    <t>3.1</t>
    <phoneticPr fontId="2"/>
  </si>
  <si>
    <t>Oxidation possibiliry</t>
    <phoneticPr fontId="2"/>
  </si>
  <si>
    <t xml:space="preserve"> </t>
    <phoneticPr fontId="2"/>
  </si>
  <si>
    <t>3.2</t>
    <phoneticPr fontId="2"/>
  </si>
  <si>
    <t>Crushed rock sample</t>
    <phoneticPr fontId="2"/>
  </si>
  <si>
    <t>Test equipment and reagent</t>
    <phoneticPr fontId="2"/>
  </si>
  <si>
    <t>4.1</t>
    <phoneticPr fontId="2"/>
  </si>
  <si>
    <t>Glass electrode pH meter</t>
    <phoneticPr fontId="2"/>
  </si>
  <si>
    <t>4.2</t>
    <phoneticPr fontId="2"/>
  </si>
  <si>
    <t>Weight balance</t>
    <phoneticPr fontId="2"/>
  </si>
  <si>
    <t>It shall be to measure up to 0.01 g.</t>
    <phoneticPr fontId="2"/>
  </si>
  <si>
    <t>4.3</t>
    <phoneticPr fontId="2"/>
  </si>
  <si>
    <t>Water</t>
    <phoneticPr fontId="2"/>
  </si>
  <si>
    <t>4.4</t>
    <phoneticPr fontId="2"/>
  </si>
  <si>
    <t>Tall beaker</t>
    <phoneticPr fontId="2"/>
  </si>
  <si>
    <t>19</t>
    <phoneticPr fontId="2"/>
  </si>
  <si>
    <t>4.75</t>
    <phoneticPr fontId="2"/>
  </si>
  <si>
    <t>2</t>
    <phoneticPr fontId="2"/>
  </si>
  <si>
    <t>0.425</t>
    <phoneticPr fontId="2"/>
  </si>
  <si>
    <t>It shall be A2 water prescribed for JIS K 0057</t>
    <phoneticPr fontId="2"/>
  </si>
  <si>
    <t>It shall be capacity from 200mL to 500ml prescribed for JIS R 3503</t>
    <phoneticPr fontId="2"/>
  </si>
  <si>
    <t xml:space="preserve">IT shall be minimum reading value which is under 0.1prescribed for JIS Z 8802. </t>
    <phoneticPr fontId="2"/>
  </si>
  <si>
    <t>Notation 1</t>
    <phoneticPr fontId="2"/>
  </si>
  <si>
    <t>It shall be used 10 times solvent volume to keep tester safety. Use larger capacity if bumping is a concern.</t>
    <phoneticPr fontId="2"/>
  </si>
  <si>
    <t>Notation 2</t>
    <phoneticPr fontId="2"/>
  </si>
  <si>
    <t>Tall beaker example is shown in Figure-1.</t>
    <phoneticPr fontId="2"/>
  </si>
  <si>
    <t>Figure-1 Tall beaker ( Capacity 200mL )</t>
    <phoneticPr fontId="2"/>
  </si>
  <si>
    <t>Test Method for acidification potential of soils and rocks by using hydorogen peroxide solution</t>
    <phoneticPr fontId="2"/>
  </si>
  <si>
    <t>4.5</t>
    <phoneticPr fontId="2"/>
  </si>
  <si>
    <t>Notation</t>
    <phoneticPr fontId="2"/>
  </si>
  <si>
    <t>4.6</t>
    <phoneticPr fontId="2"/>
  </si>
  <si>
    <t>Sodium hydroxide solution</t>
    <phoneticPr fontId="2"/>
  </si>
  <si>
    <t>It shall be about 10 m mol /L (0.04%) solution</t>
    <phoneticPr fontId="2"/>
  </si>
  <si>
    <t>4.7</t>
    <phoneticPr fontId="2"/>
  </si>
  <si>
    <t>PH standard solution</t>
    <phoneticPr fontId="2"/>
  </si>
  <si>
    <t>a)</t>
    <phoneticPr fontId="2"/>
  </si>
  <si>
    <t>b)</t>
    <phoneticPr fontId="2"/>
  </si>
  <si>
    <t>Neutral phosphate</t>
    <phoneticPr fontId="2"/>
  </si>
  <si>
    <t>pH 6.86 Neutral phosphate standard solution</t>
    <phoneticPr fontId="2"/>
  </si>
  <si>
    <t>Borate</t>
    <phoneticPr fontId="2"/>
  </si>
  <si>
    <t>pH 4.01Phthalate standard solution or pH 9.18 Borate standard solution</t>
    <phoneticPr fontId="2"/>
  </si>
  <si>
    <t>4.8</t>
    <phoneticPr fontId="2"/>
  </si>
  <si>
    <t>Sieve</t>
    <phoneticPr fontId="2"/>
  </si>
  <si>
    <t>Sieve pore size shall be 2 mm.</t>
    <phoneticPr fontId="2"/>
  </si>
  <si>
    <t>It shall be prescribed for JIS Z 8802</t>
    <phoneticPr fontId="2"/>
  </si>
  <si>
    <t>Metallic sieve prescribed for JIS Z 8801-1 or it possible to use non-metalic one.</t>
    <phoneticPr fontId="2"/>
  </si>
  <si>
    <t>4.9</t>
    <phoneticPr fontId="2"/>
  </si>
  <si>
    <t>Other equipment</t>
    <phoneticPr fontId="2"/>
  </si>
  <si>
    <t>Watch glass</t>
    <phoneticPr fontId="2"/>
  </si>
  <si>
    <t xml:space="preserve">Hot plate or heating equipment such as boiling apparatus </t>
    <phoneticPr fontId="2"/>
  </si>
  <si>
    <t>c)</t>
    <phoneticPr fontId="2"/>
  </si>
  <si>
    <t>d)</t>
    <phoneticPr fontId="2"/>
  </si>
  <si>
    <t xml:space="preserve">Stirring rod </t>
    <phoneticPr fontId="2"/>
  </si>
  <si>
    <t>Watch glass example is shown in Figure-2</t>
    <phoneticPr fontId="2"/>
  </si>
  <si>
    <t>Figure-2 Watch glass</t>
    <phoneticPr fontId="2"/>
  </si>
  <si>
    <t>5.1</t>
    <phoneticPr fontId="2"/>
  </si>
  <si>
    <t>Soil sample</t>
    <phoneticPr fontId="2"/>
  </si>
  <si>
    <t>Crushing equipment (Meralic mortar, Hummer, Crusher)</t>
    <phoneticPr fontId="2"/>
  </si>
  <si>
    <t>Practise for preparing disturbed soil samples for soil testing</t>
    <phoneticPr fontId="2"/>
  </si>
  <si>
    <t>5.2</t>
    <phoneticPr fontId="2"/>
  </si>
  <si>
    <t>Rock sample</t>
    <phoneticPr fontId="2"/>
  </si>
  <si>
    <t>Get all amount of sample trough 2 mm sieve to crush it more.</t>
    <phoneticPr fontId="2"/>
  </si>
  <si>
    <t>Work safety to use protector in case of man-power crushing.</t>
    <phoneticPr fontId="2"/>
  </si>
  <si>
    <t>Test method shall be subject to the following.</t>
    <phoneticPr fontId="2"/>
  </si>
  <si>
    <t>Terms and definition of this standard shall be subject to following.</t>
    <phoneticPr fontId="2"/>
  </si>
  <si>
    <t>Test equipment and reagent shall be subject to following.</t>
    <phoneticPr fontId="2"/>
  </si>
  <si>
    <t>Samples shall be subject to 5.1 Soil samples or 5.2 crushed rock samples.</t>
    <phoneticPr fontId="2"/>
  </si>
  <si>
    <t>6.1</t>
    <phoneticPr fontId="2"/>
  </si>
  <si>
    <r>
      <t>Crush rough rock sample up to under 10</t>
    </r>
    <r>
      <rPr>
        <sz val="11"/>
        <color theme="1"/>
        <rFont val="ＭＳ Ｐ明朝"/>
        <family val="1"/>
        <charset val="128"/>
      </rPr>
      <t>～</t>
    </r>
    <r>
      <rPr>
        <sz val="11"/>
        <color theme="1"/>
        <rFont val="Times New Roman"/>
        <family val="1"/>
      </rPr>
      <t>20 mm particle size by large hummer or crushing equipment. Dry up it in case sample include water.</t>
    </r>
    <phoneticPr fontId="2"/>
  </si>
  <si>
    <t>Hydorogen peroxide solution</t>
    <phoneticPr fontId="2"/>
  </si>
  <si>
    <t>It shall be hydorogen peroxide solution (30%) prescribed for JIS K 8230</t>
    <phoneticPr fontId="2"/>
  </si>
  <si>
    <t>Treatment by hydorogen peroxide solution</t>
    <phoneticPr fontId="2"/>
  </si>
  <si>
    <t>Treatment by hydorogen peroxide solution shall be subject to the following.</t>
    <phoneticPr fontId="2"/>
  </si>
  <si>
    <t>Weight sample mass ms(g) and put it into tall beaker.</t>
    <phoneticPr fontId="2"/>
  </si>
  <si>
    <t>Weight sample and tall beaker total mass mt(g)</t>
    <phoneticPr fontId="2"/>
  </si>
  <si>
    <t>Read up to 0.01g</t>
    <phoneticPr fontId="2"/>
  </si>
  <si>
    <t>Prepare hydorogen peroxide solution to pH6 with about 10 m mol /L (0.04%) solution. This shall be solvent.</t>
    <phoneticPr fontId="2"/>
  </si>
  <si>
    <t>d)</t>
    <phoneticPr fontId="2"/>
  </si>
  <si>
    <t xml:space="preserve">Add solvent small amout by small and small at regular intervals </t>
    <phoneticPr fontId="2"/>
  </si>
  <si>
    <t>*</t>
    <phoneticPr fontId="2"/>
  </si>
  <si>
    <t>Cool down tall beaker with water</t>
    <phoneticPr fontId="2"/>
  </si>
  <si>
    <t>Use large capacity beaker</t>
    <phoneticPr fontId="2"/>
  </si>
  <si>
    <t>e)</t>
    <phoneticPr fontId="2"/>
  </si>
  <si>
    <t>f)</t>
    <phoneticPr fontId="2"/>
  </si>
  <si>
    <t>6.2</t>
    <phoneticPr fontId="2"/>
  </si>
  <si>
    <t>Measurement for pH</t>
    <phoneticPr fontId="2"/>
  </si>
  <si>
    <t>Adjustment for pH meter</t>
    <phoneticPr fontId="2"/>
  </si>
  <si>
    <t>Test method for pH of suspended soils</t>
    <phoneticPr fontId="2"/>
  </si>
  <si>
    <t>It shall be subject to 6.1 "Adjustment for pH meter" in JGS 0211"Test method for pH of suspended soils".</t>
    <phoneticPr fontId="2"/>
  </si>
  <si>
    <t>6.3</t>
    <phoneticPr fontId="2"/>
  </si>
  <si>
    <t>b)</t>
    <phoneticPr fontId="2"/>
  </si>
  <si>
    <t>Read pH value after pH meter indicated value is stable.</t>
    <phoneticPr fontId="2"/>
  </si>
  <si>
    <t>Use sample after breaking it in case of consolidated soil</t>
    <phoneticPr fontId="2"/>
  </si>
  <si>
    <t>Notation 2</t>
    <phoneticPr fontId="2"/>
  </si>
  <si>
    <t>Notation 3</t>
  </si>
  <si>
    <t>Notation 4</t>
    <phoneticPr fontId="2"/>
  </si>
  <si>
    <t>Notation 5</t>
    <phoneticPr fontId="2"/>
  </si>
  <si>
    <t>Notation 6</t>
    <phoneticPr fontId="2"/>
  </si>
  <si>
    <t>Notation 7</t>
    <phoneticPr fontId="2"/>
  </si>
  <si>
    <t>Notation 8</t>
    <phoneticPr fontId="2"/>
  </si>
  <si>
    <t>Figure-3 Example of pH measurement</t>
    <phoneticPr fontId="2"/>
  </si>
  <si>
    <t>a)</t>
    <phoneticPr fontId="2"/>
  </si>
  <si>
    <t>7.1</t>
    <phoneticPr fontId="2"/>
  </si>
  <si>
    <t>Items about samples</t>
    <phoneticPr fontId="2"/>
  </si>
  <si>
    <t>Items about samples are the following.</t>
    <phoneticPr fontId="2"/>
  </si>
  <si>
    <t>b)</t>
    <phoneticPr fontId="2"/>
  </si>
  <si>
    <t>Sampling points (Sampling place, sampling deepness)</t>
    <phoneticPr fontId="2"/>
  </si>
  <si>
    <t>Notation</t>
    <phoneticPr fontId="2"/>
  </si>
  <si>
    <t>7.2</t>
    <phoneticPr fontId="2"/>
  </si>
  <si>
    <t>Items about test methods are the following.</t>
    <phoneticPr fontId="2"/>
  </si>
  <si>
    <t>Preparing method for samples</t>
    <phoneticPr fontId="2"/>
  </si>
  <si>
    <t>Sample mass ms (g)</t>
    <phoneticPr fontId="2"/>
  </si>
  <si>
    <t>7.3</t>
    <phoneticPr fontId="2"/>
  </si>
  <si>
    <t>Items about test methods</t>
    <phoneticPr fontId="2"/>
  </si>
  <si>
    <t>Items about test results</t>
    <phoneticPr fontId="2"/>
  </si>
  <si>
    <t>Items about test results are the following.</t>
    <phoneticPr fontId="2"/>
  </si>
  <si>
    <t>Sample solution pH</t>
    <phoneticPr fontId="2"/>
  </si>
  <si>
    <t>b)</t>
    <phoneticPr fontId="2"/>
  </si>
  <si>
    <t>c)</t>
    <phoneticPr fontId="2"/>
  </si>
  <si>
    <t>That content in case to use different method from this standard partially.</t>
    <phoneticPr fontId="2"/>
  </si>
  <si>
    <t>This standard prescribes test method to measure pH of liquid which pre-treated ground material by hydorogen peroxide solution and water are suspended to judge acidification potential of ground material. Objective ground materials applicated in this standard shall be soils removed such as 2 mm particle size particles and crushed rock under 2 mm particle size.</t>
  </si>
  <si>
    <t>Ground materials oxidation possibility derived from mineral composition which shall be estimated from pH in case that samples of soils or rocks are forced to be oxidized to contact them with hydorogen peroxide</t>
  </si>
  <si>
    <t>Measured pH doesn't show level of oxidation in real environment so that this standard method gives samples very stronger oxidation than oxidation in real environment</t>
  </si>
  <si>
    <t>It is said samples which are crushed under 2 mm maxinum particle size by hammer or crushing equipment.</t>
  </si>
  <si>
    <t>Toe items shown in Safety Data Sheet (SDS) if hydorogen peroxide solution (30%) is used so that it is drastic. Wear safety glasses and safety gloves and work in efuipment and machine don't have a paucity ofopen part or draft chamber.</t>
  </si>
  <si>
    <t>Use samples treated by 6.3 dry air method in JIS A 1201 "Practise for preparing disturbed soil samples for soil testing".</t>
  </si>
  <si>
    <t>Stir clod and dranular by mortar and get them trough 2 mm pore size sieve after as far as removing wood and inorganic particlemore than 2 mm which is difficult to crsh.</t>
  </si>
  <si>
    <r>
      <t xml:space="preserve">Make sample to collect more than </t>
    </r>
    <r>
      <rPr>
        <sz val="11"/>
        <color rgb="FFFF0000"/>
        <rFont val="Times New Roman"/>
        <family val="1"/>
      </rPr>
      <t>2 g</t>
    </r>
    <r>
      <rPr>
        <sz val="11"/>
        <color theme="1"/>
        <rFont val="Times New Roman"/>
        <family val="1"/>
      </rPr>
      <t xml:space="preserve"> at least by 5.1 collecting method in JIS A 1201"Practise for preparing disturbed soil samples for soil testing".</t>
    </r>
  </si>
  <si>
    <t>This standard doesn't decide crushing methods such as man-power crushing such as hummer and metalic mortar and mechanical crushing such as crushing machine</t>
  </si>
  <si>
    <r>
      <t>Add ms</t>
    </r>
    <r>
      <rPr>
        <sz val="11"/>
        <color theme="1"/>
        <rFont val="ＭＳ Ｐ明朝"/>
        <family val="1"/>
        <charset val="128"/>
      </rPr>
      <t>×</t>
    </r>
    <r>
      <rPr>
        <sz val="11"/>
        <color theme="1"/>
        <rFont val="Times New Roman"/>
        <family val="1"/>
      </rPr>
      <t>mL solvent into tall beaker in slowly and cover beaker with watch glass.</t>
    </r>
  </si>
  <si>
    <t>In case that there is possibility strong reaction occurs and a content inside boils over from beaker</t>
  </si>
  <si>
    <t>Heat tall beaker covered with watch glass up by hot plate or heating equipment such as boiling apparatus until it is hot but not boiling after strong reaction finishes or in case that strong reaction doesn't start. Stir a content inside by using stirring rod during heating up.</t>
  </si>
  <si>
    <t>Finish heating up when fine air bubble evolution loses and cool down until a content inside is room temperature.</t>
  </si>
  <si>
    <t>Take care not to observe fine air bubble evolution from sample if a content inside comes to a boil during heating up.</t>
  </si>
  <si>
    <t>Sork pH meter electrode in sample solution after transfering it to test tube as Figure-3..</t>
  </si>
  <si>
    <r>
      <t>It shall be measuring sample solution which is added water to tall beaker and  stirred after cooling down. Aount of adding water shall be weight which total sample and tall beaker mass equals to (mt+ms</t>
    </r>
    <r>
      <rPr>
        <sz val="11"/>
        <color theme="1"/>
        <rFont val="ＭＳ Ｐ明朝"/>
        <family val="1"/>
        <charset val="128"/>
      </rPr>
      <t>×</t>
    </r>
    <r>
      <rPr>
        <sz val="11"/>
        <color theme="1"/>
        <rFont val="Times New Roman"/>
        <family val="1"/>
      </rPr>
      <t>10) after adding water.</t>
    </r>
  </si>
  <si>
    <t>Purpose is to refull to add water to solvent which decreases by heating up.</t>
  </si>
  <si>
    <t>Use Glass electrode after soaking it in water for 12 hours in advance, if glass slectrode has not been used for a long time.</t>
  </si>
  <si>
    <t>Temperature of pH standard shall be used near room temperature. Set pH meter temperature to pH standard temperature if pH meter has temperature compensation function.</t>
  </si>
  <si>
    <t>Use oxalate instead of phthalate in case that pH of sample solution is not less than 2, and use pH standard solution of borate or carbonate in case that pH is more than 10.</t>
  </si>
  <si>
    <t>Wash electrode enough by water each time and draw water drops by filter paper etc. in case of soaking electrode in another pH standard solution.</t>
  </si>
  <si>
    <t>Measurement shall be carried out at room temperature to reduce temperature difference between pH standard solution and sample solution as far as possible.</t>
  </si>
  <si>
    <r>
      <t xml:space="preserve">Take care enough because it can not to get pH value repeatability in </t>
    </r>
    <r>
      <rPr>
        <sz val="11"/>
        <color theme="1"/>
        <rFont val="ＭＳ Ｐ明朝"/>
        <family val="1"/>
        <charset val="128"/>
      </rPr>
      <t>±</t>
    </r>
    <r>
      <rPr>
        <sz val="11"/>
        <color theme="1"/>
        <rFont val="Times New Roman"/>
        <family val="1"/>
      </rPr>
      <t>0.1. By the way It may measure without transfering sample solution to other container in case that pH meter electrode can be sorked to deepness in tall beaker shown in a) situation shown in Figure-3.</t>
    </r>
  </si>
  <si>
    <t>It may that soil and crushed rock samples remain in tall beaker when sample solution is transferred to test tubes etc.</t>
  </si>
  <si>
    <r>
      <t xml:space="preserve">It may not to get pH value repeatability in ±0.1so that pH value is easy to be changed in case that sample shock-absorbing characteristics is low. Calculate pH value to average the value in </t>
    </r>
    <r>
      <rPr>
        <sz val="11"/>
        <color theme="1"/>
        <rFont val="ＭＳ Ｐ明朝"/>
        <family val="1"/>
        <charset val="128"/>
      </rPr>
      <t>±</t>
    </r>
    <r>
      <rPr>
        <sz val="11"/>
        <color theme="1"/>
        <rFont val="Times New Roman"/>
        <family val="1"/>
      </rPr>
      <t>0.2 pH value in this case.</t>
    </r>
  </si>
  <si>
    <t>Kinds of soils and rocks</t>
  </si>
  <si>
    <t>For instance, describe Andesite or Mudstone</t>
  </si>
  <si>
    <t>Describe sample preparing method in method shown in 5 samples</t>
  </si>
  <si>
    <t>Measure up to first place of decimals . Round up second place of decimals in case to measure up to second place of decimals or average maltiple measuring results.</t>
  </si>
  <si>
    <t>The following citation standards and standars consist on a part of this standard to be quoted to this standard. These citation standards and standards shal l be applied current version.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</si>
</sst>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
    <numFmt numFmtId="165" formatCode="0.0"/>
  </numFmts>
  <fonts count="22">
    <font>
      <sz val="11"/>
      <color theme="1"/>
      <name val="Calibri"/>
      <family val="2"/>
      <scheme val="minor"/>
    </font>
    <font>
      <sz val="11"/>
      <color theme="1"/>
      <name val="Calibri"/>
      <family val="2"/>
      <charset val="128"/>
      <scheme val="minor"/>
    </font>
    <font>
      <sz val="6"/>
      <name val="Calibri"/>
      <family val="3"/>
      <charset val="128"/>
      <scheme val="minor"/>
    </font>
    <font>
      <sz val="11"/>
      <color theme="1"/>
      <name val="Times New Roman"/>
      <family val="1"/>
    </font>
    <font>
      <sz val="11"/>
      <color theme="1"/>
      <name val="ＭＳ Ｐ明朝"/>
      <family val="1"/>
      <charset val="128"/>
    </font>
    <font>
      <vertAlign val="superscript"/>
      <sz val="11"/>
      <color theme="1"/>
      <name val="Times New Roman"/>
      <family val="1"/>
    </font>
    <font>
      <sz val="11"/>
      <color rgb="FFFF0000"/>
      <name val="Times New Roman"/>
      <family val="1"/>
    </font>
    <font>
      <u/>
      <sz val="11"/>
      <color rgb="FF7AAD24"/>
      <name val="Calibri"/>
      <family val="3"/>
      <charset val="128"/>
      <scheme val="minor"/>
    </font>
    <font>
      <sz val="12"/>
      <color theme="1"/>
      <name val="Times New Roman"/>
      <family val="1"/>
    </font>
    <font>
      <sz val="12"/>
      <color theme="1"/>
      <name val="ＭＳ Ｐ明朝"/>
      <family val="1"/>
      <charset val="128"/>
    </font>
    <font>
      <b/>
      <sz val="11"/>
      <color theme="1"/>
      <name val="Times New Roman"/>
      <family val="1"/>
    </font>
    <font>
      <u/>
      <sz val="11"/>
      <color rgb="FF7AAD24"/>
      <name val="Times New Roman"/>
      <family val="1"/>
    </font>
    <font>
      <vertAlign val="subscript"/>
      <sz val="11"/>
      <color theme="1"/>
      <name val="Times New Roman"/>
      <family val="1"/>
    </font>
    <font>
      <vertAlign val="subscript"/>
      <sz val="11"/>
      <color rgb="FFFF0000"/>
      <name val="Times New Roman"/>
      <family val="1"/>
    </font>
    <font>
      <sz val="9"/>
      <color indexed="81"/>
      <name val="ＭＳ Ｐゴシック"/>
      <family val="3"/>
      <charset val="128"/>
    </font>
    <font>
      <b/>
      <sz val="9"/>
      <color indexed="81"/>
      <name val="ＭＳ Ｐゴシック"/>
      <family val="3"/>
      <charset val="128"/>
    </font>
    <font>
      <sz val="8"/>
      <color theme="1"/>
      <name val="Times New Roman"/>
      <family val="1"/>
    </font>
    <font>
      <sz val="11"/>
      <color rgb="FF00B0F0"/>
      <name val="Times New Roman"/>
      <family val="1"/>
    </font>
    <font>
      <sz val="11"/>
      <color rgb="FF0070C0"/>
      <name val="Times New Roman"/>
      <family val="1"/>
    </font>
    <font>
      <vertAlign val="subscript"/>
      <sz val="11"/>
      <color rgb="FF0070C0"/>
      <name val="Times New Roman"/>
      <family val="1"/>
    </font>
    <font>
      <sz val="11"/>
      <name val="Times New Roman"/>
      <family val="1"/>
    </font>
    <font>
      <sz val="9"/>
      <color rgb="FF0066CC"/>
      <name val="Times New Roman"/>
      <family val="1"/>
    </font>
  </fonts>
  <fills count="2">
    <fill>
      <patternFill patternType="none"/>
    </fill>
    <fill>
      <patternFill patternType="gray125"/>
    </fill>
  </fills>
  <borders count="45">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auto="1"/>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style="thin">
        <color indexed="64"/>
      </left>
      <right style="thin">
        <color indexed="64"/>
      </right>
      <top style="double">
        <color indexed="64"/>
      </top>
      <bottom style="thin">
        <color indexed="64"/>
      </bottom>
      <diagonal/>
    </border>
  </borders>
  <cellStyleXfs count="1">
    <xf numFmtId="0" fontId="0" fillId="0" borderId="0"/>
  </cellStyleXfs>
  <cellXfs count="158">
    <xf numFmtId="0" fontId="0" fillId="0" borderId="0" xfId="0"/>
    <xf numFmtId="49" fontId="3" fillId="0" borderId="0" xfId="0" applyNumberFormat="1" applyFont="1" applyAlignment="1">
      <alignment vertical="center"/>
    </xf>
    <xf numFmtId="49" fontId="3" fillId="0" borderId="0" xfId="0" applyNumberFormat="1" applyFont="1" applyAlignment="1">
      <alignment horizontal="right" vertical="center"/>
    </xf>
    <xf numFmtId="49" fontId="3" fillId="0" borderId="0" xfId="0" applyNumberFormat="1" applyFont="1" applyAlignment="1">
      <alignment horizontal="left" vertical="center"/>
    </xf>
    <xf numFmtId="49" fontId="3" fillId="0" borderId="0" xfId="0" applyNumberFormat="1" applyFont="1" applyAlignment="1">
      <alignment horizontal="center" vertical="center"/>
    </xf>
    <xf numFmtId="49" fontId="3" fillId="0" borderId="1" xfId="0" applyNumberFormat="1" applyFont="1" applyBorder="1" applyAlignment="1">
      <alignment vertical="center"/>
    </xf>
    <xf numFmtId="0" fontId="3" fillId="0" borderId="0" xfId="0" applyFont="1"/>
    <xf numFmtId="49" fontId="3" fillId="0" borderId="0" xfId="0" applyNumberFormat="1" applyFont="1" applyAlignment="1">
      <alignment horizontal="left" vertical="center" wrapText="1"/>
    </xf>
    <xf numFmtId="0" fontId="7" fillId="0" borderId="0" xfId="0" applyFont="1"/>
    <xf numFmtId="49" fontId="3" fillId="0" borderId="0" xfId="0" applyNumberFormat="1" applyFont="1" applyAlignment="1">
      <alignment vertical="center" wrapText="1"/>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0" xfId="0" applyNumberFormat="1" applyFont="1" applyBorder="1" applyAlignment="1">
      <alignment vertical="center"/>
    </xf>
    <xf numFmtId="49" fontId="3" fillId="0" borderId="0" xfId="0" applyNumberFormat="1" applyFont="1" applyAlignment="1">
      <alignment vertical="top" wrapText="1"/>
    </xf>
    <xf numFmtId="49" fontId="10" fillId="0" borderId="0" xfId="0" applyNumberFormat="1" applyFont="1" applyAlignment="1">
      <alignment horizontal="left" vertical="center"/>
    </xf>
    <xf numFmtId="49" fontId="3" fillId="0" borderId="0" xfId="0" applyNumberFormat="1" applyFont="1" applyBorder="1" applyAlignment="1">
      <alignment horizontal="center" vertical="center" shrinkToFit="1"/>
    </xf>
    <xf numFmtId="49" fontId="10" fillId="0" borderId="0" xfId="0" applyNumberFormat="1" applyFont="1" applyAlignment="1">
      <alignment vertical="center"/>
    </xf>
    <xf numFmtId="49" fontId="3" fillId="0" borderId="3" xfId="0" applyNumberFormat="1" applyFont="1" applyBorder="1" applyAlignment="1">
      <alignment horizontal="left" vertical="center"/>
    </xf>
    <xf numFmtId="0" fontId="11" fillId="0" borderId="0" xfId="0" applyFont="1"/>
    <xf numFmtId="49" fontId="3" fillId="0" borderId="0" xfId="0" applyNumberFormat="1" applyFont="1" applyBorder="1" applyAlignment="1">
      <alignment horizontal="left" vertical="center"/>
    </xf>
    <xf numFmtId="49" fontId="3" fillId="0" borderId="3" xfId="0" applyNumberFormat="1" applyFont="1" applyBorder="1" applyAlignment="1">
      <alignment vertical="center"/>
    </xf>
    <xf numFmtId="49" fontId="4" fillId="0" borderId="0" xfId="0" applyNumberFormat="1" applyFont="1" applyAlignment="1">
      <alignment vertical="center"/>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0" xfId="0" applyNumberFormat="1" applyFont="1" applyBorder="1" applyAlignment="1">
      <alignment horizontal="left" vertical="center" wrapText="1"/>
    </xf>
    <xf numFmtId="49" fontId="3" fillId="0" borderId="0" xfId="0" applyNumberFormat="1" applyFont="1" applyAlignment="1">
      <alignment horizontal="left" vertical="center" shrinkToFit="1"/>
    </xf>
    <xf numFmtId="49" fontId="3" fillId="0" borderId="0" xfId="0" applyNumberFormat="1" applyFont="1" applyBorder="1" applyAlignment="1">
      <alignment horizontal="right" vertical="center"/>
    </xf>
    <xf numFmtId="49" fontId="3" fillId="0" borderId="0" xfId="0" applyNumberFormat="1" applyFont="1" applyBorder="1" applyAlignment="1">
      <alignment vertical="center" wrapText="1"/>
    </xf>
    <xf numFmtId="49" fontId="20" fillId="0" borderId="0" xfId="0" applyNumberFormat="1" applyFont="1" applyAlignment="1">
      <alignment horizontal="left" vertical="center"/>
    </xf>
    <xf numFmtId="49" fontId="20" fillId="0" borderId="0" xfId="0" applyNumberFormat="1" applyFont="1" applyAlignment="1">
      <alignment horizontal="left" vertical="center" wrapText="1"/>
    </xf>
    <xf numFmtId="0" fontId="8" fillId="0" borderId="0" xfId="0" applyFont="1"/>
    <xf numFmtId="0" fontId="21" fillId="0" borderId="0" xfId="0" applyFont="1"/>
    <xf numFmtId="0" fontId="11" fillId="0" borderId="0" xfId="0" applyFont="1" applyAlignment="1"/>
    <xf numFmtId="49" fontId="3" fillId="0" borderId="0" xfId="0" applyNumberFormat="1" applyFont="1" applyAlignment="1">
      <alignment horizontal="left" vertical="center" wrapText="1"/>
    </xf>
    <xf numFmtId="49" fontId="3" fillId="0" borderId="0" xfId="0" applyNumberFormat="1" applyFont="1" applyAlignment="1">
      <alignment horizontal="left" vertical="center" wrapText="1"/>
    </xf>
    <xf numFmtId="49" fontId="6" fillId="0" borderId="0" xfId="0" applyNumberFormat="1" applyFont="1" applyAlignment="1">
      <alignment horizontal="right" vertical="center" wrapText="1"/>
    </xf>
    <xf numFmtId="49" fontId="3" fillId="0" borderId="0"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0" xfId="0" applyNumberFormat="1" applyFont="1" applyAlignment="1">
      <alignment horizontal="center" vertical="center"/>
    </xf>
    <xf numFmtId="49" fontId="3" fillId="0" borderId="2"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7" xfId="0" applyNumberFormat="1" applyFont="1" applyBorder="1" applyAlignment="1">
      <alignment horizontal="center" vertical="center"/>
    </xf>
    <xf numFmtId="49" fontId="6" fillId="0" borderId="0" xfId="0" applyNumberFormat="1" applyFont="1" applyAlignment="1">
      <alignment horizontal="left" vertical="center" wrapText="1"/>
    </xf>
    <xf numFmtId="49" fontId="3" fillId="0" borderId="44" xfId="0" applyNumberFormat="1" applyFont="1" applyBorder="1" applyAlignment="1">
      <alignment horizontal="center" vertical="center"/>
    </xf>
    <xf numFmtId="49" fontId="3" fillId="0" borderId="17"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18" xfId="0" applyNumberFormat="1" applyFont="1" applyBorder="1" applyAlignment="1">
      <alignment horizontal="center" vertical="center"/>
    </xf>
    <xf numFmtId="49" fontId="3" fillId="0" borderId="0" xfId="0" applyNumberFormat="1" applyFont="1" applyBorder="1" applyAlignment="1">
      <alignment horizontal="left" vertical="center" wrapText="1"/>
    </xf>
    <xf numFmtId="49" fontId="20" fillId="0" borderId="0" xfId="0" applyNumberFormat="1" applyFont="1" applyAlignment="1">
      <alignment horizontal="left" vertical="center" wrapText="1"/>
    </xf>
    <xf numFmtId="49" fontId="3" fillId="0" borderId="0" xfId="0" applyNumberFormat="1" applyFont="1" applyBorder="1" applyAlignment="1">
      <alignment horizontal="center" vertical="center" wrapText="1"/>
    </xf>
    <xf numFmtId="49" fontId="6" fillId="0" borderId="0" xfId="0" applyNumberFormat="1" applyFont="1" applyBorder="1" applyAlignment="1">
      <alignment horizontal="left" vertical="center" wrapText="1"/>
    </xf>
    <xf numFmtId="49" fontId="3" fillId="0" borderId="0" xfId="0" applyNumberFormat="1" applyFont="1" applyBorder="1" applyAlignment="1">
      <alignment horizontal="center" vertical="center" shrinkToFit="1"/>
    </xf>
    <xf numFmtId="49"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shrinkToFit="1"/>
    </xf>
    <xf numFmtId="49" fontId="3" fillId="0" borderId="38"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16" fillId="0" borderId="16" xfId="0" applyNumberFormat="1" applyFont="1" applyBorder="1" applyAlignment="1">
      <alignment horizontal="left" vertical="center" wrapText="1"/>
    </xf>
    <xf numFmtId="49" fontId="16" fillId="0" borderId="39" xfId="0" applyNumberFormat="1" applyFont="1" applyBorder="1" applyAlignment="1">
      <alignment horizontal="left" vertical="center" wrapText="1"/>
    </xf>
    <xf numFmtId="49" fontId="16" fillId="0" borderId="10" xfId="0" applyNumberFormat="1" applyFont="1" applyBorder="1" applyAlignment="1">
      <alignment horizontal="left" vertical="center" wrapText="1"/>
    </xf>
    <xf numFmtId="49" fontId="16" fillId="0" borderId="40" xfId="0" applyNumberFormat="1" applyFont="1" applyBorder="1" applyAlignment="1">
      <alignment horizontal="left" vertical="center" wrapText="1"/>
    </xf>
    <xf numFmtId="0" fontId="6" fillId="0" borderId="30" xfId="0" applyNumberFormat="1" applyFont="1" applyBorder="1" applyAlignment="1">
      <alignment horizontal="center" vertical="center"/>
    </xf>
    <xf numFmtId="0" fontId="6" fillId="0" borderId="31" xfId="0" applyNumberFormat="1" applyFont="1" applyBorder="1" applyAlignment="1">
      <alignment horizontal="center" vertical="center"/>
    </xf>
    <xf numFmtId="49" fontId="6" fillId="0" borderId="33" xfId="0" applyNumberFormat="1" applyFont="1" applyBorder="1" applyAlignment="1">
      <alignment horizontal="center" vertical="center" shrinkToFit="1"/>
    </xf>
    <xf numFmtId="1" fontId="6" fillId="0" borderId="33" xfId="0" applyNumberFormat="1" applyFont="1" applyBorder="1" applyAlignment="1">
      <alignment horizontal="center" vertical="center"/>
    </xf>
    <xf numFmtId="0" fontId="6" fillId="0" borderId="33" xfId="0" applyNumberFormat="1" applyFont="1" applyBorder="1" applyAlignment="1">
      <alignment horizontal="center" vertical="center"/>
    </xf>
    <xf numFmtId="0" fontId="6" fillId="0" borderId="34" xfId="0" applyNumberFormat="1" applyFont="1" applyBorder="1" applyAlignment="1">
      <alignment horizontal="center" vertical="center"/>
    </xf>
    <xf numFmtId="49" fontId="3" fillId="0" borderId="26" xfId="0" applyNumberFormat="1" applyFont="1" applyBorder="1" applyAlignment="1">
      <alignment horizontal="center" vertical="center" wrapText="1"/>
    </xf>
    <xf numFmtId="49" fontId="3" fillId="0" borderId="27" xfId="0" applyNumberFormat="1" applyFont="1" applyBorder="1" applyAlignment="1">
      <alignment horizontal="center" vertical="center" wrapText="1"/>
    </xf>
    <xf numFmtId="49" fontId="3" fillId="0" borderId="29" xfId="0" applyNumberFormat="1" applyFont="1" applyBorder="1" applyAlignment="1">
      <alignment horizontal="center" vertical="center" wrapText="1"/>
    </xf>
    <xf numFmtId="49" fontId="3" fillId="0" borderId="30" xfId="0" applyNumberFormat="1" applyFont="1" applyBorder="1" applyAlignment="1">
      <alignment horizontal="center" vertical="center" wrapText="1"/>
    </xf>
    <xf numFmtId="49" fontId="3" fillId="0" borderId="32" xfId="0" applyNumberFormat="1" applyFont="1" applyBorder="1" applyAlignment="1">
      <alignment horizontal="center" vertical="center" wrapText="1"/>
    </xf>
    <xf numFmtId="49" fontId="3" fillId="0" borderId="33" xfId="0" applyNumberFormat="1" applyFont="1" applyBorder="1" applyAlignment="1">
      <alignment horizontal="center" vertical="center" wrapText="1"/>
    </xf>
    <xf numFmtId="49" fontId="6" fillId="0" borderId="30" xfId="0" applyNumberFormat="1" applyFont="1" applyBorder="1" applyAlignment="1">
      <alignment horizontal="center" vertical="center" shrinkToFit="1"/>
    </xf>
    <xf numFmtId="1" fontId="6" fillId="0" borderId="30" xfId="0" applyNumberFormat="1" applyFont="1" applyBorder="1" applyAlignment="1">
      <alignment horizontal="center" vertical="center"/>
    </xf>
    <xf numFmtId="0" fontId="3" fillId="0" borderId="30" xfId="0" applyNumberFormat="1" applyFont="1" applyBorder="1" applyAlignment="1">
      <alignment horizontal="center" vertical="center"/>
    </xf>
    <xf numFmtId="0" fontId="3" fillId="0" borderId="31" xfId="0" applyNumberFormat="1" applyFont="1" applyBorder="1" applyAlignment="1">
      <alignment horizontal="center" vertical="center"/>
    </xf>
    <xf numFmtId="49" fontId="3" fillId="0" borderId="30" xfId="0" applyNumberFormat="1" applyFont="1" applyBorder="1" applyAlignment="1">
      <alignment horizontal="center" vertical="center" shrinkToFit="1"/>
    </xf>
    <xf numFmtId="2" fontId="3" fillId="0" borderId="30" xfId="0" applyNumberFormat="1" applyFont="1" applyBorder="1" applyAlignment="1">
      <alignment horizontal="center" vertical="center"/>
    </xf>
    <xf numFmtId="2" fontId="3" fillId="0" borderId="31" xfId="0" applyNumberFormat="1" applyFont="1" applyBorder="1" applyAlignment="1">
      <alignment horizontal="center" vertical="center"/>
    </xf>
    <xf numFmtId="0" fontId="3" fillId="0" borderId="27" xfId="0" applyNumberFormat="1" applyFont="1" applyBorder="1" applyAlignment="1">
      <alignment horizontal="center" vertical="center"/>
    </xf>
    <xf numFmtId="0" fontId="3" fillId="0" borderId="28" xfId="0" applyNumberFormat="1" applyFont="1" applyBorder="1" applyAlignment="1">
      <alignment horizontal="center" vertical="center"/>
    </xf>
    <xf numFmtId="49" fontId="3" fillId="0" borderId="27" xfId="0" applyNumberFormat="1" applyFont="1" applyBorder="1" applyAlignment="1">
      <alignment horizontal="center" vertical="center" shrinkToFit="1"/>
    </xf>
    <xf numFmtId="2" fontId="3" fillId="0" borderId="24" xfId="0" applyNumberFormat="1" applyFont="1" applyBorder="1" applyAlignment="1">
      <alignment horizontal="center" vertical="center"/>
    </xf>
    <xf numFmtId="2" fontId="3" fillId="0" borderId="25" xfId="0" applyNumberFormat="1" applyFont="1" applyBorder="1" applyAlignment="1">
      <alignment horizontal="center" vertical="center"/>
    </xf>
    <xf numFmtId="49" fontId="6" fillId="0" borderId="24" xfId="0" applyNumberFormat="1" applyFont="1" applyBorder="1" applyAlignment="1">
      <alignment horizontal="center" vertical="center" shrinkToFit="1"/>
    </xf>
    <xf numFmtId="0" fontId="6" fillId="0" borderId="24" xfId="0" applyNumberFormat="1" applyFont="1" applyBorder="1" applyAlignment="1">
      <alignment horizontal="center" vertical="center"/>
    </xf>
    <xf numFmtId="0" fontId="6" fillId="0" borderId="25" xfId="0" applyNumberFormat="1" applyFont="1" applyBorder="1" applyAlignment="1">
      <alignment horizontal="center" vertical="center"/>
    </xf>
    <xf numFmtId="49" fontId="3" fillId="0" borderId="23" xfId="0" applyNumberFormat="1" applyFont="1" applyBorder="1" applyAlignment="1">
      <alignment horizontal="center" vertical="center"/>
    </xf>
    <xf numFmtId="49" fontId="3" fillId="0" borderId="24" xfId="0" applyNumberFormat="1" applyFont="1" applyBorder="1" applyAlignment="1">
      <alignment horizontal="center" vertical="center"/>
    </xf>
    <xf numFmtId="49" fontId="3" fillId="0" borderId="24" xfId="0" applyNumberFormat="1" applyFont="1" applyBorder="1" applyAlignment="1">
      <alignment horizontal="center" vertical="center" shrinkToFit="1"/>
    </xf>
    <xf numFmtId="165" fontId="3" fillId="0" borderId="24" xfId="0" applyNumberFormat="1" applyFont="1" applyBorder="1" applyAlignment="1">
      <alignment horizontal="center" vertical="center"/>
    </xf>
    <xf numFmtId="165" fontId="3" fillId="0" borderId="25" xfId="0" applyNumberFormat="1" applyFont="1" applyBorder="1" applyAlignment="1">
      <alignment horizontal="center" vertical="center"/>
    </xf>
    <xf numFmtId="1" fontId="6" fillId="0" borderId="24" xfId="0" applyNumberFormat="1" applyFont="1" applyBorder="1" applyAlignment="1">
      <alignment horizontal="center" vertical="center"/>
    </xf>
    <xf numFmtId="1" fontId="6" fillId="0" borderId="25" xfId="0" applyNumberFormat="1" applyFont="1" applyBorder="1" applyAlignment="1">
      <alignment horizontal="center" vertical="center"/>
    </xf>
    <xf numFmtId="0" fontId="3" fillId="0" borderId="24" xfId="0" applyNumberFormat="1" applyFont="1" applyBorder="1" applyAlignment="1">
      <alignment horizontal="center" vertical="center"/>
    </xf>
    <xf numFmtId="2" fontId="6" fillId="0" borderId="30" xfId="0" applyNumberFormat="1" applyFont="1" applyBorder="1" applyAlignment="1">
      <alignment horizontal="center" vertical="center"/>
    </xf>
    <xf numFmtId="2" fontId="6" fillId="0" borderId="31" xfId="0" applyNumberFormat="1" applyFont="1" applyBorder="1" applyAlignment="1">
      <alignment horizontal="center" vertical="center"/>
    </xf>
    <xf numFmtId="49" fontId="3" fillId="0" borderId="32" xfId="0" applyNumberFormat="1" applyFont="1" applyBorder="1" applyAlignment="1">
      <alignment horizontal="center" vertical="center" shrinkToFit="1"/>
    </xf>
    <xf numFmtId="49" fontId="3" fillId="0" borderId="33" xfId="0" applyNumberFormat="1" applyFont="1" applyBorder="1" applyAlignment="1">
      <alignment horizontal="center" vertical="center" shrinkToFit="1"/>
    </xf>
    <xf numFmtId="49" fontId="4" fillId="0" borderId="33" xfId="0" applyNumberFormat="1" applyFont="1" applyBorder="1" applyAlignment="1">
      <alignment horizontal="center" vertical="center" shrinkToFit="1"/>
    </xf>
    <xf numFmtId="165" fontId="3" fillId="0" borderId="33" xfId="0" applyNumberFormat="1" applyFont="1" applyBorder="1" applyAlignment="1">
      <alignment horizontal="center" vertical="center"/>
    </xf>
    <xf numFmtId="165" fontId="3" fillId="0" borderId="34" xfId="0" applyNumberFormat="1" applyFont="1" applyBorder="1" applyAlignment="1">
      <alignment horizontal="center" vertical="center"/>
    </xf>
    <xf numFmtId="49" fontId="6" fillId="0" borderId="29" xfId="0" applyNumberFormat="1" applyFont="1" applyBorder="1" applyAlignment="1">
      <alignment horizontal="center" vertical="center" shrinkToFit="1"/>
    </xf>
    <xf numFmtId="165" fontId="6" fillId="0" borderId="30" xfId="0" applyNumberFormat="1" applyFont="1" applyBorder="1" applyAlignment="1">
      <alignment horizontal="center" vertical="center"/>
    </xf>
    <xf numFmtId="165" fontId="6" fillId="0" borderId="31" xfId="0" applyNumberFormat="1" applyFont="1" applyBorder="1" applyAlignment="1">
      <alignment horizontal="center" vertical="center"/>
    </xf>
    <xf numFmtId="49" fontId="3" fillId="0" borderId="29" xfId="0" applyNumberFormat="1" applyFont="1" applyBorder="1" applyAlignment="1">
      <alignment horizontal="center" vertical="center" shrinkToFit="1"/>
    </xf>
    <xf numFmtId="165" fontId="18" fillId="0" borderId="30" xfId="0" applyNumberFormat="1" applyFont="1" applyBorder="1" applyAlignment="1">
      <alignment horizontal="center" vertical="center"/>
    </xf>
    <xf numFmtId="165" fontId="18" fillId="0" borderId="31" xfId="0" applyNumberFormat="1" applyFont="1" applyBorder="1" applyAlignment="1">
      <alignment horizontal="center" vertical="center"/>
    </xf>
    <xf numFmtId="49" fontId="17" fillId="0" borderId="29" xfId="0" applyNumberFormat="1" applyFont="1" applyBorder="1" applyAlignment="1">
      <alignment horizontal="center" vertical="center" shrinkToFit="1"/>
    </xf>
    <xf numFmtId="49" fontId="17" fillId="0" borderId="30" xfId="0" applyNumberFormat="1" applyFont="1" applyBorder="1" applyAlignment="1">
      <alignment horizontal="center" vertical="center" shrinkToFit="1"/>
    </xf>
    <xf numFmtId="0" fontId="17" fillId="0" borderId="30" xfId="0" applyNumberFormat="1" applyFont="1" applyBorder="1" applyAlignment="1">
      <alignment horizontal="center" vertical="center"/>
    </xf>
    <xf numFmtId="165" fontId="17" fillId="0" borderId="30" xfId="0" applyNumberFormat="1" applyFont="1" applyBorder="1" applyAlignment="1">
      <alignment horizontal="center" vertical="center"/>
    </xf>
    <xf numFmtId="0" fontId="17" fillId="0" borderId="31"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30" xfId="0" applyNumberFormat="1" applyFont="1" applyBorder="1" applyAlignment="1">
      <alignment horizontal="center" vertical="center"/>
    </xf>
    <xf numFmtId="49" fontId="3" fillId="0" borderId="31" xfId="0" applyNumberFormat="1" applyFont="1" applyBorder="1" applyAlignment="1">
      <alignment horizontal="center" vertical="center"/>
    </xf>
    <xf numFmtId="49" fontId="3" fillId="0" borderId="40" xfId="0" applyNumberFormat="1" applyFont="1" applyBorder="1" applyAlignment="1">
      <alignment horizontal="center" vertical="center"/>
    </xf>
    <xf numFmtId="49" fontId="3" fillId="0" borderId="35" xfId="0" applyNumberFormat="1" applyFont="1" applyBorder="1" applyAlignment="1">
      <alignment horizontal="center" vertical="center" shrinkToFit="1"/>
    </xf>
    <xf numFmtId="49" fontId="3" fillId="0" borderId="36" xfId="0" applyNumberFormat="1" applyFont="1" applyBorder="1" applyAlignment="1">
      <alignment horizontal="center" vertical="center" shrinkToFit="1"/>
    </xf>
    <xf numFmtId="0" fontId="3" fillId="0" borderId="36" xfId="0" applyNumberFormat="1" applyFont="1" applyBorder="1" applyAlignment="1">
      <alignment horizontal="center" vertical="center"/>
    </xf>
    <xf numFmtId="0" fontId="3" fillId="0" borderId="37" xfId="0" applyNumberFormat="1" applyFont="1" applyBorder="1" applyAlignment="1">
      <alignment horizontal="center" vertical="center"/>
    </xf>
    <xf numFmtId="49" fontId="3" fillId="0" borderId="26" xfId="0" applyNumberFormat="1" applyFont="1" applyBorder="1" applyAlignment="1">
      <alignment horizontal="center" vertical="center" shrinkToFit="1"/>
    </xf>
    <xf numFmtId="49" fontId="3" fillId="0" borderId="41" xfId="0" applyNumberFormat="1" applyFont="1" applyBorder="1" applyAlignment="1">
      <alignment horizontal="center" vertical="center"/>
    </xf>
    <xf numFmtId="49" fontId="3" fillId="0" borderId="42" xfId="0" applyNumberFormat="1" applyFont="1" applyBorder="1" applyAlignment="1">
      <alignment horizontal="center" vertical="center"/>
    </xf>
    <xf numFmtId="0" fontId="3" fillId="0" borderId="30" xfId="0" applyNumberFormat="1" applyFont="1" applyBorder="1" applyAlignment="1">
      <alignment horizontal="right" vertical="center"/>
    </xf>
    <xf numFmtId="0" fontId="3" fillId="0" borderId="42" xfId="0" applyNumberFormat="1" applyFont="1" applyBorder="1" applyAlignment="1">
      <alignment horizontal="right" vertical="center"/>
    </xf>
    <xf numFmtId="49" fontId="3" fillId="0" borderId="27"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18" fillId="0" borderId="30" xfId="0" applyNumberFormat="1" applyFont="1" applyBorder="1" applyAlignment="1">
      <alignment horizontal="center" vertical="center" shrinkToFit="1"/>
    </xf>
    <xf numFmtId="49" fontId="18" fillId="0" borderId="29" xfId="0" applyNumberFormat="1" applyFont="1" applyBorder="1" applyAlignment="1">
      <alignment horizontal="center" vertical="center" shrinkToFit="1"/>
    </xf>
    <xf numFmtId="49" fontId="3" fillId="0" borderId="4" xfId="0" applyNumberFormat="1" applyFont="1" applyBorder="1" applyAlignment="1">
      <alignment horizontal="right" vertical="center"/>
    </xf>
    <xf numFmtId="49" fontId="3" fillId="0" borderId="3" xfId="0" applyNumberFormat="1" applyFont="1" applyBorder="1" applyAlignment="1">
      <alignment horizontal="right" vertical="center"/>
    </xf>
    <xf numFmtId="49" fontId="8" fillId="0" borderId="10" xfId="0" applyNumberFormat="1" applyFont="1" applyBorder="1" applyAlignment="1">
      <alignment horizontal="center" vertical="center"/>
    </xf>
    <xf numFmtId="49" fontId="8" fillId="0" borderId="4" xfId="0" applyNumberFormat="1" applyFont="1" applyBorder="1" applyAlignment="1">
      <alignment horizontal="center" vertical="center"/>
    </xf>
    <xf numFmtId="49" fontId="8" fillId="0" borderId="11" xfId="0" applyNumberFormat="1" applyFont="1" applyBorder="1" applyAlignment="1">
      <alignment horizontal="center" vertical="center"/>
    </xf>
    <xf numFmtId="49" fontId="8" fillId="0" borderId="8"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9" xfId="0" applyNumberFormat="1" applyFont="1" applyBorder="1" applyAlignment="1">
      <alignment horizontal="center" vertical="center"/>
    </xf>
    <xf numFmtId="0" fontId="3" fillId="0" borderId="31" xfId="0" applyNumberFormat="1" applyFont="1" applyBorder="1" applyAlignment="1">
      <alignment horizontal="right" vertical="center"/>
    </xf>
    <xf numFmtId="0" fontId="3" fillId="0" borderId="43" xfId="0" applyNumberFormat="1" applyFont="1" applyBorder="1" applyAlignment="1">
      <alignment horizontal="right" vertical="center"/>
    </xf>
    <xf numFmtId="49" fontId="3" fillId="0" borderId="21" xfId="0" applyNumberFormat="1" applyFont="1" applyBorder="1" applyAlignment="1">
      <alignment horizontal="center" vertical="center"/>
    </xf>
    <xf numFmtId="49" fontId="3" fillId="0" borderId="22" xfId="0" applyNumberFormat="1" applyFont="1" applyBorder="1" applyAlignment="1">
      <alignment horizontal="center" vertical="center"/>
    </xf>
    <xf numFmtId="49" fontId="3" fillId="0" borderId="19" xfId="0" applyNumberFormat="1" applyFont="1" applyBorder="1" applyAlignment="1">
      <alignment horizontal="center" vertical="center"/>
    </xf>
    <xf numFmtId="164" fontId="3" fillId="0" borderId="20" xfId="0" applyNumberFormat="1" applyFont="1" applyBorder="1" applyAlignment="1">
      <alignment horizontal="center" vertical="center"/>
    </xf>
    <xf numFmtId="164" fontId="3" fillId="0" borderId="21" xfId="0" applyNumberFormat="1" applyFont="1" applyBorder="1" applyAlignment="1">
      <alignment horizontal="center" vertical="center"/>
    </xf>
    <xf numFmtId="1" fontId="18" fillId="0" borderId="30" xfId="0" applyNumberFormat="1" applyFont="1" applyBorder="1" applyAlignment="1">
      <alignment horizontal="center" vertical="center"/>
    </xf>
    <xf numFmtId="1" fontId="18" fillId="0" borderId="31" xfId="0" applyNumberFormat="1" applyFont="1" applyBorder="1" applyAlignment="1">
      <alignment horizontal="center" vertical="center"/>
    </xf>
    <xf numFmtId="0" fontId="3" fillId="0" borderId="25" xfId="0" applyNumberFormat="1"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3</xdr:col>
      <xdr:colOff>28577</xdr:colOff>
      <xdr:row>43</xdr:row>
      <xdr:rowOff>28575</xdr:rowOff>
    </xdr:from>
    <xdr:to>
      <xdr:col>4</xdr:col>
      <xdr:colOff>529593</xdr:colOff>
      <xdr:row>52</xdr:row>
      <xdr:rowOff>9525</xdr:rowOff>
    </xdr:to>
    <xdr:pic>
      <xdr:nvPicPr>
        <xdr:cNvPr id="3" name="図 2" descr="http://www.horiba.com/uploads/tx_llproducts/F-71S_0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85977" y="7496175"/>
          <a:ext cx="1186816"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190501</xdr:colOff>
      <xdr:row>43</xdr:row>
      <xdr:rowOff>19050</xdr:rowOff>
    </xdr:from>
    <xdr:to>
      <xdr:col>8</xdr:col>
      <xdr:colOff>2976</xdr:colOff>
      <xdr:row>52</xdr:row>
      <xdr:rowOff>133350</xdr:rowOff>
    </xdr:to>
    <xdr:pic>
      <xdr:nvPicPr>
        <xdr:cNvPr id="5" name="図 4" descr="http://www.horiba.com/uploads/tx_llproducts/D-72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1" y="7486650"/>
          <a:ext cx="11809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174</xdr:row>
      <xdr:rowOff>180975</xdr:rowOff>
    </xdr:from>
    <xdr:to>
      <xdr:col>8</xdr:col>
      <xdr:colOff>533400</xdr:colOff>
      <xdr:row>182</xdr:row>
      <xdr:rowOff>85725</xdr:rowOff>
    </xdr:to>
    <xdr:pic>
      <xdr:nvPicPr>
        <xdr:cNvPr id="4" name="図 3" descr="pH計"/>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14800" y="32089725"/>
          <a:ext cx="19050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685799</xdr:colOff>
      <xdr:row>161</xdr:row>
      <xdr:rowOff>190499</xdr:rowOff>
    </xdr:from>
    <xdr:to>
      <xdr:col>8</xdr:col>
      <xdr:colOff>504824</xdr:colOff>
      <xdr:row>165</xdr:row>
      <xdr:rowOff>28574</xdr:rowOff>
    </xdr:to>
    <xdr:sp macro="" textlink="">
      <xdr:nvSpPr>
        <xdr:cNvPr id="61" name="テキスト ボックス 60"/>
        <xdr:cNvSpPr txBox="1"/>
      </xdr:nvSpPr>
      <xdr:spPr>
        <a:xfrm>
          <a:off x="3428999" y="29622749"/>
          <a:ext cx="2562225"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2</xdr:col>
      <xdr:colOff>76200</xdr:colOff>
      <xdr:row>161</xdr:row>
      <xdr:rowOff>114300</xdr:rowOff>
    </xdr:from>
    <xdr:to>
      <xdr:col>4</xdr:col>
      <xdr:colOff>257175</xdr:colOff>
      <xdr:row>176</xdr:row>
      <xdr:rowOff>85725</xdr:rowOff>
    </xdr:to>
    <xdr:grpSp>
      <xdr:nvGrpSpPr>
        <xdr:cNvPr id="64" name="グループ化 63"/>
        <xdr:cNvGrpSpPr/>
      </xdr:nvGrpSpPr>
      <xdr:grpSpPr>
        <a:xfrm>
          <a:off x="1447800" y="30880050"/>
          <a:ext cx="1552575" cy="2828925"/>
          <a:chOff x="2962275" y="29556075"/>
          <a:chExt cx="1552575" cy="2828925"/>
        </a:xfrm>
      </xdr:grpSpPr>
      <xdr:grpSp>
        <xdr:nvGrpSpPr>
          <xdr:cNvPr id="65" name="グループ化 64"/>
          <xdr:cNvGrpSpPr/>
        </xdr:nvGrpSpPr>
        <xdr:grpSpPr>
          <a:xfrm>
            <a:off x="3133725" y="30880051"/>
            <a:ext cx="1381125" cy="1504949"/>
            <a:chOff x="5695950" y="30822901"/>
            <a:chExt cx="1381125" cy="1504949"/>
          </a:xfrm>
        </xdr:grpSpPr>
        <xdr:sp macro="" textlink="">
          <xdr:nvSpPr>
            <xdr:cNvPr id="78"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80" name="グループ化 79"/>
            <xdr:cNvGrpSpPr/>
          </xdr:nvGrpSpPr>
          <xdr:grpSpPr>
            <a:xfrm>
              <a:off x="5724525" y="32232599"/>
              <a:ext cx="1304925" cy="74295"/>
              <a:chOff x="5724525" y="32232599"/>
              <a:chExt cx="1304925" cy="74295"/>
            </a:xfrm>
          </xdr:grpSpPr>
          <xdr:sp macro="" textlink="">
            <xdr:nvSpPr>
              <xdr:cNvPr id="90"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3"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81" name="グループ化 80"/>
            <xdr:cNvGrpSpPr/>
          </xdr:nvGrpSpPr>
          <xdr:grpSpPr>
            <a:xfrm>
              <a:off x="5724525" y="32146874"/>
              <a:ext cx="1304925" cy="74295"/>
              <a:chOff x="5724525" y="32232599"/>
              <a:chExt cx="1304925" cy="74295"/>
            </a:xfrm>
          </xdr:grpSpPr>
          <xdr:sp macro="" textlink="">
            <xdr:nvSpPr>
              <xdr:cNvPr id="83"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82"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66" name="グループ化 65"/>
          <xdr:cNvGrpSpPr/>
        </xdr:nvGrpSpPr>
        <xdr:grpSpPr>
          <a:xfrm>
            <a:off x="2962275" y="29556075"/>
            <a:ext cx="1171575" cy="2495550"/>
            <a:chOff x="2181225" y="30041850"/>
            <a:chExt cx="1171575" cy="2495550"/>
          </a:xfrm>
          <a:noFill/>
        </xdr:grpSpPr>
        <xdr:grpSp>
          <xdr:nvGrpSpPr>
            <xdr:cNvPr id="67" name="グループ化 66"/>
            <xdr:cNvGrpSpPr/>
          </xdr:nvGrpSpPr>
          <xdr:grpSpPr>
            <a:xfrm>
              <a:off x="2905125" y="30632400"/>
              <a:ext cx="447675" cy="1905000"/>
              <a:chOff x="2600325" y="29765625"/>
              <a:chExt cx="447675" cy="1905000"/>
            </a:xfrm>
            <a:grpFill/>
          </xdr:grpSpPr>
          <xdr:sp macro="" textlink="">
            <xdr:nvSpPr>
              <xdr:cNvPr id="69"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6"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7"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8"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5</xdr:col>
      <xdr:colOff>0</xdr:colOff>
      <xdr:row>165</xdr:row>
      <xdr:rowOff>171449</xdr:rowOff>
    </xdr:from>
    <xdr:to>
      <xdr:col>7</xdr:col>
      <xdr:colOff>276226</xdr:colOff>
      <xdr:row>167</xdr:row>
      <xdr:rowOff>180975</xdr:rowOff>
    </xdr:to>
    <xdr:sp macro="" textlink="">
      <xdr:nvSpPr>
        <xdr:cNvPr id="97" name="テキスト ボックス 96"/>
        <xdr:cNvSpPr txBox="1"/>
      </xdr:nvSpPr>
      <xdr:spPr>
        <a:xfrm>
          <a:off x="3429000" y="3036569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5</xdr:col>
      <xdr:colOff>0</xdr:colOff>
      <xdr:row>168</xdr:row>
      <xdr:rowOff>190499</xdr:rowOff>
    </xdr:from>
    <xdr:to>
      <xdr:col>7</xdr:col>
      <xdr:colOff>276226</xdr:colOff>
      <xdr:row>171</xdr:row>
      <xdr:rowOff>9525</xdr:rowOff>
    </xdr:to>
    <xdr:sp macro="" textlink="">
      <xdr:nvSpPr>
        <xdr:cNvPr id="98" name="テキスト ボックス 97"/>
        <xdr:cNvSpPr txBox="1"/>
      </xdr:nvSpPr>
      <xdr:spPr>
        <a:xfrm>
          <a:off x="3429000" y="309562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5</xdr:col>
      <xdr:colOff>0</xdr:colOff>
      <xdr:row>171</xdr:row>
      <xdr:rowOff>190499</xdr:rowOff>
    </xdr:from>
    <xdr:to>
      <xdr:col>7</xdr:col>
      <xdr:colOff>276226</xdr:colOff>
      <xdr:row>174</xdr:row>
      <xdr:rowOff>9525</xdr:rowOff>
    </xdr:to>
    <xdr:sp macro="" textlink="">
      <xdr:nvSpPr>
        <xdr:cNvPr id="99" name="テキスト ボックス 98"/>
        <xdr:cNvSpPr txBox="1"/>
      </xdr:nvSpPr>
      <xdr:spPr>
        <a:xfrm>
          <a:off x="3429000" y="315277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twoCellAnchor>
    <xdr:from>
      <xdr:col>3</xdr:col>
      <xdr:colOff>561975</xdr:colOff>
      <xdr:row>163</xdr:row>
      <xdr:rowOff>109537</xdr:rowOff>
    </xdr:from>
    <xdr:to>
      <xdr:col>4</xdr:col>
      <xdr:colOff>685799</xdr:colOff>
      <xdr:row>168</xdr:row>
      <xdr:rowOff>85725</xdr:rowOff>
    </xdr:to>
    <xdr:cxnSp macro="">
      <xdr:nvCxnSpPr>
        <xdr:cNvPr id="101" name="直線矢印コネクタ 100"/>
        <xdr:cNvCxnSpPr>
          <a:stCxn id="61" idx="1"/>
        </xdr:cNvCxnSpPr>
      </xdr:nvCxnSpPr>
      <xdr:spPr>
        <a:xfrm flipH="1">
          <a:off x="2619375" y="29922787"/>
          <a:ext cx="80962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166</xdr:row>
      <xdr:rowOff>176212</xdr:rowOff>
    </xdr:from>
    <xdr:to>
      <xdr:col>5</xdr:col>
      <xdr:colOff>0</xdr:colOff>
      <xdr:row>170</xdr:row>
      <xdr:rowOff>47625</xdr:rowOff>
    </xdr:to>
    <xdr:cxnSp macro="">
      <xdr:nvCxnSpPr>
        <xdr:cNvPr id="103" name="直線矢印コネクタ 102"/>
        <xdr:cNvCxnSpPr>
          <a:stCxn id="97" idx="1"/>
        </xdr:cNvCxnSpPr>
      </xdr:nvCxnSpPr>
      <xdr:spPr>
        <a:xfrm flipH="1">
          <a:off x="2419350" y="30560962"/>
          <a:ext cx="100965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170</xdr:row>
      <xdr:rowOff>4762</xdr:rowOff>
    </xdr:from>
    <xdr:to>
      <xdr:col>5</xdr:col>
      <xdr:colOff>0</xdr:colOff>
      <xdr:row>172</xdr:row>
      <xdr:rowOff>142875</xdr:rowOff>
    </xdr:to>
    <xdr:cxnSp macro="">
      <xdr:nvCxnSpPr>
        <xdr:cNvPr id="105" name="直線矢印コネクタ 104"/>
        <xdr:cNvCxnSpPr>
          <a:stCxn id="98" idx="1"/>
        </xdr:cNvCxnSpPr>
      </xdr:nvCxnSpPr>
      <xdr:spPr>
        <a:xfrm flipH="1">
          <a:off x="2400300" y="31151512"/>
          <a:ext cx="102870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590550</xdr:colOff>
      <xdr:row>173</xdr:row>
      <xdr:rowOff>4762</xdr:rowOff>
    </xdr:from>
    <xdr:to>
      <xdr:col>5</xdr:col>
      <xdr:colOff>0</xdr:colOff>
      <xdr:row>174</xdr:row>
      <xdr:rowOff>152400</xdr:rowOff>
    </xdr:to>
    <xdr:cxnSp macro="">
      <xdr:nvCxnSpPr>
        <xdr:cNvPr id="108" name="直線矢印コネクタ 107"/>
        <xdr:cNvCxnSpPr>
          <a:stCxn id="99" idx="1"/>
        </xdr:cNvCxnSpPr>
      </xdr:nvCxnSpPr>
      <xdr:spPr>
        <a:xfrm flipH="1">
          <a:off x="2647950" y="31723012"/>
          <a:ext cx="781050" cy="3381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368420</xdr:colOff>
      <xdr:row>59</xdr:row>
      <xdr:rowOff>53701</xdr:rowOff>
    </xdr:from>
    <xdr:to>
      <xdr:col>5</xdr:col>
      <xdr:colOff>476249</xdr:colOff>
      <xdr:row>70</xdr:row>
      <xdr:rowOff>113221</xdr:rowOff>
    </xdr:to>
    <xdr:pic>
      <xdr:nvPicPr>
        <xdr:cNvPr id="46" name="fullImg" descr="1060BK200 トールビーカー(目安目盛) ガラス IWAKI 0302809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4269" y="10809762"/>
          <a:ext cx="2156603" cy="21442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305520</xdr:colOff>
      <xdr:row>101</xdr:row>
      <xdr:rowOff>17972</xdr:rowOff>
    </xdr:from>
    <xdr:to>
      <xdr:col>5</xdr:col>
      <xdr:colOff>78002</xdr:colOff>
      <xdr:row>109</xdr:row>
      <xdr:rowOff>17971</xdr:rowOff>
    </xdr:to>
    <xdr:pic>
      <xdr:nvPicPr>
        <xdr:cNvPr id="47" name="図 46" descr="時計皿"/>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71369" y="18708538"/>
          <a:ext cx="1821256" cy="15096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89860</xdr:colOff>
      <xdr:row>200</xdr:row>
      <xdr:rowOff>17972</xdr:rowOff>
    </xdr:from>
    <xdr:to>
      <xdr:col>6</xdr:col>
      <xdr:colOff>108213</xdr:colOff>
      <xdr:row>219</xdr:row>
      <xdr:rowOff>107829</xdr:rowOff>
    </xdr:to>
    <xdr:pic>
      <xdr:nvPicPr>
        <xdr:cNvPr id="5" name="図 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96016" y="37812453"/>
          <a:ext cx="1824508" cy="3675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579766</xdr:colOff>
      <xdr:row>206</xdr:row>
      <xdr:rowOff>80873</xdr:rowOff>
    </xdr:from>
    <xdr:to>
      <xdr:col>8</xdr:col>
      <xdr:colOff>486493</xdr:colOff>
      <xdr:row>209</xdr:row>
      <xdr:rowOff>114839</xdr:rowOff>
    </xdr:to>
    <xdr:sp macro="" textlink="">
      <xdr:nvSpPr>
        <xdr:cNvPr id="7" name="テキスト ボックス 6"/>
        <xdr:cNvSpPr txBox="1"/>
      </xdr:nvSpPr>
      <xdr:spPr>
        <a:xfrm>
          <a:off x="2987974" y="39007571"/>
          <a:ext cx="2314934"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4</xdr:col>
      <xdr:colOff>458278</xdr:colOff>
      <xdr:row>209</xdr:row>
      <xdr:rowOff>143774</xdr:rowOff>
    </xdr:from>
    <xdr:to>
      <xdr:col>7</xdr:col>
      <xdr:colOff>57330</xdr:colOff>
      <xdr:row>211</xdr:row>
      <xdr:rowOff>156894</xdr:rowOff>
    </xdr:to>
    <xdr:sp macro="" textlink="">
      <xdr:nvSpPr>
        <xdr:cNvPr id="8" name="テキスト ボックス 7"/>
        <xdr:cNvSpPr txBox="1"/>
      </xdr:nvSpPr>
      <xdr:spPr>
        <a:xfrm>
          <a:off x="3189976" y="38845826"/>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4</xdr:col>
      <xdr:colOff>512193</xdr:colOff>
      <xdr:row>212</xdr:row>
      <xdr:rowOff>116816</xdr:rowOff>
    </xdr:from>
    <xdr:to>
      <xdr:col>7</xdr:col>
      <xdr:colOff>111245</xdr:colOff>
      <xdr:row>214</xdr:row>
      <xdr:rowOff>129936</xdr:rowOff>
    </xdr:to>
    <xdr:sp macro="" textlink="">
      <xdr:nvSpPr>
        <xdr:cNvPr id="9" name="テキスト ボックス 8"/>
        <xdr:cNvSpPr txBox="1"/>
      </xdr:nvSpPr>
      <xdr:spPr>
        <a:xfrm>
          <a:off x="3243891" y="39384976"/>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4</xdr:col>
      <xdr:colOff>530166</xdr:colOff>
      <xdr:row>216</xdr:row>
      <xdr:rowOff>53915</xdr:rowOff>
    </xdr:from>
    <xdr:to>
      <xdr:col>7</xdr:col>
      <xdr:colOff>129218</xdr:colOff>
      <xdr:row>218</xdr:row>
      <xdr:rowOff>67036</xdr:rowOff>
    </xdr:to>
    <xdr:sp macro="" textlink="">
      <xdr:nvSpPr>
        <xdr:cNvPr id="10" name="テキスト ボックス 9"/>
        <xdr:cNvSpPr txBox="1"/>
      </xdr:nvSpPr>
      <xdr:spPr>
        <a:xfrm>
          <a:off x="3261864" y="40076887"/>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628650</xdr:colOff>
      <xdr:row>69</xdr:row>
      <xdr:rowOff>27463</xdr:rowOff>
    </xdr:from>
    <xdr:ext cx="1487750" cy="321435"/>
    <mc:AlternateContent xmlns:mc="http://schemas.openxmlformats.org/markup-compatibility/2006" xmlns:a14="http://schemas.microsoft.com/office/drawing/2010/main">
      <mc:Choice Requires="a14">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m:rPr>
                            <m:sty m:val="p"/>
                          </m:rPr>
                          <a:rPr kumimoji="1" lang="en-US" altLang="ja-JP" sz="1100" b="0" i="1">
                            <a:latin typeface="Cambria Math" panose="02040503050406030204" pitchFamily="18" charset="0"/>
                          </a:rPr>
                          <m:t>a</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𝑚𝑏</m:t>
                        </m:r>
                      </m:num>
                      <m:den>
                        <m:r>
                          <a:rPr kumimoji="1" lang="en-US" altLang="ja-JP" sz="1100" b="0" i="1">
                            <a:latin typeface="Cambria Math" panose="02040503050406030204" pitchFamily="18" charset="0"/>
                          </a:rPr>
                          <m:t>𝑚𝑏</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𝑚𝑐</m:t>
                        </m:r>
                      </m:den>
                    </m:f>
                    <m:r>
                      <a:rPr kumimoji="1" lang="en-US" altLang="ja-JP" sz="110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100</m:t>
                    </m:r>
                  </m:oMath>
                </m:oMathPara>
              </a14:m>
              <a:endParaRPr kumimoji="1" lang="ja-JP" altLang="en-US" sz="1100"/>
            </a:p>
          </xdr:txBody>
        </xdr:sp>
      </mc:Choice>
      <mc:Fallback xmlns="">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kumimoji="1" lang="en-US" altLang="ja-JP" sz="1100" b="0" i="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𝑚a−𝑚𝑏)/(𝑚𝑏−𝑚𝑐)</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100</a:t>
              </a:r>
              <a:endParaRPr kumimoji="1" lang="ja-JP" altLang="en-US"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0</xdr:col>
      <xdr:colOff>50768</xdr:colOff>
      <xdr:row>47</xdr:row>
      <xdr:rowOff>75088</xdr:rowOff>
    </xdr:from>
    <xdr:ext cx="1059906" cy="318421"/>
    <mc:AlternateContent xmlns:mc="http://schemas.openxmlformats.org/markup-compatibility/2006" xmlns:a14="http://schemas.microsoft.com/office/drawing/2010/main">
      <mc:Choice Requires="a14">
        <xdr:sp macro="" textlink="">
          <xdr:nvSpPr>
            <xdr:cNvPr id="2" name="テキスト ボックス 1"/>
            <xdr:cNvSpPr txBox="1"/>
          </xdr:nvSpPr>
          <xdr:spPr>
            <a:xfrm>
              <a:off x="50768" y="9257188"/>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𝑚𝑠</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num>
                      <m:den>
                        <m:r>
                          <a:rPr kumimoji="1" lang="en-US" altLang="ja-JP" sz="1100" b="0" i="1">
                            <a:latin typeface="Cambria Math" panose="02040503050406030204" pitchFamily="18" charset="0"/>
                          </a:rPr>
                          <m:t>1+</m:t>
                        </m:r>
                        <m:r>
                          <a:rPr kumimoji="1" lang="en-US" altLang="ja-JP" sz="1100" b="0" i="1">
                            <a:latin typeface="Cambria Math" panose="02040503050406030204" pitchFamily="18" charset="0"/>
                          </a:rPr>
                          <m:t>𝑤</m:t>
                        </m:r>
                        <m:r>
                          <a:rPr kumimoji="1" lang="en-US" altLang="ja-JP" sz="1100" b="0" i="1">
                            <a:latin typeface="Cambria Math" panose="02040503050406030204" pitchFamily="18" charset="0"/>
                          </a:rPr>
                          <m:t>/100</m:t>
                        </m:r>
                      </m:den>
                    </m:f>
                  </m:oMath>
                </m:oMathPara>
              </a14:m>
              <a:endParaRPr kumimoji="1" lang="ja-JP" altLang="en-US" sz="1100"/>
            </a:p>
          </xdr:txBody>
        </xdr:sp>
      </mc:Choice>
      <mc:Fallback xmlns="">
        <xdr:sp macro="" textlink="">
          <xdr:nvSpPr>
            <xdr:cNvPr id="2" name="テキスト ボックス 1"/>
            <xdr:cNvSpPr txBox="1"/>
          </xdr:nvSpPr>
          <xdr:spPr>
            <a:xfrm>
              <a:off x="50768" y="9257188"/>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en-US" altLang="ja-JP" sz="1100" b="0" i="0">
                  <a:latin typeface="Cambria Math" panose="02040503050406030204" pitchFamily="18" charset="0"/>
                </a:rPr>
                <a:t>𝑚𝑠</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𝑚/(1+𝑤/100)</a:t>
              </a:r>
              <a:endParaRPr kumimoji="1" lang="ja-JP" altLang="en-US" sz="1100"/>
            </a:p>
          </xdr:txBody>
        </xdr:sp>
      </mc:Fallback>
    </mc:AlternateContent>
    <xdr:clientData/>
  </xdr:oneCellAnchor>
  <xdr:oneCellAnchor>
    <xdr:from>
      <xdr:col>0</xdr:col>
      <xdr:colOff>0</xdr:colOff>
      <xdr:row>49</xdr:row>
      <xdr:rowOff>160813</xdr:rowOff>
    </xdr:from>
    <xdr:ext cx="1437381" cy="316946"/>
    <mc:AlternateContent xmlns:mc="http://schemas.openxmlformats.org/markup-compatibility/2006" xmlns:a14="http://schemas.microsoft.com/office/drawing/2010/main">
      <mc:Choice Requires="a14">
        <xdr:sp macro="" textlink="">
          <xdr:nvSpPr>
            <xdr:cNvPr id="4" name="テキスト ボックス 3"/>
            <xdr:cNvSpPr txBox="1"/>
          </xdr:nvSpPr>
          <xdr:spPr>
            <a:xfrm>
              <a:off x="0" y="9723913"/>
              <a:ext cx="1437381"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𝑅𝑤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𝑚𝑠</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𝑉𝑤</m:t>
                        </m:r>
                        <m:r>
                          <a:rPr kumimoji="1" lang="ja-JP" altLang="en-US" sz="1100" b="0" i="1">
                            <a:latin typeface="Cambria Math" panose="02040503050406030204" pitchFamily="18" charset="0"/>
                          </a:rPr>
                          <m:t>𝜌</m:t>
                        </m:r>
                        <m:r>
                          <a:rPr kumimoji="1" lang="en-US" altLang="ja-JP" sz="1100" b="0" i="1">
                            <a:latin typeface="Cambria Math" panose="02040503050406030204" pitchFamily="18" charset="0"/>
                          </a:rPr>
                          <m:t>𝑤</m:t>
                        </m:r>
                      </m:num>
                      <m:den>
                        <m:r>
                          <a:rPr kumimoji="1" lang="en-US" altLang="ja-JP" sz="1100" b="0" i="1">
                            <a:latin typeface="Cambria Math" panose="02040503050406030204" pitchFamily="18" charset="0"/>
                          </a:rPr>
                          <m:t>𝑚𝑠</m:t>
                        </m:r>
                      </m:den>
                    </m:f>
                  </m:oMath>
                </m:oMathPara>
              </a14:m>
              <a:endParaRPr kumimoji="1" lang="ja-JP" altLang="en-US" sz="1100"/>
            </a:p>
          </xdr:txBody>
        </xdr:sp>
      </mc:Choice>
      <mc:Fallback xmlns="">
        <xdr:sp macro="" textlink="">
          <xdr:nvSpPr>
            <xdr:cNvPr id="4" name="テキスト ボックス 3"/>
            <xdr:cNvSpPr txBox="1"/>
          </xdr:nvSpPr>
          <xdr:spPr>
            <a:xfrm>
              <a:off x="0" y="9723913"/>
              <a:ext cx="1437381"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en-US" altLang="ja-JP" sz="1100" b="0" i="0">
                  <a:latin typeface="Cambria Math" panose="02040503050406030204" pitchFamily="18" charset="0"/>
                </a:rPr>
                <a:t>𝑅𝑤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𝑚−𝑚𝑠+𝑉𝑤</a:t>
              </a:r>
              <a:r>
                <a:rPr kumimoji="1" lang="ja-JP" altLang="en-US" sz="1100" b="0" i="0">
                  <a:latin typeface="Cambria Math" panose="02040503050406030204" pitchFamily="18" charset="0"/>
                </a:rPr>
                <a:t>𝜌</a:t>
              </a:r>
              <a:r>
                <a:rPr kumimoji="1" lang="en-US" altLang="ja-JP" sz="1100" b="0" i="0">
                  <a:latin typeface="Cambria Math" panose="02040503050406030204" pitchFamily="18" charset="0"/>
                </a:rPr>
                <a:t>𝑤)/𝑚𝑠</a:t>
              </a:r>
              <a:endParaRPr kumimoji="1" lang="ja-JP" altLang="en-US" sz="1100"/>
            </a:p>
          </xdr:txBody>
        </xdr:sp>
      </mc:Fallback>
    </mc:AlternateContent>
    <xdr:clientData/>
  </xdr:oneCellAnchor>
  <xdr:oneCellAnchor>
    <xdr:from>
      <xdr:col>9</xdr:col>
      <xdr:colOff>76200</xdr:colOff>
      <xdr:row>50</xdr:row>
      <xdr:rowOff>76200</xdr:rowOff>
    </xdr:from>
    <xdr:ext cx="1581150" cy="172227"/>
    <mc:AlternateContent xmlns:mc="http://schemas.openxmlformats.org/markup-compatibility/2006" xmlns:a14="http://schemas.microsoft.com/office/drawing/2010/main">
      <mc:Choice Requires="a14">
        <xdr:sp macro="" textlink="">
          <xdr:nvSpPr>
            <xdr:cNvPr id="5" name="テキスト ボックス 4"/>
            <xdr:cNvSpPr txBox="1"/>
          </xdr:nvSpPr>
          <xdr:spPr>
            <a:xfrm>
              <a:off x="1533525" y="9829800"/>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kumimoji="1" lang="ja-JP" altLang="en-US" sz="1100" i="1">
                      <a:latin typeface="Cambria Math" panose="02040503050406030204" pitchFamily="18" charset="0"/>
                    </a:rPr>
                    <m:t>𝜌</m:t>
                  </m:r>
                  <m:r>
                    <m:rPr>
                      <m:sty m:val="p"/>
                    </m:rPr>
                    <a:rPr kumimoji="1" lang="en-US" altLang="ja-JP" sz="1100" i="1">
                      <a:latin typeface="Cambria Math" panose="02040503050406030204" pitchFamily="18" charset="0"/>
                    </a:rPr>
                    <m:t>w</m:t>
                  </m:r>
                </m:oMath>
              </a14:m>
              <a:r>
                <a:rPr kumimoji="1" lang="en-US" altLang="ja-JP" sz="1100"/>
                <a:t>= Water density=1.0</a:t>
              </a:r>
              <a:endParaRPr kumimoji="1" lang="ja-JP" altLang="en-US" sz="1100"/>
            </a:p>
          </xdr:txBody>
        </xdr:sp>
      </mc:Choice>
      <mc:Fallback xmlns="">
        <xdr:sp macro="" textlink="">
          <xdr:nvSpPr>
            <xdr:cNvPr id="5" name="テキスト ボックス 4"/>
            <xdr:cNvSpPr txBox="1"/>
          </xdr:nvSpPr>
          <xdr:spPr>
            <a:xfrm>
              <a:off x="1533525" y="9829800"/>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kumimoji="1" lang="ja-JP" altLang="en-US" sz="1100" i="0">
                  <a:latin typeface="Cambria Math" panose="02040503050406030204" pitchFamily="18" charset="0"/>
                </a:rPr>
                <a:t>𝜌</a:t>
              </a:r>
              <a:r>
                <a:rPr kumimoji="1" lang="en-US" altLang="ja-JP" sz="1100" i="0">
                  <a:latin typeface="Cambria Math" panose="02040503050406030204" pitchFamily="18" charset="0"/>
                </a:rPr>
                <a:t>w</a:t>
              </a:r>
              <a:r>
                <a:rPr kumimoji="1" lang="en-US" altLang="ja-JP" sz="1100"/>
                <a:t>= Water density=1.0</a:t>
              </a:r>
              <a:endParaRPr kumimoji="1" lang="ja-JP" alt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9"/>
  <sheetViews>
    <sheetView topLeftCell="A184" zoomScaleNormal="100" workbookViewId="0">
      <selection activeCell="C188" sqref="C188:C189"/>
    </sheetView>
  </sheetViews>
  <sheetFormatPr defaultColWidth="9" defaultRowHeight="15"/>
  <cols>
    <col min="1" max="16384" width="9" style="1"/>
  </cols>
  <sheetData>
    <row r="1" spans="1:9">
      <c r="A1" s="48" t="s">
        <v>331</v>
      </c>
      <c r="B1" s="48"/>
      <c r="C1" s="48"/>
      <c r="D1" s="48"/>
      <c r="E1" s="48"/>
      <c r="F1" s="48"/>
      <c r="G1" s="48"/>
      <c r="H1" s="48"/>
      <c r="I1" s="48"/>
    </row>
    <row r="2" spans="1:9">
      <c r="A2" s="48"/>
      <c r="B2" s="48"/>
      <c r="C2" s="48"/>
      <c r="D2" s="48"/>
      <c r="E2" s="48"/>
      <c r="F2" s="48"/>
      <c r="G2" s="48"/>
      <c r="H2" s="48"/>
      <c r="I2" s="48"/>
    </row>
    <row r="3" spans="1:9">
      <c r="A3" s="48" t="s">
        <v>8</v>
      </c>
      <c r="B3" s="48"/>
      <c r="C3" s="48"/>
      <c r="D3" s="48"/>
      <c r="E3" s="48"/>
      <c r="F3" s="48"/>
      <c r="G3" s="48"/>
      <c r="H3" s="48"/>
      <c r="I3" s="48"/>
    </row>
    <row r="4" spans="1:9">
      <c r="A4" s="4"/>
      <c r="B4" s="4"/>
      <c r="C4" s="4"/>
      <c r="D4" s="4"/>
      <c r="E4" s="4"/>
      <c r="F4" s="4"/>
      <c r="G4" s="4"/>
      <c r="H4" s="4"/>
      <c r="I4" s="4"/>
    </row>
    <row r="5" spans="1:9">
      <c r="A5" s="2" t="s">
        <v>0</v>
      </c>
      <c r="B5" s="3" t="s">
        <v>1</v>
      </c>
    </row>
    <row r="6" spans="1:9">
      <c r="B6" s="2" t="s">
        <v>2</v>
      </c>
      <c r="C6" s="1" t="s">
        <v>3</v>
      </c>
    </row>
    <row r="7" spans="1:9">
      <c r="C7" s="1" t="s">
        <v>4</v>
      </c>
    </row>
    <row r="8" spans="1:9">
      <c r="B8" s="2" t="s">
        <v>5</v>
      </c>
      <c r="C8" s="1" t="s">
        <v>6</v>
      </c>
    </row>
    <row r="9" spans="1:9">
      <c r="C9" s="1" t="s">
        <v>35</v>
      </c>
    </row>
    <row r="10" spans="1:9">
      <c r="B10" s="2" t="s">
        <v>7</v>
      </c>
      <c r="C10" s="1" t="s">
        <v>38</v>
      </c>
    </row>
    <row r="11" spans="1:9">
      <c r="B11" s="2"/>
      <c r="C11" s="34" t="s">
        <v>311</v>
      </c>
      <c r="D11" s="34"/>
      <c r="E11" s="34"/>
      <c r="F11" s="34"/>
      <c r="G11" s="34"/>
      <c r="H11" s="34"/>
      <c r="I11" s="34"/>
    </row>
    <row r="12" spans="1:9">
      <c r="C12" s="34"/>
      <c r="D12" s="34"/>
      <c r="E12" s="34"/>
      <c r="F12" s="34"/>
      <c r="G12" s="34"/>
      <c r="H12" s="34"/>
      <c r="I12" s="34"/>
    </row>
    <row r="13" spans="1:9">
      <c r="C13" s="34"/>
      <c r="D13" s="34"/>
      <c r="E13" s="34"/>
      <c r="F13" s="34"/>
      <c r="G13" s="34"/>
      <c r="H13" s="34"/>
      <c r="I13" s="34"/>
    </row>
    <row r="15" spans="1:9">
      <c r="B15" s="1" t="s">
        <v>9</v>
      </c>
    </row>
    <row r="16" spans="1:9">
      <c r="B16" s="2" t="s">
        <v>2</v>
      </c>
      <c r="C16" s="34" t="s">
        <v>10</v>
      </c>
      <c r="D16" s="34"/>
      <c r="E16" s="34"/>
      <c r="F16" s="34"/>
      <c r="G16" s="34"/>
      <c r="H16" s="34"/>
      <c r="I16" s="34"/>
    </row>
    <row r="17" spans="1:9">
      <c r="C17" s="34"/>
      <c r="D17" s="34"/>
      <c r="E17" s="34"/>
      <c r="F17" s="34"/>
      <c r="G17" s="34"/>
      <c r="H17" s="34"/>
      <c r="I17" s="34"/>
    </row>
    <row r="18" spans="1:9">
      <c r="B18" s="2" t="s">
        <v>5</v>
      </c>
      <c r="C18" s="1" t="s">
        <v>11</v>
      </c>
    </row>
    <row r="19" spans="1:9">
      <c r="B19" s="2" t="s">
        <v>7</v>
      </c>
      <c r="C19" s="1" t="s">
        <v>12</v>
      </c>
    </row>
    <row r="20" spans="1:9" ht="18">
      <c r="B20" s="2"/>
      <c r="C20" s="48" t="s">
        <v>109</v>
      </c>
      <c r="D20" s="48"/>
      <c r="E20" s="48"/>
      <c r="F20" s="48"/>
      <c r="G20" s="48"/>
      <c r="H20" s="48"/>
      <c r="I20" s="48"/>
    </row>
    <row r="22" spans="1:9">
      <c r="A22" s="2" t="s">
        <v>13</v>
      </c>
      <c r="B22" s="3" t="s">
        <v>14</v>
      </c>
    </row>
    <row r="23" spans="1:9">
      <c r="B23" s="2" t="s">
        <v>15</v>
      </c>
      <c r="C23" s="1" t="s">
        <v>16</v>
      </c>
    </row>
    <row r="24" spans="1:9">
      <c r="C24" s="2" t="s">
        <v>18</v>
      </c>
      <c r="D24" s="1" t="s">
        <v>17</v>
      </c>
    </row>
    <row r="25" spans="1:9">
      <c r="D25" s="1" t="s">
        <v>19</v>
      </c>
    </row>
    <row r="26" spans="1:9">
      <c r="C26" s="2" t="s">
        <v>20</v>
      </c>
      <c r="D26" s="1" t="s">
        <v>21</v>
      </c>
    </row>
    <row r="27" spans="1:9">
      <c r="D27" s="1" t="s">
        <v>22</v>
      </c>
    </row>
    <row r="28" spans="1:9">
      <c r="C28" s="2" t="s">
        <v>23</v>
      </c>
      <c r="D28" s="1" t="s">
        <v>24</v>
      </c>
    </row>
    <row r="29" spans="1:9">
      <c r="D29" s="1" t="s">
        <v>25</v>
      </c>
    </row>
    <row r="30" spans="1:9">
      <c r="C30" s="2" t="s">
        <v>26</v>
      </c>
      <c r="D30" s="1" t="s">
        <v>27</v>
      </c>
    </row>
    <row r="31" spans="1:9">
      <c r="D31" s="1" t="s">
        <v>28</v>
      </c>
    </row>
    <row r="32" spans="1:9">
      <c r="D32" s="1" t="s">
        <v>29</v>
      </c>
    </row>
    <row r="33" spans="2:10">
      <c r="D33" s="1" t="s">
        <v>30</v>
      </c>
    </row>
    <row r="34" spans="2:10">
      <c r="D34" s="1" t="s">
        <v>31</v>
      </c>
    </row>
    <row r="35" spans="2:10">
      <c r="D35" s="1" t="s">
        <v>32</v>
      </c>
      <c r="J35" s="6"/>
    </row>
    <row r="36" spans="2:10">
      <c r="B36" s="2" t="s">
        <v>75</v>
      </c>
      <c r="C36" s="1" t="s">
        <v>76</v>
      </c>
      <c r="J36" s="6"/>
    </row>
    <row r="37" spans="2:10">
      <c r="C37" s="2" t="s">
        <v>18</v>
      </c>
      <c r="D37" s="1" t="s">
        <v>77</v>
      </c>
      <c r="J37" s="6"/>
    </row>
    <row r="38" spans="2:10">
      <c r="C38" s="2" t="s">
        <v>20</v>
      </c>
      <c r="D38" s="1" t="s">
        <v>78</v>
      </c>
      <c r="J38" s="6"/>
    </row>
    <row r="39" spans="2:10">
      <c r="C39" s="2"/>
      <c r="D39" s="1" t="s">
        <v>79</v>
      </c>
      <c r="J39" s="6"/>
    </row>
    <row r="41" spans="2:10">
      <c r="B41" s="1" t="s">
        <v>110</v>
      </c>
    </row>
    <row r="42" spans="2:10">
      <c r="B42" s="2" t="s">
        <v>15</v>
      </c>
    </row>
    <row r="43" spans="2:10">
      <c r="C43" s="2" t="s">
        <v>41</v>
      </c>
      <c r="D43" s="1" t="s">
        <v>44</v>
      </c>
    </row>
    <row r="45" spans="2:10">
      <c r="J45" s="6"/>
    </row>
    <row r="54" spans="2:9">
      <c r="D54" s="1" t="s">
        <v>39</v>
      </c>
      <c r="G54" s="1" t="s">
        <v>40</v>
      </c>
    </row>
    <row r="55" spans="2:9">
      <c r="C55" s="2" t="s">
        <v>43</v>
      </c>
      <c r="D55" s="1" t="s">
        <v>45</v>
      </c>
    </row>
    <row r="56" spans="2:9">
      <c r="D56" s="1" t="s">
        <v>69</v>
      </c>
    </row>
    <row r="58" spans="2:9" ht="15" customHeight="1">
      <c r="B58" s="2" t="s">
        <v>68</v>
      </c>
      <c r="C58" s="2" t="s">
        <v>41</v>
      </c>
      <c r="D58" s="34" t="s">
        <v>83</v>
      </c>
      <c r="E58" s="34"/>
      <c r="F58" s="34"/>
      <c r="G58" s="34"/>
      <c r="H58" s="34"/>
      <c r="I58" s="34"/>
    </row>
    <row r="59" spans="2:9">
      <c r="C59" s="2"/>
      <c r="D59" s="34"/>
      <c r="E59" s="34"/>
      <c r="F59" s="34"/>
      <c r="G59" s="34"/>
      <c r="H59" s="34"/>
      <c r="I59" s="34"/>
    </row>
    <row r="60" spans="2:9">
      <c r="C60" s="2"/>
      <c r="D60" s="34"/>
      <c r="E60" s="34"/>
      <c r="F60" s="34"/>
      <c r="G60" s="34"/>
      <c r="H60" s="34"/>
      <c r="I60" s="34"/>
    </row>
    <row r="62" spans="2:9" ht="15.75" thickBot="1">
      <c r="C62" s="5" t="s">
        <v>46</v>
      </c>
      <c r="D62" s="5" t="s">
        <v>70</v>
      </c>
      <c r="E62" s="5"/>
      <c r="F62" s="5"/>
      <c r="G62" s="5"/>
      <c r="H62" s="5"/>
      <c r="I62" s="5"/>
    </row>
    <row r="63" spans="2:9" ht="15.75" thickTop="1">
      <c r="C63" s="49" t="s">
        <v>47</v>
      </c>
      <c r="D63" s="49"/>
      <c r="E63" s="50" t="s">
        <v>49</v>
      </c>
      <c r="F63" s="49"/>
      <c r="G63" s="51"/>
      <c r="H63" s="49" t="s">
        <v>51</v>
      </c>
      <c r="I63" s="49"/>
    </row>
    <row r="64" spans="2:9">
      <c r="C64" s="37" t="s">
        <v>48</v>
      </c>
      <c r="D64" s="37"/>
      <c r="E64" s="43" t="s">
        <v>50</v>
      </c>
      <c r="F64" s="37"/>
      <c r="G64" s="44"/>
      <c r="H64" s="37" t="s">
        <v>52</v>
      </c>
      <c r="I64" s="37"/>
    </row>
    <row r="65" spans="1:11">
      <c r="C65" s="39" t="s">
        <v>53</v>
      </c>
      <c r="D65" s="39"/>
      <c r="E65" s="38" t="s">
        <v>56</v>
      </c>
      <c r="F65" s="39"/>
      <c r="G65" s="40"/>
      <c r="H65" s="39" t="s">
        <v>59</v>
      </c>
      <c r="I65" s="39"/>
    </row>
    <row r="66" spans="1:11">
      <c r="C66" s="36" t="s">
        <v>54</v>
      </c>
      <c r="D66" s="36"/>
      <c r="E66" s="41" t="s">
        <v>57</v>
      </c>
      <c r="F66" s="36"/>
      <c r="G66" s="42"/>
      <c r="H66" s="36" t="s">
        <v>60</v>
      </c>
      <c r="I66" s="36"/>
    </row>
    <row r="67" spans="1:11">
      <c r="C67" s="37" t="s">
        <v>55</v>
      </c>
      <c r="D67" s="37"/>
      <c r="E67" s="43" t="s">
        <v>58</v>
      </c>
      <c r="F67" s="37"/>
      <c r="G67" s="44"/>
      <c r="H67" s="37" t="s">
        <v>61</v>
      </c>
      <c r="I67" s="37"/>
    </row>
    <row r="69" spans="1:11">
      <c r="A69" s="2" t="s">
        <v>33</v>
      </c>
      <c r="B69" s="3" t="s">
        <v>34</v>
      </c>
      <c r="C69" s="3"/>
    </row>
    <row r="70" spans="1:11">
      <c r="C70" s="2" t="s">
        <v>18</v>
      </c>
      <c r="D70" s="34" t="s">
        <v>326</v>
      </c>
      <c r="E70" s="34"/>
      <c r="F70" s="34"/>
      <c r="G70" s="34"/>
      <c r="H70" s="34"/>
      <c r="I70" s="34"/>
    </row>
    <row r="71" spans="1:11">
      <c r="D71" s="34"/>
      <c r="E71" s="34"/>
      <c r="F71" s="34"/>
      <c r="G71" s="34"/>
      <c r="H71" s="34"/>
      <c r="I71" s="34"/>
      <c r="K71" s="6"/>
    </row>
    <row r="72" spans="1:11">
      <c r="D72" s="34"/>
      <c r="E72" s="34"/>
      <c r="F72" s="34"/>
      <c r="G72" s="34"/>
      <c r="H72" s="34"/>
      <c r="I72" s="34"/>
    </row>
    <row r="73" spans="1:11">
      <c r="D73" s="52" t="s">
        <v>62</v>
      </c>
      <c r="E73" s="52"/>
      <c r="F73" s="52"/>
      <c r="G73" s="52"/>
      <c r="H73" s="52"/>
      <c r="I73" s="52"/>
    </row>
    <row r="74" spans="1:11">
      <c r="D74" s="52"/>
      <c r="E74" s="52"/>
      <c r="F74" s="52"/>
      <c r="G74" s="52"/>
      <c r="H74" s="52"/>
      <c r="I74" s="52"/>
    </row>
    <row r="75" spans="1:11">
      <c r="D75" s="35" t="s">
        <v>63</v>
      </c>
      <c r="E75" s="35"/>
      <c r="F75" s="35"/>
      <c r="G75" s="35"/>
      <c r="H75" s="35"/>
      <c r="I75" s="35"/>
    </row>
    <row r="76" spans="1:11">
      <c r="C76" s="2" t="s">
        <v>20</v>
      </c>
      <c r="D76" s="34" t="s">
        <v>36</v>
      </c>
      <c r="E76" s="34"/>
      <c r="F76" s="34"/>
      <c r="G76" s="34"/>
      <c r="H76" s="34"/>
      <c r="I76" s="34"/>
    </row>
    <row r="77" spans="1:11">
      <c r="D77" s="34"/>
      <c r="E77" s="34"/>
      <c r="F77" s="34"/>
      <c r="G77" s="34"/>
      <c r="H77" s="34"/>
      <c r="I77" s="34"/>
    </row>
    <row r="78" spans="1:11">
      <c r="C78" s="2" t="s">
        <v>23</v>
      </c>
      <c r="D78" s="34" t="s">
        <v>37</v>
      </c>
      <c r="E78" s="34"/>
      <c r="F78" s="34"/>
      <c r="G78" s="34"/>
      <c r="H78" s="34"/>
      <c r="I78" s="34"/>
    </row>
    <row r="79" spans="1:11">
      <c r="D79" s="34"/>
      <c r="E79" s="34"/>
      <c r="F79" s="34"/>
      <c r="G79" s="34"/>
      <c r="H79" s="34"/>
      <c r="I79" s="34"/>
    </row>
    <row r="80" spans="1:11">
      <c r="D80" s="34"/>
      <c r="E80" s="34"/>
      <c r="F80" s="34"/>
      <c r="G80" s="34"/>
      <c r="H80" s="34"/>
      <c r="I80" s="34"/>
    </row>
    <row r="81" spans="1:9">
      <c r="C81" s="2" t="s">
        <v>26</v>
      </c>
      <c r="D81" s="34" t="s">
        <v>74</v>
      </c>
      <c r="E81" s="34"/>
      <c r="F81" s="34"/>
      <c r="G81" s="34"/>
      <c r="H81" s="34"/>
      <c r="I81" s="34"/>
    </row>
    <row r="82" spans="1:9">
      <c r="D82" s="34"/>
      <c r="E82" s="34"/>
      <c r="F82" s="34"/>
      <c r="G82" s="34"/>
      <c r="H82" s="34"/>
      <c r="I82" s="34"/>
    </row>
    <row r="84" spans="1:9">
      <c r="B84" s="1" t="s">
        <v>110</v>
      </c>
    </row>
    <row r="85" spans="1:9">
      <c r="C85" s="2" t="s">
        <v>18</v>
      </c>
      <c r="D85" s="1" t="s">
        <v>426</v>
      </c>
    </row>
    <row r="86" spans="1:9">
      <c r="C86" s="2" t="s">
        <v>42</v>
      </c>
      <c r="D86" s="1" t="s">
        <v>310</v>
      </c>
    </row>
    <row r="87" spans="1:9">
      <c r="D87" s="1" t="s">
        <v>64</v>
      </c>
    </row>
    <row r="88" spans="1:9">
      <c r="D88" s="34" t="s">
        <v>65</v>
      </c>
      <c r="E88" s="34"/>
      <c r="F88" s="34"/>
      <c r="G88" s="34"/>
      <c r="H88" s="34"/>
      <c r="I88" s="34"/>
    </row>
    <row r="89" spans="1:9">
      <c r="D89" s="34"/>
      <c r="E89" s="34"/>
      <c r="F89" s="34"/>
      <c r="G89" s="34"/>
      <c r="H89" s="34"/>
      <c r="I89" s="34"/>
    </row>
    <row r="90" spans="1:9">
      <c r="D90" s="34"/>
      <c r="E90" s="34"/>
      <c r="F90" s="34"/>
      <c r="G90" s="34"/>
      <c r="H90" s="34"/>
      <c r="I90" s="34"/>
    </row>
    <row r="92" spans="1:9">
      <c r="A92" s="2" t="s">
        <v>66</v>
      </c>
      <c r="B92" s="3" t="s">
        <v>67</v>
      </c>
    </row>
    <row r="93" spans="1:9">
      <c r="B93" s="2" t="s">
        <v>71</v>
      </c>
      <c r="C93" s="1" t="s">
        <v>72</v>
      </c>
    </row>
    <row r="94" spans="1:9">
      <c r="C94" s="2" t="s">
        <v>73</v>
      </c>
      <c r="D94" s="34" t="s">
        <v>80</v>
      </c>
      <c r="E94" s="34"/>
      <c r="F94" s="34"/>
      <c r="G94" s="34"/>
      <c r="H94" s="34"/>
      <c r="I94" s="34"/>
    </row>
    <row r="95" spans="1:9">
      <c r="D95" s="34"/>
      <c r="E95" s="34"/>
      <c r="F95" s="34"/>
      <c r="G95" s="34"/>
      <c r="H95" s="34"/>
      <c r="I95" s="34"/>
    </row>
    <row r="96" spans="1:9">
      <c r="C96" s="2" t="s">
        <v>42</v>
      </c>
      <c r="D96" s="34" t="s">
        <v>81</v>
      </c>
      <c r="E96" s="34"/>
      <c r="F96" s="34"/>
      <c r="G96" s="34"/>
      <c r="H96" s="34"/>
      <c r="I96" s="34"/>
    </row>
    <row r="97" spans="3:9">
      <c r="D97" s="34"/>
      <c r="E97" s="34"/>
      <c r="F97" s="34"/>
      <c r="G97" s="34"/>
      <c r="H97" s="34"/>
      <c r="I97" s="34"/>
    </row>
    <row r="98" spans="3:9">
      <c r="D98" s="34"/>
      <c r="E98" s="34"/>
      <c r="F98" s="34"/>
      <c r="G98" s="34"/>
      <c r="H98" s="34"/>
      <c r="I98" s="34"/>
    </row>
    <row r="99" spans="3:9">
      <c r="D99" s="34"/>
      <c r="E99" s="34"/>
      <c r="F99" s="34"/>
      <c r="G99" s="34"/>
      <c r="H99" s="34"/>
      <c r="I99" s="34"/>
    </row>
    <row r="100" spans="3:9">
      <c r="C100" s="2" t="s">
        <v>82</v>
      </c>
      <c r="D100" s="34" t="s">
        <v>86</v>
      </c>
      <c r="E100" s="34"/>
      <c r="F100" s="34"/>
      <c r="G100" s="34"/>
      <c r="H100" s="34"/>
      <c r="I100" s="34"/>
    </row>
    <row r="101" spans="3:9">
      <c r="D101" s="34"/>
      <c r="E101" s="34"/>
      <c r="F101" s="34"/>
      <c r="G101" s="34"/>
      <c r="H101" s="34"/>
      <c r="I101" s="34"/>
    </row>
    <row r="103" spans="3:9" ht="15.75" thickBot="1">
      <c r="C103" s="5" t="s">
        <v>84</v>
      </c>
      <c r="D103" s="5" t="s">
        <v>85</v>
      </c>
      <c r="E103" s="5"/>
      <c r="F103" s="5"/>
      <c r="G103" s="5"/>
      <c r="H103" s="5"/>
      <c r="I103" s="5"/>
    </row>
    <row r="104" spans="3:9" ht="15.75" thickTop="1">
      <c r="C104" s="45" t="s">
        <v>124</v>
      </c>
      <c r="D104" s="45"/>
      <c r="E104" s="45"/>
      <c r="F104" s="46" t="s">
        <v>87</v>
      </c>
      <c r="G104" s="47"/>
      <c r="H104" s="45" t="s">
        <v>371</v>
      </c>
      <c r="I104" s="45"/>
    </row>
    <row r="105" spans="3:9">
      <c r="C105" s="39" t="s">
        <v>89</v>
      </c>
      <c r="D105" s="39"/>
      <c r="E105" s="39"/>
      <c r="F105" s="38" t="s">
        <v>97</v>
      </c>
      <c r="G105" s="40"/>
      <c r="H105" s="39" t="s">
        <v>101</v>
      </c>
      <c r="I105" s="39"/>
    </row>
    <row r="106" spans="3:9">
      <c r="C106" s="48" t="s">
        <v>90</v>
      </c>
      <c r="D106" s="48"/>
      <c r="E106" s="48"/>
      <c r="F106" s="41" t="s">
        <v>97</v>
      </c>
      <c r="G106" s="42"/>
      <c r="H106" s="48" t="s">
        <v>102</v>
      </c>
      <c r="I106" s="48"/>
    </row>
    <row r="107" spans="3:9">
      <c r="C107" s="48" t="s">
        <v>91</v>
      </c>
      <c r="D107" s="48"/>
      <c r="E107" s="48"/>
      <c r="F107" s="41" t="s">
        <v>97</v>
      </c>
      <c r="G107" s="42"/>
      <c r="H107" s="48" t="s">
        <v>103</v>
      </c>
      <c r="I107" s="48"/>
    </row>
    <row r="108" spans="3:9">
      <c r="C108" s="48" t="s">
        <v>92</v>
      </c>
      <c r="D108" s="48"/>
      <c r="E108" s="48"/>
      <c r="F108" s="41" t="s">
        <v>97</v>
      </c>
      <c r="G108" s="42"/>
      <c r="H108" s="48" t="s">
        <v>104</v>
      </c>
      <c r="I108" s="48"/>
    </row>
    <row r="109" spans="3:9">
      <c r="C109" s="48" t="s">
        <v>93</v>
      </c>
      <c r="D109" s="48"/>
      <c r="E109" s="48"/>
      <c r="F109" s="41" t="s">
        <v>97</v>
      </c>
      <c r="G109" s="42"/>
      <c r="H109" s="48" t="s">
        <v>105</v>
      </c>
      <c r="I109" s="48"/>
    </row>
    <row r="110" spans="3:9">
      <c r="C110" s="48" t="s">
        <v>94</v>
      </c>
      <c r="D110" s="48"/>
      <c r="E110" s="48"/>
      <c r="F110" s="41" t="s">
        <v>98</v>
      </c>
      <c r="G110" s="42"/>
      <c r="H110" s="48" t="s">
        <v>106</v>
      </c>
      <c r="I110" s="48"/>
    </row>
    <row r="111" spans="3:9">
      <c r="C111" s="48" t="s">
        <v>95</v>
      </c>
      <c r="D111" s="48"/>
      <c r="E111" s="48"/>
      <c r="F111" s="41" t="s">
        <v>99</v>
      </c>
      <c r="G111" s="42"/>
      <c r="H111" s="48" t="s">
        <v>107</v>
      </c>
      <c r="I111" s="48"/>
    </row>
    <row r="112" spans="3:9">
      <c r="C112" s="48" t="s">
        <v>88</v>
      </c>
      <c r="D112" s="48"/>
      <c r="E112" s="48"/>
      <c r="F112" s="41" t="s">
        <v>99</v>
      </c>
      <c r="G112" s="42"/>
      <c r="H112" s="48" t="s">
        <v>108</v>
      </c>
      <c r="I112" s="48"/>
    </row>
    <row r="113" spans="2:12">
      <c r="C113" s="37" t="s">
        <v>96</v>
      </c>
      <c r="D113" s="37"/>
      <c r="E113" s="37"/>
      <c r="F113" s="43" t="s">
        <v>100</v>
      </c>
      <c r="G113" s="44"/>
      <c r="H113" s="37" t="s">
        <v>108</v>
      </c>
      <c r="I113" s="37"/>
    </row>
    <row r="115" spans="2:12">
      <c r="C115" s="2" t="s">
        <v>111</v>
      </c>
      <c r="D115" s="34" t="s">
        <v>112</v>
      </c>
      <c r="E115" s="34"/>
      <c r="F115" s="34"/>
      <c r="G115" s="34"/>
      <c r="H115" s="34"/>
      <c r="I115" s="34"/>
    </row>
    <row r="116" spans="2:12">
      <c r="D116" s="34"/>
      <c r="E116" s="34"/>
      <c r="F116" s="34"/>
      <c r="G116" s="34"/>
      <c r="H116" s="34"/>
      <c r="I116" s="34"/>
    </row>
    <row r="117" spans="2:12">
      <c r="D117" s="34"/>
      <c r="E117" s="34"/>
      <c r="F117" s="34"/>
      <c r="G117" s="34"/>
      <c r="H117" s="34"/>
      <c r="I117" s="34"/>
    </row>
    <row r="118" spans="2:12">
      <c r="B118" s="2"/>
    </row>
    <row r="119" spans="2:12">
      <c r="B119" s="2" t="s">
        <v>113</v>
      </c>
      <c r="C119" s="1" t="s">
        <v>114</v>
      </c>
    </row>
    <row r="120" spans="2:12" ht="15" customHeight="1">
      <c r="C120" s="2" t="s">
        <v>41</v>
      </c>
      <c r="D120" s="34" t="s">
        <v>115</v>
      </c>
      <c r="E120" s="34"/>
      <c r="F120" s="34"/>
      <c r="G120" s="34"/>
      <c r="H120" s="34"/>
      <c r="I120" s="34"/>
    </row>
    <row r="121" spans="2:12">
      <c r="D121" s="34"/>
      <c r="E121" s="34"/>
      <c r="F121" s="34"/>
      <c r="G121" s="34"/>
      <c r="H121" s="34"/>
      <c r="I121" s="34"/>
    </row>
    <row r="122" spans="2:12">
      <c r="C122" s="2" t="s">
        <v>42</v>
      </c>
      <c r="D122" s="1" t="s">
        <v>116</v>
      </c>
      <c r="L122" s="8"/>
    </row>
    <row r="124" spans="2:12">
      <c r="B124" s="1" t="s">
        <v>110</v>
      </c>
    </row>
    <row r="125" spans="2:12">
      <c r="B125" s="2" t="s">
        <v>71</v>
      </c>
    </row>
    <row r="126" spans="2:12">
      <c r="C126" s="2" t="s">
        <v>41</v>
      </c>
      <c r="D126" s="34" t="s">
        <v>121</v>
      </c>
      <c r="E126" s="34"/>
      <c r="F126" s="34"/>
      <c r="G126" s="34"/>
      <c r="H126" s="34"/>
      <c r="I126" s="34"/>
    </row>
    <row r="127" spans="2:12">
      <c r="D127" s="34"/>
      <c r="E127" s="34"/>
      <c r="F127" s="34"/>
      <c r="G127" s="34"/>
      <c r="H127" s="34"/>
      <c r="I127" s="34"/>
    </row>
    <row r="128" spans="2:12">
      <c r="C128" s="2" t="s">
        <v>42</v>
      </c>
      <c r="D128" s="1" t="s">
        <v>117</v>
      </c>
    </row>
    <row r="129" spans="2:16">
      <c r="D129" s="34" t="s">
        <v>118</v>
      </c>
      <c r="E129" s="34"/>
      <c r="F129" s="34"/>
      <c r="G129" s="34"/>
      <c r="H129" s="34"/>
      <c r="I129" s="34"/>
    </row>
    <row r="130" spans="2:16">
      <c r="D130" s="34"/>
      <c r="E130" s="34"/>
      <c r="F130" s="34"/>
      <c r="G130" s="34"/>
      <c r="H130" s="34"/>
      <c r="I130" s="34"/>
    </row>
    <row r="131" spans="2:16">
      <c r="C131" s="2" t="s">
        <v>120</v>
      </c>
      <c r="D131" s="34" t="s">
        <v>309</v>
      </c>
      <c r="E131" s="34"/>
      <c r="F131" s="34"/>
      <c r="G131" s="34"/>
      <c r="H131" s="34"/>
      <c r="I131" s="34"/>
    </row>
    <row r="132" spans="2:16">
      <c r="D132" s="34"/>
      <c r="E132" s="34"/>
      <c r="F132" s="34"/>
      <c r="G132" s="34"/>
      <c r="H132" s="34"/>
      <c r="I132" s="34"/>
    </row>
    <row r="133" spans="2:16">
      <c r="D133" s="34"/>
      <c r="E133" s="34"/>
      <c r="F133" s="34"/>
      <c r="G133" s="34"/>
      <c r="H133" s="34"/>
      <c r="I133" s="34"/>
    </row>
    <row r="134" spans="2:16">
      <c r="C134" s="2"/>
      <c r="D134" s="34" t="s">
        <v>122</v>
      </c>
      <c r="E134" s="34"/>
      <c r="F134" s="34"/>
      <c r="G134" s="34"/>
      <c r="H134" s="34"/>
      <c r="I134" s="34"/>
    </row>
    <row r="135" spans="2:16">
      <c r="D135" s="34"/>
      <c r="E135" s="34"/>
      <c r="F135" s="34"/>
      <c r="G135" s="34"/>
      <c r="H135" s="34"/>
      <c r="I135" s="34"/>
    </row>
    <row r="136" spans="2:16">
      <c r="D136" s="34"/>
      <c r="E136" s="34"/>
      <c r="F136" s="34"/>
      <c r="G136" s="34"/>
      <c r="H136" s="34"/>
      <c r="I136" s="34"/>
    </row>
    <row r="137" spans="2:16">
      <c r="K137" s="9"/>
      <c r="L137" s="9"/>
      <c r="M137" s="9"/>
      <c r="N137" s="9"/>
      <c r="O137" s="9"/>
      <c r="P137" s="9"/>
    </row>
    <row r="138" spans="2:16" ht="15.75" customHeight="1" thickBot="1">
      <c r="B138" s="5" t="s">
        <v>84</v>
      </c>
      <c r="C138" s="5" t="s">
        <v>85</v>
      </c>
      <c r="D138" s="5"/>
      <c r="E138" s="5"/>
      <c r="F138" s="5"/>
      <c r="G138" s="5"/>
      <c r="H138" s="5"/>
      <c r="I138" s="5"/>
      <c r="K138" s="9"/>
      <c r="L138" s="9"/>
      <c r="M138" s="9"/>
      <c r="N138" s="9"/>
      <c r="O138" s="9"/>
      <c r="P138" s="9"/>
    </row>
    <row r="139" spans="2:16" ht="15.75" thickTop="1">
      <c r="B139" s="45" t="s">
        <v>123</v>
      </c>
      <c r="C139" s="45"/>
      <c r="D139" s="53" t="s">
        <v>125</v>
      </c>
      <c r="E139" s="53"/>
      <c r="F139" s="53" t="s">
        <v>373</v>
      </c>
      <c r="G139" s="53"/>
      <c r="H139" s="45" t="s">
        <v>126</v>
      </c>
      <c r="I139" s="45"/>
      <c r="K139" s="9"/>
      <c r="L139" s="9"/>
      <c r="M139" s="9"/>
      <c r="N139" s="9"/>
      <c r="O139" s="9"/>
      <c r="P139" s="9"/>
    </row>
    <row r="140" spans="2:16">
      <c r="B140" s="48" t="s">
        <v>127</v>
      </c>
      <c r="C140" s="48"/>
      <c r="D140" s="55" t="s">
        <v>136</v>
      </c>
      <c r="E140" s="55"/>
      <c r="F140" s="55" t="s">
        <v>139</v>
      </c>
      <c r="G140" s="55"/>
      <c r="H140" s="48" t="s">
        <v>148</v>
      </c>
      <c r="I140" s="48"/>
      <c r="K140" s="9"/>
      <c r="L140" s="9"/>
      <c r="M140" s="9"/>
      <c r="N140" s="9"/>
      <c r="O140" s="9"/>
      <c r="P140" s="9"/>
    </row>
    <row r="141" spans="2:16">
      <c r="B141" s="48" t="s">
        <v>128</v>
      </c>
      <c r="C141" s="48"/>
      <c r="D141" s="54" t="s">
        <v>136</v>
      </c>
      <c r="E141" s="54"/>
      <c r="F141" s="54" t="s">
        <v>140</v>
      </c>
      <c r="G141" s="54"/>
      <c r="H141" s="48" t="s">
        <v>149</v>
      </c>
      <c r="I141" s="48"/>
    </row>
    <row r="142" spans="2:16">
      <c r="B142" s="48" t="s">
        <v>129</v>
      </c>
      <c r="C142" s="48"/>
      <c r="D142" s="54" t="s">
        <v>136</v>
      </c>
      <c r="E142" s="54"/>
      <c r="F142" s="54" t="s">
        <v>141</v>
      </c>
      <c r="G142" s="54"/>
      <c r="H142" s="48" t="s">
        <v>150</v>
      </c>
      <c r="I142" s="48"/>
    </row>
    <row r="143" spans="2:16">
      <c r="B143" s="48" t="s">
        <v>130</v>
      </c>
      <c r="C143" s="48"/>
      <c r="D143" s="54" t="s">
        <v>136</v>
      </c>
      <c r="E143" s="54"/>
      <c r="F143" s="54" t="s">
        <v>142</v>
      </c>
      <c r="G143" s="54"/>
      <c r="H143" s="48" t="s">
        <v>151</v>
      </c>
      <c r="I143" s="48"/>
    </row>
    <row r="144" spans="2:16">
      <c r="B144" s="48" t="s">
        <v>131</v>
      </c>
      <c r="C144" s="48"/>
      <c r="D144" s="54" t="s">
        <v>137</v>
      </c>
      <c r="E144" s="54"/>
      <c r="F144" s="54" t="s">
        <v>143</v>
      </c>
      <c r="G144" s="54"/>
      <c r="H144" s="48" t="s">
        <v>152</v>
      </c>
      <c r="I144" s="48"/>
    </row>
    <row r="145" spans="2:9">
      <c r="B145" s="48" t="s">
        <v>132</v>
      </c>
      <c r="C145" s="48"/>
      <c r="D145" s="54" t="s">
        <v>137</v>
      </c>
      <c r="E145" s="54"/>
      <c r="F145" s="54" t="s">
        <v>144</v>
      </c>
      <c r="G145" s="54"/>
      <c r="H145" s="48" t="s">
        <v>153</v>
      </c>
      <c r="I145" s="48"/>
    </row>
    <row r="146" spans="2:9">
      <c r="B146" s="48" t="s">
        <v>133</v>
      </c>
      <c r="C146" s="48"/>
      <c r="D146" s="54" t="s">
        <v>137</v>
      </c>
      <c r="E146" s="54"/>
      <c r="F146" s="54" t="s">
        <v>145</v>
      </c>
      <c r="G146" s="54"/>
      <c r="H146" s="48" t="s">
        <v>154</v>
      </c>
      <c r="I146" s="48"/>
    </row>
    <row r="147" spans="2:9">
      <c r="B147" s="48" t="s">
        <v>134</v>
      </c>
      <c r="C147" s="48"/>
      <c r="D147" s="54" t="s">
        <v>138</v>
      </c>
      <c r="E147" s="54"/>
      <c r="F147" s="54" t="s">
        <v>146</v>
      </c>
      <c r="G147" s="54"/>
      <c r="H147" s="48" t="s">
        <v>155</v>
      </c>
      <c r="I147" s="48"/>
    </row>
    <row r="148" spans="2:9">
      <c r="B148" s="37" t="s">
        <v>135</v>
      </c>
      <c r="C148" s="37"/>
      <c r="D148" s="56" t="s">
        <v>138</v>
      </c>
      <c r="E148" s="56"/>
      <c r="F148" s="56" t="s">
        <v>147</v>
      </c>
      <c r="G148" s="56"/>
      <c r="H148" s="37" t="s">
        <v>156</v>
      </c>
      <c r="I148" s="37"/>
    </row>
    <row r="150" spans="2:9">
      <c r="B150" s="2" t="s">
        <v>157</v>
      </c>
      <c r="C150" s="2" t="s">
        <v>41</v>
      </c>
      <c r="D150" s="34" t="s">
        <v>158</v>
      </c>
      <c r="E150" s="34"/>
      <c r="F150" s="34"/>
      <c r="G150" s="34"/>
      <c r="H150" s="34"/>
      <c r="I150" s="34"/>
    </row>
    <row r="151" spans="2:9">
      <c r="D151" s="34"/>
      <c r="E151" s="34"/>
      <c r="F151" s="34"/>
      <c r="G151" s="34"/>
      <c r="H151" s="34"/>
      <c r="I151" s="34"/>
    </row>
    <row r="152" spans="2:9" ht="15" customHeight="1">
      <c r="D152" s="34" t="s">
        <v>159</v>
      </c>
      <c r="E152" s="34"/>
      <c r="F152" s="34"/>
      <c r="G152" s="34"/>
      <c r="H152" s="34"/>
      <c r="I152" s="34"/>
    </row>
    <row r="153" spans="2:9">
      <c r="D153" s="34"/>
      <c r="E153" s="34"/>
      <c r="F153" s="34"/>
      <c r="G153" s="34"/>
      <c r="H153" s="34"/>
      <c r="I153" s="34"/>
    </row>
    <row r="154" spans="2:9">
      <c r="D154" s="34"/>
      <c r="E154" s="34"/>
      <c r="F154" s="34"/>
      <c r="G154" s="34"/>
      <c r="H154" s="34"/>
      <c r="I154" s="34"/>
    </row>
    <row r="155" spans="2:9">
      <c r="D155" s="34"/>
      <c r="E155" s="34"/>
      <c r="F155" s="34"/>
      <c r="G155" s="34"/>
      <c r="H155" s="34"/>
      <c r="I155" s="34"/>
    </row>
    <row r="156" spans="2:9">
      <c r="D156" s="7"/>
      <c r="E156" s="7"/>
      <c r="F156" s="7"/>
      <c r="G156" s="7"/>
      <c r="H156" s="7"/>
      <c r="I156" s="7"/>
    </row>
    <row r="157" spans="2:9">
      <c r="D157" s="7"/>
      <c r="E157" s="7"/>
      <c r="F157" s="7"/>
      <c r="G157" s="7"/>
      <c r="H157" s="7"/>
      <c r="I157" s="7"/>
    </row>
    <row r="158" spans="2:9">
      <c r="D158" s="7"/>
      <c r="E158" s="7"/>
      <c r="F158" s="7"/>
      <c r="G158" s="7"/>
      <c r="H158" s="7"/>
      <c r="I158" s="7"/>
    </row>
    <row r="159" spans="2:9">
      <c r="D159" s="7"/>
      <c r="E159" s="7"/>
      <c r="F159" s="7"/>
      <c r="G159" s="7"/>
      <c r="H159" s="7"/>
      <c r="I159" s="7"/>
    </row>
    <row r="160" spans="2:9">
      <c r="D160" s="7"/>
      <c r="E160" s="7"/>
      <c r="F160" s="7"/>
      <c r="G160" s="7"/>
      <c r="H160" s="7"/>
      <c r="I160" s="7"/>
    </row>
    <row r="161" spans="4:9">
      <c r="D161" s="7"/>
      <c r="E161" s="7"/>
      <c r="F161" s="7"/>
      <c r="G161" s="7"/>
      <c r="H161" s="7"/>
      <c r="I161" s="7"/>
    </row>
    <row r="178" spans="1:3">
      <c r="C178" s="1" t="s">
        <v>160</v>
      </c>
    </row>
    <row r="185" spans="1:3">
      <c r="A185" s="2" t="s">
        <v>161</v>
      </c>
      <c r="B185" s="3" t="s">
        <v>162</v>
      </c>
    </row>
    <row r="186" spans="1:3">
      <c r="B186" s="2"/>
      <c r="C186" s="1" t="s">
        <v>163</v>
      </c>
    </row>
    <row r="187" spans="1:3">
      <c r="B187" s="2" t="s">
        <v>41</v>
      </c>
      <c r="C187" s="1" t="s">
        <v>164</v>
      </c>
    </row>
    <row r="188" spans="1:3">
      <c r="B188" s="2" t="s">
        <v>42</v>
      </c>
      <c r="C188" s="1" t="s">
        <v>453</v>
      </c>
    </row>
    <row r="189" spans="1:3">
      <c r="B189" s="2" t="s">
        <v>119</v>
      </c>
      <c r="C189" s="1" t="s">
        <v>165</v>
      </c>
    </row>
  </sheetData>
  <mergeCells count="109">
    <mergeCell ref="D150:I151"/>
    <mergeCell ref="D152:I155"/>
    <mergeCell ref="B147:C147"/>
    <mergeCell ref="D147:E147"/>
    <mergeCell ref="F147:G147"/>
    <mergeCell ref="H147:I147"/>
    <mergeCell ref="B148:C148"/>
    <mergeCell ref="D148:E148"/>
    <mergeCell ref="F148:G148"/>
    <mergeCell ref="H148:I148"/>
    <mergeCell ref="B145:C145"/>
    <mergeCell ref="D145:E145"/>
    <mergeCell ref="F145:G145"/>
    <mergeCell ref="H145:I145"/>
    <mergeCell ref="B146:C146"/>
    <mergeCell ref="D146:E146"/>
    <mergeCell ref="F146:G146"/>
    <mergeCell ref="H146:I146"/>
    <mergeCell ref="B143:C143"/>
    <mergeCell ref="D143:E143"/>
    <mergeCell ref="F143:G143"/>
    <mergeCell ref="H143:I143"/>
    <mergeCell ref="B144:C144"/>
    <mergeCell ref="D144:E144"/>
    <mergeCell ref="F144:G144"/>
    <mergeCell ref="H144:I144"/>
    <mergeCell ref="B141:C141"/>
    <mergeCell ref="D141:E141"/>
    <mergeCell ref="F141:G141"/>
    <mergeCell ref="H141:I141"/>
    <mergeCell ref="B142:C142"/>
    <mergeCell ref="D142:E142"/>
    <mergeCell ref="F142:G142"/>
    <mergeCell ref="H142:I142"/>
    <mergeCell ref="B139:C139"/>
    <mergeCell ref="B140:C140"/>
    <mergeCell ref="D140:E140"/>
    <mergeCell ref="F140:G140"/>
    <mergeCell ref="H140:I140"/>
    <mergeCell ref="D120:I121"/>
    <mergeCell ref="D126:I127"/>
    <mergeCell ref="D129:I130"/>
    <mergeCell ref="D131:I133"/>
    <mergeCell ref="D134:I136"/>
    <mergeCell ref="H139:I139"/>
    <mergeCell ref="F139:G139"/>
    <mergeCell ref="D139:E139"/>
    <mergeCell ref="C113:E113"/>
    <mergeCell ref="F113:G113"/>
    <mergeCell ref="H113:I113"/>
    <mergeCell ref="D115:I117"/>
    <mergeCell ref="C111:E111"/>
    <mergeCell ref="F111:G111"/>
    <mergeCell ref="H111:I111"/>
    <mergeCell ref="C112:E112"/>
    <mergeCell ref="F112:G112"/>
    <mergeCell ref="H112:I112"/>
    <mergeCell ref="C109:E109"/>
    <mergeCell ref="F109:G109"/>
    <mergeCell ref="H109:I109"/>
    <mergeCell ref="C110:E110"/>
    <mergeCell ref="F110:G110"/>
    <mergeCell ref="H110:I110"/>
    <mergeCell ref="C107:E107"/>
    <mergeCell ref="F107:G107"/>
    <mergeCell ref="H107:I107"/>
    <mergeCell ref="C108:E108"/>
    <mergeCell ref="F108:G108"/>
    <mergeCell ref="H108:I108"/>
    <mergeCell ref="C105:E105"/>
    <mergeCell ref="F105:G105"/>
    <mergeCell ref="H105:I105"/>
    <mergeCell ref="C106:E106"/>
    <mergeCell ref="F106:G106"/>
    <mergeCell ref="H106:I106"/>
    <mergeCell ref="D96:I99"/>
    <mergeCell ref="D100:I101"/>
    <mergeCell ref="H104:I104"/>
    <mergeCell ref="F104:G104"/>
    <mergeCell ref="C104:E104"/>
    <mergeCell ref="A1:I2"/>
    <mergeCell ref="C11:I13"/>
    <mergeCell ref="A3:I3"/>
    <mergeCell ref="C16:I17"/>
    <mergeCell ref="D70:I72"/>
    <mergeCell ref="C20:I20"/>
    <mergeCell ref="C63:D63"/>
    <mergeCell ref="E63:G63"/>
    <mergeCell ref="H63:I63"/>
    <mergeCell ref="C64:D64"/>
    <mergeCell ref="E64:G64"/>
    <mergeCell ref="H64:I64"/>
    <mergeCell ref="C65:D65"/>
    <mergeCell ref="D88:I90"/>
    <mergeCell ref="H65:I65"/>
    <mergeCell ref="H66:I66"/>
    <mergeCell ref="H67:I67"/>
    <mergeCell ref="D73:I74"/>
    <mergeCell ref="D58:I60"/>
    <mergeCell ref="D94:I95"/>
    <mergeCell ref="D75:I75"/>
    <mergeCell ref="C66:D66"/>
    <mergeCell ref="C67:D67"/>
    <mergeCell ref="E65:G65"/>
    <mergeCell ref="E66:G66"/>
    <mergeCell ref="E67:G67"/>
    <mergeCell ref="D78:I80"/>
    <mergeCell ref="D81:I82"/>
    <mergeCell ref="D76:I77"/>
  </mergeCells>
  <phoneticPr fontId="2"/>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2"/>
  <sheetViews>
    <sheetView tabSelected="1" topLeftCell="A208" zoomScale="106" zoomScaleNormal="106" workbookViewId="0">
      <selection activeCell="H216" sqref="H216"/>
    </sheetView>
  </sheetViews>
  <sheetFormatPr defaultColWidth="9" defaultRowHeight="15"/>
  <cols>
    <col min="1" max="16384" width="9" style="1"/>
  </cols>
  <sheetData>
    <row r="1" spans="1:9">
      <c r="A1" s="48" t="s">
        <v>361</v>
      </c>
      <c r="B1" s="48"/>
      <c r="C1" s="48"/>
      <c r="D1" s="48"/>
      <c r="E1" s="48"/>
      <c r="F1" s="48"/>
      <c r="G1" s="48"/>
      <c r="H1" s="48"/>
      <c r="I1" s="48"/>
    </row>
    <row r="2" spans="1:9">
      <c r="A2" s="48"/>
      <c r="B2" s="48"/>
      <c r="C2" s="48"/>
      <c r="D2" s="48"/>
      <c r="E2" s="48"/>
      <c r="F2" s="48"/>
      <c r="G2" s="48"/>
      <c r="H2" s="48"/>
      <c r="I2" s="48"/>
    </row>
    <row r="3" spans="1:9">
      <c r="A3" s="48" t="s">
        <v>313</v>
      </c>
      <c r="B3" s="48"/>
      <c r="C3" s="48"/>
      <c r="D3" s="48"/>
      <c r="E3" s="48"/>
      <c r="F3" s="48"/>
      <c r="G3" s="48"/>
      <c r="H3" s="48"/>
      <c r="I3" s="48"/>
    </row>
    <row r="4" spans="1:9">
      <c r="A4" s="23"/>
      <c r="B4" s="23"/>
      <c r="C4" s="23"/>
      <c r="D4" s="23"/>
      <c r="E4" s="23"/>
      <c r="F4" s="23"/>
      <c r="G4" s="23"/>
      <c r="H4" s="23"/>
      <c r="I4" s="23"/>
    </row>
    <row r="5" spans="1:9">
      <c r="A5" s="2" t="s">
        <v>0</v>
      </c>
      <c r="B5" s="1" t="s">
        <v>6</v>
      </c>
    </row>
    <row r="6" spans="1:9" ht="15" customHeight="1">
      <c r="B6" s="34" t="s">
        <v>454</v>
      </c>
      <c r="C6" s="34"/>
      <c r="D6" s="34"/>
      <c r="E6" s="34"/>
      <c r="F6" s="34"/>
      <c r="G6" s="34"/>
      <c r="H6" s="34"/>
      <c r="I6" s="34"/>
    </row>
    <row r="7" spans="1:9">
      <c r="B7" s="34"/>
      <c r="C7" s="34"/>
      <c r="D7" s="34"/>
      <c r="E7" s="34"/>
      <c r="F7" s="34"/>
      <c r="G7" s="34"/>
      <c r="H7" s="34"/>
      <c r="I7" s="34"/>
    </row>
    <row r="8" spans="1:9">
      <c r="B8" s="34"/>
      <c r="C8" s="34"/>
      <c r="D8" s="34"/>
      <c r="E8" s="34"/>
      <c r="F8" s="34"/>
      <c r="G8" s="34"/>
      <c r="H8" s="34"/>
      <c r="I8" s="34"/>
    </row>
    <row r="9" spans="1:9">
      <c r="B9" s="34"/>
      <c r="C9" s="34"/>
      <c r="D9" s="34"/>
      <c r="E9" s="34"/>
      <c r="F9" s="34"/>
      <c r="G9" s="34"/>
      <c r="H9" s="34"/>
      <c r="I9" s="34"/>
    </row>
    <row r="10" spans="1:9">
      <c r="B10" s="34"/>
      <c r="C10" s="34"/>
      <c r="D10" s="34"/>
      <c r="E10" s="34"/>
      <c r="F10" s="34"/>
      <c r="G10" s="34"/>
      <c r="H10" s="34"/>
      <c r="I10" s="34"/>
    </row>
    <row r="11" spans="1:9">
      <c r="B11" s="33"/>
      <c r="C11" s="33"/>
      <c r="D11" s="33"/>
      <c r="E11" s="33"/>
      <c r="F11" s="33"/>
      <c r="G11" s="33"/>
      <c r="H11" s="33"/>
      <c r="I11" s="33"/>
    </row>
    <row r="12" spans="1:9">
      <c r="B12" s="3" t="s">
        <v>314</v>
      </c>
      <c r="C12" s="22"/>
      <c r="D12" s="22"/>
      <c r="E12" s="22"/>
      <c r="F12" s="22"/>
      <c r="G12" s="22"/>
      <c r="H12" s="22"/>
      <c r="I12" s="22"/>
    </row>
    <row r="13" spans="1:9">
      <c r="B13" s="34" t="s">
        <v>315</v>
      </c>
      <c r="C13" s="34"/>
      <c r="D13" s="34"/>
      <c r="E13" s="34"/>
      <c r="F13" s="34"/>
      <c r="G13" s="34"/>
      <c r="H13" s="34"/>
      <c r="I13" s="34"/>
    </row>
    <row r="14" spans="1:9">
      <c r="B14" s="34"/>
      <c r="C14" s="34"/>
      <c r="D14" s="34"/>
      <c r="E14" s="34"/>
      <c r="F14" s="34"/>
      <c r="G14" s="34"/>
      <c r="H14" s="34"/>
      <c r="I14" s="34"/>
    </row>
    <row r="15" spans="1:9">
      <c r="B15" s="34"/>
      <c r="C15" s="34"/>
      <c r="D15" s="34"/>
      <c r="E15" s="34"/>
      <c r="F15" s="34"/>
      <c r="G15" s="34"/>
      <c r="H15" s="34"/>
      <c r="I15" s="34"/>
    </row>
    <row r="16" spans="1:9">
      <c r="B16" s="3"/>
      <c r="C16" s="3"/>
      <c r="D16" s="3"/>
      <c r="E16" s="3"/>
      <c r="F16" s="3"/>
      <c r="G16" s="3"/>
      <c r="H16" s="3"/>
      <c r="I16" s="3"/>
    </row>
    <row r="17" spans="1:9">
      <c r="A17" s="2" t="s">
        <v>316</v>
      </c>
      <c r="B17" s="3" t="s">
        <v>317</v>
      </c>
      <c r="C17" s="22"/>
      <c r="D17" s="22"/>
      <c r="E17" s="22"/>
      <c r="F17" s="22"/>
      <c r="G17" s="22"/>
      <c r="H17" s="22"/>
      <c r="I17" s="22"/>
    </row>
    <row r="18" spans="1:9">
      <c r="B18" s="34" t="s">
        <v>483</v>
      </c>
      <c r="C18" s="34"/>
      <c r="D18" s="34"/>
      <c r="E18" s="34"/>
      <c r="F18" s="34"/>
      <c r="G18" s="34"/>
      <c r="H18" s="34"/>
      <c r="I18" s="34"/>
    </row>
    <row r="19" spans="1:9">
      <c r="B19" s="34"/>
      <c r="C19" s="34"/>
      <c r="D19" s="34"/>
      <c r="E19" s="34"/>
      <c r="F19" s="34"/>
      <c r="G19" s="34"/>
      <c r="H19" s="34"/>
      <c r="I19" s="34"/>
    </row>
    <row r="20" spans="1:9">
      <c r="B20" s="34"/>
      <c r="C20" s="34"/>
      <c r="D20" s="34"/>
      <c r="E20" s="34"/>
      <c r="F20" s="34"/>
      <c r="G20" s="34"/>
      <c r="H20" s="34"/>
      <c r="I20" s="34"/>
    </row>
    <row r="21" spans="1:9">
      <c r="B21" s="25" t="s">
        <v>319</v>
      </c>
      <c r="C21" s="3" t="s">
        <v>392</v>
      </c>
      <c r="D21" s="3"/>
      <c r="E21" s="3"/>
      <c r="F21" s="3"/>
      <c r="G21" s="3"/>
      <c r="H21" s="3"/>
      <c r="I21" s="3"/>
    </row>
    <row r="22" spans="1:9">
      <c r="B22" s="25" t="s">
        <v>320</v>
      </c>
      <c r="C22" s="3" t="s">
        <v>327</v>
      </c>
      <c r="D22" s="3"/>
      <c r="E22" s="3"/>
      <c r="F22" s="3"/>
      <c r="G22" s="3"/>
      <c r="H22" s="3"/>
      <c r="I22" s="3"/>
    </row>
    <row r="23" spans="1:9">
      <c r="A23" s="2"/>
      <c r="B23" s="25" t="s">
        <v>321</v>
      </c>
      <c r="C23" s="3" t="s">
        <v>328</v>
      </c>
      <c r="D23" s="3"/>
      <c r="E23" s="3"/>
      <c r="F23" s="3"/>
      <c r="G23" s="3"/>
      <c r="H23" s="3"/>
      <c r="I23" s="3"/>
    </row>
    <row r="24" spans="1:9">
      <c r="B24" s="25" t="s">
        <v>322</v>
      </c>
      <c r="C24" s="3" t="s">
        <v>329</v>
      </c>
      <c r="D24" s="3"/>
      <c r="E24" s="3"/>
      <c r="F24" s="3"/>
      <c r="G24" s="3"/>
      <c r="H24" s="3"/>
      <c r="I24" s="3"/>
    </row>
    <row r="25" spans="1:9">
      <c r="B25" s="25" t="s">
        <v>323</v>
      </c>
      <c r="C25" s="3" t="s">
        <v>330</v>
      </c>
      <c r="D25" s="3"/>
      <c r="E25" s="3"/>
      <c r="F25" s="3"/>
      <c r="G25" s="3"/>
      <c r="H25" s="3" t="s">
        <v>336</v>
      </c>
      <c r="I25" s="3"/>
    </row>
    <row r="26" spans="1:9">
      <c r="B26" s="25" t="s">
        <v>324</v>
      </c>
      <c r="C26" s="3" t="s">
        <v>332</v>
      </c>
      <c r="D26" s="3"/>
      <c r="E26" s="3"/>
      <c r="F26" s="3"/>
      <c r="G26" s="3"/>
      <c r="H26" s="3"/>
      <c r="I26" s="3"/>
    </row>
    <row r="27" spans="1:9">
      <c r="B27" s="25" t="s">
        <v>325</v>
      </c>
      <c r="C27" s="3" t="s">
        <v>421</v>
      </c>
      <c r="D27" s="3"/>
      <c r="E27" s="3"/>
      <c r="F27" s="3"/>
      <c r="G27" s="3"/>
      <c r="H27" s="3"/>
      <c r="I27" s="3"/>
    </row>
    <row r="28" spans="1:9">
      <c r="B28" s="3"/>
      <c r="C28" s="3"/>
      <c r="D28" s="3"/>
      <c r="E28" s="3"/>
      <c r="F28" s="3"/>
      <c r="G28" s="3"/>
      <c r="H28" s="3"/>
    </row>
    <row r="29" spans="1:9">
      <c r="A29" s="2" t="s">
        <v>180</v>
      </c>
      <c r="B29" s="3" t="s">
        <v>333</v>
      </c>
      <c r="C29" s="3"/>
      <c r="D29" s="3"/>
      <c r="E29" s="3"/>
      <c r="F29" s="3"/>
      <c r="G29" s="3"/>
      <c r="H29" s="3"/>
    </row>
    <row r="30" spans="1:9">
      <c r="B30" s="3" t="s">
        <v>398</v>
      </c>
      <c r="C30" s="3"/>
      <c r="D30" s="3"/>
      <c r="E30" s="3"/>
      <c r="F30" s="3"/>
      <c r="G30" s="3"/>
      <c r="H30" s="3"/>
    </row>
    <row r="31" spans="1:9">
      <c r="B31" s="2" t="s">
        <v>334</v>
      </c>
      <c r="C31" s="3" t="s">
        <v>335</v>
      </c>
      <c r="D31" s="3"/>
      <c r="E31" s="3"/>
      <c r="F31" s="3"/>
      <c r="G31" s="3"/>
      <c r="H31" s="3"/>
    </row>
    <row r="32" spans="1:9">
      <c r="B32" s="3"/>
      <c r="C32" s="34" t="s">
        <v>455</v>
      </c>
      <c r="D32" s="34"/>
      <c r="E32" s="34"/>
      <c r="F32" s="34"/>
      <c r="G32" s="34"/>
      <c r="H32" s="34"/>
      <c r="I32" s="34"/>
    </row>
    <row r="33" spans="1:10">
      <c r="B33" s="3"/>
      <c r="C33" s="34"/>
      <c r="D33" s="34"/>
      <c r="E33" s="34"/>
      <c r="F33" s="34"/>
      <c r="G33" s="34"/>
      <c r="H33" s="34"/>
      <c r="I33" s="34"/>
    </row>
    <row r="34" spans="1:10">
      <c r="B34" s="3"/>
      <c r="C34" s="34"/>
      <c r="D34" s="34"/>
      <c r="E34" s="34"/>
      <c r="F34" s="34"/>
      <c r="G34" s="34"/>
      <c r="H34" s="34"/>
      <c r="I34" s="34"/>
    </row>
    <row r="35" spans="1:10">
      <c r="B35" s="3"/>
      <c r="C35" s="3"/>
      <c r="D35" s="3"/>
      <c r="E35" s="3"/>
      <c r="F35" s="3"/>
      <c r="G35" s="3"/>
      <c r="H35" s="3"/>
    </row>
    <row r="36" spans="1:10" ht="15" customHeight="1">
      <c r="B36" s="3" t="s">
        <v>314</v>
      </c>
      <c r="C36" s="34" t="s">
        <v>456</v>
      </c>
      <c r="D36" s="34"/>
      <c r="E36" s="34"/>
      <c r="F36" s="34"/>
      <c r="G36" s="34"/>
      <c r="H36" s="34"/>
      <c r="I36" s="34"/>
      <c r="J36" s="6"/>
    </row>
    <row r="37" spans="1:10" ht="18" customHeight="1">
      <c r="B37" s="2"/>
      <c r="C37" s="34"/>
      <c r="D37" s="34"/>
      <c r="E37" s="34"/>
      <c r="F37" s="34"/>
      <c r="G37" s="34"/>
      <c r="H37" s="34"/>
      <c r="I37" s="34"/>
      <c r="J37" s="6"/>
    </row>
    <row r="38" spans="1:10">
      <c r="A38" s="3"/>
      <c r="B38" s="3"/>
      <c r="C38" s="34"/>
      <c r="D38" s="34"/>
      <c r="E38" s="34"/>
      <c r="F38" s="34"/>
      <c r="G38" s="34"/>
      <c r="H38" s="34"/>
      <c r="I38" s="34"/>
      <c r="J38" s="6"/>
    </row>
    <row r="39" spans="1:10">
      <c r="A39" s="3"/>
      <c r="B39" s="2" t="s">
        <v>337</v>
      </c>
      <c r="C39" s="3" t="s">
        <v>338</v>
      </c>
      <c r="D39" s="3"/>
      <c r="E39" s="3"/>
      <c r="F39" s="3"/>
      <c r="G39" s="3"/>
      <c r="H39" s="3"/>
      <c r="I39" s="3"/>
      <c r="J39" s="6"/>
    </row>
    <row r="40" spans="1:10">
      <c r="A40" s="3"/>
      <c r="B40" s="3"/>
      <c r="C40" s="34" t="s">
        <v>457</v>
      </c>
      <c r="D40" s="34"/>
      <c r="E40" s="34"/>
      <c r="F40" s="34"/>
      <c r="G40" s="34"/>
      <c r="H40" s="34"/>
      <c r="I40" s="34"/>
      <c r="J40" s="6"/>
    </row>
    <row r="41" spans="1:10">
      <c r="A41" s="3"/>
      <c r="B41" s="3"/>
      <c r="C41" s="34"/>
      <c r="D41" s="34"/>
      <c r="E41" s="34"/>
      <c r="F41" s="34"/>
      <c r="G41" s="34"/>
      <c r="H41" s="34"/>
      <c r="I41" s="34"/>
    </row>
    <row r="42" spans="1:10">
      <c r="A42" s="3"/>
      <c r="B42" s="3"/>
      <c r="C42" s="3"/>
      <c r="D42" s="3"/>
      <c r="E42" s="3"/>
      <c r="F42" s="3"/>
      <c r="G42" s="3"/>
      <c r="H42" s="3"/>
      <c r="I42" s="3"/>
    </row>
    <row r="43" spans="1:10">
      <c r="A43" s="2" t="s">
        <v>66</v>
      </c>
      <c r="B43" s="3" t="s">
        <v>339</v>
      </c>
      <c r="C43" s="3"/>
      <c r="D43" s="3"/>
      <c r="E43" s="3"/>
      <c r="F43" s="3"/>
      <c r="G43" s="3"/>
      <c r="H43" s="3"/>
      <c r="I43" s="3"/>
    </row>
    <row r="44" spans="1:10">
      <c r="A44" s="3"/>
      <c r="B44" s="3" t="s">
        <v>399</v>
      </c>
      <c r="C44" s="3"/>
      <c r="D44" s="3"/>
      <c r="E44" s="3"/>
      <c r="F44" s="3"/>
      <c r="G44" s="3"/>
      <c r="H44" s="3"/>
      <c r="I44" s="3"/>
    </row>
    <row r="45" spans="1:10">
      <c r="A45" s="3"/>
      <c r="B45" s="2" t="s">
        <v>340</v>
      </c>
      <c r="C45" s="3" t="s">
        <v>341</v>
      </c>
      <c r="D45" s="3"/>
      <c r="E45" s="3"/>
      <c r="F45" s="3"/>
      <c r="G45" s="3"/>
      <c r="H45" s="3"/>
      <c r="I45" s="3"/>
    </row>
    <row r="46" spans="1:10">
      <c r="A46" s="3"/>
      <c r="B46" s="3"/>
      <c r="C46" s="3" t="s">
        <v>355</v>
      </c>
      <c r="D46" s="3"/>
      <c r="E46" s="3"/>
      <c r="F46" s="3"/>
      <c r="G46" s="3"/>
      <c r="H46" s="3"/>
      <c r="I46" s="3"/>
      <c r="J46" s="6"/>
    </row>
    <row r="47" spans="1:10">
      <c r="A47" s="3"/>
      <c r="B47" s="3"/>
      <c r="C47" s="3"/>
      <c r="D47" s="3"/>
      <c r="E47" s="3"/>
      <c r="F47" s="3"/>
      <c r="G47" s="3"/>
      <c r="H47" s="3"/>
      <c r="I47" s="3"/>
    </row>
    <row r="48" spans="1:10">
      <c r="A48" s="3"/>
      <c r="B48" s="2" t="s">
        <v>342</v>
      </c>
      <c r="C48" s="3" t="s">
        <v>343</v>
      </c>
      <c r="D48" s="3"/>
      <c r="E48" s="3"/>
      <c r="F48" s="3"/>
      <c r="G48" s="3"/>
      <c r="H48" s="3"/>
      <c r="I48" s="3"/>
    </row>
    <row r="49" spans="1:9">
      <c r="A49" s="3"/>
      <c r="B49" s="3"/>
      <c r="C49" s="3" t="s">
        <v>344</v>
      </c>
      <c r="D49" s="3"/>
      <c r="E49" s="3"/>
      <c r="F49" s="3"/>
      <c r="G49" s="3"/>
      <c r="H49" s="3"/>
      <c r="I49" s="3"/>
    </row>
    <row r="50" spans="1:9">
      <c r="A50" s="3"/>
      <c r="B50" s="3"/>
      <c r="C50" s="3"/>
      <c r="D50" s="3"/>
      <c r="E50" s="3"/>
      <c r="F50" s="3"/>
      <c r="G50" s="3"/>
      <c r="H50" s="3"/>
      <c r="I50" s="3"/>
    </row>
    <row r="51" spans="1:9">
      <c r="A51" s="3"/>
      <c r="B51" s="2" t="s">
        <v>345</v>
      </c>
      <c r="C51" s="3" t="s">
        <v>346</v>
      </c>
      <c r="D51" s="3"/>
      <c r="E51" s="3"/>
      <c r="F51" s="3"/>
      <c r="G51" s="3"/>
      <c r="H51" s="3"/>
      <c r="I51" s="3"/>
    </row>
    <row r="52" spans="1:9">
      <c r="A52" s="3"/>
      <c r="B52" s="3"/>
      <c r="C52" s="3" t="s">
        <v>353</v>
      </c>
      <c r="D52" s="3"/>
      <c r="E52" s="3"/>
      <c r="F52" s="3"/>
      <c r="G52" s="3"/>
      <c r="H52" s="3"/>
      <c r="I52" s="3"/>
    </row>
    <row r="53" spans="1:9">
      <c r="A53" s="3"/>
      <c r="B53" s="3"/>
      <c r="C53" s="3"/>
      <c r="D53" s="3"/>
      <c r="E53" s="3"/>
      <c r="F53" s="3"/>
      <c r="G53" s="3"/>
      <c r="H53" s="3"/>
      <c r="I53" s="3"/>
    </row>
    <row r="54" spans="1:9">
      <c r="A54" s="3"/>
      <c r="B54" s="2" t="s">
        <v>347</v>
      </c>
      <c r="C54" s="3" t="s">
        <v>348</v>
      </c>
      <c r="D54" s="3"/>
      <c r="E54" s="3"/>
      <c r="F54" s="3"/>
      <c r="G54" s="3"/>
      <c r="H54" s="3"/>
      <c r="I54" s="3"/>
    </row>
    <row r="55" spans="1:9">
      <c r="B55" s="19"/>
      <c r="C55" s="19" t="s">
        <v>354</v>
      </c>
      <c r="D55" s="19"/>
      <c r="E55" s="19"/>
      <c r="F55" s="19"/>
      <c r="G55" s="19"/>
      <c r="H55" s="19"/>
      <c r="I55" s="19"/>
    </row>
    <row r="56" spans="1:9">
      <c r="B56" s="3" t="s">
        <v>356</v>
      </c>
      <c r="C56" s="57" t="s">
        <v>357</v>
      </c>
      <c r="D56" s="57"/>
      <c r="E56" s="57"/>
      <c r="F56" s="57"/>
      <c r="G56" s="57"/>
      <c r="H56" s="57"/>
      <c r="I56" s="57"/>
    </row>
    <row r="57" spans="1:9">
      <c r="B57" s="19"/>
      <c r="C57" s="57"/>
      <c r="D57" s="57"/>
      <c r="E57" s="57"/>
      <c r="F57" s="57"/>
      <c r="G57" s="57"/>
      <c r="H57" s="57"/>
      <c r="I57" s="57"/>
    </row>
    <row r="58" spans="1:9">
      <c r="B58" s="19"/>
      <c r="C58" s="19"/>
      <c r="D58" s="19"/>
      <c r="E58" s="19"/>
      <c r="F58" s="19"/>
      <c r="G58" s="19"/>
      <c r="H58" s="19"/>
      <c r="I58" s="19"/>
    </row>
    <row r="59" spans="1:9" ht="15" customHeight="1">
      <c r="B59" s="3" t="s">
        <v>358</v>
      </c>
      <c r="C59" s="19" t="s">
        <v>359</v>
      </c>
      <c r="D59" s="24"/>
      <c r="E59" s="24"/>
      <c r="F59" s="24"/>
      <c r="G59" s="24"/>
      <c r="H59" s="24"/>
      <c r="I59" s="24"/>
    </row>
    <row r="60" spans="1:9">
      <c r="B60" s="19"/>
      <c r="C60" s="19"/>
      <c r="D60" s="24"/>
      <c r="E60" s="24"/>
      <c r="F60" s="24"/>
      <c r="G60" s="24"/>
      <c r="H60" s="24"/>
      <c r="I60" s="24"/>
    </row>
    <row r="61" spans="1:9" ht="15.75">
      <c r="B61" s="19"/>
      <c r="C61" s="19"/>
      <c r="D61" s="30"/>
      <c r="E61" s="24"/>
      <c r="F61" s="24"/>
      <c r="G61" s="24"/>
      <c r="H61" s="24"/>
      <c r="I61" s="24"/>
    </row>
    <row r="62" spans="1:9">
      <c r="B62" s="19"/>
      <c r="C62" s="19"/>
      <c r="D62" s="19"/>
      <c r="E62" s="19"/>
      <c r="F62" s="19"/>
      <c r="G62" s="19"/>
      <c r="H62" s="19"/>
      <c r="I62" s="19"/>
    </row>
    <row r="63" spans="1:9">
      <c r="B63" s="19"/>
      <c r="C63" s="19"/>
      <c r="D63" s="19"/>
      <c r="E63" s="19"/>
      <c r="F63" s="19"/>
      <c r="G63" s="19"/>
      <c r="H63" s="19"/>
      <c r="I63" s="19"/>
    </row>
    <row r="64" spans="1:9">
      <c r="B64" s="19"/>
      <c r="C64" s="19"/>
      <c r="D64" s="19"/>
      <c r="E64" s="19"/>
      <c r="F64" s="19"/>
      <c r="G64" s="19"/>
      <c r="H64" s="19"/>
      <c r="I64" s="19"/>
    </row>
    <row r="65" spans="1:11">
      <c r="B65" s="19"/>
      <c r="C65" s="19"/>
      <c r="D65" s="19"/>
      <c r="E65" s="19"/>
      <c r="F65" s="19"/>
      <c r="G65" s="19"/>
      <c r="H65" s="19"/>
      <c r="I65" s="19"/>
    </row>
    <row r="66" spans="1:11">
      <c r="B66" s="19"/>
      <c r="C66" s="19"/>
      <c r="D66" s="19"/>
      <c r="E66" s="19"/>
      <c r="F66" s="19"/>
      <c r="G66" s="19"/>
      <c r="H66" s="19"/>
      <c r="I66" s="19"/>
    </row>
    <row r="67" spans="1:11">
      <c r="B67" s="19"/>
      <c r="C67" s="19"/>
      <c r="D67" s="19"/>
      <c r="E67" s="19"/>
      <c r="F67" s="19"/>
      <c r="G67" s="19"/>
      <c r="H67" s="19"/>
      <c r="I67" s="19"/>
    </row>
    <row r="68" spans="1:11">
      <c r="B68" s="19"/>
      <c r="C68" s="19"/>
      <c r="D68" s="19"/>
      <c r="E68" s="19"/>
      <c r="F68" s="19"/>
      <c r="G68" s="19"/>
      <c r="H68" s="19"/>
      <c r="I68" s="19"/>
    </row>
    <row r="70" spans="1:11">
      <c r="A70" s="28"/>
      <c r="B70" s="28"/>
      <c r="C70" s="28"/>
      <c r="D70" s="28"/>
      <c r="E70" s="28"/>
      <c r="F70" s="28"/>
      <c r="G70" s="28"/>
      <c r="H70" s="28"/>
      <c r="I70" s="28"/>
    </row>
    <row r="71" spans="1:11">
      <c r="A71" s="28"/>
      <c r="B71" s="28"/>
      <c r="C71" s="28"/>
      <c r="D71" s="29"/>
      <c r="E71" s="29"/>
      <c r="F71" s="29"/>
      <c r="G71" s="29"/>
      <c r="H71" s="29"/>
      <c r="I71" s="29"/>
    </row>
    <row r="72" spans="1:11">
      <c r="A72" s="28"/>
      <c r="B72" s="28"/>
      <c r="C72" s="28" t="s">
        <v>360</v>
      </c>
      <c r="D72" s="29"/>
      <c r="E72" s="29"/>
      <c r="F72" s="29"/>
      <c r="G72" s="29"/>
      <c r="H72" s="29"/>
      <c r="I72" s="29"/>
      <c r="K72" s="6"/>
    </row>
    <row r="73" spans="1:11">
      <c r="A73" s="28"/>
      <c r="B73" s="28"/>
      <c r="C73" s="28"/>
      <c r="D73" s="29"/>
      <c r="E73" s="29"/>
      <c r="F73" s="29"/>
      <c r="G73" s="29"/>
      <c r="H73" s="29"/>
      <c r="I73" s="29"/>
    </row>
    <row r="74" spans="1:11">
      <c r="A74" s="28"/>
      <c r="B74" s="2" t="s">
        <v>362</v>
      </c>
      <c r="C74" s="3" t="s">
        <v>403</v>
      </c>
      <c r="D74" s="29"/>
      <c r="E74" s="29"/>
      <c r="F74" s="29"/>
      <c r="G74" s="29"/>
      <c r="H74" s="29"/>
      <c r="I74" s="29"/>
    </row>
    <row r="75" spans="1:11">
      <c r="A75" s="28"/>
      <c r="B75" s="28"/>
      <c r="C75" s="3" t="s">
        <v>404</v>
      </c>
      <c r="D75" s="29"/>
      <c r="E75" s="29"/>
      <c r="F75" s="29"/>
      <c r="G75" s="29"/>
      <c r="H75" s="29"/>
      <c r="I75" s="29"/>
    </row>
    <row r="76" spans="1:11">
      <c r="A76" s="28"/>
      <c r="B76" s="28"/>
      <c r="C76" s="28"/>
      <c r="D76" s="29"/>
      <c r="E76" s="29"/>
      <c r="F76" s="29"/>
      <c r="G76" s="29"/>
      <c r="H76" s="29"/>
      <c r="I76" s="29"/>
    </row>
    <row r="77" spans="1:11" ht="15" customHeight="1">
      <c r="A77" s="28"/>
      <c r="B77" s="3" t="s">
        <v>363</v>
      </c>
      <c r="C77" s="58" t="s">
        <v>458</v>
      </c>
      <c r="D77" s="58"/>
      <c r="E77" s="58"/>
      <c r="F77" s="58"/>
      <c r="G77" s="58"/>
      <c r="H77" s="58"/>
      <c r="I77" s="58"/>
    </row>
    <row r="78" spans="1:11">
      <c r="A78" s="28"/>
      <c r="B78" s="28"/>
      <c r="C78" s="58"/>
      <c r="D78" s="58"/>
      <c r="E78" s="58"/>
      <c r="F78" s="58"/>
      <c r="G78" s="58"/>
      <c r="H78" s="58"/>
      <c r="I78" s="58"/>
    </row>
    <row r="79" spans="1:11">
      <c r="A79" s="28"/>
      <c r="B79" s="28"/>
      <c r="C79" s="58"/>
      <c r="D79" s="58"/>
      <c r="E79" s="58"/>
      <c r="F79" s="58"/>
      <c r="G79" s="58"/>
      <c r="H79" s="58"/>
      <c r="I79" s="58"/>
    </row>
    <row r="80" spans="1:11">
      <c r="A80" s="28"/>
      <c r="B80" s="28"/>
      <c r="C80" s="58"/>
      <c r="D80" s="58"/>
      <c r="E80" s="58"/>
      <c r="F80" s="58"/>
      <c r="G80" s="58"/>
      <c r="H80" s="58"/>
      <c r="I80" s="58"/>
    </row>
    <row r="81" spans="1:9">
      <c r="A81" s="28"/>
      <c r="B81" s="2" t="s">
        <v>364</v>
      </c>
      <c r="C81" s="3" t="s">
        <v>365</v>
      </c>
      <c r="D81" s="29"/>
      <c r="E81" s="29"/>
      <c r="F81" s="29"/>
      <c r="G81" s="29"/>
      <c r="H81" s="29"/>
      <c r="I81" s="29"/>
    </row>
    <row r="82" spans="1:9">
      <c r="A82" s="28"/>
      <c r="B82" s="28"/>
      <c r="C82" s="28" t="s">
        <v>366</v>
      </c>
      <c r="D82" s="29"/>
      <c r="E82" s="29"/>
      <c r="F82" s="29"/>
      <c r="G82" s="29"/>
      <c r="H82" s="29"/>
      <c r="I82" s="29"/>
    </row>
    <row r="84" spans="1:9">
      <c r="B84" s="2" t="s">
        <v>367</v>
      </c>
      <c r="C84" s="1" t="s">
        <v>368</v>
      </c>
    </row>
    <row r="85" spans="1:9">
      <c r="C85" s="3" t="s">
        <v>378</v>
      </c>
    </row>
    <row r="86" spans="1:9">
      <c r="C86" s="2" t="s">
        <v>369</v>
      </c>
      <c r="D86" s="1" t="s">
        <v>372</v>
      </c>
    </row>
    <row r="87" spans="1:9">
      <c r="C87" s="2" t="s">
        <v>370</v>
      </c>
      <c r="D87" s="34" t="s">
        <v>374</v>
      </c>
      <c r="E87" s="34"/>
      <c r="F87" s="34"/>
      <c r="G87" s="34"/>
      <c r="H87" s="34"/>
      <c r="I87" s="34"/>
    </row>
    <row r="88" spans="1:9">
      <c r="D88" s="34"/>
      <c r="E88" s="34"/>
      <c r="F88" s="34"/>
      <c r="G88" s="34"/>
      <c r="H88" s="34"/>
      <c r="I88" s="34"/>
    </row>
    <row r="89" spans="1:9">
      <c r="D89" s="9"/>
      <c r="E89" s="9"/>
      <c r="F89" s="9"/>
      <c r="G89" s="9"/>
      <c r="H89" s="9"/>
      <c r="I89" s="9"/>
    </row>
    <row r="90" spans="1:9">
      <c r="B90" s="2" t="s">
        <v>375</v>
      </c>
      <c r="C90" s="1" t="s">
        <v>376</v>
      </c>
      <c r="D90" s="9"/>
      <c r="E90" s="9"/>
      <c r="F90" s="9"/>
      <c r="G90" s="9"/>
      <c r="H90" s="9"/>
      <c r="I90" s="9"/>
    </row>
    <row r="91" spans="1:9">
      <c r="C91" s="1" t="s">
        <v>377</v>
      </c>
    </row>
    <row r="92" spans="1:9">
      <c r="A92" s="2"/>
      <c r="B92" s="3"/>
    </row>
    <row r="93" spans="1:9">
      <c r="B93" s="3" t="s">
        <v>363</v>
      </c>
      <c r="C93" s="1" t="s">
        <v>379</v>
      </c>
    </row>
    <row r="94" spans="1:9">
      <c r="C94" s="2"/>
      <c r="D94" s="9"/>
      <c r="E94" s="9"/>
      <c r="F94" s="9"/>
      <c r="G94" s="9"/>
      <c r="H94" s="9"/>
      <c r="I94" s="9"/>
    </row>
    <row r="95" spans="1:9">
      <c r="B95" s="2" t="s">
        <v>380</v>
      </c>
      <c r="C95" s="1" t="s">
        <v>381</v>
      </c>
      <c r="D95" s="9"/>
      <c r="E95" s="9"/>
      <c r="F95" s="9"/>
      <c r="G95" s="9"/>
      <c r="H95" s="9"/>
      <c r="I95" s="9"/>
    </row>
    <row r="96" spans="1:9">
      <c r="B96" s="3"/>
      <c r="C96" s="2" t="s">
        <v>369</v>
      </c>
      <c r="D96" s="3" t="s">
        <v>391</v>
      </c>
      <c r="E96" s="3"/>
      <c r="F96" s="3"/>
      <c r="G96" s="3"/>
      <c r="H96" s="3"/>
      <c r="I96" s="3"/>
    </row>
    <row r="97" spans="1:9">
      <c r="B97" s="3"/>
      <c r="C97" s="2" t="s">
        <v>370</v>
      </c>
      <c r="D97" s="3" t="s">
        <v>382</v>
      </c>
      <c r="E97" s="3"/>
      <c r="F97" s="3"/>
      <c r="G97" s="3"/>
      <c r="H97" s="3"/>
      <c r="I97" s="3"/>
    </row>
    <row r="98" spans="1:9">
      <c r="B98" s="3"/>
      <c r="C98" s="2" t="s">
        <v>384</v>
      </c>
      <c r="D98" s="3" t="s">
        <v>383</v>
      </c>
      <c r="E98" s="3"/>
      <c r="F98" s="3"/>
      <c r="G98" s="3"/>
      <c r="H98" s="3"/>
      <c r="I98" s="3"/>
    </row>
    <row r="99" spans="1:9">
      <c r="B99" s="3"/>
      <c r="C99" s="2" t="s">
        <v>385</v>
      </c>
      <c r="D99" s="3" t="s">
        <v>386</v>
      </c>
      <c r="E99" s="3"/>
      <c r="F99" s="3"/>
      <c r="G99" s="3"/>
      <c r="H99" s="3"/>
      <c r="I99" s="3"/>
    </row>
    <row r="100" spans="1:9">
      <c r="B100" s="3"/>
      <c r="C100" s="3"/>
      <c r="D100" s="3"/>
      <c r="E100" s="3"/>
      <c r="F100" s="3"/>
      <c r="G100" s="3"/>
      <c r="H100" s="3"/>
      <c r="I100" s="3"/>
    </row>
    <row r="101" spans="1:9">
      <c r="B101" s="3" t="s">
        <v>314</v>
      </c>
      <c r="C101" s="19" t="s">
        <v>387</v>
      </c>
      <c r="D101" s="19"/>
      <c r="E101" s="3"/>
      <c r="F101" s="3"/>
      <c r="G101" s="3"/>
      <c r="H101" s="3"/>
      <c r="I101" s="3"/>
    </row>
    <row r="102" spans="1:9">
      <c r="B102" s="3"/>
      <c r="C102" s="3"/>
      <c r="D102" s="3"/>
      <c r="E102" s="3"/>
      <c r="F102" s="3"/>
      <c r="G102" s="3"/>
      <c r="H102" s="3"/>
      <c r="I102" s="3"/>
    </row>
    <row r="103" spans="1:9">
      <c r="B103" s="12"/>
      <c r="C103" s="12"/>
      <c r="D103" s="12"/>
      <c r="E103" s="12"/>
      <c r="F103" s="12"/>
      <c r="G103" s="12"/>
      <c r="H103" s="12"/>
      <c r="I103" s="12"/>
    </row>
    <row r="104" spans="1:9">
      <c r="B104" s="12"/>
      <c r="C104" s="12"/>
      <c r="D104" s="31"/>
      <c r="E104" s="12"/>
      <c r="F104" s="12"/>
      <c r="G104" s="12"/>
      <c r="H104" s="12"/>
      <c r="I104" s="12"/>
    </row>
    <row r="105" spans="1:9">
      <c r="B105" s="12"/>
      <c r="C105" s="12"/>
      <c r="D105" s="12"/>
      <c r="E105" s="12"/>
      <c r="F105" s="12"/>
      <c r="G105" s="12"/>
      <c r="H105" s="12"/>
      <c r="I105" s="12"/>
    </row>
    <row r="106" spans="1:9">
      <c r="B106" s="12"/>
      <c r="C106" s="12"/>
      <c r="D106" s="12"/>
      <c r="E106" s="12"/>
      <c r="F106" s="12"/>
      <c r="G106" s="12"/>
      <c r="H106" s="12"/>
      <c r="I106" s="12"/>
    </row>
    <row r="107" spans="1:9">
      <c r="B107" s="12"/>
      <c r="C107" s="12"/>
      <c r="D107" s="12"/>
      <c r="E107" s="12"/>
      <c r="F107" s="12"/>
      <c r="G107" s="12"/>
      <c r="H107" s="12"/>
      <c r="I107" s="12"/>
    </row>
    <row r="108" spans="1:9">
      <c r="B108" s="12"/>
      <c r="C108" s="12"/>
      <c r="D108" s="12"/>
      <c r="E108" s="12"/>
      <c r="F108" s="12"/>
      <c r="G108" s="12"/>
      <c r="H108" s="12"/>
      <c r="I108" s="12"/>
    </row>
    <row r="109" spans="1:9">
      <c r="B109" s="12"/>
      <c r="C109" s="28"/>
      <c r="D109" s="12"/>
      <c r="E109" s="12"/>
      <c r="F109" s="12"/>
      <c r="G109" s="12"/>
      <c r="H109" s="12"/>
      <c r="I109" s="12"/>
    </row>
    <row r="110" spans="1:9">
      <c r="B110" s="12"/>
      <c r="C110" s="28" t="s">
        <v>388</v>
      </c>
      <c r="D110" s="12"/>
      <c r="E110" s="12"/>
      <c r="F110" s="12"/>
      <c r="G110" s="12"/>
      <c r="H110" s="12"/>
      <c r="I110" s="12"/>
    </row>
    <row r="111" spans="1:9">
      <c r="A111" s="2" t="s">
        <v>161</v>
      </c>
      <c r="B111" s="3" t="s">
        <v>339</v>
      </c>
      <c r="C111" s="12"/>
      <c r="D111" s="12"/>
      <c r="E111" s="12"/>
      <c r="F111" s="12"/>
      <c r="G111" s="12"/>
      <c r="H111" s="12"/>
      <c r="I111" s="12"/>
    </row>
    <row r="112" spans="1:9">
      <c r="B112" s="12" t="s">
        <v>400</v>
      </c>
      <c r="C112" s="12"/>
      <c r="D112" s="12"/>
      <c r="E112" s="12"/>
      <c r="F112" s="12"/>
      <c r="G112" s="12"/>
      <c r="H112" s="12"/>
      <c r="I112" s="12"/>
    </row>
    <row r="113" spans="2:12">
      <c r="B113" s="2" t="s">
        <v>389</v>
      </c>
      <c r="C113" s="3" t="s">
        <v>390</v>
      </c>
      <c r="D113" s="27"/>
      <c r="E113" s="27"/>
      <c r="F113" s="27"/>
      <c r="G113" s="27"/>
      <c r="H113" s="27"/>
      <c r="I113" s="27"/>
    </row>
    <row r="114" spans="2:12" ht="15" customHeight="1">
      <c r="B114" s="12"/>
      <c r="C114" s="2" t="s">
        <v>369</v>
      </c>
      <c r="D114" s="57" t="s">
        <v>459</v>
      </c>
      <c r="E114" s="57"/>
      <c r="F114" s="57"/>
      <c r="G114" s="57"/>
      <c r="H114" s="57"/>
      <c r="I114" s="57"/>
    </row>
    <row r="115" spans="2:12">
      <c r="B115" s="12"/>
      <c r="C115" s="12"/>
      <c r="D115" s="57"/>
      <c r="E115" s="57"/>
      <c r="F115" s="57"/>
      <c r="G115" s="57"/>
      <c r="H115" s="57"/>
      <c r="I115" s="57"/>
    </row>
    <row r="116" spans="2:12">
      <c r="B116" s="19"/>
      <c r="C116" s="26" t="s">
        <v>370</v>
      </c>
      <c r="D116" s="57" t="s">
        <v>460</v>
      </c>
      <c r="E116" s="57"/>
      <c r="F116" s="57"/>
      <c r="G116" s="57"/>
      <c r="H116" s="57"/>
      <c r="I116" s="57"/>
    </row>
    <row r="117" spans="2:12" ht="15" customHeight="1">
      <c r="B117" s="19"/>
      <c r="C117" s="2"/>
      <c r="D117" s="57"/>
      <c r="E117" s="57"/>
      <c r="F117" s="57"/>
      <c r="G117" s="57"/>
      <c r="H117" s="57"/>
      <c r="I117" s="57"/>
    </row>
    <row r="118" spans="2:12">
      <c r="B118" s="19"/>
      <c r="C118" s="12"/>
      <c r="D118" s="57"/>
      <c r="E118" s="57"/>
      <c r="F118" s="57"/>
      <c r="G118" s="57"/>
      <c r="H118" s="57"/>
      <c r="I118" s="57"/>
    </row>
    <row r="119" spans="2:12">
      <c r="B119" s="19"/>
      <c r="C119" s="26" t="s">
        <v>384</v>
      </c>
      <c r="D119" s="57" t="s">
        <v>461</v>
      </c>
      <c r="E119" s="57"/>
      <c r="F119" s="57"/>
      <c r="G119" s="57"/>
      <c r="H119" s="57"/>
      <c r="I119" s="57"/>
    </row>
    <row r="120" spans="2:12">
      <c r="B120" s="19"/>
      <c r="C120" s="19"/>
      <c r="D120" s="57"/>
      <c r="E120" s="57"/>
      <c r="F120" s="57"/>
      <c r="G120" s="57"/>
      <c r="H120" s="57"/>
      <c r="I120" s="57"/>
    </row>
    <row r="121" spans="2:12" ht="15" customHeight="1">
      <c r="B121" s="19"/>
      <c r="C121" s="19"/>
      <c r="D121" s="57"/>
      <c r="E121" s="57"/>
      <c r="F121" s="57"/>
      <c r="G121" s="57"/>
      <c r="H121" s="57"/>
      <c r="I121" s="57"/>
    </row>
    <row r="122" spans="2:12">
      <c r="B122" s="2" t="s">
        <v>393</v>
      </c>
      <c r="C122" s="3" t="s">
        <v>394</v>
      </c>
      <c r="D122" s="19"/>
      <c r="E122" s="19"/>
      <c r="F122" s="19"/>
      <c r="G122" s="19"/>
      <c r="H122" s="19"/>
      <c r="I122" s="19"/>
    </row>
    <row r="123" spans="2:12">
      <c r="B123" s="19"/>
      <c r="C123" s="2" t="s">
        <v>369</v>
      </c>
      <c r="D123" s="57" t="s">
        <v>402</v>
      </c>
      <c r="E123" s="57"/>
      <c r="F123" s="57"/>
      <c r="G123" s="57"/>
      <c r="H123" s="57"/>
      <c r="I123" s="57"/>
      <c r="L123" s="32"/>
    </row>
    <row r="124" spans="2:12">
      <c r="B124" s="19"/>
      <c r="C124" s="19"/>
      <c r="D124" s="57"/>
      <c r="E124" s="57"/>
      <c r="F124" s="57"/>
      <c r="G124" s="57"/>
      <c r="H124" s="57"/>
      <c r="I124" s="57"/>
    </row>
    <row r="125" spans="2:12">
      <c r="B125" s="19"/>
      <c r="C125" s="19"/>
      <c r="D125" s="57"/>
      <c r="E125" s="57"/>
      <c r="F125" s="57"/>
      <c r="G125" s="57"/>
      <c r="H125" s="57"/>
      <c r="I125" s="57"/>
    </row>
    <row r="126" spans="2:12">
      <c r="B126" s="19"/>
      <c r="C126" s="26" t="s">
        <v>370</v>
      </c>
      <c r="D126" s="19" t="s">
        <v>395</v>
      </c>
      <c r="E126" s="19"/>
      <c r="F126" s="19"/>
      <c r="G126" s="19"/>
      <c r="H126" s="19"/>
      <c r="I126" s="19"/>
    </row>
    <row r="127" spans="2:12">
      <c r="B127" s="19"/>
      <c r="C127" s="3" t="s">
        <v>356</v>
      </c>
      <c r="D127" s="57" t="s">
        <v>462</v>
      </c>
      <c r="E127" s="57"/>
      <c r="F127" s="57"/>
      <c r="G127" s="57"/>
      <c r="H127" s="57"/>
      <c r="I127" s="57"/>
    </row>
    <row r="128" spans="2:12">
      <c r="B128" s="19"/>
      <c r="C128" s="19"/>
      <c r="D128" s="57"/>
      <c r="E128" s="57"/>
      <c r="F128" s="57"/>
      <c r="G128" s="57"/>
      <c r="H128" s="57"/>
      <c r="I128" s="57"/>
    </row>
    <row r="129" spans="1:16">
      <c r="B129" s="19"/>
      <c r="C129" s="19"/>
      <c r="D129" s="57"/>
      <c r="E129" s="57"/>
      <c r="F129" s="57"/>
      <c r="G129" s="57"/>
      <c r="H129" s="57"/>
      <c r="I129" s="57"/>
    </row>
    <row r="130" spans="1:16">
      <c r="B130" s="19"/>
      <c r="C130" s="3" t="s">
        <v>358</v>
      </c>
      <c r="D130" s="19" t="s">
        <v>396</v>
      </c>
      <c r="E130" s="19"/>
      <c r="F130" s="19"/>
      <c r="G130" s="19"/>
      <c r="H130" s="19"/>
      <c r="I130" s="19"/>
    </row>
    <row r="131" spans="1:16" ht="15" customHeight="1">
      <c r="B131" s="19"/>
      <c r="C131" s="26" t="s">
        <v>384</v>
      </c>
      <c r="D131" s="57" t="s">
        <v>461</v>
      </c>
      <c r="E131" s="57"/>
      <c r="F131" s="57"/>
      <c r="G131" s="57"/>
      <c r="H131" s="57"/>
      <c r="I131" s="57"/>
    </row>
    <row r="132" spans="1:16">
      <c r="B132" s="19"/>
      <c r="C132" s="19"/>
      <c r="D132" s="57"/>
      <c r="E132" s="57"/>
      <c r="F132" s="57"/>
      <c r="G132" s="57"/>
      <c r="H132" s="57"/>
      <c r="I132" s="57"/>
    </row>
    <row r="133" spans="1:16">
      <c r="B133" s="19"/>
      <c r="C133" s="19"/>
      <c r="D133" s="57"/>
      <c r="E133" s="57"/>
      <c r="F133" s="57"/>
      <c r="G133" s="57"/>
      <c r="H133" s="57"/>
      <c r="I133" s="57"/>
    </row>
    <row r="134" spans="1:16">
      <c r="B134" s="19"/>
      <c r="C134" s="19"/>
      <c r="D134" s="24"/>
      <c r="E134" s="24"/>
      <c r="F134" s="24"/>
      <c r="G134" s="24"/>
      <c r="H134" s="24"/>
      <c r="I134" s="24"/>
    </row>
    <row r="135" spans="1:16">
      <c r="A135" s="2" t="s">
        <v>230</v>
      </c>
      <c r="B135" s="3" t="s">
        <v>67</v>
      </c>
      <c r="C135" s="19"/>
      <c r="D135" s="24"/>
      <c r="E135" s="24"/>
      <c r="F135" s="24"/>
      <c r="G135" s="24"/>
      <c r="H135" s="24"/>
      <c r="I135" s="24"/>
    </row>
    <row r="136" spans="1:16">
      <c r="B136" s="19" t="s">
        <v>397</v>
      </c>
      <c r="C136" s="19"/>
      <c r="D136" s="24"/>
      <c r="E136" s="24"/>
      <c r="F136" s="24"/>
      <c r="G136" s="24"/>
      <c r="H136" s="24"/>
      <c r="I136" s="24"/>
    </row>
    <row r="137" spans="1:16">
      <c r="A137" s="3"/>
      <c r="B137" s="26" t="s">
        <v>401</v>
      </c>
      <c r="C137" s="19" t="s">
        <v>405</v>
      </c>
      <c r="D137" s="24"/>
      <c r="E137" s="24"/>
      <c r="F137" s="24"/>
      <c r="G137" s="24"/>
      <c r="H137" s="24"/>
      <c r="I137" s="24"/>
    </row>
    <row r="138" spans="1:16">
      <c r="A138" s="3"/>
      <c r="B138" s="19"/>
      <c r="C138" s="19" t="s">
        <v>406</v>
      </c>
      <c r="D138" s="19"/>
      <c r="E138" s="19"/>
      <c r="F138" s="19"/>
      <c r="G138" s="19"/>
      <c r="H138" s="19"/>
      <c r="I138" s="19"/>
      <c r="K138" s="9"/>
      <c r="L138" s="9"/>
      <c r="M138" s="9"/>
      <c r="N138" s="9"/>
      <c r="O138" s="9"/>
      <c r="P138" s="9"/>
    </row>
    <row r="139" spans="1:16" ht="15.75" customHeight="1">
      <c r="A139" s="3"/>
      <c r="B139" s="19"/>
      <c r="C139" s="2" t="s">
        <v>369</v>
      </c>
      <c r="D139" s="19" t="s">
        <v>407</v>
      </c>
      <c r="E139" s="19"/>
      <c r="F139" s="19"/>
      <c r="G139" s="19"/>
      <c r="H139" s="19"/>
      <c r="I139" s="19"/>
      <c r="K139" s="9"/>
      <c r="L139" s="9"/>
      <c r="M139" s="9"/>
      <c r="N139" s="9"/>
      <c r="O139" s="9"/>
      <c r="P139" s="9"/>
    </row>
    <row r="140" spans="1:16">
      <c r="A140" s="3"/>
      <c r="B140" s="19"/>
      <c r="C140" s="26" t="s">
        <v>370</v>
      </c>
      <c r="D140" s="19" t="s">
        <v>408</v>
      </c>
      <c r="E140" s="19"/>
      <c r="F140" s="19"/>
      <c r="G140" s="19"/>
      <c r="H140" s="19"/>
      <c r="I140" s="19"/>
      <c r="K140" s="9"/>
      <c r="L140" s="9"/>
      <c r="M140" s="9"/>
      <c r="N140" s="9"/>
      <c r="O140" s="9"/>
      <c r="P140" s="9"/>
    </row>
    <row r="141" spans="1:16">
      <c r="A141" s="3"/>
      <c r="B141" s="19"/>
      <c r="C141" s="3" t="s">
        <v>314</v>
      </c>
      <c r="D141" s="19" t="s">
        <v>409</v>
      </c>
      <c r="E141" s="19"/>
      <c r="F141" s="19"/>
      <c r="G141" s="19"/>
      <c r="H141" s="19"/>
      <c r="I141" s="19"/>
      <c r="K141" s="9"/>
      <c r="L141" s="9"/>
      <c r="M141" s="9"/>
      <c r="N141" s="9"/>
      <c r="O141" s="9"/>
      <c r="P141" s="9"/>
    </row>
    <row r="142" spans="1:16">
      <c r="A142" s="3"/>
      <c r="B142" s="19"/>
      <c r="C142" s="26" t="s">
        <v>384</v>
      </c>
      <c r="D142" s="60" t="s">
        <v>410</v>
      </c>
      <c r="E142" s="60"/>
      <c r="F142" s="60"/>
      <c r="G142" s="60"/>
      <c r="H142" s="60"/>
      <c r="I142" s="60"/>
    </row>
    <row r="143" spans="1:16">
      <c r="A143" s="3"/>
      <c r="B143" s="19"/>
      <c r="C143" s="19"/>
      <c r="D143" s="60"/>
      <c r="E143" s="60"/>
      <c r="F143" s="60"/>
      <c r="G143" s="60"/>
      <c r="H143" s="60"/>
      <c r="I143" s="60"/>
    </row>
    <row r="144" spans="1:16">
      <c r="A144" s="3"/>
      <c r="B144" s="19"/>
      <c r="C144" s="26" t="s">
        <v>411</v>
      </c>
      <c r="D144" s="57" t="s">
        <v>463</v>
      </c>
      <c r="E144" s="57"/>
      <c r="F144" s="57"/>
      <c r="G144" s="57"/>
      <c r="H144" s="57"/>
      <c r="I144" s="57"/>
    </row>
    <row r="145" spans="1:9">
      <c r="A145" s="3"/>
      <c r="B145" s="19"/>
      <c r="C145" s="19"/>
      <c r="D145" s="57"/>
      <c r="E145" s="57"/>
      <c r="F145" s="57"/>
      <c r="G145" s="57"/>
      <c r="H145" s="57"/>
      <c r="I145" s="57"/>
    </row>
    <row r="146" spans="1:9">
      <c r="A146" s="3"/>
      <c r="B146" s="19"/>
      <c r="C146" s="3" t="s">
        <v>314</v>
      </c>
      <c r="D146" s="57" t="s">
        <v>464</v>
      </c>
      <c r="E146" s="57"/>
      <c r="F146" s="57"/>
      <c r="G146" s="57"/>
      <c r="H146" s="57"/>
      <c r="I146" s="57"/>
    </row>
    <row r="147" spans="1:9">
      <c r="A147" s="3"/>
      <c r="B147" s="19"/>
      <c r="C147" s="19"/>
      <c r="D147" s="57"/>
      <c r="E147" s="57"/>
      <c r="F147" s="57"/>
      <c r="G147" s="57"/>
      <c r="H147" s="57"/>
      <c r="I147" s="57"/>
    </row>
    <row r="148" spans="1:9">
      <c r="A148" s="3"/>
      <c r="B148" s="19"/>
      <c r="C148" s="26" t="s">
        <v>413</v>
      </c>
      <c r="D148" s="19" t="s">
        <v>412</v>
      </c>
      <c r="E148" s="19"/>
      <c r="F148" s="19"/>
      <c r="G148" s="19"/>
      <c r="H148" s="19"/>
      <c r="I148" s="19"/>
    </row>
    <row r="149" spans="1:9">
      <c r="A149" s="3"/>
      <c r="B149" s="19"/>
      <c r="C149" s="26" t="s">
        <v>413</v>
      </c>
      <c r="D149" s="19" t="s">
        <v>414</v>
      </c>
      <c r="E149" s="19"/>
      <c r="F149" s="19"/>
      <c r="G149" s="19"/>
      <c r="H149" s="19"/>
      <c r="I149" s="19"/>
    </row>
    <row r="150" spans="1:9">
      <c r="A150" s="3"/>
      <c r="B150" s="19"/>
      <c r="C150" s="26" t="s">
        <v>413</v>
      </c>
      <c r="D150" s="19" t="s">
        <v>415</v>
      </c>
      <c r="E150" s="19"/>
      <c r="F150" s="19"/>
      <c r="G150" s="19"/>
      <c r="H150" s="19"/>
      <c r="I150" s="19"/>
    </row>
    <row r="151" spans="1:9">
      <c r="A151" s="3"/>
      <c r="B151" s="3"/>
      <c r="C151" s="26" t="s">
        <v>416</v>
      </c>
      <c r="D151" s="34" t="s">
        <v>465</v>
      </c>
      <c r="E151" s="34"/>
      <c r="F151" s="34"/>
      <c r="G151" s="34"/>
      <c r="H151" s="34"/>
      <c r="I151" s="34"/>
    </row>
    <row r="152" spans="1:9">
      <c r="A152" s="3"/>
      <c r="B152" s="3"/>
      <c r="C152" s="3"/>
      <c r="D152" s="34"/>
      <c r="E152" s="34"/>
      <c r="F152" s="34"/>
      <c r="G152" s="34"/>
      <c r="H152" s="34"/>
      <c r="I152" s="34"/>
    </row>
    <row r="153" spans="1:9" ht="15" customHeight="1">
      <c r="A153" s="3"/>
      <c r="B153" s="3"/>
      <c r="C153" s="3"/>
      <c r="D153" s="34"/>
      <c r="E153" s="34"/>
      <c r="F153" s="34"/>
      <c r="G153" s="34"/>
      <c r="H153" s="34"/>
      <c r="I153" s="34"/>
    </row>
    <row r="154" spans="1:9" ht="15" customHeight="1">
      <c r="A154" s="3"/>
      <c r="B154" s="3"/>
      <c r="C154" s="3"/>
      <c r="D154" s="34"/>
      <c r="E154" s="34"/>
      <c r="F154" s="34"/>
      <c r="G154" s="34"/>
      <c r="H154" s="34"/>
      <c r="I154" s="34"/>
    </row>
    <row r="155" spans="1:9">
      <c r="A155" s="3"/>
      <c r="B155" s="3"/>
      <c r="C155" s="3"/>
      <c r="D155" s="34"/>
      <c r="E155" s="34"/>
      <c r="F155" s="34"/>
      <c r="G155" s="34"/>
      <c r="H155" s="34"/>
      <c r="I155" s="34"/>
    </row>
    <row r="156" spans="1:9">
      <c r="A156" s="3"/>
      <c r="B156" s="3"/>
      <c r="C156" s="2" t="s">
        <v>417</v>
      </c>
      <c r="D156" s="34" t="s">
        <v>466</v>
      </c>
      <c r="E156" s="34"/>
      <c r="F156" s="34"/>
      <c r="G156" s="34"/>
      <c r="H156" s="34"/>
      <c r="I156" s="34"/>
    </row>
    <row r="157" spans="1:9">
      <c r="A157" s="3"/>
      <c r="B157" s="3"/>
      <c r="C157" s="3"/>
      <c r="D157" s="34"/>
      <c r="E157" s="34"/>
      <c r="F157" s="34"/>
      <c r="G157" s="34"/>
      <c r="H157" s="34"/>
      <c r="I157" s="34"/>
    </row>
    <row r="158" spans="1:9">
      <c r="A158" s="3"/>
      <c r="B158" s="3"/>
      <c r="C158" s="3" t="s">
        <v>314</v>
      </c>
      <c r="D158" s="34" t="s">
        <v>467</v>
      </c>
      <c r="E158" s="34"/>
      <c r="F158" s="34"/>
      <c r="G158" s="34"/>
      <c r="H158" s="34"/>
      <c r="I158" s="34"/>
    </row>
    <row r="159" spans="1:9">
      <c r="A159" s="3"/>
      <c r="B159" s="3"/>
      <c r="C159" s="3"/>
      <c r="D159" s="34"/>
      <c r="E159" s="34"/>
      <c r="F159" s="34"/>
      <c r="G159" s="34"/>
      <c r="H159" s="34"/>
      <c r="I159" s="34"/>
    </row>
    <row r="161" spans="2:9">
      <c r="B161" s="26" t="s">
        <v>418</v>
      </c>
      <c r="C161" s="1" t="s">
        <v>420</v>
      </c>
    </row>
    <row r="162" spans="2:9">
      <c r="C162" s="34" t="s">
        <v>422</v>
      </c>
      <c r="D162" s="34"/>
      <c r="E162" s="34"/>
      <c r="F162" s="34"/>
      <c r="G162" s="34"/>
      <c r="H162" s="34"/>
      <c r="I162" s="34"/>
    </row>
    <row r="163" spans="2:9">
      <c r="C163" s="34"/>
      <c r="D163" s="34"/>
      <c r="E163" s="34"/>
      <c r="F163" s="34"/>
      <c r="G163" s="34"/>
      <c r="H163" s="34"/>
      <c r="I163" s="34"/>
    </row>
    <row r="165" spans="2:9">
      <c r="B165" s="26" t="s">
        <v>423</v>
      </c>
      <c r="C165" s="1" t="s">
        <v>419</v>
      </c>
    </row>
    <row r="166" spans="2:9" ht="15" customHeight="1">
      <c r="C166" s="2" t="s">
        <v>369</v>
      </c>
      <c r="D166" s="34" t="s">
        <v>469</v>
      </c>
      <c r="E166" s="34"/>
      <c r="F166" s="34"/>
      <c r="G166" s="34"/>
      <c r="H166" s="34"/>
      <c r="I166" s="34"/>
    </row>
    <row r="167" spans="2:9">
      <c r="D167" s="34"/>
      <c r="E167" s="34"/>
      <c r="F167" s="34"/>
      <c r="G167" s="34"/>
      <c r="H167" s="34"/>
      <c r="I167" s="34"/>
    </row>
    <row r="168" spans="2:9">
      <c r="D168" s="34"/>
      <c r="E168" s="34"/>
      <c r="F168" s="34"/>
      <c r="G168" s="34"/>
      <c r="H168" s="34"/>
      <c r="I168" s="34"/>
    </row>
    <row r="169" spans="2:9">
      <c r="D169" s="34"/>
      <c r="E169" s="34"/>
      <c r="F169" s="34"/>
      <c r="G169" s="34"/>
      <c r="H169" s="34"/>
      <c r="I169" s="34"/>
    </row>
    <row r="170" spans="2:9">
      <c r="C170" s="3" t="s">
        <v>314</v>
      </c>
      <c r="D170" s="34" t="s">
        <v>470</v>
      </c>
      <c r="E170" s="34"/>
      <c r="F170" s="34"/>
      <c r="G170" s="34"/>
      <c r="H170" s="34"/>
      <c r="I170" s="34"/>
    </row>
    <row r="171" spans="2:9">
      <c r="D171" s="34"/>
      <c r="E171" s="34"/>
      <c r="F171" s="34"/>
      <c r="G171" s="34"/>
      <c r="H171" s="34"/>
      <c r="I171" s="34"/>
    </row>
    <row r="172" spans="2:9">
      <c r="C172" s="2" t="s">
        <v>424</v>
      </c>
      <c r="D172" s="34" t="s">
        <v>468</v>
      </c>
      <c r="E172" s="34"/>
      <c r="F172" s="34"/>
      <c r="G172" s="34"/>
      <c r="H172" s="34"/>
      <c r="I172" s="34"/>
    </row>
    <row r="173" spans="2:9">
      <c r="D173" s="34"/>
      <c r="E173" s="34"/>
      <c r="F173" s="34"/>
      <c r="G173" s="34"/>
      <c r="H173" s="34"/>
      <c r="I173" s="34"/>
    </row>
    <row r="174" spans="2:9">
      <c r="C174" s="2" t="s">
        <v>384</v>
      </c>
      <c r="D174" s="1" t="s">
        <v>425</v>
      </c>
    </row>
    <row r="175" spans="2:9" ht="15" customHeight="1">
      <c r="C175" s="3" t="s">
        <v>356</v>
      </c>
      <c r="D175" s="34" t="s">
        <v>471</v>
      </c>
      <c r="E175" s="34"/>
      <c r="F175" s="34"/>
      <c r="G175" s="34"/>
      <c r="H175" s="34"/>
      <c r="I175" s="34"/>
    </row>
    <row r="176" spans="2:9">
      <c r="D176" s="34"/>
      <c r="E176" s="34"/>
      <c r="F176" s="34"/>
      <c r="G176" s="34"/>
      <c r="H176" s="34"/>
      <c r="I176" s="34"/>
    </row>
    <row r="177" spans="1:9">
      <c r="C177" s="3" t="s">
        <v>427</v>
      </c>
      <c r="D177" s="34" t="s">
        <v>472</v>
      </c>
      <c r="E177" s="34"/>
      <c r="F177" s="34"/>
      <c r="G177" s="34"/>
      <c r="H177" s="34"/>
      <c r="I177" s="34"/>
    </row>
    <row r="178" spans="1:9">
      <c r="C178" s="3"/>
      <c r="D178" s="34"/>
      <c r="E178" s="34"/>
      <c r="F178" s="34"/>
      <c r="G178" s="34"/>
      <c r="H178" s="34"/>
      <c r="I178" s="34"/>
    </row>
    <row r="179" spans="1:9">
      <c r="D179" s="34"/>
      <c r="E179" s="34"/>
      <c r="F179" s="34"/>
      <c r="G179" s="34"/>
      <c r="H179" s="34"/>
      <c r="I179" s="34"/>
    </row>
    <row r="180" spans="1:9" ht="15" customHeight="1">
      <c r="C180" s="3" t="s">
        <v>428</v>
      </c>
      <c r="D180" s="34" t="s">
        <v>473</v>
      </c>
      <c r="E180" s="34"/>
      <c r="F180" s="34"/>
      <c r="G180" s="34"/>
      <c r="H180" s="34"/>
      <c r="I180" s="34"/>
    </row>
    <row r="181" spans="1:9">
      <c r="D181" s="34"/>
      <c r="E181" s="34"/>
      <c r="F181" s="34"/>
      <c r="G181" s="34"/>
      <c r="H181" s="34"/>
      <c r="I181" s="34"/>
    </row>
    <row r="182" spans="1:9">
      <c r="D182" s="34"/>
      <c r="E182" s="34"/>
      <c r="F182" s="34"/>
      <c r="G182" s="34"/>
      <c r="H182" s="34"/>
      <c r="I182" s="34"/>
    </row>
    <row r="183" spans="1:9">
      <c r="C183" s="3" t="s">
        <v>429</v>
      </c>
      <c r="D183" s="34" t="s">
        <v>474</v>
      </c>
      <c r="E183" s="34"/>
      <c r="F183" s="34"/>
      <c r="G183" s="34"/>
      <c r="H183" s="34"/>
      <c r="I183" s="34"/>
    </row>
    <row r="184" spans="1:9">
      <c r="D184" s="34"/>
      <c r="E184" s="34"/>
      <c r="F184" s="34"/>
      <c r="G184" s="34"/>
      <c r="H184" s="34"/>
      <c r="I184" s="34"/>
    </row>
    <row r="185" spans="1:9">
      <c r="D185" s="34"/>
      <c r="E185" s="34"/>
      <c r="F185" s="34"/>
      <c r="G185" s="34"/>
      <c r="H185" s="34"/>
      <c r="I185" s="34"/>
    </row>
    <row r="186" spans="1:9">
      <c r="C186" s="3" t="s">
        <v>430</v>
      </c>
      <c r="D186" s="34" t="s">
        <v>475</v>
      </c>
      <c r="E186" s="34"/>
      <c r="F186" s="34"/>
      <c r="G186" s="34"/>
      <c r="H186" s="34"/>
      <c r="I186" s="34"/>
    </row>
    <row r="187" spans="1:9">
      <c r="A187" s="3"/>
      <c r="B187" s="3"/>
      <c r="C187" s="3"/>
      <c r="D187" s="34"/>
      <c r="E187" s="34"/>
      <c r="F187" s="34"/>
      <c r="G187" s="34"/>
      <c r="H187" s="34"/>
      <c r="I187" s="34"/>
    </row>
    <row r="188" spans="1:9">
      <c r="A188" s="3"/>
      <c r="B188" s="3"/>
      <c r="C188" s="3"/>
      <c r="D188" s="34"/>
      <c r="E188" s="34"/>
      <c r="F188" s="34"/>
      <c r="G188" s="34"/>
      <c r="H188" s="34"/>
      <c r="I188" s="34"/>
    </row>
    <row r="189" spans="1:9" ht="15" customHeight="1">
      <c r="A189" s="3"/>
      <c r="B189" s="3"/>
      <c r="C189" s="3" t="s">
        <v>431</v>
      </c>
      <c r="D189" s="34" t="s">
        <v>476</v>
      </c>
      <c r="E189" s="34"/>
      <c r="F189" s="34"/>
      <c r="G189" s="34"/>
      <c r="H189" s="34"/>
      <c r="I189" s="34"/>
    </row>
    <row r="190" spans="1:9">
      <c r="A190" s="3"/>
      <c r="B190" s="3"/>
      <c r="C190" s="3"/>
      <c r="D190" s="34"/>
      <c r="E190" s="34"/>
      <c r="F190" s="34"/>
      <c r="G190" s="34"/>
      <c r="H190" s="34"/>
      <c r="I190" s="34"/>
    </row>
    <row r="191" spans="1:9">
      <c r="A191" s="3"/>
      <c r="B191" s="3"/>
      <c r="C191" s="3"/>
      <c r="D191" s="34"/>
      <c r="E191" s="34"/>
      <c r="F191" s="34"/>
      <c r="G191" s="34"/>
      <c r="H191" s="34"/>
      <c r="I191" s="34"/>
    </row>
    <row r="192" spans="1:9">
      <c r="A192" s="3"/>
      <c r="B192" s="3"/>
      <c r="C192" s="3"/>
      <c r="D192" s="34"/>
      <c r="E192" s="34"/>
      <c r="F192" s="34"/>
      <c r="G192" s="34"/>
      <c r="H192" s="34"/>
      <c r="I192" s="34"/>
    </row>
    <row r="193" spans="1:9">
      <c r="A193" s="3"/>
      <c r="B193" s="3"/>
      <c r="C193" s="3"/>
      <c r="D193" s="34"/>
      <c r="E193" s="34"/>
      <c r="F193" s="34"/>
      <c r="G193" s="34"/>
      <c r="H193" s="34"/>
      <c r="I193" s="34"/>
    </row>
    <row r="194" spans="1:9">
      <c r="C194" s="3" t="s">
        <v>432</v>
      </c>
      <c r="D194" s="34" t="s">
        <v>477</v>
      </c>
      <c r="E194" s="34"/>
      <c r="F194" s="34"/>
      <c r="G194" s="34"/>
      <c r="H194" s="34"/>
      <c r="I194" s="34"/>
    </row>
    <row r="195" spans="1:9">
      <c r="D195" s="34"/>
      <c r="E195" s="34"/>
      <c r="F195" s="34"/>
      <c r="G195" s="34"/>
      <c r="H195" s="34"/>
      <c r="I195" s="34"/>
    </row>
    <row r="196" spans="1:9" ht="15" customHeight="1">
      <c r="C196" s="3" t="s">
        <v>433</v>
      </c>
      <c r="D196" s="34" t="s">
        <v>478</v>
      </c>
      <c r="E196" s="34"/>
      <c r="F196" s="34"/>
      <c r="G196" s="34"/>
      <c r="H196" s="34"/>
      <c r="I196" s="34"/>
    </row>
    <row r="197" spans="1:9">
      <c r="D197" s="34"/>
      <c r="E197" s="34"/>
      <c r="F197" s="34"/>
      <c r="G197" s="34"/>
      <c r="H197" s="34"/>
      <c r="I197" s="34"/>
    </row>
    <row r="198" spans="1:9">
      <c r="D198" s="34"/>
      <c r="E198" s="34"/>
      <c r="F198" s="34"/>
      <c r="G198" s="34"/>
      <c r="H198" s="34"/>
      <c r="I198" s="34"/>
    </row>
    <row r="199" spans="1:9">
      <c r="D199" s="34"/>
      <c r="E199" s="34"/>
      <c r="F199" s="34"/>
      <c r="G199" s="34"/>
      <c r="H199" s="34"/>
      <c r="I199" s="34"/>
    </row>
    <row r="221" spans="1:4">
      <c r="D221" s="1" t="s">
        <v>434</v>
      </c>
    </row>
    <row r="223" spans="1:4">
      <c r="A223" s="2" t="s">
        <v>239</v>
      </c>
      <c r="B223" s="3" t="s">
        <v>252</v>
      </c>
    </row>
    <row r="224" spans="1:4">
      <c r="B224" s="1" t="s">
        <v>163</v>
      </c>
    </row>
    <row r="225" spans="2:9">
      <c r="B225" s="2" t="s">
        <v>436</v>
      </c>
      <c r="C225" s="1" t="s">
        <v>437</v>
      </c>
    </row>
    <row r="226" spans="2:9">
      <c r="C226" s="1" t="s">
        <v>438</v>
      </c>
    </row>
    <row r="227" spans="2:9">
      <c r="C227" s="2" t="s">
        <v>435</v>
      </c>
      <c r="D227" s="1" t="s">
        <v>440</v>
      </c>
    </row>
    <row r="228" spans="2:9">
      <c r="C228" s="2" t="s">
        <v>439</v>
      </c>
      <c r="D228" s="1" t="s">
        <v>479</v>
      </c>
    </row>
    <row r="229" spans="2:9">
      <c r="C229" s="3" t="s">
        <v>441</v>
      </c>
      <c r="D229" s="1" t="s">
        <v>480</v>
      </c>
    </row>
    <row r="230" spans="2:9">
      <c r="B230" s="2" t="s">
        <v>442</v>
      </c>
      <c r="C230" s="1" t="s">
        <v>447</v>
      </c>
    </row>
    <row r="231" spans="2:9">
      <c r="C231" s="1" t="s">
        <v>443</v>
      </c>
    </row>
    <row r="232" spans="2:9">
      <c r="C232" s="2" t="s">
        <v>435</v>
      </c>
      <c r="D232" s="1" t="s">
        <v>444</v>
      </c>
    </row>
    <row r="233" spans="2:9">
      <c r="C233" s="3" t="s">
        <v>441</v>
      </c>
      <c r="D233" s="1" t="s">
        <v>481</v>
      </c>
    </row>
    <row r="234" spans="2:9">
      <c r="C234" s="2" t="s">
        <v>439</v>
      </c>
      <c r="D234" s="1" t="s">
        <v>445</v>
      </c>
    </row>
    <row r="235" spans="2:9">
      <c r="B235" s="2" t="s">
        <v>446</v>
      </c>
      <c r="C235" s="1" t="s">
        <v>448</v>
      </c>
    </row>
    <row r="236" spans="2:9">
      <c r="C236" s="1" t="s">
        <v>449</v>
      </c>
    </row>
    <row r="237" spans="2:9">
      <c r="C237" s="2" t="s">
        <v>435</v>
      </c>
      <c r="D237" s="1" t="s">
        <v>450</v>
      </c>
    </row>
    <row r="238" spans="2:9">
      <c r="C238" s="3" t="s">
        <v>441</v>
      </c>
      <c r="D238" s="34" t="s">
        <v>482</v>
      </c>
      <c r="E238" s="34"/>
      <c r="F238" s="34"/>
      <c r="G238" s="34"/>
      <c r="H238" s="34"/>
      <c r="I238" s="34"/>
    </row>
    <row r="239" spans="2:9">
      <c r="D239" s="34"/>
      <c r="E239" s="34"/>
      <c r="F239" s="34"/>
      <c r="G239" s="34"/>
      <c r="H239" s="34"/>
      <c r="I239" s="34"/>
    </row>
    <row r="240" spans="2:9">
      <c r="D240" s="34"/>
      <c r="E240" s="34"/>
      <c r="F240" s="34"/>
      <c r="G240" s="34"/>
      <c r="H240" s="34"/>
      <c r="I240" s="34"/>
    </row>
    <row r="241" spans="3:4">
      <c r="C241" s="2" t="s">
        <v>451</v>
      </c>
      <c r="D241" s="1" t="s">
        <v>453</v>
      </c>
    </row>
    <row r="242" spans="3:4">
      <c r="C242" s="2" t="s">
        <v>452</v>
      </c>
      <c r="D242" s="1" t="s">
        <v>165</v>
      </c>
    </row>
  </sheetData>
  <mergeCells count="36">
    <mergeCell ref="C36:I38"/>
    <mergeCell ref="B6:I10"/>
    <mergeCell ref="C77:I80"/>
    <mergeCell ref="D238:I240"/>
    <mergeCell ref="D127:I129"/>
    <mergeCell ref="D131:I133"/>
    <mergeCell ref="D142:I143"/>
    <mergeCell ref="D144:I145"/>
    <mergeCell ref="C162:I163"/>
    <mergeCell ref="D194:I195"/>
    <mergeCell ref="D196:I199"/>
    <mergeCell ref="D172:I173"/>
    <mergeCell ref="D175:I176"/>
    <mergeCell ref="D177:I179"/>
    <mergeCell ref="D180:I182"/>
    <mergeCell ref="D183:I185"/>
    <mergeCell ref="D186:I188"/>
    <mergeCell ref="D189:I193"/>
    <mergeCell ref="D166:I169"/>
    <mergeCell ref="D170:I171"/>
    <mergeCell ref="A1:I2"/>
    <mergeCell ref="A3:I3"/>
    <mergeCell ref="B13:I15"/>
    <mergeCell ref="B18:I20"/>
    <mergeCell ref="C32:I34"/>
    <mergeCell ref="C40:I41"/>
    <mergeCell ref="C56:I57"/>
    <mergeCell ref="D87:I88"/>
    <mergeCell ref="D114:I115"/>
    <mergeCell ref="D116:I118"/>
    <mergeCell ref="D119:I121"/>
    <mergeCell ref="D123:I125"/>
    <mergeCell ref="D146:I147"/>
    <mergeCell ref="D151:I155"/>
    <mergeCell ref="D156:I157"/>
    <mergeCell ref="D158:I159"/>
  </mergeCells>
  <phoneticPr fontId="2"/>
  <pageMargins left="0.7" right="0.7" top="0.75" bottom="0.75" header="0.3" footer="0.3"/>
  <pageSetup paperSize="9"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1"/>
  <sheetViews>
    <sheetView topLeftCell="A35" zoomScaleNormal="100" workbookViewId="0">
      <selection activeCell="B56" sqref="B56"/>
    </sheetView>
  </sheetViews>
  <sheetFormatPr defaultColWidth="9" defaultRowHeight="15"/>
  <cols>
    <col min="1" max="16384" width="9" style="1"/>
  </cols>
  <sheetData>
    <row r="1" spans="1:9">
      <c r="A1" s="48" t="s">
        <v>172</v>
      </c>
      <c r="B1" s="48"/>
      <c r="C1" s="48"/>
      <c r="D1" s="48"/>
      <c r="E1" s="48"/>
      <c r="F1" s="48"/>
      <c r="G1" s="48"/>
      <c r="H1" s="48"/>
      <c r="I1" s="48"/>
    </row>
    <row r="2" spans="1:9">
      <c r="A2" s="48"/>
      <c r="B2" s="48"/>
      <c r="C2" s="48"/>
      <c r="D2" s="48"/>
      <c r="E2" s="48"/>
      <c r="F2" s="48"/>
      <c r="G2" s="48"/>
      <c r="H2" s="48"/>
      <c r="I2" s="48"/>
    </row>
    <row r="3" spans="1:9">
      <c r="A3" s="48" t="s">
        <v>173</v>
      </c>
      <c r="B3" s="48"/>
      <c r="C3" s="48"/>
      <c r="D3" s="48"/>
      <c r="E3" s="48"/>
      <c r="F3" s="48"/>
      <c r="G3" s="48"/>
      <c r="H3" s="48"/>
      <c r="I3" s="48"/>
    </row>
    <row r="4" spans="1:9">
      <c r="A4" s="11"/>
      <c r="B4" s="11"/>
      <c r="C4" s="11"/>
      <c r="D4" s="11"/>
      <c r="E4" s="11"/>
      <c r="F4" s="11"/>
      <c r="G4" s="11"/>
      <c r="H4" s="11"/>
      <c r="I4" s="11"/>
    </row>
    <row r="5" spans="1:9">
      <c r="A5" s="2" t="s">
        <v>0</v>
      </c>
      <c r="B5" s="1" t="s">
        <v>6</v>
      </c>
    </row>
    <row r="6" spans="1:9">
      <c r="B6" s="34" t="s">
        <v>174</v>
      </c>
      <c r="C6" s="34"/>
      <c r="D6" s="34"/>
      <c r="E6" s="34"/>
      <c r="F6" s="34"/>
      <c r="G6" s="34"/>
      <c r="H6" s="34"/>
      <c r="I6" s="34"/>
    </row>
    <row r="7" spans="1:9">
      <c r="B7" s="34"/>
      <c r="C7" s="34"/>
      <c r="D7" s="34"/>
      <c r="E7" s="34"/>
      <c r="F7" s="34"/>
      <c r="G7" s="34"/>
      <c r="H7" s="34"/>
      <c r="I7" s="34"/>
    </row>
    <row r="8" spans="1:9">
      <c r="A8" s="13"/>
      <c r="B8" s="2"/>
    </row>
    <row r="9" spans="1:9">
      <c r="A9" s="2" t="s">
        <v>175</v>
      </c>
      <c r="B9" s="1" t="s">
        <v>176</v>
      </c>
    </row>
    <row r="10" spans="1:9">
      <c r="B10" s="3" t="s">
        <v>177</v>
      </c>
    </row>
    <row r="11" spans="1:9">
      <c r="B11" s="3" t="s">
        <v>178</v>
      </c>
      <c r="C11" s="9"/>
      <c r="D11" s="9"/>
      <c r="E11" s="9"/>
      <c r="F11" s="9"/>
      <c r="G11" s="9"/>
      <c r="H11" s="9"/>
      <c r="I11" s="9"/>
    </row>
    <row r="12" spans="1:9">
      <c r="A12" s="2"/>
      <c r="B12" s="14" t="s">
        <v>179</v>
      </c>
      <c r="C12" s="9"/>
      <c r="D12" s="9"/>
      <c r="E12" s="9"/>
      <c r="F12" s="9"/>
      <c r="G12" s="9"/>
      <c r="H12" s="9"/>
      <c r="I12" s="9"/>
    </row>
    <row r="13" spans="1:9">
      <c r="B13" s="3"/>
      <c r="C13" s="9"/>
      <c r="D13" s="9"/>
      <c r="E13" s="9"/>
      <c r="F13" s="9"/>
      <c r="G13" s="9"/>
      <c r="H13" s="9"/>
      <c r="I13" s="9"/>
    </row>
    <row r="14" spans="1:9">
      <c r="A14" s="2" t="s">
        <v>180</v>
      </c>
      <c r="B14" s="3" t="s">
        <v>181</v>
      </c>
    </row>
    <row r="15" spans="1:9">
      <c r="B15" s="1" t="s">
        <v>182</v>
      </c>
    </row>
    <row r="16" spans="1:9">
      <c r="B16" s="2" t="s">
        <v>183</v>
      </c>
      <c r="C16" s="1" t="s">
        <v>184</v>
      </c>
      <c r="D16" s="9"/>
      <c r="E16" s="9"/>
      <c r="F16" s="9"/>
      <c r="G16" s="9"/>
      <c r="H16" s="9"/>
      <c r="I16" s="9"/>
    </row>
    <row r="17" spans="1:9">
      <c r="C17" s="34" t="s">
        <v>222</v>
      </c>
      <c r="D17" s="34"/>
      <c r="E17" s="34"/>
      <c r="F17" s="34"/>
      <c r="G17" s="34"/>
      <c r="H17" s="34"/>
      <c r="I17" s="34"/>
    </row>
    <row r="18" spans="1:9">
      <c r="B18" s="2"/>
      <c r="C18" s="34"/>
      <c r="D18" s="34"/>
      <c r="E18" s="34"/>
      <c r="F18" s="34"/>
      <c r="G18" s="34"/>
      <c r="H18" s="34"/>
      <c r="I18" s="34"/>
    </row>
    <row r="19" spans="1:9">
      <c r="B19" s="2"/>
    </row>
    <row r="20" spans="1:9">
      <c r="B20" s="2"/>
    </row>
    <row r="21" spans="1:9">
      <c r="A21" s="2" t="s">
        <v>185</v>
      </c>
      <c r="B21" s="1" t="s">
        <v>186</v>
      </c>
    </row>
    <row r="22" spans="1:9">
      <c r="A22" s="2"/>
      <c r="B22" s="3" t="s">
        <v>187</v>
      </c>
    </row>
    <row r="23" spans="1:9">
      <c r="B23" s="2" t="s">
        <v>183</v>
      </c>
      <c r="C23" s="1" t="s">
        <v>188</v>
      </c>
    </row>
    <row r="24" spans="1:9">
      <c r="B24" s="2" t="s">
        <v>189</v>
      </c>
      <c r="C24" s="3" t="s">
        <v>223</v>
      </c>
    </row>
    <row r="25" spans="1:9">
      <c r="B25" s="3"/>
      <c r="C25" s="16" t="s">
        <v>191</v>
      </c>
    </row>
    <row r="26" spans="1:9">
      <c r="B26" s="3"/>
      <c r="C26" s="34" t="s">
        <v>192</v>
      </c>
      <c r="D26" s="34"/>
      <c r="E26" s="34"/>
      <c r="F26" s="34"/>
      <c r="G26" s="34"/>
      <c r="H26" s="34"/>
      <c r="I26" s="34"/>
    </row>
    <row r="27" spans="1:9">
      <c r="B27" s="3"/>
      <c r="C27" s="34"/>
      <c r="D27" s="34"/>
      <c r="E27" s="34"/>
      <c r="F27" s="34"/>
      <c r="G27" s="34"/>
      <c r="H27" s="34"/>
      <c r="I27" s="34"/>
    </row>
    <row r="28" spans="1:9">
      <c r="B28" s="2" t="s">
        <v>193</v>
      </c>
      <c r="C28" s="1" t="s">
        <v>194</v>
      </c>
    </row>
    <row r="29" spans="1:9">
      <c r="B29" s="2" t="s">
        <v>195</v>
      </c>
      <c r="C29" s="34" t="s">
        <v>196</v>
      </c>
      <c r="D29" s="34"/>
      <c r="E29" s="34"/>
      <c r="F29" s="34"/>
      <c r="G29" s="34"/>
      <c r="H29" s="34"/>
      <c r="I29" s="34"/>
    </row>
    <row r="30" spans="1:9">
      <c r="B30" s="3"/>
      <c r="C30" s="34"/>
      <c r="D30" s="34"/>
      <c r="E30" s="34"/>
      <c r="F30" s="34"/>
      <c r="G30" s="34"/>
      <c r="H30" s="34"/>
      <c r="I30" s="34"/>
    </row>
    <row r="31" spans="1:9">
      <c r="B31" s="3"/>
    </row>
    <row r="32" spans="1:9">
      <c r="B32" s="3"/>
      <c r="C32" s="12" t="s">
        <v>197</v>
      </c>
      <c r="D32" s="61" t="s">
        <v>198</v>
      </c>
      <c r="E32" s="61"/>
      <c r="F32" s="61"/>
      <c r="G32" s="61"/>
      <c r="H32" s="61"/>
      <c r="I32" s="61"/>
    </row>
    <row r="33" spans="1:10" ht="15.75" thickBot="1">
      <c r="B33" s="3"/>
      <c r="C33" s="12"/>
      <c r="D33" s="15"/>
      <c r="E33" s="15"/>
      <c r="F33" s="15"/>
      <c r="G33" s="15"/>
      <c r="H33" s="15" t="s">
        <v>200</v>
      </c>
      <c r="I33" s="15"/>
    </row>
    <row r="34" spans="1:10" ht="15.75" thickTop="1">
      <c r="C34" s="45" t="s">
        <v>201</v>
      </c>
      <c r="D34" s="45"/>
      <c r="E34" s="47"/>
      <c r="F34" s="45" t="s">
        <v>202</v>
      </c>
      <c r="G34" s="45"/>
      <c r="H34" s="45"/>
      <c r="I34" s="45"/>
    </row>
    <row r="35" spans="1:10">
      <c r="C35" s="36" t="s">
        <v>203</v>
      </c>
      <c r="D35" s="36"/>
      <c r="E35" s="42"/>
      <c r="F35" s="48" t="s">
        <v>207</v>
      </c>
      <c r="G35" s="48"/>
      <c r="H35" s="48"/>
      <c r="I35" s="48"/>
      <c r="J35" s="6"/>
    </row>
    <row r="36" spans="1:10">
      <c r="B36" s="3"/>
      <c r="C36" s="36" t="s">
        <v>204</v>
      </c>
      <c r="D36" s="36"/>
      <c r="E36" s="42"/>
      <c r="F36" s="48" t="s">
        <v>208</v>
      </c>
      <c r="G36" s="48"/>
      <c r="H36" s="48"/>
      <c r="I36" s="48"/>
      <c r="J36" s="6"/>
    </row>
    <row r="37" spans="1:10">
      <c r="B37" s="3"/>
      <c r="C37" s="36" t="s">
        <v>206</v>
      </c>
      <c r="D37" s="36"/>
      <c r="E37" s="42"/>
      <c r="F37" s="48" t="s">
        <v>209</v>
      </c>
      <c r="G37" s="48"/>
      <c r="H37" s="48"/>
      <c r="I37" s="48"/>
      <c r="J37" s="6"/>
    </row>
    <row r="38" spans="1:10">
      <c r="B38" s="3"/>
      <c r="C38" s="37" t="s">
        <v>205</v>
      </c>
      <c r="D38" s="37"/>
      <c r="E38" s="44"/>
      <c r="F38" s="37" t="s">
        <v>210</v>
      </c>
      <c r="G38" s="37"/>
      <c r="H38" s="37"/>
      <c r="I38" s="37"/>
      <c r="J38" s="6"/>
    </row>
    <row r="39" spans="1:10">
      <c r="B39" s="3"/>
      <c r="C39" s="3"/>
      <c r="D39" s="3"/>
      <c r="E39" s="3"/>
      <c r="F39" s="3"/>
      <c r="G39" s="3"/>
      <c r="H39" s="3"/>
      <c r="I39" s="3"/>
      <c r="J39" s="6"/>
    </row>
    <row r="40" spans="1:10">
      <c r="A40" s="2" t="s">
        <v>211</v>
      </c>
      <c r="B40" s="1" t="s">
        <v>199</v>
      </c>
      <c r="C40" s="3"/>
      <c r="D40" s="3"/>
      <c r="E40" s="3"/>
      <c r="F40" s="3"/>
      <c r="G40" s="3"/>
      <c r="H40" s="3"/>
      <c r="I40" s="3"/>
    </row>
    <row r="41" spans="1:10">
      <c r="B41" s="3" t="s">
        <v>212</v>
      </c>
      <c r="C41" s="3"/>
      <c r="D41" s="3"/>
      <c r="E41" s="3"/>
      <c r="F41" s="3"/>
      <c r="G41" s="3"/>
      <c r="H41" s="3"/>
      <c r="I41" s="3"/>
    </row>
    <row r="42" spans="1:10">
      <c r="B42" s="14" t="s">
        <v>190</v>
      </c>
      <c r="C42" s="3"/>
      <c r="D42" s="3"/>
      <c r="E42" s="3"/>
      <c r="F42" s="3"/>
      <c r="G42" s="3"/>
      <c r="H42" s="3"/>
      <c r="I42" s="3"/>
    </row>
    <row r="43" spans="1:10">
      <c r="B43" s="3" t="s">
        <v>214</v>
      </c>
      <c r="C43" s="3"/>
      <c r="D43" s="3"/>
      <c r="E43" s="3"/>
      <c r="F43" s="3"/>
      <c r="G43" s="3"/>
      <c r="H43" s="3"/>
      <c r="I43" s="3"/>
    </row>
    <row r="44" spans="1:10">
      <c r="B44" s="34" t="s">
        <v>213</v>
      </c>
      <c r="C44" s="34"/>
      <c r="D44" s="34"/>
      <c r="E44" s="34"/>
      <c r="F44" s="34"/>
      <c r="G44" s="34"/>
      <c r="H44" s="34"/>
      <c r="I44" s="34"/>
    </row>
    <row r="45" spans="1:10">
      <c r="B45" s="34"/>
      <c r="C45" s="34"/>
      <c r="D45" s="34"/>
      <c r="E45" s="34"/>
      <c r="F45" s="34"/>
      <c r="G45" s="34"/>
      <c r="H45" s="34"/>
      <c r="I45" s="34"/>
      <c r="J45" s="6"/>
    </row>
    <row r="46" spans="1:10">
      <c r="B46" s="3"/>
      <c r="C46" s="3"/>
      <c r="D46" s="3"/>
      <c r="E46" s="3"/>
      <c r="F46" s="3"/>
      <c r="G46" s="3"/>
      <c r="H46" s="3"/>
      <c r="I46" s="3"/>
    </row>
    <row r="47" spans="1:10" ht="15.75" thickBot="1">
      <c r="B47" s="62" t="s">
        <v>215</v>
      </c>
      <c r="C47" s="62"/>
      <c r="D47" s="63" t="s">
        <v>216</v>
      </c>
      <c r="E47" s="63"/>
      <c r="F47" s="63"/>
      <c r="G47" s="63"/>
      <c r="H47" s="63"/>
      <c r="I47" s="63"/>
    </row>
    <row r="48" spans="1:10" ht="15.75" thickTop="1">
      <c r="B48" s="49" t="s">
        <v>217</v>
      </c>
      <c r="C48" s="49"/>
      <c r="D48" s="49"/>
      <c r="E48" s="51"/>
      <c r="F48" s="48" t="s">
        <v>219</v>
      </c>
      <c r="G48" s="48"/>
      <c r="H48" s="48"/>
      <c r="I48" s="48"/>
    </row>
    <row r="49" spans="1:9">
      <c r="B49" s="37" t="s">
        <v>218</v>
      </c>
      <c r="C49" s="37"/>
      <c r="D49" s="37"/>
      <c r="E49" s="44"/>
      <c r="F49" s="17"/>
      <c r="G49" s="17"/>
      <c r="H49" s="17"/>
      <c r="I49" s="17"/>
    </row>
    <row r="50" spans="1:9">
      <c r="B50" s="39" t="s">
        <v>220</v>
      </c>
      <c r="C50" s="39"/>
      <c r="D50" s="39"/>
      <c r="E50" s="40"/>
      <c r="F50" s="39" t="s">
        <v>224</v>
      </c>
      <c r="G50" s="39"/>
      <c r="H50" s="39"/>
      <c r="I50" s="39"/>
    </row>
    <row r="51" spans="1:9">
      <c r="B51" s="36" t="s">
        <v>221</v>
      </c>
      <c r="C51" s="36"/>
      <c r="D51" s="36"/>
      <c r="E51" s="42"/>
      <c r="F51" s="48" t="s">
        <v>225</v>
      </c>
      <c r="G51" s="48"/>
      <c r="H51" s="48"/>
      <c r="I51" s="48"/>
    </row>
    <row r="52" spans="1:9">
      <c r="B52" s="36" t="s">
        <v>349</v>
      </c>
      <c r="C52" s="36"/>
      <c r="D52" s="36"/>
      <c r="E52" s="42"/>
      <c r="F52" s="48" t="s">
        <v>226</v>
      </c>
      <c r="G52" s="48"/>
      <c r="H52" s="48"/>
      <c r="I52" s="48"/>
    </row>
    <row r="53" spans="1:9">
      <c r="B53" s="36" t="s">
        <v>350</v>
      </c>
      <c r="C53" s="36"/>
      <c r="D53" s="36"/>
      <c r="E53" s="42"/>
      <c r="F53" s="48" t="s">
        <v>227</v>
      </c>
      <c r="G53" s="48"/>
      <c r="H53" s="48"/>
      <c r="I53" s="48"/>
    </row>
    <row r="54" spans="1:9">
      <c r="B54" s="36" t="s">
        <v>351</v>
      </c>
      <c r="C54" s="36"/>
      <c r="D54" s="36"/>
      <c r="E54" s="42"/>
      <c r="F54" s="48" t="s">
        <v>228</v>
      </c>
      <c r="G54" s="48"/>
      <c r="H54" s="48"/>
      <c r="I54" s="48"/>
    </row>
    <row r="55" spans="1:9">
      <c r="B55" s="37" t="s">
        <v>352</v>
      </c>
      <c r="C55" s="37"/>
      <c r="D55" s="37"/>
      <c r="E55" s="44"/>
      <c r="F55" s="37" t="s">
        <v>229</v>
      </c>
      <c r="G55" s="37"/>
      <c r="H55" s="37"/>
      <c r="I55" s="37"/>
    </row>
    <row r="56" spans="1:9">
      <c r="B56" s="3"/>
      <c r="C56" s="3"/>
      <c r="D56" s="3"/>
      <c r="E56" s="3"/>
      <c r="F56" s="3"/>
      <c r="G56" s="3"/>
      <c r="H56" s="3"/>
      <c r="I56" s="3"/>
    </row>
    <row r="57" spans="1:9">
      <c r="A57" s="2" t="s">
        <v>230</v>
      </c>
      <c r="B57" s="1" t="s">
        <v>231</v>
      </c>
      <c r="C57" s="3"/>
      <c r="D57" s="3"/>
      <c r="E57" s="3"/>
      <c r="F57" s="3"/>
      <c r="G57" s="3"/>
      <c r="H57" s="3"/>
      <c r="I57" s="3"/>
    </row>
    <row r="58" spans="1:9">
      <c r="B58" s="3" t="s">
        <v>232</v>
      </c>
      <c r="C58" s="3"/>
      <c r="D58" s="10"/>
      <c r="E58" s="10"/>
      <c r="F58" s="10"/>
      <c r="G58" s="10"/>
      <c r="H58" s="10"/>
      <c r="I58" s="10"/>
    </row>
    <row r="59" spans="1:9">
      <c r="B59" s="2" t="s">
        <v>183</v>
      </c>
      <c r="C59" s="3" t="s">
        <v>233</v>
      </c>
      <c r="D59" s="10"/>
      <c r="E59" s="10"/>
      <c r="F59" s="10"/>
      <c r="G59" s="10"/>
      <c r="H59" s="10"/>
      <c r="I59" s="10"/>
    </row>
    <row r="60" spans="1:9">
      <c r="B60" s="2" t="s">
        <v>189</v>
      </c>
      <c r="C60" s="1" t="s">
        <v>234</v>
      </c>
    </row>
    <row r="61" spans="1:9">
      <c r="B61" s="2" t="s">
        <v>193</v>
      </c>
      <c r="C61" s="57" t="s">
        <v>235</v>
      </c>
      <c r="D61" s="57"/>
      <c r="E61" s="57"/>
      <c r="F61" s="57"/>
      <c r="G61" s="57"/>
      <c r="H61" s="57"/>
      <c r="I61" s="57"/>
    </row>
    <row r="62" spans="1:9">
      <c r="B62" s="2"/>
      <c r="C62" s="57"/>
      <c r="D62" s="57"/>
      <c r="E62" s="57"/>
      <c r="F62" s="57"/>
      <c r="G62" s="57"/>
      <c r="H62" s="57"/>
      <c r="I62" s="57"/>
    </row>
    <row r="63" spans="1:9" ht="15" customHeight="1">
      <c r="B63" s="2" t="s">
        <v>236</v>
      </c>
      <c r="C63" s="57" t="s">
        <v>237</v>
      </c>
      <c r="D63" s="57"/>
      <c r="E63" s="57"/>
      <c r="F63" s="57"/>
      <c r="G63" s="57"/>
      <c r="H63" s="57"/>
      <c r="I63" s="57"/>
    </row>
    <row r="64" spans="1:9">
      <c r="B64" s="19"/>
      <c r="C64" s="57"/>
      <c r="D64" s="57"/>
      <c r="E64" s="57"/>
      <c r="F64" s="57"/>
      <c r="G64" s="57"/>
      <c r="H64" s="57"/>
      <c r="I64" s="57"/>
    </row>
    <row r="65" spans="1:11">
      <c r="B65" s="14" t="s">
        <v>190</v>
      </c>
      <c r="C65" s="14"/>
      <c r="D65" s="19"/>
      <c r="E65" s="19"/>
      <c r="F65" s="19"/>
      <c r="G65" s="19"/>
      <c r="H65" s="19"/>
      <c r="I65" s="19"/>
    </row>
    <row r="66" spans="1:11">
      <c r="B66" s="19" t="s">
        <v>238</v>
      </c>
      <c r="C66" s="19"/>
      <c r="D66" s="19"/>
      <c r="E66" s="19"/>
      <c r="F66" s="19"/>
      <c r="G66" s="19"/>
      <c r="H66" s="19"/>
      <c r="I66" s="19"/>
    </row>
    <row r="67" spans="1:11">
      <c r="B67" s="19"/>
      <c r="C67" s="19"/>
      <c r="D67" s="19"/>
      <c r="E67" s="19"/>
      <c r="F67" s="19"/>
      <c r="G67" s="19"/>
      <c r="H67" s="19"/>
      <c r="I67" s="19"/>
    </row>
    <row r="68" spans="1:11">
      <c r="A68" s="2" t="s">
        <v>239</v>
      </c>
      <c r="B68" s="1" t="s">
        <v>240</v>
      </c>
    </row>
    <row r="69" spans="1:11" ht="15" customHeight="1">
      <c r="B69" s="1" t="s">
        <v>241</v>
      </c>
    </row>
    <row r="70" spans="1:11">
      <c r="K70" s="6"/>
    </row>
    <row r="72" spans="1:11" ht="15" customHeight="1">
      <c r="C72" s="1" t="s">
        <v>242</v>
      </c>
    </row>
    <row r="73" spans="1:11">
      <c r="C73" s="2" t="s">
        <v>243</v>
      </c>
      <c r="D73" s="1" t="s">
        <v>247</v>
      </c>
    </row>
    <row r="74" spans="1:11" ht="15" customHeight="1">
      <c r="C74" s="2" t="s">
        <v>244</v>
      </c>
      <c r="D74" s="1" t="s">
        <v>248</v>
      </c>
    </row>
    <row r="75" spans="1:11" ht="15" customHeight="1">
      <c r="C75" s="2" t="s">
        <v>245</v>
      </c>
      <c r="D75" s="1" t="s">
        <v>249</v>
      </c>
    </row>
    <row r="76" spans="1:11">
      <c r="C76" s="2" t="s">
        <v>246</v>
      </c>
      <c r="D76" s="1" t="s">
        <v>250</v>
      </c>
    </row>
    <row r="77" spans="1:11" ht="15" customHeight="1"/>
    <row r="78" spans="1:11">
      <c r="A78" s="2" t="s">
        <v>251</v>
      </c>
      <c r="B78" s="1" t="s">
        <v>252</v>
      </c>
    </row>
    <row r="79" spans="1:11">
      <c r="B79" s="1" t="s">
        <v>163</v>
      </c>
    </row>
    <row r="80" spans="1:11" ht="15" customHeight="1">
      <c r="B80" s="2" t="s">
        <v>183</v>
      </c>
      <c r="C80" s="1" t="s">
        <v>253</v>
      </c>
    </row>
    <row r="87" ht="15" customHeight="1"/>
    <row r="93" ht="15" customHeight="1"/>
    <row r="95" ht="15" customHeight="1"/>
    <row r="99" ht="15" customHeight="1"/>
    <row r="114" spans="12:12" ht="15" customHeight="1"/>
    <row r="119" spans="12:12" ht="15" customHeight="1"/>
    <row r="121" spans="12:12">
      <c r="L121" s="18"/>
    </row>
    <row r="125" spans="12:12" ht="15" customHeight="1"/>
    <row r="128" spans="12:12" ht="15" customHeight="1"/>
    <row r="130" spans="11:16" ht="15" customHeight="1"/>
    <row r="133" spans="11:16" ht="15" customHeight="1"/>
    <row r="136" spans="11:16">
      <c r="K136" s="9"/>
      <c r="L136" s="9"/>
      <c r="M136" s="9"/>
      <c r="N136" s="9"/>
      <c r="O136" s="9"/>
      <c r="P136" s="9"/>
    </row>
    <row r="137" spans="11:16" ht="15.75" customHeight="1">
      <c r="K137" s="9"/>
      <c r="L137" s="9"/>
      <c r="M137" s="9"/>
      <c r="N137" s="9"/>
      <c r="O137" s="9"/>
      <c r="P137" s="9"/>
    </row>
    <row r="138" spans="11:16">
      <c r="K138" s="9"/>
      <c r="L138" s="9"/>
      <c r="M138" s="9"/>
      <c r="N138" s="9"/>
      <c r="O138" s="9"/>
      <c r="P138" s="9"/>
    </row>
    <row r="139" spans="11:16">
      <c r="K139" s="9"/>
      <c r="L139" s="9"/>
      <c r="M139" s="9"/>
      <c r="N139" s="9"/>
      <c r="O139" s="9"/>
      <c r="P139" s="9"/>
    </row>
    <row r="149" ht="15" customHeight="1"/>
    <row r="151" ht="15" customHeight="1"/>
  </sheetData>
  <mergeCells count="37">
    <mergeCell ref="F36:I36"/>
    <mergeCell ref="C37:E37"/>
    <mergeCell ref="F37:I37"/>
    <mergeCell ref="C38:E38"/>
    <mergeCell ref="F38:I38"/>
    <mergeCell ref="B55:E55"/>
    <mergeCell ref="A1:I2"/>
    <mergeCell ref="A3:I3"/>
    <mergeCell ref="B6:I7"/>
    <mergeCell ref="C17:I18"/>
    <mergeCell ref="C26:I27"/>
    <mergeCell ref="C29:I30"/>
    <mergeCell ref="D32:I32"/>
    <mergeCell ref="C34:E34"/>
    <mergeCell ref="F34:I34"/>
    <mergeCell ref="C35:E35"/>
    <mergeCell ref="F35:I35"/>
    <mergeCell ref="B44:I45"/>
    <mergeCell ref="B47:C47"/>
    <mergeCell ref="D47:I47"/>
    <mergeCell ref="C36:E36"/>
    <mergeCell ref="F55:I55"/>
    <mergeCell ref="C61:I62"/>
    <mergeCell ref="C63:I64"/>
    <mergeCell ref="B48:E48"/>
    <mergeCell ref="F48:I48"/>
    <mergeCell ref="B49:E49"/>
    <mergeCell ref="B50:E50"/>
    <mergeCell ref="F50:I50"/>
    <mergeCell ref="B51:E51"/>
    <mergeCell ref="F51:I51"/>
    <mergeCell ref="B52:E52"/>
    <mergeCell ref="F52:I52"/>
    <mergeCell ref="B53:E53"/>
    <mergeCell ref="F53:I53"/>
    <mergeCell ref="B54:E54"/>
    <mergeCell ref="F54:I54"/>
  </mergeCells>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52"/>
  <sheetViews>
    <sheetView topLeftCell="A10" zoomScaleNormal="100" workbookViewId="0">
      <selection activeCell="S13" sqref="S13:AA13"/>
    </sheetView>
  </sheetViews>
  <sheetFormatPr defaultColWidth="9" defaultRowHeight="15"/>
  <cols>
    <col min="1" max="45" width="2.140625" style="1" customWidth="1"/>
    <col min="46" max="16384" width="9" style="1"/>
  </cols>
  <sheetData>
    <row r="1" spans="1:46" ht="15" customHeight="1">
      <c r="A1" s="39" t="s">
        <v>166</v>
      </c>
      <c r="B1" s="39"/>
      <c r="C1" s="39"/>
      <c r="D1" s="39"/>
      <c r="E1" s="140" t="s">
        <v>167</v>
      </c>
      <c r="F1" s="140"/>
      <c r="G1" s="140"/>
      <c r="H1" s="142" t="s">
        <v>269</v>
      </c>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4"/>
      <c r="AK1" s="39"/>
      <c r="AL1" s="39"/>
      <c r="AM1" s="39"/>
      <c r="AN1" s="39"/>
      <c r="AO1" s="39"/>
      <c r="AP1" s="39"/>
      <c r="AQ1" s="39"/>
      <c r="AR1" s="39"/>
      <c r="AS1" s="39"/>
    </row>
    <row r="2" spans="1:46" ht="15" customHeight="1">
      <c r="A2" s="37"/>
      <c r="B2" s="37"/>
      <c r="C2" s="37"/>
      <c r="D2" s="37"/>
      <c r="E2" s="141" t="s">
        <v>168</v>
      </c>
      <c r="F2" s="141"/>
      <c r="G2" s="141"/>
      <c r="H2" s="145"/>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7"/>
      <c r="AK2" s="37"/>
      <c r="AL2" s="37"/>
      <c r="AM2" s="37"/>
      <c r="AN2" s="37"/>
      <c r="AO2" s="37"/>
      <c r="AP2" s="37"/>
      <c r="AQ2" s="37"/>
      <c r="AR2" s="37"/>
      <c r="AS2" s="37"/>
    </row>
    <row r="3" spans="1:46" ht="15" customHeight="1">
      <c r="A3" s="59" t="s">
        <v>169</v>
      </c>
      <c r="B3" s="59"/>
      <c r="C3" s="59"/>
      <c r="D3" s="59"/>
      <c r="E3" s="59"/>
      <c r="F3" s="59"/>
      <c r="G3" s="59"/>
      <c r="H3" s="39"/>
      <c r="I3" s="39"/>
      <c r="J3" s="39"/>
      <c r="K3" s="39"/>
      <c r="L3" s="39"/>
      <c r="M3" s="39"/>
      <c r="N3" s="39"/>
      <c r="O3" s="39"/>
      <c r="P3" s="39"/>
      <c r="Q3" s="39"/>
      <c r="R3" s="39"/>
      <c r="S3" s="39"/>
      <c r="T3" s="39"/>
      <c r="U3" s="39"/>
      <c r="V3" s="39"/>
      <c r="W3" s="39"/>
      <c r="X3" s="39"/>
      <c r="Y3" s="39"/>
      <c r="Z3" s="39"/>
      <c r="AA3" s="39"/>
      <c r="AB3" s="48" t="s">
        <v>255</v>
      </c>
      <c r="AC3" s="48"/>
      <c r="AD3" s="48"/>
      <c r="AE3" s="48"/>
      <c r="AF3" s="48"/>
      <c r="AG3" s="48"/>
      <c r="AH3" s="153">
        <v>42795</v>
      </c>
      <c r="AI3" s="153"/>
      <c r="AJ3" s="153"/>
      <c r="AK3" s="153"/>
      <c r="AL3" s="153"/>
      <c r="AM3" s="153"/>
      <c r="AN3" s="153"/>
      <c r="AO3" s="153"/>
      <c r="AP3" s="153"/>
      <c r="AQ3" s="153"/>
      <c r="AR3" s="153"/>
      <c r="AS3" s="153"/>
    </row>
    <row r="4" spans="1:46">
      <c r="A4" s="59"/>
      <c r="B4" s="59"/>
      <c r="C4" s="59"/>
      <c r="D4" s="59"/>
      <c r="E4" s="59"/>
      <c r="F4" s="59"/>
      <c r="G4" s="59"/>
      <c r="H4" s="152"/>
      <c r="I4" s="152"/>
      <c r="J4" s="152"/>
      <c r="K4" s="152"/>
      <c r="L4" s="152"/>
      <c r="M4" s="152"/>
      <c r="N4" s="152"/>
      <c r="O4" s="152"/>
      <c r="P4" s="152"/>
      <c r="Q4" s="152"/>
      <c r="R4" s="152"/>
      <c r="S4" s="152"/>
      <c r="T4" s="152"/>
      <c r="U4" s="152"/>
      <c r="V4" s="152"/>
      <c r="W4" s="152"/>
      <c r="X4" s="152"/>
      <c r="Y4" s="152"/>
      <c r="Z4" s="152"/>
      <c r="AA4" s="152"/>
      <c r="AB4" s="48"/>
      <c r="AC4" s="48"/>
      <c r="AD4" s="48"/>
      <c r="AE4" s="48"/>
      <c r="AF4" s="48"/>
      <c r="AG4" s="48"/>
      <c r="AH4" s="154"/>
      <c r="AI4" s="154"/>
      <c r="AJ4" s="154"/>
      <c r="AK4" s="154"/>
      <c r="AL4" s="154"/>
      <c r="AM4" s="154"/>
      <c r="AN4" s="154"/>
      <c r="AO4" s="154"/>
      <c r="AP4" s="154"/>
      <c r="AQ4" s="154"/>
      <c r="AR4" s="154"/>
      <c r="AS4" s="154"/>
    </row>
    <row r="5" spans="1:46" ht="15" customHeight="1">
      <c r="A5" s="48"/>
      <c r="B5" s="48"/>
      <c r="C5" s="48"/>
      <c r="D5" s="48"/>
      <c r="E5" s="48"/>
      <c r="F5" s="48"/>
      <c r="G5" s="48"/>
      <c r="H5" s="48"/>
      <c r="I5" s="48"/>
      <c r="J5" s="48"/>
      <c r="K5" s="48"/>
      <c r="L5" s="48"/>
      <c r="M5" s="48"/>
      <c r="N5" s="48"/>
      <c r="O5" s="48"/>
      <c r="P5" s="48"/>
      <c r="Q5" s="48"/>
      <c r="R5" s="48"/>
      <c r="S5" s="48"/>
      <c r="T5" s="48"/>
      <c r="U5" s="48"/>
      <c r="V5" s="48"/>
      <c r="W5" s="48"/>
      <c r="X5" s="48"/>
      <c r="Y5" s="48"/>
      <c r="Z5" s="48"/>
      <c r="AA5" s="48"/>
      <c r="AB5" s="36" t="s">
        <v>256</v>
      </c>
      <c r="AC5" s="36"/>
      <c r="AD5" s="36"/>
      <c r="AE5" s="36"/>
      <c r="AF5" s="36"/>
      <c r="AG5" s="36"/>
      <c r="AH5" s="150" t="s">
        <v>254</v>
      </c>
      <c r="AI5" s="150"/>
      <c r="AJ5" s="150"/>
      <c r="AK5" s="150"/>
      <c r="AL5" s="150"/>
      <c r="AM5" s="150"/>
      <c r="AN5" s="150"/>
      <c r="AO5" s="150"/>
      <c r="AP5" s="150"/>
      <c r="AQ5" s="150"/>
      <c r="AR5" s="150"/>
      <c r="AS5" s="150"/>
    </row>
    <row r="6" spans="1:46" ht="15" customHeight="1">
      <c r="A6" s="48"/>
      <c r="B6" s="48"/>
      <c r="C6" s="48"/>
      <c r="D6" s="48"/>
      <c r="E6" s="48"/>
      <c r="F6" s="48"/>
      <c r="G6" s="48"/>
      <c r="H6" s="48"/>
      <c r="I6" s="48"/>
      <c r="J6" s="48"/>
      <c r="K6" s="48"/>
      <c r="L6" s="48"/>
      <c r="M6" s="48"/>
      <c r="N6" s="48"/>
      <c r="O6" s="48"/>
      <c r="P6" s="48"/>
      <c r="Q6" s="48"/>
      <c r="R6" s="48"/>
      <c r="S6" s="48"/>
      <c r="T6" s="48"/>
      <c r="U6" s="48"/>
      <c r="V6" s="48"/>
      <c r="W6" s="48"/>
      <c r="X6" s="48"/>
      <c r="Y6" s="48"/>
      <c r="Z6" s="48"/>
      <c r="AA6" s="48"/>
      <c r="AB6" s="36"/>
      <c r="AC6" s="36"/>
      <c r="AD6" s="36"/>
      <c r="AE6" s="36"/>
      <c r="AF6" s="36"/>
      <c r="AG6" s="36"/>
      <c r="AH6" s="151"/>
      <c r="AI6" s="151"/>
      <c r="AJ6" s="151"/>
      <c r="AK6" s="151"/>
      <c r="AL6" s="151"/>
      <c r="AM6" s="151"/>
      <c r="AN6" s="151"/>
      <c r="AO6" s="151"/>
      <c r="AP6" s="151"/>
      <c r="AQ6" s="151"/>
      <c r="AR6" s="151"/>
      <c r="AS6" s="151"/>
    </row>
    <row r="7" spans="1:46" ht="15" customHeight="1">
      <c r="A7" s="131" t="s">
        <v>170</v>
      </c>
      <c r="B7" s="91"/>
      <c r="C7" s="91"/>
      <c r="D7" s="91"/>
      <c r="E7" s="91"/>
      <c r="F7" s="91"/>
      <c r="G7" s="91"/>
      <c r="H7" s="91"/>
      <c r="I7" s="91"/>
      <c r="J7" s="136" t="s">
        <v>264</v>
      </c>
      <c r="K7" s="136"/>
      <c r="L7" s="136"/>
      <c r="M7" s="136"/>
      <c r="N7" s="136"/>
      <c r="O7" s="136"/>
      <c r="P7" s="136" t="s">
        <v>265</v>
      </c>
      <c r="Q7" s="136"/>
      <c r="R7" s="136"/>
      <c r="S7" s="136"/>
      <c r="T7" s="136"/>
      <c r="U7" s="136"/>
      <c r="V7" s="91" t="s">
        <v>266</v>
      </c>
      <c r="W7" s="91"/>
      <c r="X7" s="91"/>
      <c r="Y7" s="91"/>
      <c r="Z7" s="91"/>
      <c r="AA7" s="91"/>
      <c r="AB7" s="136" t="s">
        <v>267</v>
      </c>
      <c r="AC7" s="136"/>
      <c r="AD7" s="136"/>
      <c r="AE7" s="136"/>
      <c r="AF7" s="136"/>
      <c r="AG7" s="136"/>
      <c r="AH7" s="136" t="s">
        <v>268</v>
      </c>
      <c r="AI7" s="136"/>
      <c r="AJ7" s="136"/>
      <c r="AK7" s="136"/>
      <c r="AL7" s="136"/>
      <c r="AM7" s="136"/>
      <c r="AN7" s="136"/>
      <c r="AO7" s="136"/>
      <c r="AP7" s="136"/>
      <c r="AQ7" s="136"/>
      <c r="AR7" s="136"/>
      <c r="AS7" s="137"/>
    </row>
    <row r="8" spans="1:46" ht="15" customHeight="1">
      <c r="A8" s="123" t="s">
        <v>257</v>
      </c>
      <c r="B8" s="124"/>
      <c r="C8" s="124"/>
      <c r="D8" s="124"/>
      <c r="E8" s="124"/>
      <c r="F8" s="124"/>
      <c r="G8" s="124"/>
      <c r="H8" s="124"/>
      <c r="I8" s="124"/>
      <c r="J8" s="134"/>
      <c r="K8" s="134"/>
      <c r="L8" s="134"/>
      <c r="M8" s="134"/>
      <c r="N8" s="134"/>
      <c r="O8" s="134"/>
      <c r="P8" s="134" t="s">
        <v>259</v>
      </c>
      <c r="Q8" s="134"/>
      <c r="R8" s="134"/>
      <c r="S8" s="134"/>
      <c r="T8" s="134"/>
      <c r="U8" s="134"/>
      <c r="V8" s="134" t="s">
        <v>259</v>
      </c>
      <c r="W8" s="134"/>
      <c r="X8" s="134"/>
      <c r="Y8" s="134"/>
      <c r="Z8" s="134"/>
      <c r="AA8" s="134"/>
      <c r="AB8" s="134"/>
      <c r="AC8" s="134"/>
      <c r="AD8" s="134"/>
      <c r="AE8" s="134"/>
      <c r="AF8" s="134"/>
      <c r="AG8" s="134"/>
      <c r="AH8" s="134"/>
      <c r="AI8" s="134"/>
      <c r="AJ8" s="134"/>
      <c r="AK8" s="134"/>
      <c r="AL8" s="134"/>
      <c r="AM8" s="134"/>
      <c r="AN8" s="134"/>
      <c r="AO8" s="134"/>
      <c r="AP8" s="134"/>
      <c r="AQ8" s="134"/>
      <c r="AR8" s="134"/>
      <c r="AS8" s="148"/>
    </row>
    <row r="9" spans="1:46" ht="15" customHeight="1" thickBot="1">
      <c r="A9" s="132" t="s">
        <v>171</v>
      </c>
      <c r="B9" s="133"/>
      <c r="C9" s="133"/>
      <c r="D9" s="133"/>
      <c r="E9" s="133"/>
      <c r="F9" s="133"/>
      <c r="G9" s="133"/>
      <c r="H9" s="133"/>
      <c r="I9" s="133"/>
      <c r="J9" s="135"/>
      <c r="K9" s="135"/>
      <c r="L9" s="135"/>
      <c r="M9" s="135"/>
      <c r="N9" s="135"/>
      <c r="O9" s="135"/>
      <c r="P9" s="135" t="s">
        <v>260</v>
      </c>
      <c r="Q9" s="135"/>
      <c r="R9" s="135"/>
      <c r="S9" s="135"/>
      <c r="T9" s="135"/>
      <c r="U9" s="135"/>
      <c r="V9" s="135" t="s">
        <v>261</v>
      </c>
      <c r="W9" s="135"/>
      <c r="X9" s="135"/>
      <c r="Y9" s="135"/>
      <c r="Z9" s="135"/>
      <c r="AA9" s="135"/>
      <c r="AB9" s="135"/>
      <c r="AC9" s="135"/>
      <c r="AD9" s="135"/>
      <c r="AE9" s="135"/>
      <c r="AF9" s="135"/>
      <c r="AG9" s="135"/>
      <c r="AH9" s="135"/>
      <c r="AI9" s="135"/>
      <c r="AJ9" s="135"/>
      <c r="AK9" s="135"/>
      <c r="AL9" s="135"/>
      <c r="AM9" s="135"/>
      <c r="AN9" s="135"/>
      <c r="AO9" s="135"/>
      <c r="AP9" s="135"/>
      <c r="AQ9" s="135"/>
      <c r="AR9" s="135"/>
      <c r="AS9" s="149"/>
    </row>
    <row r="10" spans="1:46" ht="15" customHeight="1">
      <c r="A10" s="127" t="s">
        <v>312</v>
      </c>
      <c r="B10" s="128"/>
      <c r="C10" s="128"/>
      <c r="D10" s="128"/>
      <c r="E10" s="128"/>
      <c r="F10" s="128"/>
      <c r="G10" s="128"/>
      <c r="H10" s="128"/>
      <c r="I10" s="128"/>
      <c r="J10" s="129" t="s">
        <v>270</v>
      </c>
      <c r="K10" s="129"/>
      <c r="L10" s="129"/>
      <c r="M10" s="129"/>
      <c r="N10" s="129"/>
      <c r="O10" s="129"/>
      <c r="P10" s="129"/>
      <c r="Q10" s="129"/>
      <c r="R10" s="129"/>
      <c r="S10" s="129"/>
      <c r="T10" s="129"/>
      <c r="U10" s="129"/>
      <c r="V10" s="129"/>
      <c r="W10" s="129"/>
      <c r="X10" s="129"/>
      <c r="Y10" s="129"/>
      <c r="Z10" s="129"/>
      <c r="AA10" s="129"/>
      <c r="AB10" s="129" t="s">
        <v>262</v>
      </c>
      <c r="AC10" s="129"/>
      <c r="AD10" s="129"/>
      <c r="AE10" s="129"/>
      <c r="AF10" s="129"/>
      <c r="AG10" s="129"/>
      <c r="AH10" s="129"/>
      <c r="AI10" s="129"/>
      <c r="AJ10" s="129"/>
      <c r="AK10" s="129"/>
      <c r="AL10" s="129"/>
      <c r="AM10" s="129"/>
      <c r="AN10" s="129"/>
      <c r="AO10" s="129"/>
      <c r="AP10" s="129"/>
      <c r="AQ10" s="129"/>
      <c r="AR10" s="129"/>
      <c r="AS10" s="130"/>
    </row>
    <row r="11" spans="1:46" ht="15" customHeight="1">
      <c r="A11" s="123" t="s">
        <v>263</v>
      </c>
      <c r="B11" s="124"/>
      <c r="C11" s="124"/>
      <c r="D11" s="124"/>
      <c r="E11" s="124"/>
      <c r="F11" s="124"/>
      <c r="G11" s="125"/>
      <c r="H11" s="123"/>
      <c r="I11" s="124"/>
      <c r="J11" s="84" t="s">
        <v>271</v>
      </c>
      <c r="K11" s="84"/>
      <c r="L11" s="84"/>
      <c r="M11" s="84"/>
      <c r="N11" s="84"/>
      <c r="O11" s="84"/>
      <c r="P11" s="84"/>
      <c r="Q11" s="84"/>
      <c r="R11" s="84"/>
      <c r="S11" s="84" t="s">
        <v>272</v>
      </c>
      <c r="T11" s="84"/>
      <c r="U11" s="84"/>
      <c r="V11" s="84"/>
      <c r="W11" s="84"/>
      <c r="X11" s="84"/>
      <c r="Y11" s="84"/>
      <c r="Z11" s="84"/>
      <c r="AA11" s="84"/>
      <c r="AB11" s="84" t="s">
        <v>273</v>
      </c>
      <c r="AC11" s="84"/>
      <c r="AD11" s="84"/>
      <c r="AE11" s="84"/>
      <c r="AF11" s="84"/>
      <c r="AG11" s="84"/>
      <c r="AH11" s="84"/>
      <c r="AI11" s="84"/>
      <c r="AJ11" s="84"/>
      <c r="AK11" s="84" t="s">
        <v>274</v>
      </c>
      <c r="AL11" s="84"/>
      <c r="AM11" s="84"/>
      <c r="AN11" s="84"/>
      <c r="AO11" s="84"/>
      <c r="AP11" s="84"/>
      <c r="AQ11" s="84"/>
      <c r="AR11" s="84"/>
      <c r="AS11" s="85"/>
    </row>
    <row r="12" spans="1:46" ht="15" customHeight="1">
      <c r="A12" s="118" t="s">
        <v>275</v>
      </c>
      <c r="B12" s="119"/>
      <c r="C12" s="119"/>
      <c r="D12" s="119"/>
      <c r="E12" s="119"/>
      <c r="F12" s="119"/>
      <c r="G12" s="119"/>
      <c r="H12" s="119" t="s">
        <v>281</v>
      </c>
      <c r="I12" s="119"/>
      <c r="J12" s="121">
        <v>20</v>
      </c>
      <c r="K12" s="121"/>
      <c r="L12" s="121"/>
      <c r="M12" s="121"/>
      <c r="N12" s="121"/>
      <c r="O12" s="121"/>
      <c r="P12" s="121"/>
      <c r="Q12" s="121"/>
      <c r="R12" s="121"/>
      <c r="S12" s="121">
        <v>20</v>
      </c>
      <c r="T12" s="121"/>
      <c r="U12" s="121"/>
      <c r="V12" s="121"/>
      <c r="W12" s="121"/>
      <c r="X12" s="121"/>
      <c r="Y12" s="121"/>
      <c r="Z12" s="121"/>
      <c r="AA12" s="121"/>
      <c r="AB12" s="120">
        <v>69.900000000000006</v>
      </c>
      <c r="AC12" s="120"/>
      <c r="AD12" s="120"/>
      <c r="AE12" s="120"/>
      <c r="AF12" s="120"/>
      <c r="AG12" s="120"/>
      <c r="AH12" s="120"/>
      <c r="AI12" s="120"/>
      <c r="AJ12" s="120"/>
      <c r="AK12" s="120">
        <v>71.2</v>
      </c>
      <c r="AL12" s="120"/>
      <c r="AM12" s="120"/>
      <c r="AN12" s="120"/>
      <c r="AO12" s="120"/>
      <c r="AP12" s="120"/>
      <c r="AQ12" s="120"/>
      <c r="AR12" s="120"/>
      <c r="AS12" s="122"/>
    </row>
    <row r="13" spans="1:46" ht="16.5">
      <c r="A13" s="112" t="s">
        <v>276</v>
      </c>
      <c r="B13" s="82"/>
      <c r="C13" s="82"/>
      <c r="D13" s="82"/>
      <c r="E13" s="82"/>
      <c r="F13" s="82"/>
      <c r="G13" s="82"/>
      <c r="H13" s="82" t="s">
        <v>299</v>
      </c>
      <c r="I13" s="82"/>
      <c r="J13" s="113">
        <f>IF(COUNT(J12)=0,"",ROUND((J12/(1+$J$26/100)),1))</f>
        <v>10.4</v>
      </c>
      <c r="K13" s="113"/>
      <c r="L13" s="113"/>
      <c r="M13" s="113"/>
      <c r="N13" s="113"/>
      <c r="O13" s="113"/>
      <c r="P13" s="113"/>
      <c r="Q13" s="113"/>
      <c r="R13" s="113"/>
      <c r="S13" s="113">
        <f t="shared" ref="S13" si="0">IF(COUNT(S12)=0,"",ROUND((S12/(1+$J$26/100)),1))</f>
        <v>10.4</v>
      </c>
      <c r="T13" s="113"/>
      <c r="U13" s="113"/>
      <c r="V13" s="113"/>
      <c r="W13" s="113"/>
      <c r="X13" s="113"/>
      <c r="Y13" s="113"/>
      <c r="Z13" s="113"/>
      <c r="AA13" s="113"/>
      <c r="AB13" s="70">
        <f>IF(COUNT(AB12)=0,"",ROUND((AB12/(1+$AB$26/100)),1))</f>
        <v>30.1</v>
      </c>
      <c r="AC13" s="70"/>
      <c r="AD13" s="70"/>
      <c r="AE13" s="70"/>
      <c r="AF13" s="70"/>
      <c r="AG13" s="70"/>
      <c r="AH13" s="70"/>
      <c r="AI13" s="70"/>
      <c r="AJ13" s="70"/>
      <c r="AK13" s="70">
        <f>IF(COUNT(AK12)=0,"",ROUND((AK12/(1+$AB$26/100)),1))</f>
        <v>30.7</v>
      </c>
      <c r="AL13" s="70"/>
      <c r="AM13" s="70"/>
      <c r="AN13" s="70"/>
      <c r="AO13" s="70"/>
      <c r="AP13" s="70"/>
      <c r="AQ13" s="70"/>
      <c r="AR13" s="70"/>
      <c r="AS13" s="71"/>
    </row>
    <row r="14" spans="1:46" ht="16.5">
      <c r="A14" s="139" t="s">
        <v>277</v>
      </c>
      <c r="B14" s="138"/>
      <c r="C14" s="138"/>
      <c r="D14" s="138"/>
      <c r="E14" s="138"/>
      <c r="F14" s="138"/>
      <c r="G14" s="138"/>
      <c r="H14" s="138" t="s">
        <v>318</v>
      </c>
      <c r="I14" s="138"/>
      <c r="J14" s="155">
        <f>IF(COUNT(J12)=0,"",J13*5-(J12-J13))</f>
        <v>42.4</v>
      </c>
      <c r="K14" s="155"/>
      <c r="L14" s="155"/>
      <c r="M14" s="155"/>
      <c r="N14" s="155"/>
      <c r="O14" s="155"/>
      <c r="P14" s="155"/>
      <c r="Q14" s="155"/>
      <c r="R14" s="155"/>
      <c r="S14" s="155">
        <f>IF(COUNT(S12)=0,"",S13*5-(S12-S13))</f>
        <v>42.4</v>
      </c>
      <c r="T14" s="155"/>
      <c r="U14" s="155"/>
      <c r="V14" s="155"/>
      <c r="W14" s="155"/>
      <c r="X14" s="155"/>
      <c r="Y14" s="155"/>
      <c r="Z14" s="155"/>
      <c r="AA14" s="155"/>
      <c r="AB14" s="155">
        <f>IF(COUNT(AB12)=0,"",AB13*5-(AB12-AB13))</f>
        <v>110.69999999999999</v>
      </c>
      <c r="AC14" s="155"/>
      <c r="AD14" s="155"/>
      <c r="AE14" s="155"/>
      <c r="AF14" s="155"/>
      <c r="AG14" s="155"/>
      <c r="AH14" s="155"/>
      <c r="AI14" s="155"/>
      <c r="AJ14" s="155"/>
      <c r="AK14" s="155">
        <f>IF(COUNT(AK12)=0,"",AK13*5-(AK12-AK13))</f>
        <v>113</v>
      </c>
      <c r="AL14" s="155"/>
      <c r="AM14" s="155"/>
      <c r="AN14" s="155"/>
      <c r="AO14" s="155"/>
      <c r="AP14" s="155"/>
      <c r="AQ14" s="155"/>
      <c r="AR14" s="155"/>
      <c r="AS14" s="156"/>
      <c r="AT14" s="12"/>
    </row>
    <row r="15" spans="1:46" ht="16.5">
      <c r="A15" s="112" t="s">
        <v>278</v>
      </c>
      <c r="B15" s="82"/>
      <c r="C15" s="82"/>
      <c r="D15" s="82"/>
      <c r="E15" s="82"/>
      <c r="F15" s="82"/>
      <c r="G15" s="82"/>
      <c r="H15" s="82" t="s">
        <v>300</v>
      </c>
      <c r="I15" s="82"/>
      <c r="J15" s="105">
        <f t="shared" ref="J15" si="1">IF(COUNT(J12)=0,"",ROUND(((J12-J13+J14)/J13),1))</f>
        <v>5</v>
      </c>
      <c r="K15" s="105"/>
      <c r="L15" s="105"/>
      <c r="M15" s="105"/>
      <c r="N15" s="105"/>
      <c r="O15" s="105"/>
      <c r="P15" s="105"/>
      <c r="Q15" s="105"/>
      <c r="R15" s="105"/>
      <c r="S15" s="105">
        <f t="shared" ref="S15" si="2">IF(COUNT(S12)=0,"",ROUND(((S12-S13+S14)/S13),1))</f>
        <v>5</v>
      </c>
      <c r="T15" s="105"/>
      <c r="U15" s="105"/>
      <c r="V15" s="105"/>
      <c r="W15" s="105"/>
      <c r="X15" s="105"/>
      <c r="Y15" s="105"/>
      <c r="Z15" s="105"/>
      <c r="AA15" s="105"/>
      <c r="AB15" s="105">
        <f t="shared" ref="AB15" si="3">IF(COUNT(AB12)=0,"",ROUND(((AB12-AB13+AB14)/AB13),1))</f>
        <v>5</v>
      </c>
      <c r="AC15" s="105"/>
      <c r="AD15" s="105"/>
      <c r="AE15" s="105"/>
      <c r="AF15" s="105"/>
      <c r="AG15" s="105"/>
      <c r="AH15" s="105"/>
      <c r="AI15" s="105"/>
      <c r="AJ15" s="105"/>
      <c r="AK15" s="105">
        <f t="shared" ref="AK15" si="4">IF(COUNT(AK12)=0,"",ROUND(((AK12-AK13+AK14)/AK13),1))</f>
        <v>5</v>
      </c>
      <c r="AL15" s="105"/>
      <c r="AM15" s="105"/>
      <c r="AN15" s="105"/>
      <c r="AO15" s="105"/>
      <c r="AP15" s="105"/>
      <c r="AQ15" s="105"/>
      <c r="AR15" s="105"/>
      <c r="AS15" s="106"/>
    </row>
    <row r="16" spans="1:46">
      <c r="A16" s="107" t="s">
        <v>279</v>
      </c>
      <c r="B16" s="108"/>
      <c r="C16" s="108"/>
      <c r="D16" s="108"/>
      <c r="E16" s="108"/>
      <c r="F16" s="108"/>
      <c r="G16" s="108"/>
      <c r="H16" s="109" t="s">
        <v>280</v>
      </c>
      <c r="I16" s="108"/>
      <c r="J16" s="110">
        <v>25.2</v>
      </c>
      <c r="K16" s="110"/>
      <c r="L16" s="110"/>
      <c r="M16" s="110"/>
      <c r="N16" s="110"/>
      <c r="O16" s="110"/>
      <c r="P16" s="110"/>
      <c r="Q16" s="110"/>
      <c r="R16" s="110"/>
      <c r="S16" s="110">
        <v>25.3</v>
      </c>
      <c r="T16" s="110"/>
      <c r="U16" s="110"/>
      <c r="V16" s="110"/>
      <c r="W16" s="110"/>
      <c r="X16" s="110"/>
      <c r="Y16" s="110"/>
      <c r="Z16" s="110"/>
      <c r="AA16" s="110"/>
      <c r="AB16" s="110">
        <v>18</v>
      </c>
      <c r="AC16" s="110"/>
      <c r="AD16" s="110"/>
      <c r="AE16" s="110"/>
      <c r="AF16" s="110"/>
      <c r="AG16" s="110"/>
      <c r="AH16" s="110"/>
      <c r="AI16" s="110"/>
      <c r="AJ16" s="110"/>
      <c r="AK16" s="110">
        <v>18</v>
      </c>
      <c r="AL16" s="110"/>
      <c r="AM16" s="110"/>
      <c r="AN16" s="110"/>
      <c r="AO16" s="110"/>
      <c r="AP16" s="110"/>
      <c r="AQ16" s="110"/>
      <c r="AR16" s="110"/>
      <c r="AS16" s="111"/>
    </row>
    <row r="17" spans="1:46">
      <c r="A17" s="97" t="s">
        <v>283</v>
      </c>
      <c r="B17" s="98"/>
      <c r="C17" s="98"/>
      <c r="D17" s="98"/>
      <c r="E17" s="99" t="s">
        <v>285</v>
      </c>
      <c r="F17" s="99"/>
      <c r="G17" s="99"/>
      <c r="H17" s="99"/>
      <c r="I17" s="99"/>
      <c r="J17" s="104">
        <v>6.67</v>
      </c>
      <c r="K17" s="104"/>
      <c r="L17" s="104"/>
      <c r="M17" s="104"/>
      <c r="N17" s="104"/>
      <c r="O17" s="104"/>
      <c r="P17" s="104"/>
      <c r="Q17" s="104"/>
      <c r="R17" s="104"/>
      <c r="S17" s="104">
        <v>6.71</v>
      </c>
      <c r="T17" s="104"/>
      <c r="U17" s="104"/>
      <c r="V17" s="104"/>
      <c r="W17" s="104"/>
      <c r="X17" s="104"/>
      <c r="Y17" s="104"/>
      <c r="Z17" s="104"/>
      <c r="AA17" s="104"/>
      <c r="AB17" s="104">
        <v>6.6</v>
      </c>
      <c r="AC17" s="104"/>
      <c r="AD17" s="104"/>
      <c r="AE17" s="104"/>
      <c r="AF17" s="104"/>
      <c r="AG17" s="104"/>
      <c r="AH17" s="104"/>
      <c r="AI17" s="104"/>
      <c r="AJ17" s="104"/>
      <c r="AK17" s="104">
        <v>6.6</v>
      </c>
      <c r="AL17" s="104"/>
      <c r="AM17" s="104"/>
      <c r="AN17" s="104"/>
      <c r="AO17" s="104"/>
      <c r="AP17" s="104"/>
      <c r="AQ17" s="104"/>
      <c r="AR17" s="104"/>
      <c r="AS17" s="157"/>
    </row>
    <row r="18" spans="1:46">
      <c r="A18" s="97"/>
      <c r="B18" s="98"/>
      <c r="C18" s="98"/>
      <c r="D18" s="98"/>
      <c r="E18" s="99" t="s">
        <v>284</v>
      </c>
      <c r="F18" s="99"/>
      <c r="G18" s="99"/>
      <c r="H18" s="99"/>
      <c r="I18" s="99"/>
      <c r="J18" s="104">
        <f>IF(COUNT(J17)=0,"",ROUND(AVERAGE(J17:AA17),1))</f>
        <v>6.7</v>
      </c>
      <c r="K18" s="104"/>
      <c r="L18" s="104"/>
      <c r="M18" s="104"/>
      <c r="N18" s="104"/>
      <c r="O18" s="104"/>
      <c r="P18" s="104"/>
      <c r="Q18" s="104"/>
      <c r="R18" s="104"/>
      <c r="S18" s="104"/>
      <c r="T18" s="104"/>
      <c r="U18" s="104"/>
      <c r="V18" s="104"/>
      <c r="W18" s="104"/>
      <c r="X18" s="104"/>
      <c r="Y18" s="104"/>
      <c r="Z18" s="104"/>
      <c r="AA18" s="104"/>
      <c r="AB18" s="104">
        <f>IF(COUNT(AB17)=0,"",ROUND(AVERAGE(AB17:AS17),1))</f>
        <v>6.6</v>
      </c>
      <c r="AC18" s="104"/>
      <c r="AD18" s="104"/>
      <c r="AE18" s="104"/>
      <c r="AF18" s="104"/>
      <c r="AG18" s="104"/>
      <c r="AH18" s="104"/>
      <c r="AI18" s="104"/>
      <c r="AJ18" s="104"/>
      <c r="AK18" s="104"/>
      <c r="AL18" s="104"/>
      <c r="AM18" s="104"/>
      <c r="AN18" s="104"/>
      <c r="AO18" s="104"/>
      <c r="AP18" s="104"/>
      <c r="AQ18" s="104"/>
      <c r="AR18" s="104"/>
      <c r="AS18" s="157"/>
    </row>
    <row r="19" spans="1:46">
      <c r="A19" s="97" t="s">
        <v>286</v>
      </c>
      <c r="B19" s="98"/>
      <c r="C19" s="98"/>
      <c r="D19" s="98"/>
      <c r="E19" s="99" t="s">
        <v>287</v>
      </c>
      <c r="F19" s="99"/>
      <c r="G19" s="99"/>
      <c r="H19" s="99"/>
      <c r="I19" s="99"/>
      <c r="J19" s="92">
        <v>8.61</v>
      </c>
      <c r="K19" s="92"/>
      <c r="L19" s="92"/>
      <c r="M19" s="92"/>
      <c r="N19" s="92"/>
      <c r="O19" s="92"/>
      <c r="P19" s="92"/>
      <c r="Q19" s="92"/>
      <c r="R19" s="92"/>
      <c r="S19" s="100">
        <v>8.58</v>
      </c>
      <c r="T19" s="100"/>
      <c r="U19" s="100"/>
      <c r="V19" s="100"/>
      <c r="W19" s="100"/>
      <c r="X19" s="100"/>
      <c r="Y19" s="100"/>
      <c r="Z19" s="100"/>
      <c r="AA19" s="100"/>
      <c r="AB19" s="100">
        <v>14</v>
      </c>
      <c r="AC19" s="100"/>
      <c r="AD19" s="100"/>
      <c r="AE19" s="100"/>
      <c r="AF19" s="100"/>
      <c r="AG19" s="100"/>
      <c r="AH19" s="100"/>
      <c r="AI19" s="100"/>
      <c r="AJ19" s="100"/>
      <c r="AK19" s="100">
        <v>16</v>
      </c>
      <c r="AL19" s="100"/>
      <c r="AM19" s="100"/>
      <c r="AN19" s="100"/>
      <c r="AO19" s="100"/>
      <c r="AP19" s="100"/>
      <c r="AQ19" s="100"/>
      <c r="AR19" s="100"/>
      <c r="AS19" s="101"/>
    </row>
    <row r="20" spans="1:46">
      <c r="A20" s="97"/>
      <c r="B20" s="98"/>
      <c r="C20" s="98"/>
      <c r="D20" s="98"/>
      <c r="E20" s="99" t="s">
        <v>288</v>
      </c>
      <c r="F20" s="99"/>
      <c r="G20" s="99"/>
      <c r="H20" s="99"/>
      <c r="I20" s="99"/>
      <c r="J20" s="104">
        <f>IF(COUNT(J19)=0,"",ROUND(AVERAGE(J19:AA19),1))</f>
        <v>8.6</v>
      </c>
      <c r="K20" s="104"/>
      <c r="L20" s="104"/>
      <c r="M20" s="104"/>
      <c r="N20" s="104"/>
      <c r="O20" s="104"/>
      <c r="P20" s="104"/>
      <c r="Q20" s="104"/>
      <c r="R20" s="104"/>
      <c r="S20" s="104"/>
      <c r="T20" s="104"/>
      <c r="U20" s="104"/>
      <c r="V20" s="104"/>
      <c r="W20" s="104"/>
      <c r="X20" s="104"/>
      <c r="Y20" s="104"/>
      <c r="Z20" s="104"/>
      <c r="AA20" s="104"/>
      <c r="AB20" s="100">
        <f>IF(COUNT(AB19)=0,"",ROUND(AVERAGE(AB19:AS19),1))</f>
        <v>15</v>
      </c>
      <c r="AC20" s="100"/>
      <c r="AD20" s="100"/>
      <c r="AE20" s="100"/>
      <c r="AF20" s="100"/>
      <c r="AG20" s="100"/>
      <c r="AH20" s="100"/>
      <c r="AI20" s="100"/>
      <c r="AJ20" s="100"/>
      <c r="AK20" s="100"/>
      <c r="AL20" s="100"/>
      <c r="AM20" s="100"/>
      <c r="AN20" s="100"/>
      <c r="AO20" s="100"/>
      <c r="AP20" s="100"/>
      <c r="AQ20" s="100"/>
      <c r="AR20" s="100"/>
      <c r="AS20" s="101"/>
    </row>
    <row r="21" spans="1:46" ht="15" customHeight="1">
      <c r="A21" s="76" t="s">
        <v>296</v>
      </c>
      <c r="B21" s="77"/>
      <c r="C21" s="77"/>
      <c r="D21" s="77"/>
      <c r="E21" s="91" t="s">
        <v>289</v>
      </c>
      <c r="F21" s="91"/>
      <c r="G21" s="91"/>
      <c r="H21" s="91"/>
      <c r="I21" s="91"/>
      <c r="J21" s="89">
        <v>122</v>
      </c>
      <c r="K21" s="89"/>
      <c r="L21" s="89"/>
      <c r="M21" s="89"/>
      <c r="N21" s="89"/>
      <c r="O21" s="89"/>
      <c r="P21" s="89">
        <v>852</v>
      </c>
      <c r="Q21" s="89"/>
      <c r="R21" s="89"/>
      <c r="S21" s="89"/>
      <c r="T21" s="89"/>
      <c r="U21" s="89"/>
      <c r="V21" s="89">
        <v>1281</v>
      </c>
      <c r="W21" s="89"/>
      <c r="X21" s="89"/>
      <c r="Y21" s="89"/>
      <c r="Z21" s="89"/>
      <c r="AA21" s="89"/>
      <c r="AB21" s="89">
        <v>367</v>
      </c>
      <c r="AC21" s="89"/>
      <c r="AD21" s="89"/>
      <c r="AE21" s="89"/>
      <c r="AF21" s="89"/>
      <c r="AG21" s="89"/>
      <c r="AH21" s="89">
        <v>368</v>
      </c>
      <c r="AI21" s="89"/>
      <c r="AJ21" s="89"/>
      <c r="AK21" s="89"/>
      <c r="AL21" s="89"/>
      <c r="AM21" s="89"/>
      <c r="AN21" s="89">
        <v>369</v>
      </c>
      <c r="AO21" s="89"/>
      <c r="AP21" s="89"/>
      <c r="AQ21" s="89"/>
      <c r="AR21" s="89"/>
      <c r="AS21" s="90"/>
    </row>
    <row r="22" spans="1:46" ht="16.5">
      <c r="A22" s="78"/>
      <c r="B22" s="79"/>
      <c r="C22" s="79"/>
      <c r="D22" s="79"/>
      <c r="E22" s="86" t="s">
        <v>290</v>
      </c>
      <c r="F22" s="86"/>
      <c r="G22" s="86"/>
      <c r="H22" s="86" t="s">
        <v>293</v>
      </c>
      <c r="I22" s="86"/>
      <c r="J22" s="84">
        <v>42.04</v>
      </c>
      <c r="K22" s="84"/>
      <c r="L22" s="84"/>
      <c r="M22" s="84"/>
      <c r="N22" s="84"/>
      <c r="O22" s="84"/>
      <c r="P22" s="84">
        <v>42.22</v>
      </c>
      <c r="Q22" s="84"/>
      <c r="R22" s="84"/>
      <c r="S22" s="84"/>
      <c r="T22" s="84"/>
      <c r="U22" s="84"/>
      <c r="V22" s="84">
        <v>42.34</v>
      </c>
      <c r="W22" s="84"/>
      <c r="X22" s="84"/>
      <c r="Y22" s="84"/>
      <c r="Z22" s="84"/>
      <c r="AA22" s="84"/>
      <c r="AB22" s="84">
        <v>42.94</v>
      </c>
      <c r="AC22" s="84"/>
      <c r="AD22" s="84"/>
      <c r="AE22" s="84"/>
      <c r="AF22" s="84"/>
      <c r="AG22" s="84"/>
      <c r="AH22" s="84">
        <v>44.1</v>
      </c>
      <c r="AI22" s="84"/>
      <c r="AJ22" s="84"/>
      <c r="AK22" s="84"/>
      <c r="AL22" s="84"/>
      <c r="AM22" s="84"/>
      <c r="AN22" s="84">
        <v>44.1</v>
      </c>
      <c r="AO22" s="84"/>
      <c r="AP22" s="84"/>
      <c r="AQ22" s="84"/>
      <c r="AR22" s="84"/>
      <c r="AS22" s="85"/>
      <c r="AT22" s="12"/>
    </row>
    <row r="23" spans="1:46" ht="16.5">
      <c r="A23" s="78"/>
      <c r="B23" s="79"/>
      <c r="C23" s="79"/>
      <c r="D23" s="79"/>
      <c r="E23" s="86" t="s">
        <v>291</v>
      </c>
      <c r="F23" s="86"/>
      <c r="G23" s="86"/>
      <c r="H23" s="86" t="s">
        <v>293</v>
      </c>
      <c r="I23" s="86"/>
      <c r="J23" s="84">
        <v>32.47</v>
      </c>
      <c r="K23" s="84"/>
      <c r="L23" s="84"/>
      <c r="M23" s="84"/>
      <c r="N23" s="84"/>
      <c r="O23" s="84"/>
      <c r="P23" s="84">
        <v>32.54</v>
      </c>
      <c r="Q23" s="84"/>
      <c r="R23" s="84"/>
      <c r="S23" s="84"/>
      <c r="T23" s="84"/>
      <c r="U23" s="84"/>
      <c r="V23" s="84">
        <v>32.58</v>
      </c>
      <c r="W23" s="84"/>
      <c r="X23" s="84"/>
      <c r="Y23" s="84"/>
      <c r="Z23" s="84"/>
      <c r="AA23" s="84"/>
      <c r="AB23" s="84">
        <v>31.13</v>
      </c>
      <c r="AC23" s="84"/>
      <c r="AD23" s="84"/>
      <c r="AE23" s="84"/>
      <c r="AF23" s="84"/>
      <c r="AG23" s="84"/>
      <c r="AH23" s="87">
        <v>31.6</v>
      </c>
      <c r="AI23" s="87"/>
      <c r="AJ23" s="87"/>
      <c r="AK23" s="87"/>
      <c r="AL23" s="87"/>
      <c r="AM23" s="87"/>
      <c r="AN23" s="87">
        <v>31.6</v>
      </c>
      <c r="AO23" s="87"/>
      <c r="AP23" s="87"/>
      <c r="AQ23" s="87"/>
      <c r="AR23" s="87"/>
      <c r="AS23" s="88"/>
      <c r="AT23" s="12"/>
    </row>
    <row r="24" spans="1:46" ht="16.5">
      <c r="A24" s="78"/>
      <c r="B24" s="79"/>
      <c r="C24" s="79"/>
      <c r="D24" s="79"/>
      <c r="E24" s="86" t="s">
        <v>292</v>
      </c>
      <c r="F24" s="86"/>
      <c r="G24" s="86"/>
      <c r="H24" s="86" t="s">
        <v>293</v>
      </c>
      <c r="I24" s="86"/>
      <c r="J24" s="84">
        <v>22.18</v>
      </c>
      <c r="K24" s="84"/>
      <c r="L24" s="84"/>
      <c r="M24" s="84"/>
      <c r="N24" s="84"/>
      <c r="O24" s="84"/>
      <c r="P24" s="84">
        <v>22.17</v>
      </c>
      <c r="Q24" s="84"/>
      <c r="R24" s="84"/>
      <c r="S24" s="84"/>
      <c r="T24" s="84"/>
      <c r="U24" s="84"/>
      <c r="V24" s="84">
        <v>22.18</v>
      </c>
      <c r="W24" s="84"/>
      <c r="X24" s="84"/>
      <c r="Y24" s="84"/>
      <c r="Z24" s="84"/>
      <c r="AA24" s="84"/>
      <c r="AB24" s="87">
        <v>22.2</v>
      </c>
      <c r="AC24" s="87"/>
      <c r="AD24" s="87"/>
      <c r="AE24" s="87"/>
      <c r="AF24" s="87"/>
      <c r="AG24" s="87"/>
      <c r="AH24" s="87">
        <v>22.1</v>
      </c>
      <c r="AI24" s="87"/>
      <c r="AJ24" s="87"/>
      <c r="AK24" s="87"/>
      <c r="AL24" s="87"/>
      <c r="AM24" s="87"/>
      <c r="AN24" s="87">
        <v>22.1</v>
      </c>
      <c r="AO24" s="87"/>
      <c r="AP24" s="87"/>
      <c r="AQ24" s="87"/>
      <c r="AR24" s="87"/>
      <c r="AS24" s="88"/>
      <c r="AT24" s="12"/>
    </row>
    <row r="25" spans="1:46">
      <c r="A25" s="78"/>
      <c r="B25" s="79"/>
      <c r="C25" s="79"/>
      <c r="D25" s="79"/>
      <c r="E25" s="82" t="s">
        <v>294</v>
      </c>
      <c r="F25" s="82"/>
      <c r="G25" s="82"/>
      <c r="H25" s="82" t="s">
        <v>295</v>
      </c>
      <c r="I25" s="82"/>
      <c r="J25" s="113">
        <f>IF(COUNT(J22)=0,"",ROUND((J22-J23)/(J23-J24)*100,0))</f>
        <v>93</v>
      </c>
      <c r="K25" s="113"/>
      <c r="L25" s="113"/>
      <c r="M25" s="113"/>
      <c r="N25" s="113"/>
      <c r="O25" s="113"/>
      <c r="P25" s="113">
        <f t="shared" ref="P25" si="5">IF(COUNT(P22)=0,"",ROUND((P22-P23)/(P23-P24)*100,0))</f>
        <v>93</v>
      </c>
      <c r="Q25" s="113"/>
      <c r="R25" s="113"/>
      <c r="S25" s="113"/>
      <c r="T25" s="113"/>
      <c r="U25" s="113"/>
      <c r="V25" s="113">
        <f t="shared" ref="V25" si="6">IF(COUNT(V22)=0,"",ROUND((V22-V23)/(V23-V24)*100,0))</f>
        <v>94</v>
      </c>
      <c r="W25" s="113"/>
      <c r="X25" s="113"/>
      <c r="Y25" s="113"/>
      <c r="Z25" s="113"/>
      <c r="AA25" s="113"/>
      <c r="AB25" s="70">
        <f t="shared" ref="AB25" si="7">IF(COUNT(AB22)=0,"",ROUND((AB22-AB23)/(AB23-AB24)*100,0))</f>
        <v>132</v>
      </c>
      <c r="AC25" s="70"/>
      <c r="AD25" s="70"/>
      <c r="AE25" s="70"/>
      <c r="AF25" s="70"/>
      <c r="AG25" s="70"/>
      <c r="AH25" s="70">
        <f t="shared" ref="AH25" si="8">IF(COUNT(AH22)=0,"",ROUND((AH22-AH23)/(AH23-AH24)*100,0))</f>
        <v>132</v>
      </c>
      <c r="AI25" s="70"/>
      <c r="AJ25" s="70"/>
      <c r="AK25" s="70"/>
      <c r="AL25" s="70"/>
      <c r="AM25" s="70"/>
      <c r="AN25" s="70">
        <f t="shared" ref="AN25" si="9">IF(COUNT(AN22)=0,"",ROUND((AN22-AN23)/(AN23-AN24)*100,0))</f>
        <v>132</v>
      </c>
      <c r="AO25" s="70"/>
      <c r="AP25" s="70"/>
      <c r="AQ25" s="70"/>
      <c r="AR25" s="70"/>
      <c r="AS25" s="71"/>
    </row>
    <row r="26" spans="1:46">
      <c r="A26" s="80"/>
      <c r="B26" s="81"/>
      <c r="C26" s="81"/>
      <c r="D26" s="81"/>
      <c r="E26" s="72" t="s">
        <v>297</v>
      </c>
      <c r="F26" s="72"/>
      <c r="G26" s="72"/>
      <c r="H26" s="72" t="s">
        <v>295</v>
      </c>
      <c r="I26" s="72"/>
      <c r="J26" s="74">
        <f>IF(COUNT(J22)=0,"",ROUND(AVERAGE(J25:AA25),0))</f>
        <v>93</v>
      </c>
      <c r="K26" s="74"/>
      <c r="L26" s="74"/>
      <c r="M26" s="74"/>
      <c r="N26" s="74"/>
      <c r="O26" s="74"/>
      <c r="P26" s="74"/>
      <c r="Q26" s="74"/>
      <c r="R26" s="74"/>
      <c r="S26" s="74"/>
      <c r="T26" s="74"/>
      <c r="U26" s="74"/>
      <c r="V26" s="74"/>
      <c r="W26" s="74"/>
      <c r="X26" s="74"/>
      <c r="Y26" s="74"/>
      <c r="Z26" s="74"/>
      <c r="AA26" s="74"/>
      <c r="AB26" s="74">
        <f>IF(COUNT(AB22)=0,"",ROUND(AVERAGE(AB25:AS25),0))</f>
        <v>132</v>
      </c>
      <c r="AC26" s="74"/>
      <c r="AD26" s="74"/>
      <c r="AE26" s="74"/>
      <c r="AF26" s="74"/>
      <c r="AG26" s="74"/>
      <c r="AH26" s="74"/>
      <c r="AI26" s="74"/>
      <c r="AJ26" s="74"/>
      <c r="AK26" s="74"/>
      <c r="AL26" s="74"/>
      <c r="AM26" s="74"/>
      <c r="AN26" s="74"/>
      <c r="AO26" s="74"/>
      <c r="AP26" s="74"/>
      <c r="AQ26" s="74"/>
      <c r="AR26" s="74"/>
      <c r="AS26" s="75"/>
    </row>
    <row r="27" spans="1:46">
      <c r="A27" s="40" t="s">
        <v>298</v>
      </c>
      <c r="B27" s="55"/>
      <c r="C27" s="55"/>
      <c r="D27" s="55"/>
      <c r="E27" s="55"/>
      <c r="F27" s="55"/>
      <c r="G27" s="55"/>
      <c r="H27" s="55"/>
      <c r="I27" s="55"/>
      <c r="J27" s="66" t="s">
        <v>308</v>
      </c>
      <c r="K27" s="66"/>
      <c r="L27" s="66"/>
      <c r="M27" s="66"/>
      <c r="N27" s="66"/>
      <c r="O27" s="66"/>
      <c r="P27" s="66"/>
      <c r="Q27" s="66"/>
      <c r="R27" s="66"/>
      <c r="S27" s="66"/>
      <c r="T27" s="66"/>
      <c r="U27" s="66"/>
      <c r="V27" s="66"/>
      <c r="W27" s="66"/>
      <c r="X27" s="66"/>
      <c r="Y27" s="66"/>
      <c r="Z27" s="66"/>
      <c r="AA27" s="66"/>
      <c r="AB27" s="55" t="s">
        <v>303</v>
      </c>
      <c r="AC27" s="55"/>
      <c r="AD27" s="55"/>
      <c r="AE27" s="55"/>
      <c r="AF27" s="55"/>
      <c r="AG27" s="55"/>
      <c r="AH27" s="55"/>
      <c r="AI27" s="55"/>
      <c r="AJ27" s="55"/>
      <c r="AK27" s="55"/>
      <c r="AL27" s="55"/>
      <c r="AM27" s="55"/>
      <c r="AN27" s="55"/>
      <c r="AO27" s="55"/>
      <c r="AP27" s="55"/>
      <c r="AQ27" s="55"/>
      <c r="AR27" s="55"/>
      <c r="AS27" s="38"/>
    </row>
    <row r="28" spans="1:46" ht="15.75" thickBot="1">
      <c r="A28" s="64"/>
      <c r="B28" s="65"/>
      <c r="C28" s="65"/>
      <c r="D28" s="65"/>
      <c r="E28" s="65"/>
      <c r="F28" s="65"/>
      <c r="G28" s="65"/>
      <c r="H28" s="65"/>
      <c r="I28" s="65"/>
      <c r="J28" s="67"/>
      <c r="K28" s="67"/>
      <c r="L28" s="67"/>
      <c r="M28" s="67"/>
      <c r="N28" s="67"/>
      <c r="O28" s="67"/>
      <c r="P28" s="67"/>
      <c r="Q28" s="67"/>
      <c r="R28" s="67"/>
      <c r="S28" s="67"/>
      <c r="T28" s="67"/>
      <c r="U28" s="67"/>
      <c r="V28" s="67"/>
      <c r="W28" s="67"/>
      <c r="X28" s="67"/>
      <c r="Y28" s="67"/>
      <c r="Z28" s="67"/>
      <c r="AA28" s="67"/>
      <c r="AB28" s="65"/>
      <c r="AC28" s="65"/>
      <c r="AD28" s="65"/>
      <c r="AE28" s="65"/>
      <c r="AF28" s="65"/>
      <c r="AG28" s="65"/>
      <c r="AH28" s="65"/>
      <c r="AI28" s="65"/>
      <c r="AJ28" s="65"/>
      <c r="AK28" s="65"/>
      <c r="AL28" s="65"/>
      <c r="AM28" s="65"/>
      <c r="AN28" s="65"/>
      <c r="AO28" s="65"/>
      <c r="AP28" s="65"/>
      <c r="AQ28" s="65"/>
      <c r="AR28" s="65"/>
      <c r="AS28" s="126"/>
    </row>
    <row r="29" spans="1:46">
      <c r="A29" s="127" t="s">
        <v>258</v>
      </c>
      <c r="B29" s="128"/>
      <c r="C29" s="128"/>
      <c r="D29" s="128"/>
      <c r="E29" s="128"/>
      <c r="F29" s="128"/>
      <c r="G29" s="128"/>
      <c r="H29" s="128"/>
      <c r="I29" s="128"/>
      <c r="J29" s="129" t="s">
        <v>270</v>
      </c>
      <c r="K29" s="129"/>
      <c r="L29" s="129"/>
      <c r="M29" s="129"/>
      <c r="N29" s="129"/>
      <c r="O29" s="129"/>
      <c r="P29" s="129"/>
      <c r="Q29" s="129"/>
      <c r="R29" s="129"/>
      <c r="S29" s="129"/>
      <c r="T29" s="129"/>
      <c r="U29" s="129"/>
      <c r="V29" s="129"/>
      <c r="W29" s="129"/>
      <c r="X29" s="129"/>
      <c r="Y29" s="129"/>
      <c r="Z29" s="129"/>
      <c r="AA29" s="129"/>
      <c r="AB29" s="129" t="s">
        <v>262</v>
      </c>
      <c r="AC29" s="129"/>
      <c r="AD29" s="129"/>
      <c r="AE29" s="129"/>
      <c r="AF29" s="129"/>
      <c r="AG29" s="129"/>
      <c r="AH29" s="129"/>
      <c r="AI29" s="129"/>
      <c r="AJ29" s="129"/>
      <c r="AK29" s="129"/>
      <c r="AL29" s="129"/>
      <c r="AM29" s="129"/>
      <c r="AN29" s="129"/>
      <c r="AO29" s="129"/>
      <c r="AP29" s="129"/>
      <c r="AQ29" s="129"/>
      <c r="AR29" s="129"/>
      <c r="AS29" s="130"/>
    </row>
    <row r="30" spans="1:46">
      <c r="A30" s="123" t="s">
        <v>263</v>
      </c>
      <c r="B30" s="124"/>
      <c r="C30" s="124"/>
      <c r="D30" s="124"/>
      <c r="E30" s="124"/>
      <c r="F30" s="124"/>
      <c r="G30" s="125"/>
      <c r="H30" s="123"/>
      <c r="I30" s="124"/>
      <c r="J30" s="84" t="s">
        <v>301</v>
      </c>
      <c r="K30" s="84"/>
      <c r="L30" s="84"/>
      <c r="M30" s="84"/>
      <c r="N30" s="84"/>
      <c r="O30" s="84"/>
      <c r="P30" s="84"/>
      <c r="Q30" s="84"/>
      <c r="R30" s="84"/>
      <c r="S30" s="84" t="s">
        <v>302</v>
      </c>
      <c r="T30" s="84"/>
      <c r="U30" s="84"/>
      <c r="V30" s="84"/>
      <c r="W30" s="84"/>
      <c r="X30" s="84"/>
      <c r="Y30" s="84"/>
      <c r="Z30" s="84"/>
      <c r="AA30" s="84"/>
      <c r="AB30" s="84" t="s">
        <v>304</v>
      </c>
      <c r="AC30" s="84"/>
      <c r="AD30" s="84"/>
      <c r="AE30" s="84"/>
      <c r="AF30" s="84"/>
      <c r="AG30" s="84"/>
      <c r="AH30" s="84"/>
      <c r="AI30" s="84"/>
      <c r="AJ30" s="84"/>
      <c r="AK30" s="84" t="s">
        <v>305</v>
      </c>
      <c r="AL30" s="84"/>
      <c r="AM30" s="84"/>
      <c r="AN30" s="84"/>
      <c r="AO30" s="84"/>
      <c r="AP30" s="84"/>
      <c r="AQ30" s="84"/>
      <c r="AR30" s="84"/>
      <c r="AS30" s="85"/>
    </row>
    <row r="31" spans="1:46">
      <c r="A31" s="118" t="s">
        <v>275</v>
      </c>
      <c r="B31" s="119"/>
      <c r="C31" s="119"/>
      <c r="D31" s="119"/>
      <c r="E31" s="119"/>
      <c r="F31" s="119"/>
      <c r="G31" s="119"/>
      <c r="H31" s="119" t="s">
        <v>281</v>
      </c>
      <c r="I31" s="119"/>
      <c r="J31" s="120">
        <v>120.1</v>
      </c>
      <c r="K31" s="120"/>
      <c r="L31" s="120"/>
      <c r="M31" s="120"/>
      <c r="N31" s="120"/>
      <c r="O31" s="120"/>
      <c r="P31" s="120"/>
      <c r="Q31" s="120"/>
      <c r="R31" s="120"/>
      <c r="S31" s="121">
        <v>120</v>
      </c>
      <c r="T31" s="121"/>
      <c r="U31" s="121"/>
      <c r="V31" s="121"/>
      <c r="W31" s="121"/>
      <c r="X31" s="121"/>
      <c r="Y31" s="121"/>
      <c r="Z31" s="121"/>
      <c r="AA31" s="121"/>
      <c r="AB31" s="120">
        <v>39.200000000000003</v>
      </c>
      <c r="AC31" s="120"/>
      <c r="AD31" s="120"/>
      <c r="AE31" s="120"/>
      <c r="AF31" s="120"/>
      <c r="AG31" s="120"/>
      <c r="AH31" s="120"/>
      <c r="AI31" s="120"/>
      <c r="AJ31" s="120"/>
      <c r="AK31" s="120">
        <v>39.1</v>
      </c>
      <c r="AL31" s="120"/>
      <c r="AM31" s="120"/>
      <c r="AN31" s="120"/>
      <c r="AO31" s="120"/>
      <c r="AP31" s="120"/>
      <c r="AQ31" s="120"/>
      <c r="AR31" s="120"/>
      <c r="AS31" s="122"/>
    </row>
    <row r="32" spans="1:46" ht="16.5">
      <c r="A32" s="112" t="s">
        <v>276</v>
      </c>
      <c r="B32" s="82"/>
      <c r="C32" s="82"/>
      <c r="D32" s="82"/>
      <c r="E32" s="82"/>
      <c r="F32" s="82"/>
      <c r="G32" s="82"/>
      <c r="H32" s="82" t="s">
        <v>299</v>
      </c>
      <c r="I32" s="82"/>
      <c r="J32" s="113">
        <f>IF(COUNT(J31)=0,"",ROUND((J31/(1+$J$45/100)),1))</f>
        <v>30</v>
      </c>
      <c r="K32" s="113"/>
      <c r="L32" s="113"/>
      <c r="M32" s="113"/>
      <c r="N32" s="113"/>
      <c r="O32" s="113"/>
      <c r="P32" s="113"/>
      <c r="Q32" s="113"/>
      <c r="R32" s="113"/>
      <c r="S32" s="113">
        <f>IF(COUNT(S31)=0,"",ROUND((S31/(1+$J$45/100)),1))</f>
        <v>30</v>
      </c>
      <c r="T32" s="113"/>
      <c r="U32" s="113"/>
      <c r="V32" s="113"/>
      <c r="W32" s="113"/>
      <c r="X32" s="113"/>
      <c r="Y32" s="113"/>
      <c r="Z32" s="113"/>
      <c r="AA32" s="113"/>
      <c r="AB32" s="113">
        <f>IF(COUNT(AB31)=0,"",ROUND((AB31/(1+$AB$45/100)),1))</f>
        <v>30</v>
      </c>
      <c r="AC32" s="113"/>
      <c r="AD32" s="113"/>
      <c r="AE32" s="113"/>
      <c r="AF32" s="113"/>
      <c r="AG32" s="113"/>
      <c r="AH32" s="113"/>
      <c r="AI32" s="113"/>
      <c r="AJ32" s="113"/>
      <c r="AK32" s="113">
        <f>IF(COUNT(AK31)=0,"",ROUND((AK31/(1+$AB$45/100)),1))</f>
        <v>30</v>
      </c>
      <c r="AL32" s="113"/>
      <c r="AM32" s="113"/>
      <c r="AN32" s="113"/>
      <c r="AO32" s="113"/>
      <c r="AP32" s="113"/>
      <c r="AQ32" s="113"/>
      <c r="AR32" s="113"/>
      <c r="AS32" s="114"/>
    </row>
    <row r="33" spans="1:46" ht="16.5">
      <c r="A33" s="115" t="s">
        <v>277</v>
      </c>
      <c r="B33" s="86"/>
      <c r="C33" s="86"/>
      <c r="D33" s="86"/>
      <c r="E33" s="86"/>
      <c r="F33" s="86"/>
      <c r="G33" s="86"/>
      <c r="H33" s="86" t="s">
        <v>282</v>
      </c>
      <c r="I33" s="86"/>
      <c r="J33" s="116">
        <f>IF(COUNT(J31)=0,"",J32*5-(J31-J32))</f>
        <v>59.900000000000006</v>
      </c>
      <c r="K33" s="116"/>
      <c r="L33" s="116"/>
      <c r="M33" s="116"/>
      <c r="N33" s="116"/>
      <c r="O33" s="116"/>
      <c r="P33" s="116"/>
      <c r="Q33" s="116"/>
      <c r="R33" s="116"/>
      <c r="S33" s="116">
        <f>IF(COUNT(S31)=0,"",S32*5-(S31-S32))</f>
        <v>60</v>
      </c>
      <c r="T33" s="116"/>
      <c r="U33" s="116"/>
      <c r="V33" s="116"/>
      <c r="W33" s="116"/>
      <c r="X33" s="116"/>
      <c r="Y33" s="116"/>
      <c r="Z33" s="116"/>
      <c r="AA33" s="116"/>
      <c r="AB33" s="116">
        <f t="shared" ref="AB33" si="10">IF(COUNT(AB31)=0,"",AB32*5-(AB31-AB32))</f>
        <v>140.80000000000001</v>
      </c>
      <c r="AC33" s="116"/>
      <c r="AD33" s="116"/>
      <c r="AE33" s="116"/>
      <c r="AF33" s="116"/>
      <c r="AG33" s="116"/>
      <c r="AH33" s="116"/>
      <c r="AI33" s="116"/>
      <c r="AJ33" s="116"/>
      <c r="AK33" s="116">
        <f t="shared" ref="AK33" si="11">IF(COUNT(AK31)=0,"",AK32*5-(AK31-AK32))</f>
        <v>140.9</v>
      </c>
      <c r="AL33" s="116"/>
      <c r="AM33" s="116"/>
      <c r="AN33" s="116"/>
      <c r="AO33" s="116"/>
      <c r="AP33" s="116"/>
      <c r="AQ33" s="116"/>
      <c r="AR33" s="116"/>
      <c r="AS33" s="117"/>
      <c r="AT33" s="12"/>
    </row>
    <row r="34" spans="1:46" ht="16.5">
      <c r="A34" s="112" t="s">
        <v>278</v>
      </c>
      <c r="B34" s="82"/>
      <c r="C34" s="82"/>
      <c r="D34" s="82"/>
      <c r="E34" s="82"/>
      <c r="F34" s="82"/>
      <c r="G34" s="82"/>
      <c r="H34" s="82" t="s">
        <v>300</v>
      </c>
      <c r="I34" s="82"/>
      <c r="J34" s="105">
        <f>IF(COUNT(J31)=0,"",ROUND(((J31-J32+J33)/J32),2))</f>
        <v>5</v>
      </c>
      <c r="K34" s="105"/>
      <c r="L34" s="105"/>
      <c r="M34" s="105"/>
      <c r="N34" s="105"/>
      <c r="O34" s="105"/>
      <c r="P34" s="105"/>
      <c r="Q34" s="105"/>
      <c r="R34" s="105"/>
      <c r="S34" s="105">
        <f>IF(COUNT(S31)=0,"",ROUND(((S31-S32+S33)/S32),2))</f>
        <v>5</v>
      </c>
      <c r="T34" s="105"/>
      <c r="U34" s="105"/>
      <c r="V34" s="105"/>
      <c r="W34" s="105"/>
      <c r="X34" s="105"/>
      <c r="Y34" s="105"/>
      <c r="Z34" s="105"/>
      <c r="AA34" s="105"/>
      <c r="AB34" s="105">
        <f>IF(COUNT(AB31)=0,"",ROUND(((AB31-AB32+AB33)/AB32),2))</f>
        <v>5</v>
      </c>
      <c r="AC34" s="105"/>
      <c r="AD34" s="105"/>
      <c r="AE34" s="105"/>
      <c r="AF34" s="105"/>
      <c r="AG34" s="105"/>
      <c r="AH34" s="105"/>
      <c r="AI34" s="105"/>
      <c r="AJ34" s="105"/>
      <c r="AK34" s="105">
        <f>IF(COUNT(AK31)=0,"",ROUND(((AK31-AK32+AK33)/AK32),2))</f>
        <v>5</v>
      </c>
      <c r="AL34" s="105"/>
      <c r="AM34" s="105"/>
      <c r="AN34" s="105"/>
      <c r="AO34" s="105"/>
      <c r="AP34" s="105"/>
      <c r="AQ34" s="105"/>
      <c r="AR34" s="105"/>
      <c r="AS34" s="106"/>
    </row>
    <row r="35" spans="1:46">
      <c r="A35" s="107" t="s">
        <v>279</v>
      </c>
      <c r="B35" s="108"/>
      <c r="C35" s="108"/>
      <c r="D35" s="108"/>
      <c r="E35" s="108"/>
      <c r="F35" s="108"/>
      <c r="G35" s="108"/>
      <c r="H35" s="109" t="s">
        <v>280</v>
      </c>
      <c r="I35" s="108"/>
      <c r="J35" s="110">
        <v>25.1</v>
      </c>
      <c r="K35" s="110"/>
      <c r="L35" s="110"/>
      <c r="M35" s="110"/>
      <c r="N35" s="110"/>
      <c r="O35" s="110"/>
      <c r="P35" s="110"/>
      <c r="Q35" s="110"/>
      <c r="R35" s="110"/>
      <c r="S35" s="110">
        <v>25.1</v>
      </c>
      <c r="T35" s="110"/>
      <c r="U35" s="110"/>
      <c r="V35" s="110"/>
      <c r="W35" s="110"/>
      <c r="X35" s="110"/>
      <c r="Y35" s="110"/>
      <c r="Z35" s="110"/>
      <c r="AA35" s="110"/>
      <c r="AB35" s="110">
        <v>25.3</v>
      </c>
      <c r="AC35" s="110"/>
      <c r="AD35" s="110"/>
      <c r="AE35" s="110"/>
      <c r="AF35" s="110"/>
      <c r="AG35" s="110"/>
      <c r="AH35" s="110"/>
      <c r="AI35" s="110"/>
      <c r="AJ35" s="110"/>
      <c r="AK35" s="110">
        <v>25.2</v>
      </c>
      <c r="AL35" s="110"/>
      <c r="AM35" s="110"/>
      <c r="AN35" s="110"/>
      <c r="AO35" s="110"/>
      <c r="AP35" s="110"/>
      <c r="AQ35" s="110"/>
      <c r="AR35" s="110"/>
      <c r="AS35" s="111"/>
    </row>
    <row r="36" spans="1:46">
      <c r="A36" s="97" t="s">
        <v>171</v>
      </c>
      <c r="B36" s="98"/>
      <c r="C36" s="98"/>
      <c r="D36" s="98"/>
      <c r="E36" s="99" t="s">
        <v>285</v>
      </c>
      <c r="F36" s="99"/>
      <c r="G36" s="99"/>
      <c r="H36" s="99"/>
      <c r="I36" s="99"/>
      <c r="J36" s="104">
        <v>5.62</v>
      </c>
      <c r="K36" s="104"/>
      <c r="L36" s="104"/>
      <c r="M36" s="104"/>
      <c r="N36" s="104"/>
      <c r="O36" s="104"/>
      <c r="P36" s="104"/>
      <c r="Q36" s="104"/>
      <c r="R36" s="104"/>
      <c r="S36" s="104">
        <v>5.59</v>
      </c>
      <c r="T36" s="104"/>
      <c r="U36" s="104"/>
      <c r="V36" s="104"/>
      <c r="W36" s="104"/>
      <c r="X36" s="104"/>
      <c r="Y36" s="104"/>
      <c r="Z36" s="104"/>
      <c r="AA36" s="104"/>
      <c r="AB36" s="104">
        <v>9.2799999999999994</v>
      </c>
      <c r="AC36" s="104"/>
      <c r="AD36" s="104"/>
      <c r="AE36" s="104"/>
      <c r="AF36" s="104"/>
      <c r="AG36" s="104"/>
      <c r="AH36" s="104"/>
      <c r="AI36" s="104"/>
      <c r="AJ36" s="104"/>
      <c r="AK36" s="92">
        <v>9.3000000000000007</v>
      </c>
      <c r="AL36" s="92"/>
      <c r="AM36" s="92"/>
      <c r="AN36" s="92"/>
      <c r="AO36" s="92"/>
      <c r="AP36" s="92"/>
      <c r="AQ36" s="92"/>
      <c r="AR36" s="92"/>
      <c r="AS36" s="93"/>
    </row>
    <row r="37" spans="1:46">
      <c r="A37" s="97"/>
      <c r="B37" s="98"/>
      <c r="C37" s="98"/>
      <c r="D37" s="98"/>
      <c r="E37" s="94" t="s">
        <v>284</v>
      </c>
      <c r="F37" s="94"/>
      <c r="G37" s="94"/>
      <c r="H37" s="94"/>
      <c r="I37" s="94"/>
      <c r="J37" s="95">
        <f>IF(COUNT(J36)=0,"",ROUND(AVERAGE(J36:AA36),1))</f>
        <v>5.6</v>
      </c>
      <c r="K37" s="95"/>
      <c r="L37" s="95"/>
      <c r="M37" s="95"/>
      <c r="N37" s="95"/>
      <c r="O37" s="95"/>
      <c r="P37" s="95"/>
      <c r="Q37" s="95"/>
      <c r="R37" s="95"/>
      <c r="S37" s="95"/>
      <c r="T37" s="95"/>
      <c r="U37" s="95"/>
      <c r="V37" s="95"/>
      <c r="W37" s="95"/>
      <c r="X37" s="95"/>
      <c r="Y37" s="95"/>
      <c r="Z37" s="95"/>
      <c r="AA37" s="95"/>
      <c r="AB37" s="95">
        <f>IF(COUNT(AB36)=0,"",ROUND(AVERAGE(AB36:AS36),1))</f>
        <v>9.3000000000000007</v>
      </c>
      <c r="AC37" s="95"/>
      <c r="AD37" s="95"/>
      <c r="AE37" s="95"/>
      <c r="AF37" s="95"/>
      <c r="AG37" s="95"/>
      <c r="AH37" s="95"/>
      <c r="AI37" s="95"/>
      <c r="AJ37" s="95"/>
      <c r="AK37" s="95"/>
      <c r="AL37" s="95"/>
      <c r="AM37" s="95"/>
      <c r="AN37" s="95"/>
      <c r="AO37" s="95"/>
      <c r="AP37" s="95"/>
      <c r="AQ37" s="95"/>
      <c r="AR37" s="95"/>
      <c r="AS37" s="96"/>
    </row>
    <row r="38" spans="1:46">
      <c r="A38" s="97" t="s">
        <v>286</v>
      </c>
      <c r="B38" s="98"/>
      <c r="C38" s="98"/>
      <c r="D38" s="98"/>
      <c r="E38" s="99" t="s">
        <v>287</v>
      </c>
      <c r="F38" s="99"/>
      <c r="G38" s="99"/>
      <c r="H38" s="99"/>
      <c r="I38" s="99"/>
      <c r="J38" s="92">
        <v>7.15</v>
      </c>
      <c r="K38" s="92"/>
      <c r="L38" s="92"/>
      <c r="M38" s="92"/>
      <c r="N38" s="92"/>
      <c r="O38" s="92"/>
      <c r="P38" s="92"/>
      <c r="Q38" s="92"/>
      <c r="R38" s="92"/>
      <c r="S38" s="92">
        <v>7.02</v>
      </c>
      <c r="T38" s="92"/>
      <c r="U38" s="92"/>
      <c r="V38" s="92"/>
      <c r="W38" s="92"/>
      <c r="X38" s="92"/>
      <c r="Y38" s="92"/>
      <c r="Z38" s="92"/>
      <c r="AA38" s="92"/>
      <c r="AB38" s="100">
        <v>43</v>
      </c>
      <c r="AC38" s="100"/>
      <c r="AD38" s="100"/>
      <c r="AE38" s="100"/>
      <c r="AF38" s="100"/>
      <c r="AG38" s="100"/>
      <c r="AH38" s="100"/>
      <c r="AI38" s="100"/>
      <c r="AJ38" s="100"/>
      <c r="AK38" s="100">
        <v>42.8</v>
      </c>
      <c r="AL38" s="100"/>
      <c r="AM38" s="100"/>
      <c r="AN38" s="100"/>
      <c r="AO38" s="100"/>
      <c r="AP38" s="100"/>
      <c r="AQ38" s="100"/>
      <c r="AR38" s="100"/>
      <c r="AS38" s="101"/>
    </row>
    <row r="39" spans="1:46">
      <c r="A39" s="97"/>
      <c r="B39" s="98"/>
      <c r="C39" s="98"/>
      <c r="D39" s="98"/>
      <c r="E39" s="94" t="s">
        <v>288</v>
      </c>
      <c r="F39" s="94"/>
      <c r="G39" s="94"/>
      <c r="H39" s="94"/>
      <c r="I39" s="94"/>
      <c r="J39" s="95">
        <f>IF(COUNT(J38)=0,"",ROUND(AVERAGE(J38:AA38),1))</f>
        <v>7.1</v>
      </c>
      <c r="K39" s="95"/>
      <c r="L39" s="95"/>
      <c r="M39" s="95"/>
      <c r="N39" s="95"/>
      <c r="O39" s="95"/>
      <c r="P39" s="95"/>
      <c r="Q39" s="95"/>
      <c r="R39" s="95"/>
      <c r="S39" s="95"/>
      <c r="T39" s="95"/>
      <c r="U39" s="95"/>
      <c r="V39" s="95"/>
      <c r="W39" s="95"/>
      <c r="X39" s="95"/>
      <c r="Y39" s="95"/>
      <c r="Z39" s="95"/>
      <c r="AA39" s="95"/>
      <c r="AB39" s="102">
        <f>IF(COUNT(AB38)=0,"",ROUND(AVERAGE(AB38:AS38),1))</f>
        <v>42.9</v>
      </c>
      <c r="AC39" s="102"/>
      <c r="AD39" s="102"/>
      <c r="AE39" s="102"/>
      <c r="AF39" s="102"/>
      <c r="AG39" s="102"/>
      <c r="AH39" s="102"/>
      <c r="AI39" s="102"/>
      <c r="AJ39" s="102"/>
      <c r="AK39" s="102"/>
      <c r="AL39" s="102"/>
      <c r="AM39" s="102"/>
      <c r="AN39" s="102"/>
      <c r="AO39" s="102"/>
      <c r="AP39" s="102"/>
      <c r="AQ39" s="102"/>
      <c r="AR39" s="102"/>
      <c r="AS39" s="103"/>
    </row>
    <row r="40" spans="1:46">
      <c r="A40" s="76" t="s">
        <v>296</v>
      </c>
      <c r="B40" s="77"/>
      <c r="C40" s="77"/>
      <c r="D40" s="77"/>
      <c r="E40" s="91" t="s">
        <v>289</v>
      </c>
      <c r="F40" s="91"/>
      <c r="G40" s="91"/>
      <c r="H40" s="91"/>
      <c r="I40" s="91"/>
      <c r="J40" s="89">
        <v>717</v>
      </c>
      <c r="K40" s="89"/>
      <c r="L40" s="89"/>
      <c r="M40" s="89"/>
      <c r="N40" s="89"/>
      <c r="O40" s="89"/>
      <c r="P40" s="89">
        <v>365</v>
      </c>
      <c r="Q40" s="89"/>
      <c r="R40" s="89"/>
      <c r="S40" s="89"/>
      <c r="T40" s="89"/>
      <c r="U40" s="89"/>
      <c r="V40" s="89">
        <v>1890</v>
      </c>
      <c r="W40" s="89"/>
      <c r="X40" s="89"/>
      <c r="Y40" s="89"/>
      <c r="Z40" s="89"/>
      <c r="AA40" s="89"/>
      <c r="AB40" s="89">
        <v>556</v>
      </c>
      <c r="AC40" s="89"/>
      <c r="AD40" s="89"/>
      <c r="AE40" s="89"/>
      <c r="AF40" s="89"/>
      <c r="AG40" s="89"/>
      <c r="AH40" s="89">
        <v>1914</v>
      </c>
      <c r="AI40" s="89"/>
      <c r="AJ40" s="89"/>
      <c r="AK40" s="89"/>
      <c r="AL40" s="89"/>
      <c r="AM40" s="89"/>
      <c r="AN40" s="89">
        <v>1256</v>
      </c>
      <c r="AO40" s="89"/>
      <c r="AP40" s="89"/>
      <c r="AQ40" s="89"/>
      <c r="AR40" s="89"/>
      <c r="AS40" s="90"/>
    </row>
    <row r="41" spans="1:46" ht="16.5">
      <c r="A41" s="78"/>
      <c r="B41" s="79"/>
      <c r="C41" s="79"/>
      <c r="D41" s="79"/>
      <c r="E41" s="86" t="s">
        <v>290</v>
      </c>
      <c r="F41" s="86"/>
      <c r="G41" s="86"/>
      <c r="H41" s="86" t="s">
        <v>293</v>
      </c>
      <c r="I41" s="86"/>
      <c r="J41" s="87">
        <v>40.06</v>
      </c>
      <c r="K41" s="87"/>
      <c r="L41" s="87"/>
      <c r="M41" s="87"/>
      <c r="N41" s="87"/>
      <c r="O41" s="87"/>
      <c r="P41" s="87">
        <v>38.81</v>
      </c>
      <c r="Q41" s="87"/>
      <c r="R41" s="87"/>
      <c r="S41" s="87"/>
      <c r="T41" s="87"/>
      <c r="U41" s="87"/>
      <c r="V41" s="87">
        <v>37.909999999999997</v>
      </c>
      <c r="W41" s="87"/>
      <c r="X41" s="87"/>
      <c r="Y41" s="87"/>
      <c r="Z41" s="87"/>
      <c r="AA41" s="87"/>
      <c r="AB41" s="87">
        <v>42.1</v>
      </c>
      <c r="AC41" s="87"/>
      <c r="AD41" s="87"/>
      <c r="AE41" s="87"/>
      <c r="AF41" s="87"/>
      <c r="AG41" s="87"/>
      <c r="AH41" s="84">
        <v>43.84</v>
      </c>
      <c r="AI41" s="84"/>
      <c r="AJ41" s="84"/>
      <c r="AK41" s="84"/>
      <c r="AL41" s="84"/>
      <c r="AM41" s="84"/>
      <c r="AN41" s="84">
        <v>44.84</v>
      </c>
      <c r="AO41" s="84"/>
      <c r="AP41" s="84"/>
      <c r="AQ41" s="84"/>
      <c r="AR41" s="84"/>
      <c r="AS41" s="85"/>
    </row>
    <row r="42" spans="1:46" ht="16.5">
      <c r="A42" s="78"/>
      <c r="B42" s="79"/>
      <c r="C42" s="79"/>
      <c r="D42" s="79"/>
      <c r="E42" s="86" t="s">
        <v>291</v>
      </c>
      <c r="F42" s="86"/>
      <c r="G42" s="86"/>
      <c r="H42" s="86" t="s">
        <v>293</v>
      </c>
      <c r="I42" s="86"/>
      <c r="J42" s="87">
        <v>26.74</v>
      </c>
      <c r="K42" s="87"/>
      <c r="L42" s="87"/>
      <c r="M42" s="87"/>
      <c r="N42" s="87"/>
      <c r="O42" s="87"/>
      <c r="P42" s="87">
        <v>26.29</v>
      </c>
      <c r="Q42" s="87"/>
      <c r="R42" s="87"/>
      <c r="S42" s="87"/>
      <c r="T42" s="87"/>
      <c r="U42" s="87"/>
      <c r="V42" s="87">
        <v>26.1</v>
      </c>
      <c r="W42" s="87"/>
      <c r="X42" s="87"/>
      <c r="Y42" s="87"/>
      <c r="Z42" s="87"/>
      <c r="AA42" s="87"/>
      <c r="AB42" s="84">
        <v>37.43</v>
      </c>
      <c r="AC42" s="84"/>
      <c r="AD42" s="84"/>
      <c r="AE42" s="84"/>
      <c r="AF42" s="84"/>
      <c r="AG42" s="84"/>
      <c r="AH42" s="84">
        <v>38.78</v>
      </c>
      <c r="AI42" s="84"/>
      <c r="AJ42" s="84"/>
      <c r="AK42" s="84"/>
      <c r="AL42" s="84"/>
      <c r="AM42" s="84"/>
      <c r="AN42" s="84">
        <v>39.549999999999997</v>
      </c>
      <c r="AO42" s="84"/>
      <c r="AP42" s="84"/>
      <c r="AQ42" s="84"/>
      <c r="AR42" s="84"/>
      <c r="AS42" s="85"/>
    </row>
    <row r="43" spans="1:46" ht="16.5">
      <c r="A43" s="78"/>
      <c r="B43" s="79"/>
      <c r="C43" s="79"/>
      <c r="D43" s="79"/>
      <c r="E43" s="86" t="s">
        <v>292</v>
      </c>
      <c r="F43" s="86"/>
      <c r="G43" s="86"/>
      <c r="H43" s="86" t="s">
        <v>293</v>
      </c>
      <c r="I43" s="86"/>
      <c r="J43" s="87">
        <v>22.18</v>
      </c>
      <c r="K43" s="87"/>
      <c r="L43" s="87"/>
      <c r="M43" s="87"/>
      <c r="N43" s="87"/>
      <c r="O43" s="87"/>
      <c r="P43" s="87">
        <v>22.2</v>
      </c>
      <c r="Q43" s="87"/>
      <c r="R43" s="87"/>
      <c r="S43" s="87"/>
      <c r="T43" s="87"/>
      <c r="U43" s="87"/>
      <c r="V43" s="87">
        <v>22.19</v>
      </c>
      <c r="W43" s="87"/>
      <c r="X43" s="87"/>
      <c r="Y43" s="87"/>
      <c r="Z43" s="87"/>
      <c r="AA43" s="87"/>
      <c r="AB43" s="87">
        <v>22.17</v>
      </c>
      <c r="AC43" s="87"/>
      <c r="AD43" s="87"/>
      <c r="AE43" s="87"/>
      <c r="AF43" s="87"/>
      <c r="AG43" s="87"/>
      <c r="AH43" s="87">
        <v>22.19</v>
      </c>
      <c r="AI43" s="87"/>
      <c r="AJ43" s="87"/>
      <c r="AK43" s="87"/>
      <c r="AL43" s="87"/>
      <c r="AM43" s="87"/>
      <c r="AN43" s="87">
        <v>22.2</v>
      </c>
      <c r="AO43" s="87"/>
      <c r="AP43" s="87"/>
      <c r="AQ43" s="87"/>
      <c r="AR43" s="87"/>
      <c r="AS43" s="88"/>
    </row>
    <row r="44" spans="1:46">
      <c r="A44" s="78"/>
      <c r="B44" s="79"/>
      <c r="C44" s="79"/>
      <c r="D44" s="79"/>
      <c r="E44" s="82" t="s">
        <v>294</v>
      </c>
      <c r="F44" s="82"/>
      <c r="G44" s="82"/>
      <c r="H44" s="82" t="s">
        <v>295</v>
      </c>
      <c r="I44" s="82"/>
      <c r="J44" s="83">
        <f>IF(COUNT(J41)=0,"",ROUND((J41-J42)/(J42-J43)*100,1))</f>
        <v>292.10000000000002</v>
      </c>
      <c r="K44" s="83"/>
      <c r="L44" s="83"/>
      <c r="M44" s="83"/>
      <c r="N44" s="83"/>
      <c r="O44" s="83"/>
      <c r="P44" s="83">
        <f>IF(COUNT(P41)=0,"",ROUND((P41-P42)/(P42-P43)*100,1))</f>
        <v>306.10000000000002</v>
      </c>
      <c r="Q44" s="83"/>
      <c r="R44" s="83"/>
      <c r="S44" s="83"/>
      <c r="T44" s="83"/>
      <c r="U44" s="83"/>
      <c r="V44" s="83">
        <f>IF(COUNT(V41)=0,"",ROUND((V41-V42)/(V42-V43)*100,1))</f>
        <v>302</v>
      </c>
      <c r="W44" s="83"/>
      <c r="X44" s="83"/>
      <c r="Y44" s="83"/>
      <c r="Z44" s="83"/>
      <c r="AA44" s="83"/>
      <c r="AB44" s="70">
        <f>IF(COUNT(AB41)=0,"",ROUND((AB41-AB42)/(AB42-AB43)*100,1))</f>
        <v>30.6</v>
      </c>
      <c r="AC44" s="70"/>
      <c r="AD44" s="70"/>
      <c r="AE44" s="70"/>
      <c r="AF44" s="70"/>
      <c r="AG44" s="70"/>
      <c r="AH44" s="70">
        <f>IF(COUNT(AH41)=0,"",ROUND((AH41-AH42)/(AH42-AH43)*100,1))</f>
        <v>30.5</v>
      </c>
      <c r="AI44" s="70"/>
      <c r="AJ44" s="70"/>
      <c r="AK44" s="70"/>
      <c r="AL44" s="70"/>
      <c r="AM44" s="70"/>
      <c r="AN44" s="70">
        <f>IF(COUNT(AN41)=0,"",ROUND((AN41-AN42)/(AN42-AN43)*100,1))</f>
        <v>30.5</v>
      </c>
      <c r="AO44" s="70"/>
      <c r="AP44" s="70"/>
      <c r="AQ44" s="70"/>
      <c r="AR44" s="70"/>
      <c r="AS44" s="71"/>
    </row>
    <row r="45" spans="1:46">
      <c r="A45" s="80"/>
      <c r="B45" s="81"/>
      <c r="C45" s="81"/>
      <c r="D45" s="81"/>
      <c r="E45" s="72" t="s">
        <v>297</v>
      </c>
      <c r="F45" s="72"/>
      <c r="G45" s="72"/>
      <c r="H45" s="72" t="s">
        <v>295</v>
      </c>
      <c r="I45" s="72"/>
      <c r="J45" s="73">
        <f>IF(COUNT(J41)=0,"",ROUND(AVERAGE(J44:AA44),1))</f>
        <v>300.10000000000002</v>
      </c>
      <c r="K45" s="73"/>
      <c r="L45" s="73"/>
      <c r="M45" s="73"/>
      <c r="N45" s="73"/>
      <c r="O45" s="73"/>
      <c r="P45" s="73"/>
      <c r="Q45" s="73"/>
      <c r="R45" s="73"/>
      <c r="S45" s="73"/>
      <c r="T45" s="73"/>
      <c r="U45" s="73"/>
      <c r="V45" s="73"/>
      <c r="W45" s="73"/>
      <c r="X45" s="73"/>
      <c r="Y45" s="73"/>
      <c r="Z45" s="73"/>
      <c r="AA45" s="73"/>
      <c r="AB45" s="74">
        <f>IF(COUNT(AB41)=0,"",ROUND(AVERAGE(AB44:AS44),1))</f>
        <v>30.5</v>
      </c>
      <c r="AC45" s="74"/>
      <c r="AD45" s="74"/>
      <c r="AE45" s="74"/>
      <c r="AF45" s="74"/>
      <c r="AG45" s="74"/>
      <c r="AH45" s="74"/>
      <c r="AI45" s="74"/>
      <c r="AJ45" s="74"/>
      <c r="AK45" s="74"/>
      <c r="AL45" s="74"/>
      <c r="AM45" s="74"/>
      <c r="AN45" s="74"/>
      <c r="AO45" s="74"/>
      <c r="AP45" s="74"/>
      <c r="AQ45" s="74"/>
      <c r="AR45" s="74"/>
      <c r="AS45" s="75"/>
    </row>
    <row r="46" spans="1:46">
      <c r="A46" s="40" t="s">
        <v>298</v>
      </c>
      <c r="B46" s="55"/>
      <c r="C46" s="55"/>
      <c r="D46" s="55"/>
      <c r="E46" s="55"/>
      <c r="F46" s="55"/>
      <c r="G46" s="55"/>
      <c r="H46" s="55"/>
      <c r="I46" s="55"/>
      <c r="J46" s="66" t="s">
        <v>306</v>
      </c>
      <c r="K46" s="66"/>
      <c r="L46" s="66"/>
      <c r="M46" s="66"/>
      <c r="N46" s="66"/>
      <c r="O46" s="66"/>
      <c r="P46" s="66"/>
      <c r="Q46" s="66"/>
      <c r="R46" s="66"/>
      <c r="S46" s="66"/>
      <c r="T46" s="66"/>
      <c r="U46" s="66"/>
      <c r="V46" s="66"/>
      <c r="W46" s="66"/>
      <c r="X46" s="66"/>
      <c r="Y46" s="66"/>
      <c r="Z46" s="66"/>
      <c r="AA46" s="66"/>
      <c r="AB46" s="66" t="s">
        <v>307</v>
      </c>
      <c r="AC46" s="66"/>
      <c r="AD46" s="66"/>
      <c r="AE46" s="66"/>
      <c r="AF46" s="66"/>
      <c r="AG46" s="66"/>
      <c r="AH46" s="66"/>
      <c r="AI46" s="66"/>
      <c r="AJ46" s="66"/>
      <c r="AK46" s="66"/>
      <c r="AL46" s="66"/>
      <c r="AM46" s="66"/>
      <c r="AN46" s="66"/>
      <c r="AO46" s="66"/>
      <c r="AP46" s="66"/>
      <c r="AQ46" s="66"/>
      <c r="AR46" s="66"/>
      <c r="AS46" s="68"/>
    </row>
    <row r="47" spans="1:46" ht="15.75" thickBot="1">
      <c r="A47" s="64"/>
      <c r="B47" s="65"/>
      <c r="C47" s="65"/>
      <c r="D47" s="65"/>
      <c r="E47" s="65"/>
      <c r="F47" s="65"/>
      <c r="G47" s="65"/>
      <c r="H47" s="65"/>
      <c r="I47" s="65"/>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9"/>
    </row>
    <row r="51" spans="1:45">
      <c r="N51" s="21"/>
    </row>
    <row r="52" spans="1:4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row>
  </sheetData>
  <mergeCells count="241">
    <mergeCell ref="J17:R17"/>
    <mergeCell ref="S17:AA17"/>
    <mergeCell ref="AB17:AJ17"/>
    <mergeCell ref="AK17:AS17"/>
    <mergeCell ref="AB19:AJ19"/>
    <mergeCell ref="AK19:AS19"/>
    <mergeCell ref="J20:AA20"/>
    <mergeCell ref="AB20:AS20"/>
    <mergeCell ref="A17:D18"/>
    <mergeCell ref="E17:I17"/>
    <mergeCell ref="E18:I18"/>
    <mergeCell ref="J18:AA18"/>
    <mergeCell ref="AB18:AS18"/>
    <mergeCell ref="A19:D20"/>
    <mergeCell ref="E19:I19"/>
    <mergeCell ref="E20:I20"/>
    <mergeCell ref="J19:R19"/>
    <mergeCell ref="S19:AA19"/>
    <mergeCell ref="J15:R15"/>
    <mergeCell ref="S15:AA15"/>
    <mergeCell ref="AB15:AJ15"/>
    <mergeCell ref="AK15:AS15"/>
    <mergeCell ref="J14:R14"/>
    <mergeCell ref="S14:AA14"/>
    <mergeCell ref="S16:AA16"/>
    <mergeCell ref="AB16:AJ16"/>
    <mergeCell ref="AK16:AS16"/>
    <mergeCell ref="S12:AA12"/>
    <mergeCell ref="AB12:AJ12"/>
    <mergeCell ref="AK12:AS12"/>
    <mergeCell ref="J13:R13"/>
    <mergeCell ref="S13:AA13"/>
    <mergeCell ref="AB13:AJ13"/>
    <mergeCell ref="AK13:AS13"/>
    <mergeCell ref="AB14:AJ14"/>
    <mergeCell ref="AK14:AS14"/>
    <mergeCell ref="AH5:AS6"/>
    <mergeCell ref="J7:O7"/>
    <mergeCell ref="P7:U7"/>
    <mergeCell ref="V7:AA7"/>
    <mergeCell ref="AB7:AG7"/>
    <mergeCell ref="AB3:AG4"/>
    <mergeCell ref="AB5:AG6"/>
    <mergeCell ref="A3:G4"/>
    <mergeCell ref="H3:AA4"/>
    <mergeCell ref="A5:AA6"/>
    <mergeCell ref="AH3:AS4"/>
    <mergeCell ref="A1:D2"/>
    <mergeCell ref="E1:G1"/>
    <mergeCell ref="E2:G2"/>
    <mergeCell ref="H1:AJ2"/>
    <mergeCell ref="AK1:AS2"/>
    <mergeCell ref="H16:I16"/>
    <mergeCell ref="A16:G16"/>
    <mergeCell ref="J16:R16"/>
    <mergeCell ref="H15:I15"/>
    <mergeCell ref="A15:G15"/>
    <mergeCell ref="P8:U8"/>
    <mergeCell ref="J11:R11"/>
    <mergeCell ref="S11:AA11"/>
    <mergeCell ref="AB11:AJ11"/>
    <mergeCell ref="AK11:AS11"/>
    <mergeCell ref="V8:AA8"/>
    <mergeCell ref="P9:U9"/>
    <mergeCell ref="V9:AA9"/>
    <mergeCell ref="AB8:AG8"/>
    <mergeCell ref="AH8:AM8"/>
    <mergeCell ref="AN8:AS8"/>
    <mergeCell ref="AB9:AG9"/>
    <mergeCell ref="AH9:AM9"/>
    <mergeCell ref="AN9:AS9"/>
    <mergeCell ref="AB21:AG21"/>
    <mergeCell ref="A8:I8"/>
    <mergeCell ref="A7:I7"/>
    <mergeCell ref="A9:I9"/>
    <mergeCell ref="A10:I10"/>
    <mergeCell ref="J8:O8"/>
    <mergeCell ref="J9:O9"/>
    <mergeCell ref="AH7:AM7"/>
    <mergeCell ref="AN7:AS7"/>
    <mergeCell ref="E21:I21"/>
    <mergeCell ref="J21:O21"/>
    <mergeCell ref="P21:U21"/>
    <mergeCell ref="V21:AA21"/>
    <mergeCell ref="H13:I13"/>
    <mergeCell ref="H14:I14"/>
    <mergeCell ref="A12:G12"/>
    <mergeCell ref="A13:G13"/>
    <mergeCell ref="A14:G14"/>
    <mergeCell ref="J10:AA10"/>
    <mergeCell ref="AB10:AS10"/>
    <mergeCell ref="H12:I12"/>
    <mergeCell ref="A11:G11"/>
    <mergeCell ref="H11:I11"/>
    <mergeCell ref="J12:R12"/>
    <mergeCell ref="AN22:AS22"/>
    <mergeCell ref="J24:O24"/>
    <mergeCell ref="P24:U24"/>
    <mergeCell ref="V24:AA24"/>
    <mergeCell ref="J25:O25"/>
    <mergeCell ref="P25:U25"/>
    <mergeCell ref="V25:AA25"/>
    <mergeCell ref="E24:G24"/>
    <mergeCell ref="H24:I24"/>
    <mergeCell ref="E25:G25"/>
    <mergeCell ref="H25:I25"/>
    <mergeCell ref="H22:I22"/>
    <mergeCell ref="E22:G22"/>
    <mergeCell ref="E23:G23"/>
    <mergeCell ref="H23:I23"/>
    <mergeCell ref="J22:O22"/>
    <mergeCell ref="P22:U22"/>
    <mergeCell ref="V22:AA22"/>
    <mergeCell ref="J23:O23"/>
    <mergeCell ref="P23:U23"/>
    <mergeCell ref="V23:AA23"/>
    <mergeCell ref="A27:I28"/>
    <mergeCell ref="J27:AA28"/>
    <mergeCell ref="AB27:AS28"/>
    <mergeCell ref="A29:I29"/>
    <mergeCell ref="J29:AA29"/>
    <mergeCell ref="AB29:AS29"/>
    <mergeCell ref="AB25:AG25"/>
    <mergeCell ref="AH25:AM25"/>
    <mergeCell ref="AN25:AS25"/>
    <mergeCell ref="E26:G26"/>
    <mergeCell ref="H26:I26"/>
    <mergeCell ref="J26:AA26"/>
    <mergeCell ref="AB26:AS26"/>
    <mergeCell ref="A21:D26"/>
    <mergeCell ref="AB23:AG23"/>
    <mergeCell ref="AH23:AM23"/>
    <mergeCell ref="AN23:AS23"/>
    <mergeCell ref="AB24:AG24"/>
    <mergeCell ref="AH24:AM24"/>
    <mergeCell ref="AN24:AS24"/>
    <mergeCell ref="AH21:AM21"/>
    <mergeCell ref="AN21:AS21"/>
    <mergeCell ref="AB22:AG22"/>
    <mergeCell ref="AH22:AM22"/>
    <mergeCell ref="AK30:AS30"/>
    <mergeCell ref="A31:G31"/>
    <mergeCell ref="H31:I31"/>
    <mergeCell ref="J31:R31"/>
    <mergeCell ref="S31:AA31"/>
    <mergeCell ref="AB31:AJ31"/>
    <mergeCell ref="AK31:AS31"/>
    <mergeCell ref="A30:G30"/>
    <mergeCell ref="H30:I30"/>
    <mergeCell ref="J30:R30"/>
    <mergeCell ref="S30:AA30"/>
    <mergeCell ref="AB30:AJ30"/>
    <mergeCell ref="AK32:AS32"/>
    <mergeCell ref="A33:G33"/>
    <mergeCell ref="H33:I33"/>
    <mergeCell ref="J33:R33"/>
    <mergeCell ref="S33:AA33"/>
    <mergeCell ref="AB33:AJ33"/>
    <mergeCell ref="AK33:AS33"/>
    <mergeCell ref="A32:G32"/>
    <mergeCell ref="H32:I32"/>
    <mergeCell ref="J32:R32"/>
    <mergeCell ref="S32:AA32"/>
    <mergeCell ref="AB32:AJ32"/>
    <mergeCell ref="AK34:AS34"/>
    <mergeCell ref="A35:G35"/>
    <mergeCell ref="H35:I35"/>
    <mergeCell ref="J35:R35"/>
    <mergeCell ref="S35:AA35"/>
    <mergeCell ref="AB35:AJ35"/>
    <mergeCell ref="AK35:AS35"/>
    <mergeCell ref="A34:G34"/>
    <mergeCell ref="H34:I34"/>
    <mergeCell ref="J34:R34"/>
    <mergeCell ref="S34:AA34"/>
    <mergeCell ref="AB34:AJ34"/>
    <mergeCell ref="AK36:AS36"/>
    <mergeCell ref="E37:I37"/>
    <mergeCell ref="J37:AA37"/>
    <mergeCell ref="AB37:AS37"/>
    <mergeCell ref="A38:D39"/>
    <mergeCell ref="E38:I38"/>
    <mergeCell ref="J38:R38"/>
    <mergeCell ref="S38:AA38"/>
    <mergeCell ref="AB38:AJ38"/>
    <mergeCell ref="AK38:AS38"/>
    <mergeCell ref="E39:I39"/>
    <mergeCell ref="J39:AA39"/>
    <mergeCell ref="AB39:AS39"/>
    <mergeCell ref="A36:D37"/>
    <mergeCell ref="E36:I36"/>
    <mergeCell ref="J36:R36"/>
    <mergeCell ref="S36:AA36"/>
    <mergeCell ref="AB36:AJ36"/>
    <mergeCell ref="AB43:AG43"/>
    <mergeCell ref="AH43:AM43"/>
    <mergeCell ref="AN43:AS43"/>
    <mergeCell ref="E42:G42"/>
    <mergeCell ref="H42:I42"/>
    <mergeCell ref="J42:O42"/>
    <mergeCell ref="P42:U42"/>
    <mergeCell ref="V42:AA42"/>
    <mergeCell ref="AB40:AG40"/>
    <mergeCell ref="AH40:AM40"/>
    <mergeCell ref="AN40:AS40"/>
    <mergeCell ref="E41:G41"/>
    <mergeCell ref="H41:I41"/>
    <mergeCell ref="J41:O41"/>
    <mergeCell ref="P41:U41"/>
    <mergeCell ref="V41:AA41"/>
    <mergeCell ref="AB41:AG41"/>
    <mergeCell ref="AH41:AM41"/>
    <mergeCell ref="AN41:AS41"/>
    <mergeCell ref="E40:I40"/>
    <mergeCell ref="J40:O40"/>
    <mergeCell ref="P40:U40"/>
    <mergeCell ref="V40:AA40"/>
    <mergeCell ref="A46:I47"/>
    <mergeCell ref="J46:AA47"/>
    <mergeCell ref="AB46:AS47"/>
    <mergeCell ref="AB44:AG44"/>
    <mergeCell ref="AH44:AM44"/>
    <mergeCell ref="AN44:AS44"/>
    <mergeCell ref="E45:G45"/>
    <mergeCell ref="H45:I45"/>
    <mergeCell ref="J45:AA45"/>
    <mergeCell ref="AB45:AS45"/>
    <mergeCell ref="A40:D45"/>
    <mergeCell ref="E44:G44"/>
    <mergeCell ref="H44:I44"/>
    <mergeCell ref="J44:O44"/>
    <mergeCell ref="P44:U44"/>
    <mergeCell ref="V44:AA44"/>
    <mergeCell ref="AB42:AG42"/>
    <mergeCell ref="AH42:AM42"/>
    <mergeCell ref="AN42:AS42"/>
    <mergeCell ref="E43:G43"/>
    <mergeCell ref="H43:I43"/>
    <mergeCell ref="J43:O43"/>
    <mergeCell ref="P43:U43"/>
    <mergeCell ref="V43:AA43"/>
  </mergeCells>
  <phoneticPr fontId="2"/>
  <pageMargins left="0.39370078740157483" right="0.19685039370078741" top="0.98425196850393704" bottom="0.59055118110236227" header="0.51181102362204722" footer="0.51181102362204722"/>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pH</vt:lpstr>
      <vt:lpstr>pH (H2O2)</vt:lpstr>
      <vt:lpstr>Water Content</vt:lpstr>
      <vt:lpstr>Data Sheet</vt:lpstr>
      <vt:lpstr>pH!Print_Area</vt:lpstr>
      <vt:lpstr>'pH (H2O2)'!Print_Area</vt:lpstr>
      <vt:lpstr>'Water Content'!Print_Area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2017-03-03T10:04:01Z</dcterms:modified>
</cp:coreProperties>
</file>