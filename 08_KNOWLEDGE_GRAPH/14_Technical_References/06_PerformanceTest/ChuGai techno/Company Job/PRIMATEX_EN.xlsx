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"/>
    </mc:Choice>
  </mc:AlternateContent>
  <bookViews>
    <workbookView xWindow="0" yWindow="0" windowWidth="10200" windowHeight="2550"/>
  </bookViews>
  <sheets>
    <sheet name="Sheet1" sheetId="1" r:id="rId1"/>
  </sheets>
  <definedNames>
    <definedName name="_xlnm.Print_Area" localSheetId="0">Sheet1!$A$1:$K$46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1" l="1"/>
  <c r="K23" i="1"/>
  <c r="K44" i="1" l="1"/>
  <c r="J43" i="1"/>
  <c r="K43" i="1" s="1"/>
  <c r="J41" i="1"/>
  <c r="K41" i="1" s="1"/>
  <c r="J39" i="1"/>
  <c r="K39" i="1" s="1"/>
  <c r="J37" i="1"/>
  <c r="K37" i="1" s="1"/>
  <c r="J36" i="1"/>
  <c r="K36" i="1" s="1"/>
  <c r="J34" i="1"/>
  <c r="K34" i="1" s="1"/>
  <c r="J33" i="1"/>
  <c r="K33" i="1" s="1"/>
  <c r="J25" i="1"/>
  <c r="K25" i="1" s="1"/>
  <c r="J24" i="1"/>
  <c r="K24" i="1" s="1"/>
  <c r="J21" i="1"/>
  <c r="K21" i="1" s="1"/>
  <c r="J20" i="1"/>
  <c r="K20" i="1" s="1"/>
  <c r="K6" i="1"/>
  <c r="K7" i="1"/>
  <c r="K8" i="1"/>
  <c r="K9" i="1"/>
  <c r="K10" i="1"/>
  <c r="K11" i="1"/>
  <c r="K12" i="1"/>
  <c r="K13" i="1"/>
  <c r="K14" i="1"/>
  <c r="K15" i="1"/>
  <c r="K16" i="1"/>
  <c r="K17" i="1"/>
  <c r="K5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K45" i="1" l="1"/>
  <c r="K46" i="1" s="1"/>
</calcChain>
</file>

<file path=xl/sharedStrings.xml><?xml version="1.0" encoding="utf-8"?>
<sst xmlns="http://schemas.openxmlformats.org/spreadsheetml/2006/main" count="129" uniqueCount="65">
  <si>
    <t>No.</t>
  </si>
  <si>
    <t>I</t>
  </si>
  <si>
    <t xml:space="preserve">Laboratory instruments
</t>
  </si>
  <si>
    <t>Pipet 2 ml</t>
  </si>
  <si>
    <t>Pipet 5 ml</t>
  </si>
  <si>
    <t>Funnel settling Imhoff has division (Plastic)</t>
  </si>
  <si>
    <t>II</t>
  </si>
  <si>
    <t>Equipment</t>
  </si>
  <si>
    <t>-Model DRB200.HACH-USA</t>
  </si>
  <si>
    <t>-Model AL 125</t>
  </si>
  <si>
    <t>Multi indicator spectrophotometer</t>
  </si>
  <si>
    <t>-Model AL 800</t>
  </si>
  <si>
    <t>-Model AL 450</t>
  </si>
  <si>
    <t>Model: TC 135S</t>
  </si>
  <si>
    <t>Measurement set BOD 6 seat</t>
  </si>
  <si>
    <t>Model: BOD Trak II</t>
  </si>
  <si>
    <t>Model: BD 600</t>
  </si>
  <si>
    <t>pH meter</t>
  </si>
  <si>
    <t>DO meter portable</t>
  </si>
  <si>
    <t>DO meter portable Hach Model HQ30D</t>
  </si>
  <si>
    <t>Multi indicator meter at site (pH and DO)</t>
  </si>
  <si>
    <t>Model HQ40D</t>
  </si>
  <si>
    <t>Manufacturer</t>
  </si>
  <si>
    <t>Duran-Germany</t>
  </si>
  <si>
    <t>Italy</t>
  </si>
  <si>
    <t xml:space="preserve">Beaker 100 ml
</t>
  </si>
  <si>
    <t>Beaker 600 ml</t>
  </si>
  <si>
    <t xml:space="preserve">Volumetric flask 100 ml
</t>
  </si>
  <si>
    <t>Pipet stand</t>
  </si>
  <si>
    <t>Scilabware</t>
  </si>
  <si>
    <t>Glass rod</t>
  </si>
  <si>
    <t>Washing bottle</t>
  </si>
  <si>
    <t>Italy, Vietnam</t>
  </si>
  <si>
    <t>Test tube rack 16x100 mm 50 hole</t>
  </si>
  <si>
    <t>Vietnam</t>
  </si>
  <si>
    <t>Dry instruments rack inox 2 side</t>
  </si>
  <si>
    <t>Aqualytic-Germany</t>
  </si>
  <si>
    <t>Unit</t>
  </si>
  <si>
    <t>Quantity</t>
  </si>
  <si>
    <t>Piece</t>
  </si>
  <si>
    <t xml:space="preserve">Funnel settling stand Imhoff
</t>
  </si>
  <si>
    <t xml:space="preserve">LABORATORY EQUIPMENTS AND INSTRUMENTS QUOTATION
(April, 2017)
</t>
  </si>
  <si>
    <t xml:space="preserve">Item
</t>
  </si>
  <si>
    <t>Hach USA</t>
  </si>
  <si>
    <t xml:space="preserve">Shinko Denshi- Japan </t>
  </si>
  <si>
    <t>Analysis balance</t>
  </si>
  <si>
    <t>-Moisture balance MS-70</t>
  </si>
  <si>
    <t xml:space="preserve">Japan </t>
  </si>
  <si>
    <t>-Analysis electric balance 4 digits LF224RCE 
(Automatic calibration)</t>
  </si>
  <si>
    <t>Model HRI3P-2.HACH-USA</t>
  </si>
  <si>
    <t>-Model DR3900.HACH-USA</t>
  </si>
  <si>
    <t>Safty pipeter</t>
  </si>
  <si>
    <t>- Electric balance 224RCE automatic calibration 
4 digits (Internal calibration)</t>
  </si>
  <si>
    <t>- Electric balance 224CE (External calibration)</t>
  </si>
  <si>
    <t>-Analysis electric balance 4 digits LF224CE 
(External calibration)</t>
  </si>
  <si>
    <t xml:space="preserve">Incubator BOD
</t>
  </si>
  <si>
    <t>-</t>
  </si>
  <si>
    <t>Total</t>
  </si>
  <si>
    <t>VAT (10%)</t>
  </si>
  <si>
    <t>Total price</t>
  </si>
  <si>
    <t>Buying cost</t>
  </si>
  <si>
    <t>Total
(VND)</t>
  </si>
  <si>
    <t>Price 
(VND)</t>
  </si>
  <si>
    <t>pH meter portable Hach HQ11D</t>
  </si>
  <si>
    <t>Dry Thermostat Reactor COD, TN, 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</si>
</sst>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_);_(* \(#,##0\);_(* &quot;-&quot;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0" xfId="1" applyNumberFormat="1" applyFont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164" fontId="1" fillId="0" borderId="1" xfId="1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49" fontId="2" fillId="0" borderId="2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/>
    </xf>
    <xf numFmtId="49" fontId="1" fillId="0" borderId="3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tabSelected="1" view="pageBreakPreview" zoomScaleNormal="100" zoomScaleSheetLayoutView="100" workbookViewId="0">
      <selection activeCell="B19" sqref="B19:E19"/>
    </sheetView>
  </sheetViews>
  <sheetFormatPr defaultRowHeight="15" x14ac:dyDescent="0.25"/>
  <cols>
    <col min="1" max="1" width="3.85546875" style="1" customWidth="1"/>
    <col min="2" max="4" width="9.140625" style="1"/>
    <col min="5" max="5" width="15.85546875" style="1" customWidth="1"/>
    <col min="6" max="6" width="9" style="1" customWidth="1"/>
    <col min="7" max="7" width="11.28515625" style="1" customWidth="1"/>
    <col min="8" max="9" width="9.140625" style="1"/>
    <col min="10" max="10" width="13.5703125" style="15" customWidth="1"/>
    <col min="11" max="11" width="12.42578125" style="15" customWidth="1"/>
    <col min="12" max="12" width="12.28515625" style="8" bestFit="1" customWidth="1"/>
    <col min="13" max="16384" width="9.140625" style="1"/>
  </cols>
  <sheetData>
    <row r="1" spans="1:12" ht="15" customHeight="1" x14ac:dyDescent="0.25">
      <c r="A1" s="22" t="s">
        <v>41</v>
      </c>
      <c r="B1" s="22"/>
      <c r="C1" s="22"/>
      <c r="D1" s="22"/>
      <c r="E1" s="22"/>
      <c r="F1" s="22"/>
      <c r="G1" s="22"/>
      <c r="H1" s="22"/>
      <c r="I1" s="22"/>
      <c r="J1" s="1"/>
      <c r="K1" s="1"/>
    </row>
    <row r="2" spans="1:12" ht="16.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1"/>
      <c r="K2" s="1"/>
    </row>
    <row r="3" spans="1:12" ht="28.5" x14ac:dyDescent="0.25">
      <c r="A3" s="2" t="s">
        <v>0</v>
      </c>
      <c r="B3" s="18" t="s">
        <v>42</v>
      </c>
      <c r="C3" s="19"/>
      <c r="D3" s="19"/>
      <c r="E3" s="19"/>
      <c r="F3" s="21" t="s">
        <v>22</v>
      </c>
      <c r="G3" s="21"/>
      <c r="H3" s="3" t="s">
        <v>37</v>
      </c>
      <c r="I3" s="3" t="s">
        <v>38</v>
      </c>
      <c r="J3" s="9" t="s">
        <v>62</v>
      </c>
      <c r="K3" s="9" t="s">
        <v>61</v>
      </c>
      <c r="L3" s="10" t="s">
        <v>60</v>
      </c>
    </row>
    <row r="4" spans="1:12" ht="15.75" customHeight="1" x14ac:dyDescent="0.25">
      <c r="A4" s="2" t="s">
        <v>1</v>
      </c>
      <c r="B4" s="18" t="s">
        <v>2</v>
      </c>
      <c r="C4" s="18"/>
      <c r="D4" s="18"/>
      <c r="E4" s="18"/>
      <c r="F4" s="39"/>
      <c r="G4" s="39"/>
      <c r="H4" s="4"/>
      <c r="I4" s="4"/>
      <c r="J4" s="11"/>
      <c r="K4" s="11"/>
      <c r="L4" s="12"/>
    </row>
    <row r="5" spans="1:12" x14ac:dyDescent="0.25">
      <c r="A5" s="4">
        <v>1</v>
      </c>
      <c r="B5" s="20" t="s">
        <v>3</v>
      </c>
      <c r="C5" s="20"/>
      <c r="D5" s="20"/>
      <c r="E5" s="20"/>
      <c r="F5" s="39" t="s">
        <v>23</v>
      </c>
      <c r="G5" s="39"/>
      <c r="H5" s="6" t="s">
        <v>39</v>
      </c>
      <c r="I5" s="6">
        <v>5</v>
      </c>
      <c r="J5" s="13">
        <f t="shared" ref="J5:J17" si="0">ROUND(L5*1.3,-3)</f>
        <v>57000</v>
      </c>
      <c r="K5" s="13">
        <f>J5*I5</f>
        <v>285000</v>
      </c>
      <c r="L5" s="12">
        <v>44000</v>
      </c>
    </row>
    <row r="6" spans="1:12" x14ac:dyDescent="0.25">
      <c r="A6" s="4">
        <v>2</v>
      </c>
      <c r="B6" s="20" t="s">
        <v>4</v>
      </c>
      <c r="C6" s="20"/>
      <c r="D6" s="20"/>
      <c r="E6" s="20"/>
      <c r="F6" s="39" t="s">
        <v>23</v>
      </c>
      <c r="G6" s="39"/>
      <c r="H6" s="6" t="s">
        <v>39</v>
      </c>
      <c r="I6" s="6">
        <v>3</v>
      </c>
      <c r="J6" s="13">
        <f t="shared" si="0"/>
        <v>59000</v>
      </c>
      <c r="K6" s="13">
        <f t="shared" ref="K6:K17" si="1">J6*I6</f>
        <v>177000</v>
      </c>
      <c r="L6" s="12">
        <v>45000</v>
      </c>
    </row>
    <row r="7" spans="1:12" x14ac:dyDescent="0.25">
      <c r="A7" s="4">
        <v>3</v>
      </c>
      <c r="B7" s="20" t="s">
        <v>25</v>
      </c>
      <c r="C7" s="20"/>
      <c r="D7" s="20"/>
      <c r="E7" s="20"/>
      <c r="F7" s="39" t="s">
        <v>23</v>
      </c>
      <c r="G7" s="39"/>
      <c r="H7" s="6" t="s">
        <v>39</v>
      </c>
      <c r="I7" s="6">
        <v>6</v>
      </c>
      <c r="J7" s="13">
        <f t="shared" si="0"/>
        <v>46000</v>
      </c>
      <c r="K7" s="13">
        <f t="shared" si="1"/>
        <v>276000</v>
      </c>
      <c r="L7" s="12">
        <v>35000</v>
      </c>
    </row>
    <row r="8" spans="1:12" x14ac:dyDescent="0.25">
      <c r="A8" s="4">
        <v>4</v>
      </c>
      <c r="B8" s="20" t="s">
        <v>26</v>
      </c>
      <c r="C8" s="20"/>
      <c r="D8" s="20"/>
      <c r="E8" s="20"/>
      <c r="F8" s="39" t="s">
        <v>23</v>
      </c>
      <c r="G8" s="39"/>
      <c r="H8" s="6" t="s">
        <v>39</v>
      </c>
      <c r="I8" s="6">
        <v>4</v>
      </c>
      <c r="J8" s="13">
        <f t="shared" si="0"/>
        <v>62000</v>
      </c>
      <c r="K8" s="13">
        <f t="shared" si="1"/>
        <v>248000</v>
      </c>
      <c r="L8" s="12">
        <v>48000</v>
      </c>
    </row>
    <row r="9" spans="1:12" x14ac:dyDescent="0.25">
      <c r="A9" s="4">
        <v>5</v>
      </c>
      <c r="B9" s="20" t="s">
        <v>27</v>
      </c>
      <c r="C9" s="20"/>
      <c r="D9" s="20"/>
      <c r="E9" s="20"/>
      <c r="F9" s="39" t="s">
        <v>23</v>
      </c>
      <c r="G9" s="39"/>
      <c r="H9" s="6" t="s">
        <v>39</v>
      </c>
      <c r="I9" s="6">
        <v>1</v>
      </c>
      <c r="J9" s="13">
        <f t="shared" si="0"/>
        <v>191000</v>
      </c>
      <c r="K9" s="13">
        <f t="shared" si="1"/>
        <v>191000</v>
      </c>
      <c r="L9" s="12">
        <v>147000</v>
      </c>
    </row>
    <row r="10" spans="1:12" x14ac:dyDescent="0.25">
      <c r="A10" s="4">
        <v>6</v>
      </c>
      <c r="B10" s="20" t="s">
        <v>5</v>
      </c>
      <c r="C10" s="20"/>
      <c r="D10" s="20"/>
      <c r="E10" s="20"/>
      <c r="F10" s="39" t="s">
        <v>24</v>
      </c>
      <c r="G10" s="39"/>
      <c r="H10" s="6" t="s">
        <v>39</v>
      </c>
      <c r="I10" s="6">
        <v>2</v>
      </c>
      <c r="J10" s="13">
        <f t="shared" si="0"/>
        <v>815000</v>
      </c>
      <c r="K10" s="13">
        <f t="shared" si="1"/>
        <v>1630000</v>
      </c>
      <c r="L10" s="12">
        <v>627000</v>
      </c>
    </row>
    <row r="11" spans="1:12" x14ac:dyDescent="0.25">
      <c r="A11" s="4">
        <v>7</v>
      </c>
      <c r="B11" s="20" t="s">
        <v>40</v>
      </c>
      <c r="C11" s="20"/>
      <c r="D11" s="20"/>
      <c r="E11" s="20"/>
      <c r="F11" s="39" t="s">
        <v>24</v>
      </c>
      <c r="G11" s="39"/>
      <c r="H11" s="6" t="s">
        <v>39</v>
      </c>
      <c r="I11" s="6">
        <v>2</v>
      </c>
      <c r="J11" s="13">
        <f t="shared" si="0"/>
        <v>1615000</v>
      </c>
      <c r="K11" s="13">
        <f t="shared" si="1"/>
        <v>3230000</v>
      </c>
      <c r="L11" s="12">
        <v>1242000</v>
      </c>
    </row>
    <row r="12" spans="1:12" x14ac:dyDescent="0.25">
      <c r="A12" s="4">
        <v>8</v>
      </c>
      <c r="B12" s="20" t="s">
        <v>30</v>
      </c>
      <c r="C12" s="20"/>
      <c r="D12" s="20"/>
      <c r="E12" s="20"/>
      <c r="F12" s="39" t="s">
        <v>23</v>
      </c>
      <c r="G12" s="39"/>
      <c r="H12" s="6" t="s">
        <v>39</v>
      </c>
      <c r="I12" s="6">
        <v>4</v>
      </c>
      <c r="J12" s="13">
        <f t="shared" si="0"/>
        <v>20000</v>
      </c>
      <c r="K12" s="13">
        <f t="shared" si="1"/>
        <v>80000</v>
      </c>
      <c r="L12" s="12">
        <v>15000</v>
      </c>
    </row>
    <row r="13" spans="1:12" x14ac:dyDescent="0.25">
      <c r="A13" s="4">
        <v>9</v>
      </c>
      <c r="B13" s="20" t="s">
        <v>31</v>
      </c>
      <c r="C13" s="20"/>
      <c r="D13" s="20"/>
      <c r="E13" s="20"/>
      <c r="F13" s="39" t="s">
        <v>29</v>
      </c>
      <c r="G13" s="39"/>
      <c r="H13" s="6" t="s">
        <v>39</v>
      </c>
      <c r="I13" s="6">
        <v>1</v>
      </c>
      <c r="J13" s="13">
        <f t="shared" si="0"/>
        <v>52000</v>
      </c>
      <c r="K13" s="13">
        <f t="shared" si="1"/>
        <v>52000</v>
      </c>
      <c r="L13" s="12">
        <v>40000</v>
      </c>
    </row>
    <row r="14" spans="1:12" x14ac:dyDescent="0.25">
      <c r="A14" s="4">
        <v>10</v>
      </c>
      <c r="B14" s="20" t="s">
        <v>51</v>
      </c>
      <c r="C14" s="20"/>
      <c r="D14" s="20"/>
      <c r="E14" s="20"/>
      <c r="F14" s="39" t="s">
        <v>32</v>
      </c>
      <c r="G14" s="39"/>
      <c r="H14" s="6" t="s">
        <v>39</v>
      </c>
      <c r="I14" s="6">
        <v>2</v>
      </c>
      <c r="J14" s="13">
        <f t="shared" si="0"/>
        <v>39000</v>
      </c>
      <c r="K14" s="13">
        <f t="shared" si="1"/>
        <v>78000</v>
      </c>
      <c r="L14" s="12">
        <v>30000</v>
      </c>
    </row>
    <row r="15" spans="1:12" x14ac:dyDescent="0.25">
      <c r="A15" s="4">
        <v>11</v>
      </c>
      <c r="B15" s="20" t="s">
        <v>28</v>
      </c>
      <c r="C15" s="20"/>
      <c r="D15" s="20"/>
      <c r="E15" s="20"/>
      <c r="F15" s="39" t="s">
        <v>24</v>
      </c>
      <c r="G15" s="39"/>
      <c r="H15" s="6" t="s">
        <v>39</v>
      </c>
      <c r="I15" s="6">
        <v>1</v>
      </c>
      <c r="J15" s="13">
        <f t="shared" si="0"/>
        <v>281000</v>
      </c>
      <c r="K15" s="13">
        <f t="shared" si="1"/>
        <v>281000</v>
      </c>
      <c r="L15" s="12">
        <v>216000</v>
      </c>
    </row>
    <row r="16" spans="1:12" x14ac:dyDescent="0.25">
      <c r="A16" s="4">
        <v>12</v>
      </c>
      <c r="B16" s="20" t="s">
        <v>33</v>
      </c>
      <c r="C16" s="20"/>
      <c r="D16" s="20"/>
      <c r="E16" s="20"/>
      <c r="F16" s="39" t="s">
        <v>34</v>
      </c>
      <c r="G16" s="39"/>
      <c r="H16" s="6" t="s">
        <v>39</v>
      </c>
      <c r="I16" s="6">
        <v>1</v>
      </c>
      <c r="J16" s="13">
        <f t="shared" si="0"/>
        <v>111000</v>
      </c>
      <c r="K16" s="13">
        <f t="shared" si="1"/>
        <v>111000</v>
      </c>
      <c r="L16" s="12">
        <v>85000</v>
      </c>
    </row>
    <row r="17" spans="1:15" x14ac:dyDescent="0.25">
      <c r="A17" s="4">
        <v>13</v>
      </c>
      <c r="B17" s="20" t="s">
        <v>35</v>
      </c>
      <c r="C17" s="20"/>
      <c r="D17" s="20"/>
      <c r="E17" s="20"/>
      <c r="F17" s="39" t="s">
        <v>34</v>
      </c>
      <c r="G17" s="39"/>
      <c r="H17" s="6" t="s">
        <v>39</v>
      </c>
      <c r="I17" s="6">
        <v>2</v>
      </c>
      <c r="J17" s="13">
        <f t="shared" si="0"/>
        <v>381000</v>
      </c>
      <c r="K17" s="13">
        <f t="shared" si="1"/>
        <v>762000</v>
      </c>
      <c r="L17" s="12">
        <v>293000</v>
      </c>
    </row>
    <row r="18" spans="1:15" x14ac:dyDescent="0.25">
      <c r="A18" s="5" t="s">
        <v>6</v>
      </c>
      <c r="B18" s="25" t="s">
        <v>7</v>
      </c>
      <c r="C18" s="25"/>
      <c r="D18" s="25"/>
      <c r="E18" s="25"/>
      <c r="F18" s="39"/>
      <c r="G18" s="39"/>
      <c r="H18" s="6"/>
      <c r="I18" s="6"/>
      <c r="J18" s="13"/>
      <c r="K18" s="13"/>
      <c r="L18" s="12"/>
    </row>
    <row r="19" spans="1:15" x14ac:dyDescent="0.25">
      <c r="A19" s="4">
        <v>1</v>
      </c>
      <c r="B19" s="25" t="s">
        <v>64</v>
      </c>
      <c r="C19" s="25"/>
      <c r="D19" s="25"/>
      <c r="E19" s="25"/>
      <c r="F19" s="39"/>
      <c r="G19" s="39"/>
      <c r="H19" s="6"/>
      <c r="I19" s="6"/>
      <c r="J19" s="13"/>
      <c r="K19" s="13"/>
      <c r="L19" s="12"/>
    </row>
    <row r="20" spans="1:15" x14ac:dyDescent="0.25">
      <c r="A20" s="4"/>
      <c r="B20" s="24" t="s">
        <v>8</v>
      </c>
      <c r="C20" s="24"/>
      <c r="D20" s="24"/>
      <c r="E20" s="24"/>
      <c r="F20" s="39" t="s">
        <v>43</v>
      </c>
      <c r="G20" s="39"/>
      <c r="H20" s="6" t="s">
        <v>37</v>
      </c>
      <c r="I20" s="6">
        <v>1</v>
      </c>
      <c r="J20" s="13">
        <f t="shared" ref="J20:J25" si="2">ROUND(L20*1.3,-3)</f>
        <v>44889000</v>
      </c>
      <c r="K20" s="13">
        <f t="shared" ref="K20:K25" si="3">J20*I20</f>
        <v>44889000</v>
      </c>
      <c r="L20" s="12">
        <v>34530000</v>
      </c>
    </row>
    <row r="21" spans="1:15" x14ac:dyDescent="0.25">
      <c r="A21" s="4"/>
      <c r="B21" s="24" t="s">
        <v>9</v>
      </c>
      <c r="C21" s="24"/>
      <c r="D21" s="24"/>
      <c r="E21" s="24"/>
      <c r="F21" s="39" t="s">
        <v>36</v>
      </c>
      <c r="G21" s="39"/>
      <c r="H21" s="6" t="s">
        <v>37</v>
      </c>
      <c r="I21" s="6">
        <v>1</v>
      </c>
      <c r="J21" s="13">
        <f t="shared" si="2"/>
        <v>29601000</v>
      </c>
      <c r="K21" s="13">
        <f t="shared" si="3"/>
        <v>29601000</v>
      </c>
      <c r="L21" s="12">
        <v>22770000</v>
      </c>
    </row>
    <row r="22" spans="1:15" x14ac:dyDescent="0.25">
      <c r="A22" s="4">
        <v>2</v>
      </c>
      <c r="B22" s="25" t="s">
        <v>10</v>
      </c>
      <c r="C22" s="25"/>
      <c r="D22" s="25"/>
      <c r="E22" s="25"/>
      <c r="F22" s="16"/>
      <c r="G22" s="17"/>
      <c r="H22" s="6"/>
      <c r="I22" s="6"/>
      <c r="J22" s="13"/>
      <c r="K22" s="13"/>
      <c r="L22" s="12"/>
    </row>
    <row r="23" spans="1:15" x14ac:dyDescent="0.25">
      <c r="A23" s="4"/>
      <c r="B23" s="24" t="s">
        <v>50</v>
      </c>
      <c r="C23" s="24"/>
      <c r="D23" s="24"/>
      <c r="E23" s="24"/>
      <c r="F23" s="39" t="s">
        <v>43</v>
      </c>
      <c r="G23" s="39"/>
      <c r="H23" s="6" t="s">
        <v>37</v>
      </c>
      <c r="I23" s="6">
        <v>1</v>
      </c>
      <c r="J23" s="13">
        <f t="shared" si="2"/>
        <v>14197000</v>
      </c>
      <c r="K23" s="13">
        <f t="shared" si="3"/>
        <v>14197000</v>
      </c>
      <c r="L23" s="12">
        <v>10921000</v>
      </c>
    </row>
    <row r="24" spans="1:15" x14ac:dyDescent="0.25">
      <c r="A24" s="4"/>
      <c r="B24" s="24" t="s">
        <v>11</v>
      </c>
      <c r="C24" s="24"/>
      <c r="D24" s="24"/>
      <c r="E24" s="24"/>
      <c r="F24" s="39" t="s">
        <v>36</v>
      </c>
      <c r="G24" s="39"/>
      <c r="H24" s="6" t="s">
        <v>37</v>
      </c>
      <c r="I24" s="6">
        <v>1</v>
      </c>
      <c r="J24" s="13">
        <f t="shared" si="2"/>
        <v>85768000</v>
      </c>
      <c r="K24" s="13">
        <f t="shared" si="3"/>
        <v>85768000</v>
      </c>
      <c r="L24" s="12">
        <v>65975000</v>
      </c>
    </row>
    <row r="25" spans="1:15" ht="17.25" customHeight="1" x14ac:dyDescent="0.25">
      <c r="A25" s="4"/>
      <c r="B25" s="24" t="s">
        <v>12</v>
      </c>
      <c r="C25" s="24"/>
      <c r="D25" s="24"/>
      <c r="E25" s="24"/>
      <c r="F25" s="39" t="s">
        <v>36</v>
      </c>
      <c r="G25" s="39"/>
      <c r="H25" s="6" t="s">
        <v>37</v>
      </c>
      <c r="I25" s="6">
        <v>1</v>
      </c>
      <c r="J25" s="13">
        <f t="shared" si="2"/>
        <v>44941000</v>
      </c>
      <c r="K25" s="13">
        <f t="shared" si="3"/>
        <v>44941000</v>
      </c>
      <c r="L25" s="12">
        <v>34570000</v>
      </c>
    </row>
    <row r="26" spans="1:15" ht="17.25" customHeight="1" x14ac:dyDescent="0.25">
      <c r="A26" s="4">
        <v>3</v>
      </c>
      <c r="B26" s="29" t="s">
        <v>45</v>
      </c>
      <c r="C26" s="30"/>
      <c r="D26" s="30"/>
      <c r="E26" s="31"/>
      <c r="F26" s="16"/>
      <c r="G26" s="17"/>
      <c r="H26" s="6"/>
      <c r="I26" s="7"/>
      <c r="J26" s="13"/>
      <c r="K26" s="13"/>
      <c r="L26" s="12"/>
    </row>
    <row r="27" spans="1:15" ht="29.25" customHeight="1" x14ac:dyDescent="0.25">
      <c r="A27" s="4"/>
      <c r="B27" s="32" t="s">
        <v>52</v>
      </c>
      <c r="C27" s="33"/>
      <c r="D27" s="33"/>
      <c r="E27" s="34"/>
      <c r="F27" s="16" t="s">
        <v>44</v>
      </c>
      <c r="G27" s="17"/>
      <c r="H27" s="6" t="s">
        <v>37</v>
      </c>
      <c r="I27" s="7">
        <v>1</v>
      </c>
      <c r="J27" s="13" t="s">
        <v>56</v>
      </c>
      <c r="K27" s="13" t="s">
        <v>56</v>
      </c>
      <c r="L27" s="12" t="s">
        <v>56</v>
      </c>
    </row>
    <row r="28" spans="1:15" ht="17.25" customHeight="1" x14ac:dyDescent="0.25">
      <c r="A28" s="4"/>
      <c r="B28" s="35" t="s">
        <v>53</v>
      </c>
      <c r="C28" s="36"/>
      <c r="D28" s="36"/>
      <c r="E28" s="37"/>
      <c r="F28" s="16" t="s">
        <v>44</v>
      </c>
      <c r="G28" s="17"/>
      <c r="H28" s="6" t="s">
        <v>37</v>
      </c>
      <c r="I28" s="7">
        <v>1</v>
      </c>
      <c r="J28" s="13" t="s">
        <v>56</v>
      </c>
      <c r="K28" s="13" t="s">
        <v>56</v>
      </c>
      <c r="L28" s="12" t="s">
        <v>56</v>
      </c>
      <c r="N28" s="16"/>
      <c r="O28" s="17"/>
    </row>
    <row r="29" spans="1:15" ht="27.75" customHeight="1" x14ac:dyDescent="0.25">
      <c r="A29" s="4"/>
      <c r="B29" s="38" t="s">
        <v>54</v>
      </c>
      <c r="C29" s="36"/>
      <c r="D29" s="36"/>
      <c r="E29" s="37"/>
      <c r="F29" s="16" t="s">
        <v>44</v>
      </c>
      <c r="G29" s="17"/>
      <c r="H29" s="6" t="s">
        <v>37</v>
      </c>
      <c r="I29" s="7">
        <v>1</v>
      </c>
      <c r="J29" s="13" t="s">
        <v>56</v>
      </c>
      <c r="K29" s="13" t="s">
        <v>56</v>
      </c>
      <c r="L29" s="12" t="s">
        <v>56</v>
      </c>
    </row>
    <row r="30" spans="1:15" ht="33.75" customHeight="1" x14ac:dyDescent="0.25">
      <c r="A30" s="4"/>
      <c r="B30" s="38" t="s">
        <v>48</v>
      </c>
      <c r="C30" s="36"/>
      <c r="D30" s="36"/>
      <c r="E30" s="37"/>
      <c r="F30" s="16" t="s">
        <v>44</v>
      </c>
      <c r="G30" s="17"/>
      <c r="H30" s="6" t="s">
        <v>37</v>
      </c>
      <c r="I30" s="7">
        <v>1</v>
      </c>
      <c r="J30" s="13" t="s">
        <v>56</v>
      </c>
      <c r="K30" s="13" t="s">
        <v>56</v>
      </c>
      <c r="L30" s="12" t="s">
        <v>56</v>
      </c>
    </row>
    <row r="31" spans="1:15" ht="17.25" customHeight="1" x14ac:dyDescent="0.25">
      <c r="A31" s="4"/>
      <c r="B31" s="35" t="s">
        <v>46</v>
      </c>
      <c r="C31" s="36"/>
      <c r="D31" s="36"/>
      <c r="E31" s="37"/>
      <c r="F31" s="16" t="s">
        <v>47</v>
      </c>
      <c r="G31" s="17"/>
      <c r="H31" s="6" t="s">
        <v>37</v>
      </c>
      <c r="I31" s="7">
        <v>1</v>
      </c>
      <c r="J31" s="13" t="s">
        <v>56</v>
      </c>
      <c r="K31" s="13" t="s">
        <v>56</v>
      </c>
      <c r="L31" s="12" t="s">
        <v>56</v>
      </c>
    </row>
    <row r="32" spans="1:15" x14ac:dyDescent="0.25">
      <c r="A32" s="4">
        <v>4</v>
      </c>
      <c r="B32" s="26" t="s">
        <v>55</v>
      </c>
      <c r="C32" s="27"/>
      <c r="D32" s="27"/>
      <c r="E32" s="28"/>
      <c r="F32" s="16"/>
      <c r="G32" s="17"/>
      <c r="H32" s="6"/>
      <c r="I32" s="7"/>
      <c r="J32" s="13"/>
      <c r="K32" s="13"/>
      <c r="L32" s="12"/>
    </row>
    <row r="33" spans="1:12" x14ac:dyDescent="0.25">
      <c r="A33" s="4"/>
      <c r="B33" s="20" t="s">
        <v>49</v>
      </c>
      <c r="C33" s="20"/>
      <c r="D33" s="20"/>
      <c r="E33" s="20"/>
      <c r="F33" s="39" t="s">
        <v>43</v>
      </c>
      <c r="G33" s="39"/>
      <c r="H33" s="6" t="s">
        <v>37</v>
      </c>
      <c r="I33" s="6">
        <v>1</v>
      </c>
      <c r="J33" s="13">
        <f t="shared" ref="J33" si="4">ROUND(L33*1.3,-3)</f>
        <v>156884000</v>
      </c>
      <c r="K33" s="13">
        <f t="shared" ref="K33" si="5">J33*I33</f>
        <v>156884000</v>
      </c>
      <c r="L33" s="12">
        <v>120680000</v>
      </c>
    </row>
    <row r="34" spans="1:12" x14ac:dyDescent="0.25">
      <c r="A34" s="4"/>
      <c r="B34" s="20" t="s">
        <v>13</v>
      </c>
      <c r="C34" s="20"/>
      <c r="D34" s="20"/>
      <c r="E34" s="20"/>
      <c r="F34" s="39" t="s">
        <v>36</v>
      </c>
      <c r="G34" s="39"/>
      <c r="H34" s="6" t="s">
        <v>37</v>
      </c>
      <c r="I34" s="6">
        <v>1</v>
      </c>
      <c r="J34" s="13">
        <f t="shared" ref="J34:J43" si="6">ROUND(L34*1.3,-3)</f>
        <v>63261000</v>
      </c>
      <c r="K34" s="13">
        <f t="shared" ref="K34:K43" si="7">J34*I34</f>
        <v>63261000</v>
      </c>
      <c r="L34" s="12">
        <v>48662000</v>
      </c>
    </row>
    <row r="35" spans="1:12" x14ac:dyDescent="0.25">
      <c r="A35" s="4">
        <v>5</v>
      </c>
      <c r="B35" s="25" t="s">
        <v>14</v>
      </c>
      <c r="C35" s="25"/>
      <c r="D35" s="25"/>
      <c r="E35" s="25"/>
      <c r="F35" s="39"/>
      <c r="G35" s="39"/>
      <c r="H35" s="6"/>
      <c r="I35" s="6"/>
      <c r="J35" s="13"/>
      <c r="K35" s="13"/>
      <c r="L35" s="12"/>
    </row>
    <row r="36" spans="1:12" x14ac:dyDescent="0.25">
      <c r="A36" s="4"/>
      <c r="B36" s="20" t="s">
        <v>15</v>
      </c>
      <c r="C36" s="20"/>
      <c r="D36" s="20"/>
      <c r="E36" s="20"/>
      <c r="F36" s="39" t="s">
        <v>43</v>
      </c>
      <c r="G36" s="39"/>
      <c r="H36" s="6" t="s">
        <v>37</v>
      </c>
      <c r="I36" s="6">
        <v>1</v>
      </c>
      <c r="J36" s="13">
        <f t="shared" si="6"/>
        <v>92963000</v>
      </c>
      <c r="K36" s="13">
        <f t="shared" si="7"/>
        <v>92963000</v>
      </c>
      <c r="L36" s="12">
        <v>71510000</v>
      </c>
    </row>
    <row r="37" spans="1:12" x14ac:dyDescent="0.25">
      <c r="A37" s="4"/>
      <c r="B37" s="20" t="s">
        <v>16</v>
      </c>
      <c r="C37" s="20"/>
      <c r="D37" s="20"/>
      <c r="E37" s="20"/>
      <c r="F37" s="39" t="s">
        <v>36</v>
      </c>
      <c r="G37" s="39"/>
      <c r="H37" s="6" t="s">
        <v>37</v>
      </c>
      <c r="I37" s="6">
        <v>1</v>
      </c>
      <c r="J37" s="13">
        <f t="shared" si="6"/>
        <v>73996000</v>
      </c>
      <c r="K37" s="13">
        <f t="shared" si="7"/>
        <v>73996000</v>
      </c>
      <c r="L37" s="12">
        <v>56920000</v>
      </c>
    </row>
    <row r="38" spans="1:12" x14ac:dyDescent="0.25">
      <c r="A38" s="4">
        <v>6</v>
      </c>
      <c r="B38" s="25" t="s">
        <v>17</v>
      </c>
      <c r="C38" s="25"/>
      <c r="D38" s="25"/>
      <c r="E38" s="25"/>
      <c r="F38" s="16"/>
      <c r="G38" s="17"/>
      <c r="H38" s="6"/>
      <c r="I38" s="6"/>
      <c r="J38" s="13"/>
      <c r="K38" s="13"/>
      <c r="L38" s="12"/>
    </row>
    <row r="39" spans="1:12" x14ac:dyDescent="0.25">
      <c r="A39" s="4"/>
      <c r="B39" s="20" t="s">
        <v>63</v>
      </c>
      <c r="C39" s="20"/>
      <c r="D39" s="20"/>
      <c r="E39" s="20"/>
      <c r="F39" s="39" t="s">
        <v>43</v>
      </c>
      <c r="G39" s="39"/>
      <c r="H39" s="6" t="s">
        <v>37</v>
      </c>
      <c r="I39" s="6">
        <v>1</v>
      </c>
      <c r="J39" s="13">
        <f t="shared" si="6"/>
        <v>27836000</v>
      </c>
      <c r="K39" s="13">
        <f t="shared" si="7"/>
        <v>27836000</v>
      </c>
      <c r="L39" s="12">
        <v>21412000</v>
      </c>
    </row>
    <row r="40" spans="1:12" x14ac:dyDescent="0.25">
      <c r="A40" s="4">
        <v>7</v>
      </c>
      <c r="B40" s="25" t="s">
        <v>18</v>
      </c>
      <c r="C40" s="25"/>
      <c r="D40" s="25"/>
      <c r="E40" s="25"/>
      <c r="F40" s="16"/>
      <c r="G40" s="17"/>
      <c r="H40" s="6" t="s">
        <v>37</v>
      </c>
      <c r="I40" s="6">
        <v>1</v>
      </c>
      <c r="J40" s="13"/>
      <c r="K40" s="13"/>
      <c r="L40" s="12"/>
    </row>
    <row r="41" spans="1:12" x14ac:dyDescent="0.25">
      <c r="A41" s="4"/>
      <c r="B41" s="20" t="s">
        <v>19</v>
      </c>
      <c r="C41" s="20"/>
      <c r="D41" s="20"/>
      <c r="E41" s="20"/>
      <c r="F41" s="39" t="s">
        <v>43</v>
      </c>
      <c r="G41" s="39"/>
      <c r="H41" s="6" t="s">
        <v>37</v>
      </c>
      <c r="I41" s="6">
        <v>1</v>
      </c>
      <c r="J41" s="13">
        <f t="shared" si="6"/>
        <v>49608000</v>
      </c>
      <c r="K41" s="13">
        <f t="shared" si="7"/>
        <v>49608000</v>
      </c>
      <c r="L41" s="12">
        <v>38160000</v>
      </c>
    </row>
    <row r="42" spans="1:12" x14ac:dyDescent="0.25">
      <c r="A42" s="4">
        <v>8</v>
      </c>
      <c r="B42" s="25" t="s">
        <v>20</v>
      </c>
      <c r="C42" s="25"/>
      <c r="D42" s="25"/>
      <c r="E42" s="25"/>
      <c r="F42" s="39"/>
      <c r="G42" s="39"/>
      <c r="H42" s="6"/>
      <c r="I42" s="6"/>
      <c r="J42" s="13"/>
      <c r="K42" s="13"/>
      <c r="L42" s="12"/>
    </row>
    <row r="43" spans="1:12" x14ac:dyDescent="0.25">
      <c r="A43" s="4"/>
      <c r="B43" s="20" t="s">
        <v>21</v>
      </c>
      <c r="C43" s="20"/>
      <c r="D43" s="20"/>
      <c r="E43" s="20"/>
      <c r="F43" s="16"/>
      <c r="G43" s="17"/>
      <c r="H43" s="6" t="s">
        <v>37</v>
      </c>
      <c r="I43" s="6">
        <v>1</v>
      </c>
      <c r="J43" s="13">
        <f t="shared" si="6"/>
        <v>68276000</v>
      </c>
      <c r="K43" s="13">
        <f t="shared" si="7"/>
        <v>68276000</v>
      </c>
      <c r="L43" s="12">
        <v>52520000</v>
      </c>
    </row>
    <row r="44" spans="1:12" x14ac:dyDescent="0.25">
      <c r="J44" s="13" t="s">
        <v>57</v>
      </c>
      <c r="K44" s="14">
        <f>SUM(K5:K43)</f>
        <v>759621000</v>
      </c>
    </row>
    <row r="45" spans="1:12" x14ac:dyDescent="0.25">
      <c r="J45" s="11" t="s">
        <v>58</v>
      </c>
      <c r="K45" s="14">
        <f>K44/10</f>
        <v>75962100</v>
      </c>
    </row>
    <row r="46" spans="1:12" x14ac:dyDescent="0.25">
      <c r="J46" s="11" t="s">
        <v>59</v>
      </c>
      <c r="K46" s="14">
        <f>K44+K45</f>
        <v>835583100</v>
      </c>
    </row>
  </sheetData>
  <mergeCells count="84">
    <mergeCell ref="F37:G37"/>
    <mergeCell ref="F39:G39"/>
    <mergeCell ref="F43:G43"/>
    <mergeCell ref="F18:G18"/>
    <mergeCell ref="F19:G19"/>
    <mergeCell ref="F22:G22"/>
    <mergeCell ref="F41:G41"/>
    <mergeCell ref="F42:G42"/>
    <mergeCell ref="F32:G32"/>
    <mergeCell ref="F35:G35"/>
    <mergeCell ref="F38:G38"/>
    <mergeCell ref="F40:G40"/>
    <mergeCell ref="F33:G33"/>
    <mergeCell ref="F34:G34"/>
    <mergeCell ref="F36:G36"/>
    <mergeCell ref="F23:G23"/>
    <mergeCell ref="F24:G24"/>
    <mergeCell ref="F25:G25"/>
    <mergeCell ref="F15:G15"/>
    <mergeCell ref="F16:G16"/>
    <mergeCell ref="F17:G17"/>
    <mergeCell ref="F20:G20"/>
    <mergeCell ref="F21:G21"/>
    <mergeCell ref="F8:G8"/>
    <mergeCell ref="F9:G9"/>
    <mergeCell ref="F12:G12"/>
    <mergeCell ref="F13:G13"/>
    <mergeCell ref="F14:G14"/>
    <mergeCell ref="B40:E40"/>
    <mergeCell ref="B41:E41"/>
    <mergeCell ref="B42:E42"/>
    <mergeCell ref="B43:E43"/>
    <mergeCell ref="F4:G4"/>
    <mergeCell ref="F10:G10"/>
    <mergeCell ref="F11:G11"/>
    <mergeCell ref="F5:G5"/>
    <mergeCell ref="F6:G6"/>
    <mergeCell ref="F7:G7"/>
    <mergeCell ref="B34:E34"/>
    <mergeCell ref="B35:E35"/>
    <mergeCell ref="B36:E36"/>
    <mergeCell ref="B37:E37"/>
    <mergeCell ref="B38:E38"/>
    <mergeCell ref="B39:E39"/>
    <mergeCell ref="B33:E33"/>
    <mergeCell ref="B22:E22"/>
    <mergeCell ref="B23:E23"/>
    <mergeCell ref="B24:E24"/>
    <mergeCell ref="B25:E25"/>
    <mergeCell ref="B32:E32"/>
    <mergeCell ref="B26:E26"/>
    <mergeCell ref="B27:E27"/>
    <mergeCell ref="B28:E28"/>
    <mergeCell ref="B29:E29"/>
    <mergeCell ref="B30:E30"/>
    <mergeCell ref="B31:E31"/>
    <mergeCell ref="B21:E21"/>
    <mergeCell ref="B16:E16"/>
    <mergeCell ref="B6:E6"/>
    <mergeCell ref="B7:E7"/>
    <mergeCell ref="B8:E8"/>
    <mergeCell ref="B9:E9"/>
    <mergeCell ref="B10:E10"/>
    <mergeCell ref="B11:E11"/>
    <mergeCell ref="B17:E17"/>
    <mergeCell ref="B13:E13"/>
    <mergeCell ref="B14:E14"/>
    <mergeCell ref="B12:E12"/>
    <mergeCell ref="B15:E15"/>
    <mergeCell ref="B18:E18"/>
    <mergeCell ref="B19:E19"/>
    <mergeCell ref="B20:E20"/>
    <mergeCell ref="B3:E3"/>
    <mergeCell ref="B4:E4"/>
    <mergeCell ref="B5:E5"/>
    <mergeCell ref="F3:G3"/>
    <mergeCell ref="A1:I2"/>
    <mergeCell ref="F31:G31"/>
    <mergeCell ref="N28:O28"/>
    <mergeCell ref="F26:G26"/>
    <mergeCell ref="F27:G27"/>
    <mergeCell ref="F28:G28"/>
    <mergeCell ref="F29:G29"/>
    <mergeCell ref="F30:G30"/>
  </mergeCells>
  <pageMargins left="0.7" right="0.7" top="0.75" bottom="0.75" header="0.3" footer="0.3"/>
  <pageSetup paperSize="9" scale="78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2017-05-08T03:29:53Z</cp:lastPrinted>
  <dcterms:created xsi:type="dcterms:W3CDTF">2017-05-03T01:18:59Z</dcterms:created>
  <dcterms:modified xsi:type="dcterms:W3CDTF">2017-05-08T04:40:05Z</dcterms:modified>
</cp:coreProperties>
</file>