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0490" windowHeight="7755" tabRatio="766" activeTab="1"/>
  </bookViews>
  <sheets>
    <sheet name="1.Service Contraction" sheetId="3" r:id="rId1"/>
    <sheet name="2.Quotation Service Order" sheetId="1" r:id="rId2"/>
    <sheet name="3.Detail Quotation" sheetId="9" r:id="rId3"/>
    <sheet name="4.Handing Over" sheetId="15" r:id="rId4"/>
    <sheet name="5.Request for Payment" sheetId="17" r:id="rId5"/>
    <sheet name="6.Invoice" sheetId="18" r:id="rId6"/>
    <sheet name="7. Process Sheet" sheetId="7" r:id="rId7"/>
    <sheet name="8.Allowance and Others" sheetId="8" r:id="rId8"/>
    <sheet name="9.Instrument Breakdown Sheet" sheetId="11" r:id="rId9"/>
    <sheet name="10.Equipment depreciation table" sheetId="6" r:id="rId10"/>
    <sheet name="11.Consumbles Breakudown Sheet" sheetId="12" r:id="rId11"/>
    <sheet name="Balance sheet" sheetId="4" r:id="rId12"/>
  </sheets>
  <externalReferences>
    <externalReference r:id="rId13"/>
    <externalReference r:id="rId14"/>
    <externalReference r:id="rId15"/>
    <externalReference r:id="rId16"/>
  </externalReferences>
  <definedNames>
    <definedName name="\z" localSheetId="3">#REF!</definedName>
    <definedName name="\z" localSheetId="4">#REF!</definedName>
    <definedName name="\z">#REF!</definedName>
    <definedName name="__IntlFixup" hidden="1">TRUE</definedName>
    <definedName name="__IntlFixupTable" hidden="1">#REF!</definedName>
    <definedName name="_1W_一" localSheetId="3">#REF!,#REF!,#REF!,#REF!</definedName>
    <definedName name="_1W_一" localSheetId="4">#REF!,#REF!,#REF!,#REF!</definedName>
    <definedName name="_1W_一">#REF!,#REF!,#REF!,#REF!</definedName>
    <definedName name="_Order1" hidden="1">0</definedName>
    <definedName name="A" localSheetId="3">#REF!</definedName>
    <definedName name="A" localSheetId="4">#REF!</definedName>
    <definedName name="A">#REF!</definedName>
    <definedName name="AA.Report.Files" hidden="1">#REF!</definedName>
    <definedName name="AA.Reports.Available" hidden="1">#REF!</definedName>
    <definedName name="Cl2入力">[1]Cl2!$C$8:$C$9,[1]Cl2!$F$9:$F$14,[1]Cl2!$H$9:$H$14,[1]Cl2!$C$7</definedName>
    <definedName name="d" localSheetId="3">#REF!</definedName>
    <definedName name="d" localSheetId="4">#REF!</definedName>
    <definedName name="d">#REF!</definedName>
    <definedName name="Data.Dump" hidden="1">OFFSET([0]!Data.Top.Left,1,0)</definedName>
    <definedName name="Database.File" hidden="1">#REF!</definedName>
    <definedName name="File.Type" hidden="1">#REF!</definedName>
    <definedName name="FLOW">#REF!</definedName>
    <definedName name="HCl入力">[1]HCl!$C$8:$C$9,[1]HCl!$F$9:$F$14,[1]HCl!$H$9:$H$14,[1]HCl!$C$7</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Limit" localSheetId="3">#REF!</definedName>
    <definedName name="Limit" localSheetId="4">#REF!</definedName>
    <definedName name="Limit">#REF!</definedName>
    <definedName name="NH3入力">[2]NH3!$C$8:$C$9,[2]NH3!$F$9:$F$14,[2]NH3!$H$9:$H$14,[2]NH3!$C$7</definedName>
    <definedName name="Ownership" hidden="1">OFFSET([0]!Data.Top.Left,1,0)</definedName>
    <definedName name="Pa" localSheetId="3">#REF!</definedName>
    <definedName name="Pa" localSheetId="4">#REF!</definedName>
    <definedName name="Pa">#REF!</definedName>
    <definedName name="PDS入力">[1]PDS!$C$8:$C$9,[1]PDS!$F$9:$F$14,[1]PDS!$H$9:$H$14,[1]PDS!$C$7</definedName>
    <definedName name="Po" localSheetId="3">#REF!</definedName>
    <definedName name="Po" localSheetId="4">#REF!</definedName>
    <definedName name="Po">#REF!</definedName>
    <definedName name="_xlnm.Print_Area" localSheetId="0">'1.Service Contraction'!$A$1:$J$158</definedName>
    <definedName name="_xlnm.Print_Area" localSheetId="9">'10.Equipment depreciation table'!$A$1:$E$52</definedName>
    <definedName name="_xlnm.Print_Area" localSheetId="10">'11.Consumbles Breakudown Sheet'!$D$2:$I$48</definedName>
    <definedName name="_xlnm.Print_Area" localSheetId="1">'2.Quotation Service Order'!$A$1:$J$54</definedName>
    <definedName name="_xlnm.Print_Area" localSheetId="2">'3.Detail Quotation'!$A$1:$J$52</definedName>
    <definedName name="_xlnm.Print_Area" localSheetId="3">'4.Handing Over'!$A$1:$J$61</definedName>
    <definedName name="_xlnm.Print_Area" localSheetId="4">'5.Request for Payment'!$A$1:$J$63</definedName>
    <definedName name="_xlnm.Print_Area" localSheetId="5">'6.Invoice'!$A$1:$I$42</definedName>
    <definedName name="_xlnm.Print_Area" localSheetId="6">'7. Process Sheet'!$B$1:$T$40</definedName>
    <definedName name="_xlnm.Print_Area" localSheetId="7">'8.Allowance and Others'!$A$1:$E$54</definedName>
    <definedName name="_xlnm.Print_Area" localSheetId="8">'9.Instrument Breakdown Sheet'!$D$1:$K$49</definedName>
    <definedName name="_xlnm.Print_Area" localSheetId="11">'Balance sheet'!$A$2:$R$28</definedName>
    <definedName name="Print_Area_MI" localSheetId="3">#REF!</definedName>
    <definedName name="Print_Area_MI" localSheetId="4">#REF!</definedName>
    <definedName name="Print_Area_MI">#REF!</definedName>
    <definedName name="Ps" localSheetId="3">#REF!</definedName>
    <definedName name="Ps" localSheetId="4">#REF!</definedName>
    <definedName name="Ps">#REF!</definedName>
    <definedName name="Ｐv" localSheetId="3">#REF!</definedName>
    <definedName name="Ｐv" localSheetId="4">#REF!</definedName>
    <definedName name="Ｐv">#REF!</definedName>
    <definedName name="Request">#REF!</definedName>
    <definedName name="S0x50入力">'[1]SOx 50'!$C$8:$C$9,'[1]SOx 50'!$C$12,'[1]SOx 50'!$F$9:$F$14,'[1]SOx 50'!$H$9:$H$14,'[1]SOx 50'!$C$7</definedName>
    <definedName name="Show.Acct.Update.Warning" hidden="1">#REF!</definedName>
    <definedName name="Show.MDB.Update.Warning" hidden="1">#REF!</definedName>
    <definedName name="SOx入力">'[1]SOx 10'!$C$8:$C$9,'[1]SOx 10'!$C$12,'[1]SOx 10'!$F$9:$F$14,'[1]SOx 10'!$H$9:$H$14,'[1]SOx 10'!$C$7</definedName>
    <definedName name="ｔ" localSheetId="3">#REF!</definedName>
    <definedName name="ｔ" localSheetId="4">#REF!</definedName>
    <definedName name="ｔ">#REF!</definedName>
    <definedName name="To" localSheetId="3">#REF!</definedName>
    <definedName name="To" localSheetId="4">#REF!</definedName>
    <definedName name="To">#REF!</definedName>
    <definedName name="Xw" localSheetId="3">#REF!</definedName>
    <definedName name="Xw" localSheetId="4">#REF!</definedName>
    <definedName name="Xw">#REF!</definedName>
    <definedName name="Zn入力">'[1]Zn NEDA'!$C$8:$C$9,'[1]Zn NEDA'!$F$9:$F$14,'[1]Zn NEDA'!$H$9:$H$14,'[1]Zn NEDA'!$C$7</definedName>
    <definedName name="γ" localSheetId="3">#REF!</definedName>
    <definedName name="γ" localSheetId="4">#REF!</definedName>
    <definedName name="γ">#REF!</definedName>
    <definedName name="γ0" localSheetId="3">#REF!</definedName>
    <definedName name="γ0" localSheetId="4">#REF!</definedName>
    <definedName name="γ0">#REF!</definedName>
    <definedName name="θm" localSheetId="3">#REF!</definedName>
    <definedName name="θm" localSheetId="4">#REF!</definedName>
    <definedName name="θm">#REF!</definedName>
    <definedName name="θs" localSheetId="3">#REF!</definedName>
    <definedName name="θs" localSheetId="4">#REF!</definedName>
    <definedName name="θs">#REF!</definedName>
    <definedName name="あ" localSheetId="3">#REF!,#REF!,#REF!,#REF!</definedName>
    <definedName name="あ" localSheetId="4">#REF!,#REF!,#REF!,#REF!</definedName>
    <definedName name="あ">#REF!,#REF!,#REF!,#REF!</definedName>
    <definedName name="あいう">[3]受注予算書（入力用）!$AE$79</definedName>
    <definedName name="一般入力" localSheetId="3">#REF!,#REF!,#REF!,#REF!</definedName>
    <definedName name="一般入力" localSheetId="4">#REF!,#REF!,#REF!,#REF!</definedName>
    <definedName name="一般入力">#REF!,#REF!,#REF!,#REF!</definedName>
    <definedName name="一般入寮">[4]証明!$M$2:$M$9,[4]証明!$N$11:$N$13,[4]証明!$I$25:$I$31,[4]証明!$M$1</definedName>
    <definedName name="主任技師" localSheetId="10">#REF!</definedName>
    <definedName name="主任技師" localSheetId="3">#REF!</definedName>
    <definedName name="主任技師" localSheetId="4">#REF!</definedName>
    <definedName name="主任技師" localSheetId="6">#REF!</definedName>
    <definedName name="主任技師" localSheetId="11">#REF!</definedName>
    <definedName name="主任技師">#REF!</definedName>
    <definedName name="主任技師ｂ" localSheetId="10">#REF!</definedName>
    <definedName name="主任技師ｂ" localSheetId="3">#REF!</definedName>
    <definedName name="主任技師ｂ" localSheetId="4">#REF!</definedName>
    <definedName name="主任技師ｂ" localSheetId="6">#REF!</definedName>
    <definedName name="主任技師ｂ" localSheetId="11">#REF!</definedName>
    <definedName name="主任技師ｂ">#REF!</definedName>
    <definedName name="係数C" localSheetId="3">#REF!</definedName>
    <definedName name="係数C" localSheetId="4">#REF!</definedName>
    <definedName name="係数C">#REF!</definedName>
    <definedName name="分析利益" localSheetId="3">#REF!</definedName>
    <definedName name="分析利益" localSheetId="4">#REF!</definedName>
    <definedName name="分析利益">#REF!</definedName>
    <definedName name="助手ｂ" localSheetId="10">#REF!</definedName>
    <definedName name="助手ｂ" localSheetId="3">#REF!</definedName>
    <definedName name="助手ｂ" localSheetId="4">#REF!</definedName>
    <definedName name="助手ｂ" localSheetId="6">#REF!</definedName>
    <definedName name="助手ｂ" localSheetId="11">#REF!</definedName>
    <definedName name="助手ｂ">#REF!</definedName>
    <definedName name="報告台帳" localSheetId="3">#REF!</definedName>
    <definedName name="報告台帳" localSheetId="4">#REF!</definedName>
    <definedName name="報告台帳">#REF!</definedName>
    <definedName name="技師" localSheetId="10">#REF!</definedName>
    <definedName name="技師" localSheetId="3">#REF!</definedName>
    <definedName name="技師" localSheetId="4">#REF!</definedName>
    <definedName name="技師" localSheetId="6">#REF!</definedName>
    <definedName name="技師" localSheetId="11">#REF!</definedName>
    <definedName name="技師">#REF!</definedName>
    <definedName name="技師Ａ" localSheetId="10">#REF!</definedName>
    <definedName name="技師Ａ" localSheetId="3">#REF!</definedName>
    <definedName name="技師Ａ" localSheetId="4">#REF!</definedName>
    <definedName name="技師Ａ" localSheetId="6">#REF!</definedName>
    <definedName name="技師Ａ" localSheetId="11">#REF!</definedName>
    <definedName name="技師Ａ">#REF!</definedName>
    <definedName name="技師Ｂ" localSheetId="10">#REF!</definedName>
    <definedName name="技師Ｂ" localSheetId="3">#REF!</definedName>
    <definedName name="技師Ｂ" localSheetId="4">#REF!</definedName>
    <definedName name="技師Ｂ" localSheetId="6">#REF!</definedName>
    <definedName name="技師Ｂ" localSheetId="11">#REF!</definedName>
    <definedName name="技師Ｂ">#REF!</definedName>
    <definedName name="技師Ｃ" localSheetId="10">#REF!</definedName>
    <definedName name="技師Ｃ" localSheetId="3">#REF!</definedName>
    <definedName name="技師Ｃ" localSheetId="4">#REF!</definedName>
    <definedName name="技師Ｃ" localSheetId="6">#REF!</definedName>
    <definedName name="技師Ｃ" localSheetId="11">#REF!</definedName>
    <definedName name="技師Ｃ">#REF!</definedName>
    <definedName name="技師補ｂ" localSheetId="10">#REF!</definedName>
    <definedName name="技師補ｂ" localSheetId="3">#REF!</definedName>
    <definedName name="技師補ｂ" localSheetId="4">#REF!</definedName>
    <definedName name="技師補ｂ" localSheetId="6">#REF!</definedName>
    <definedName name="技師補ｂ" localSheetId="11">#REF!</definedName>
    <definedName name="技師補ｂ">#REF!</definedName>
    <definedName name="技師長" localSheetId="10">#REF!</definedName>
    <definedName name="技師長" localSheetId="3">#REF!</definedName>
    <definedName name="技師長" localSheetId="4">#REF!</definedName>
    <definedName name="技師長" localSheetId="6">#REF!</definedName>
    <definedName name="技師長" localSheetId="11">#REF!</definedName>
    <definedName name="技師長">#REF!</definedName>
    <definedName name="技師長ｂ" localSheetId="10">#REF!</definedName>
    <definedName name="技師長ｂ" localSheetId="3">#REF!</definedName>
    <definedName name="技師長ｂ" localSheetId="4">#REF!</definedName>
    <definedName name="技師長ｂ" localSheetId="6">#REF!</definedName>
    <definedName name="技師長ｂ" localSheetId="11">#REF!</definedName>
    <definedName name="技師長ｂ">#REF!</definedName>
    <definedName name="技術員" localSheetId="10">#REF!</definedName>
    <definedName name="技術員" localSheetId="3">#REF!</definedName>
    <definedName name="技術員" localSheetId="4">#REF!</definedName>
    <definedName name="技術員" localSheetId="6">#REF!</definedName>
    <definedName name="技術員" localSheetId="11">#REF!</definedName>
    <definedName name="技術員">#REF!</definedName>
    <definedName name="金属入力" localSheetId="3">#REF!,#REF!</definedName>
    <definedName name="金属入力" localSheetId="4">#REF!,#REF!</definedName>
    <definedName name="金属入力">#REF!,#REF!</definedName>
  </definedNames>
  <calcPr calcId="152511"/>
</workbook>
</file>

<file path=xl/calcChain.xml><?xml version="1.0" encoding="utf-8"?>
<calcChain xmlns="http://schemas.openxmlformats.org/spreadsheetml/2006/main">
  <c r="H25" i="1" l="1"/>
  <c r="G44" i="1" l="1"/>
  <c r="J21" i="9" l="1"/>
  <c r="J26" i="9" s="1"/>
  <c r="G27" i="1" s="1"/>
  <c r="H47" i="3" l="1"/>
  <c r="F47" i="3"/>
  <c r="I34" i="1"/>
  <c r="G158" i="3" l="1"/>
  <c r="C124" i="3" l="1"/>
  <c r="F121" i="3"/>
  <c r="C121" i="3"/>
  <c r="D52" i="3" l="1"/>
  <c r="B57" i="3"/>
  <c r="H26" i="18" l="1"/>
  <c r="H25" i="18"/>
  <c r="C26" i="18"/>
  <c r="C25" i="18"/>
  <c r="C24" i="18"/>
  <c r="I4" i="9" l="1"/>
  <c r="I17" i="9" l="1"/>
  <c r="J17" i="9" s="1"/>
  <c r="I18" i="9"/>
  <c r="J18" i="9" s="1"/>
  <c r="I19" i="9"/>
  <c r="I20" i="9"/>
  <c r="J20" i="9" s="1"/>
  <c r="I22" i="9"/>
  <c r="J22" i="9" s="1"/>
  <c r="I23" i="9"/>
  <c r="I34" i="9"/>
  <c r="I35" i="9"/>
  <c r="J35" i="9" s="1"/>
  <c r="I39" i="9"/>
  <c r="J39" i="9" s="1"/>
  <c r="I40" i="9"/>
  <c r="J40" i="9" s="1"/>
  <c r="I41" i="9"/>
  <c r="J41" i="9" s="1"/>
  <c r="I42" i="9"/>
  <c r="J42" i="9" s="1"/>
  <c r="I43" i="9"/>
  <c r="J43" i="9" s="1"/>
  <c r="I44" i="9"/>
  <c r="J44" i="9" s="1"/>
  <c r="I45" i="9"/>
  <c r="J45" i="9" s="1"/>
  <c r="I46" i="9"/>
  <c r="J46" i="9" s="1"/>
  <c r="I47" i="9"/>
  <c r="I48" i="9"/>
  <c r="J48" i="9" s="1"/>
  <c r="I49" i="9"/>
  <c r="J49" i="9" s="1"/>
  <c r="J15" i="9"/>
  <c r="J19" i="9" s="1"/>
  <c r="I16" i="9"/>
  <c r="J23" i="9"/>
  <c r="J47" i="9"/>
  <c r="N30" i="9"/>
  <c r="N31" i="9"/>
  <c r="N32" i="9"/>
  <c r="N35" i="9"/>
  <c r="N25" i="9"/>
  <c r="N26" i="9"/>
  <c r="N27" i="9"/>
  <c r="N28" i="9"/>
  <c r="N39" i="9"/>
  <c r="N40" i="9"/>
  <c r="N41" i="9"/>
  <c r="N42" i="9"/>
  <c r="N43" i="9"/>
  <c r="N44" i="9"/>
  <c r="N45" i="9"/>
  <c r="N46" i="9"/>
  <c r="N47" i="9"/>
  <c r="N48" i="9"/>
  <c r="N49" i="9"/>
  <c r="J50" i="9" l="1"/>
  <c r="G28" i="1" s="1"/>
  <c r="G26" i="1"/>
  <c r="H24" i="18" s="1"/>
  <c r="N50" i="9"/>
  <c r="N51" i="9" s="1"/>
  <c r="N52" i="9" s="1"/>
  <c r="M25" i="1"/>
  <c r="H13" i="18" l="1"/>
  <c r="C23" i="18"/>
  <c r="A40" i="15"/>
  <c r="F58" i="17"/>
  <c r="H16" i="7" l="1"/>
  <c r="A41" i="15" l="1"/>
  <c r="A28" i="17"/>
  <c r="H15" i="18" l="1"/>
  <c r="T40" i="7" l="1"/>
  <c r="S40" i="7"/>
  <c r="R40" i="7"/>
  <c r="Q40" i="7"/>
  <c r="N40" i="7"/>
  <c r="M40" i="7"/>
  <c r="I40" i="7"/>
  <c r="O40" i="7"/>
  <c r="P40" i="7"/>
  <c r="H34" i="7"/>
  <c r="H29" i="7"/>
  <c r="H30" i="7"/>
  <c r="H31" i="7"/>
  <c r="H32" i="7"/>
  <c r="H12" i="7"/>
  <c r="C12" i="7"/>
  <c r="H11" i="7"/>
  <c r="C11" i="7"/>
  <c r="H10" i="7"/>
  <c r="C10" i="7"/>
  <c r="H9" i="7"/>
  <c r="C9" i="7"/>
  <c r="H25" i="7"/>
  <c r="H26" i="7"/>
  <c r="C25" i="7"/>
  <c r="C26" i="7"/>
  <c r="C27" i="7"/>
  <c r="C28" i="7"/>
  <c r="C29" i="7"/>
  <c r="C30" i="7"/>
  <c r="C31" i="7"/>
  <c r="C32" i="7"/>
  <c r="D34" i="15" l="1"/>
  <c r="B13" i="15" l="1"/>
  <c r="F32" i="18" l="1"/>
  <c r="E48" i="3" l="1"/>
  <c r="A35" i="17" l="1"/>
  <c r="B46" i="1" l="1"/>
  <c r="H46" i="1"/>
  <c r="E6" i="11" l="1"/>
  <c r="H17" i="7" l="1"/>
  <c r="H18" i="7"/>
  <c r="H19" i="7"/>
  <c r="H20" i="7"/>
  <c r="H21" i="7"/>
  <c r="H22" i="7"/>
  <c r="H23" i="7"/>
  <c r="H24" i="7"/>
  <c r="I3" i="9" l="1"/>
  <c r="C13" i="7" l="1"/>
  <c r="C14" i="7"/>
  <c r="C15" i="7"/>
  <c r="C16" i="7"/>
  <c r="C17" i="7"/>
  <c r="C18" i="7"/>
  <c r="C19" i="7"/>
  <c r="C20" i="7"/>
  <c r="C21" i="7"/>
  <c r="C22" i="7"/>
  <c r="C23" i="7"/>
  <c r="C24" i="7"/>
  <c r="E44" i="3" l="1"/>
  <c r="E45" i="3" l="1"/>
  <c r="G6" i="9"/>
  <c r="I28" i="18" l="1"/>
  <c r="AH49" i="9" l="1"/>
  <c r="AH44" i="9"/>
  <c r="AH43" i="9"/>
  <c r="AH42" i="9"/>
  <c r="AH41" i="9"/>
  <c r="AH40" i="9"/>
  <c r="AH39" i="9"/>
  <c r="AH38" i="9"/>
  <c r="AH29" i="9"/>
  <c r="AH28" i="9"/>
  <c r="AH23" i="9"/>
  <c r="AL22" i="9"/>
  <c r="AR22" i="9" s="1"/>
  <c r="AH22" i="9"/>
  <c r="AL21" i="9"/>
  <c r="AR21" i="9" s="1"/>
  <c r="AH21" i="9"/>
  <c r="AL20" i="9"/>
  <c r="AR20" i="9" s="1"/>
  <c r="AH20" i="9"/>
  <c r="AL19" i="9"/>
  <c r="AR19" i="9" s="1"/>
  <c r="AL18" i="9"/>
  <c r="AQ18" i="9" s="1"/>
  <c r="AH18" i="9"/>
  <c r="AH17" i="9"/>
  <c r="AH16" i="9"/>
  <c r="AG3" i="9"/>
  <c r="P21" i="4"/>
  <c r="O21" i="4"/>
  <c r="P20" i="4"/>
  <c r="O20" i="4"/>
  <c r="N18" i="4"/>
  <c r="O18" i="4"/>
  <c r="P18" i="4"/>
  <c r="Q18" i="4"/>
  <c r="R18" i="4"/>
  <c r="M18" i="4"/>
  <c r="K18" i="4"/>
  <c r="J18" i="4"/>
  <c r="I19" i="4"/>
  <c r="M16" i="4"/>
  <c r="I16" i="4"/>
  <c r="J16" i="4"/>
  <c r="K16" i="4"/>
  <c r="R15" i="4"/>
  <c r="L15" i="4"/>
  <c r="I15" i="4"/>
  <c r="J15" i="4"/>
  <c r="I14" i="4"/>
  <c r="J14" i="4"/>
  <c r="K14" i="4"/>
  <c r="L14" i="4"/>
  <c r="M14" i="4"/>
  <c r="N14" i="4"/>
  <c r="O14" i="4"/>
  <c r="P14" i="4"/>
  <c r="Q14" i="4"/>
  <c r="R14" i="4"/>
  <c r="J13" i="4"/>
  <c r="H14" i="4"/>
  <c r="H15" i="4"/>
  <c r="H16" i="4"/>
  <c r="I8" i="4"/>
  <c r="J8" i="4"/>
  <c r="K8" i="4"/>
  <c r="L8" i="4"/>
  <c r="L10" i="4" s="1"/>
  <c r="M8" i="4"/>
  <c r="N8" i="4"/>
  <c r="N10" i="4" s="1"/>
  <c r="O8" i="4"/>
  <c r="P8" i="4"/>
  <c r="P10" i="4" s="1"/>
  <c r="Q8" i="4"/>
  <c r="R8" i="4"/>
  <c r="H13" i="4"/>
  <c r="H8" i="4"/>
  <c r="F23" i="4"/>
  <c r="F18" i="4"/>
  <c r="F15" i="4"/>
  <c r="F14" i="4"/>
  <c r="G10" i="4"/>
  <c r="G9" i="4"/>
  <c r="H9" i="4" s="1"/>
  <c r="I9" i="4"/>
  <c r="M9" i="4"/>
  <c r="Q9" i="4"/>
  <c r="H10" i="4"/>
  <c r="I10" i="4"/>
  <c r="J10" i="4"/>
  <c r="K10" i="4"/>
  <c r="M10" i="4"/>
  <c r="O10" i="4"/>
  <c r="Q10" i="4"/>
  <c r="R10" i="4"/>
  <c r="R38" i="4"/>
  <c r="Q38" i="4"/>
  <c r="P38" i="4"/>
  <c r="O38" i="4"/>
  <c r="N38" i="4"/>
  <c r="M38" i="4"/>
  <c r="L38" i="4"/>
  <c r="K38" i="4"/>
  <c r="J38" i="4"/>
  <c r="I38" i="4"/>
  <c r="H38" i="4"/>
  <c r="R37" i="4"/>
  <c r="P37" i="4"/>
  <c r="N37" i="4"/>
  <c r="L37" i="4"/>
  <c r="J37" i="4"/>
  <c r="H37" i="4"/>
  <c r="AO18" i="9" l="1"/>
  <c r="AO20" i="9"/>
  <c r="AO22" i="9"/>
  <c r="AH45" i="9"/>
  <c r="AH24" i="9"/>
  <c r="K37" i="4"/>
  <c r="O37" i="4"/>
  <c r="R9" i="4"/>
  <c r="J9" i="4"/>
  <c r="AR18" i="9"/>
  <c r="AO21" i="9"/>
  <c r="I37" i="4"/>
  <c r="M37" i="4"/>
  <c r="Q37" i="4"/>
  <c r="N9" i="4"/>
  <c r="O9" i="4"/>
  <c r="K9" i="4"/>
  <c r="AN18" i="9"/>
  <c r="AO19" i="9"/>
  <c r="AH37" i="9"/>
  <c r="AP19" i="9"/>
  <c r="AP20" i="9"/>
  <c r="AP21" i="9"/>
  <c r="AP22" i="9"/>
  <c r="AP18" i="9"/>
  <c r="AM19" i="9"/>
  <c r="AQ19" i="9"/>
  <c r="AM20" i="9"/>
  <c r="AQ20" i="9"/>
  <c r="AM21" i="9"/>
  <c r="AQ21" i="9"/>
  <c r="AM22" i="9"/>
  <c r="AQ22" i="9"/>
  <c r="AM18" i="9"/>
  <c r="AN19" i="9"/>
  <c r="AN20" i="9"/>
  <c r="AN21" i="9"/>
  <c r="AN22" i="9"/>
  <c r="P9" i="4"/>
  <c r="L9" i="4"/>
  <c r="AH47" i="9" l="1"/>
  <c r="AH50" i="9" s="1"/>
  <c r="AH51" i="9" s="1"/>
  <c r="AH52" i="9" s="1"/>
  <c r="Z10" i="9" s="1"/>
  <c r="G152" i="3" l="1"/>
  <c r="A152" i="3"/>
  <c r="E7" i="11" l="1"/>
  <c r="E8" i="11"/>
  <c r="E9" i="11"/>
  <c r="E10" i="11"/>
  <c r="E35" i="3" l="1"/>
  <c r="F40" i="17" s="1"/>
  <c r="N9" i="8" l="1"/>
  <c r="K9" i="8"/>
  <c r="J9" i="8"/>
  <c r="H9" i="8"/>
  <c r="M9" i="8" s="1"/>
  <c r="K8" i="8"/>
  <c r="H8" i="8"/>
  <c r="L8" i="8" s="1"/>
  <c r="H7" i="8"/>
  <c r="K7" i="8" s="1"/>
  <c r="H6" i="8"/>
  <c r="N6" i="8" s="1"/>
  <c r="N5" i="8"/>
  <c r="K5" i="8"/>
  <c r="H5" i="8"/>
  <c r="M5" i="8" s="1"/>
  <c r="M8" i="8" l="1"/>
  <c r="I8" i="8"/>
  <c r="N8" i="8"/>
  <c r="J5" i="8"/>
  <c r="K6" i="8"/>
  <c r="J8" i="8"/>
  <c r="L7" i="8"/>
  <c r="L6" i="8"/>
  <c r="I7" i="8"/>
  <c r="M7" i="8"/>
  <c r="L5" i="8"/>
  <c r="I6" i="8"/>
  <c r="M6" i="8"/>
  <c r="J7" i="8"/>
  <c r="N7" i="8"/>
  <c r="L9" i="8"/>
  <c r="I5" i="8"/>
  <c r="J6" i="8"/>
  <c r="I9" i="8"/>
  <c r="D41" i="17" l="1"/>
  <c r="D39" i="17"/>
  <c r="F49" i="17" s="1"/>
  <c r="B13" i="17"/>
  <c r="F47" i="15"/>
  <c r="G49" i="15" l="1"/>
  <c r="B49" i="15"/>
  <c r="Q17" i="9"/>
  <c r="T17" i="9" s="1"/>
  <c r="Q16" i="9"/>
  <c r="T16" i="9" s="1"/>
  <c r="Q15" i="9"/>
  <c r="Q14" i="9"/>
  <c r="B8" i="9"/>
  <c r="V16" i="9" l="1"/>
  <c r="W16" i="9"/>
  <c r="U16" i="9"/>
  <c r="S16" i="9"/>
  <c r="T15" i="9"/>
  <c r="S15" i="9"/>
  <c r="W15" i="9"/>
  <c r="U15" i="9"/>
  <c r="S14" i="9"/>
  <c r="W14" i="9"/>
  <c r="U14" i="9"/>
  <c r="T14" i="9"/>
  <c r="W17" i="9"/>
  <c r="U17" i="9"/>
  <c r="S17" i="9"/>
  <c r="C6" i="9"/>
  <c r="D29" i="15"/>
  <c r="R15" i="9"/>
  <c r="V15" i="9"/>
  <c r="R14" i="9"/>
  <c r="V14" i="9"/>
  <c r="R17" i="9"/>
  <c r="V17" i="9"/>
  <c r="R16" i="9"/>
  <c r="N18" i="1"/>
  <c r="B17" i="17" s="1"/>
  <c r="N16" i="1"/>
  <c r="B15" i="17" s="1"/>
  <c r="N21" i="1"/>
  <c r="B20" i="17" s="1"/>
  <c r="N20" i="1"/>
  <c r="B19" i="17" s="1"/>
  <c r="B14" i="1"/>
  <c r="H38" i="15" s="1"/>
  <c r="B20" i="1" l="1"/>
  <c r="B19" i="15"/>
  <c r="B21" i="1"/>
  <c r="B20" i="15"/>
  <c r="B17" i="15"/>
  <c r="B15" i="15"/>
  <c r="N2" i="7" l="1"/>
  <c r="C33" i="7"/>
  <c r="C34" i="7"/>
  <c r="C35" i="7"/>
  <c r="C36" i="7"/>
  <c r="C37" i="7"/>
  <c r="C38" i="7"/>
  <c r="C39" i="7"/>
  <c r="H33" i="7"/>
  <c r="H35" i="7"/>
  <c r="H36" i="7"/>
  <c r="H37" i="7"/>
  <c r="H38" i="7"/>
  <c r="H39" i="7"/>
  <c r="H13" i="7"/>
  <c r="H40" i="7" l="1"/>
  <c r="F124" i="3"/>
  <c r="B120" i="3"/>
  <c r="P84" i="3" l="1"/>
  <c r="E7" i="3"/>
  <c r="H12" i="18" s="1"/>
  <c r="H14" i="18" s="1"/>
  <c r="H37" i="15" l="1"/>
  <c r="A23" i="17"/>
  <c r="B60" i="3"/>
  <c r="E46" i="3"/>
  <c r="A44" i="15" l="1"/>
  <c r="B19" i="18"/>
  <c r="A31" i="17"/>
  <c r="D36" i="15"/>
  <c r="H4" i="12"/>
  <c r="C3" i="7"/>
  <c r="D35" i="15"/>
  <c r="E3" i="7"/>
  <c r="G3" i="12"/>
  <c r="D6" i="12"/>
  <c r="E6" i="12"/>
  <c r="F6" i="12"/>
  <c r="H6" i="12" s="1"/>
  <c r="D7" i="12"/>
  <c r="E7" i="12"/>
  <c r="F7" i="12"/>
  <c r="H7" i="12" s="1"/>
  <c r="D8" i="12"/>
  <c r="E8" i="12"/>
  <c r="F8" i="12"/>
  <c r="H8" i="12" s="1"/>
  <c r="D9" i="12"/>
  <c r="E9" i="12"/>
  <c r="F9" i="12"/>
  <c r="H9" i="12" s="1"/>
  <c r="D10" i="12"/>
  <c r="E10" i="12"/>
  <c r="F10" i="12"/>
  <c r="H10" i="12" s="1"/>
  <c r="D11" i="12"/>
  <c r="E11" i="12"/>
  <c r="F11" i="12"/>
  <c r="H11" i="12" s="1"/>
  <c r="D12" i="12"/>
  <c r="E12" i="12"/>
  <c r="F12" i="12"/>
  <c r="H12" i="12" s="1"/>
  <c r="D13" i="12"/>
  <c r="E13" i="12"/>
  <c r="F13" i="12"/>
  <c r="H13" i="12" s="1"/>
  <c r="D14" i="12"/>
  <c r="E14" i="12"/>
  <c r="F14" i="12"/>
  <c r="H14" i="12" s="1"/>
  <c r="D15" i="12"/>
  <c r="E15" i="12"/>
  <c r="F15" i="12"/>
  <c r="H15" i="12"/>
  <c r="D16" i="12"/>
  <c r="E16" i="12"/>
  <c r="F16" i="12"/>
  <c r="H16" i="12"/>
  <c r="D17" i="12"/>
  <c r="E17" i="12"/>
  <c r="F17" i="12"/>
  <c r="H17" i="12"/>
  <c r="D18" i="12"/>
  <c r="E18" i="12"/>
  <c r="F18" i="12"/>
  <c r="H18" i="12"/>
  <c r="D19" i="12"/>
  <c r="E19" i="12"/>
  <c r="F19" i="12"/>
  <c r="H19" i="12"/>
  <c r="D20" i="12"/>
  <c r="E20" i="12"/>
  <c r="F20" i="12"/>
  <c r="H20" i="12"/>
  <c r="D21" i="12"/>
  <c r="E21" i="12"/>
  <c r="F21" i="12"/>
  <c r="H21" i="12"/>
  <c r="D22" i="12"/>
  <c r="E22" i="12"/>
  <c r="F22" i="12"/>
  <c r="H22" i="12"/>
  <c r="D23" i="12"/>
  <c r="E23" i="12"/>
  <c r="F23" i="12"/>
  <c r="H23" i="12"/>
  <c r="D24" i="12"/>
  <c r="E24" i="12"/>
  <c r="F24" i="12"/>
  <c r="H24" i="12"/>
  <c r="D25" i="12"/>
  <c r="E25" i="12"/>
  <c r="F25" i="12"/>
  <c r="H25" i="12"/>
  <c r="D26" i="12"/>
  <c r="E26" i="12"/>
  <c r="F26" i="12"/>
  <c r="H26" i="12"/>
  <c r="D27" i="12"/>
  <c r="E27" i="12"/>
  <c r="F27" i="12"/>
  <c r="H27" i="12"/>
  <c r="D28" i="12"/>
  <c r="E28" i="12"/>
  <c r="F28" i="12"/>
  <c r="H28" i="12"/>
  <c r="D29" i="12"/>
  <c r="E29" i="12"/>
  <c r="F29" i="12"/>
  <c r="H29" i="12"/>
  <c r="D30" i="12"/>
  <c r="E30" i="12"/>
  <c r="F30" i="12"/>
  <c r="H30" i="12"/>
  <c r="D31" i="12"/>
  <c r="E31" i="12"/>
  <c r="F31" i="12"/>
  <c r="H31" i="12"/>
  <c r="D32" i="12"/>
  <c r="E32" i="12"/>
  <c r="F32" i="12"/>
  <c r="H32" i="12"/>
  <c r="D33" i="12"/>
  <c r="E33" i="12"/>
  <c r="F33" i="12"/>
  <c r="H33" i="12"/>
  <c r="D34" i="12"/>
  <c r="E34" i="12"/>
  <c r="F34" i="12"/>
  <c r="H34" i="12"/>
  <c r="D35" i="12"/>
  <c r="E35" i="12"/>
  <c r="F35" i="12"/>
  <c r="H35" i="12"/>
  <c r="D36" i="12"/>
  <c r="E36" i="12"/>
  <c r="F36" i="12"/>
  <c r="H36" i="12"/>
  <c r="D37" i="12"/>
  <c r="E37" i="12"/>
  <c r="F37" i="12"/>
  <c r="H37" i="12"/>
  <c r="D38" i="12"/>
  <c r="E38" i="12"/>
  <c r="F38" i="12"/>
  <c r="H38" i="12"/>
  <c r="D39" i="12"/>
  <c r="E39" i="12"/>
  <c r="F39" i="12"/>
  <c r="H39" i="12"/>
  <c r="D40" i="12"/>
  <c r="E40" i="12"/>
  <c r="F40" i="12"/>
  <c r="H40" i="12"/>
  <c r="D41" i="12"/>
  <c r="E41" i="12"/>
  <c r="F41" i="12"/>
  <c r="H41" i="12"/>
  <c r="D42" i="12"/>
  <c r="E42" i="12"/>
  <c r="F42" i="12"/>
  <c r="H42" i="12"/>
  <c r="D43" i="12"/>
  <c r="E43" i="12"/>
  <c r="F43" i="12"/>
  <c r="H43" i="12"/>
  <c r="D44" i="12"/>
  <c r="E44" i="12"/>
  <c r="F44" i="12"/>
  <c r="H44" i="12"/>
  <c r="D45" i="12"/>
  <c r="E45" i="12"/>
  <c r="F45" i="12"/>
  <c r="H45" i="12"/>
  <c r="D46" i="12"/>
  <c r="E46" i="12"/>
  <c r="F46" i="12"/>
  <c r="H46" i="12"/>
  <c r="D47" i="12"/>
  <c r="E47" i="12"/>
  <c r="F47" i="12"/>
  <c r="H47" i="12"/>
  <c r="D48" i="12"/>
  <c r="E48" i="12"/>
  <c r="F48" i="12"/>
  <c r="G3" i="11"/>
  <c r="D6" i="11"/>
  <c r="I6" i="11"/>
  <c r="F6" i="11"/>
  <c r="K6" i="11" s="1"/>
  <c r="D7" i="11"/>
  <c r="I7" i="11"/>
  <c r="F7" i="11"/>
  <c r="K7" i="11" s="1"/>
  <c r="D8" i="11"/>
  <c r="I8" i="11"/>
  <c r="F8" i="11"/>
  <c r="K8" i="11" s="1"/>
  <c r="D9" i="11"/>
  <c r="I9" i="11"/>
  <c r="F9" i="11"/>
  <c r="K9" i="11" s="1"/>
  <c r="D10" i="11"/>
  <c r="I10" i="11"/>
  <c r="F10" i="11"/>
  <c r="K10" i="11" s="1"/>
  <c r="D11" i="11"/>
  <c r="E11" i="11"/>
  <c r="I11" i="11" s="1"/>
  <c r="F11" i="11"/>
  <c r="K11" i="11" s="1"/>
  <c r="D12" i="11"/>
  <c r="E12" i="11"/>
  <c r="I12" i="11" s="1"/>
  <c r="F12" i="11"/>
  <c r="K12" i="11" s="1"/>
  <c r="D13" i="11"/>
  <c r="E13" i="11"/>
  <c r="I13" i="11" s="1"/>
  <c r="F13" i="11"/>
  <c r="K13" i="11" s="1"/>
  <c r="D14" i="11"/>
  <c r="E14" i="11"/>
  <c r="I14" i="11" s="1"/>
  <c r="F14" i="11"/>
  <c r="K14" i="11" s="1"/>
  <c r="D15" i="11"/>
  <c r="E15" i="11"/>
  <c r="I15" i="11" s="1"/>
  <c r="F15" i="11"/>
  <c r="K15" i="11" s="1"/>
  <c r="D16" i="11"/>
  <c r="E16" i="11"/>
  <c r="I16" i="11" s="1"/>
  <c r="F16" i="11"/>
  <c r="K16" i="11" s="1"/>
  <c r="D17" i="11"/>
  <c r="E17" i="11"/>
  <c r="I17" i="11" s="1"/>
  <c r="F17" i="11"/>
  <c r="K17" i="11" s="1"/>
  <c r="D18" i="11"/>
  <c r="E18" i="11"/>
  <c r="I18" i="11" s="1"/>
  <c r="F18" i="11"/>
  <c r="K18" i="11" s="1"/>
  <c r="D19" i="11"/>
  <c r="E19" i="11"/>
  <c r="I19" i="11" s="1"/>
  <c r="F19" i="11"/>
  <c r="K19" i="11" s="1"/>
  <c r="D20" i="11"/>
  <c r="E20" i="11"/>
  <c r="I20" i="11" s="1"/>
  <c r="F20" i="11"/>
  <c r="K20" i="11" s="1"/>
  <c r="D21" i="11"/>
  <c r="E21" i="11"/>
  <c r="I21" i="11" s="1"/>
  <c r="F21" i="11"/>
  <c r="K21" i="11" s="1"/>
  <c r="D22" i="11"/>
  <c r="E22" i="11"/>
  <c r="I22" i="11" s="1"/>
  <c r="F22" i="11"/>
  <c r="K22" i="11" s="1"/>
  <c r="D23" i="11"/>
  <c r="E23" i="11"/>
  <c r="F23" i="11"/>
  <c r="I23" i="11"/>
  <c r="K23" i="11"/>
  <c r="D24" i="11"/>
  <c r="E24" i="11"/>
  <c r="F24" i="11"/>
  <c r="I24" i="11"/>
  <c r="K24" i="11"/>
  <c r="D25" i="11"/>
  <c r="E25" i="11"/>
  <c r="F25" i="11"/>
  <c r="I25" i="11"/>
  <c r="K25" i="11"/>
  <c r="D26" i="11"/>
  <c r="E26" i="11"/>
  <c r="F26" i="11"/>
  <c r="I26" i="11"/>
  <c r="K26" i="11"/>
  <c r="D27" i="11"/>
  <c r="E27" i="11"/>
  <c r="F27" i="11"/>
  <c r="I27" i="11"/>
  <c r="K27" i="11"/>
  <c r="D28" i="11"/>
  <c r="E28" i="11"/>
  <c r="F28" i="11"/>
  <c r="I28" i="11"/>
  <c r="K28" i="11"/>
  <c r="D29" i="11"/>
  <c r="E29" i="11"/>
  <c r="F29" i="11"/>
  <c r="I29" i="11"/>
  <c r="K29" i="11"/>
  <c r="D30" i="11"/>
  <c r="E30" i="11"/>
  <c r="F30" i="11"/>
  <c r="I30" i="11"/>
  <c r="K30" i="11"/>
  <c r="D31" i="11"/>
  <c r="E31" i="11"/>
  <c r="F31" i="11"/>
  <c r="I31" i="11"/>
  <c r="K31" i="11"/>
  <c r="D32" i="11"/>
  <c r="E32" i="11"/>
  <c r="F32" i="11"/>
  <c r="I32" i="11"/>
  <c r="K32" i="11"/>
  <c r="D33" i="11"/>
  <c r="E33" i="11"/>
  <c r="F33" i="11"/>
  <c r="I33" i="11"/>
  <c r="K33" i="11"/>
  <c r="D34" i="11"/>
  <c r="E34" i="11"/>
  <c r="F34" i="11"/>
  <c r="I34" i="11"/>
  <c r="K34" i="11"/>
  <c r="D35" i="11"/>
  <c r="E35" i="11"/>
  <c r="F35" i="11"/>
  <c r="I35" i="11"/>
  <c r="K35" i="11"/>
  <c r="D36" i="11"/>
  <c r="E36" i="11"/>
  <c r="F36" i="11"/>
  <c r="I36" i="11"/>
  <c r="K36" i="11"/>
  <c r="D37" i="11"/>
  <c r="E37" i="11"/>
  <c r="F37" i="11"/>
  <c r="I37" i="11"/>
  <c r="K37" i="11"/>
  <c r="D38" i="11"/>
  <c r="E38" i="11"/>
  <c r="F38" i="11"/>
  <c r="I38" i="11"/>
  <c r="K38" i="11"/>
  <c r="D39" i="11"/>
  <c r="E39" i="11"/>
  <c r="F39" i="11"/>
  <c r="I39" i="11"/>
  <c r="K39" i="11"/>
  <c r="D40" i="11"/>
  <c r="E40" i="11"/>
  <c r="F40" i="11"/>
  <c r="I40" i="11"/>
  <c r="K40" i="11"/>
  <c r="D41" i="11"/>
  <c r="E41" i="11"/>
  <c r="F41" i="11"/>
  <c r="I41" i="11"/>
  <c r="K41" i="11"/>
  <c r="D42" i="11"/>
  <c r="E42" i="11"/>
  <c r="F42" i="11"/>
  <c r="I42" i="11"/>
  <c r="K42" i="11"/>
  <c r="D43" i="11"/>
  <c r="E43" i="11"/>
  <c r="F43" i="11"/>
  <c r="I43" i="11"/>
  <c r="K43" i="11"/>
  <c r="D44" i="11"/>
  <c r="E44" i="11"/>
  <c r="F44" i="11"/>
  <c r="I44" i="11"/>
  <c r="K44" i="11"/>
  <c r="D45" i="11"/>
  <c r="E45" i="11"/>
  <c r="F45" i="11"/>
  <c r="I45" i="11"/>
  <c r="K45" i="11"/>
  <c r="D46" i="11"/>
  <c r="E46" i="11"/>
  <c r="F46" i="11"/>
  <c r="I46" i="11"/>
  <c r="K46" i="11"/>
  <c r="D47" i="11"/>
  <c r="E47" i="11"/>
  <c r="F47" i="11"/>
  <c r="I47" i="11"/>
  <c r="K47" i="11"/>
  <c r="D48" i="11"/>
  <c r="E48" i="11"/>
  <c r="F48" i="11"/>
  <c r="D49" i="11"/>
  <c r="E49" i="11"/>
  <c r="F49" i="11"/>
  <c r="J16" i="9"/>
  <c r="M41" i="7"/>
  <c r="I4" i="11" l="1"/>
  <c r="H48" i="12"/>
  <c r="I48" i="11"/>
  <c r="K48" i="11"/>
  <c r="J49" i="11" l="1"/>
  <c r="D58" i="3" l="1"/>
  <c r="C42" i="15" s="1"/>
  <c r="P65" i="3"/>
  <c r="D35" i="3"/>
  <c r="D40" i="17" s="1"/>
  <c r="I29" i="18" l="1"/>
  <c r="C29" i="17"/>
  <c r="J51" i="9"/>
  <c r="A15" i="3"/>
  <c r="D19" i="3"/>
  <c r="D23" i="3"/>
  <c r="D22" i="3"/>
  <c r="D21" i="3"/>
  <c r="D20" i="3"/>
  <c r="D18" i="3"/>
  <c r="A158" i="3" s="1"/>
  <c r="D17" i="3"/>
  <c r="A47" i="15" s="1"/>
  <c r="I30" i="18" l="1"/>
  <c r="I31" i="18" s="1"/>
  <c r="D59" i="3"/>
  <c r="C2" i="7"/>
  <c r="J52" i="9"/>
  <c r="B10" i="9" l="1"/>
  <c r="C43" i="15"/>
  <c r="C30" i="17"/>
  <c r="C33" i="17" s="1"/>
  <c r="O65" i="3"/>
  <c r="B56" i="3" l="1"/>
  <c r="A27" i="17" s="1"/>
</calcChain>
</file>

<file path=xl/sharedStrings.xml><?xml version="1.0" encoding="utf-8"?>
<sst xmlns="http://schemas.openxmlformats.org/spreadsheetml/2006/main" count="935" uniqueCount="660">
  <si>
    <t>CHUGAI TECHNOS VIETNAM COMPANY LIMITED</t>
    <phoneticPr fontId="4"/>
  </si>
  <si>
    <t>CHUGAI TECHNOS VIETNAM COMPANY LIMITED</t>
    <phoneticPr fontId="4"/>
  </si>
  <si>
    <t>SOCIALIST REPUBLIC OF VIETNAM</t>
    <phoneticPr fontId="4"/>
  </si>
  <si>
    <t>Independence - Freedom - Happiness</t>
    <phoneticPr fontId="4"/>
  </si>
  <si>
    <t>Party A</t>
    <phoneticPr fontId="4"/>
  </si>
  <si>
    <t>Represented by</t>
    <phoneticPr fontId="4"/>
  </si>
  <si>
    <t>Title</t>
    <phoneticPr fontId="4"/>
  </si>
  <si>
    <t>Address</t>
    <phoneticPr fontId="4"/>
  </si>
  <si>
    <t>Fax</t>
    <phoneticPr fontId="4"/>
  </si>
  <si>
    <t>Tax code</t>
    <phoneticPr fontId="4"/>
  </si>
  <si>
    <t>Party B</t>
    <phoneticPr fontId="4"/>
  </si>
  <si>
    <t>General Director</t>
    <phoneticPr fontId="4"/>
  </si>
  <si>
    <t>+84-8-5410-9111</t>
    <phoneticPr fontId="4"/>
  </si>
  <si>
    <t>+84-8-5410-9222</t>
    <phoneticPr fontId="4"/>
  </si>
  <si>
    <t>Acc holder</t>
    <phoneticPr fontId="4"/>
  </si>
  <si>
    <t>Acc number</t>
    <phoneticPr fontId="4"/>
  </si>
  <si>
    <t>Bank</t>
    <phoneticPr fontId="4"/>
  </si>
  <si>
    <t>No.</t>
    <phoneticPr fontId="10"/>
  </si>
  <si>
    <t>currency</t>
    <phoneticPr fontId="10"/>
  </si>
  <si>
    <t>Acc Number</t>
    <phoneticPr fontId="10"/>
  </si>
  <si>
    <t>Currency</t>
    <phoneticPr fontId="4"/>
  </si>
  <si>
    <t>Table-1 Acc number</t>
    <phoneticPr fontId="4"/>
  </si>
  <si>
    <t>Acc number (Choose from Table-1)</t>
    <phoneticPr fontId="4"/>
  </si>
  <si>
    <t>Table-2 Acc number</t>
    <phoneticPr fontId="4"/>
  </si>
  <si>
    <t>Service</t>
    <phoneticPr fontId="4"/>
  </si>
  <si>
    <t>BHK</t>
    <phoneticPr fontId="10"/>
  </si>
  <si>
    <t>BHIC</t>
    <phoneticPr fontId="10"/>
  </si>
  <si>
    <t>Seal tape</t>
    <phoneticPr fontId="10"/>
  </si>
  <si>
    <t>Silica wool</t>
    <phoneticPr fontId="10"/>
  </si>
  <si>
    <t>Vinyl hose</t>
    <phoneticPr fontId="10"/>
  </si>
  <si>
    <t>Silicon hose</t>
    <phoneticPr fontId="10"/>
  </si>
  <si>
    <t>Filter paper for Andersen</t>
    <phoneticPr fontId="10"/>
  </si>
  <si>
    <t>Standard gas</t>
    <phoneticPr fontId="10"/>
  </si>
  <si>
    <t>Andersen</t>
    <phoneticPr fontId="10"/>
  </si>
  <si>
    <t>Water purifier instrument</t>
    <phoneticPr fontId="10"/>
  </si>
  <si>
    <t>Electric furnace</t>
    <phoneticPr fontId="10"/>
  </si>
  <si>
    <t>Dust (1set)</t>
    <phoneticPr fontId="10"/>
  </si>
  <si>
    <t>Orsat</t>
    <phoneticPr fontId="10"/>
  </si>
  <si>
    <t>No.</t>
    <phoneticPr fontId="10"/>
  </si>
  <si>
    <t>Measurement</t>
    <phoneticPr fontId="10"/>
  </si>
  <si>
    <t>Overtime</t>
    <phoneticPr fontId="10"/>
  </si>
  <si>
    <t>Man-hour</t>
    <phoneticPr fontId="10"/>
  </si>
  <si>
    <t>Engineers</t>
  </si>
  <si>
    <t>Transportation</t>
    <phoneticPr fontId="10"/>
  </si>
  <si>
    <t>Finish</t>
    <phoneticPr fontId="10"/>
  </si>
  <si>
    <t>Start</t>
    <phoneticPr fontId="10"/>
  </si>
  <si>
    <t>Breakdown of man-hour</t>
    <phoneticPr fontId="10"/>
  </si>
  <si>
    <t>Head-count</t>
    <phoneticPr fontId="10"/>
  </si>
  <si>
    <t>Business content</t>
    <phoneticPr fontId="10"/>
  </si>
  <si>
    <t>Date</t>
    <phoneticPr fontId="10"/>
  </si>
  <si>
    <t>Daily pay</t>
    <phoneticPr fontId="10"/>
  </si>
  <si>
    <t>In Vietnam</t>
    <phoneticPr fontId="10"/>
  </si>
  <si>
    <t>Unit</t>
    <phoneticPr fontId="10"/>
  </si>
  <si>
    <t>CHUGAI TECHNOS VIETNAM CO.,LTD</t>
    <phoneticPr fontId="14"/>
  </si>
  <si>
    <t>Used days</t>
    <phoneticPr fontId="20"/>
  </si>
  <si>
    <t>Taking out days</t>
    <phoneticPr fontId="20"/>
  </si>
  <si>
    <t>Remarks</t>
    <phoneticPr fontId="10"/>
  </si>
  <si>
    <t xml:space="preserve">Service subject line </t>
    <phoneticPr fontId="4"/>
  </si>
  <si>
    <t>Site</t>
    <phoneticPr fontId="4"/>
  </si>
  <si>
    <t>Country</t>
    <phoneticPr fontId="4"/>
  </si>
  <si>
    <t>Analysis</t>
    <phoneticPr fontId="4"/>
  </si>
  <si>
    <t>Environmental consulting</t>
    <phoneticPr fontId="4"/>
  </si>
  <si>
    <t>Non-destructive inspection</t>
    <phoneticPr fontId="4"/>
  </si>
  <si>
    <t>Relevant facilities</t>
    <phoneticPr fontId="4"/>
  </si>
  <si>
    <t>Price</t>
    <phoneticPr fontId="4"/>
  </si>
  <si>
    <t>USD</t>
    <phoneticPr fontId="4"/>
  </si>
  <si>
    <t>VND</t>
    <phoneticPr fontId="4"/>
  </si>
  <si>
    <t>JPY</t>
    <phoneticPr fontId="4"/>
  </si>
  <si>
    <t>thousand</t>
    <phoneticPr fontId="4"/>
  </si>
  <si>
    <t>Vietnamese Dong</t>
    <phoneticPr fontId="4"/>
  </si>
  <si>
    <t>Japanese Yen</t>
    <phoneticPr fontId="4"/>
  </si>
  <si>
    <t>currency</t>
    <phoneticPr fontId="4"/>
  </si>
  <si>
    <t>VAT</t>
    <phoneticPr fontId="4"/>
  </si>
  <si>
    <t>Choice</t>
    <phoneticPr fontId="4"/>
  </si>
  <si>
    <t>This Price is 10% VAT applicable.</t>
    <phoneticPr fontId="4"/>
  </si>
  <si>
    <t>Cost</t>
    <phoneticPr fontId="4"/>
  </si>
  <si>
    <t>applicable</t>
  </si>
  <si>
    <t>not applicable</t>
  </si>
  <si>
    <t>This Price is not 10% VAT applicable.</t>
    <phoneticPr fontId="4"/>
  </si>
  <si>
    <t xml:space="preserve"> </t>
    <phoneticPr fontId="4"/>
  </si>
  <si>
    <t>All responsibilities of each party under this Article</t>
    <phoneticPr fontId="4"/>
  </si>
  <si>
    <t>-</t>
    <phoneticPr fontId="4"/>
  </si>
  <si>
    <t>Relevant month quotation</t>
    <phoneticPr fontId="4"/>
  </si>
  <si>
    <t>10 days</t>
    <phoneticPr fontId="4"/>
  </si>
  <si>
    <t>Mr. Masami Oue</t>
    <phoneticPr fontId="4"/>
  </si>
  <si>
    <t>+81-82-295-2237</t>
    <phoneticPr fontId="4"/>
  </si>
  <si>
    <t>In case disputes cannot be solved by the two parties, the cases shall be settled by The Vietnam International Arbitration Centre at the Vietnam Chamber of Commerce and Industry.</t>
    <phoneticPr fontId="4"/>
  </si>
  <si>
    <r>
      <t>cylinder</t>
    </r>
    <r>
      <rPr>
        <sz val="11"/>
        <rFont val="ＭＳ Ｐゴシック"/>
        <family val="2"/>
      </rPr>
      <t>・</t>
    </r>
    <r>
      <rPr>
        <sz val="11"/>
        <rFont val="Arial"/>
        <family val="2"/>
      </rPr>
      <t>week</t>
    </r>
    <phoneticPr fontId="10"/>
  </si>
  <si>
    <t>m</t>
    <phoneticPr fontId="10"/>
  </si>
  <si>
    <t>piece</t>
    <phoneticPr fontId="10"/>
  </si>
  <si>
    <t>m</t>
    <phoneticPr fontId="10"/>
  </si>
  <si>
    <t>g</t>
    <phoneticPr fontId="10"/>
  </si>
  <si>
    <r>
      <t>Gas mask canister</t>
    </r>
    <r>
      <rPr>
        <sz val="11"/>
        <rFont val="ＭＳ Ｐゴシック"/>
        <family val="3"/>
        <charset val="128"/>
      </rPr>
      <t>（</t>
    </r>
    <r>
      <rPr>
        <sz val="11"/>
        <rFont val="Arial"/>
        <family val="2"/>
      </rPr>
      <t>SOx</t>
    </r>
    <r>
      <rPr>
        <sz val="11"/>
        <rFont val="ＭＳ Ｐゴシック"/>
        <family val="3"/>
        <charset val="128"/>
      </rPr>
      <t>）</t>
    </r>
    <phoneticPr fontId="10"/>
  </si>
  <si>
    <t>Heat resistance tape</t>
    <phoneticPr fontId="10"/>
  </si>
  <si>
    <t>Thimble filter ( 89S )</t>
    <phoneticPr fontId="10"/>
  </si>
  <si>
    <t>Thimble filter ( Silica )</t>
    <phoneticPr fontId="10"/>
  </si>
  <si>
    <t>Circular filter ( Teflon )</t>
    <phoneticPr fontId="10"/>
  </si>
  <si>
    <r>
      <t>Circular filter ( QM</t>
    </r>
    <r>
      <rPr>
        <sz val="11"/>
        <rFont val="ＭＳ Ｐゴシック"/>
        <family val="3"/>
        <charset val="128"/>
      </rPr>
      <t>－</t>
    </r>
    <r>
      <rPr>
        <sz val="11"/>
        <rFont val="Arial"/>
        <family val="2"/>
      </rPr>
      <t>A )</t>
    </r>
    <phoneticPr fontId="10"/>
  </si>
  <si>
    <r>
      <t>Teflon tube ( 4</t>
    </r>
    <r>
      <rPr>
        <sz val="11"/>
        <rFont val="ＭＳ Ｐゴシック"/>
        <family val="3"/>
        <charset val="128"/>
      </rPr>
      <t>×</t>
    </r>
    <r>
      <rPr>
        <sz val="11"/>
        <rFont val="Arial"/>
        <family val="2"/>
      </rPr>
      <t>6 )</t>
    </r>
    <phoneticPr fontId="10"/>
  </si>
  <si>
    <r>
      <t>Teflon tube ( 8</t>
    </r>
    <r>
      <rPr>
        <sz val="11"/>
        <rFont val="ＭＳ Ｐゴシック"/>
        <family val="3"/>
        <charset val="128"/>
      </rPr>
      <t>×</t>
    </r>
    <r>
      <rPr>
        <sz val="11"/>
        <rFont val="Arial"/>
        <family val="2"/>
      </rPr>
      <t>10 )</t>
    </r>
    <r>
      <rPr>
        <sz val="11"/>
        <color theme="1"/>
        <rFont val="Calibri"/>
        <family val="2"/>
        <charset val="128"/>
        <scheme val="minor"/>
      </rPr>
      <t/>
    </r>
    <phoneticPr fontId="4"/>
  </si>
  <si>
    <r>
      <t>Teflon tube ( 6</t>
    </r>
    <r>
      <rPr>
        <sz val="11"/>
        <rFont val="ＭＳ Ｐゴシック"/>
        <family val="3"/>
        <charset val="128"/>
      </rPr>
      <t>×</t>
    </r>
    <r>
      <rPr>
        <sz val="11"/>
        <rFont val="Arial"/>
        <family val="2"/>
      </rPr>
      <t>8 )</t>
    </r>
    <r>
      <rPr>
        <sz val="11"/>
        <color theme="1"/>
        <rFont val="Calibri"/>
        <family val="2"/>
        <charset val="128"/>
        <scheme val="minor"/>
      </rPr>
      <t/>
    </r>
    <phoneticPr fontId="4"/>
  </si>
  <si>
    <t>CO ( Detection tube )</t>
    <phoneticPr fontId="10"/>
  </si>
  <si>
    <r>
      <t>Chemical balance (Precise</t>
    </r>
    <r>
      <rPr>
        <sz val="11"/>
        <rFont val="ＭＳ Ｐゴシック"/>
        <family val="3"/>
        <charset val="128"/>
      </rPr>
      <t>）</t>
    </r>
    <phoneticPr fontId="10"/>
  </si>
  <si>
    <t>Balance</t>
    <phoneticPr fontId="10"/>
  </si>
  <si>
    <t>Oven</t>
    <phoneticPr fontId="10"/>
  </si>
  <si>
    <t>Ion chromatograph</t>
    <phoneticPr fontId="10"/>
  </si>
  <si>
    <t>Thimble filter ( 89 )</t>
    <phoneticPr fontId="10"/>
  </si>
  <si>
    <r>
      <t>NOx-O</t>
    </r>
    <r>
      <rPr>
        <vertAlign val="subscript"/>
        <sz val="11"/>
        <rFont val="Arial"/>
        <family val="2"/>
      </rPr>
      <t xml:space="preserve">2 </t>
    </r>
    <r>
      <rPr>
        <sz val="11"/>
        <rFont val="Arial"/>
        <family val="2"/>
      </rPr>
      <t>monitor</t>
    </r>
    <phoneticPr fontId="10"/>
  </si>
  <si>
    <t>Moisture content measurement</t>
    <phoneticPr fontId="10"/>
  </si>
  <si>
    <t>Velocity measurement</t>
    <phoneticPr fontId="10"/>
  </si>
  <si>
    <r>
      <t>SO</t>
    </r>
    <r>
      <rPr>
        <vertAlign val="subscript"/>
        <sz val="11"/>
        <rFont val="Arial"/>
        <family val="2"/>
      </rPr>
      <t xml:space="preserve">3 </t>
    </r>
    <r>
      <rPr>
        <sz val="11"/>
        <rFont val="Arial"/>
        <family val="2"/>
      </rPr>
      <t>measurement</t>
    </r>
    <phoneticPr fontId="10"/>
  </si>
  <si>
    <r>
      <t>NH</t>
    </r>
    <r>
      <rPr>
        <vertAlign val="subscript"/>
        <sz val="11"/>
        <rFont val="Arial"/>
        <family val="2"/>
      </rPr>
      <t xml:space="preserve">3 </t>
    </r>
    <r>
      <rPr>
        <sz val="11"/>
        <rFont val="Arial"/>
        <family val="2"/>
      </rPr>
      <t>measurement</t>
    </r>
    <phoneticPr fontId="10"/>
  </si>
  <si>
    <t>Water mist measurement</t>
    <phoneticPr fontId="10"/>
  </si>
  <si>
    <t>Temperature measurement</t>
    <phoneticPr fontId="10"/>
  </si>
  <si>
    <r>
      <t>NH</t>
    </r>
    <r>
      <rPr>
        <vertAlign val="subscript"/>
        <sz val="11"/>
        <rFont val="Arial"/>
        <family val="2"/>
      </rPr>
      <t>3</t>
    </r>
    <r>
      <rPr>
        <sz val="11"/>
        <rFont val="Arial"/>
        <family val="2"/>
      </rPr>
      <t xml:space="preserve"> analysis instruments</t>
    </r>
    <phoneticPr fontId="10"/>
  </si>
  <si>
    <t>SOx analysis instruments</t>
    <phoneticPr fontId="4"/>
  </si>
  <si>
    <t>SOx measurement</t>
    <phoneticPr fontId="4"/>
  </si>
  <si>
    <t>Hours</t>
    <phoneticPr fontId="10"/>
  </si>
  <si>
    <t>Day</t>
    <phoneticPr fontId="10"/>
  </si>
  <si>
    <t>Rest</t>
    <phoneticPr fontId="4"/>
  </si>
  <si>
    <t>Travel Cost</t>
    <phoneticPr fontId="10"/>
  </si>
  <si>
    <t>Departure
Place</t>
    <phoneticPr fontId="10"/>
  </si>
  <si>
    <t>Arrival
Place</t>
    <phoneticPr fontId="10"/>
  </si>
  <si>
    <t>Numbers 
of Nights</t>
    <phoneticPr fontId="4"/>
  </si>
  <si>
    <t>To</t>
    <phoneticPr fontId="4"/>
  </si>
  <si>
    <t xml:space="preserve">DOMINICA
ARMENIA
ANGIERI
ANGOLA 
APGHANISTAN
AZECBAIZAN
BANGLADESH
CAMBODIA
DEMOCRATIC PEOPLE'S REPUBLIC OF KOREA
REPUBLIC OF GUINEA
REPUBLIC OF YEMEN
CONGO
COSTARICA
CUBA
EAST SAHARA
EAST TIMO
ECUADOR
ETHIOPIA
ELSALVADO
ERITRE
FIJI
GHANA
GRENADA
GRUZIA
GUATEMALA
HAITI
HONDURAS
IRAN
INDONESIA
JAMAICA
KAZACSTAN
KENIA
KYRGYZSTAN
LAOS
LIBI
MADAGASCAR
MALAYSIA
MALI
MARITUS
MAROC
MONGOLIA
MYANMAR
NEPAL
NICARAGOA 
PAKISTAN
PHILIPIN
SHIP
SRILANCA 
TAJIKISTAN
TANZANIA
THAILAND
TURKMENISTAN
UZBEKISTAN
VENEZUELA
SOMALI
XYRIA
Other countries not belonging to the above groups 
</t>
    <phoneticPr fontId="4"/>
  </si>
  <si>
    <t xml:space="preserve">IRELAND 
UK AND NORTHERN IRELAND 
AUSTRIA
BELGIUM
PORTUGAL
CANADA
GERMANY
TAIWAN
DENMARK
NEITHERLAND
SOUTH KOREA
ITALIA
LUXEMBOURG
USA
NORWAY
JAPAN 
FINLAND
FRANCE
SPAIN
SWEDEN
SWITZERLAND
RUSSIA
TURKEY
UKRAINA
</t>
    <phoneticPr fontId="4"/>
  </si>
  <si>
    <t xml:space="preserve">AGENTINA 
EGYPT
SAUDI ARABIA
POLAND 
BAREN
BELARUS
BOLIVIA
BOSNIA AND HECXEGOVINA
BRAXIN 
BRUNEI
BUNGARI
UNIFIED ARAB EMIRATES (UAE)
REPUBLIC OF CZECH 
REPUBLIC OF SLOVAKIA
CHILE
KUWAIT
COLOMBIA
CROATIA
ESTONIA
JORDAN
HONG KONG
HUNGARI
ISRAEL
LATVIA
LEBANON
INDIA
LITHUANA
MACAU
MACEDONIA
MALTA
MEXICO 
MOLDOVIA
SOUTH AFRICA
SECBIA MONGTENEGRO
NEW ZEALAND
AUSTRALIA
PANAMA
PERU 
QUATA
RUMANI 
SAMOA
SINGGAPORE
SLOVENIA
CHINA
URUGUAY
</t>
    <phoneticPr fontId="4"/>
  </si>
  <si>
    <t>Group 1</t>
    <phoneticPr fontId="10"/>
  </si>
  <si>
    <t>Group 2</t>
    <phoneticPr fontId="10"/>
  </si>
  <si>
    <t>Group 3</t>
  </si>
  <si>
    <t>Accommodation</t>
    <phoneticPr fontId="4"/>
  </si>
  <si>
    <t>Actual costs and expenses</t>
    <phoneticPr fontId="10"/>
  </si>
  <si>
    <t>Country</t>
    <phoneticPr fontId="4"/>
  </si>
  <si>
    <t>Evenness</t>
    <phoneticPr fontId="4"/>
  </si>
  <si>
    <r>
      <t>A</t>
    </r>
    <r>
      <rPr>
        <b/>
        <sz val="12"/>
        <color rgb="FFFF0000"/>
        <rFont val="ＭＳ ゴシック"/>
        <family val="3"/>
        <charset val="128"/>
      </rPr>
      <t>．</t>
    </r>
    <r>
      <rPr>
        <b/>
        <sz val="12"/>
        <color rgb="FFFF0000"/>
        <rFont val="Arial"/>
        <family val="2"/>
      </rPr>
      <t>Day pay and accommodation fee</t>
    </r>
    <phoneticPr fontId="4"/>
  </si>
  <si>
    <r>
      <t>Currency</t>
    </r>
    <r>
      <rPr>
        <b/>
        <sz val="10"/>
        <rFont val="ＭＳ Ｐゴシック"/>
        <family val="3"/>
        <charset val="128"/>
      </rPr>
      <t>：</t>
    </r>
    <r>
      <rPr>
        <b/>
        <sz val="10"/>
        <rFont val="Arial"/>
        <family val="2"/>
      </rPr>
      <t>JPY</t>
    </r>
    <phoneticPr fontId="10"/>
  </si>
  <si>
    <r>
      <t xml:space="preserve">In accordance with the Vietnamese government notices of Article 2, paragraph </t>
    </r>
    <r>
      <rPr>
        <sz val="11"/>
        <color rgb="FFFF0000"/>
        <rFont val="ＭＳ Ｐゴシック"/>
        <family val="3"/>
        <charset val="128"/>
      </rPr>
      <t>（</t>
    </r>
    <r>
      <rPr>
        <sz val="11"/>
        <color rgb="FFFF0000"/>
        <rFont val="Arial"/>
        <family val="2"/>
      </rPr>
      <t>5</t>
    </r>
    <r>
      <rPr>
        <sz val="11"/>
        <color rgb="FFFF0000"/>
        <rFont val="ＭＳ Ｐゴシック"/>
        <family val="3"/>
        <charset val="128"/>
      </rPr>
      <t>）</t>
    </r>
    <r>
      <rPr>
        <sz val="11"/>
        <color rgb="FFFF0000"/>
        <rFont val="Arial"/>
        <family val="2"/>
      </rPr>
      <t xml:space="preserve"> of 97/2012/TT-BTC and Article 6, paragraph </t>
    </r>
    <r>
      <rPr>
        <sz val="11"/>
        <color rgb="FFFF0000"/>
        <rFont val="ＭＳ Ｐゴシック"/>
        <family val="3"/>
        <charset val="128"/>
      </rPr>
      <t>（</t>
    </r>
    <r>
      <rPr>
        <sz val="11"/>
        <color rgb="FFFF0000"/>
        <rFont val="Arial"/>
        <family val="2"/>
      </rPr>
      <t>2.8</t>
    </r>
    <r>
      <rPr>
        <sz val="11"/>
        <color rgb="FFFF0000"/>
        <rFont val="ＭＳ Ｐゴシック"/>
        <family val="3"/>
        <charset val="128"/>
      </rPr>
      <t>）</t>
    </r>
    <r>
      <rPr>
        <sz val="11"/>
        <color rgb="FFFF0000"/>
        <rFont val="Arial"/>
        <family val="2"/>
      </rPr>
      <t xml:space="preserve"> of 123/2012/TT-BTC</t>
    </r>
    <phoneticPr fontId="4"/>
  </si>
  <si>
    <r>
      <t>B</t>
    </r>
    <r>
      <rPr>
        <b/>
        <sz val="12"/>
        <rFont val="ＭＳ ゴシック"/>
        <family val="3"/>
        <charset val="128"/>
      </rPr>
      <t>．</t>
    </r>
    <r>
      <rPr>
        <b/>
        <sz val="12"/>
        <rFont val="Arial"/>
        <family val="2"/>
      </rPr>
      <t>Overtime Money</t>
    </r>
    <phoneticPr fontId="10"/>
  </si>
  <si>
    <t>Weekday</t>
    <phoneticPr fontId="10"/>
  </si>
  <si>
    <r>
      <rPr>
        <sz val="10"/>
        <rFont val="ＭＳ Ｐゴシック"/>
        <family val="3"/>
        <charset val="128"/>
      </rPr>
      <t>※Ａ＝</t>
    </r>
    <r>
      <rPr>
        <sz val="10"/>
        <rFont val="Arial"/>
        <family val="2"/>
      </rPr>
      <t>Basic Salary</t>
    </r>
    <r>
      <rPr>
        <sz val="10"/>
        <rFont val="ＭＳ Ｐゴシック"/>
        <family val="3"/>
        <charset val="128"/>
      </rPr>
      <t>／</t>
    </r>
    <r>
      <rPr>
        <sz val="10"/>
        <rFont val="Arial"/>
        <family val="2"/>
      </rPr>
      <t>22days</t>
    </r>
    <r>
      <rPr>
        <sz val="10"/>
        <rFont val="ＭＳ Ｐゴシック"/>
        <family val="3"/>
        <charset val="128"/>
      </rPr>
      <t>／</t>
    </r>
    <r>
      <rPr>
        <sz val="10"/>
        <rFont val="Arial"/>
        <family val="2"/>
      </rPr>
      <t>8 hours</t>
    </r>
    <phoneticPr fontId="10"/>
  </si>
  <si>
    <t>Midnight</t>
    <phoneticPr fontId="10"/>
  </si>
  <si>
    <t>Public holiday</t>
    <phoneticPr fontId="10"/>
  </si>
  <si>
    <r>
      <t>Holiday(Sat and Sun</t>
    </r>
    <r>
      <rPr>
        <sz val="10"/>
        <rFont val="ＭＳ Ｐゴシック"/>
        <family val="3"/>
        <charset val="128"/>
      </rPr>
      <t>）</t>
    </r>
    <phoneticPr fontId="10"/>
  </si>
  <si>
    <t>Midnight Overtime is between p.m 21:00 and a.m 5:00</t>
    <phoneticPr fontId="4"/>
  </si>
  <si>
    <t>Breakdown Sheet of Instrument Depreciation</t>
    <phoneticPr fontId="4"/>
  </si>
  <si>
    <t>66 Cao Trieu Phat, Hung Gia 4 Area, Tan Phong Ward, District 7, Ho Chi Minh City, Vietnam</t>
    <phoneticPr fontId="4"/>
  </si>
  <si>
    <t>(4)</t>
  </si>
  <si>
    <t>Total salary</t>
    <phoneticPr fontId="10"/>
  </si>
  <si>
    <t>Basic unit price(A)</t>
    <phoneticPr fontId="10"/>
  </si>
  <si>
    <t>VAT=</t>
    <phoneticPr fontId="4"/>
  </si>
  <si>
    <t>%</t>
    <phoneticPr fontId="4"/>
  </si>
  <si>
    <t>VAT need in Vietnam</t>
    <phoneticPr fontId="4"/>
  </si>
  <si>
    <t>Equipment depreciation Total</t>
    <phoneticPr fontId="20"/>
  </si>
  <si>
    <t>Total</t>
    <phoneticPr fontId="20"/>
  </si>
  <si>
    <t>Instrument depreciation
 unit price</t>
    <phoneticPr fontId="20"/>
  </si>
  <si>
    <t>Taking out quantities</t>
    <phoneticPr fontId="20"/>
  </si>
  <si>
    <t>Instrument depreciation</t>
    <phoneticPr fontId="10"/>
  </si>
  <si>
    <t>Consumables cost</t>
    <phoneticPr fontId="20"/>
  </si>
  <si>
    <t>No.</t>
    <phoneticPr fontId="20"/>
  </si>
  <si>
    <t>Consumables cost</t>
    <phoneticPr fontId="10"/>
  </si>
  <si>
    <t>Quantities</t>
    <phoneticPr fontId="20"/>
  </si>
  <si>
    <t>Instrument name</t>
    <phoneticPr fontId="10"/>
  </si>
  <si>
    <t>Signature and Company Seal</t>
    <phoneticPr fontId="4"/>
  </si>
  <si>
    <t>HANDING OVER</t>
    <phoneticPr fontId="4"/>
  </si>
  <si>
    <t>Dear Sirs,</t>
    <phoneticPr fontId="4"/>
  </si>
  <si>
    <t>Your cooperation would be highly appreciated.</t>
    <phoneticPr fontId="4"/>
  </si>
  <si>
    <t>Service contents</t>
    <phoneticPr fontId="4"/>
  </si>
  <si>
    <t>If some reports exist, write circulation here</t>
    <phoneticPr fontId="4"/>
  </si>
  <si>
    <t>Service completion date</t>
    <phoneticPr fontId="4"/>
  </si>
  <si>
    <t>Site</t>
    <phoneticPr fontId="4"/>
  </si>
  <si>
    <t>Remark</t>
    <phoneticPr fontId="4"/>
  </si>
  <si>
    <t>Contract No.</t>
    <phoneticPr fontId="4"/>
  </si>
  <si>
    <t>It includes VAT.</t>
    <phoneticPr fontId="4"/>
  </si>
  <si>
    <t>REQUEST FOR PAYMENT</t>
    <phoneticPr fontId="4"/>
  </si>
  <si>
    <t>Thanks for your kind cooperation.</t>
    <phoneticPr fontId="4"/>
  </si>
  <si>
    <t>Sincerely yours</t>
  </si>
  <si>
    <t>Total</t>
    <phoneticPr fontId="10"/>
  </si>
  <si>
    <t>Equipment depreciation</t>
    <phoneticPr fontId="10"/>
  </si>
  <si>
    <t>Item</t>
    <phoneticPr fontId="10"/>
  </si>
  <si>
    <t>Contents</t>
    <phoneticPr fontId="10"/>
  </si>
  <si>
    <t>Engineering cost</t>
    <phoneticPr fontId="10"/>
  </si>
  <si>
    <t>Quantity</t>
    <phoneticPr fontId="10"/>
  </si>
  <si>
    <t>Chugai Technos Vietnam</t>
    <phoneticPr fontId="10"/>
  </si>
  <si>
    <t>Kawaki</t>
    <phoneticPr fontId="10"/>
  </si>
  <si>
    <t>Mitsubishi</t>
    <phoneticPr fontId="10"/>
  </si>
  <si>
    <t>Hitachi</t>
    <phoneticPr fontId="10"/>
  </si>
  <si>
    <t>Alstom</t>
    <phoneticPr fontId="10"/>
  </si>
  <si>
    <t>Sumitomo</t>
    <phoneticPr fontId="10"/>
  </si>
  <si>
    <t>SV</t>
    <phoneticPr fontId="10"/>
  </si>
  <si>
    <t>EBARA</t>
    <phoneticPr fontId="10"/>
  </si>
  <si>
    <t>issuance</t>
  </si>
  <si>
    <t>Set</t>
    <phoneticPr fontId="10"/>
  </si>
  <si>
    <t>Set</t>
    <phoneticPr fontId="10"/>
  </si>
  <si>
    <t>Nan-hour</t>
    <phoneticPr fontId="10"/>
  </si>
  <si>
    <t>Times</t>
    <phoneticPr fontId="10"/>
  </si>
  <si>
    <t>Rule</t>
    <phoneticPr fontId="10"/>
  </si>
  <si>
    <t>In case of late payment, Party A has to bear a penalty according to interest rate of Sumitomo Mitsui Banking Corporation Vietnam and pending time of late payment.</t>
    <phoneticPr fontId="4"/>
  </si>
  <si>
    <t>CO2-CO-O2 monitor</t>
    <phoneticPr fontId="4"/>
  </si>
  <si>
    <t>Transportation 
Fee(USD)</t>
    <phoneticPr fontId="10"/>
  </si>
  <si>
    <t>Unit price(USD)</t>
    <phoneticPr fontId="14"/>
  </si>
  <si>
    <t>Price(USD)</t>
    <phoneticPr fontId="14"/>
  </si>
  <si>
    <t>Plastic bottle</t>
    <phoneticPr fontId="4"/>
  </si>
  <si>
    <t>Plastic bottle</t>
    <phoneticPr fontId="4"/>
  </si>
  <si>
    <t>NOx measurement</t>
    <phoneticPr fontId="10"/>
  </si>
  <si>
    <t>HCl measurement</t>
    <phoneticPr fontId="10"/>
  </si>
  <si>
    <t>Working Time</t>
    <phoneticPr fontId="10"/>
  </si>
  <si>
    <t>66 Cao Trieu Phat, Hung Gia 4 Area, Tan Phong Ward, District 7, Ho Chi Minh City</t>
    <phoneticPr fontId="4"/>
  </si>
  <si>
    <t>50% of total Contract value shall be paid immediately upon quotation's approval. 50% of total Contract value shall be paid in 7days time after the two parties has signed the works checking minute and receipt of the payment request and the official tax invoice.</t>
    <phoneticPr fontId="4"/>
  </si>
  <si>
    <t>Mr. Hirohiko Muraoka</t>
    <phoneticPr fontId="4"/>
  </si>
  <si>
    <t>Based on</t>
    <phoneticPr fontId="4"/>
  </si>
  <si>
    <t>-Pursuant to the Civil Code No.33/2005/QH11 released by the National Assembly on 14 June 2005.
-Pursuant to the Commercial Law No. 36/2005/QH11 released by the National Assembly on 14 June 2005.</t>
    <phoneticPr fontId="4"/>
  </si>
  <si>
    <t>All services provided by Party B are listed in the enclosed quotation, which is an inseparable part of this Contract.</t>
    <phoneticPr fontId="4"/>
  </si>
  <si>
    <t>0312737198</t>
    <phoneticPr fontId="4"/>
  </si>
  <si>
    <t>For PARTY A</t>
    <phoneticPr fontId="4"/>
  </si>
  <si>
    <t>For PARTY B</t>
    <phoneticPr fontId="4"/>
  </si>
  <si>
    <r>
      <t>No</t>
    </r>
    <r>
      <rPr>
        <sz val="11"/>
        <rFont val="ＭＳ Ｐゴシック"/>
        <family val="3"/>
        <charset val="128"/>
      </rPr>
      <t>．：</t>
    </r>
  </si>
  <si>
    <r>
      <t xml:space="preserve"> No</t>
    </r>
    <r>
      <rPr>
        <sz val="11"/>
        <rFont val="ＭＳ Ｐゴシック"/>
        <family val="3"/>
        <charset val="128"/>
      </rPr>
      <t>．：</t>
    </r>
  </si>
  <si>
    <t>US Dollar</t>
  </si>
  <si>
    <t>Equipment Name</t>
    <phoneticPr fontId="10"/>
  </si>
  <si>
    <t>Consumables</t>
  </si>
  <si>
    <t>CO ( Drager detection tube )</t>
    <phoneticPr fontId="10"/>
  </si>
  <si>
    <t>Actual Cost</t>
  </si>
  <si>
    <r>
      <rPr>
        <sz val="11"/>
        <rFont val="ＭＳ Ｐゴシック"/>
        <family val="3"/>
        <charset val="128"/>
      </rPr>
      <t>⑤</t>
    </r>
    <r>
      <rPr>
        <sz val="11"/>
        <rFont val="Arial"/>
        <family val="2"/>
      </rPr>
      <t>Transportation cost</t>
    </r>
  </si>
  <si>
    <t>Breakdown Sheet of consumables</t>
  </si>
  <si>
    <t>BHIC</t>
    <phoneticPr fontId="10"/>
  </si>
  <si>
    <t>BHK</t>
    <phoneticPr fontId="10"/>
  </si>
  <si>
    <r>
      <rPr>
        <sz val="14"/>
        <rFont val="ＭＳ Ｐゴシック"/>
        <family val="3"/>
        <charset val="128"/>
      </rPr>
      <t>■</t>
    </r>
    <r>
      <rPr>
        <sz val="14"/>
        <rFont val="Arial"/>
        <family val="2"/>
      </rPr>
      <t>Balance sheet relating the quotations brought Japanese constructors up by us</t>
    </r>
    <phoneticPr fontId="4"/>
  </si>
  <si>
    <r>
      <rPr>
        <sz val="11"/>
        <rFont val="ＭＳ Ｐゴシック"/>
        <family val="3"/>
        <charset val="128"/>
      </rPr>
      <t>※</t>
    </r>
    <r>
      <rPr>
        <sz val="11"/>
        <rFont val="Arial"/>
        <family val="2"/>
      </rPr>
      <t>Company</t>
    </r>
    <phoneticPr fontId="10"/>
  </si>
  <si>
    <r>
      <rPr>
        <sz val="11"/>
        <rFont val="ＭＳ Ｐゴシック"/>
        <family val="3"/>
        <charset val="128"/>
      </rPr>
      <t>ＩＩＣ</t>
    </r>
    <phoneticPr fontId="10"/>
  </si>
  <si>
    <r>
      <rPr>
        <sz val="11"/>
        <rFont val="ＭＳ Ｐゴシック"/>
        <family val="3"/>
        <charset val="128"/>
      </rPr>
      <t>ＭＨＩ</t>
    </r>
    <r>
      <rPr>
        <sz val="11"/>
        <rFont val="Arial"/>
        <family val="2"/>
      </rPr>
      <t xml:space="preserve"> solution</t>
    </r>
    <phoneticPr fontId="10"/>
  </si>
  <si>
    <r>
      <rPr>
        <sz val="11"/>
        <rFont val="ＭＳ Ｐゴシック"/>
        <family val="3"/>
        <charset val="128"/>
      </rPr>
      <t>ＳＶ</t>
    </r>
    <phoneticPr fontId="10"/>
  </si>
  <si>
    <r>
      <t>1</t>
    </r>
    <r>
      <rPr>
        <sz val="11"/>
        <rFont val="ＭＳ Ｐゴシック"/>
        <family val="3"/>
        <charset val="128"/>
      </rPr>
      <t>．</t>
    </r>
    <r>
      <rPr>
        <sz val="11"/>
        <rFont val="Arial"/>
        <family val="2"/>
      </rPr>
      <t>Direct labor cost</t>
    </r>
    <phoneticPr fontId="10"/>
  </si>
  <si>
    <r>
      <t>2</t>
    </r>
    <r>
      <rPr>
        <sz val="11"/>
        <rFont val="ＭＳ Ｐゴシック"/>
        <family val="3"/>
        <charset val="128"/>
      </rPr>
      <t>．</t>
    </r>
    <r>
      <rPr>
        <sz val="11"/>
        <rFont val="Arial"/>
        <family val="2"/>
      </rPr>
      <t>Direct out-of-pocket cost</t>
    </r>
    <phoneticPr fontId="10"/>
  </si>
  <si>
    <r>
      <rPr>
        <sz val="11"/>
        <rFont val="ＭＳ Ｐゴシック"/>
        <family val="3"/>
        <charset val="128"/>
      </rPr>
      <t>①</t>
    </r>
    <r>
      <rPr>
        <sz val="11"/>
        <rFont val="Arial"/>
        <family val="2"/>
      </rPr>
      <t>VISA accession cost</t>
    </r>
    <phoneticPr fontId="10"/>
  </si>
  <si>
    <r>
      <rPr>
        <sz val="11"/>
        <rFont val="ＭＳ Ｐゴシック"/>
        <family val="3"/>
        <charset val="128"/>
      </rPr>
      <t>②</t>
    </r>
    <r>
      <rPr>
        <sz val="11"/>
        <rFont val="Arial"/>
        <family val="2"/>
      </rPr>
      <t>Daily allowance</t>
    </r>
    <phoneticPr fontId="10"/>
  </si>
  <si>
    <r>
      <t>Person</t>
    </r>
    <r>
      <rPr>
        <sz val="11"/>
        <rFont val="ＭＳ Ｐゴシック"/>
        <family val="3"/>
        <charset val="128"/>
      </rPr>
      <t>・</t>
    </r>
    <r>
      <rPr>
        <sz val="11"/>
        <rFont val="Arial"/>
        <family val="2"/>
      </rPr>
      <t>Day</t>
    </r>
    <phoneticPr fontId="10"/>
  </si>
  <si>
    <r>
      <rPr>
        <sz val="11"/>
        <rFont val="ＭＳ Ｐゴシック"/>
        <family val="3"/>
        <charset val="128"/>
      </rPr>
      <t>③</t>
    </r>
    <r>
      <rPr>
        <sz val="11"/>
        <rFont val="Arial"/>
        <family val="2"/>
      </rPr>
      <t>accommodation cost</t>
    </r>
    <phoneticPr fontId="10"/>
  </si>
  <si>
    <r>
      <t>Person</t>
    </r>
    <r>
      <rPr>
        <sz val="11"/>
        <rFont val="ＭＳ Ｐゴシック"/>
        <family val="3"/>
        <charset val="128"/>
      </rPr>
      <t>・</t>
    </r>
    <r>
      <rPr>
        <sz val="11"/>
        <rFont val="Arial"/>
        <family val="2"/>
      </rPr>
      <t>Night</t>
    </r>
    <phoneticPr fontId="10"/>
  </si>
  <si>
    <r>
      <rPr>
        <sz val="11"/>
        <rFont val="ＭＳ Ｐゴシック"/>
        <family val="3"/>
        <charset val="128"/>
      </rPr>
      <t>④</t>
    </r>
    <r>
      <rPr>
        <sz val="11"/>
        <rFont val="Arial"/>
        <family val="2"/>
      </rPr>
      <t>Insurance</t>
    </r>
    <phoneticPr fontId="10"/>
  </si>
  <si>
    <r>
      <rPr>
        <sz val="11"/>
        <rFont val="ＭＳ Ｐゴシック"/>
        <family val="3"/>
        <charset val="128"/>
      </rPr>
      <t>⑥</t>
    </r>
    <r>
      <rPr>
        <sz val="11"/>
        <rFont val="Arial"/>
        <family val="2"/>
      </rPr>
      <t>Entrance pay</t>
    </r>
    <phoneticPr fontId="10"/>
  </si>
  <si>
    <r>
      <rPr>
        <sz val="11"/>
        <rFont val="ＭＳ Ｐゴシック"/>
        <family val="3"/>
        <charset val="128"/>
      </rPr>
      <t>⑦</t>
    </r>
    <r>
      <rPr>
        <sz val="11"/>
        <rFont val="Arial"/>
        <family val="2"/>
      </rPr>
      <t xml:space="preserve">Communication cost </t>
    </r>
    <phoneticPr fontId="10"/>
  </si>
  <si>
    <r>
      <rPr>
        <sz val="11"/>
        <rFont val="ＭＳ Ｐゴシック"/>
        <family val="3"/>
        <charset val="128"/>
      </rPr>
      <t>⑧</t>
    </r>
    <r>
      <rPr>
        <sz val="11"/>
        <rFont val="Arial"/>
        <family val="2"/>
      </rPr>
      <t>Environment addition</t>
    </r>
    <phoneticPr fontId="10"/>
  </si>
  <si>
    <r>
      <rPr>
        <sz val="11"/>
        <rFont val="ＭＳ Ｐゴシック"/>
        <family val="3"/>
        <charset val="128"/>
      </rPr>
      <t>⑨</t>
    </r>
    <r>
      <rPr>
        <sz val="11"/>
        <rFont val="Arial"/>
        <family val="2"/>
      </rPr>
      <t>Separation allowance</t>
    </r>
    <phoneticPr fontId="10"/>
  </si>
  <si>
    <r>
      <rPr>
        <sz val="11"/>
        <rFont val="ＭＳ Ｐゴシック"/>
        <family val="3"/>
        <charset val="128"/>
      </rPr>
      <t>⑩</t>
    </r>
    <r>
      <rPr>
        <sz val="11"/>
        <rFont val="Arial"/>
        <family val="2"/>
      </rPr>
      <t>Immunization cost</t>
    </r>
    <phoneticPr fontId="10"/>
  </si>
  <si>
    <r>
      <rPr>
        <sz val="11"/>
        <rFont val="ＭＳ Ｐゴシック"/>
        <family val="3"/>
        <charset val="128"/>
      </rPr>
      <t>⑪</t>
    </r>
    <r>
      <rPr>
        <sz val="11"/>
        <rFont val="Arial"/>
        <family val="2"/>
      </rPr>
      <t>Dispatch allowance</t>
    </r>
    <phoneticPr fontId="10"/>
  </si>
  <si>
    <r>
      <t>3</t>
    </r>
    <r>
      <rPr>
        <sz val="11"/>
        <rFont val="ＭＳ Ｐゴシック"/>
        <family val="3"/>
        <charset val="128"/>
      </rPr>
      <t>．</t>
    </r>
    <r>
      <rPr>
        <sz val="11"/>
        <rFont val="Arial"/>
        <family val="2"/>
      </rPr>
      <t>Company cost</t>
    </r>
    <phoneticPr fontId="10"/>
  </si>
  <si>
    <r>
      <t>10</t>
    </r>
    <r>
      <rPr>
        <sz val="11"/>
        <color theme="1"/>
        <rFont val="ＭＳ Ｐゴシック"/>
        <family val="2"/>
      </rPr>
      <t>％</t>
    </r>
    <phoneticPr fontId="10"/>
  </si>
  <si>
    <r>
      <t>15</t>
    </r>
    <r>
      <rPr>
        <sz val="11"/>
        <color theme="1"/>
        <rFont val="ＭＳ Ｐゴシック"/>
        <family val="2"/>
      </rPr>
      <t>％</t>
    </r>
    <phoneticPr fontId="10"/>
  </si>
  <si>
    <r>
      <rPr>
        <sz val="11"/>
        <rFont val="ＭＳ Ｐゴシック"/>
        <family val="3"/>
        <charset val="128"/>
      </rPr>
      <t>※</t>
    </r>
    <r>
      <rPr>
        <sz val="11"/>
        <rFont val="Arial"/>
        <family val="2"/>
      </rPr>
      <t xml:space="preserve">In the case that Area is ASEAN </t>
    </r>
    <r>
      <rPr>
        <sz val="11"/>
        <rFont val="ＭＳ Ｐゴシック"/>
        <family val="3"/>
        <charset val="128"/>
      </rPr>
      <t>（</t>
    </r>
    <r>
      <rPr>
        <sz val="11"/>
        <rFont val="Arial"/>
        <family val="2"/>
      </rPr>
      <t>Group C</t>
    </r>
    <r>
      <rPr>
        <sz val="11"/>
        <rFont val="ＭＳ Ｐゴシック"/>
        <family val="3"/>
        <charset val="128"/>
      </rPr>
      <t>）</t>
    </r>
    <r>
      <rPr>
        <sz val="11"/>
        <rFont val="Arial"/>
        <family val="2"/>
      </rPr>
      <t xml:space="preserve"> and employee is regular followed by company rule </t>
    </r>
    <phoneticPr fontId="10"/>
  </si>
  <si>
    <r>
      <rPr>
        <sz val="14"/>
        <rFont val="ＭＳ Ｐゴシック"/>
        <family val="3"/>
        <charset val="128"/>
      </rPr>
      <t>■国内プラントメーカー提出見積の比較</t>
    </r>
    <rPh sb="1" eb="3">
      <t>コクナイ</t>
    </rPh>
    <rPh sb="11" eb="13">
      <t>テイシュツ</t>
    </rPh>
    <rPh sb="13" eb="15">
      <t>ミツモリ</t>
    </rPh>
    <rPh sb="16" eb="18">
      <t>ヒカク</t>
    </rPh>
    <phoneticPr fontId="10"/>
  </si>
  <si>
    <r>
      <rPr>
        <sz val="11"/>
        <color theme="1"/>
        <rFont val="ＭＳ Ｐゴシック"/>
        <family val="2"/>
      </rPr>
      <t>項　目</t>
    </r>
    <rPh sb="0" eb="1">
      <t>コウ</t>
    </rPh>
    <rPh sb="2" eb="3">
      <t>メ</t>
    </rPh>
    <phoneticPr fontId="10"/>
  </si>
  <si>
    <r>
      <rPr>
        <sz val="11"/>
        <color theme="1"/>
        <rFont val="ＭＳ Ｐゴシック"/>
        <family val="2"/>
      </rPr>
      <t>内　　容</t>
    </r>
    <rPh sb="0" eb="1">
      <t>ウチ</t>
    </rPh>
    <rPh sb="3" eb="4">
      <t>カタチ</t>
    </rPh>
    <phoneticPr fontId="10"/>
  </si>
  <si>
    <r>
      <rPr>
        <sz val="11"/>
        <color theme="1"/>
        <rFont val="ＭＳ Ｐゴシック"/>
        <family val="2"/>
      </rPr>
      <t>数量</t>
    </r>
    <rPh sb="0" eb="2">
      <t>スウリョウ</t>
    </rPh>
    <phoneticPr fontId="10"/>
  </si>
  <si>
    <r>
      <rPr>
        <sz val="11"/>
        <color theme="1"/>
        <rFont val="ＭＳ Ｐゴシック"/>
        <family val="2"/>
      </rPr>
      <t>単位</t>
    </r>
    <rPh sb="0" eb="2">
      <t>タンイ</t>
    </rPh>
    <phoneticPr fontId="10"/>
  </si>
  <si>
    <r>
      <rPr>
        <sz val="11"/>
        <color theme="1"/>
        <rFont val="ＭＳ Ｐゴシック"/>
        <family val="2"/>
      </rPr>
      <t>会社※</t>
    </r>
    <rPh sb="0" eb="2">
      <t>カイシャ</t>
    </rPh>
    <phoneticPr fontId="10"/>
  </si>
  <si>
    <r>
      <rPr>
        <sz val="11"/>
        <color theme="1"/>
        <rFont val="ＭＳ Ｐゴシック"/>
        <family val="2"/>
      </rPr>
      <t>中外
ベトナム</t>
    </r>
    <rPh sb="0" eb="2">
      <t>チュウガイ</t>
    </rPh>
    <phoneticPr fontId="10"/>
  </si>
  <si>
    <r>
      <rPr>
        <sz val="11"/>
        <color theme="1"/>
        <rFont val="ＭＳ Ｐゴシック"/>
        <family val="2"/>
      </rPr>
      <t>川重</t>
    </r>
    <rPh sb="0" eb="2">
      <t>カワジュウ</t>
    </rPh>
    <phoneticPr fontId="10"/>
  </si>
  <si>
    <r>
      <rPr>
        <sz val="11"/>
        <color theme="1"/>
        <rFont val="ＭＳ Ｐゴシック"/>
        <family val="2"/>
      </rPr>
      <t>アルストム</t>
    </r>
    <phoneticPr fontId="10"/>
  </si>
  <si>
    <r>
      <rPr>
        <sz val="11"/>
        <color theme="1"/>
        <rFont val="ＭＳ Ｐゴシック"/>
        <family val="2"/>
      </rPr>
      <t>三菱</t>
    </r>
    <rPh sb="0" eb="2">
      <t>ミツビシ</t>
    </rPh>
    <phoneticPr fontId="10"/>
  </si>
  <si>
    <r>
      <rPr>
        <sz val="11"/>
        <color theme="1"/>
        <rFont val="ＭＳ Ｐゴシック"/>
        <family val="2"/>
      </rPr>
      <t>ＩＩＣ</t>
    </r>
    <phoneticPr fontId="10"/>
  </si>
  <si>
    <r>
      <rPr>
        <sz val="11"/>
        <color theme="1"/>
        <rFont val="ＭＳ Ｐゴシック"/>
        <family val="2"/>
      </rPr>
      <t>日立プラント</t>
    </r>
    <rPh sb="0" eb="2">
      <t>ヒタチ</t>
    </rPh>
    <phoneticPr fontId="10"/>
  </si>
  <si>
    <r>
      <rPr>
        <sz val="11"/>
        <color theme="1"/>
        <rFont val="ＭＳ Ｐゴシック"/>
        <family val="2"/>
      </rPr>
      <t>荏原環境Ｐ</t>
    </r>
    <rPh sb="0" eb="2">
      <t>エバラ</t>
    </rPh>
    <rPh sb="2" eb="4">
      <t>カンキョウ</t>
    </rPh>
    <phoneticPr fontId="10"/>
  </si>
  <si>
    <r>
      <rPr>
        <sz val="11"/>
        <color theme="1"/>
        <rFont val="ＭＳ Ｐゴシック"/>
        <family val="2"/>
      </rPr>
      <t>住重</t>
    </r>
    <rPh sb="0" eb="1">
      <t>スミ</t>
    </rPh>
    <rPh sb="1" eb="2">
      <t>ジュウ</t>
    </rPh>
    <phoneticPr fontId="10"/>
  </si>
  <si>
    <r>
      <rPr>
        <sz val="11"/>
        <color theme="1"/>
        <rFont val="ＭＳ Ｐゴシック"/>
        <family val="2"/>
      </rPr>
      <t>ＭＨＩｿﾘｭｰｼｮﾝ</t>
    </r>
    <phoneticPr fontId="10"/>
  </si>
  <si>
    <r>
      <rPr>
        <sz val="11"/>
        <color theme="1"/>
        <rFont val="ＭＳ Ｐゴシック"/>
        <family val="2"/>
      </rPr>
      <t>規定</t>
    </r>
    <rPh sb="0" eb="2">
      <t>キテイ</t>
    </rPh>
    <phoneticPr fontId="10"/>
  </si>
  <si>
    <r>
      <rPr>
        <sz val="11"/>
        <color theme="1"/>
        <rFont val="ＭＳ Ｐゴシック"/>
        <family val="2"/>
      </rPr>
      <t>ＳＶ</t>
    </r>
    <phoneticPr fontId="10"/>
  </si>
  <si>
    <r>
      <rPr>
        <sz val="11"/>
        <color theme="1"/>
        <rFont val="ＭＳ Ｐゴシック"/>
        <family val="2"/>
      </rPr>
      <t>計測</t>
    </r>
    <rPh sb="0" eb="2">
      <t>ケイソク</t>
    </rPh>
    <phoneticPr fontId="10"/>
  </si>
  <si>
    <r>
      <rPr>
        <sz val="11"/>
        <color theme="1"/>
        <rFont val="ＭＳ Ｐゴシック"/>
        <family val="2"/>
      </rPr>
      <t>１．直接人件費</t>
    </r>
    <rPh sb="2" eb="4">
      <t>チョクセツ</t>
    </rPh>
    <rPh sb="4" eb="7">
      <t>ジンケンヒ</t>
    </rPh>
    <phoneticPr fontId="10"/>
  </si>
  <si>
    <r>
      <rPr>
        <sz val="11"/>
        <color theme="1"/>
        <rFont val="ＭＳ Ｐゴシック"/>
        <family val="2"/>
      </rPr>
      <t>技術料</t>
    </r>
    <rPh sb="0" eb="3">
      <t>ギジュツリョウ</t>
    </rPh>
    <phoneticPr fontId="10"/>
  </si>
  <si>
    <r>
      <rPr>
        <sz val="11"/>
        <color theme="1"/>
        <rFont val="ＭＳ Ｐゴシック"/>
        <family val="2"/>
      </rPr>
      <t>人工</t>
    </r>
    <rPh sb="0" eb="2">
      <t>ニンコウ</t>
    </rPh>
    <phoneticPr fontId="10"/>
  </si>
  <si>
    <r>
      <t>2</t>
    </r>
    <r>
      <rPr>
        <sz val="11"/>
        <color theme="1"/>
        <rFont val="ＭＳ Ｐゴシック"/>
        <family val="2"/>
      </rPr>
      <t>．直接経費</t>
    </r>
    <rPh sb="2" eb="4">
      <t>チョクセツ</t>
    </rPh>
    <rPh sb="4" eb="6">
      <t>ケイヒ</t>
    </rPh>
    <phoneticPr fontId="10"/>
  </si>
  <si>
    <r>
      <rPr>
        <sz val="11"/>
        <color theme="1"/>
        <rFont val="ＭＳ Ｐゴシック"/>
        <family val="2"/>
      </rPr>
      <t>①ビザ取得費等</t>
    </r>
    <rPh sb="3" eb="6">
      <t>シュトクヒ</t>
    </rPh>
    <rPh sb="6" eb="7">
      <t>トウ</t>
    </rPh>
    <phoneticPr fontId="10"/>
  </si>
  <si>
    <r>
      <rPr>
        <sz val="11"/>
        <color theme="1"/>
        <rFont val="ＭＳ Ｐゴシック"/>
        <family val="2"/>
      </rPr>
      <t>回</t>
    </r>
    <rPh sb="0" eb="1">
      <t>カイ</t>
    </rPh>
    <phoneticPr fontId="10"/>
  </si>
  <si>
    <r>
      <rPr>
        <sz val="11"/>
        <color theme="1"/>
        <rFont val="ＭＳ Ｐゴシック"/>
        <family val="2"/>
      </rPr>
      <t>実費</t>
    </r>
    <rPh sb="0" eb="2">
      <t>ジッピ</t>
    </rPh>
    <phoneticPr fontId="10"/>
  </si>
  <si>
    <r>
      <rPr>
        <sz val="11"/>
        <color theme="1"/>
        <rFont val="ＭＳ Ｐゴシック"/>
        <family val="2"/>
      </rPr>
      <t>②日当</t>
    </r>
    <rPh sb="1" eb="3">
      <t>ニットウ</t>
    </rPh>
    <phoneticPr fontId="10"/>
  </si>
  <si>
    <r>
      <rPr>
        <sz val="11"/>
        <color theme="1"/>
        <rFont val="ＭＳ Ｐゴシック"/>
        <family val="2"/>
      </rPr>
      <t>人・日</t>
    </r>
    <rPh sb="0" eb="1">
      <t>ニン</t>
    </rPh>
    <rPh sb="2" eb="3">
      <t>ニチ</t>
    </rPh>
    <phoneticPr fontId="10"/>
  </si>
  <si>
    <r>
      <rPr>
        <sz val="11"/>
        <color theme="1"/>
        <rFont val="ＭＳ Ｐゴシック"/>
        <family val="2"/>
      </rPr>
      <t>③宿泊費</t>
    </r>
    <rPh sb="1" eb="4">
      <t>シュクハクヒ</t>
    </rPh>
    <phoneticPr fontId="10"/>
  </si>
  <si>
    <r>
      <rPr>
        <sz val="11"/>
        <color theme="1"/>
        <rFont val="ＭＳ Ｐゴシック"/>
        <family val="2"/>
      </rPr>
      <t>人・泊</t>
    </r>
    <rPh sb="0" eb="1">
      <t>ニン</t>
    </rPh>
    <rPh sb="2" eb="3">
      <t>ハク</t>
    </rPh>
    <phoneticPr fontId="10"/>
  </si>
  <si>
    <r>
      <rPr>
        <sz val="11"/>
        <color theme="1"/>
        <rFont val="ＭＳ Ｐゴシック"/>
        <family val="2"/>
      </rPr>
      <t>支給</t>
    </r>
    <rPh sb="0" eb="2">
      <t>シキュウ</t>
    </rPh>
    <phoneticPr fontId="10"/>
  </si>
  <si>
    <r>
      <rPr>
        <sz val="11"/>
        <color theme="1"/>
        <rFont val="ＭＳ Ｐゴシック"/>
        <family val="2"/>
      </rPr>
      <t>④保険料</t>
    </r>
    <rPh sb="1" eb="3">
      <t>ホケン</t>
    </rPh>
    <rPh sb="3" eb="4">
      <t>リョウ</t>
    </rPh>
    <phoneticPr fontId="10"/>
  </si>
  <si>
    <r>
      <rPr>
        <sz val="11"/>
        <color theme="1"/>
        <rFont val="ＭＳ Ｐゴシック"/>
        <family val="2"/>
      </rPr>
      <t>式</t>
    </r>
    <rPh sb="0" eb="1">
      <t>シキ</t>
    </rPh>
    <phoneticPr fontId="10"/>
  </si>
  <si>
    <r>
      <rPr>
        <sz val="11"/>
        <color theme="1"/>
        <rFont val="ＭＳ Ｐゴシック"/>
        <family val="2"/>
      </rPr>
      <t>⑤交通費</t>
    </r>
    <rPh sb="1" eb="4">
      <t>コウツウヒ</t>
    </rPh>
    <phoneticPr fontId="10"/>
  </si>
  <si>
    <r>
      <rPr>
        <sz val="11"/>
        <color theme="1"/>
        <rFont val="ＭＳ Ｐゴシック"/>
        <family val="2"/>
      </rPr>
      <t>⑥支度金</t>
    </r>
    <rPh sb="1" eb="4">
      <t>シタクキン</t>
    </rPh>
    <phoneticPr fontId="10"/>
  </si>
  <si>
    <r>
      <rPr>
        <sz val="11"/>
        <color theme="1"/>
        <rFont val="ＭＳ Ｐゴシック"/>
        <family val="2"/>
      </rPr>
      <t>⑦通信費</t>
    </r>
    <rPh sb="1" eb="4">
      <t>ツウシンヒ</t>
    </rPh>
    <phoneticPr fontId="10"/>
  </si>
  <si>
    <r>
      <rPr>
        <sz val="11"/>
        <color theme="1"/>
        <rFont val="ＭＳ Ｐゴシック"/>
        <family val="2"/>
      </rPr>
      <t>⑧環境加算</t>
    </r>
    <rPh sb="1" eb="3">
      <t>カンキョウ</t>
    </rPh>
    <rPh sb="3" eb="5">
      <t>カサン</t>
    </rPh>
    <phoneticPr fontId="10"/>
  </si>
  <si>
    <r>
      <rPr>
        <sz val="11"/>
        <color theme="1"/>
        <rFont val="ＭＳ Ｐゴシック"/>
        <family val="2"/>
      </rPr>
      <t>日</t>
    </r>
    <rPh sb="0" eb="1">
      <t>ニチ</t>
    </rPh>
    <phoneticPr fontId="10"/>
  </si>
  <si>
    <r>
      <rPr>
        <sz val="11"/>
        <color theme="1"/>
        <rFont val="ＭＳ Ｐゴシック"/>
        <family val="2"/>
      </rPr>
      <t>⑨別居手当</t>
    </r>
    <rPh sb="1" eb="3">
      <t>ベッキョ</t>
    </rPh>
    <rPh sb="3" eb="5">
      <t>テアテ</t>
    </rPh>
    <phoneticPr fontId="10"/>
  </si>
  <si>
    <r>
      <rPr>
        <sz val="11"/>
        <color theme="1"/>
        <rFont val="ＭＳ Ｐゴシック"/>
        <family val="2"/>
      </rPr>
      <t>⑩予防注射代</t>
    </r>
    <rPh sb="1" eb="3">
      <t>ヨボウ</t>
    </rPh>
    <rPh sb="3" eb="6">
      <t>チュウシャダイ</t>
    </rPh>
    <phoneticPr fontId="10"/>
  </si>
  <si>
    <r>
      <rPr>
        <sz val="11"/>
        <color theme="1"/>
        <rFont val="ＭＳ Ｐゴシック"/>
        <family val="2"/>
      </rPr>
      <t>⑪派遣手当</t>
    </r>
    <rPh sb="1" eb="3">
      <t>ハケン</t>
    </rPh>
    <rPh sb="3" eb="5">
      <t>テアテ</t>
    </rPh>
    <phoneticPr fontId="10"/>
  </si>
  <si>
    <r>
      <rPr>
        <sz val="11"/>
        <color theme="1"/>
        <rFont val="ＭＳ Ｐゴシック"/>
        <family val="2"/>
      </rPr>
      <t>３．会社経費</t>
    </r>
    <rPh sb="2" eb="4">
      <t>カイシャ</t>
    </rPh>
    <rPh sb="4" eb="6">
      <t>ケイヒ</t>
    </rPh>
    <phoneticPr fontId="10"/>
  </si>
  <si>
    <r>
      <rPr>
        <sz val="11"/>
        <color theme="1"/>
        <rFont val="ＭＳ Ｐゴシック"/>
        <family val="2"/>
      </rPr>
      <t>１０％</t>
    </r>
    <phoneticPr fontId="10"/>
  </si>
  <si>
    <r>
      <rPr>
        <sz val="11"/>
        <color theme="1"/>
        <rFont val="ＭＳ Ｐゴシック"/>
        <family val="2"/>
      </rPr>
      <t>１５％</t>
    </r>
    <phoneticPr fontId="10"/>
  </si>
  <si>
    <r>
      <rPr>
        <sz val="11"/>
        <color theme="1"/>
        <rFont val="ＭＳ Ｐゴシック"/>
        <family val="2"/>
      </rPr>
      <t>※会社規定は、</t>
    </r>
    <r>
      <rPr>
        <sz val="11"/>
        <color theme="1"/>
        <rFont val="Arial"/>
        <family val="2"/>
      </rPr>
      <t>ASEAN</t>
    </r>
    <r>
      <rPr>
        <sz val="11"/>
        <color theme="1"/>
        <rFont val="ＭＳ Ｐゴシック"/>
        <family val="2"/>
      </rPr>
      <t>エリア（Ｃ地区）、一般とする。</t>
    </r>
    <rPh sb="1" eb="3">
      <t>カイシャ</t>
    </rPh>
    <rPh sb="3" eb="5">
      <t>キテイ</t>
    </rPh>
    <rPh sb="17" eb="19">
      <t>チク</t>
    </rPh>
    <rPh sb="21" eb="23">
      <t>イッパン</t>
    </rPh>
    <phoneticPr fontId="10"/>
  </si>
  <si>
    <r>
      <t>JPY</t>
    </r>
    <r>
      <rPr>
        <b/>
        <sz val="11"/>
        <color rgb="FFFF0000"/>
        <rFont val="ＭＳ Ｐゴシック"/>
        <family val="3"/>
        <charset val="128"/>
      </rPr>
      <t>／</t>
    </r>
    <r>
      <rPr>
        <b/>
        <sz val="11"/>
        <color rgb="FFFF0000"/>
        <rFont val="Arial"/>
        <family val="2"/>
      </rPr>
      <t>USD=</t>
    </r>
    <phoneticPr fontId="4"/>
  </si>
  <si>
    <t>66 Cao Trieu Phat, Hung Gia 4 area,</t>
  </si>
  <si>
    <t>Tan Phong ward, District 7, Ho Chi Minh city.</t>
  </si>
  <si>
    <t xml:space="preserve">           TEL +84-0-0000-0000   FAX +84-0-000-000 </t>
    <phoneticPr fontId="10"/>
  </si>
  <si>
    <t>SOx</t>
    <phoneticPr fontId="10"/>
  </si>
  <si>
    <t>NOx</t>
    <phoneticPr fontId="10"/>
  </si>
  <si>
    <t>HCl</t>
    <phoneticPr fontId="10"/>
  </si>
  <si>
    <t xml:space="preserve">VAT  </t>
    <phoneticPr fontId="14"/>
  </si>
  <si>
    <t>%</t>
  </si>
  <si>
    <t>VAT</t>
    <phoneticPr fontId="14"/>
  </si>
  <si>
    <t>Period</t>
    <phoneticPr fontId="4"/>
  </si>
  <si>
    <t>From</t>
    <phoneticPr fontId="4"/>
  </si>
  <si>
    <t>To</t>
    <phoneticPr fontId="4"/>
  </si>
  <si>
    <t>AMOUNT</t>
  </si>
  <si>
    <t>UNIT PRICE</t>
  </si>
  <si>
    <t>Address:9-12,Yokogawa Shinmachi Nishiku</t>
  </si>
  <si>
    <t>Name: CHUGAI TECHNOS CORPORATION</t>
  </si>
  <si>
    <r>
      <t>Currency</t>
    </r>
    <r>
      <rPr>
        <b/>
        <sz val="10"/>
        <rFont val="ＭＳ Ｐゴシック"/>
        <family val="3"/>
        <charset val="128"/>
      </rPr>
      <t>：</t>
    </r>
    <r>
      <rPr>
        <b/>
        <sz val="10"/>
        <rFont val="Arial"/>
        <family val="2"/>
      </rPr>
      <t>USD</t>
    </r>
    <phoneticPr fontId="10"/>
  </si>
  <si>
    <t xml:space="preserve">100% of total contract value shall be paid by the end of the next month when receiving a handing over and payment request. </t>
    <phoneticPr fontId="4"/>
  </si>
  <si>
    <t>We completed our service, hereby we would like to report as below.</t>
    <phoneticPr fontId="4"/>
  </si>
  <si>
    <t>If the arbitration stipulated is not successful and disputes can not be settled, then either Party A or Party B or both parties may ask the Economic Court in Ho Chi Minh City to consider and rule about such disputes, and agree that ruling of the Court shall be final and binding upon both parties.</t>
    <phoneticPr fontId="4"/>
  </si>
  <si>
    <t>The two parties have to inform each other of the work progress. Any problem arising from this agreement shall be solved firstly by discussion with a cooperative manner. Unilateral termination of this agreement shall not be accepted.</t>
    <phoneticPr fontId="4"/>
  </si>
  <si>
    <t>Please confirm that the service was completed by signature at the end of this letter.</t>
    <phoneticPr fontId="4"/>
  </si>
  <si>
    <t>Service completion date</t>
    <phoneticPr fontId="4"/>
  </si>
  <si>
    <t>Hereinafter called as Party A</t>
    <phoneticPr fontId="4"/>
  </si>
  <si>
    <t>Engineer</t>
    <phoneticPr fontId="10"/>
  </si>
  <si>
    <r>
      <t>NOx-O</t>
    </r>
    <r>
      <rPr>
        <vertAlign val="subscript"/>
        <sz val="11"/>
        <rFont val="Arial"/>
        <family val="2"/>
      </rPr>
      <t>2</t>
    </r>
    <r>
      <rPr>
        <sz val="11"/>
        <rFont val="Arial"/>
        <family val="2"/>
      </rPr>
      <t>-SO</t>
    </r>
    <r>
      <rPr>
        <vertAlign val="subscript"/>
        <sz val="11"/>
        <rFont val="Arial"/>
        <family val="2"/>
      </rPr>
      <t>2</t>
    </r>
    <r>
      <rPr>
        <sz val="10"/>
        <rFont val="Arial"/>
        <family val="2"/>
      </rPr>
      <t xml:space="preserve"> monitor</t>
    </r>
    <phoneticPr fontId="10"/>
  </si>
  <si>
    <r>
      <t>CO</t>
    </r>
    <r>
      <rPr>
        <vertAlign val="subscript"/>
        <sz val="11"/>
        <rFont val="Arial"/>
        <family val="2"/>
      </rPr>
      <t>2</t>
    </r>
    <r>
      <rPr>
        <sz val="11"/>
        <rFont val="Arial"/>
        <family val="2"/>
      </rPr>
      <t>-CO-O</t>
    </r>
    <r>
      <rPr>
        <vertAlign val="subscript"/>
        <sz val="11"/>
        <rFont val="Arial"/>
        <family val="2"/>
      </rPr>
      <t>2</t>
    </r>
    <r>
      <rPr>
        <sz val="10"/>
        <rFont val="Arial"/>
        <family val="2"/>
      </rPr>
      <t xml:space="preserve"> monitor</t>
    </r>
    <phoneticPr fontId="10"/>
  </si>
  <si>
    <t>Pump</t>
    <phoneticPr fontId="4"/>
  </si>
  <si>
    <t>Flow meter</t>
    <phoneticPr fontId="4"/>
  </si>
  <si>
    <t>Consumables
unit price</t>
    <phoneticPr fontId="4"/>
  </si>
  <si>
    <r>
      <t xml:space="preserve">The name of </t>
    </r>
    <r>
      <rPr>
        <sz val="11"/>
        <rFont val="ＭＳ Ｐ明朝"/>
        <family val="1"/>
        <charset val="128"/>
      </rPr>
      <t>ｃ</t>
    </r>
    <r>
      <rPr>
        <sz val="11"/>
        <rFont val="Times New Roman"/>
        <family val="1"/>
      </rPr>
      <t>onsumables</t>
    </r>
    <phoneticPr fontId="4"/>
  </si>
  <si>
    <t>Consumables
unit price</t>
    <phoneticPr fontId="4"/>
  </si>
  <si>
    <t>Unit</t>
    <phoneticPr fontId="20"/>
  </si>
  <si>
    <t>Daily payment</t>
    <phoneticPr fontId="4"/>
  </si>
  <si>
    <t>Hereinafter called as Party B</t>
    <phoneticPr fontId="4"/>
  </si>
  <si>
    <t>The above price has been estimated based on current condition. Party B shall discuss with Party A and estimate service price again based on final condition,and the new price of contract will be showed in a appendix contract after this service finishes.</t>
    <phoneticPr fontId="4"/>
  </si>
  <si>
    <t>SERVICE CONTRACT</t>
    <phoneticPr fontId="4"/>
  </si>
  <si>
    <t>Days</t>
    <phoneticPr fontId="4"/>
  </si>
  <si>
    <t>Tel</t>
  </si>
  <si>
    <r>
      <t>Party A</t>
    </r>
    <r>
      <rPr>
        <b/>
        <sz val="10.5"/>
        <rFont val="ＭＳ Ｐゴシック"/>
        <family val="3"/>
        <charset val="128"/>
      </rPr>
      <t>：</t>
    </r>
  </si>
  <si>
    <r>
      <t>Party B</t>
    </r>
    <r>
      <rPr>
        <b/>
        <sz val="10.5"/>
        <rFont val="ＭＳ Ｐゴシック"/>
        <family val="3"/>
        <charset val="128"/>
      </rPr>
      <t>：</t>
    </r>
  </si>
  <si>
    <t>Neither Party A nor Party B may disclose to any third party confidential information ( include all the content of this contract ) of the other party hereto obtained in course of conclusion and execution of the contract hereof both before and after termination or expiry of the contract.</t>
    <phoneticPr fontId="4"/>
  </si>
  <si>
    <r>
      <t>Site name</t>
    </r>
    <r>
      <rPr>
        <sz val="12"/>
        <rFont val="ＭＳ Ｐゴシック"/>
        <family val="3"/>
        <charset val="128"/>
      </rPr>
      <t>：</t>
    </r>
    <phoneticPr fontId="4"/>
  </si>
  <si>
    <r>
      <t>Creation Date</t>
    </r>
    <r>
      <rPr>
        <sz val="10.5"/>
        <rFont val="ＭＳ Ｐゴシック"/>
        <family val="3"/>
        <charset val="128"/>
      </rPr>
      <t>：</t>
    </r>
    <phoneticPr fontId="10"/>
  </si>
  <si>
    <t>Party B agrees to provide Party A with the following service.</t>
    <phoneticPr fontId="4"/>
  </si>
  <si>
    <t>Party B should provide Party A handing over after the service ends.</t>
    <phoneticPr fontId="4"/>
  </si>
  <si>
    <t>Party A should inform Party B the closing date of  service  before it ends.</t>
    <phoneticPr fontId="4"/>
  </si>
  <si>
    <t>http://www.chugai-tec-vn.com/jp</t>
    <phoneticPr fontId="4"/>
  </si>
  <si>
    <r>
      <t>Website</t>
    </r>
    <r>
      <rPr>
        <sz val="11"/>
        <rFont val="ＭＳ Ｐゴシック"/>
        <family val="3"/>
        <charset val="128"/>
      </rPr>
      <t>：</t>
    </r>
    <r>
      <rPr>
        <sz val="11"/>
        <rFont val="Arial"/>
        <family val="2"/>
      </rPr>
      <t xml:space="preserve"> </t>
    </r>
  </si>
  <si>
    <r>
      <t>Contract No</t>
    </r>
    <r>
      <rPr>
        <b/>
        <sz val="10.5"/>
        <rFont val="ＭＳ Ｐゴシック"/>
        <family val="3"/>
        <charset val="128"/>
      </rPr>
      <t>．</t>
    </r>
    <phoneticPr fontId="4"/>
  </si>
  <si>
    <r>
      <t>Customer</t>
    </r>
    <r>
      <rPr>
        <sz val="11"/>
        <rFont val="ＭＳ Ｐゴシック"/>
        <family val="3"/>
        <charset val="128"/>
      </rPr>
      <t>：</t>
    </r>
    <phoneticPr fontId="4"/>
  </si>
  <si>
    <r>
      <t>Year</t>
    </r>
    <r>
      <rPr>
        <sz val="11"/>
        <rFont val="ＭＳ Ｐゴシック"/>
        <family val="3"/>
        <charset val="128"/>
      </rPr>
      <t>：</t>
    </r>
    <phoneticPr fontId="4"/>
  </si>
  <si>
    <r>
      <t>Month</t>
    </r>
    <r>
      <rPr>
        <sz val="11"/>
        <rFont val="ＭＳ Ｐゴシック"/>
        <family val="3"/>
        <charset val="128"/>
      </rPr>
      <t>：</t>
    </r>
    <phoneticPr fontId="4"/>
  </si>
  <si>
    <r>
      <rPr>
        <sz val="10.5"/>
        <rFont val="ＭＳ Ｐゴシック"/>
        <family val="3"/>
        <charset val="128"/>
      </rPr>
      <t>－</t>
    </r>
    <r>
      <rPr>
        <sz val="10.5"/>
        <rFont val="Arial"/>
        <family val="2"/>
      </rPr>
      <t>Based on needs and capabilities of both parties.</t>
    </r>
    <phoneticPr fontId="4"/>
  </si>
  <si>
    <r>
      <t>Contract date</t>
    </r>
    <r>
      <rPr>
        <sz val="11"/>
        <rFont val="ＭＳ Ｐゴシック"/>
        <family val="3"/>
        <charset val="128"/>
      </rPr>
      <t>：</t>
    </r>
    <phoneticPr fontId="4"/>
  </si>
  <si>
    <r>
      <rPr>
        <sz val="10.5"/>
        <rFont val="ＭＳ Ｐゴシック"/>
        <family val="3"/>
        <charset val="128"/>
      </rPr>
      <t>：</t>
    </r>
    <phoneticPr fontId="4"/>
  </si>
  <si>
    <r>
      <rPr>
        <sz val="10.5"/>
        <rFont val="ＭＳ Ｐゴシック"/>
        <family val="3"/>
        <charset val="128"/>
      </rPr>
      <t>：</t>
    </r>
    <phoneticPr fontId="4"/>
  </si>
  <si>
    <r>
      <t>Te</t>
    </r>
    <r>
      <rPr>
        <sz val="11"/>
        <rFont val="ＭＳ Ｐゴシック"/>
        <family val="3"/>
        <charset val="128"/>
      </rPr>
      <t>ｌ</t>
    </r>
    <phoneticPr fontId="4"/>
  </si>
  <si>
    <r>
      <t>Te</t>
    </r>
    <r>
      <rPr>
        <sz val="10.5"/>
        <rFont val="ＭＳ Ｐゴシック"/>
        <family val="3"/>
        <charset val="128"/>
      </rPr>
      <t>ｌ</t>
    </r>
    <phoneticPr fontId="4"/>
  </si>
  <si>
    <r>
      <t xml:space="preserve">Sumitomo Mitsui Banking Corporation </t>
    </r>
    <r>
      <rPr>
        <sz val="10.5"/>
        <rFont val="ＭＳ Ｐゴシック"/>
        <family val="3"/>
        <charset val="128"/>
      </rPr>
      <t>－</t>
    </r>
    <r>
      <rPr>
        <sz val="10.5"/>
        <rFont val="Arial"/>
        <family val="2"/>
      </rPr>
      <t xml:space="preserve"> Ho Chi Minh Branch</t>
    </r>
    <phoneticPr fontId="4"/>
  </si>
  <si>
    <r>
      <t>The two parties have agreed to enter this Contract with the following terms and conditions</t>
    </r>
    <r>
      <rPr>
        <sz val="10.5"/>
        <rFont val="ＭＳ Ｐゴシック"/>
        <family val="3"/>
        <charset val="128"/>
      </rPr>
      <t>：</t>
    </r>
    <phoneticPr fontId="4"/>
  </si>
  <si>
    <r>
      <t xml:space="preserve">ARTICLE I </t>
    </r>
    <r>
      <rPr>
        <b/>
        <u/>
        <sz val="10.5"/>
        <rFont val="ＭＳ Ｐゴシック"/>
        <family val="3"/>
        <charset val="128"/>
      </rPr>
      <t>：</t>
    </r>
    <r>
      <rPr>
        <b/>
        <u/>
        <sz val="10.5"/>
        <rFont val="Arial"/>
        <family val="2"/>
      </rPr>
      <t xml:space="preserve"> SERVICE</t>
    </r>
    <phoneticPr fontId="4"/>
  </si>
  <si>
    <r>
      <t>1</t>
    </r>
    <r>
      <rPr>
        <sz val="10.5"/>
        <rFont val="ＭＳ Ｐゴシック"/>
        <family val="3"/>
        <charset val="128"/>
      </rPr>
      <t>．</t>
    </r>
    <r>
      <rPr>
        <sz val="10.5"/>
        <rFont val="Arial"/>
        <family val="2"/>
      </rPr>
      <t>1</t>
    </r>
    <phoneticPr fontId="4"/>
  </si>
  <si>
    <r>
      <rPr>
        <sz val="11"/>
        <rFont val="ＭＳ Ｐゴシック"/>
        <family val="3"/>
        <charset val="128"/>
      </rPr>
      <t>：</t>
    </r>
    <phoneticPr fontId="4"/>
  </si>
  <si>
    <r>
      <t>1</t>
    </r>
    <r>
      <rPr>
        <sz val="10.5"/>
        <rFont val="ＭＳ Ｐゴシック"/>
        <family val="3"/>
        <charset val="128"/>
      </rPr>
      <t>．</t>
    </r>
    <r>
      <rPr>
        <sz val="10.5"/>
        <rFont val="Arial"/>
        <family val="2"/>
      </rPr>
      <t>2</t>
    </r>
    <phoneticPr fontId="4"/>
  </si>
  <si>
    <r>
      <t>Quotation No</t>
    </r>
    <r>
      <rPr>
        <b/>
        <sz val="10.5"/>
        <rFont val="ＭＳ Ｐゴシック"/>
        <family val="3"/>
        <charset val="128"/>
      </rPr>
      <t>．</t>
    </r>
    <phoneticPr fontId="4"/>
  </si>
  <si>
    <r>
      <t>Year</t>
    </r>
    <r>
      <rPr>
        <sz val="11"/>
        <rFont val="ＭＳ Ｐゴシック"/>
        <family val="3"/>
        <charset val="128"/>
      </rPr>
      <t>：</t>
    </r>
    <phoneticPr fontId="4"/>
  </si>
  <si>
    <r>
      <t>Month</t>
    </r>
    <r>
      <rPr>
        <sz val="11"/>
        <rFont val="ＭＳ Ｐゴシック"/>
        <family val="3"/>
        <charset val="128"/>
      </rPr>
      <t>：</t>
    </r>
    <phoneticPr fontId="4"/>
  </si>
  <si>
    <r>
      <t xml:space="preserve">ARTICLE </t>
    </r>
    <r>
      <rPr>
        <b/>
        <u/>
        <sz val="10.5"/>
        <rFont val="ＭＳ Ｐゴシック"/>
        <family val="3"/>
        <charset val="128"/>
      </rPr>
      <t>Ⅱ</t>
    </r>
    <r>
      <rPr>
        <b/>
        <u/>
        <sz val="10.5"/>
        <rFont val="Arial"/>
        <family val="2"/>
      </rPr>
      <t xml:space="preserve"> </t>
    </r>
    <r>
      <rPr>
        <b/>
        <u/>
        <sz val="10.5"/>
        <rFont val="ＭＳ Ｐゴシック"/>
        <family val="3"/>
        <charset val="128"/>
      </rPr>
      <t>：</t>
    </r>
    <r>
      <rPr>
        <b/>
        <u/>
        <sz val="10.5"/>
        <rFont val="Arial"/>
        <family val="2"/>
      </rPr>
      <t xml:space="preserve"> CONTRACT VALUE</t>
    </r>
    <phoneticPr fontId="4"/>
  </si>
  <si>
    <r>
      <t>2</t>
    </r>
    <r>
      <rPr>
        <sz val="10.5"/>
        <rFont val="ＭＳ Ｐゴシック"/>
        <family val="3"/>
        <charset val="128"/>
      </rPr>
      <t>．</t>
    </r>
    <r>
      <rPr>
        <sz val="10.5"/>
        <rFont val="Arial"/>
        <family val="2"/>
      </rPr>
      <t>1</t>
    </r>
    <phoneticPr fontId="4"/>
  </si>
  <si>
    <r>
      <t>2</t>
    </r>
    <r>
      <rPr>
        <sz val="10.5"/>
        <rFont val="ＭＳ Ｐゴシック"/>
        <family val="3"/>
        <charset val="128"/>
      </rPr>
      <t>．</t>
    </r>
    <r>
      <rPr>
        <sz val="10.5"/>
        <rFont val="Arial"/>
        <family val="2"/>
      </rPr>
      <t>2</t>
    </r>
    <phoneticPr fontId="4"/>
  </si>
  <si>
    <r>
      <t>2</t>
    </r>
    <r>
      <rPr>
        <sz val="10.5"/>
        <rFont val="ＭＳ Ｐゴシック"/>
        <family val="3"/>
        <charset val="128"/>
      </rPr>
      <t>．</t>
    </r>
    <r>
      <rPr>
        <sz val="10.5"/>
        <rFont val="Arial"/>
        <family val="2"/>
      </rPr>
      <t>3</t>
    </r>
    <phoneticPr fontId="4"/>
  </si>
  <si>
    <r>
      <t xml:space="preserve">ARTICLE </t>
    </r>
    <r>
      <rPr>
        <b/>
        <u/>
        <sz val="10.5"/>
        <rFont val="ＭＳ Ｐゴシック"/>
        <family val="3"/>
        <charset val="128"/>
      </rPr>
      <t>Ⅲ</t>
    </r>
    <r>
      <rPr>
        <b/>
        <u/>
        <sz val="10.5"/>
        <rFont val="Arial"/>
        <family val="2"/>
      </rPr>
      <t xml:space="preserve"> </t>
    </r>
    <r>
      <rPr>
        <b/>
        <u/>
        <sz val="10.5"/>
        <rFont val="ＭＳ Ｐゴシック"/>
        <family val="3"/>
        <charset val="128"/>
      </rPr>
      <t>：</t>
    </r>
    <r>
      <rPr>
        <b/>
        <u/>
        <sz val="10.5"/>
        <rFont val="Arial"/>
        <family val="2"/>
      </rPr>
      <t xml:space="preserve"> PAYMENT METHOD</t>
    </r>
    <phoneticPr fontId="4"/>
  </si>
  <si>
    <r>
      <t>3</t>
    </r>
    <r>
      <rPr>
        <sz val="10.5"/>
        <rFont val="ＭＳ Ｐゴシック"/>
        <family val="3"/>
        <charset val="128"/>
      </rPr>
      <t>．</t>
    </r>
    <r>
      <rPr>
        <sz val="10.5"/>
        <rFont val="Arial"/>
        <family val="2"/>
      </rPr>
      <t>1</t>
    </r>
    <phoneticPr fontId="4"/>
  </si>
  <si>
    <r>
      <t>3</t>
    </r>
    <r>
      <rPr>
        <sz val="10.5"/>
        <rFont val="ＭＳ Ｐゴシック"/>
        <family val="3"/>
        <charset val="128"/>
      </rPr>
      <t>．</t>
    </r>
    <r>
      <rPr>
        <sz val="10.5"/>
        <rFont val="Arial"/>
        <family val="2"/>
      </rPr>
      <t>2</t>
    </r>
    <phoneticPr fontId="4"/>
  </si>
  <si>
    <r>
      <t xml:space="preserve">ARTICLE </t>
    </r>
    <r>
      <rPr>
        <b/>
        <u/>
        <sz val="10.5"/>
        <rFont val="ＭＳ Ｐゴシック"/>
        <family val="3"/>
        <charset val="128"/>
      </rPr>
      <t>Ⅳ</t>
    </r>
    <r>
      <rPr>
        <b/>
        <u/>
        <sz val="10.5"/>
        <rFont val="Arial"/>
        <family val="2"/>
      </rPr>
      <t xml:space="preserve"> </t>
    </r>
    <r>
      <rPr>
        <b/>
        <u/>
        <sz val="10.5"/>
        <rFont val="ＭＳ Ｐゴシック"/>
        <family val="3"/>
        <charset val="128"/>
      </rPr>
      <t>：</t>
    </r>
    <r>
      <rPr>
        <b/>
        <u/>
        <sz val="10.5"/>
        <rFont val="Arial"/>
        <family val="2"/>
      </rPr>
      <t xml:space="preserve"> WARRANTY</t>
    </r>
    <phoneticPr fontId="4"/>
  </si>
  <si>
    <r>
      <t>4</t>
    </r>
    <r>
      <rPr>
        <sz val="10.5"/>
        <rFont val="ＭＳ Ｐゴシック"/>
        <family val="3"/>
        <charset val="128"/>
      </rPr>
      <t>．</t>
    </r>
    <r>
      <rPr>
        <sz val="10.5"/>
        <rFont val="Arial"/>
        <family val="2"/>
      </rPr>
      <t>1</t>
    </r>
    <phoneticPr fontId="4"/>
  </si>
  <si>
    <r>
      <t>In case there is any switch relating to service period and so on, Party A shall directly contact Party B by Tel</t>
    </r>
    <r>
      <rPr>
        <sz val="10.5"/>
        <rFont val="ＭＳ Ｐゴシック"/>
        <family val="3"/>
        <charset val="128"/>
      </rPr>
      <t>：</t>
    </r>
    <r>
      <rPr>
        <sz val="10.5"/>
        <rFont val="Arial"/>
        <family val="2"/>
      </rPr>
      <t>( +84-8-5410-9111 ) or by Fax</t>
    </r>
    <r>
      <rPr>
        <sz val="10.5"/>
        <rFont val="ＭＳ Ｐゴシック"/>
        <family val="3"/>
        <charset val="128"/>
      </rPr>
      <t>：</t>
    </r>
    <r>
      <rPr>
        <sz val="10.5"/>
        <rFont val="Arial"/>
        <family val="2"/>
      </rPr>
      <t>( +84-8-5410-9222 ) as soon as possible. Party B has responsibilities of tackling that as far as possible.</t>
    </r>
    <phoneticPr fontId="4"/>
  </si>
  <si>
    <r>
      <t xml:space="preserve">ARTICLE </t>
    </r>
    <r>
      <rPr>
        <b/>
        <u/>
        <sz val="10.5"/>
        <rFont val="ＭＳ Ｐゴシック"/>
        <family val="3"/>
        <charset val="128"/>
      </rPr>
      <t>Ⅴ</t>
    </r>
    <r>
      <rPr>
        <b/>
        <u/>
        <sz val="10.5"/>
        <rFont val="Arial"/>
        <family val="2"/>
      </rPr>
      <t xml:space="preserve"> </t>
    </r>
    <r>
      <rPr>
        <b/>
        <u/>
        <sz val="10.5"/>
        <rFont val="ＭＳ Ｐゴシック"/>
        <family val="3"/>
        <charset val="128"/>
      </rPr>
      <t>：</t>
    </r>
    <r>
      <rPr>
        <b/>
        <u/>
        <sz val="10.5"/>
        <rFont val="Arial"/>
        <family val="2"/>
      </rPr>
      <t>RESPONSIBILITIES OF EACH PARTY</t>
    </r>
    <phoneticPr fontId="4"/>
  </si>
  <si>
    <r>
      <rPr>
        <b/>
        <sz val="10.5"/>
        <rFont val="Arial"/>
        <family val="2"/>
      </rPr>
      <t>PARTY A</t>
    </r>
    <r>
      <rPr>
        <b/>
        <sz val="10.5"/>
        <rFont val="ＭＳ Ｐゴシック"/>
        <family val="3"/>
        <charset val="128"/>
      </rPr>
      <t>：</t>
    </r>
    <r>
      <rPr>
        <sz val="10.5"/>
        <rFont val="Arial"/>
        <family val="2"/>
      </rPr>
      <t xml:space="preserve"> Responsible for:</t>
    </r>
    <phoneticPr fontId="4"/>
  </si>
  <si>
    <r>
      <rPr>
        <b/>
        <sz val="10.5"/>
        <rFont val="Arial"/>
        <family val="2"/>
      </rPr>
      <t>PARTY B</t>
    </r>
    <r>
      <rPr>
        <b/>
        <sz val="10.5"/>
        <rFont val="ＭＳ Ｐゴシック"/>
        <family val="3"/>
        <charset val="128"/>
      </rPr>
      <t>：</t>
    </r>
    <r>
      <rPr>
        <sz val="10.5"/>
        <rFont val="Arial"/>
        <family val="2"/>
      </rPr>
      <t xml:space="preserve"> Responsible for:</t>
    </r>
    <phoneticPr fontId="4"/>
  </si>
  <si>
    <r>
      <t>6</t>
    </r>
    <r>
      <rPr>
        <sz val="10.5"/>
        <rFont val="ＭＳ Ｐゴシック"/>
        <family val="3"/>
        <charset val="128"/>
      </rPr>
      <t>．</t>
    </r>
    <r>
      <rPr>
        <sz val="10.5"/>
        <rFont val="Arial"/>
        <family val="2"/>
      </rPr>
      <t>1</t>
    </r>
    <phoneticPr fontId="4"/>
  </si>
  <si>
    <r>
      <t>6</t>
    </r>
    <r>
      <rPr>
        <sz val="10.5"/>
        <rFont val="ＭＳ Ｐゴシック"/>
        <family val="3"/>
        <charset val="128"/>
      </rPr>
      <t>．</t>
    </r>
    <r>
      <rPr>
        <sz val="10.5"/>
        <rFont val="Arial"/>
        <family val="2"/>
      </rPr>
      <t>2</t>
    </r>
    <phoneticPr fontId="4"/>
  </si>
  <si>
    <r>
      <t>Period for acceptance inquiries</t>
    </r>
    <r>
      <rPr>
        <sz val="8.8000000000000007"/>
        <rFont val="ＭＳ Ｐゴシック"/>
        <family val="3"/>
        <charset val="128"/>
      </rPr>
      <t>：</t>
    </r>
    <phoneticPr fontId="4"/>
  </si>
  <si>
    <r>
      <t xml:space="preserve">ARTICLE </t>
    </r>
    <r>
      <rPr>
        <b/>
        <u/>
        <sz val="10.5"/>
        <rFont val="ＭＳ Ｐゴシック"/>
        <family val="3"/>
        <charset val="128"/>
      </rPr>
      <t>Ⅶ</t>
    </r>
    <r>
      <rPr>
        <b/>
        <u/>
        <sz val="10.5"/>
        <rFont val="Arial"/>
        <family val="2"/>
      </rPr>
      <t xml:space="preserve"> </t>
    </r>
    <r>
      <rPr>
        <b/>
        <u/>
        <sz val="10.5"/>
        <rFont val="ＭＳ Ｐゴシック"/>
        <family val="3"/>
        <charset val="128"/>
      </rPr>
      <t>：</t>
    </r>
    <r>
      <rPr>
        <b/>
        <u/>
        <sz val="10.5"/>
        <rFont val="Arial"/>
        <family val="2"/>
      </rPr>
      <t>NOTICE ADDRESS</t>
    </r>
    <phoneticPr fontId="4"/>
  </si>
  <si>
    <r>
      <t>All notices between the two parties shall be sent to the following addresses</t>
    </r>
    <r>
      <rPr>
        <sz val="10.5"/>
        <rFont val="ＭＳ Ｐゴシック"/>
        <family val="3"/>
        <charset val="128"/>
      </rPr>
      <t>：</t>
    </r>
    <phoneticPr fontId="4"/>
  </si>
  <si>
    <r>
      <t xml:space="preserve">Party A </t>
    </r>
    <r>
      <rPr>
        <sz val="11"/>
        <rFont val="ＭＳ Ｐゴシック"/>
        <family val="3"/>
        <charset val="128"/>
      </rPr>
      <t>：</t>
    </r>
    <phoneticPr fontId="4"/>
  </si>
  <si>
    <r>
      <t xml:space="preserve">Receiver </t>
    </r>
    <r>
      <rPr>
        <sz val="10.5"/>
        <rFont val="ＭＳ Ｐゴシック"/>
        <family val="3"/>
        <charset val="128"/>
      </rPr>
      <t>：</t>
    </r>
    <phoneticPr fontId="4"/>
  </si>
  <si>
    <r>
      <t xml:space="preserve">Party B </t>
    </r>
    <r>
      <rPr>
        <sz val="11"/>
        <rFont val="ＭＳ Ｐゴシック"/>
        <family val="3"/>
        <charset val="128"/>
      </rPr>
      <t>：</t>
    </r>
    <phoneticPr fontId="4"/>
  </si>
  <si>
    <r>
      <t xml:space="preserve">ARTICLE </t>
    </r>
    <r>
      <rPr>
        <b/>
        <u/>
        <sz val="10.5"/>
        <rFont val="ＭＳ Ｐゴシック"/>
        <family val="3"/>
        <charset val="128"/>
      </rPr>
      <t>Ⅷ</t>
    </r>
    <r>
      <rPr>
        <b/>
        <u/>
        <sz val="10.5"/>
        <rFont val="Arial"/>
        <family val="2"/>
      </rPr>
      <t xml:space="preserve"> </t>
    </r>
    <r>
      <rPr>
        <b/>
        <u/>
        <sz val="10.5"/>
        <rFont val="ＭＳ Ｐゴシック"/>
        <family val="3"/>
        <charset val="128"/>
      </rPr>
      <t>：</t>
    </r>
    <r>
      <rPr>
        <b/>
        <u/>
        <sz val="10.5"/>
        <rFont val="Arial"/>
        <family val="2"/>
      </rPr>
      <t>DISPUTE SOLUTION</t>
    </r>
    <phoneticPr fontId="4"/>
  </si>
  <si>
    <r>
      <t>8</t>
    </r>
    <r>
      <rPr>
        <sz val="10.5"/>
        <rFont val="ＭＳ Ｐゴシック"/>
        <family val="3"/>
        <charset val="128"/>
      </rPr>
      <t>．</t>
    </r>
    <r>
      <rPr>
        <sz val="10.5"/>
        <rFont val="Arial"/>
        <family val="2"/>
      </rPr>
      <t>1</t>
    </r>
    <phoneticPr fontId="4"/>
  </si>
  <si>
    <r>
      <t>8</t>
    </r>
    <r>
      <rPr>
        <sz val="10.5"/>
        <rFont val="ＭＳ Ｐゴシック"/>
        <family val="3"/>
        <charset val="128"/>
      </rPr>
      <t>．</t>
    </r>
    <r>
      <rPr>
        <sz val="10.5"/>
        <rFont val="Arial"/>
        <family val="2"/>
      </rPr>
      <t>2</t>
    </r>
    <phoneticPr fontId="4"/>
  </si>
  <si>
    <r>
      <t>8</t>
    </r>
    <r>
      <rPr>
        <sz val="10.5"/>
        <rFont val="ＭＳ Ｐゴシック"/>
        <family val="3"/>
        <charset val="128"/>
      </rPr>
      <t>．</t>
    </r>
    <r>
      <rPr>
        <sz val="10.5"/>
        <rFont val="Arial"/>
        <family val="2"/>
      </rPr>
      <t>3</t>
    </r>
    <phoneticPr fontId="4"/>
  </si>
  <si>
    <r>
      <t xml:space="preserve">ARTICLE </t>
    </r>
    <r>
      <rPr>
        <b/>
        <u/>
        <sz val="10.5"/>
        <rFont val="ＭＳ Ｐゴシック"/>
        <family val="3"/>
        <charset val="128"/>
      </rPr>
      <t>Ⅸ</t>
    </r>
    <r>
      <rPr>
        <b/>
        <u/>
        <sz val="10.5"/>
        <rFont val="Arial"/>
        <family val="2"/>
      </rPr>
      <t xml:space="preserve"> </t>
    </r>
    <r>
      <rPr>
        <b/>
        <u/>
        <sz val="10.5"/>
        <rFont val="ＭＳ Ｐゴシック"/>
        <family val="3"/>
        <charset val="128"/>
      </rPr>
      <t>：</t>
    </r>
    <r>
      <rPr>
        <b/>
        <u/>
        <sz val="10.5"/>
        <rFont val="Arial"/>
        <family val="2"/>
      </rPr>
      <t>GENERAL AGREEMENT</t>
    </r>
    <phoneticPr fontId="4"/>
  </si>
  <si>
    <r>
      <t>9</t>
    </r>
    <r>
      <rPr>
        <sz val="10.5"/>
        <rFont val="ＭＳ Ｐゴシック"/>
        <family val="3"/>
        <charset val="128"/>
      </rPr>
      <t>．</t>
    </r>
    <r>
      <rPr>
        <sz val="10.5"/>
        <rFont val="Arial"/>
        <family val="2"/>
      </rPr>
      <t>1</t>
    </r>
    <phoneticPr fontId="4"/>
  </si>
  <si>
    <r>
      <t>9</t>
    </r>
    <r>
      <rPr>
        <sz val="10.5"/>
        <rFont val="ＭＳ Ｐゴシック"/>
        <family val="3"/>
        <charset val="128"/>
      </rPr>
      <t>．</t>
    </r>
    <r>
      <rPr>
        <sz val="10.5"/>
        <rFont val="Arial"/>
        <family val="2"/>
      </rPr>
      <t>2</t>
    </r>
    <phoneticPr fontId="4"/>
  </si>
  <si>
    <r>
      <t>Tel</t>
    </r>
    <r>
      <rPr>
        <sz val="11"/>
        <rFont val="ＭＳ Ｐゴシック"/>
        <family val="2"/>
      </rPr>
      <t>：</t>
    </r>
    <r>
      <rPr>
        <sz val="11"/>
        <rFont val="Arial"/>
        <family val="2"/>
      </rPr>
      <t xml:space="preserve">08-5410-9111 </t>
    </r>
    <r>
      <rPr>
        <sz val="11"/>
        <rFont val="ＭＳ Ｐゴシック"/>
        <family val="2"/>
      </rPr>
      <t>；　</t>
    </r>
    <r>
      <rPr>
        <sz val="11"/>
        <rFont val="Arial"/>
        <family val="2"/>
      </rPr>
      <t>Fax</t>
    </r>
    <r>
      <rPr>
        <sz val="11"/>
        <rFont val="ＭＳ Ｐゴシック"/>
        <family val="2"/>
      </rPr>
      <t>：</t>
    </r>
    <r>
      <rPr>
        <sz val="11"/>
        <rFont val="Arial"/>
        <family val="2"/>
      </rPr>
      <t>08-5410-9222</t>
    </r>
    <phoneticPr fontId="4"/>
  </si>
  <si>
    <r>
      <t>Date</t>
    </r>
    <r>
      <rPr>
        <sz val="11"/>
        <rFont val="ＭＳ Ｐゴシック"/>
        <family val="3"/>
        <charset val="128"/>
      </rPr>
      <t>：</t>
    </r>
    <phoneticPr fontId="4"/>
  </si>
  <si>
    <r>
      <t>To</t>
    </r>
    <r>
      <rPr>
        <u/>
        <sz val="11"/>
        <rFont val="ＭＳ Ｐゴシック"/>
        <family val="3"/>
        <charset val="128"/>
      </rPr>
      <t>：</t>
    </r>
    <phoneticPr fontId="4"/>
  </si>
  <si>
    <r>
      <t>Add</t>
    </r>
    <r>
      <rPr>
        <u/>
        <sz val="11"/>
        <rFont val="ＭＳ Ｐゴシック"/>
        <family val="3"/>
        <charset val="128"/>
      </rPr>
      <t>：</t>
    </r>
    <phoneticPr fontId="4"/>
  </si>
  <si>
    <r>
      <t xml:space="preserve">Tel </t>
    </r>
    <r>
      <rPr>
        <u/>
        <sz val="11"/>
        <rFont val="ＭＳ Ｐゴシック"/>
        <family val="3"/>
        <charset val="128"/>
      </rPr>
      <t>：</t>
    </r>
    <phoneticPr fontId="4"/>
  </si>
  <si>
    <r>
      <t>Fax</t>
    </r>
    <r>
      <rPr>
        <u/>
        <sz val="11"/>
        <rFont val="ＭＳ Ｐゴシック"/>
        <family val="3"/>
        <charset val="128"/>
      </rPr>
      <t>：</t>
    </r>
    <phoneticPr fontId="4"/>
  </si>
  <si>
    <r>
      <t>Contents</t>
    </r>
    <r>
      <rPr>
        <b/>
        <sz val="11"/>
        <rFont val="ＭＳ Ｐゴシック"/>
        <family val="3"/>
        <charset val="128"/>
      </rPr>
      <t>：</t>
    </r>
    <phoneticPr fontId="4"/>
  </si>
  <si>
    <r>
      <t>original</t>
    </r>
    <r>
      <rPr>
        <sz val="11"/>
        <rFont val="ＭＳ Ｐゴシック"/>
        <family val="3"/>
        <charset val="128"/>
      </rPr>
      <t>：</t>
    </r>
    <phoneticPr fontId="4"/>
  </si>
  <si>
    <r>
      <t>Copy</t>
    </r>
    <r>
      <rPr>
        <sz val="11"/>
        <rFont val="ＭＳ Ｐゴシック"/>
        <family val="3"/>
        <charset val="128"/>
      </rPr>
      <t>：</t>
    </r>
    <phoneticPr fontId="4"/>
  </si>
  <si>
    <r>
      <t>Condition</t>
    </r>
    <r>
      <rPr>
        <b/>
        <sz val="11"/>
        <rFont val="ＭＳ Ｐゴシック"/>
        <family val="3"/>
        <charset val="128"/>
      </rPr>
      <t>：</t>
    </r>
    <phoneticPr fontId="4"/>
  </si>
  <si>
    <r>
      <t>Date</t>
    </r>
    <r>
      <rPr>
        <sz val="11"/>
        <rFont val="ＭＳ Ｐゴシック"/>
        <family val="3"/>
        <charset val="128"/>
      </rPr>
      <t>：</t>
    </r>
    <phoneticPr fontId="4"/>
  </si>
  <si>
    <r>
      <t>Quotation / Purchase Oder No</t>
    </r>
    <r>
      <rPr>
        <sz val="11"/>
        <rFont val="ＭＳ Ｐゴシック"/>
        <family val="3"/>
        <charset val="128"/>
      </rPr>
      <t>．</t>
    </r>
    <phoneticPr fontId="4"/>
  </si>
  <si>
    <t>Twenty Four</t>
    <phoneticPr fontId="4"/>
  </si>
  <si>
    <t>only</t>
    <phoneticPr fontId="4"/>
  </si>
  <si>
    <t>Thirty</t>
    <phoneticPr fontId="4"/>
  </si>
  <si>
    <t xml:space="preserve"> VAT</t>
    <phoneticPr fontId="4"/>
  </si>
  <si>
    <t>TO:</t>
    <phoneticPr fontId="4"/>
  </si>
  <si>
    <t>INVOICE NUMBER:</t>
    <phoneticPr fontId="4"/>
  </si>
  <si>
    <t xml:space="preserve">INVOICE DATE:  </t>
    <phoneticPr fontId="4"/>
  </si>
  <si>
    <t>CONTRACT  NO:</t>
    <phoneticPr fontId="4"/>
  </si>
  <si>
    <t>CONTRACT DATE:</t>
    <phoneticPr fontId="4"/>
  </si>
  <si>
    <r>
      <t xml:space="preserve">ARTICLE </t>
    </r>
    <r>
      <rPr>
        <b/>
        <u/>
        <sz val="10.5"/>
        <rFont val="ＭＳ Ｐゴシック"/>
        <family val="3"/>
        <charset val="128"/>
      </rPr>
      <t>Ⅵ</t>
    </r>
    <r>
      <rPr>
        <b/>
        <u/>
        <sz val="10.5"/>
        <rFont val="Arial"/>
        <family val="2"/>
      </rPr>
      <t xml:space="preserve"> </t>
    </r>
    <r>
      <rPr>
        <b/>
        <u/>
        <sz val="10.5"/>
        <rFont val="ＭＳ Ｐゴシック"/>
        <family val="3"/>
        <charset val="128"/>
      </rPr>
      <t>：</t>
    </r>
    <r>
      <rPr>
        <b/>
        <u/>
        <sz val="10.5"/>
        <rFont val="Arial"/>
        <family val="2"/>
      </rPr>
      <t>CLOSE OF SERVICE</t>
    </r>
    <phoneticPr fontId="4"/>
  </si>
  <si>
    <t xml:space="preserve"> </t>
    <phoneticPr fontId="4"/>
  </si>
  <si>
    <t>Address : 66 Cao Trieu Phat, Hung Gia 4 area,
Tan Phong ward, District 7, Ho Chi Minh city,Vietnam</t>
    <phoneticPr fontId="4"/>
  </si>
  <si>
    <t>CHUGAI TECHNOS VIETNAM CO., LTD</t>
    <phoneticPr fontId="4"/>
  </si>
  <si>
    <t>Tel / Fax : +84-8-54109111/ +84-8-54109222</t>
    <phoneticPr fontId="4"/>
  </si>
  <si>
    <t>Hiroshima 733-0013 Japan</t>
    <phoneticPr fontId="4"/>
  </si>
  <si>
    <t>Trip</t>
    <phoneticPr fontId="10"/>
  </si>
  <si>
    <t>Taxi,Air</t>
    <phoneticPr fontId="4"/>
  </si>
  <si>
    <t>Total</t>
    <phoneticPr fontId="4"/>
  </si>
  <si>
    <t>This service will be carried out only in Japan. The data of service will be used only in Japan. It will not be used in Vietnam.</t>
    <phoneticPr fontId="4"/>
  </si>
  <si>
    <t>The two parties agree to fully implement all terms and conditions stipulated in this contract.
Every change to this contract must be agreed and supplemented in writing with valid signatures from authorized representatives from both parties.</t>
    <phoneticPr fontId="4"/>
  </si>
  <si>
    <t>If you have any inquiries, please feel free to contact us.</t>
    <phoneticPr fontId="4"/>
  </si>
  <si>
    <t>The above contract value includes direct labor, direct, company cost and so on.</t>
    <phoneticPr fontId="4"/>
  </si>
  <si>
    <t>The above contract value is full-package price, including direct labor, direct, consalting, company cost and so on.</t>
    <phoneticPr fontId="4"/>
  </si>
  <si>
    <t>The above contract value is full-package price, including direct labor, direct , inspection, company cost and so on.</t>
    <phoneticPr fontId="4"/>
  </si>
  <si>
    <t>(3)</t>
  </si>
  <si>
    <t>01</t>
    <phoneticPr fontId="4"/>
  </si>
  <si>
    <t>Vietnam</t>
    <phoneticPr fontId="4"/>
  </si>
  <si>
    <t>Custom procedure</t>
    <phoneticPr fontId="4"/>
  </si>
  <si>
    <t>Preparation</t>
    <phoneticPr fontId="4"/>
  </si>
  <si>
    <t>Transportation</t>
    <phoneticPr fontId="4"/>
  </si>
  <si>
    <t>Meeting</t>
    <phoneticPr fontId="4"/>
  </si>
  <si>
    <t>Transportation</t>
    <phoneticPr fontId="4"/>
  </si>
  <si>
    <t>Measurement</t>
    <phoneticPr fontId="4"/>
  </si>
  <si>
    <t>Chugai Technos</t>
    <phoneticPr fontId="4"/>
  </si>
  <si>
    <t>Taxi</t>
    <phoneticPr fontId="4"/>
  </si>
  <si>
    <t>Yazaki</t>
    <phoneticPr fontId="4"/>
  </si>
  <si>
    <t>Shipping procedure</t>
    <phoneticPr fontId="4"/>
  </si>
  <si>
    <t>Report</t>
    <phoneticPr fontId="4"/>
  </si>
  <si>
    <t>Clearance</t>
    <phoneticPr fontId="4"/>
  </si>
  <si>
    <t>02</t>
    <phoneticPr fontId="4"/>
  </si>
  <si>
    <r>
      <t>Operating total cost</t>
    </r>
    <r>
      <rPr>
        <sz val="10.5"/>
        <rFont val="ＭＳ Ｐゴシック"/>
        <family val="3"/>
        <charset val="128"/>
      </rPr>
      <t>：</t>
    </r>
    <phoneticPr fontId="4"/>
  </si>
  <si>
    <r>
      <t>VAT</t>
    </r>
    <r>
      <rPr>
        <sz val="10.5"/>
        <rFont val="ＭＳ Ｐゴシック"/>
        <family val="3"/>
        <charset val="128"/>
      </rPr>
      <t>：</t>
    </r>
    <phoneticPr fontId="4"/>
  </si>
  <si>
    <t>Party A shall be responsible for client and mesuring report.</t>
    <phoneticPr fontId="4"/>
  </si>
  <si>
    <r>
      <t>MR</t>
    </r>
    <r>
      <rPr>
        <sz val="10.5"/>
        <rFont val="ＭＳ Ｐゴシック"/>
        <family val="3"/>
        <charset val="128"/>
      </rPr>
      <t>．</t>
    </r>
    <r>
      <rPr>
        <sz val="10.5"/>
        <rFont val="Arial"/>
        <family val="2"/>
      </rPr>
      <t>MASAMI OUE</t>
    </r>
    <phoneticPr fontId="4"/>
  </si>
  <si>
    <t>INVOICE</t>
    <phoneticPr fontId="4"/>
  </si>
  <si>
    <r>
      <t xml:space="preserve">     </t>
    </r>
    <r>
      <rPr>
        <b/>
        <sz val="18"/>
        <rFont val="Times New Roman"/>
        <family val="1"/>
      </rPr>
      <t>CHUGAI TECHNOS VIETNAM CO., LTD</t>
    </r>
    <phoneticPr fontId="4"/>
  </si>
  <si>
    <r>
      <t>Service Line</t>
    </r>
    <r>
      <rPr>
        <sz val="11"/>
        <rFont val="ＭＳ Ｐ明朝"/>
        <family val="1"/>
        <charset val="128"/>
      </rPr>
      <t>：</t>
    </r>
    <phoneticPr fontId="4"/>
  </si>
  <si>
    <t>Operating Total Cost</t>
    <phoneticPr fontId="4"/>
  </si>
  <si>
    <t>SERVICE CONTENTS</t>
    <phoneticPr fontId="4"/>
  </si>
  <si>
    <t>Director:   MASAMI OUE</t>
    <phoneticPr fontId="4"/>
  </si>
  <si>
    <t>USD/VND=</t>
    <phoneticPr fontId="4"/>
  </si>
  <si>
    <r>
      <t>Website</t>
    </r>
    <r>
      <rPr>
        <sz val="11"/>
        <rFont val="ＭＳ Ｐゴシック"/>
        <family val="3"/>
        <charset val="128"/>
      </rPr>
      <t>：</t>
    </r>
    <r>
      <rPr>
        <sz val="11"/>
        <rFont val="Times New Roman"/>
        <family val="1"/>
      </rPr>
      <t xml:space="preserve"> </t>
    </r>
  </si>
  <si>
    <t>Fifty Seven</t>
    <phoneticPr fontId="4"/>
  </si>
  <si>
    <t>Million</t>
    <phoneticPr fontId="4"/>
  </si>
  <si>
    <t>Six</t>
    <phoneticPr fontId="4"/>
  </si>
  <si>
    <t>Hundred</t>
    <phoneticPr fontId="4"/>
  </si>
  <si>
    <t>Thousand</t>
    <phoneticPr fontId="4"/>
  </si>
  <si>
    <t>Vietnamese Dong</t>
    <phoneticPr fontId="4"/>
  </si>
  <si>
    <t>The above contract value includes analysis cost, site work and so on.</t>
    <phoneticPr fontId="4"/>
  </si>
  <si>
    <t>- This price excludes round-transportation fee between site and Party B office. Party A shall bear that expense.</t>
    <phoneticPr fontId="4"/>
  </si>
  <si>
    <t>- Site working time including transportation shall be within 8hours. Party A shall pay overtime cost in the event that working hours exceed 8 hours.</t>
    <phoneticPr fontId="4"/>
  </si>
  <si>
    <t>Payment shall be made by bank transfer in VND as follows:</t>
    <phoneticPr fontId="4"/>
  </si>
  <si>
    <t>30% of contract total value shall be paid immediately upon quotation approval. 70% of total contract value shall be paid in 7 days time after Party A has received handing over.</t>
    <phoneticPr fontId="4"/>
  </si>
  <si>
    <t>Party A shall make clear Party A requirement to Party B before contract.</t>
    <phoneticPr fontId="4"/>
  </si>
  <si>
    <t>Party B shall preserve samples until analysis finishes.</t>
    <phoneticPr fontId="4"/>
  </si>
  <si>
    <t>Deliverable is one Japanese report.</t>
    <phoneticPr fontId="4"/>
  </si>
  <si>
    <t>Party B can dispose samples after 2 party agreement.</t>
    <phoneticPr fontId="4"/>
  </si>
  <si>
    <t>This Contract is made in 02 original copies in English and 02 original copies in Vietnamese, all English copies have the priority. Each party keeps 01 copy in English and 01 copy in Vietnamese.</t>
    <phoneticPr fontId="4"/>
  </si>
  <si>
    <t>In case there is a difference in understanding between Vietnamese and English version, hense English version will be used as a basic for explanation and reference.</t>
    <phoneticPr fontId="4"/>
  </si>
  <si>
    <t>One Japanese report</t>
    <phoneticPr fontId="4"/>
  </si>
  <si>
    <t>VND</t>
    <phoneticPr fontId="4"/>
  </si>
  <si>
    <t>Eigty Four</t>
    <phoneticPr fontId="4"/>
  </si>
  <si>
    <t>VND</t>
    <phoneticPr fontId="4"/>
  </si>
  <si>
    <r>
      <rPr>
        <sz val="11"/>
        <rFont val="ＭＳ Ｐゴシック"/>
        <family val="3"/>
        <charset val="128"/>
      </rPr>
      <t>：</t>
    </r>
    <phoneticPr fontId="4"/>
  </si>
  <si>
    <r>
      <t>Tel</t>
    </r>
    <r>
      <rPr>
        <sz val="11"/>
        <rFont val="ＭＳ Ｐゴシック"/>
        <family val="2"/>
      </rPr>
      <t>：</t>
    </r>
    <r>
      <rPr>
        <sz val="11"/>
        <rFont val="Times New Roman"/>
        <family val="1"/>
      </rPr>
      <t xml:space="preserve">08-5410-9111 </t>
    </r>
    <r>
      <rPr>
        <sz val="11"/>
        <rFont val="ＭＳ Ｐゴシック"/>
        <family val="2"/>
      </rPr>
      <t>；　</t>
    </r>
    <r>
      <rPr>
        <sz val="11"/>
        <rFont val="Times New Roman"/>
        <family val="1"/>
      </rPr>
      <t>Fax</t>
    </r>
    <r>
      <rPr>
        <sz val="11"/>
        <rFont val="ＭＳ Ｐゴシック"/>
        <family val="2"/>
      </rPr>
      <t>：</t>
    </r>
    <r>
      <rPr>
        <sz val="11"/>
        <rFont val="Times New Roman"/>
        <family val="1"/>
      </rPr>
      <t>08-5410-9222</t>
    </r>
    <phoneticPr fontId="4"/>
  </si>
  <si>
    <r>
      <t>Date</t>
    </r>
    <r>
      <rPr>
        <sz val="11"/>
        <rFont val="ＭＳ Ｐゴシック"/>
        <family val="3"/>
        <charset val="128"/>
      </rPr>
      <t>：</t>
    </r>
    <phoneticPr fontId="4"/>
  </si>
  <si>
    <r>
      <t>To</t>
    </r>
    <r>
      <rPr>
        <u/>
        <sz val="11"/>
        <rFont val="ＭＳ Ｐゴシック"/>
        <family val="3"/>
        <charset val="128"/>
      </rPr>
      <t>：</t>
    </r>
    <phoneticPr fontId="4"/>
  </si>
  <si>
    <r>
      <t>Add</t>
    </r>
    <r>
      <rPr>
        <u/>
        <sz val="11"/>
        <rFont val="ＭＳ Ｐゴシック"/>
        <family val="3"/>
        <charset val="128"/>
      </rPr>
      <t>：</t>
    </r>
    <phoneticPr fontId="4"/>
  </si>
  <si>
    <r>
      <t xml:space="preserve">Tel </t>
    </r>
    <r>
      <rPr>
        <u/>
        <sz val="11"/>
        <rFont val="ＭＳ Ｐゴシック"/>
        <family val="3"/>
        <charset val="128"/>
      </rPr>
      <t>：</t>
    </r>
    <phoneticPr fontId="4"/>
  </si>
  <si>
    <r>
      <t>Fax</t>
    </r>
    <r>
      <rPr>
        <u/>
        <sz val="11"/>
        <rFont val="ＭＳ Ｐゴシック"/>
        <family val="3"/>
        <charset val="128"/>
      </rPr>
      <t>：</t>
    </r>
    <phoneticPr fontId="4"/>
  </si>
  <si>
    <r>
      <t>Operating total cost</t>
    </r>
    <r>
      <rPr>
        <sz val="10.5"/>
        <rFont val="ＭＳ Ｐゴシック"/>
        <family val="3"/>
        <charset val="128"/>
      </rPr>
      <t>：</t>
    </r>
    <phoneticPr fontId="4"/>
  </si>
  <si>
    <r>
      <t>VAT</t>
    </r>
    <r>
      <rPr>
        <sz val="10.5"/>
        <rFont val="ＭＳ Ｐゴシック"/>
        <family val="3"/>
        <charset val="128"/>
      </rPr>
      <t>：</t>
    </r>
    <phoneticPr fontId="4"/>
  </si>
  <si>
    <r>
      <t>Amount need to pay</t>
    </r>
    <r>
      <rPr>
        <sz val="11"/>
        <rFont val="ＭＳ Ｐゴシック"/>
        <family val="3"/>
        <charset val="128"/>
      </rPr>
      <t>：</t>
    </r>
    <phoneticPr fontId="4"/>
  </si>
  <si>
    <r>
      <t>Please transfer to CHUGAI TECHNOS VIETNAM COMPANY LIMITED's account as follows</t>
    </r>
    <r>
      <rPr>
        <b/>
        <u/>
        <sz val="11"/>
        <rFont val="ＭＳ Ｐゴシック"/>
        <family val="3"/>
        <charset val="128"/>
      </rPr>
      <t>：</t>
    </r>
    <phoneticPr fontId="4"/>
  </si>
  <si>
    <r>
      <rPr>
        <sz val="11"/>
        <rFont val="ＭＳ Ｐゴシック"/>
        <family val="3"/>
        <charset val="128"/>
      </rPr>
      <t>：</t>
    </r>
    <phoneticPr fontId="4"/>
  </si>
  <si>
    <t>UNIT</t>
    <phoneticPr fontId="4"/>
  </si>
  <si>
    <t>VND</t>
    <phoneticPr fontId="4"/>
  </si>
  <si>
    <t>Total Price</t>
    <phoneticPr fontId="4"/>
  </si>
  <si>
    <t>Party A shall give Party B samples enough to analyze with container Party A prepare.</t>
    <phoneticPr fontId="4"/>
  </si>
  <si>
    <t>Party A shall cooperate with Party B in checking service process.</t>
    <phoneticPr fontId="4"/>
  </si>
  <si>
    <t>VND</t>
    <phoneticPr fontId="4"/>
  </si>
  <si>
    <t>VND</t>
    <phoneticPr fontId="4"/>
  </si>
  <si>
    <t>DEN</t>
    <phoneticPr fontId="4"/>
  </si>
  <si>
    <t>04</t>
    <phoneticPr fontId="4"/>
  </si>
  <si>
    <t>18-Apr-17</t>
    <phoneticPr fontId="4"/>
  </si>
  <si>
    <t>DENKA ADVANCED MATERIALS VIETNAM CO.,LTD.</t>
    <phoneticPr fontId="4"/>
  </si>
  <si>
    <r>
      <t>MR</t>
    </r>
    <r>
      <rPr>
        <sz val="11"/>
        <rFont val="ＭＳ Ｐゴシック"/>
        <family val="3"/>
        <charset val="128"/>
      </rPr>
      <t>．</t>
    </r>
    <r>
      <rPr>
        <sz val="11"/>
        <rFont val="Arial"/>
        <family val="2"/>
      </rPr>
      <t>YOSUKE SUZUKI</t>
    </r>
    <phoneticPr fontId="4"/>
  </si>
  <si>
    <t>General Manager</t>
    <phoneticPr fontId="4"/>
  </si>
  <si>
    <r>
      <t xml:space="preserve">Plot D-5, Thang Long Industrial Park </t>
    </r>
    <r>
      <rPr>
        <sz val="11"/>
        <rFont val="ＭＳ Ｐゴシック"/>
        <family val="3"/>
        <charset val="128"/>
      </rPr>
      <t>Ⅱ</t>
    </r>
    <r>
      <rPr>
        <sz val="11"/>
        <rFont val="Arial"/>
        <family val="2"/>
      </rPr>
      <t>Yen my District, Hung Yen Province, Vietnam</t>
    </r>
    <phoneticPr fontId="4"/>
  </si>
  <si>
    <t>+84-321-3974-805</t>
    <phoneticPr fontId="4"/>
  </si>
  <si>
    <t>+84-321-3974-806</t>
  </si>
  <si>
    <t>PT Inspection for container welding lines</t>
    <phoneticPr fontId="4"/>
  </si>
  <si>
    <t>DENKA ADVANCED MATERIALS VIETNAM CO.,LTD</t>
    <phoneticPr fontId="4"/>
  </si>
  <si>
    <t>QCTVN201704-01</t>
    <phoneticPr fontId="4"/>
  </si>
  <si>
    <t>(1)</t>
    <phoneticPr fontId="4"/>
  </si>
  <si>
    <t>(2)</t>
  </si>
  <si>
    <t>2.</t>
    <phoneticPr fontId="4"/>
  </si>
  <si>
    <t>1.</t>
    <phoneticPr fontId="4"/>
  </si>
  <si>
    <t>BÁO GIÁ DỊCH VỤ</t>
  </si>
  <si>
    <t>Ngày：</t>
  </si>
  <si>
    <t>Công ty：</t>
  </si>
  <si>
    <t>Địa chỉ：</t>
  </si>
  <si>
    <t>Điện thoại：</t>
  </si>
  <si>
    <t>Kính gửi quý công ty, chúng tôi xin gửi báo giá như sau:</t>
  </si>
  <si>
    <t>18/04/2017</t>
  </si>
  <si>
    <t>Tổng giá:</t>
  </si>
  <si>
    <t>Tổng cộng:</t>
  </si>
  <si>
    <t>Điều kiện:</t>
  </si>
  <si>
    <t>90 ngày</t>
  </si>
  <si>
    <t>Từ</t>
  </si>
  <si>
    <t>Đến</t>
  </si>
  <si>
    <t>Ngày</t>
  </si>
  <si>
    <t>Giá dịch vụ：</t>
  </si>
  <si>
    <t>Chữ ký và dấu công ty</t>
  </si>
  <si>
    <t>CHI TIẾT BÁO GIÁ</t>
  </si>
  <si>
    <t>Ngày:</t>
  </si>
  <si>
    <t>Số báo giá</t>
  </si>
  <si>
    <t>CÔNG TY TNHH CHUGAI TECHNOS VIỆT NAM</t>
  </si>
  <si>
    <t>Địa điểm：</t>
  </si>
  <si>
    <t>Việt Nam</t>
  </si>
  <si>
    <t>Mục</t>
  </si>
  <si>
    <t>Số lượng</t>
  </si>
  <si>
    <t>Đơn vị</t>
  </si>
  <si>
    <t>Chi phí nhân công</t>
  </si>
  <si>
    <t>(1)</t>
  </si>
  <si>
    <t>Báo cáo</t>
  </si>
  <si>
    <t>Tổng</t>
  </si>
  <si>
    <t>Chi phí</t>
  </si>
  <si>
    <t>Chi phí di chuyển</t>
  </si>
  <si>
    <t>Khách sạn</t>
  </si>
  <si>
    <t>Trợ cấp công tác</t>
  </si>
  <si>
    <t>Tổng giá</t>
  </si>
  <si>
    <t>Phụ trách báo giá：</t>
  </si>
  <si>
    <t xml:space="preserve"> </t>
  </si>
  <si>
    <t>Giá trên không bao gồm 10% VAT</t>
  </si>
  <si>
    <t>Kiểm tra PT mối hàn của thùng chứa</t>
  </si>
  <si>
    <t xml:space="preserve">Website： </t>
  </si>
  <si>
    <t>Date：</t>
  </si>
  <si>
    <t>Số：</t>
  </si>
  <si>
    <t>Quotation：</t>
  </si>
  <si>
    <t>To：</t>
  </si>
  <si>
    <t>Add：</t>
  </si>
  <si>
    <t>Tel ：</t>
  </si>
  <si>
    <t>Fax：</t>
  </si>
  <si>
    <t>－</t>
  </si>
  <si>
    <t>Thời gian：</t>
  </si>
  <si>
    <t>Nội dung：</t>
  </si>
  <si>
    <t>Sản phẩm：</t>
  </si>
  <si>
    <t>Thanh toán：</t>
  </si>
  <si>
    <t>Bản báo cáo kiểm tra</t>
  </si>
  <si>
    <t xml:space="preserve"> CÔNG TY TNHH CHUGAI TECHNOS VIỆT NAM </t>
  </si>
  <si>
    <t>CÔNG TY TNHH VẬT LIỆU MỚI DENKA VIỆT NAM</t>
  </si>
  <si>
    <t>Chuẩn bị và dọn dẹp</t>
  </si>
  <si>
    <t>Dịch vụ:</t>
  </si>
  <si>
    <t>66 Cao Triều Phát, Khu phố Hưng Gia 4, Phường Tân Phong, Quận 7, Tp.HCM , Việt Nam</t>
  </si>
  <si>
    <t xml:space="preserve">66 Cao Triều Phát, Khu phố Hưng Gia 4, Phường Tân Phong, Quận 7, Tp.HCM </t>
  </si>
  <si>
    <t>Hiệu lực：</t>
  </si>
  <si>
    <t>Ông Masami Oue</t>
  </si>
  <si>
    <t>御   見   積   書</t>
  </si>
  <si>
    <t>日本プラントメーカー   御中</t>
  </si>
  <si>
    <t>ジャカルタボイラ性能試験</t>
  </si>
  <si>
    <t xml:space="preserve">              　　社長      大 上　政 視</t>
  </si>
  <si>
    <t>件   名</t>
  </si>
  <si>
    <t>首題の件に関し下記の通り御見積申し上げます</t>
  </si>
  <si>
    <t>B．Overtime Money</t>
  </si>
  <si>
    <t>Currency：JPY</t>
  </si>
  <si>
    <t>場      所</t>
  </si>
  <si>
    <t>インドネシア･ジャカルタ</t>
  </si>
  <si>
    <t>Holiday(Sat and Sun）</t>
  </si>
  <si>
    <t>有効期間</t>
  </si>
  <si>
    <t>見積責任者：</t>
  </si>
  <si>
    <t>項  目</t>
  </si>
  <si>
    <t>内                     容</t>
  </si>
  <si>
    <t>数  量</t>
  </si>
  <si>
    <t>単  位</t>
  </si>
  <si>
    <t>単    価</t>
  </si>
  <si>
    <t>金      額</t>
  </si>
  <si>
    <t>　　１．直接人件費</t>
  </si>
  <si>
    <t>Ｂ．ベトナム法による残業代</t>
  </si>
  <si>
    <t>（２）</t>
  </si>
  <si>
    <t>機材準備及び整備</t>
  </si>
  <si>
    <t>人･日</t>
  </si>
  <si>
    <t>基本給</t>
  </si>
  <si>
    <t>基本単価
（Ａ）</t>
  </si>
  <si>
    <t>平日</t>
  </si>
  <si>
    <t>休日(土日）</t>
  </si>
  <si>
    <t>祝祭日</t>
  </si>
  <si>
    <t>（３）</t>
  </si>
  <si>
    <t>通関手続き</t>
  </si>
  <si>
    <t>通常</t>
  </si>
  <si>
    <t>深夜</t>
  </si>
  <si>
    <t>※Ａ＝Basic Salary／22days／8 hours</t>
  </si>
  <si>
    <t>（４）</t>
  </si>
  <si>
    <t>報告書作成（社内）</t>
  </si>
  <si>
    <t>（５）</t>
  </si>
  <si>
    <t>現地作業</t>
  </si>
  <si>
    <t>①技術員</t>
  </si>
  <si>
    <t>②　〃　時間外、休日</t>
  </si>
  <si>
    <t>人･Hr</t>
  </si>
  <si>
    <t>③主任技師(日本人）</t>
  </si>
  <si>
    <t>④　〃　時間外、休日</t>
  </si>
  <si>
    <t>※Ａ＝基本給／22日／８ｈｒ</t>
  </si>
  <si>
    <t>小計　</t>
  </si>
  <si>
    <t>※深夜とは、22時～６時。</t>
  </si>
  <si>
    <t>　　２．直接経費</t>
  </si>
  <si>
    <t>（１）</t>
  </si>
  <si>
    <t>交通費</t>
  </si>
  <si>
    <t>一</t>
  </si>
  <si>
    <t>式</t>
  </si>
  <si>
    <t>※Accommodation fee is actual cost including breakfast.</t>
  </si>
  <si>
    <t>宿泊費（実費）</t>
  </si>
  <si>
    <t>人･泊</t>
  </si>
  <si>
    <t>※宿泊は、朝食を含む実費とする。</t>
  </si>
  <si>
    <t>※Daily allowance is from departure day to arrival day.</t>
  </si>
  <si>
    <t>日当</t>
  </si>
  <si>
    <t>（別表による）</t>
  </si>
  <si>
    <t>※日当は、出発した日から、帰着した日までが対象。</t>
  </si>
  <si>
    <t>機材運送費</t>
  </si>
  <si>
    <t>機器損料</t>
  </si>
  <si>
    <t>（６）</t>
  </si>
  <si>
    <t>消耗品</t>
  </si>
  <si>
    <t>※Immunization should be charged an actual cost price including man-hour spent</t>
  </si>
  <si>
    <t>（７）</t>
  </si>
  <si>
    <t>その他経費</t>
  </si>
  <si>
    <t>※予防注射等はすべて実費請求。要した工数（時間）も請求となる。</t>
  </si>
  <si>
    <t>①ビザ取得費</t>
  </si>
  <si>
    <t>②保険料</t>
  </si>
  <si>
    <t>③その他</t>
  </si>
  <si>
    <t>　　３．分析費</t>
  </si>
  <si>
    <t>検体</t>
  </si>
  <si>
    <r>
      <t>SO</t>
    </r>
    <r>
      <rPr>
        <vertAlign val="subscript"/>
        <sz val="11"/>
        <rFont val="Times New Roman"/>
        <family val="1"/>
      </rPr>
      <t>3</t>
    </r>
  </si>
  <si>
    <r>
      <t>NH</t>
    </r>
    <r>
      <rPr>
        <vertAlign val="subscript"/>
        <sz val="11"/>
        <rFont val="Times New Roman"/>
        <family val="1"/>
      </rPr>
      <t>3</t>
    </r>
  </si>
  <si>
    <t>　　４．会社経費</t>
  </si>
  <si>
    <t>％</t>
  </si>
  <si>
    <t>業務費　合計　</t>
  </si>
  <si>
    <t>合                              計</t>
  </si>
  <si>
    <t>Đơn giá (VNĐ)</t>
  </si>
  <si>
    <t>Giá (VNĐ)</t>
  </si>
  <si>
    <t>Điện thoại: +84-8-5410-9111   Fax: +84-8-5410-9222</t>
  </si>
  <si>
    <t>Nội dung</t>
  </si>
  <si>
    <t>Chi phí thiết bị</t>
  </si>
  <si>
    <t>Điện thoại：08-5410-9111 ；　Fax：08-5410-9222</t>
  </si>
  <si>
    <t>Lô D-5, Khu công nghiệp Thăng Long II, Huyện Yên Mỹ, Tỉnh Hưng Yên, Việt Nam</t>
  </si>
  <si>
    <t>Kiểm tra PT của bể chứa lò hơi V921A, kiểm tra ăn mòn và phá hủy</t>
  </si>
  <si>
    <t>Giá trên căn cứ vào điều kiện hiện tại. Sau khi kiểm tra điều kiện cuối cùng. Nếu có bất kỳ chi phí phát sinh sẽ được thảo luận cùng quý công ty.</t>
  </si>
  <si>
    <t>100 % giá trị hợp đồng sẽ được thanh toán trước cuối tháng tiếp theo bằng chuyển khoản sau khi bên A nhận được báo cáo.</t>
  </si>
  <si>
    <t>Điều tra ngoài công trường
(1 kỹ sư cho 3 ngày)</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</si>
</sst>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7" formatCode="&quot;$&quot;#,##0.00_);\(&quot;$&quot;#,##0.00\)"/>
    <numFmt numFmtId="164" formatCode="[$-409]d\-mmm\-yy;@"/>
    <numFmt numFmtId="165" formatCode="[$-409]dd\-mmm\-yy;@"/>
    <numFmt numFmtId="166" formatCode="0.0_ "/>
    <numFmt numFmtId="167" formatCode="m/d;@"/>
    <numFmt numFmtId="168" formatCode="h:mm;@"/>
    <numFmt numFmtId="169" formatCode="#,##0.0&quot; Hr&quot;"/>
    <numFmt numFmtId="170" formatCode="m&quot;月&quot;d&quot;日&quot;;@"/>
    <numFmt numFmtId="171" formatCode="&quot;購買依頼　NO．　&quot;@"/>
    <numFmt numFmtId="172" formatCode="&quot;作番　&quot;@"/>
    <numFmt numFmtId="173" formatCode="#,###"/>
    <numFmt numFmtId="174" formatCode="[$-409]d\-mmm;@"/>
    <numFmt numFmtId="175" formatCode="0_ "/>
    <numFmt numFmtId="176" formatCode="#,###,###"/>
    <numFmt numFmtId="177" formatCode="#,###.00"/>
    <numFmt numFmtId="178" formatCode="[$-411]ggge&quot;年&quot;m&quot;月&quot;d&quot;日&quot;;@"/>
    <numFmt numFmtId="179" formatCode="&quot;¥&quot;#,###&quot;－&quot;"/>
    <numFmt numFmtId="180" formatCode="0.0"/>
    <numFmt numFmtId="181" formatCode="#,##0.000;[Red]\-#,##0.000"/>
    <numFmt numFmtId="182" formatCode="###&quot;days&quot;"/>
    <numFmt numFmtId="183" formatCode="#,##0.0;[Red]\-#,##0.0"/>
    <numFmt numFmtId="184" formatCode="#,##0.00_ "/>
    <numFmt numFmtId="186" formatCode="[$-1010000]d/m/yyyy;@"/>
    <numFmt numFmtId="187" formatCode="&quot;VNĐ &quot;#,###"/>
  </numFmts>
  <fonts count="80">
    <font>
      <sz val="11"/>
      <color theme="1"/>
      <name val="Calibri"/>
      <family val="2"/>
      <scheme val="minor"/>
    </font>
    <font>
      <sz val="11"/>
      <color theme="1"/>
      <name val="Calibri"/>
      <family val="2"/>
      <charset val="128"/>
      <scheme val="minor"/>
    </font>
    <font>
      <sz val="11"/>
      <color theme="1"/>
      <name val="Calibri"/>
      <family val="2"/>
      <charset val="128"/>
      <scheme val="minor"/>
    </font>
    <font>
      <sz val="11"/>
      <color theme="1"/>
      <name val="Calibri"/>
      <family val="2"/>
      <scheme val="minor"/>
    </font>
    <font>
      <sz val="6"/>
      <name val="Calibri"/>
      <family val="3"/>
      <charset val="128"/>
      <scheme val="minor"/>
    </font>
    <font>
      <sz val="11"/>
      <color theme="1"/>
      <name val="ＭＳ Ｐゴシック"/>
      <family val="2"/>
    </font>
    <font>
      <sz val="11"/>
      <color theme="1"/>
      <name val="Arial"/>
      <family val="2"/>
    </font>
    <font>
      <sz val="11"/>
      <color rgb="FFFF0000"/>
      <name val="Arial"/>
      <family val="2"/>
    </font>
    <font>
      <sz val="11"/>
      <name val="Arial"/>
      <family val="2"/>
    </font>
    <font>
      <sz val="11"/>
      <color rgb="FFFF0000"/>
      <name val="ＭＳ Ｐゴシック"/>
      <family val="3"/>
      <charset val="128"/>
    </font>
    <font>
      <sz val="6"/>
      <name val="ＭＳ Ｐゴシック"/>
      <family val="3"/>
      <charset val="128"/>
    </font>
    <font>
      <sz val="11"/>
      <name val="ＭＳ Ｐゴシック"/>
      <family val="3"/>
      <charset val="128"/>
    </font>
    <font>
      <sz val="14"/>
      <name val="ＭＳ Ｐゴシック"/>
      <family val="3"/>
      <charset val="128"/>
    </font>
    <font>
      <sz val="10.5"/>
      <name val="ＭＳ Ｐゴシック"/>
      <family val="3"/>
      <charset val="128"/>
    </font>
    <font>
      <sz val="12"/>
      <name val="ＭＳ Ｐゴシック"/>
      <family val="3"/>
      <charset val="128"/>
    </font>
    <font>
      <b/>
      <sz val="10"/>
      <name val="ＭＳ Ｐゴシック"/>
      <family val="3"/>
      <charset val="128"/>
    </font>
    <font>
      <sz val="10"/>
      <name val="ＭＳ Ｐゴシック"/>
      <family val="3"/>
      <charset val="128"/>
    </font>
    <font>
      <b/>
      <sz val="12"/>
      <name val="ＭＳ ゴシック"/>
      <family val="3"/>
      <charset val="128"/>
    </font>
    <font>
      <b/>
      <sz val="12"/>
      <color rgb="FFFF0000"/>
      <name val="ＭＳ ゴシック"/>
      <family val="3"/>
      <charset val="128"/>
    </font>
    <font>
      <b/>
      <sz val="11"/>
      <name val="ＭＳ Ｐゴシック"/>
      <family val="3"/>
      <charset val="128"/>
    </font>
    <font>
      <sz val="11"/>
      <name val="明朝"/>
      <family val="1"/>
      <charset val="128"/>
    </font>
    <font>
      <sz val="10"/>
      <name val="Arial"/>
      <family val="2"/>
    </font>
    <font>
      <vertAlign val="subscript"/>
      <sz val="11"/>
      <name val="Arial"/>
      <family val="2"/>
    </font>
    <font>
      <sz val="11"/>
      <name val="ＭＳ Ｐゴシック"/>
      <family val="2"/>
    </font>
    <font>
      <sz val="12"/>
      <name val="Arial"/>
      <family val="2"/>
    </font>
    <font>
      <sz val="10.5"/>
      <name val="Arial"/>
      <family val="2"/>
    </font>
    <font>
      <b/>
      <sz val="10.5"/>
      <name val="Arial"/>
      <family val="2"/>
    </font>
    <font>
      <sz val="9"/>
      <name val="Arial"/>
      <family val="2"/>
    </font>
    <font>
      <b/>
      <sz val="10.5"/>
      <color rgb="FFFF0000"/>
      <name val="Arial"/>
      <family val="2"/>
    </font>
    <font>
      <b/>
      <sz val="12"/>
      <color rgb="FFFF0000"/>
      <name val="Arial"/>
      <family val="2"/>
    </font>
    <font>
      <b/>
      <sz val="12"/>
      <name val="Arial"/>
      <family val="2"/>
    </font>
    <font>
      <b/>
      <sz val="10"/>
      <name val="Arial"/>
      <family val="2"/>
    </font>
    <font>
      <b/>
      <sz val="11"/>
      <name val="Arial"/>
      <family val="2"/>
    </font>
    <font>
      <sz val="14"/>
      <name val="Arial"/>
      <family val="2"/>
    </font>
    <font>
      <sz val="7"/>
      <name val="Arial"/>
      <family val="2"/>
    </font>
    <font>
      <sz val="20"/>
      <name val="Arial"/>
      <family val="2"/>
    </font>
    <font>
      <u/>
      <sz val="11"/>
      <name val="Arial"/>
      <family val="2"/>
    </font>
    <font>
      <b/>
      <sz val="14"/>
      <name val="Arial"/>
      <family val="2"/>
    </font>
    <font>
      <sz val="22"/>
      <name val="Arial"/>
      <family val="2"/>
    </font>
    <font>
      <u/>
      <sz val="11"/>
      <name val="ＭＳ Ｐゴシック"/>
      <family val="3"/>
      <charset val="128"/>
    </font>
    <font>
      <b/>
      <sz val="10.5"/>
      <name val="ＭＳ Ｐゴシック"/>
      <family val="3"/>
      <charset val="128"/>
    </font>
    <font>
      <b/>
      <u/>
      <sz val="10.5"/>
      <name val="Arial"/>
      <family val="2"/>
    </font>
    <font>
      <b/>
      <u/>
      <sz val="10.5"/>
      <name val="ＭＳ Ｐゴシック"/>
      <family val="3"/>
      <charset val="128"/>
    </font>
    <font>
      <u/>
      <sz val="10.5"/>
      <name val="Arial"/>
      <family val="2"/>
    </font>
    <font>
      <sz val="8.8000000000000007"/>
      <name val="Arial"/>
      <family val="2"/>
    </font>
    <font>
      <sz val="8.8000000000000007"/>
      <name val="ＭＳ Ｐゴシック"/>
      <family val="3"/>
      <charset val="128"/>
    </font>
    <font>
      <b/>
      <u/>
      <sz val="11"/>
      <name val="ＭＳ Ｐゴシック"/>
      <family val="3"/>
      <charset val="128"/>
    </font>
    <font>
      <b/>
      <sz val="11"/>
      <color rgb="FFFF0000"/>
      <name val="Arial"/>
      <family val="2"/>
    </font>
    <font>
      <b/>
      <sz val="11"/>
      <color rgb="FFFF0000"/>
      <name val="ＭＳ Ｐゴシック"/>
      <family val="3"/>
      <charset val="128"/>
    </font>
    <font>
      <sz val="11"/>
      <name val="Times New Roman"/>
      <family val="1"/>
    </font>
    <font>
      <sz val="18"/>
      <name val="Times New Roman"/>
      <family val="1"/>
    </font>
    <font>
      <b/>
      <sz val="12"/>
      <name val="Times New Roman"/>
      <family val="1"/>
    </font>
    <font>
      <sz val="16"/>
      <name val="Times New Roman"/>
      <family val="1"/>
    </font>
    <font>
      <b/>
      <sz val="11"/>
      <name val="Times New Roman"/>
      <family val="1"/>
    </font>
    <font>
      <sz val="10"/>
      <name val="Times New Roman"/>
      <family val="1"/>
    </font>
    <font>
      <b/>
      <sz val="16"/>
      <name val="Times New Roman"/>
      <family val="1"/>
    </font>
    <font>
      <u/>
      <sz val="11"/>
      <name val="Times New Roman"/>
      <family val="1"/>
    </font>
    <font>
      <b/>
      <sz val="10"/>
      <name val="Times New Roman"/>
      <family val="1"/>
    </font>
    <font>
      <sz val="9"/>
      <name val="Times New Roman"/>
      <family val="1"/>
    </font>
    <font>
      <vertAlign val="subscript"/>
      <sz val="11"/>
      <name val="Times New Roman"/>
      <family val="1"/>
    </font>
    <font>
      <sz val="10.5"/>
      <name val="Times New Roman"/>
      <family val="1"/>
    </font>
    <font>
      <sz val="12"/>
      <name val="Times New Roman"/>
      <family val="1"/>
    </font>
    <font>
      <sz val="6"/>
      <name val="Times New Roman"/>
      <family val="1"/>
    </font>
    <font>
      <sz val="8"/>
      <name val="Times New Roman"/>
      <family val="1"/>
    </font>
    <font>
      <b/>
      <sz val="10.5"/>
      <name val="Times New Roman"/>
      <family val="1"/>
    </font>
    <font>
      <u/>
      <sz val="14"/>
      <name val="Times New Roman"/>
      <family val="1"/>
    </font>
    <font>
      <sz val="7"/>
      <name val="Times New Roman"/>
      <family val="1"/>
    </font>
    <font>
      <sz val="11"/>
      <name val="ＭＳ Ｐ明朝"/>
      <family val="1"/>
      <charset val="128"/>
    </font>
    <font>
      <sz val="10.5"/>
      <color rgb="FFFF0000"/>
      <name val="Times New Roman"/>
      <family val="1"/>
    </font>
    <font>
      <sz val="10.5"/>
      <color theme="3" tint="0.39997558519241921"/>
      <name val="Times New Roman"/>
      <family val="1"/>
    </font>
    <font>
      <sz val="10.5"/>
      <color theme="9" tint="-0.249977111117893"/>
      <name val="Times New Roman"/>
      <family val="1"/>
    </font>
    <font>
      <sz val="10.5"/>
      <color theme="9" tint="-0.249977111117893"/>
      <name val="Arial"/>
      <family val="2"/>
    </font>
    <font>
      <b/>
      <sz val="20"/>
      <name val="Times New Roman"/>
      <family val="1"/>
    </font>
    <font>
      <b/>
      <sz val="18"/>
      <name val="Times New Roman"/>
      <family val="1"/>
    </font>
    <font>
      <b/>
      <i/>
      <sz val="11"/>
      <name val="Times New Roman"/>
      <family val="1"/>
    </font>
    <font>
      <sz val="11"/>
      <color rgb="FFFF0000"/>
      <name val="Times New Roman"/>
      <family val="1"/>
    </font>
    <font>
      <b/>
      <sz val="14"/>
      <name val="Times New Roman"/>
      <family val="1"/>
    </font>
    <font>
      <sz val="22"/>
      <name val="Times New Roman"/>
      <family val="1"/>
    </font>
    <font>
      <sz val="11"/>
      <color theme="1"/>
      <name val="Times New Roman"/>
      <family val="1"/>
    </font>
    <font>
      <b/>
      <u/>
      <sz val="11"/>
      <name val="Times New Roman"/>
      <family val="1"/>
    </font>
  </fonts>
  <fills count="16">
    <fill>
      <patternFill patternType="none"/>
    </fill>
    <fill>
      <patternFill patternType="gray125"/>
    </fill>
    <fill>
      <patternFill patternType="solid">
        <fgColor theme="9" tint="0.59999389629810485"/>
        <bgColor indexed="64"/>
      </patternFill>
    </fill>
    <fill>
      <patternFill patternType="solid">
        <fgColor indexed="4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FCD5B4"/>
        <bgColor indexed="64"/>
      </patternFill>
    </fill>
    <fill>
      <patternFill patternType="solid">
        <fgColor theme="0"/>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9"/>
        <bgColor indexed="9"/>
      </patternFill>
    </fill>
    <fill>
      <patternFill patternType="solid">
        <fgColor indexed="9"/>
        <bgColor indexed="26"/>
      </patternFill>
    </fill>
    <fill>
      <patternFill patternType="solid">
        <fgColor indexed="47"/>
        <bgColor indexed="9"/>
      </patternFill>
    </fill>
    <fill>
      <patternFill patternType="solid">
        <fgColor indexed="9"/>
        <bgColor indexed="64"/>
      </patternFill>
    </fill>
    <fill>
      <patternFill patternType="solid">
        <fgColor theme="4" tint="0.39997558519241921"/>
        <bgColor indexed="26"/>
      </patternFill>
    </fill>
  </fills>
  <borders count="151">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dotted">
        <color indexed="64"/>
      </bottom>
      <diagonal/>
    </border>
    <border>
      <left/>
      <right/>
      <top style="double">
        <color indexed="64"/>
      </top>
      <bottom style="dotted">
        <color indexed="64"/>
      </bottom>
      <diagonal/>
    </border>
    <border>
      <left/>
      <right style="thin">
        <color indexed="64"/>
      </right>
      <top style="double">
        <color indexed="64"/>
      </top>
      <bottom style="dotted">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hair">
        <color indexed="64"/>
      </top>
      <bottom style="medium">
        <color indexed="64"/>
      </bottom>
      <diagonal/>
    </border>
    <border>
      <left style="thin">
        <color indexed="64"/>
      </left>
      <right/>
      <top style="hair">
        <color auto="1"/>
      </top>
      <bottom style="thin">
        <color auto="1"/>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medium">
        <color indexed="64"/>
      </left>
      <right style="medium">
        <color indexed="64"/>
      </right>
      <top/>
      <bottom style="hair">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hair">
        <color indexed="64"/>
      </top>
      <bottom/>
      <diagonal/>
    </border>
    <border>
      <left/>
      <right style="thin">
        <color indexed="64"/>
      </right>
      <top/>
      <bottom/>
      <diagonal/>
    </border>
    <border>
      <left style="medium">
        <color indexed="64"/>
      </left>
      <right style="medium">
        <color indexed="64"/>
      </right>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dotted">
        <color indexed="64"/>
      </top>
      <bottom/>
      <diagonal/>
    </border>
    <border>
      <left style="thin">
        <color indexed="64"/>
      </left>
      <right style="thin">
        <color indexed="64"/>
      </right>
      <top style="dotted">
        <color indexed="64"/>
      </top>
      <bottom/>
      <diagonal/>
    </border>
    <border>
      <left style="double">
        <color indexed="64"/>
      </left>
      <right style="thin">
        <color indexed="64"/>
      </right>
      <top style="dotted">
        <color indexed="64"/>
      </top>
      <bottom/>
      <diagonal/>
    </border>
    <border>
      <left style="thin">
        <color indexed="64"/>
      </left>
      <right/>
      <top style="dotted">
        <color indexed="64"/>
      </top>
      <bottom/>
      <diagonal/>
    </border>
    <border>
      <left style="thin">
        <color indexed="64"/>
      </left>
      <right style="medium">
        <color indexed="64"/>
      </right>
      <top style="dotted">
        <color indexed="64"/>
      </top>
      <bottom style="dotted">
        <color indexed="64"/>
      </bottom>
      <diagonal/>
    </border>
    <border>
      <left style="double">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medium">
        <color indexed="64"/>
      </right>
      <top/>
      <bottom style="dotted">
        <color indexed="64"/>
      </bottom>
      <diagonal/>
    </border>
    <border>
      <left style="thin">
        <color indexed="64"/>
      </left>
      <right style="thin">
        <color indexed="64"/>
      </right>
      <top/>
      <bottom style="dotted">
        <color indexed="64"/>
      </bottom>
      <diagonal/>
    </border>
    <border>
      <left style="double">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thin">
        <color indexed="64"/>
      </right>
      <top/>
      <bottom style="dotted">
        <color indexed="64"/>
      </bottom>
      <diagonal/>
    </border>
    <border>
      <left style="thin">
        <color indexed="64"/>
      </left>
      <right style="thin">
        <color indexed="64"/>
      </right>
      <top style="thin">
        <color indexed="64"/>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double">
        <color indexed="64"/>
      </right>
      <top style="thin">
        <color indexed="64"/>
      </top>
      <bottom style="thin">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diagonal/>
    </border>
    <border>
      <left style="hair">
        <color indexed="64"/>
      </left>
      <right/>
      <top style="hair">
        <color indexed="64"/>
      </top>
      <bottom/>
      <diagonal/>
    </border>
    <border>
      <left/>
      <right/>
      <top/>
      <bottom style="hair">
        <color indexed="64"/>
      </bottom>
      <diagonal/>
    </border>
    <border>
      <left/>
      <right style="double">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right/>
      <top style="medium">
        <color indexed="64"/>
      </top>
      <bottom style="hair">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double">
        <color indexed="64"/>
      </right>
      <top style="hair">
        <color indexed="64"/>
      </top>
      <bottom style="thin">
        <color indexed="64"/>
      </bottom>
      <diagonal/>
    </border>
    <border>
      <left style="thin">
        <color indexed="64"/>
      </left>
      <right style="double">
        <color indexed="64"/>
      </right>
      <top/>
      <bottom style="hair">
        <color indexed="64"/>
      </bottom>
      <diagonal/>
    </border>
    <border>
      <left style="thin">
        <color indexed="64"/>
      </left>
      <right style="double">
        <color indexed="64"/>
      </right>
      <top style="thin">
        <color indexed="64"/>
      </top>
      <bottom style="thin">
        <color indexed="64"/>
      </bottom>
      <diagonal/>
    </border>
    <border>
      <left style="thin">
        <color indexed="64"/>
      </left>
      <right/>
      <top style="hair">
        <color indexed="64"/>
      </top>
      <bottom/>
      <diagonal/>
    </border>
    <border>
      <left style="thin">
        <color indexed="64"/>
      </left>
      <right style="double">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double">
        <color indexed="64"/>
      </right>
      <top style="thin">
        <color auto="1"/>
      </top>
      <bottom style="hair">
        <color auto="1"/>
      </bottom>
      <diagonal/>
    </border>
    <border>
      <left style="thin">
        <color indexed="64"/>
      </left>
      <right/>
      <top style="dotted">
        <color indexed="64"/>
      </top>
      <bottom style="thin">
        <color indexed="64"/>
      </bottom>
      <diagonal/>
    </border>
    <border>
      <left/>
      <right/>
      <top style="dotted">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diagonalDown="1">
      <left style="medium">
        <color indexed="64"/>
      </left>
      <right/>
      <top style="medium">
        <color indexed="64"/>
      </top>
      <bottom/>
      <diagonal style="thin">
        <color indexed="64"/>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hair">
        <color indexed="64"/>
      </bottom>
      <diagonal/>
    </border>
    <border>
      <left/>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right style="thin">
        <color indexed="8"/>
      </right>
      <top style="thin">
        <color indexed="64"/>
      </top>
      <bottom/>
      <diagonal/>
    </border>
    <border>
      <left/>
      <right/>
      <top style="thin">
        <color indexed="64"/>
      </top>
      <bottom/>
      <diagonal/>
    </border>
    <border>
      <left style="thin">
        <color indexed="8"/>
      </left>
      <right/>
      <top style="thin">
        <color indexed="64"/>
      </top>
      <bottom/>
      <diagonal/>
    </border>
    <border>
      <left/>
      <right/>
      <top/>
      <bottom style="thin">
        <color indexed="64"/>
      </bottom>
      <diagonal/>
    </border>
    <border>
      <left/>
      <right style="double">
        <color indexed="64"/>
      </right>
      <top style="hair">
        <color indexed="64"/>
      </top>
      <bottom/>
      <diagonal/>
    </border>
    <border>
      <left/>
      <right style="thin">
        <color indexed="64"/>
      </right>
      <top style="thin">
        <color indexed="64"/>
      </top>
      <bottom style="thin">
        <color indexed="8"/>
      </bottom>
      <diagonal/>
    </border>
    <border>
      <left style="thin">
        <color indexed="8"/>
      </left>
      <right style="thin">
        <color indexed="64"/>
      </right>
      <top style="thin">
        <color indexed="8"/>
      </top>
      <bottom/>
      <diagonal/>
    </border>
    <border>
      <left/>
      <right style="thin">
        <color indexed="8"/>
      </right>
      <top style="medium">
        <color indexed="64"/>
      </top>
      <bottom style="medium">
        <color indexed="64"/>
      </bottom>
      <diagonal/>
    </border>
    <border>
      <left style="thin">
        <color indexed="8"/>
      </left>
      <right style="thin">
        <color indexed="64"/>
      </right>
      <top style="medium">
        <color indexed="64"/>
      </top>
      <bottom style="medium">
        <color indexed="64"/>
      </bottom>
      <diagonal/>
    </border>
  </borders>
  <cellStyleXfs count="7">
    <xf numFmtId="0" fontId="0" fillId="0" borderId="0"/>
    <xf numFmtId="38" fontId="3" fillId="0" borderId="0" applyFont="0" applyFill="0" applyBorder="0" applyAlignment="0" applyProtection="0">
      <alignment vertical="center"/>
    </xf>
    <xf numFmtId="0" fontId="11" fillId="0" borderId="0"/>
    <xf numFmtId="38" fontId="11" fillId="0" borderId="0" applyFont="0" applyFill="0" applyBorder="0" applyAlignment="0" applyProtection="0"/>
    <xf numFmtId="9" fontId="11" fillId="0" borderId="0" applyFont="0" applyFill="0" applyBorder="0" applyAlignment="0" applyProtection="0"/>
    <xf numFmtId="0" fontId="21" fillId="0" borderId="0"/>
    <xf numFmtId="0" fontId="2" fillId="0" borderId="0">
      <alignment vertical="center"/>
    </xf>
  </cellStyleXfs>
  <cellXfs count="979">
    <xf numFmtId="0" fontId="0" fillId="0" borderId="0" xfId="0"/>
    <xf numFmtId="0" fontId="8" fillId="0" borderId="4" xfId="0" applyFont="1" applyBorder="1" applyAlignment="1">
      <alignment horizontal="center" vertical="center"/>
    </xf>
    <xf numFmtId="0" fontId="8" fillId="0" borderId="4" xfId="0" applyFont="1" applyBorder="1" applyAlignment="1">
      <alignment horizontal="center" vertical="center" shrinkToFit="1"/>
    </xf>
    <xf numFmtId="0" fontId="8" fillId="0" borderId="0" xfId="0" applyFont="1" applyFill="1" applyBorder="1" applyAlignment="1">
      <alignment vertical="center"/>
    </xf>
    <xf numFmtId="0" fontId="8" fillId="0" borderId="37" xfId="2" applyFont="1" applyBorder="1" applyAlignment="1">
      <alignment horizontal="center" vertical="center" shrinkToFit="1"/>
    </xf>
    <xf numFmtId="0" fontId="8" fillId="0" borderId="0" xfId="2" applyFont="1" applyAlignment="1">
      <alignment shrinkToFit="1"/>
    </xf>
    <xf numFmtId="0" fontId="8" fillId="2" borderId="43" xfId="2" applyFont="1" applyFill="1" applyBorder="1" applyAlignment="1">
      <alignment shrinkToFit="1"/>
    </xf>
    <xf numFmtId="0" fontId="8" fillId="0" borderId="43" xfId="2" applyFont="1" applyBorder="1" applyAlignment="1">
      <alignment vertical="center" shrinkToFit="1"/>
    </xf>
    <xf numFmtId="0" fontId="8" fillId="2" borderId="20" xfId="2" applyFont="1" applyFill="1" applyBorder="1" applyAlignment="1">
      <alignment shrinkToFit="1"/>
    </xf>
    <xf numFmtId="0" fontId="8" fillId="0" borderId="20" xfId="2" applyFont="1" applyBorder="1" applyAlignment="1">
      <alignment vertical="center" shrinkToFit="1"/>
    </xf>
    <xf numFmtId="38" fontId="8" fillId="0" borderId="20" xfId="3" applyFont="1" applyBorder="1" applyAlignment="1">
      <alignment horizontal="right" shrinkToFit="1"/>
    </xf>
    <xf numFmtId="0" fontId="8" fillId="0" borderId="20" xfId="2" applyFont="1" applyBorder="1" applyAlignment="1">
      <alignment shrinkToFit="1"/>
    </xf>
    <xf numFmtId="0" fontId="8" fillId="5" borderId="20" xfId="2" applyFont="1" applyFill="1" applyBorder="1" applyAlignment="1">
      <alignment shrinkToFit="1"/>
    </xf>
    <xf numFmtId="0" fontId="8" fillId="0" borderId="20" xfId="2" applyFont="1" applyBorder="1" applyAlignment="1">
      <alignment horizontal="right" shrinkToFit="1"/>
    </xf>
    <xf numFmtId="38" fontId="8" fillId="0" borderId="20" xfId="3" applyFont="1" applyBorder="1" applyAlignment="1">
      <alignment shrinkToFit="1"/>
    </xf>
    <xf numFmtId="0" fontId="8" fillId="0" borderId="29" xfId="2" applyFont="1" applyBorder="1" applyAlignment="1">
      <alignment vertical="center" shrinkToFit="1"/>
    </xf>
    <xf numFmtId="0" fontId="8" fillId="0" borderId="29" xfId="2" applyFont="1" applyBorder="1" applyAlignment="1">
      <alignment horizontal="right" shrinkToFit="1"/>
    </xf>
    <xf numFmtId="38" fontId="8" fillId="0" borderId="29" xfId="3" applyFont="1" applyBorder="1" applyAlignment="1">
      <alignment shrinkToFit="1"/>
    </xf>
    <xf numFmtId="0" fontId="8" fillId="4" borderId="20" xfId="2" applyFont="1" applyFill="1" applyBorder="1" applyAlignment="1">
      <alignment shrinkToFit="1"/>
    </xf>
    <xf numFmtId="0" fontId="8" fillId="0" borderId="16" xfId="2" applyFont="1" applyBorder="1" applyAlignment="1">
      <alignment vertical="center" shrinkToFit="1"/>
    </xf>
    <xf numFmtId="0" fontId="8" fillId="0" borderId="16" xfId="2" applyFont="1" applyBorder="1" applyAlignment="1">
      <alignment shrinkToFit="1"/>
    </xf>
    <xf numFmtId="0" fontId="29" fillId="0" borderId="0" xfId="2" applyFont="1" applyAlignment="1"/>
    <xf numFmtId="0" fontId="30" fillId="0" borderId="0" xfId="2" applyFont="1" applyAlignment="1"/>
    <xf numFmtId="0" fontId="8" fillId="0" borderId="0" xfId="2" applyFont="1"/>
    <xf numFmtId="0" fontId="24" fillId="0" borderId="0" xfId="2" applyFont="1" applyAlignment="1">
      <alignment horizontal="center"/>
    </xf>
    <xf numFmtId="0" fontId="31" fillId="0" borderId="0" xfId="2" applyFont="1" applyAlignment="1">
      <alignment horizontal="center"/>
    </xf>
    <xf numFmtId="0" fontId="31" fillId="0" borderId="0" xfId="2" applyFont="1"/>
    <xf numFmtId="0" fontId="21" fillId="0" borderId="0" xfId="2" applyFont="1" applyAlignment="1">
      <alignment horizontal="center" vertical="center"/>
    </xf>
    <xf numFmtId="0" fontId="30" fillId="0" borderId="0" xfId="2" applyFont="1"/>
    <xf numFmtId="38" fontId="21" fillId="0" borderId="37" xfId="3" applyFont="1" applyBorder="1" applyAlignment="1">
      <alignment horizontal="center" vertical="center"/>
    </xf>
    <xf numFmtId="0" fontId="21" fillId="0" borderId="37" xfId="2" applyFont="1" applyBorder="1" applyAlignment="1">
      <alignment horizontal="center" vertical="center"/>
    </xf>
    <xf numFmtId="38" fontId="21" fillId="0" borderId="0" xfId="3" applyFont="1" applyAlignment="1">
      <alignment horizontal="center" vertical="center"/>
    </xf>
    <xf numFmtId="38" fontId="21" fillId="0" borderId="84" xfId="3" applyFont="1" applyBorder="1"/>
    <xf numFmtId="38" fontId="21" fillId="0" borderId="37" xfId="3" applyFont="1" applyBorder="1"/>
    <xf numFmtId="38" fontId="21" fillId="0" borderId="65" xfId="3" applyFont="1" applyBorder="1"/>
    <xf numFmtId="38" fontId="21" fillId="0" borderId="0" xfId="3" applyFont="1"/>
    <xf numFmtId="0" fontId="8" fillId="0" borderId="0" xfId="2" applyFont="1" applyAlignment="1">
      <alignment horizontal="left"/>
    </xf>
    <xf numFmtId="38" fontId="21" fillId="0" borderId="83" xfId="3" applyFont="1" applyBorder="1"/>
    <xf numFmtId="38" fontId="21" fillId="0" borderId="82" xfId="3" applyFont="1" applyBorder="1"/>
    <xf numFmtId="38" fontId="21" fillId="0" borderId="81" xfId="3" applyFont="1" applyBorder="1"/>
    <xf numFmtId="0" fontId="29" fillId="0" borderId="78" xfId="2" applyFont="1" applyBorder="1" applyAlignment="1">
      <alignment horizontal="center" vertical="center" wrapText="1"/>
    </xf>
    <xf numFmtId="0" fontId="29" fillId="0" borderId="125" xfId="2" applyFont="1" applyBorder="1" applyAlignment="1">
      <alignment horizontal="center" vertical="center" wrapText="1"/>
    </xf>
    <xf numFmtId="0" fontId="25" fillId="0" borderId="128" xfId="2" applyFont="1" applyBorder="1" applyAlignment="1">
      <alignment horizontal="right" wrapText="1"/>
    </xf>
    <xf numFmtId="0" fontId="29" fillId="6" borderId="129" xfId="2" applyFont="1" applyFill="1" applyBorder="1" applyAlignment="1">
      <alignment horizontal="center" vertical="center" wrapText="1"/>
    </xf>
    <xf numFmtId="0" fontId="28" fillId="6" borderId="129" xfId="2" applyFont="1" applyFill="1" applyBorder="1" applyAlignment="1">
      <alignment horizontal="center" vertical="center" wrapText="1"/>
    </xf>
    <xf numFmtId="0" fontId="8" fillId="0" borderId="0" xfId="2" applyFont="1" applyAlignment="1">
      <alignment vertical="top"/>
    </xf>
    <xf numFmtId="0" fontId="8" fillId="0" borderId="0" xfId="2" applyFont="1" applyAlignment="1">
      <alignment vertical="center"/>
    </xf>
    <xf numFmtId="0" fontId="6" fillId="0" borderId="0" xfId="0" applyFont="1" applyAlignment="1">
      <alignment horizontal="left" vertical="center" shrinkToFit="1"/>
    </xf>
    <xf numFmtId="0" fontId="33" fillId="0" borderId="0" xfId="2" applyFont="1" applyAlignment="1">
      <alignment vertical="center"/>
    </xf>
    <xf numFmtId="0" fontId="8" fillId="0" borderId="42" xfId="2" applyFont="1" applyBorder="1" applyAlignment="1">
      <alignment vertical="center"/>
    </xf>
    <xf numFmtId="0" fontId="8" fillId="0" borderId="33" xfId="2" applyFont="1" applyBorder="1" applyAlignment="1">
      <alignment vertical="center"/>
    </xf>
    <xf numFmtId="0" fontId="8" fillId="0" borderId="32" xfId="2" applyFont="1" applyBorder="1" applyAlignment="1">
      <alignment vertical="center"/>
    </xf>
    <xf numFmtId="0" fontId="8" fillId="0" borderId="25" xfId="2" applyFont="1" applyBorder="1" applyAlignment="1">
      <alignment vertical="center"/>
    </xf>
    <xf numFmtId="38" fontId="6" fillId="0" borderId="24" xfId="3" applyFont="1" applyBorder="1" applyAlignment="1">
      <alignment vertical="center"/>
    </xf>
    <xf numFmtId="38" fontId="6" fillId="0" borderId="33" xfId="3" applyFont="1" applyBorder="1" applyAlignment="1">
      <alignment vertical="center"/>
    </xf>
    <xf numFmtId="0" fontId="8" fillId="0" borderId="71" xfId="2" applyFont="1" applyBorder="1" applyAlignment="1">
      <alignment vertical="center"/>
    </xf>
    <xf numFmtId="0" fontId="8" fillId="0" borderId="20" xfId="2" applyFont="1" applyBorder="1" applyAlignment="1">
      <alignment vertical="center"/>
    </xf>
    <xf numFmtId="0" fontId="8" fillId="0" borderId="33" xfId="2" applyFont="1" applyBorder="1" applyAlignment="1">
      <alignment horizontal="center" vertical="center"/>
    </xf>
    <xf numFmtId="0" fontId="8" fillId="0" borderId="32" xfId="2" applyFont="1" applyBorder="1" applyAlignment="1">
      <alignment horizontal="center" vertical="center" shrinkToFit="1"/>
    </xf>
    <xf numFmtId="0" fontId="8" fillId="0" borderId="31" xfId="2" applyFont="1" applyBorder="1" applyAlignment="1">
      <alignment vertical="center"/>
    </xf>
    <xf numFmtId="0" fontId="8" fillId="0" borderId="20" xfId="2" applyFont="1" applyBorder="1" applyAlignment="1">
      <alignment horizontal="center" vertical="center"/>
    </xf>
    <xf numFmtId="0" fontId="8" fillId="0" borderId="23" xfId="2" applyFont="1" applyBorder="1" applyAlignment="1">
      <alignment horizontal="center" vertical="center" shrinkToFit="1"/>
    </xf>
    <xf numFmtId="0" fontId="8" fillId="0" borderId="22" xfId="2" applyFont="1" applyBorder="1" applyAlignment="1">
      <alignment vertical="center"/>
    </xf>
    <xf numFmtId="9" fontId="6" fillId="0" borderId="27" xfId="4" applyFont="1" applyFill="1" applyBorder="1" applyAlignment="1">
      <alignment vertical="center"/>
    </xf>
    <xf numFmtId="9" fontId="6" fillId="3" borderId="27" xfId="4" applyFont="1" applyFill="1" applyBorder="1" applyAlignment="1">
      <alignment vertical="center"/>
    </xf>
    <xf numFmtId="9" fontId="6" fillId="0" borderId="26" xfId="4" applyFont="1" applyFill="1" applyBorder="1" applyAlignment="1">
      <alignment vertical="center"/>
    </xf>
    <xf numFmtId="9" fontId="6" fillId="0" borderId="24" xfId="4" applyNumberFormat="1" applyFont="1" applyBorder="1" applyAlignment="1">
      <alignment vertical="center"/>
    </xf>
    <xf numFmtId="38" fontId="6" fillId="0" borderId="21" xfId="3" applyFont="1" applyBorder="1" applyAlignment="1">
      <alignment vertical="center"/>
    </xf>
    <xf numFmtId="38" fontId="6" fillId="0" borderId="20" xfId="3" applyFont="1" applyBorder="1" applyAlignment="1">
      <alignment vertical="center"/>
    </xf>
    <xf numFmtId="38" fontId="6" fillId="0" borderId="22" xfId="3" applyFont="1" applyBorder="1" applyAlignment="1">
      <alignment vertical="center"/>
    </xf>
    <xf numFmtId="38" fontId="6" fillId="0" borderId="21" xfId="3" applyFont="1" applyBorder="1" applyAlignment="1">
      <alignment horizontal="right" vertical="center"/>
    </xf>
    <xf numFmtId="38" fontId="6" fillId="0" borderId="20" xfId="3" applyFont="1" applyBorder="1" applyAlignment="1">
      <alignment horizontal="right" vertical="center"/>
    </xf>
    <xf numFmtId="0" fontId="8" fillId="0" borderId="20" xfId="2" applyFont="1" applyBorder="1" applyAlignment="1">
      <alignment vertical="center" wrapText="1"/>
    </xf>
    <xf numFmtId="0" fontId="8" fillId="0" borderId="23" xfId="2" applyFont="1" applyBorder="1" applyAlignment="1">
      <alignment vertical="center"/>
    </xf>
    <xf numFmtId="9" fontId="8" fillId="0" borderId="22" xfId="2" applyNumberFormat="1" applyFont="1" applyBorder="1" applyAlignment="1">
      <alignment horizontal="center" vertical="center"/>
    </xf>
    <xf numFmtId="38" fontId="6" fillId="0" borderId="21" xfId="3" quotePrefix="1" applyFont="1" applyBorder="1" applyAlignment="1">
      <alignment horizontal="center" vertical="center"/>
    </xf>
    <xf numFmtId="38" fontId="6" fillId="0" borderId="20" xfId="3" quotePrefix="1" applyFont="1" applyBorder="1" applyAlignment="1">
      <alignment horizontal="center" vertical="center"/>
    </xf>
    <xf numFmtId="0" fontId="8" fillId="0" borderId="16" xfId="2" applyFont="1" applyBorder="1" applyAlignment="1">
      <alignment vertical="center"/>
    </xf>
    <xf numFmtId="0" fontId="8" fillId="0" borderId="19" xfId="2" applyFont="1" applyBorder="1" applyAlignment="1">
      <alignment vertical="center"/>
    </xf>
    <xf numFmtId="38" fontId="6" fillId="0" borderId="18" xfId="3" applyFont="1" applyBorder="1" applyAlignment="1">
      <alignment vertical="center"/>
    </xf>
    <xf numFmtId="0" fontId="8" fillId="0" borderId="18" xfId="2" applyFont="1" applyBorder="1" applyAlignment="1">
      <alignment vertical="center"/>
    </xf>
    <xf numFmtId="38" fontId="6" fillId="0" borderId="17" xfId="3" applyFont="1" applyBorder="1" applyAlignment="1">
      <alignment vertical="center"/>
    </xf>
    <xf numFmtId="38" fontId="6" fillId="0" borderId="16" xfId="3" applyFont="1" applyBorder="1" applyAlignment="1">
      <alignment vertical="center"/>
    </xf>
    <xf numFmtId="0" fontId="8" fillId="0" borderId="40" xfId="2" applyFont="1" applyBorder="1" applyAlignment="1">
      <alignment horizontal="center" vertical="center" shrinkToFit="1"/>
    </xf>
    <xf numFmtId="0" fontId="8" fillId="0" borderId="35" xfId="2" applyFont="1" applyBorder="1" applyAlignment="1">
      <alignment horizontal="center" vertical="center" shrinkToFit="1"/>
    </xf>
    <xf numFmtId="0" fontId="8" fillId="0" borderId="9" xfId="2" applyFont="1" applyBorder="1" applyAlignment="1">
      <alignment horizontal="center" vertical="center" shrinkToFit="1"/>
    </xf>
    <xf numFmtId="38" fontId="6" fillId="0" borderId="21" xfId="3" applyFont="1" applyBorder="1" applyAlignment="1">
      <alignment horizontal="right" vertical="center" shrinkToFit="1"/>
    </xf>
    <xf numFmtId="0" fontId="8" fillId="0" borderId="0" xfId="0" applyFont="1" applyAlignment="1">
      <alignment vertical="center"/>
    </xf>
    <xf numFmtId="49" fontId="8" fillId="0" borderId="0" xfId="0" applyNumberFormat="1" applyFont="1" applyAlignment="1">
      <alignment vertical="center"/>
    </xf>
    <xf numFmtId="164" fontId="8" fillId="0" borderId="0" xfId="0" applyNumberFormat="1" applyFont="1" applyAlignment="1">
      <alignment vertical="center"/>
    </xf>
    <xf numFmtId="0" fontId="32" fillId="0" borderId="0" xfId="0" applyFont="1" applyAlignment="1">
      <alignment vertical="center"/>
    </xf>
    <xf numFmtId="0" fontId="36" fillId="0" borderId="0" xfId="0" applyFont="1" applyAlignment="1">
      <alignment vertical="center"/>
    </xf>
    <xf numFmtId="0" fontId="8" fillId="0" borderId="0" xfId="0" applyFont="1" applyAlignment="1">
      <alignment vertical="top" wrapText="1"/>
    </xf>
    <xf numFmtId="0" fontId="32" fillId="0" borderId="0" xfId="0" applyFont="1" applyAlignment="1">
      <alignment vertical="center" shrinkToFit="1"/>
    </xf>
    <xf numFmtId="0" fontId="8" fillId="0" borderId="0" xfId="0" applyFont="1" applyBorder="1" applyAlignment="1">
      <alignment vertical="center"/>
    </xf>
    <xf numFmtId="0" fontId="8" fillId="0" borderId="1" xfId="0" applyFont="1" applyBorder="1" applyAlignment="1">
      <alignment vertical="center"/>
    </xf>
    <xf numFmtId="3" fontId="8" fillId="0" borderId="0" xfId="0" applyNumberFormat="1" applyFont="1" applyAlignment="1">
      <alignment vertical="center" shrinkToFit="1"/>
    </xf>
    <xf numFmtId="0" fontId="8" fillId="0" borderId="3" xfId="0" applyFont="1" applyBorder="1" applyAlignment="1">
      <alignment vertical="center"/>
    </xf>
    <xf numFmtId="0" fontId="8" fillId="0" borderId="123" xfId="0" applyFont="1" applyBorder="1" applyAlignment="1">
      <alignment horizontal="left" vertical="top" wrapText="1"/>
    </xf>
    <xf numFmtId="0" fontId="8" fillId="0" borderId="123" xfId="0" applyFont="1" applyBorder="1" applyAlignment="1">
      <alignment horizontal="left" vertical="top"/>
    </xf>
    <xf numFmtId="0" fontId="8" fillId="0" borderId="3" xfId="0" applyFont="1" applyBorder="1" applyAlignment="1">
      <alignment horizontal="left" vertical="top" wrapText="1"/>
    </xf>
    <xf numFmtId="0" fontId="8" fillId="0" borderId="3" xfId="0" applyFont="1" applyBorder="1" applyAlignment="1">
      <alignment horizontal="left" vertical="top"/>
    </xf>
    <xf numFmtId="0" fontId="8" fillId="7" borderId="20" xfId="2" applyFont="1" applyFill="1" applyBorder="1" applyAlignment="1">
      <alignment shrinkToFit="1"/>
    </xf>
    <xf numFmtId="40" fontId="8" fillId="0" borderId="43" xfId="3" applyNumberFormat="1" applyFont="1" applyBorder="1" applyAlignment="1">
      <alignment horizontal="right" shrinkToFit="1"/>
    </xf>
    <xf numFmtId="40" fontId="8" fillId="0" borderId="20" xfId="3" applyNumberFormat="1" applyFont="1" applyBorder="1" applyAlignment="1">
      <alignment horizontal="right" shrinkToFit="1"/>
    </xf>
    <xf numFmtId="40" fontId="8" fillId="0" borderId="20" xfId="2" applyNumberFormat="1" applyFont="1" applyBorder="1" applyAlignment="1">
      <alignment horizontal="right" shrinkToFit="1"/>
    </xf>
    <xf numFmtId="40" fontId="8" fillId="0" borderId="20" xfId="3" applyNumberFormat="1" applyFont="1" applyBorder="1" applyAlignment="1">
      <alignment shrinkToFit="1"/>
    </xf>
    <xf numFmtId="40" fontId="8" fillId="0" borderId="29" xfId="3" applyNumberFormat="1" applyFont="1" applyBorder="1" applyAlignment="1">
      <alignment shrinkToFit="1"/>
    </xf>
    <xf numFmtId="0" fontId="8" fillId="0" borderId="123" xfId="0" applyFont="1" applyBorder="1" applyAlignment="1">
      <alignment horizontal="left" vertical="top" shrinkToFit="1"/>
    </xf>
    <xf numFmtId="0" fontId="25" fillId="0" borderId="0" xfId="0" applyFont="1" applyAlignment="1">
      <alignment horizontal="left" vertical="top"/>
    </xf>
    <xf numFmtId="0" fontId="25" fillId="0" borderId="0" xfId="0" applyNumberFormat="1" applyFont="1" applyAlignment="1">
      <alignment horizontal="center" vertical="center"/>
    </xf>
    <xf numFmtId="49" fontId="25" fillId="0" borderId="0" xfId="0" applyNumberFormat="1" applyFont="1" applyAlignment="1">
      <alignment vertical="center"/>
    </xf>
    <xf numFmtId="0" fontId="25" fillId="0" borderId="0" xfId="0" applyFont="1" applyAlignment="1">
      <alignment vertical="center"/>
    </xf>
    <xf numFmtId="0" fontId="25" fillId="0" borderId="0" xfId="0" applyNumberFormat="1" applyFont="1" applyAlignment="1">
      <alignment vertical="center"/>
    </xf>
    <xf numFmtId="165" fontId="26" fillId="0" borderId="0" xfId="0" applyNumberFormat="1" applyFont="1" applyAlignment="1">
      <alignment vertical="center"/>
    </xf>
    <xf numFmtId="49" fontId="26" fillId="0" borderId="0" xfId="0" applyNumberFormat="1" applyFont="1" applyAlignment="1">
      <alignment vertical="center"/>
    </xf>
    <xf numFmtId="0" fontId="25" fillId="0" borderId="0" xfId="0" applyFont="1" applyAlignment="1">
      <alignment horizontal="right" vertical="center"/>
    </xf>
    <xf numFmtId="0" fontId="26" fillId="0" borderId="0" xfId="0" applyFont="1" applyAlignment="1">
      <alignment vertical="center"/>
    </xf>
    <xf numFmtId="0" fontId="41" fillId="0" borderId="0" xfId="0" applyFont="1" applyAlignment="1">
      <alignment vertical="center"/>
    </xf>
    <xf numFmtId="0" fontId="43" fillId="0" borderId="0" xfId="0" applyFont="1" applyAlignment="1">
      <alignment vertical="center"/>
    </xf>
    <xf numFmtId="3" fontId="25" fillId="0" borderId="0" xfId="0" applyNumberFormat="1" applyFont="1" applyAlignment="1">
      <alignment vertical="top"/>
    </xf>
    <xf numFmtId="3" fontId="25" fillId="0" borderId="0" xfId="0" applyNumberFormat="1" applyFont="1" applyAlignment="1">
      <alignment vertical="top" shrinkToFit="1"/>
    </xf>
    <xf numFmtId="3" fontId="25" fillId="0" borderId="0" xfId="0" applyNumberFormat="1" applyFont="1" applyAlignment="1">
      <alignment horizontal="left" vertical="top"/>
    </xf>
    <xf numFmtId="3" fontId="25" fillId="0" borderId="0" xfId="0" applyNumberFormat="1" applyFont="1" applyAlignment="1">
      <alignment vertical="top" wrapText="1"/>
    </xf>
    <xf numFmtId="0" fontId="25" fillId="0" borderId="0" xfId="0" applyNumberFormat="1" applyFont="1" applyAlignment="1">
      <alignment vertical="top"/>
    </xf>
    <xf numFmtId="0" fontId="25" fillId="0" borderId="0" xfId="0" applyNumberFormat="1" applyFont="1" applyAlignment="1">
      <alignment horizontal="left" vertical="center"/>
    </xf>
    <xf numFmtId="0" fontId="25" fillId="0" borderId="0" xfId="0" applyFont="1" applyAlignment="1">
      <alignment vertical="top"/>
    </xf>
    <xf numFmtId="0" fontId="25" fillId="0" borderId="0" xfId="0" applyFont="1" applyAlignment="1">
      <alignment vertical="top" wrapText="1"/>
    </xf>
    <xf numFmtId="0" fontId="25" fillId="0" borderId="0" xfId="0" applyFont="1" applyBorder="1" applyAlignment="1">
      <alignment vertical="center"/>
    </xf>
    <xf numFmtId="0" fontId="25" fillId="0" borderId="0" xfId="0" applyFont="1" applyBorder="1" applyAlignment="1">
      <alignment horizontal="right" vertical="center"/>
    </xf>
    <xf numFmtId="0" fontId="25" fillId="0" borderId="3" xfId="0" applyFont="1" applyBorder="1" applyAlignment="1">
      <alignment vertical="center"/>
    </xf>
    <xf numFmtId="0" fontId="8" fillId="0" borderId="0" xfId="0" applyNumberFormat="1" applyFont="1" applyAlignment="1">
      <alignment horizontal="left" vertical="center"/>
    </xf>
    <xf numFmtId="0" fontId="8" fillId="0" borderId="0" xfId="0" applyNumberFormat="1" applyFont="1" applyAlignment="1">
      <alignment horizontal="center" vertical="center"/>
    </xf>
    <xf numFmtId="0" fontId="8" fillId="0" borderId="0" xfId="0" applyNumberFormat="1" applyFont="1" applyAlignment="1">
      <alignment vertical="center"/>
    </xf>
    <xf numFmtId="0" fontId="8" fillId="0" borderId="0" xfId="0" applyNumberFormat="1" applyFont="1" applyAlignment="1">
      <alignment horizontal="right" vertical="center"/>
    </xf>
    <xf numFmtId="0" fontId="8" fillId="0" borderId="0" xfId="0" applyNumberFormat="1" applyFont="1" applyAlignment="1">
      <alignment horizontal="right" vertical="center" wrapText="1"/>
    </xf>
    <xf numFmtId="0" fontId="32" fillId="0" borderId="0" xfId="0" applyNumberFormat="1" applyFont="1" applyAlignment="1">
      <alignment horizontal="left" vertical="center"/>
    </xf>
    <xf numFmtId="49" fontId="32" fillId="0" borderId="0" xfId="0" applyNumberFormat="1" applyFont="1" applyAlignment="1">
      <alignment horizontal="left" vertical="center"/>
    </xf>
    <xf numFmtId="0" fontId="8" fillId="0" borderId="4" xfId="0" applyFont="1" applyBorder="1" applyAlignment="1">
      <alignment vertical="center" shrinkToFit="1"/>
    </xf>
    <xf numFmtId="0" fontId="8" fillId="0" borderId="0" xfId="0" applyFont="1" applyBorder="1" applyAlignment="1">
      <alignment vertical="center" shrinkToFit="1"/>
    </xf>
    <xf numFmtId="0" fontId="8" fillId="2" borderId="5" xfId="0" applyFont="1" applyFill="1" applyBorder="1"/>
    <xf numFmtId="0" fontId="8" fillId="0" borderId="5" xfId="0" applyFont="1" applyBorder="1" applyAlignment="1">
      <alignment horizontal="center"/>
    </xf>
    <xf numFmtId="0" fontId="8" fillId="0" borderId="5" xfId="1" applyNumberFormat="1" applyFont="1" applyBorder="1" applyAlignment="1">
      <alignment horizontal="right"/>
    </xf>
    <xf numFmtId="0" fontId="8" fillId="0" borderId="59" xfId="0" applyFont="1" applyBorder="1" applyAlignment="1">
      <alignment vertical="center"/>
    </xf>
    <xf numFmtId="0" fontId="8" fillId="2" borderId="6" xfId="0" applyFont="1" applyFill="1" applyBorder="1"/>
    <xf numFmtId="0" fontId="8" fillId="0" borderId="6" xfId="0" applyFont="1" applyBorder="1" applyAlignment="1">
      <alignment horizontal="center"/>
    </xf>
    <xf numFmtId="0" fontId="8" fillId="0" borderId="6" xfId="1" applyNumberFormat="1" applyFont="1" applyBorder="1" applyAlignment="1">
      <alignment horizontal="right"/>
    </xf>
    <xf numFmtId="0" fontId="8" fillId="0" borderId="6" xfId="0" applyFont="1" applyBorder="1" applyAlignment="1">
      <alignment vertical="center"/>
    </xf>
    <xf numFmtId="0" fontId="8" fillId="2" borderId="7" xfId="0" applyFont="1" applyFill="1" applyBorder="1"/>
    <xf numFmtId="0" fontId="8" fillId="0" borderId="7" xfId="0" applyFont="1" applyBorder="1" applyAlignment="1">
      <alignment horizontal="center"/>
    </xf>
    <xf numFmtId="0" fontId="8" fillId="0" borderId="7" xfId="1" applyNumberFormat="1" applyFont="1" applyBorder="1" applyAlignment="1">
      <alignment horizontal="right"/>
    </xf>
    <xf numFmtId="0" fontId="8" fillId="0" borderId="7" xfId="0" applyFont="1" applyBorder="1" applyAlignment="1">
      <alignment vertical="center"/>
    </xf>
    <xf numFmtId="49" fontId="32" fillId="0" borderId="0" xfId="0" applyNumberFormat="1" applyFont="1" applyAlignment="1">
      <alignment vertical="center"/>
    </xf>
    <xf numFmtId="38" fontId="8" fillId="0" borderId="0" xfId="0" quotePrefix="1" applyNumberFormat="1" applyFont="1" applyAlignment="1">
      <alignment vertical="center"/>
    </xf>
    <xf numFmtId="176" fontId="8" fillId="0" borderId="0" xfId="0" applyNumberFormat="1" applyFont="1" applyAlignment="1">
      <alignment vertical="center"/>
    </xf>
    <xf numFmtId="0" fontId="8" fillId="2" borderId="63" xfId="0" applyFont="1" applyFill="1" applyBorder="1" applyAlignment="1">
      <alignment vertical="center"/>
    </xf>
    <xf numFmtId="0" fontId="8" fillId="2" borderId="34" xfId="0" applyFont="1" applyFill="1" applyBorder="1" applyAlignment="1">
      <alignment vertical="center"/>
    </xf>
    <xf numFmtId="0" fontId="8" fillId="2" borderId="0" xfId="0" applyFont="1" applyFill="1" applyAlignment="1">
      <alignment shrinkToFit="1"/>
    </xf>
    <xf numFmtId="0" fontId="8" fillId="0" borderId="37" xfId="0" applyFont="1" applyBorder="1" applyAlignment="1">
      <alignment vertical="center"/>
    </xf>
    <xf numFmtId="0" fontId="8" fillId="0" borderId="0" xfId="0" applyFont="1" applyFill="1" applyBorder="1" applyAlignment="1">
      <alignment vertical="center" shrinkToFit="1"/>
    </xf>
    <xf numFmtId="0" fontId="8" fillId="0" borderId="0" xfId="0" applyFont="1" applyFill="1" applyBorder="1" applyAlignment="1">
      <alignment horizontal="center" vertical="center"/>
    </xf>
    <xf numFmtId="0" fontId="44" fillId="0" borderId="0" xfId="0" applyFont="1"/>
    <xf numFmtId="0" fontId="37" fillId="0" borderId="0" xfId="0" applyFont="1" applyAlignment="1">
      <alignment vertical="center"/>
    </xf>
    <xf numFmtId="0" fontId="38" fillId="0" borderId="0" xfId="0" applyFont="1" applyBorder="1" applyAlignment="1">
      <alignment vertical="center"/>
    </xf>
    <xf numFmtId="0" fontId="38" fillId="0" borderId="0" xfId="0" applyFont="1" applyAlignment="1">
      <alignment vertical="center"/>
    </xf>
    <xf numFmtId="0" fontId="8" fillId="0" borderId="34" xfId="2" applyFont="1" applyBorder="1" applyAlignment="1">
      <alignment horizontal="center" vertical="center" shrinkToFit="1"/>
    </xf>
    <xf numFmtId="0" fontId="8" fillId="0" borderId="39" xfId="2" applyFont="1" applyBorder="1" applyAlignment="1">
      <alignment horizontal="center" vertical="center" shrinkToFit="1"/>
    </xf>
    <xf numFmtId="0" fontId="8" fillId="0" borderId="38" xfId="2" applyFont="1" applyBorder="1" applyAlignment="1">
      <alignment horizontal="center" vertical="center" shrinkToFit="1"/>
    </xf>
    <xf numFmtId="0" fontId="6" fillId="0" borderId="0" xfId="0" applyFont="1"/>
    <xf numFmtId="0" fontId="33" fillId="0" borderId="0" xfId="0" applyFont="1"/>
    <xf numFmtId="0" fontId="6" fillId="0" borderId="40" xfId="0" applyFont="1" applyBorder="1" applyAlignment="1">
      <alignment horizontal="center" wrapText="1"/>
    </xf>
    <xf numFmtId="0" fontId="6" fillId="0" borderId="38" xfId="0" applyFont="1" applyBorder="1" applyAlignment="1">
      <alignment horizontal="center" shrinkToFit="1"/>
    </xf>
    <xf numFmtId="0" fontId="6" fillId="0" borderId="37" xfId="0" applyFont="1" applyBorder="1" applyAlignment="1">
      <alignment horizontal="center" shrinkToFit="1"/>
    </xf>
    <xf numFmtId="0" fontId="6" fillId="0" borderId="39" xfId="0" applyFont="1" applyBorder="1" applyAlignment="1">
      <alignment horizontal="center" shrinkToFit="1"/>
    </xf>
    <xf numFmtId="0" fontId="6" fillId="0" borderId="35" xfId="0" applyFont="1" applyBorder="1" applyAlignment="1">
      <alignment horizontal="center"/>
    </xf>
    <xf numFmtId="0" fontId="6" fillId="0" borderId="9" xfId="0" applyFont="1" applyBorder="1" applyAlignment="1">
      <alignment horizontal="center" shrinkToFit="1"/>
    </xf>
    <xf numFmtId="0" fontId="6" fillId="0" borderId="34" xfId="0" applyFont="1" applyBorder="1" applyAlignment="1">
      <alignment horizontal="center" shrinkToFit="1"/>
    </xf>
    <xf numFmtId="0" fontId="6" fillId="0" borderId="33" xfId="0" applyFont="1" applyBorder="1"/>
    <xf numFmtId="0" fontId="6" fillId="0" borderId="32" xfId="0" applyFont="1" applyBorder="1"/>
    <xf numFmtId="0" fontId="6" fillId="0" borderId="25" xfId="0" applyFont="1" applyBorder="1"/>
    <xf numFmtId="38" fontId="6" fillId="0" borderId="24" xfId="3" applyFont="1" applyBorder="1"/>
    <xf numFmtId="38" fontId="6" fillId="0" borderId="33" xfId="3" applyFont="1" applyBorder="1"/>
    <xf numFmtId="0" fontId="6" fillId="0" borderId="20" xfId="0" applyFont="1" applyBorder="1"/>
    <xf numFmtId="0" fontId="6" fillId="0" borderId="33" xfId="0" applyFont="1" applyBorder="1" applyAlignment="1">
      <alignment horizontal="center"/>
    </xf>
    <xf numFmtId="0" fontId="6" fillId="0" borderId="32" xfId="0" applyFont="1" applyBorder="1" applyAlignment="1">
      <alignment horizontal="center"/>
    </xf>
    <xf numFmtId="0" fontId="6" fillId="0" borderId="31" xfId="0" applyFont="1" applyBorder="1"/>
    <xf numFmtId="38" fontId="6" fillId="0" borderId="30" xfId="3" applyFont="1" applyBorder="1"/>
    <xf numFmtId="38" fontId="6" fillId="0" borderId="29" xfId="3" applyFont="1" applyBorder="1"/>
    <xf numFmtId="0" fontId="6" fillId="0" borderId="20" xfId="0" applyFont="1" applyBorder="1" applyAlignment="1">
      <alignment horizontal="center"/>
    </xf>
    <xf numFmtId="0" fontId="6" fillId="0" borderId="23" xfId="0" applyFont="1" applyBorder="1" applyAlignment="1">
      <alignment horizontal="center"/>
    </xf>
    <xf numFmtId="0" fontId="6" fillId="0" borderId="22" xfId="0" applyFont="1" applyBorder="1"/>
    <xf numFmtId="38" fontId="6" fillId="3" borderId="28" xfId="3" applyFont="1" applyFill="1" applyBorder="1"/>
    <xf numFmtId="9" fontId="6" fillId="0" borderId="27" xfId="4" applyFont="1" applyFill="1" applyBorder="1"/>
    <xf numFmtId="9" fontId="6" fillId="3" borderId="27" xfId="4" applyFont="1" applyFill="1" applyBorder="1"/>
    <xf numFmtId="9" fontId="6" fillId="0" borderId="26" xfId="4" applyFont="1" applyFill="1" applyBorder="1"/>
    <xf numFmtId="38" fontId="6" fillId="0" borderId="25" xfId="3" applyFont="1" applyBorder="1"/>
    <xf numFmtId="9" fontId="6" fillId="0" borderId="24" xfId="4" applyNumberFormat="1" applyFont="1" applyBorder="1"/>
    <xf numFmtId="38" fontId="6" fillId="0" borderId="21" xfId="3" applyFont="1" applyBorder="1"/>
    <xf numFmtId="38" fontId="6" fillId="0" borderId="20" xfId="3" applyFont="1" applyBorder="1"/>
    <xf numFmtId="38" fontId="6" fillId="0" borderId="22" xfId="3" applyFont="1" applyBorder="1"/>
    <xf numFmtId="38" fontId="6" fillId="0" borderId="21" xfId="3" applyFont="1" applyBorder="1" applyAlignment="1">
      <alignment horizontal="right"/>
    </xf>
    <xf numFmtId="38" fontId="6" fillId="0" borderId="20" xfId="3" applyFont="1" applyBorder="1" applyAlignment="1">
      <alignment horizontal="right"/>
    </xf>
    <xf numFmtId="0" fontId="6" fillId="0" borderId="23" xfId="0" applyFont="1" applyBorder="1"/>
    <xf numFmtId="9" fontId="6" fillId="0" borderId="22" xfId="0" applyNumberFormat="1" applyFont="1" applyBorder="1" applyAlignment="1">
      <alignment horizontal="center"/>
    </xf>
    <xf numFmtId="38" fontId="6" fillId="0" borderId="21" xfId="3" quotePrefix="1" applyFont="1" applyBorder="1" applyAlignment="1">
      <alignment horizontal="center"/>
    </xf>
    <xf numFmtId="38" fontId="6" fillId="0" borderId="20" xfId="3" quotePrefix="1" applyFont="1" applyBorder="1" applyAlignment="1">
      <alignment horizontal="center"/>
    </xf>
    <xf numFmtId="0" fontId="6" fillId="0" borderId="16" xfId="0" applyFont="1" applyBorder="1"/>
    <xf numFmtId="0" fontId="6" fillId="0" borderId="19" xfId="0" applyFont="1" applyBorder="1"/>
    <xf numFmtId="38" fontId="6" fillId="0" borderId="18" xfId="3" applyFont="1" applyBorder="1"/>
    <xf numFmtId="0" fontId="6" fillId="0" borderId="18" xfId="0" applyFont="1" applyBorder="1"/>
    <xf numFmtId="38" fontId="6" fillId="0" borderId="17" xfId="3" applyFont="1" applyBorder="1"/>
    <xf numFmtId="38" fontId="6" fillId="0" borderId="16" xfId="3" applyFont="1" applyBorder="1"/>
    <xf numFmtId="0" fontId="47" fillId="0" borderId="0" xfId="2" applyFont="1" applyAlignment="1">
      <alignment horizontal="right" vertical="center"/>
    </xf>
    <xf numFmtId="0" fontId="47" fillId="0" borderId="0" xfId="2" applyFont="1" applyAlignment="1">
      <alignment horizontal="left" vertical="center"/>
    </xf>
    <xf numFmtId="0" fontId="47" fillId="0" borderId="0" xfId="2" applyFont="1" applyAlignment="1">
      <alignment vertical="center"/>
    </xf>
    <xf numFmtId="38" fontId="7" fillId="3" borderId="28" xfId="3" applyFont="1" applyFill="1" applyBorder="1" applyAlignment="1">
      <alignment vertical="center"/>
    </xf>
    <xf numFmtId="38" fontId="7" fillId="0" borderId="136" xfId="3" applyFont="1" applyFill="1" applyBorder="1" applyAlignment="1">
      <alignment vertical="center"/>
    </xf>
    <xf numFmtId="38" fontId="7" fillId="0" borderId="22" xfId="3" applyFont="1" applyBorder="1" applyAlignment="1">
      <alignment vertical="center"/>
    </xf>
    <xf numFmtId="38" fontId="7" fillId="0" borderId="30" xfId="3" applyFont="1" applyBorder="1" applyAlignment="1">
      <alignment vertical="center"/>
    </xf>
    <xf numFmtId="38" fontId="7" fillId="0" borderId="21" xfId="3" applyFont="1" applyBorder="1" applyAlignment="1">
      <alignment horizontal="right" vertical="center"/>
    </xf>
    <xf numFmtId="38" fontId="7" fillId="0" borderId="20" xfId="3" applyFont="1" applyBorder="1" applyAlignment="1">
      <alignment horizontal="right" vertical="center"/>
    </xf>
    <xf numFmtId="0" fontId="49" fillId="0" borderId="0" xfId="2" applyFont="1" applyFill="1" applyAlignment="1">
      <alignment vertical="center"/>
    </xf>
    <xf numFmtId="0" fontId="49" fillId="0" borderId="0" xfId="0" applyFont="1"/>
    <xf numFmtId="0" fontId="52" fillId="0" borderId="0" xfId="2" applyFont="1" applyFill="1" applyAlignment="1">
      <alignment vertical="center"/>
    </xf>
    <xf numFmtId="0" fontId="54" fillId="0" borderId="0" xfId="2" applyFont="1" applyFill="1" applyAlignment="1">
      <alignment vertical="center"/>
    </xf>
    <xf numFmtId="0" fontId="52" fillId="0" borderId="0" xfId="0" applyFont="1"/>
    <xf numFmtId="0" fontId="54" fillId="0" borderId="0" xfId="0" applyFont="1" applyAlignment="1"/>
    <xf numFmtId="0" fontId="49" fillId="0" borderId="0" xfId="2" applyFont="1" applyFill="1" applyAlignment="1">
      <alignment horizontal="centerContinuous" vertical="center"/>
    </xf>
    <xf numFmtId="0" fontId="49" fillId="0" borderId="0" xfId="0" applyFont="1" applyAlignment="1">
      <alignment horizontal="centerContinuous"/>
    </xf>
    <xf numFmtId="0" fontId="49" fillId="0" borderId="3" xfId="0" applyFont="1" applyBorder="1"/>
    <xf numFmtId="0" fontId="54" fillId="0" borderId="0" xfId="0" applyFont="1"/>
    <xf numFmtId="0" fontId="49" fillId="0" borderId="0" xfId="0" applyFont="1" applyAlignment="1">
      <alignment vertical="top"/>
    </xf>
    <xf numFmtId="0" fontId="54" fillId="0" borderId="0" xfId="0" applyFont="1" applyAlignment="1">
      <alignment vertical="center"/>
    </xf>
    <xf numFmtId="0" fontId="51" fillId="0" borderId="0" xfId="2" applyFont="1" applyFill="1" applyAlignment="1"/>
    <xf numFmtId="0" fontId="49" fillId="0" borderId="0" xfId="2" applyFont="1" applyFill="1"/>
    <xf numFmtId="0" fontId="49" fillId="0" borderId="95" xfId="2" applyFont="1" applyFill="1" applyBorder="1" applyAlignment="1">
      <alignment vertical="center" shrinkToFit="1"/>
    </xf>
    <xf numFmtId="0" fontId="57" fillId="0" borderId="0" xfId="2" applyFont="1" applyFill="1"/>
    <xf numFmtId="0" fontId="49" fillId="0" borderId="95" xfId="0" applyFont="1" applyBorder="1" applyAlignment="1">
      <alignment shrinkToFit="1"/>
    </xf>
    <xf numFmtId="0" fontId="49" fillId="0" borderId="95" xfId="2" applyFont="1" applyFill="1" applyBorder="1" applyAlignment="1">
      <alignment vertical="center"/>
    </xf>
    <xf numFmtId="0" fontId="49" fillId="0" borderId="95" xfId="0" applyFont="1" applyBorder="1"/>
    <xf numFmtId="172" fontId="49" fillId="0" borderId="3" xfId="2" applyNumberFormat="1" applyFont="1" applyFill="1" applyBorder="1" applyAlignment="1">
      <alignment vertical="center"/>
    </xf>
    <xf numFmtId="171" fontId="49" fillId="0" borderId="3" xfId="2" applyNumberFormat="1" applyFont="1" applyFill="1" applyBorder="1" applyAlignment="1">
      <alignment vertical="center"/>
    </xf>
    <xf numFmtId="0" fontId="49" fillId="0" borderId="3" xfId="2" applyFont="1" applyFill="1" applyBorder="1" applyAlignment="1">
      <alignment vertical="center"/>
    </xf>
    <xf numFmtId="0" fontId="49" fillId="0" borderId="0" xfId="2" applyFont="1" applyFill="1" applyBorder="1" applyAlignment="1">
      <alignment vertical="center"/>
    </xf>
    <xf numFmtId="38" fontId="54" fillId="0" borderId="37" xfId="3" applyFont="1" applyFill="1" applyBorder="1" applyAlignment="1">
      <alignment horizontal="center" vertical="center"/>
    </xf>
    <xf numFmtId="0" fontId="54" fillId="0" borderId="37" xfId="2" applyFont="1" applyFill="1" applyBorder="1" applyAlignment="1">
      <alignment horizontal="center" vertical="center"/>
    </xf>
    <xf numFmtId="172" fontId="49" fillId="0" borderId="3" xfId="0" applyNumberFormat="1" applyFont="1" applyBorder="1" applyAlignment="1"/>
    <xf numFmtId="171" fontId="49" fillId="0" borderId="3" xfId="0" applyNumberFormat="1" applyFont="1" applyBorder="1" applyAlignment="1"/>
    <xf numFmtId="0" fontId="49" fillId="0" borderId="0" xfId="0" applyFont="1" applyBorder="1"/>
    <xf numFmtId="0" fontId="49" fillId="0" borderId="99" xfId="2" applyFont="1" applyFill="1" applyBorder="1" applyAlignment="1">
      <alignment horizontal="centerContinuous" vertical="center"/>
    </xf>
    <xf numFmtId="0" fontId="49" fillId="0" borderId="80" xfId="2" applyFont="1" applyFill="1" applyBorder="1" applyAlignment="1">
      <alignment horizontal="centerContinuous" vertical="center"/>
    </xf>
    <xf numFmtId="0" fontId="49" fillId="0" borderId="37" xfId="2" applyFont="1" applyFill="1" applyBorder="1" applyAlignment="1">
      <alignment horizontal="center" vertical="center"/>
    </xf>
    <xf numFmtId="0" fontId="49" fillId="0" borderId="37" xfId="2" applyFont="1" applyFill="1" applyBorder="1" applyAlignment="1">
      <alignment horizontal="centerContinuous" vertical="center"/>
    </xf>
    <xf numFmtId="0" fontId="49" fillId="0" borderId="86" xfId="2" applyFont="1" applyFill="1" applyBorder="1" applyAlignment="1">
      <alignment horizontal="centerContinuous" vertical="center" shrinkToFit="1"/>
    </xf>
    <xf numFmtId="0" fontId="49" fillId="0" borderId="80" xfId="2" applyFont="1" applyFill="1" applyBorder="1" applyAlignment="1">
      <alignment horizontal="centerContinuous" vertical="center" shrinkToFit="1"/>
    </xf>
    <xf numFmtId="38" fontId="54" fillId="0" borderId="84" xfId="3" applyFont="1" applyFill="1" applyBorder="1"/>
    <xf numFmtId="38" fontId="54" fillId="0" borderId="37" xfId="3" applyFont="1" applyFill="1" applyBorder="1"/>
    <xf numFmtId="38" fontId="54" fillId="0" borderId="65" xfId="3" applyFont="1" applyFill="1" applyBorder="1"/>
    <xf numFmtId="0" fontId="49" fillId="0" borderId="99" xfId="0" applyFont="1" applyBorder="1" applyAlignment="1">
      <alignment horizontal="centerContinuous"/>
    </xf>
    <xf numFmtId="0" fontId="49" fillId="0" borderId="80" xfId="0" applyFont="1" applyBorder="1" applyAlignment="1">
      <alignment horizontal="centerContinuous"/>
    </xf>
    <xf numFmtId="0" fontId="49" fillId="0" borderId="37" xfId="0" applyFont="1" applyBorder="1" applyAlignment="1">
      <alignment horizontal="center"/>
    </xf>
    <xf numFmtId="0" fontId="49" fillId="0" borderId="37" xfId="0" applyFont="1" applyBorder="1" applyAlignment="1">
      <alignment horizontal="centerContinuous"/>
    </xf>
    <xf numFmtId="0" fontId="49" fillId="0" borderId="86" xfId="0" applyFont="1" applyBorder="1" applyAlignment="1">
      <alignment horizontal="centerContinuous"/>
    </xf>
    <xf numFmtId="49" fontId="49" fillId="0" borderId="98" xfId="2" applyNumberFormat="1" applyFont="1" applyFill="1" applyBorder="1" applyAlignment="1">
      <alignment horizontal="right" vertical="center"/>
    </xf>
    <xf numFmtId="0" fontId="49" fillId="0" borderId="97" xfId="2" applyFont="1" applyFill="1" applyBorder="1" applyAlignment="1">
      <alignment horizontal="left" vertical="center"/>
    </xf>
    <xf numFmtId="0" fontId="49" fillId="0" borderId="95" xfId="2" applyFont="1" applyFill="1" applyBorder="1" applyAlignment="1">
      <alignment horizontal="left" vertical="center"/>
    </xf>
    <xf numFmtId="166" fontId="49" fillId="0" borderId="33" xfId="2" applyNumberFormat="1" applyFont="1" applyFill="1" applyBorder="1" applyAlignment="1">
      <alignment vertical="center"/>
    </xf>
    <xf numFmtId="166" fontId="49" fillId="0" borderId="33" xfId="2" applyNumberFormat="1" applyFont="1" applyFill="1" applyBorder="1" applyAlignment="1">
      <alignment horizontal="center" vertical="center"/>
    </xf>
    <xf numFmtId="3" fontId="49" fillId="0" borderId="96" xfId="2" applyNumberFormat="1" applyFont="1" applyFill="1" applyBorder="1" applyAlignment="1">
      <alignment vertical="center"/>
    </xf>
    <xf numFmtId="0" fontId="49" fillId="0" borderId="98" xfId="0" applyFont="1" applyBorder="1"/>
    <xf numFmtId="0" fontId="49" fillId="0" borderId="97" xfId="0" applyFont="1" applyBorder="1" applyAlignment="1">
      <alignment horizontal="left"/>
    </xf>
    <xf numFmtId="0" fontId="49" fillId="0" borderId="95" xfId="0" applyFont="1" applyBorder="1" applyAlignment="1"/>
    <xf numFmtId="0" fontId="49" fillId="0" borderId="95" xfId="0" applyFont="1" applyBorder="1" applyAlignment="1">
      <alignment horizontal="left"/>
    </xf>
    <xf numFmtId="166" fontId="49" fillId="0" borderId="33" xfId="0" applyNumberFormat="1" applyFont="1" applyBorder="1"/>
    <xf numFmtId="166" fontId="49" fillId="0" borderId="33" xfId="0" applyNumberFormat="1" applyFont="1" applyBorder="1" applyAlignment="1">
      <alignment horizontal="center"/>
    </xf>
    <xf numFmtId="3" fontId="49" fillId="8" borderId="96" xfId="0" applyNumberFormat="1" applyFont="1" applyFill="1" applyBorder="1"/>
    <xf numFmtId="3" fontId="49" fillId="0" borderId="95" xfId="0" applyNumberFormat="1" applyFont="1" applyBorder="1"/>
    <xf numFmtId="0" fontId="51" fillId="0" borderId="0" xfId="0" applyFont="1" applyAlignment="1"/>
    <xf numFmtId="49" fontId="49" fillId="0" borderId="91" xfId="2" applyNumberFormat="1" applyFont="1" applyFill="1" applyBorder="1" applyAlignment="1">
      <alignment horizontal="right" vertical="center"/>
    </xf>
    <xf numFmtId="166" fontId="49" fillId="0" borderId="20" xfId="2" applyNumberFormat="1" applyFont="1" applyFill="1" applyBorder="1" applyAlignment="1">
      <alignment horizontal="right" vertical="center"/>
    </xf>
    <xf numFmtId="3" fontId="49" fillId="0" borderId="88" xfId="2" applyNumberFormat="1" applyFont="1" applyFill="1" applyBorder="1" applyAlignment="1">
      <alignment vertical="center"/>
    </xf>
    <xf numFmtId="0" fontId="49" fillId="0" borderId="91" xfId="0" applyFont="1" applyBorder="1"/>
    <xf numFmtId="0" fontId="49" fillId="0" borderId="92" xfId="0" quotePrefix="1" applyFont="1" applyBorder="1" applyAlignment="1">
      <alignment horizontal="left"/>
    </xf>
    <xf numFmtId="166" fontId="49" fillId="0" borderId="20" xfId="0" applyNumberFormat="1" applyFont="1" applyBorder="1" applyAlignment="1">
      <alignment horizontal="center"/>
    </xf>
    <xf numFmtId="3" fontId="53" fillId="2" borderId="88" xfId="0" applyNumberFormat="1" applyFont="1" applyFill="1" applyBorder="1"/>
    <xf numFmtId="3" fontId="49" fillId="0" borderId="87" xfId="0" applyNumberFormat="1" applyFont="1" applyFill="1" applyBorder="1"/>
    <xf numFmtId="175" fontId="49" fillId="0" borderId="20" xfId="2" applyNumberFormat="1" applyFont="1" applyFill="1" applyBorder="1" applyAlignment="1">
      <alignment horizontal="right" vertical="center"/>
    </xf>
    <xf numFmtId="0" fontId="54" fillId="0" borderId="0" xfId="2" applyFont="1" applyFill="1" applyAlignment="1">
      <alignment horizontal="center" vertical="center"/>
    </xf>
    <xf numFmtId="0" fontId="49" fillId="0" borderId="87" xfId="0" applyFont="1" applyBorder="1" applyAlignment="1"/>
    <xf numFmtId="0" fontId="54" fillId="0" borderId="0" xfId="0" applyFont="1" applyAlignment="1">
      <alignment horizontal="center" vertical="center"/>
    </xf>
    <xf numFmtId="38" fontId="54" fillId="0" borderId="83" xfId="3" applyFont="1" applyFill="1" applyBorder="1"/>
    <xf numFmtId="38" fontId="54" fillId="0" borderId="82" xfId="3" applyFont="1" applyFill="1" applyBorder="1"/>
    <xf numFmtId="38" fontId="54" fillId="0" borderId="81" xfId="3" applyFont="1" applyFill="1" applyBorder="1"/>
    <xf numFmtId="38" fontId="54" fillId="0" borderId="0" xfId="3" applyFont="1" applyFill="1" applyAlignment="1">
      <alignment horizontal="center" vertical="center"/>
    </xf>
    <xf numFmtId="38" fontId="54" fillId="0" borderId="37" xfId="3" applyFont="1" applyBorder="1" applyAlignment="1">
      <alignment horizontal="center" vertical="center"/>
    </xf>
    <xf numFmtId="0" fontId="54" fillId="0" borderId="37" xfId="0" applyFont="1" applyBorder="1" applyAlignment="1">
      <alignment horizontal="center" vertical="center"/>
    </xf>
    <xf numFmtId="0" fontId="54" fillId="0" borderId="65" xfId="0" applyFont="1" applyBorder="1" applyAlignment="1">
      <alignment horizontal="center" vertical="center"/>
    </xf>
    <xf numFmtId="38" fontId="54" fillId="0" borderId="0" xfId="3" applyFont="1" applyAlignment="1">
      <alignment horizontal="center" vertical="center"/>
    </xf>
    <xf numFmtId="38" fontId="54" fillId="0" borderId="0" xfId="3" applyFont="1" applyFill="1"/>
    <xf numFmtId="38" fontId="54" fillId="0" borderId="0" xfId="3" applyFont="1" applyFill="1" applyAlignment="1">
      <alignment vertical="center"/>
    </xf>
    <xf numFmtId="0" fontId="49" fillId="0" borderId="92" xfId="0" quotePrefix="1" applyFont="1" applyBorder="1" applyAlignment="1"/>
    <xf numFmtId="0" fontId="49" fillId="0" borderId="21" xfId="0" applyFont="1" applyBorder="1" applyAlignment="1"/>
    <xf numFmtId="38" fontId="54" fillId="0" borderId="84" xfId="3" applyFont="1" applyBorder="1"/>
    <xf numFmtId="38" fontId="54" fillId="0" borderId="37" xfId="3" applyFont="1" applyBorder="1"/>
    <xf numFmtId="38" fontId="54" fillId="0" borderId="65" xfId="3" applyFont="1" applyBorder="1"/>
    <xf numFmtId="38" fontId="54" fillId="0" borderId="0" xfId="3" applyFont="1"/>
    <xf numFmtId="3" fontId="49" fillId="8" borderId="88" xfId="0" applyNumberFormat="1" applyFont="1" applyFill="1" applyBorder="1"/>
    <xf numFmtId="49" fontId="49" fillId="0" borderId="92" xfId="2" applyNumberFormat="1" applyFont="1" applyFill="1" applyBorder="1" applyAlignment="1">
      <alignment vertical="center"/>
    </xf>
    <xf numFmtId="38" fontId="54" fillId="0" borderId="0" xfId="3" applyFont="1" applyFill="1" applyBorder="1" applyAlignment="1">
      <alignment vertical="center"/>
    </xf>
    <xf numFmtId="0" fontId="49" fillId="0" borderId="92" xfId="0" applyFont="1" applyBorder="1" applyAlignment="1"/>
    <xf numFmtId="3" fontId="49" fillId="0" borderId="87" xfId="0" applyNumberFormat="1" applyFont="1" applyBorder="1"/>
    <xf numFmtId="38" fontId="54" fillId="9" borderId="84" xfId="3" applyFont="1" applyFill="1" applyBorder="1"/>
    <xf numFmtId="38" fontId="54" fillId="9" borderId="37" xfId="3" applyFont="1" applyFill="1" applyBorder="1"/>
    <xf numFmtId="38" fontId="54" fillId="9" borderId="65" xfId="3" applyFont="1" applyFill="1" applyBorder="1"/>
    <xf numFmtId="3" fontId="53" fillId="2" borderId="88" xfId="0" applyNumberFormat="1" applyFont="1" applyFill="1" applyBorder="1" applyAlignment="1">
      <alignment horizontal="right"/>
    </xf>
    <xf numFmtId="38" fontId="54" fillId="0" borderId="83" xfId="3" applyFont="1" applyBorder="1"/>
    <xf numFmtId="38" fontId="54" fillId="0" borderId="82" xfId="3" applyFont="1" applyBorder="1"/>
    <xf numFmtId="38" fontId="54" fillId="0" borderId="81" xfId="3" applyFont="1" applyBorder="1"/>
    <xf numFmtId="166" fontId="49" fillId="0" borderId="20" xfId="2" applyNumberFormat="1" applyFont="1" applyFill="1" applyBorder="1" applyAlignment="1">
      <alignment horizontal="center" vertical="center"/>
    </xf>
    <xf numFmtId="166" fontId="49" fillId="0" borderId="20" xfId="2" applyNumberFormat="1" applyFont="1" applyFill="1" applyBorder="1" applyAlignment="1">
      <alignment horizontal="center" vertical="center" shrinkToFit="1"/>
    </xf>
    <xf numFmtId="3" fontId="49" fillId="0" borderId="88" xfId="0" applyNumberFormat="1" applyFont="1" applyBorder="1" applyAlignment="1">
      <alignment horizontal="center"/>
    </xf>
    <xf numFmtId="3" fontId="49" fillId="0" borderId="88" xfId="0" applyNumberFormat="1" applyFont="1" applyBorder="1"/>
    <xf numFmtId="0" fontId="49" fillId="0" borderId="92" xfId="2" applyFont="1" applyFill="1" applyBorder="1" applyAlignment="1">
      <alignment vertical="center"/>
    </xf>
    <xf numFmtId="0" fontId="49" fillId="0" borderId="87" xfId="2" applyFont="1" applyFill="1" applyBorder="1" applyAlignment="1">
      <alignment vertical="center"/>
    </xf>
    <xf numFmtId="0" fontId="49" fillId="0" borderId="21" xfId="2" applyFont="1" applyFill="1" applyBorder="1" applyAlignment="1">
      <alignment vertical="center"/>
    </xf>
    <xf numFmtId="0" fontId="53" fillId="0" borderId="0" xfId="2" applyFont="1" applyFill="1" applyAlignment="1">
      <alignment vertical="center"/>
    </xf>
    <xf numFmtId="0" fontId="53" fillId="0" borderId="0" xfId="0" applyFont="1"/>
    <xf numFmtId="166" fontId="49" fillId="0" borderId="20" xfId="0" applyNumberFormat="1" applyFont="1" applyBorder="1"/>
    <xf numFmtId="0" fontId="49" fillId="0" borderId="94" xfId="0" applyFont="1" applyBorder="1" applyAlignment="1"/>
    <xf numFmtId="0" fontId="49" fillId="0" borderId="93" xfId="0" applyFont="1" applyBorder="1" applyAlignment="1"/>
    <xf numFmtId="0" fontId="49" fillId="0" borderId="87" xfId="0" applyFont="1" applyBorder="1"/>
    <xf numFmtId="166" fontId="49" fillId="0" borderId="20" xfId="2" applyNumberFormat="1" applyFont="1" applyFill="1" applyBorder="1" applyAlignment="1">
      <alignment vertical="center"/>
    </xf>
    <xf numFmtId="166" fontId="53" fillId="2" borderId="20" xfId="0" applyNumberFormat="1" applyFont="1" applyFill="1" applyBorder="1" applyAlignment="1">
      <alignment horizontal="center"/>
    </xf>
    <xf numFmtId="166" fontId="53" fillId="0" borderId="20" xfId="2" applyNumberFormat="1" applyFont="1" applyFill="1" applyBorder="1" applyAlignment="1">
      <alignment horizontal="center" vertical="center"/>
    </xf>
    <xf numFmtId="4" fontId="49" fillId="0" borderId="88" xfId="2" applyNumberFormat="1" applyFont="1" applyFill="1" applyBorder="1" applyAlignment="1">
      <alignment vertical="center"/>
    </xf>
    <xf numFmtId="4" fontId="49" fillId="0" borderId="87" xfId="2" applyNumberFormat="1" applyFont="1" applyFill="1" applyBorder="1" applyAlignment="1">
      <alignment vertical="center"/>
    </xf>
    <xf numFmtId="0" fontId="49" fillId="0" borderId="91" xfId="2" applyFont="1" applyFill="1" applyBorder="1" applyAlignment="1">
      <alignment vertical="center"/>
    </xf>
    <xf numFmtId="166" fontId="53" fillId="0" borderId="16" xfId="2" applyNumberFormat="1" applyFont="1" applyFill="1" applyBorder="1" applyAlignment="1">
      <alignment horizontal="right" vertical="center"/>
    </xf>
    <xf numFmtId="166" fontId="53" fillId="2" borderId="16" xfId="0" applyNumberFormat="1" applyFont="1" applyFill="1" applyBorder="1" applyAlignment="1">
      <alignment horizontal="center"/>
    </xf>
    <xf numFmtId="0" fontId="49" fillId="0" borderId="0" xfId="2" applyFont="1" applyFill="1" applyAlignment="1">
      <alignment horizontal="left" vertical="center"/>
    </xf>
    <xf numFmtId="3" fontId="49" fillId="0" borderId="80" xfId="0" applyNumberFormat="1" applyFont="1" applyBorder="1"/>
    <xf numFmtId="0" fontId="8" fillId="10" borderId="0" xfId="0" applyFont="1" applyFill="1" applyAlignment="1">
      <alignment vertical="center"/>
    </xf>
    <xf numFmtId="0" fontId="8" fillId="10" borderId="0" xfId="0" applyFont="1" applyFill="1" applyAlignment="1">
      <alignment horizontal="left" vertical="center"/>
    </xf>
    <xf numFmtId="14" fontId="25" fillId="0" borderId="0" xfId="0" applyNumberFormat="1" applyFont="1" applyAlignment="1">
      <alignment vertical="center"/>
    </xf>
    <xf numFmtId="0" fontId="49" fillId="0" borderId="3" xfId="2" applyFont="1" applyFill="1" applyBorder="1" applyAlignment="1">
      <alignment vertical="center" shrinkToFit="1"/>
    </xf>
    <xf numFmtId="40" fontId="30" fillId="6" borderId="45" xfId="3" applyNumberFormat="1" applyFont="1" applyFill="1" applyBorder="1" applyAlignment="1">
      <alignment horizontal="center" vertical="center" wrapText="1"/>
    </xf>
    <xf numFmtId="40" fontId="30" fillId="6" borderId="44" xfId="3" applyNumberFormat="1" applyFont="1" applyFill="1" applyBorder="1" applyAlignment="1">
      <alignment horizontal="center" vertical="center"/>
    </xf>
    <xf numFmtId="0" fontId="49" fillId="0" borderId="87" xfId="2" applyFont="1" applyFill="1" applyBorder="1" applyAlignment="1">
      <alignment vertical="center" shrinkToFit="1"/>
    </xf>
    <xf numFmtId="0" fontId="60" fillId="0" borderId="0" xfId="2" applyFont="1" applyBorder="1"/>
    <xf numFmtId="0" fontId="60" fillId="0" borderId="0" xfId="2" applyFont="1" applyBorder="1" applyAlignment="1">
      <alignment horizontal="center"/>
    </xf>
    <xf numFmtId="0" fontId="60" fillId="0" borderId="0" xfId="2" applyFont="1" applyBorder="1" applyAlignment="1">
      <alignment shrinkToFit="1"/>
    </xf>
    <xf numFmtId="0" fontId="61" fillId="0" borderId="0" xfId="2" applyFont="1" applyBorder="1"/>
    <xf numFmtId="0" fontId="61" fillId="0" borderId="3" xfId="2" applyFont="1" applyBorder="1" applyAlignment="1">
      <alignment horizontal="right"/>
    </xf>
    <xf numFmtId="0" fontId="60" fillId="0" borderId="0" xfId="2" applyFont="1" applyBorder="1" applyAlignment="1">
      <alignment horizontal="center" vertical="center"/>
    </xf>
    <xf numFmtId="0" fontId="61" fillId="0" borderId="80" xfId="2" applyFont="1" applyBorder="1" applyAlignment="1">
      <alignment horizontal="right"/>
    </xf>
    <xf numFmtId="0" fontId="60" fillId="0" borderId="3" xfId="2" applyFont="1" applyBorder="1"/>
    <xf numFmtId="0" fontId="60" fillId="0" borderId="3" xfId="2" applyFont="1" applyBorder="1" applyAlignment="1">
      <alignment horizontal="right"/>
    </xf>
    <xf numFmtId="0" fontId="58" fillId="0" borderId="66" xfId="2" applyFont="1" applyBorder="1" applyAlignment="1">
      <alignment horizontal="center" vertical="center" shrinkToFit="1"/>
    </xf>
    <xf numFmtId="0" fontId="58" fillId="0" borderId="37" xfId="2" applyFont="1" applyBorder="1" applyAlignment="1">
      <alignment horizontal="center" vertical="center" shrinkToFit="1"/>
    </xf>
    <xf numFmtId="40" fontId="60" fillId="0" borderId="66" xfId="3" applyNumberFormat="1" applyFont="1" applyBorder="1"/>
    <xf numFmtId="40" fontId="60" fillId="0" borderId="37" xfId="3" applyNumberFormat="1" applyFont="1" applyBorder="1"/>
    <xf numFmtId="0" fontId="58" fillId="0" borderId="65" xfId="2" applyFont="1" applyBorder="1" applyAlignment="1">
      <alignment horizontal="center" vertical="center" shrinkToFit="1"/>
    </xf>
    <xf numFmtId="174" fontId="60" fillId="0" borderId="64" xfId="2" applyNumberFormat="1" applyFont="1" applyBorder="1" applyAlignment="1">
      <alignment horizontal="center"/>
    </xf>
    <xf numFmtId="167" fontId="58" fillId="0" borderId="59" xfId="2" applyNumberFormat="1" applyFont="1" applyBorder="1" applyAlignment="1">
      <alignment horizontal="center"/>
    </xf>
    <xf numFmtId="40" fontId="60" fillId="0" borderId="6" xfId="3" applyNumberFormat="1" applyFont="1" applyBorder="1" applyAlignment="1">
      <alignment shrinkToFit="1"/>
    </xf>
    <xf numFmtId="174" fontId="60" fillId="0" borderId="62" xfId="2" applyNumberFormat="1" applyFont="1" applyBorder="1" applyAlignment="1">
      <alignment horizontal="center"/>
    </xf>
    <xf numFmtId="168" fontId="60" fillId="0" borderId="59" xfId="2" applyNumberFormat="1" applyFont="1" applyBorder="1" applyAlignment="1">
      <alignment shrinkToFit="1"/>
    </xf>
    <xf numFmtId="168" fontId="60" fillId="0" borderId="59" xfId="2" applyNumberFormat="1" applyFont="1" applyBorder="1" applyAlignment="1"/>
    <xf numFmtId="2" fontId="60" fillId="0" borderId="59" xfId="2" applyNumberFormat="1" applyFont="1" applyBorder="1" applyAlignment="1"/>
    <xf numFmtId="0" fontId="60" fillId="0" borderId="59" xfId="2" applyFont="1" applyBorder="1" applyAlignment="1">
      <alignment horizontal="center"/>
    </xf>
    <xf numFmtId="166" fontId="60" fillId="0" borderId="59" xfId="2" applyNumberFormat="1" applyFont="1" applyBorder="1" applyAlignment="1">
      <alignment horizontal="left"/>
    </xf>
    <xf numFmtId="3" fontId="60" fillId="0" borderId="59" xfId="2" applyNumberFormat="1" applyFont="1" applyBorder="1" applyAlignment="1">
      <alignment horizontal="center" shrinkToFit="1"/>
    </xf>
    <xf numFmtId="38" fontId="60" fillId="0" borderId="61" xfId="3" applyFont="1" applyBorder="1" applyAlignment="1">
      <alignment horizontal="center"/>
    </xf>
    <xf numFmtId="38" fontId="60" fillId="0" borderId="60" xfId="3" applyFont="1" applyBorder="1" applyAlignment="1">
      <alignment horizontal="center"/>
    </xf>
    <xf numFmtId="38" fontId="60" fillId="0" borderId="59" xfId="3" applyFont="1" applyBorder="1" applyAlignment="1">
      <alignment horizontal="center"/>
    </xf>
    <xf numFmtId="180" fontId="60" fillId="0" borderId="59" xfId="2" applyNumberFormat="1" applyFont="1" applyBorder="1" applyAlignment="1">
      <alignment horizontal="right"/>
    </xf>
    <xf numFmtId="180" fontId="60" fillId="0" borderId="58" xfId="2" applyNumberFormat="1" applyFont="1" applyBorder="1" applyAlignment="1">
      <alignment horizontal="right"/>
    </xf>
    <xf numFmtId="0" fontId="60" fillId="0" borderId="59" xfId="2" applyFont="1" applyFill="1" applyBorder="1" applyAlignment="1">
      <alignment horizontal="center"/>
    </xf>
    <xf numFmtId="166" fontId="60" fillId="0" borderId="59" xfId="2" applyNumberFormat="1" applyFont="1" applyFill="1" applyBorder="1" applyAlignment="1">
      <alignment horizontal="left"/>
    </xf>
    <xf numFmtId="38" fontId="60" fillId="0" borderId="61" xfId="3" applyFont="1" applyFill="1" applyBorder="1" applyAlignment="1">
      <alignment horizontal="center"/>
    </xf>
    <xf numFmtId="38" fontId="60" fillId="0" borderId="60" xfId="3" applyFont="1" applyFill="1" applyBorder="1" applyAlignment="1">
      <alignment horizontal="center"/>
    </xf>
    <xf numFmtId="180" fontId="60" fillId="0" borderId="59" xfId="2" applyNumberFormat="1" applyFont="1" applyFill="1" applyBorder="1" applyAlignment="1">
      <alignment horizontal="right"/>
    </xf>
    <xf numFmtId="180" fontId="60" fillId="0" borderId="58" xfId="2" applyNumberFormat="1" applyFont="1" applyFill="1" applyBorder="1" applyAlignment="1">
      <alignment horizontal="right"/>
    </xf>
    <xf numFmtId="0" fontId="60" fillId="0" borderId="0" xfId="2" applyFont="1" applyFill="1" applyBorder="1"/>
    <xf numFmtId="0" fontId="60" fillId="0" borderId="58" xfId="2" applyFont="1" applyBorder="1" applyAlignment="1">
      <alignment horizontal="right"/>
    </xf>
    <xf numFmtId="0" fontId="60" fillId="0" borderId="58" xfId="2" applyFont="1" applyBorder="1" applyAlignment="1">
      <alignment horizontal="center"/>
    </xf>
    <xf numFmtId="3" fontId="60" fillId="0" borderId="59" xfId="2" applyNumberFormat="1" applyFont="1" applyBorder="1" applyAlignment="1">
      <alignment horizontal="center"/>
    </xf>
    <xf numFmtId="168" fontId="60" fillId="0" borderId="6" xfId="2" applyNumberFormat="1" applyFont="1" applyBorder="1" applyAlignment="1"/>
    <xf numFmtId="0" fontId="60" fillId="0" borderId="6" xfId="2" applyFont="1" applyBorder="1" applyAlignment="1">
      <alignment horizontal="center"/>
    </xf>
    <xf numFmtId="166" fontId="60" fillId="0" borderId="6" xfId="2" applyNumberFormat="1" applyFont="1" applyBorder="1" applyAlignment="1">
      <alignment horizontal="left"/>
    </xf>
    <xf numFmtId="3" fontId="60" fillId="0" borderId="6" xfId="2" applyNumberFormat="1" applyFont="1" applyBorder="1" applyAlignment="1">
      <alignment horizontal="center"/>
    </xf>
    <xf numFmtId="38" fontId="60" fillId="0" borderId="55" xfId="3" applyFont="1" applyBorder="1" applyAlignment="1">
      <alignment horizontal="center"/>
    </xf>
    <xf numFmtId="38" fontId="60" fillId="0" borderId="54" xfId="3" applyFont="1" applyBorder="1" applyAlignment="1">
      <alignment horizontal="center"/>
    </xf>
    <xf numFmtId="38" fontId="60" fillId="0" borderId="6" xfId="3" applyFont="1" applyBorder="1" applyAlignment="1">
      <alignment horizontal="center"/>
    </xf>
    <xf numFmtId="180" fontId="60" fillId="0" borderId="6" xfId="2" applyNumberFormat="1" applyFont="1" applyBorder="1" applyAlignment="1">
      <alignment horizontal="right"/>
    </xf>
    <xf numFmtId="0" fontId="60" fillId="0" borderId="53" xfId="2" applyFont="1" applyBorder="1" applyAlignment="1">
      <alignment horizontal="center"/>
    </xf>
    <xf numFmtId="168" fontId="60" fillId="0" borderId="6" xfId="2" applyNumberFormat="1" applyFont="1" applyBorder="1" applyAlignment="1">
      <alignment shrinkToFit="1"/>
    </xf>
    <xf numFmtId="174" fontId="60" fillId="0" borderId="57" xfId="2" applyNumberFormat="1" applyFont="1" applyBorder="1" applyAlignment="1">
      <alignment horizontal="center"/>
    </xf>
    <xf numFmtId="0" fontId="60" fillId="0" borderId="50" xfId="2" applyFont="1" applyBorder="1" applyAlignment="1">
      <alignment horizontal="center"/>
    </xf>
    <xf numFmtId="166" fontId="60" fillId="0" borderId="50" xfId="2" applyNumberFormat="1" applyFont="1" applyBorder="1" applyAlignment="1">
      <alignment horizontal="left"/>
    </xf>
    <xf numFmtId="3" fontId="60" fillId="0" borderId="50" xfId="2" applyNumberFormat="1" applyFont="1" applyBorder="1" applyAlignment="1">
      <alignment horizontal="center"/>
    </xf>
    <xf numFmtId="40" fontId="60" fillId="0" borderId="133" xfId="3" applyNumberFormat="1" applyFont="1" applyBorder="1" applyAlignment="1">
      <alignment shrinkToFit="1"/>
    </xf>
    <xf numFmtId="38" fontId="60" fillId="0" borderId="52" xfId="3" applyFont="1" applyBorder="1" applyAlignment="1">
      <alignment horizontal="center"/>
    </xf>
    <xf numFmtId="38" fontId="60" fillId="0" borderId="51" xfId="3" applyFont="1" applyBorder="1" applyAlignment="1">
      <alignment horizontal="center"/>
    </xf>
    <xf numFmtId="0" fontId="60" fillId="0" borderId="49" xfId="2" applyFont="1" applyBorder="1" applyAlignment="1">
      <alignment horizontal="center"/>
    </xf>
    <xf numFmtId="167" fontId="64" fillId="0" borderId="48" xfId="2" applyNumberFormat="1" applyFont="1" applyFill="1" applyBorder="1" applyAlignment="1">
      <alignment horizontal="center"/>
    </xf>
    <xf numFmtId="167" fontId="64" fillId="0" borderId="27" xfId="2" applyNumberFormat="1" applyFont="1" applyFill="1" applyBorder="1" applyAlignment="1">
      <alignment horizontal="center"/>
    </xf>
    <xf numFmtId="168" fontId="64" fillId="0" borderId="45" xfId="2" applyNumberFormat="1" applyFont="1" applyFill="1" applyBorder="1" applyAlignment="1">
      <alignment shrinkToFit="1"/>
    </xf>
    <xf numFmtId="168" fontId="64" fillId="0" borderId="45" xfId="2" applyNumberFormat="1" applyFont="1" applyFill="1" applyBorder="1" applyAlignment="1"/>
    <xf numFmtId="0" fontId="64" fillId="0" borderId="45" xfId="2" applyFont="1" applyFill="1" applyBorder="1" applyAlignment="1"/>
    <xf numFmtId="166" fontId="64" fillId="0" borderId="45" xfId="2" applyNumberFormat="1" applyFont="1" applyFill="1" applyBorder="1" applyAlignment="1">
      <alignment horizontal="left"/>
    </xf>
    <xf numFmtId="3" fontId="64" fillId="0" borderId="45" xfId="2" applyNumberFormat="1" applyFont="1" applyFill="1" applyBorder="1" applyAlignment="1">
      <alignment horizontal="center"/>
    </xf>
    <xf numFmtId="40" fontId="64" fillId="0" borderId="47" xfId="3" applyNumberFormat="1" applyFont="1" applyFill="1" applyBorder="1" applyAlignment="1">
      <alignment horizontal="right"/>
    </xf>
    <xf numFmtId="38" fontId="64" fillId="0" borderId="47" xfId="3" applyFont="1" applyFill="1" applyBorder="1" applyAlignment="1">
      <alignment horizontal="center"/>
    </xf>
    <xf numFmtId="38" fontId="64" fillId="0" borderId="46" xfId="3" applyFont="1" applyFill="1" applyBorder="1" applyAlignment="1">
      <alignment horizontal="center" shrinkToFit="1"/>
    </xf>
    <xf numFmtId="0" fontId="64" fillId="0" borderId="45" xfId="2" applyFont="1" applyFill="1" applyBorder="1" applyAlignment="1">
      <alignment horizontal="center" shrinkToFit="1"/>
    </xf>
    <xf numFmtId="169" fontId="64" fillId="0" borderId="44" xfId="2" applyNumberFormat="1" applyFont="1" applyFill="1" applyBorder="1" applyAlignment="1">
      <alignment horizontal="center" shrinkToFit="1"/>
    </xf>
    <xf numFmtId="167" fontId="60" fillId="0" borderId="0" xfId="2" applyNumberFormat="1" applyFont="1" applyBorder="1"/>
    <xf numFmtId="167" fontId="60" fillId="0" borderId="0" xfId="2" applyNumberFormat="1" applyFont="1" applyBorder="1" applyAlignment="1">
      <alignment horizontal="center"/>
    </xf>
    <xf numFmtId="168" fontId="60" fillId="0" borderId="0" xfId="2" applyNumberFormat="1" applyFont="1" applyBorder="1" applyAlignment="1">
      <alignment shrinkToFit="1"/>
    </xf>
    <xf numFmtId="168" fontId="60" fillId="0" borderId="0" xfId="2" applyNumberFormat="1" applyFont="1" applyBorder="1" applyAlignment="1"/>
    <xf numFmtId="0" fontId="60" fillId="0" borderId="0" xfId="2" applyFont="1" applyBorder="1" applyAlignment="1"/>
    <xf numFmtId="166" fontId="60" fillId="0" borderId="0" xfId="2" applyNumberFormat="1" applyFont="1" applyBorder="1"/>
    <xf numFmtId="3" fontId="60" fillId="0" borderId="0" xfId="2" applyNumberFormat="1" applyFont="1" applyBorder="1"/>
    <xf numFmtId="38" fontId="60" fillId="0" borderId="0" xfId="3" applyFont="1" applyBorder="1"/>
    <xf numFmtId="0" fontId="49" fillId="0" borderId="0" xfId="2" applyFont="1"/>
    <xf numFmtId="0" fontId="65" fillId="0" borderId="0" xfId="2" applyFont="1" applyAlignment="1"/>
    <xf numFmtId="0" fontId="54" fillId="0" borderId="0" xfId="2" applyFont="1"/>
    <xf numFmtId="0" fontId="63" fillId="0" borderId="37" xfId="2" applyFont="1" applyBorder="1"/>
    <xf numFmtId="0" fontId="49" fillId="0" borderId="37" xfId="2" applyFont="1" applyBorder="1"/>
    <xf numFmtId="0" fontId="49" fillId="0" borderId="37" xfId="2" applyFont="1" applyBorder="1" applyAlignment="1">
      <alignment horizontal="center" vertical="center"/>
    </xf>
    <xf numFmtId="0" fontId="66" fillId="0" borderId="37" xfId="2" applyFont="1" applyBorder="1" applyAlignment="1">
      <alignment horizontal="center" vertical="center" wrapText="1" shrinkToFit="1"/>
    </xf>
    <xf numFmtId="0" fontId="66" fillId="0" borderId="111" xfId="2" applyFont="1" applyBorder="1" applyAlignment="1">
      <alignment horizontal="center" vertical="center" wrapText="1" shrinkToFit="1"/>
    </xf>
    <xf numFmtId="0" fontId="62" fillId="0" borderId="38" xfId="2" applyFont="1" applyBorder="1" applyAlignment="1">
      <alignment horizontal="center" vertical="center" wrapText="1"/>
    </xf>
    <xf numFmtId="0" fontId="54" fillId="0" borderId="37" xfId="2" applyFont="1" applyBorder="1" applyAlignment="1">
      <alignment horizontal="center" vertical="center" wrapText="1"/>
    </xf>
    <xf numFmtId="0" fontId="49" fillId="0" borderId="33" xfId="2" applyFont="1" applyBorder="1"/>
    <xf numFmtId="40" fontId="54" fillId="0" borderId="33" xfId="3" applyNumberFormat="1" applyFont="1" applyBorder="1" applyAlignment="1">
      <alignment horizontal="right"/>
    </xf>
    <xf numFmtId="40" fontId="54" fillId="0" borderId="110" xfId="3" applyNumberFormat="1" applyFont="1" applyBorder="1" applyAlignment="1">
      <alignment horizontal="right"/>
    </xf>
    <xf numFmtId="38" fontId="49" fillId="0" borderId="24" xfId="3" applyFont="1" applyBorder="1"/>
    <xf numFmtId="40" fontId="53" fillId="0" borderId="33" xfId="3" applyNumberFormat="1" applyFont="1" applyBorder="1"/>
    <xf numFmtId="38" fontId="49" fillId="0" borderId="33" xfId="3" applyFont="1" applyBorder="1"/>
    <xf numFmtId="2" fontId="53" fillId="0" borderId="33" xfId="3" applyNumberFormat="1" applyFont="1" applyBorder="1"/>
    <xf numFmtId="38" fontId="53" fillId="0" borderId="33" xfId="3" applyFont="1" applyBorder="1"/>
    <xf numFmtId="38" fontId="54" fillId="0" borderId="33" xfId="3" applyFont="1" applyBorder="1" applyAlignment="1">
      <alignment horizontal="right"/>
    </xf>
    <xf numFmtId="38" fontId="54" fillId="0" borderId="110" xfId="3" applyFont="1" applyBorder="1" applyAlignment="1">
      <alignment horizontal="right"/>
    </xf>
    <xf numFmtId="0" fontId="49" fillId="0" borderId="42" xfId="2" applyFont="1" applyBorder="1"/>
    <xf numFmtId="0" fontId="49" fillId="0" borderId="16" xfId="2" applyFont="1" applyBorder="1"/>
    <xf numFmtId="38" fontId="54" fillId="0" borderId="16" xfId="3" applyFont="1" applyBorder="1" applyAlignment="1">
      <alignment horizontal="right"/>
    </xf>
    <xf numFmtId="38" fontId="54" fillId="0" borderId="109" xfId="3" applyFont="1" applyBorder="1" applyAlignment="1">
      <alignment horizontal="right"/>
    </xf>
    <xf numFmtId="38" fontId="49" fillId="0" borderId="30" xfId="3" applyFont="1" applyBorder="1"/>
    <xf numFmtId="38" fontId="49" fillId="0" borderId="71" xfId="3" applyFont="1" applyBorder="1"/>
    <xf numFmtId="0" fontId="49" fillId="0" borderId="0" xfId="2" applyFont="1" applyBorder="1"/>
    <xf numFmtId="38" fontId="54" fillId="0" borderId="0" xfId="3" applyFont="1" applyBorder="1" applyAlignment="1">
      <alignment horizontal="right"/>
    </xf>
    <xf numFmtId="38" fontId="54" fillId="0" borderId="106" xfId="3" applyFont="1" applyBorder="1" applyAlignment="1">
      <alignment horizontal="right"/>
    </xf>
    <xf numFmtId="38" fontId="49" fillId="0" borderId="108" xfId="3" applyFont="1" applyBorder="1"/>
    <xf numFmtId="38" fontId="49" fillId="0" borderId="76" xfId="3" applyFont="1" applyBorder="1" applyAlignment="1">
      <alignment horizontal="center"/>
    </xf>
    <xf numFmtId="40" fontId="53" fillId="0" borderId="85" xfId="3" applyNumberFormat="1" applyFont="1" applyBorder="1"/>
    <xf numFmtId="38" fontId="49" fillId="0" borderId="85" xfId="3" applyFont="1" applyBorder="1" applyAlignment="1">
      <alignment horizontal="center"/>
    </xf>
    <xf numFmtId="177" fontId="53" fillId="0" borderId="107" xfId="3" applyNumberFormat="1" applyFont="1" applyBorder="1"/>
    <xf numFmtId="0" fontId="54" fillId="0" borderId="0" xfId="2" applyFont="1" applyBorder="1"/>
    <xf numFmtId="0" fontId="54" fillId="0" borderId="37" xfId="2" applyFont="1" applyBorder="1" applyAlignment="1">
      <alignment horizontal="center" vertical="center"/>
    </xf>
    <xf numFmtId="0" fontId="63" fillId="0" borderId="111" xfId="2" applyFont="1" applyBorder="1" applyAlignment="1">
      <alignment horizontal="center" vertical="center" wrapText="1"/>
    </xf>
    <xf numFmtId="0" fontId="63" fillId="0" borderId="37" xfId="2" applyFont="1" applyBorder="1" applyAlignment="1">
      <alignment horizontal="center" vertical="center" shrinkToFit="1"/>
    </xf>
    <xf numFmtId="0" fontId="54" fillId="0" borderId="39" xfId="2" applyFont="1" applyBorder="1" applyAlignment="1">
      <alignment horizontal="center" vertical="center" wrapText="1"/>
    </xf>
    <xf numFmtId="0" fontId="49" fillId="0" borderId="43" xfId="2" applyFont="1" applyBorder="1"/>
    <xf numFmtId="38" fontId="54" fillId="0" borderId="43" xfId="3" applyFont="1" applyBorder="1" applyAlignment="1">
      <alignment horizontal="right" shrinkToFit="1"/>
    </xf>
    <xf numFmtId="40" fontId="54" fillId="0" borderId="115" xfId="3" applyNumberFormat="1" applyFont="1" applyBorder="1" applyAlignment="1">
      <alignment horizontal="right"/>
    </xf>
    <xf numFmtId="38" fontId="49" fillId="0" borderId="43" xfId="3" applyFont="1" applyBorder="1"/>
    <xf numFmtId="177" fontId="53" fillId="0" borderId="114" xfId="3" applyNumberFormat="1" applyFont="1" applyBorder="1"/>
    <xf numFmtId="173" fontId="53" fillId="0" borderId="43" xfId="3" applyNumberFormat="1" applyFont="1" applyBorder="1"/>
    <xf numFmtId="0" fontId="49" fillId="0" borderId="20" xfId="2" applyFont="1" applyBorder="1"/>
    <xf numFmtId="38" fontId="54" fillId="0" borderId="20" xfId="3" applyFont="1" applyBorder="1" applyAlignment="1">
      <alignment horizontal="right" shrinkToFit="1"/>
    </xf>
    <xf numFmtId="40" fontId="54" fillId="0" borderId="113" xfId="3" applyNumberFormat="1" applyFont="1" applyBorder="1" applyAlignment="1">
      <alignment horizontal="right"/>
    </xf>
    <xf numFmtId="38" fontId="49" fillId="0" borderId="20" xfId="3" applyFont="1" applyBorder="1"/>
    <xf numFmtId="177" fontId="53" fillId="0" borderId="23" xfId="3" applyNumberFormat="1" applyFont="1" applyBorder="1"/>
    <xf numFmtId="173" fontId="53" fillId="0" borderId="20" xfId="3" applyNumberFormat="1" applyFont="1" applyBorder="1"/>
    <xf numFmtId="38" fontId="54" fillId="0" borderId="20" xfId="3" applyFont="1" applyBorder="1" applyAlignment="1">
      <alignment horizontal="right"/>
    </xf>
    <xf numFmtId="38" fontId="54" fillId="0" borderId="113" xfId="3" applyFont="1" applyBorder="1" applyAlignment="1">
      <alignment horizontal="right"/>
    </xf>
    <xf numFmtId="173" fontId="53" fillId="0" borderId="23" xfId="3" applyNumberFormat="1" applyFont="1" applyBorder="1"/>
    <xf numFmtId="38" fontId="49" fillId="0" borderId="29" xfId="3" applyFont="1" applyBorder="1"/>
    <xf numFmtId="173" fontId="53" fillId="0" borderId="112" xfId="3" applyNumberFormat="1" applyFont="1" applyBorder="1"/>
    <xf numFmtId="173" fontId="53" fillId="0" borderId="29" xfId="3" applyNumberFormat="1" applyFont="1" applyBorder="1"/>
    <xf numFmtId="0" fontId="49" fillId="0" borderId="19" xfId="2" applyFont="1" applyBorder="1"/>
    <xf numFmtId="38" fontId="54" fillId="0" borderId="89" xfId="3" applyFont="1" applyBorder="1" applyAlignment="1">
      <alignment horizontal="right"/>
    </xf>
    <xf numFmtId="0" fontId="49" fillId="0" borderId="48" xfId="2" applyFont="1" applyBorder="1" applyAlignment="1">
      <alignment horizontal="center"/>
    </xf>
    <xf numFmtId="177" fontId="53" fillId="0" borderId="45" xfId="3" applyNumberFormat="1" applyFont="1" applyBorder="1" applyAlignment="1"/>
    <xf numFmtId="173" fontId="53" fillId="0" borderId="44" xfId="3" applyNumberFormat="1" applyFont="1" applyBorder="1" applyAlignment="1"/>
    <xf numFmtId="4" fontId="49" fillId="0" borderId="88" xfId="2" applyNumberFormat="1" applyFont="1" applyFill="1" applyBorder="1" applyAlignment="1">
      <alignment horizontal="right" vertical="center"/>
    </xf>
    <xf numFmtId="164" fontId="25" fillId="0" borderId="0" xfId="0" applyNumberFormat="1" applyFont="1" applyAlignment="1">
      <alignment vertical="center"/>
    </xf>
    <xf numFmtId="0" fontId="26" fillId="0" borderId="0" xfId="0" applyFont="1" applyAlignment="1">
      <alignment horizontal="left" vertical="top"/>
    </xf>
    <xf numFmtId="0" fontId="49" fillId="0" borderId="21" xfId="2" applyFont="1" applyFill="1" applyBorder="1" applyAlignment="1">
      <alignment vertical="center" shrinkToFit="1"/>
    </xf>
    <xf numFmtId="182" fontId="25" fillId="0" borderId="0" xfId="0" applyNumberFormat="1" applyFont="1" applyAlignment="1">
      <alignment horizontal="left" vertical="center"/>
    </xf>
    <xf numFmtId="0" fontId="25" fillId="0" borderId="0" xfId="0" applyFont="1" applyAlignment="1">
      <alignment horizontal="left" vertical="top" wrapText="1"/>
    </xf>
    <xf numFmtId="0" fontId="8" fillId="0" borderId="0" xfId="0" applyFont="1" applyAlignment="1">
      <alignment horizontal="right" vertical="center"/>
    </xf>
    <xf numFmtId="0" fontId="8" fillId="0" borderId="0" xfId="0" applyFont="1" applyAlignment="1">
      <alignment horizontal="left" vertical="top" wrapText="1"/>
    </xf>
    <xf numFmtId="165" fontId="25" fillId="0" borderId="0" xfId="0" applyNumberFormat="1" applyFont="1" applyAlignment="1">
      <alignment horizontal="left" vertical="top" wrapText="1"/>
    </xf>
    <xf numFmtId="0" fontId="8" fillId="0" borderId="0" xfId="0" applyFont="1" applyAlignment="1">
      <alignment horizontal="center" vertical="center"/>
    </xf>
    <xf numFmtId="49" fontId="25" fillId="0" borderId="0" xfId="0" applyNumberFormat="1" applyFont="1" applyAlignment="1">
      <alignment horizontal="left" vertical="top" wrapText="1"/>
    </xf>
    <xf numFmtId="0" fontId="35" fillId="0" borderId="0" xfId="0" applyFont="1" applyAlignment="1">
      <alignment horizontal="center" vertical="center"/>
    </xf>
    <xf numFmtId="0" fontId="26" fillId="0" borderId="0" xfId="0" applyNumberFormat="1" applyFont="1" applyAlignment="1">
      <alignment horizontal="right" vertical="center"/>
    </xf>
    <xf numFmtId="0" fontId="26" fillId="0" borderId="0" xfId="0" applyNumberFormat="1" applyFont="1" applyAlignment="1">
      <alignment horizontal="left" vertical="center"/>
    </xf>
    <xf numFmtId="0" fontId="25" fillId="0" borderId="0" xfId="0" applyFont="1" applyAlignment="1">
      <alignment horizontal="left" vertical="center"/>
    </xf>
    <xf numFmtId="0" fontId="26" fillId="0" borderId="0" xfId="0" applyFont="1" applyAlignment="1">
      <alignment horizontal="center" vertical="center" shrinkToFit="1"/>
    </xf>
    <xf numFmtId="49" fontId="25" fillId="0" borderId="0" xfId="0" applyNumberFormat="1" applyFont="1" applyAlignment="1">
      <alignment horizontal="left" vertical="center"/>
    </xf>
    <xf numFmtId="0" fontId="8" fillId="0" borderId="0" xfId="0" applyFont="1" applyBorder="1" applyAlignment="1">
      <alignment horizontal="center" vertical="center"/>
    </xf>
    <xf numFmtId="0" fontId="8" fillId="0" borderId="37" xfId="0" applyFont="1" applyBorder="1" applyAlignment="1">
      <alignment horizontal="center" vertical="center"/>
    </xf>
    <xf numFmtId="0" fontId="8" fillId="0" borderId="0" xfId="0" applyFont="1" applyAlignment="1">
      <alignment horizontal="left" vertical="top"/>
    </xf>
    <xf numFmtId="0" fontId="8" fillId="0" borderId="0" xfId="0" applyFont="1" applyAlignment="1">
      <alignment horizontal="left" vertical="center"/>
    </xf>
    <xf numFmtId="0" fontId="32" fillId="0" borderId="0" xfId="0" applyFont="1" applyAlignment="1">
      <alignment horizontal="center" vertical="center" shrinkToFit="1"/>
    </xf>
    <xf numFmtId="0" fontId="8" fillId="0" borderId="0" xfId="0" applyFont="1" applyAlignment="1">
      <alignment horizontal="right" vertical="center"/>
    </xf>
    <xf numFmtId="0" fontId="8" fillId="0" borderId="0" xfId="0" applyFont="1" applyAlignment="1">
      <alignment horizontal="center" vertical="center"/>
    </xf>
    <xf numFmtId="0" fontId="32" fillId="0" borderId="0" xfId="0" applyFont="1" applyAlignment="1">
      <alignment horizontal="left" vertical="center"/>
    </xf>
    <xf numFmtId="180" fontId="60" fillId="0" borderId="59" xfId="2" applyNumberFormat="1" applyFont="1" applyBorder="1" applyAlignment="1">
      <alignment horizontal="center"/>
    </xf>
    <xf numFmtId="180" fontId="60" fillId="0" borderId="59" xfId="2" applyNumberFormat="1" applyFont="1" applyFill="1" applyBorder="1" applyAlignment="1">
      <alignment horizontal="center"/>
    </xf>
    <xf numFmtId="2" fontId="68" fillId="0" borderId="59" xfId="2" applyNumberFormat="1" applyFont="1" applyBorder="1" applyAlignment="1"/>
    <xf numFmtId="183" fontId="60" fillId="0" borderId="6" xfId="3" applyNumberFormat="1" applyFont="1" applyBorder="1" applyAlignment="1">
      <alignment horizontal="center"/>
    </xf>
    <xf numFmtId="183" fontId="60" fillId="0" borderId="59" xfId="3" applyNumberFormat="1" applyFont="1" applyBorder="1" applyAlignment="1">
      <alignment horizontal="center"/>
    </xf>
    <xf numFmtId="183" fontId="60" fillId="0" borderId="59" xfId="3" applyNumberFormat="1" applyFont="1" applyFill="1" applyBorder="1" applyAlignment="1">
      <alignment horizontal="center"/>
    </xf>
    <xf numFmtId="183" fontId="60" fillId="0" borderId="50" xfId="3" applyNumberFormat="1" applyFont="1" applyBorder="1" applyAlignment="1">
      <alignment horizontal="center"/>
    </xf>
    <xf numFmtId="183" fontId="64" fillId="0" borderId="45" xfId="3" applyNumberFormat="1" applyFont="1" applyFill="1" applyBorder="1" applyAlignment="1">
      <alignment horizontal="center" shrinkToFit="1"/>
    </xf>
    <xf numFmtId="0" fontId="68" fillId="0" borderId="0" xfId="2" applyFont="1" applyBorder="1"/>
    <xf numFmtId="167" fontId="58" fillId="0" borderId="6" xfId="2" applyNumberFormat="1" applyFont="1" applyBorder="1" applyAlignment="1">
      <alignment horizontal="center"/>
    </xf>
    <xf numFmtId="0" fontId="68" fillId="0" borderId="0" xfId="2" applyFont="1" applyBorder="1" applyAlignment="1">
      <alignment horizontal="center"/>
    </xf>
    <xf numFmtId="49" fontId="49" fillId="0" borderId="87" xfId="2" applyNumberFormat="1" applyFont="1" applyFill="1" applyBorder="1" applyAlignment="1">
      <alignment vertical="center"/>
    </xf>
    <xf numFmtId="49" fontId="49" fillId="0" borderId="21" xfId="2" applyNumberFormat="1" applyFont="1" applyFill="1" applyBorder="1" applyAlignment="1">
      <alignment vertical="center"/>
    </xf>
    <xf numFmtId="49" fontId="25" fillId="0" borderId="0" xfId="0" applyNumberFormat="1" applyFont="1" applyAlignment="1">
      <alignment horizontal="left" vertical="center"/>
    </xf>
    <xf numFmtId="0" fontId="25" fillId="0" borderId="0" xfId="0" applyFont="1" applyAlignment="1">
      <alignment horizontal="left" vertical="top" wrapText="1"/>
    </xf>
    <xf numFmtId="0" fontId="32" fillId="0" borderId="0" xfId="0" applyFont="1" applyAlignment="1">
      <alignment horizontal="right" vertical="center"/>
    </xf>
    <xf numFmtId="166" fontId="60" fillId="0" borderId="59" xfId="2" applyNumberFormat="1" applyFont="1" applyBorder="1" applyAlignment="1">
      <alignment horizontal="left" shrinkToFit="1"/>
    </xf>
    <xf numFmtId="2" fontId="68" fillId="0" borderId="6" xfId="2" applyNumberFormat="1" applyFont="1" applyBorder="1" applyAlignment="1"/>
    <xf numFmtId="2" fontId="69" fillId="0" borderId="59" xfId="2" applyNumberFormat="1" applyFont="1" applyBorder="1" applyAlignment="1"/>
    <xf numFmtId="2" fontId="70" fillId="0" borderId="59" xfId="2" applyNumberFormat="1" applyFont="1" applyBorder="1" applyAlignment="1"/>
    <xf numFmtId="2" fontId="64" fillId="0" borderId="45" xfId="2" applyNumberFormat="1" applyFont="1" applyFill="1" applyBorder="1" applyAlignment="1"/>
    <xf numFmtId="14" fontId="8" fillId="0" borderId="0" xfId="0" applyNumberFormat="1" applyFont="1" applyAlignment="1">
      <alignment vertical="top" wrapText="1"/>
    </xf>
    <xf numFmtId="4" fontId="8" fillId="0" borderId="0" xfId="0" applyNumberFormat="1" applyFont="1" applyAlignment="1">
      <alignment vertical="center"/>
    </xf>
    <xf numFmtId="0" fontId="61" fillId="0" borderId="0" xfId="5" applyFont="1" applyProtection="1"/>
    <xf numFmtId="0" fontId="72" fillId="15" borderId="0" xfId="5" applyFont="1" applyFill="1" applyAlignment="1" applyProtection="1">
      <alignment vertical="center" shrinkToFit="1"/>
      <protection locked="0"/>
    </xf>
    <xf numFmtId="0" fontId="49" fillId="12" borderId="0" xfId="5" applyFont="1" applyFill="1" applyAlignment="1" applyProtection="1">
      <protection locked="0"/>
    </xf>
    <xf numFmtId="0" fontId="61" fillId="0" borderId="0" xfId="5" applyFont="1" applyAlignment="1" applyProtection="1">
      <alignment wrapText="1"/>
    </xf>
    <xf numFmtId="0" fontId="49" fillId="11" borderId="0" xfId="5" applyFont="1" applyFill="1" applyProtection="1"/>
    <xf numFmtId="0" fontId="49" fillId="11" borderId="0" xfId="5" applyFont="1" applyFill="1" applyAlignment="1" applyProtection="1"/>
    <xf numFmtId="0" fontId="49" fillId="11" borderId="0" xfId="5" applyFont="1" applyFill="1" applyAlignment="1" applyProtection="1">
      <alignment horizontal="left"/>
    </xf>
    <xf numFmtId="0" fontId="53" fillId="11" borderId="0" xfId="5" applyFont="1" applyFill="1" applyBorder="1" applyProtection="1"/>
    <xf numFmtId="0" fontId="49" fillId="11" borderId="0" xfId="5" applyFont="1" applyFill="1" applyBorder="1" applyProtection="1"/>
    <xf numFmtId="0" fontId="49" fillId="11" borderId="0" xfId="5" applyFont="1" applyFill="1" applyBorder="1" applyProtection="1">
      <protection locked="0"/>
    </xf>
    <xf numFmtId="0" fontId="49" fillId="11" borderId="0" xfId="5" applyFont="1" applyFill="1" applyBorder="1" applyAlignment="1" applyProtection="1">
      <alignment horizontal="right"/>
    </xf>
    <xf numFmtId="0" fontId="49" fillId="12" borderId="0" xfId="5" applyFont="1" applyFill="1" applyBorder="1" applyProtection="1">
      <protection locked="0"/>
    </xf>
    <xf numFmtId="0" fontId="49" fillId="11" borderId="0" xfId="5" applyFont="1" applyFill="1" applyAlignment="1" applyProtection="1">
      <alignment horizontal="right"/>
    </xf>
    <xf numFmtId="3" fontId="49" fillId="14" borderId="0" xfId="5" applyNumberFormat="1" applyFont="1" applyFill="1" applyBorder="1" applyProtection="1"/>
    <xf numFmtId="0" fontId="49" fillId="14" borderId="0" xfId="5" applyFont="1" applyFill="1" applyBorder="1" applyProtection="1"/>
    <xf numFmtId="10" fontId="49" fillId="0" borderId="0" xfId="5" applyNumberFormat="1" applyFont="1" applyFill="1" applyBorder="1" applyAlignment="1" applyProtection="1">
      <alignment horizontal="center"/>
      <protection locked="0"/>
    </xf>
    <xf numFmtId="0" fontId="53" fillId="13" borderId="139" xfId="5" applyFont="1" applyFill="1" applyBorder="1" applyAlignment="1" applyProtection="1">
      <alignment horizontal="center" vertical="center" shrinkToFit="1"/>
    </xf>
    <xf numFmtId="0" fontId="53" fillId="11" borderId="0" xfId="5" applyFont="1" applyFill="1" applyBorder="1" applyAlignment="1" applyProtection="1">
      <alignment horizontal="left"/>
    </xf>
    <xf numFmtId="0" fontId="53" fillId="11" borderId="0" xfId="5" applyFont="1" applyFill="1" applyProtection="1"/>
    <xf numFmtId="0" fontId="49" fillId="11" borderId="0" xfId="5" applyFont="1" applyFill="1" applyAlignment="1" applyProtection="1">
      <alignment horizontal="center"/>
    </xf>
    <xf numFmtId="0" fontId="49" fillId="12" borderId="0" xfId="5" applyFont="1" applyFill="1" applyProtection="1">
      <protection locked="0"/>
    </xf>
    <xf numFmtId="0" fontId="49" fillId="11" borderId="0" xfId="5" applyFont="1" applyFill="1" applyAlignment="1" applyProtection="1">
      <alignment horizontal="centerContinuous"/>
    </xf>
    <xf numFmtId="0" fontId="49" fillId="12" borderId="145" xfId="5" applyFont="1" applyFill="1" applyBorder="1" applyProtection="1">
      <protection locked="0"/>
    </xf>
    <xf numFmtId="0" fontId="49" fillId="11" borderId="145" xfId="5" applyFont="1" applyFill="1" applyBorder="1" applyProtection="1"/>
    <xf numFmtId="0" fontId="49" fillId="11" borderId="145" xfId="5" applyFont="1" applyFill="1" applyBorder="1" applyAlignment="1" applyProtection="1">
      <alignment horizontal="centerContinuous"/>
    </xf>
    <xf numFmtId="0" fontId="49" fillId="0" borderId="0" xfId="5" applyFont="1" applyProtection="1"/>
    <xf numFmtId="0" fontId="74" fillId="11" borderId="0" xfId="5" applyFont="1" applyFill="1" applyAlignment="1" applyProtection="1">
      <alignment horizontal="centerContinuous"/>
    </xf>
    <xf numFmtId="0" fontId="53" fillId="0" borderId="0" xfId="5" applyFont="1" applyProtection="1"/>
    <xf numFmtId="0" fontId="49" fillId="0" borderId="0" xfId="5" applyFont="1" applyAlignment="1" applyProtection="1">
      <alignment horizontal="centerContinuous" vertical="center"/>
    </xf>
    <xf numFmtId="0" fontId="61" fillId="0" borderId="0" xfId="5" applyFont="1" applyAlignment="1" applyProtection="1">
      <alignment horizontal="centerContinuous" vertical="center"/>
    </xf>
    <xf numFmtId="0" fontId="61" fillId="12" borderId="0" xfId="5" applyFont="1" applyFill="1" applyBorder="1" applyAlignment="1" applyProtection="1">
      <alignment vertical="center"/>
      <protection locked="0"/>
    </xf>
    <xf numFmtId="0" fontId="61" fillId="12" borderId="141" xfId="5" applyFont="1" applyFill="1" applyBorder="1" applyAlignment="1" applyProtection="1">
      <alignment vertical="center"/>
      <protection locked="0"/>
    </xf>
    <xf numFmtId="0" fontId="49" fillId="12" borderId="0" xfId="5" applyFont="1" applyFill="1" applyBorder="1" applyAlignment="1" applyProtection="1">
      <alignment vertical="center"/>
      <protection locked="0"/>
    </xf>
    <xf numFmtId="0" fontId="49" fillId="11" borderId="0" xfId="5" applyFont="1" applyFill="1" applyBorder="1" applyAlignment="1" applyProtection="1">
      <alignment vertical="center"/>
    </xf>
    <xf numFmtId="0" fontId="49" fillId="11" borderId="141" xfId="5" applyFont="1" applyFill="1" applyBorder="1" applyAlignment="1" applyProtection="1">
      <alignment vertical="center"/>
    </xf>
    <xf numFmtId="37" fontId="49" fillId="12" borderId="144" xfId="5" applyNumberFormat="1" applyFont="1" applyFill="1" applyBorder="1" applyAlignment="1" applyProtection="1">
      <alignment horizontal="center" vertical="center" shrinkToFit="1"/>
      <protection locked="0"/>
    </xf>
    <xf numFmtId="37" fontId="49" fillId="12" borderId="140" xfId="5" applyNumberFormat="1" applyFont="1" applyFill="1" applyBorder="1" applyAlignment="1" applyProtection="1">
      <alignment horizontal="center" vertical="center"/>
      <protection locked="0"/>
    </xf>
    <xf numFmtId="39" fontId="49" fillId="12" borderId="141" xfId="5" applyNumberFormat="1" applyFont="1" applyFill="1" applyBorder="1" applyAlignment="1" applyProtection="1">
      <alignment vertical="center"/>
      <protection locked="0"/>
    </xf>
    <xf numFmtId="7" fontId="49" fillId="11" borderId="141" xfId="5" applyNumberFormat="1" applyFont="1" applyFill="1" applyBorder="1" applyAlignment="1" applyProtection="1">
      <alignment vertical="center"/>
    </xf>
    <xf numFmtId="39" fontId="49" fillId="11" borderId="141" xfId="5" applyNumberFormat="1" applyFont="1" applyFill="1" applyBorder="1" applyAlignment="1" applyProtection="1">
      <alignment horizontal="right" vertical="center"/>
    </xf>
    <xf numFmtId="0" fontId="49" fillId="0" borderId="91" xfId="2" applyNumberFormat="1" applyFont="1" applyFill="1" applyBorder="1" applyAlignment="1">
      <alignment horizontal="right" vertical="center"/>
    </xf>
    <xf numFmtId="0" fontId="49" fillId="0" borderId="92" xfId="2" applyNumberFormat="1" applyFont="1" applyFill="1" applyBorder="1" applyAlignment="1">
      <alignment vertical="center"/>
    </xf>
    <xf numFmtId="0" fontId="49" fillId="0" borderId="87" xfId="2" applyNumberFormat="1" applyFont="1" applyFill="1" applyBorder="1" applyAlignment="1">
      <alignment vertical="center"/>
    </xf>
    <xf numFmtId="0" fontId="49" fillId="0" borderId="20" xfId="2" applyNumberFormat="1" applyFont="1" applyFill="1" applyBorder="1" applyAlignment="1">
      <alignment horizontal="right" vertical="center"/>
    </xf>
    <xf numFmtId="0" fontId="49" fillId="0" borderId="20" xfId="2" applyNumberFormat="1" applyFont="1" applyFill="1" applyBorder="1" applyAlignment="1">
      <alignment horizontal="center" vertical="center" shrinkToFit="1"/>
    </xf>
    <xf numFmtId="0" fontId="49" fillId="0" borderId="88" xfId="2" applyNumberFormat="1" applyFont="1" applyFill="1" applyBorder="1" applyAlignment="1">
      <alignment vertical="center"/>
    </xf>
    <xf numFmtId="0" fontId="49" fillId="0" borderId="21" xfId="2" applyNumberFormat="1" applyFont="1" applyFill="1" applyBorder="1" applyAlignment="1">
      <alignment vertical="center"/>
    </xf>
    <xf numFmtId="0" fontId="49" fillId="0" borderId="97" xfId="2" applyNumberFormat="1" applyFont="1" applyFill="1" applyBorder="1" applyAlignment="1">
      <alignment vertical="center" wrapText="1"/>
    </xf>
    <xf numFmtId="0" fontId="49" fillId="0" borderId="95" xfId="2" applyNumberFormat="1" applyFont="1" applyFill="1" applyBorder="1" applyAlignment="1">
      <alignment vertical="center" wrapText="1"/>
    </xf>
    <xf numFmtId="0" fontId="49" fillId="0" borderId="24" xfId="2" applyNumberFormat="1" applyFont="1" applyFill="1" applyBorder="1" applyAlignment="1">
      <alignment vertical="center" wrapText="1"/>
    </xf>
    <xf numFmtId="0" fontId="49" fillId="0" borderId="33" xfId="2" applyNumberFormat="1" applyFont="1" applyFill="1" applyBorder="1" applyAlignment="1">
      <alignment vertical="center" wrapText="1"/>
    </xf>
    <xf numFmtId="0" fontId="49" fillId="0" borderId="92" xfId="2" quotePrefix="1" applyNumberFormat="1" applyFont="1" applyFill="1" applyBorder="1" applyAlignment="1">
      <alignment vertical="center"/>
    </xf>
    <xf numFmtId="0" fontId="49" fillId="0" borderId="87" xfId="2" quotePrefix="1" applyNumberFormat="1" applyFont="1" applyFill="1" applyBorder="1" applyAlignment="1">
      <alignment vertical="center"/>
    </xf>
    <xf numFmtId="0" fontId="49" fillId="0" borderId="21" xfId="2" quotePrefix="1" applyNumberFormat="1" applyFont="1" applyFill="1" applyBorder="1" applyAlignment="1">
      <alignment vertical="center"/>
    </xf>
    <xf numFmtId="0" fontId="49" fillId="0" borderId="87" xfId="2" applyNumberFormat="1" applyFont="1" applyBorder="1" applyAlignment="1">
      <alignment vertical="center"/>
    </xf>
    <xf numFmtId="0" fontId="53" fillId="0" borderId="20" xfId="2" applyNumberFormat="1" applyFont="1" applyFill="1" applyBorder="1" applyAlignment="1">
      <alignment horizontal="right" vertical="center"/>
    </xf>
    <xf numFmtId="0" fontId="49" fillId="0" borderId="94" xfId="2" applyNumberFormat="1" applyFont="1" applyBorder="1" applyAlignment="1">
      <alignment vertical="center"/>
    </xf>
    <xf numFmtId="0" fontId="49" fillId="0" borderId="93" xfId="2" applyNumberFormat="1" applyFont="1" applyBorder="1" applyAlignment="1">
      <alignment vertical="center"/>
    </xf>
    <xf numFmtId="0" fontId="49" fillId="0" borderId="93" xfId="2" applyNumberFormat="1" applyFont="1" applyFill="1" applyBorder="1" applyAlignment="1">
      <alignment vertical="center"/>
    </xf>
    <xf numFmtId="0" fontId="49" fillId="0" borderId="20" xfId="2" applyNumberFormat="1" applyFont="1" applyFill="1" applyBorder="1" applyAlignment="1">
      <alignment horizontal="center" vertical="center"/>
    </xf>
    <xf numFmtId="180" fontId="49" fillId="0" borderId="20" xfId="2" applyNumberFormat="1" applyFont="1" applyFill="1" applyBorder="1" applyAlignment="1">
      <alignment vertical="center"/>
    </xf>
    <xf numFmtId="0" fontId="75" fillId="0" borderId="0" xfId="2" applyFont="1" applyFill="1" applyAlignment="1">
      <alignment horizontal="right" vertical="center"/>
    </xf>
    <xf numFmtId="38" fontId="49" fillId="0" borderId="0" xfId="2" applyNumberFormat="1" applyFont="1" applyFill="1" applyAlignment="1">
      <alignment vertical="center"/>
    </xf>
    <xf numFmtId="0" fontId="49" fillId="0" borderId="111" xfId="2" applyFont="1" applyFill="1" applyBorder="1" applyAlignment="1">
      <alignment horizontal="centerContinuous" vertical="center" shrinkToFit="1"/>
    </xf>
    <xf numFmtId="3" fontId="49" fillId="0" borderId="113" xfId="2" applyNumberFormat="1" applyFont="1" applyFill="1" applyBorder="1" applyAlignment="1">
      <alignment vertical="center"/>
    </xf>
    <xf numFmtId="3" fontId="49" fillId="0" borderId="109" xfId="2" applyNumberFormat="1" applyFont="1" applyFill="1" applyBorder="1" applyAlignment="1">
      <alignment vertical="center"/>
    </xf>
    <xf numFmtId="180" fontId="49" fillId="0" borderId="20" xfId="2" applyNumberFormat="1" applyFont="1" applyFill="1" applyBorder="1" applyAlignment="1">
      <alignment horizontal="right" vertical="center"/>
    </xf>
    <xf numFmtId="2" fontId="49" fillId="0" borderId="88" xfId="2" applyNumberFormat="1" applyFont="1" applyFill="1" applyBorder="1" applyAlignment="1">
      <alignment horizontal="right" vertical="center"/>
    </xf>
    <xf numFmtId="2" fontId="49" fillId="0" borderId="88" xfId="2" applyNumberFormat="1" applyFont="1" applyFill="1" applyBorder="1" applyAlignment="1">
      <alignment vertical="center"/>
    </xf>
    <xf numFmtId="0" fontId="49" fillId="0" borderId="146" xfId="2" applyNumberFormat="1" applyFont="1" applyFill="1" applyBorder="1" applyAlignment="1">
      <alignment vertical="center" shrinkToFit="1"/>
    </xf>
    <xf numFmtId="0" fontId="49" fillId="0" borderId="96" xfId="2" applyNumberFormat="1" applyFont="1" applyFill="1" applyBorder="1" applyAlignment="1">
      <alignment vertical="center" wrapText="1"/>
    </xf>
    <xf numFmtId="3" fontId="49" fillId="0" borderId="80" xfId="2" applyNumberFormat="1" applyFont="1" applyFill="1" applyBorder="1" applyAlignment="1">
      <alignment vertical="center"/>
    </xf>
    <xf numFmtId="38" fontId="49" fillId="0" borderId="87" xfId="2" applyNumberFormat="1" applyFont="1" applyFill="1" applyBorder="1" applyAlignment="1">
      <alignment vertical="center"/>
    </xf>
    <xf numFmtId="40" fontId="49" fillId="0" borderId="87" xfId="2" applyNumberFormat="1" applyFont="1" applyFill="1" applyBorder="1" applyAlignment="1">
      <alignment vertical="center"/>
    </xf>
    <xf numFmtId="184" fontId="49" fillId="0" borderId="0" xfId="2" applyNumberFormat="1" applyFont="1" applyFill="1" applyBorder="1" applyAlignment="1">
      <alignment vertical="center"/>
    </xf>
    <xf numFmtId="3" fontId="49" fillId="0" borderId="110" xfId="2" applyNumberFormat="1" applyFont="1" applyFill="1" applyBorder="1" applyAlignment="1">
      <alignment vertical="center"/>
    </xf>
    <xf numFmtId="0" fontId="49" fillId="0" borderId="20" xfId="2" applyNumberFormat="1" applyFont="1" applyFill="1" applyBorder="1" applyAlignment="1">
      <alignment vertical="center" shrinkToFit="1"/>
    </xf>
    <xf numFmtId="0" fontId="49" fillId="0" borderId="92" xfId="2" applyFont="1" applyFill="1" applyBorder="1" applyAlignment="1">
      <alignment vertical="center" shrinkToFit="1"/>
    </xf>
    <xf numFmtId="0" fontId="49" fillId="0" borderId="0" xfId="0" applyFont="1" applyAlignment="1">
      <alignment vertical="center"/>
    </xf>
    <xf numFmtId="0" fontId="49" fillId="0" borderId="1" xfId="0" applyFont="1" applyBorder="1" applyAlignment="1">
      <alignment vertical="center"/>
    </xf>
    <xf numFmtId="164" fontId="49" fillId="0" borderId="0" xfId="0" applyNumberFormat="1" applyFont="1" applyAlignment="1">
      <alignment vertical="center"/>
    </xf>
    <xf numFmtId="0" fontId="49" fillId="0" borderId="0" xfId="0" applyFont="1" applyAlignment="1">
      <alignment vertical="center" shrinkToFit="1"/>
    </xf>
    <xf numFmtId="0" fontId="56" fillId="0" borderId="0" xfId="0" applyFont="1" applyAlignment="1">
      <alignment vertical="center"/>
    </xf>
    <xf numFmtId="49" fontId="49" fillId="0" borderId="0" xfId="0" applyNumberFormat="1" applyFont="1" applyAlignment="1">
      <alignment vertical="center"/>
    </xf>
    <xf numFmtId="0" fontId="49" fillId="0" borderId="0" xfId="0" applyFont="1" applyAlignment="1">
      <alignment horizontal="center" vertical="center"/>
    </xf>
    <xf numFmtId="3" fontId="51" fillId="0" borderId="0" xfId="0" applyNumberFormat="1" applyFont="1" applyAlignment="1">
      <alignment horizontal="left" vertical="center"/>
    </xf>
    <xf numFmtId="3" fontId="49" fillId="0" borderId="0" xfId="0" applyNumberFormat="1" applyFont="1" applyAlignment="1">
      <alignment vertical="center" shrinkToFit="1"/>
    </xf>
    <xf numFmtId="0" fontId="51" fillId="0" borderId="0" xfId="0" applyFont="1" applyAlignment="1">
      <alignment horizontal="left" vertical="center"/>
    </xf>
    <xf numFmtId="182" fontId="49" fillId="0" borderId="0" xfId="0" applyNumberFormat="1" applyFont="1" applyAlignment="1">
      <alignment vertical="center"/>
    </xf>
    <xf numFmtId="14" fontId="49" fillId="0" borderId="0" xfId="0" applyNumberFormat="1" applyFont="1" applyAlignment="1">
      <alignment vertical="center" shrinkToFit="1"/>
    </xf>
    <xf numFmtId="14" fontId="49" fillId="0" borderId="0" xfId="0" applyNumberFormat="1" applyFont="1" applyAlignment="1">
      <alignment horizontal="right" vertical="center" shrinkToFit="1"/>
    </xf>
    <xf numFmtId="0" fontId="49" fillId="0" borderId="0" xfId="0" applyNumberFormat="1" applyFont="1" applyAlignment="1">
      <alignment vertical="center"/>
    </xf>
    <xf numFmtId="14" fontId="49" fillId="0" borderId="0" xfId="0" applyNumberFormat="1" applyFont="1" applyAlignment="1">
      <alignment vertical="top"/>
    </xf>
    <xf numFmtId="0" fontId="49" fillId="0" borderId="0" xfId="0" applyFont="1" applyAlignment="1">
      <alignment vertical="top" wrapText="1"/>
    </xf>
    <xf numFmtId="0" fontId="53" fillId="0" borderId="0" xfId="0" applyFont="1" applyAlignment="1">
      <alignment vertical="center" shrinkToFit="1"/>
    </xf>
    <xf numFmtId="0" fontId="53" fillId="0" borderId="0" xfId="0" applyFont="1" applyAlignment="1">
      <alignment horizontal="left" vertical="center"/>
    </xf>
    <xf numFmtId="0" fontId="49" fillId="0" borderId="0" xfId="0" applyFont="1" applyBorder="1" applyAlignment="1">
      <alignment vertical="center"/>
    </xf>
    <xf numFmtId="165" fontId="49" fillId="0" borderId="0" xfId="0" applyNumberFormat="1" applyFont="1" applyAlignment="1">
      <alignment vertical="center"/>
    </xf>
    <xf numFmtId="0" fontId="49" fillId="0" borderId="3" xfId="0" applyFont="1" applyBorder="1" applyAlignment="1">
      <alignment vertical="center"/>
    </xf>
    <xf numFmtId="165" fontId="49" fillId="0" borderId="0" xfId="0" applyNumberFormat="1" applyFont="1" applyBorder="1" applyAlignment="1">
      <alignment horizontal="center" vertical="center"/>
    </xf>
    <xf numFmtId="0" fontId="53" fillId="0" borderId="0" xfId="0" applyFont="1" applyBorder="1" applyAlignment="1">
      <alignment horizontal="center" vertical="center" shrinkToFit="1"/>
    </xf>
    <xf numFmtId="0" fontId="25" fillId="0" borderId="0" xfId="0" applyFont="1" applyAlignment="1">
      <alignment horizontal="left" vertical="center"/>
    </xf>
    <xf numFmtId="165" fontId="25" fillId="0" borderId="0" xfId="0" applyNumberFormat="1" applyFont="1" applyAlignment="1">
      <alignment vertical="top" wrapText="1"/>
    </xf>
    <xf numFmtId="0" fontId="49" fillId="0" borderId="0" xfId="0" applyFont="1" applyAlignment="1">
      <alignment horizontal="right" vertical="center"/>
    </xf>
    <xf numFmtId="0" fontId="76" fillId="0" borderId="0" xfId="0" applyFont="1" applyAlignment="1">
      <alignment vertical="center"/>
    </xf>
    <xf numFmtId="0" fontId="77" fillId="0" borderId="0" xfId="0" applyFont="1" applyBorder="1" applyAlignment="1">
      <alignment vertical="center"/>
    </xf>
    <xf numFmtId="0" fontId="77" fillId="0" borderId="0" xfId="0" applyFont="1" applyAlignment="1">
      <alignment vertical="center"/>
    </xf>
    <xf numFmtId="0" fontId="53" fillId="0" borderId="0" xfId="0" applyFont="1" applyAlignment="1">
      <alignment vertical="center"/>
    </xf>
    <xf numFmtId="3" fontId="60" fillId="0" borderId="0" xfId="0" applyNumberFormat="1" applyFont="1" applyAlignment="1">
      <alignment vertical="top"/>
    </xf>
    <xf numFmtId="3" fontId="60" fillId="0" borderId="0" xfId="0" applyNumberFormat="1" applyFont="1" applyAlignment="1">
      <alignment horizontal="left" vertical="top"/>
    </xf>
    <xf numFmtId="3" fontId="60" fillId="0" borderId="0" xfId="0" applyNumberFormat="1" applyFont="1" applyAlignment="1">
      <alignment vertical="top" wrapText="1"/>
    </xf>
    <xf numFmtId="0" fontId="60" fillId="0" borderId="0" xfId="0" applyNumberFormat="1" applyFont="1" applyAlignment="1">
      <alignment vertical="top"/>
    </xf>
    <xf numFmtId="0" fontId="53" fillId="0" borderId="0" xfId="0" applyFont="1" applyAlignment="1">
      <alignment vertical="top" wrapText="1"/>
    </xf>
    <xf numFmtId="0" fontId="53" fillId="0" borderId="0" xfId="0" applyFont="1" applyAlignment="1">
      <alignment vertical="top"/>
    </xf>
    <xf numFmtId="0" fontId="49" fillId="10" borderId="0" xfId="0" applyFont="1" applyFill="1" applyAlignment="1">
      <alignment vertical="center"/>
    </xf>
    <xf numFmtId="0" fontId="79" fillId="0" borderId="0" xfId="0" applyFont="1" applyAlignment="1">
      <alignment vertical="top"/>
    </xf>
    <xf numFmtId="0" fontId="49" fillId="0" borderId="0" xfId="0" applyFont="1" applyAlignment="1">
      <alignment horizontal="right" vertical="top" wrapText="1"/>
    </xf>
    <xf numFmtId="0" fontId="49" fillId="10" borderId="0" xfId="0" applyFont="1" applyFill="1" applyAlignment="1">
      <alignment horizontal="left" vertical="center"/>
    </xf>
    <xf numFmtId="0" fontId="53" fillId="0" borderId="0" xfId="0" applyFont="1" applyBorder="1" applyAlignment="1">
      <alignment vertical="center"/>
    </xf>
    <xf numFmtId="0" fontId="53" fillId="0" borderId="0" xfId="0" applyFont="1" applyBorder="1" applyAlignment="1">
      <alignment horizontal="left" vertical="center"/>
    </xf>
    <xf numFmtId="0" fontId="49" fillId="0" borderId="0" xfId="0" applyFont="1" applyBorder="1" applyAlignment="1">
      <alignment horizontal="right" vertical="center"/>
    </xf>
    <xf numFmtId="0" fontId="49" fillId="0" borderId="145" xfId="0" applyFont="1" applyBorder="1" applyAlignment="1">
      <alignment vertical="center"/>
    </xf>
    <xf numFmtId="37" fontId="49" fillId="12" borderId="141" xfId="5" applyNumberFormat="1" applyFont="1" applyFill="1" applyBorder="1" applyAlignment="1" applyProtection="1">
      <alignment vertical="center"/>
      <protection locked="0"/>
    </xf>
    <xf numFmtId="37" fontId="49" fillId="11" borderId="141" xfId="5" applyNumberFormat="1" applyFont="1" applyFill="1" applyBorder="1" applyAlignment="1" applyProtection="1">
      <alignment horizontal="right" vertical="center"/>
    </xf>
    <xf numFmtId="0" fontId="49" fillId="11" borderId="139" xfId="5" applyFont="1" applyFill="1" applyBorder="1" applyAlignment="1" applyProtection="1">
      <alignment horizontal="center" vertical="center" shrinkToFit="1"/>
    </xf>
    <xf numFmtId="39" fontId="49" fillId="11" borderId="141" xfId="5" applyNumberFormat="1" applyFont="1" applyFill="1" applyBorder="1" applyAlignment="1" applyProtection="1">
      <alignment vertical="center"/>
    </xf>
    <xf numFmtId="0" fontId="49" fillId="11" borderId="134" xfId="5" applyFont="1" applyFill="1" applyBorder="1" applyProtection="1"/>
    <xf numFmtId="0" fontId="49" fillId="11" borderId="143" xfId="5" applyFont="1" applyFill="1" applyBorder="1" applyProtection="1"/>
    <xf numFmtId="37" fontId="49" fillId="11" borderId="147" xfId="5" applyNumberFormat="1" applyFont="1" applyFill="1" applyBorder="1" applyAlignment="1" applyProtection="1">
      <alignment vertical="center"/>
    </xf>
    <xf numFmtId="0" fontId="49" fillId="11" borderId="8" xfId="5" applyFont="1" applyFill="1" applyBorder="1" applyProtection="1"/>
    <xf numFmtId="0" fontId="49" fillId="11" borderId="140" xfId="5" applyFont="1" applyFill="1" applyBorder="1" applyAlignment="1" applyProtection="1">
      <alignment horizontal="center" vertical="center"/>
    </xf>
    <xf numFmtId="37" fontId="49" fillId="11" borderId="148" xfId="5" applyNumberFormat="1" applyFont="1" applyFill="1" applyBorder="1" applyAlignment="1" applyProtection="1">
      <alignment vertical="center"/>
    </xf>
    <xf numFmtId="37" fontId="53" fillId="11" borderId="26" xfId="5" applyNumberFormat="1" applyFont="1" applyFill="1" applyBorder="1" applyAlignment="1" applyProtection="1">
      <alignment vertical="center" shrinkToFit="1"/>
    </xf>
    <xf numFmtId="0" fontId="49" fillId="11" borderId="150" xfId="5" applyFont="1" applyFill="1" applyBorder="1" applyAlignment="1" applyProtection="1">
      <alignment horizontal="center" vertical="center"/>
    </xf>
    <xf numFmtId="0" fontId="25" fillId="0" borderId="0" xfId="0" applyFont="1" applyAlignment="1">
      <alignment horizontal="left" vertical="center"/>
    </xf>
    <xf numFmtId="165" fontId="25" fillId="0" borderId="0" xfId="0" applyNumberFormat="1" applyFont="1" applyAlignment="1">
      <alignment horizontal="left" vertical="center"/>
    </xf>
    <xf numFmtId="165" fontId="25" fillId="0" borderId="0" xfId="0" applyNumberFormat="1" applyFont="1" applyAlignment="1">
      <alignment horizontal="left" vertical="top"/>
    </xf>
    <xf numFmtId="165" fontId="25" fillId="0" borderId="0" xfId="0" applyNumberFormat="1" applyFont="1" applyAlignment="1">
      <alignment vertical="top"/>
    </xf>
    <xf numFmtId="0" fontId="49" fillId="0" borderId="0" xfId="0" applyFont="1" applyAlignment="1">
      <alignment horizontal="right" vertical="center"/>
    </xf>
    <xf numFmtId="0" fontId="53" fillId="0" borderId="0" xfId="0" applyFont="1" applyAlignment="1">
      <alignment horizontal="center" vertical="center" shrinkToFit="1"/>
    </xf>
    <xf numFmtId="0" fontId="49" fillId="0" borderId="0" xfId="0" applyFont="1" applyAlignment="1">
      <alignment horizontal="left" vertical="center"/>
    </xf>
    <xf numFmtId="0" fontId="53" fillId="0" borderId="0" xfId="0" applyFont="1" applyAlignment="1">
      <alignment horizontal="right" vertical="center"/>
    </xf>
    <xf numFmtId="0" fontId="49" fillId="0" borderId="0" xfId="0" applyFont="1" applyAlignment="1">
      <alignment horizontal="left" vertical="top" wrapText="1"/>
    </xf>
    <xf numFmtId="0" fontId="49" fillId="0" borderId="87" xfId="0" applyFont="1" applyBorder="1" applyAlignment="1">
      <alignment horizontal="left"/>
    </xf>
    <xf numFmtId="0" fontId="49" fillId="0" borderId="87" xfId="2" applyNumberFormat="1" applyFont="1" applyFill="1" applyBorder="1" applyAlignment="1">
      <alignment horizontal="left" vertical="center"/>
    </xf>
    <xf numFmtId="0" fontId="49" fillId="0" borderId="21" xfId="2" applyNumberFormat="1" applyFont="1" applyFill="1" applyBorder="1" applyAlignment="1">
      <alignment horizontal="left" vertical="center"/>
    </xf>
    <xf numFmtId="0" fontId="49" fillId="0" borderId="0" xfId="2" applyFont="1" applyFill="1" applyAlignment="1">
      <alignment horizontal="right" vertical="center"/>
    </xf>
    <xf numFmtId="0" fontId="49" fillId="0" borderId="92" xfId="2" quotePrefix="1" applyNumberFormat="1" applyFont="1" applyFill="1" applyBorder="1" applyAlignment="1">
      <alignment horizontal="left" vertical="center"/>
    </xf>
    <xf numFmtId="49" fontId="49" fillId="0" borderId="92" xfId="2" quotePrefix="1" applyNumberFormat="1" applyFont="1" applyFill="1" applyBorder="1" applyAlignment="1">
      <alignment vertical="center"/>
    </xf>
    <xf numFmtId="38" fontId="53" fillId="0" borderId="87" xfId="2" applyNumberFormat="1" applyFont="1" applyFill="1" applyBorder="1" applyAlignment="1">
      <alignment vertical="center"/>
    </xf>
    <xf numFmtId="0" fontId="57" fillId="0" borderId="0" xfId="0" applyFont="1" applyAlignment="1">
      <alignment horizontal="right" vertical="center"/>
    </xf>
    <xf numFmtId="186" fontId="49" fillId="0" borderId="0" xfId="0" applyNumberFormat="1" applyFont="1" applyAlignment="1">
      <alignment vertical="center" shrinkToFit="1"/>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8" fillId="0" borderId="55" xfId="0" applyFont="1" applyBorder="1" applyAlignment="1">
      <alignment horizontal="center"/>
    </xf>
    <xf numFmtId="0" fontId="8" fillId="0" borderId="117" xfId="0" applyFont="1" applyBorder="1" applyAlignment="1">
      <alignment horizontal="center"/>
    </xf>
    <xf numFmtId="0" fontId="8" fillId="0" borderId="56" xfId="0" applyFont="1" applyBorder="1" applyAlignment="1">
      <alignment horizontal="center"/>
    </xf>
    <xf numFmtId="0" fontId="8" fillId="0" borderId="116" xfId="0" applyFont="1" applyFill="1" applyBorder="1" applyAlignment="1">
      <alignment horizontal="center"/>
    </xf>
    <xf numFmtId="0" fontId="8" fillId="0" borderId="118" xfId="0" applyFont="1" applyFill="1" applyBorder="1" applyAlignment="1">
      <alignment horizontal="center"/>
    </xf>
    <xf numFmtId="0" fontId="8" fillId="0" borderId="119" xfId="0" applyFont="1" applyFill="1" applyBorder="1" applyAlignment="1">
      <alignment horizontal="center"/>
    </xf>
    <xf numFmtId="0" fontId="25" fillId="0" borderId="0" xfId="0" applyFont="1" applyAlignment="1">
      <alignment horizontal="left" vertical="center" shrinkToFit="1"/>
    </xf>
    <xf numFmtId="0" fontId="71" fillId="0" borderId="0" xfId="0" applyFont="1" applyAlignment="1">
      <alignment horizontal="left" vertical="top" wrapText="1"/>
    </xf>
    <xf numFmtId="0" fontId="8" fillId="0" borderId="0" xfId="0" applyFont="1" applyAlignment="1">
      <alignment horizontal="center" vertical="center"/>
    </xf>
    <xf numFmtId="0" fontId="8" fillId="0" borderId="3" xfId="0" applyFont="1" applyBorder="1" applyAlignment="1">
      <alignment horizontal="center" vertical="center"/>
    </xf>
    <xf numFmtId="0" fontId="25" fillId="0" borderId="0" xfId="0" applyFont="1" applyAlignment="1">
      <alignment horizontal="left" vertical="top" wrapText="1"/>
    </xf>
    <xf numFmtId="49" fontId="25" fillId="0" borderId="0" xfId="0" applyNumberFormat="1" applyFont="1" applyAlignment="1">
      <alignment horizontal="left" vertical="top" wrapText="1"/>
    </xf>
    <xf numFmtId="0" fontId="35" fillId="0" borderId="0" xfId="0" applyFont="1" applyAlignment="1">
      <alignment horizontal="center" vertical="center"/>
    </xf>
    <xf numFmtId="0" fontId="26" fillId="0" borderId="0" xfId="0" applyNumberFormat="1" applyFont="1" applyAlignment="1">
      <alignment horizontal="right" vertical="center"/>
    </xf>
    <xf numFmtId="0" fontId="26" fillId="0" borderId="0" xfId="0" applyNumberFormat="1" applyFont="1" applyAlignment="1">
      <alignment horizontal="left" vertical="center"/>
    </xf>
    <xf numFmtId="0" fontId="8" fillId="0" borderId="120" xfId="0" applyFont="1" applyBorder="1" applyAlignment="1">
      <alignment horizontal="left" vertical="center"/>
    </xf>
    <xf numFmtId="0" fontId="8" fillId="0" borderId="121" xfId="0" applyFont="1" applyBorder="1" applyAlignment="1">
      <alignment horizontal="left" vertical="center"/>
    </xf>
    <xf numFmtId="0" fontId="8" fillId="0" borderId="122" xfId="0" applyFont="1" applyBorder="1" applyAlignment="1">
      <alignment horizontal="left" vertical="center"/>
    </xf>
    <xf numFmtId="0" fontId="8" fillId="0" borderId="39" xfId="0" applyFont="1" applyBorder="1" applyAlignment="1">
      <alignment horizontal="left" vertical="center"/>
    </xf>
    <xf numFmtId="0" fontId="8" fillId="0" borderId="80" xfId="0" applyFont="1" applyBorder="1" applyAlignment="1">
      <alignment horizontal="left" vertical="center"/>
    </xf>
    <xf numFmtId="0" fontId="8" fillId="0" borderId="38" xfId="0" applyFont="1" applyBorder="1" applyAlignment="1">
      <alignment horizontal="left" vertical="center"/>
    </xf>
    <xf numFmtId="0" fontId="26" fillId="0" borderId="0" xfId="0" applyFont="1" applyAlignment="1">
      <alignment horizontal="right" vertical="center"/>
    </xf>
    <xf numFmtId="0" fontId="25" fillId="0" borderId="0" xfId="0" applyFont="1" applyAlignment="1">
      <alignment horizontal="left" vertical="center" wrapText="1"/>
    </xf>
    <xf numFmtId="0" fontId="8" fillId="0" borderId="123" xfId="0" applyFont="1" applyBorder="1" applyAlignment="1">
      <alignment horizontal="center" vertical="center"/>
    </xf>
    <xf numFmtId="0" fontId="8" fillId="2" borderId="63" xfId="0" applyFont="1" applyFill="1" applyBorder="1" applyAlignment="1">
      <alignment horizontal="left" vertical="center"/>
    </xf>
    <xf numFmtId="0" fontId="8" fillId="2" borderId="8" xfId="0" applyFont="1" applyFill="1" applyBorder="1" applyAlignment="1">
      <alignment horizontal="left" vertical="center"/>
    </xf>
    <xf numFmtId="0" fontId="8" fillId="2" borderId="3" xfId="0" applyFont="1" applyFill="1" applyBorder="1" applyAlignment="1">
      <alignment horizontal="left" vertical="center"/>
    </xf>
    <xf numFmtId="0" fontId="8" fillId="2" borderId="9" xfId="0" applyFont="1" applyFill="1" applyBorder="1" applyAlignment="1">
      <alignment horizontal="left" vertical="center"/>
    </xf>
    <xf numFmtId="0" fontId="8" fillId="0" borderId="0" xfId="0" applyFont="1" applyFill="1" applyBorder="1" applyAlignment="1">
      <alignment horizontal="left" vertical="center"/>
    </xf>
    <xf numFmtId="0" fontId="8" fillId="2" borderId="37" xfId="0" applyFont="1" applyFill="1" applyBorder="1" applyAlignment="1">
      <alignment horizontal="center" vertical="center"/>
    </xf>
    <xf numFmtId="0" fontId="26" fillId="0" borderId="0" xfId="0" applyFont="1" applyAlignment="1">
      <alignment horizontal="center" vertical="center"/>
    </xf>
    <xf numFmtId="0" fontId="26" fillId="0" borderId="0" xfId="0" applyFont="1" applyBorder="1" applyAlignment="1">
      <alignment horizontal="center" vertical="center"/>
    </xf>
    <xf numFmtId="0" fontId="26" fillId="0" borderId="0" xfId="0" applyFont="1" applyAlignment="1">
      <alignment horizontal="center" vertical="center" shrinkToFit="1"/>
    </xf>
    <xf numFmtId="0" fontId="25" fillId="0" borderId="0" xfId="0" applyFont="1" applyAlignment="1">
      <alignment horizontal="left" vertical="center"/>
    </xf>
    <xf numFmtId="0" fontId="25" fillId="0" borderId="143" xfId="0" applyFont="1" applyBorder="1" applyAlignment="1">
      <alignment horizontal="center" vertical="center"/>
    </xf>
    <xf numFmtId="14" fontId="8" fillId="0" borderId="0" xfId="0" applyNumberFormat="1" applyFont="1" applyAlignment="1">
      <alignment horizontal="left" vertical="top" wrapText="1"/>
    </xf>
    <xf numFmtId="49" fontId="25" fillId="0" borderId="0" xfId="0" applyNumberFormat="1" applyFont="1" applyAlignment="1">
      <alignment horizontal="left" vertical="center"/>
    </xf>
    <xf numFmtId="0" fontId="25" fillId="0" borderId="0" xfId="0" applyFont="1" applyAlignment="1">
      <alignment horizontal="center" vertical="top" wrapText="1"/>
    </xf>
    <xf numFmtId="164" fontId="49" fillId="0" borderId="0" xfId="0" applyNumberFormat="1" applyFont="1" applyAlignment="1">
      <alignment horizontal="left" vertical="center"/>
    </xf>
    <xf numFmtId="0" fontId="60" fillId="0" borderId="0" xfId="0" applyFont="1" applyAlignment="1">
      <alignment horizontal="left" vertical="top" wrapText="1"/>
    </xf>
    <xf numFmtId="0" fontId="49" fillId="0" borderId="0" xfId="0" applyFont="1" applyAlignment="1">
      <alignment horizontal="right" vertical="center"/>
    </xf>
    <xf numFmtId="0" fontId="77" fillId="0" borderId="2" xfId="0" applyFont="1" applyBorder="1" applyAlignment="1">
      <alignment horizontal="center" vertical="center"/>
    </xf>
    <xf numFmtId="0" fontId="77" fillId="0" borderId="0" xfId="0" applyFont="1" applyBorder="1" applyAlignment="1">
      <alignment horizontal="center" vertical="center"/>
    </xf>
    <xf numFmtId="0" fontId="49" fillId="0" borderId="1" xfId="0" applyFont="1" applyBorder="1" applyAlignment="1">
      <alignment horizontal="right" vertical="center"/>
    </xf>
    <xf numFmtId="0" fontId="49" fillId="0" borderId="0" xfId="0" applyFont="1" applyAlignment="1">
      <alignment shrinkToFit="1"/>
    </xf>
    <xf numFmtId="0" fontId="57" fillId="0" borderId="0" xfId="0" applyFont="1" applyAlignment="1">
      <alignment horizontal="left" vertical="center" shrinkToFit="1"/>
    </xf>
    <xf numFmtId="0" fontId="53" fillId="0" borderId="123" xfId="0" applyFont="1" applyBorder="1" applyAlignment="1">
      <alignment horizontal="center" vertical="center" shrinkToFit="1"/>
    </xf>
    <xf numFmtId="0" fontId="53" fillId="0" borderId="0" xfId="0" applyFont="1" applyAlignment="1">
      <alignment horizontal="center" vertical="center" shrinkToFit="1"/>
    </xf>
    <xf numFmtId="186" fontId="49" fillId="0" borderId="3" xfId="0" applyNumberFormat="1" applyFont="1" applyBorder="1" applyAlignment="1">
      <alignment horizontal="center" vertical="center"/>
    </xf>
    <xf numFmtId="0" fontId="49" fillId="0" borderId="0" xfId="0" applyFont="1" applyAlignment="1">
      <alignment horizontal="left" vertical="center"/>
    </xf>
    <xf numFmtId="0" fontId="53" fillId="0" borderId="0" xfId="0" applyFont="1" applyAlignment="1">
      <alignment horizontal="right" vertical="center"/>
    </xf>
    <xf numFmtId="14" fontId="49" fillId="0" borderId="0" xfId="0" applyNumberFormat="1" applyFont="1" applyAlignment="1">
      <alignment horizontal="left" vertical="top" wrapText="1"/>
    </xf>
    <xf numFmtId="0" fontId="49" fillId="0" borderId="0" xfId="0" applyFont="1" applyAlignment="1">
      <alignment horizontal="left" vertical="top" wrapText="1"/>
    </xf>
    <xf numFmtId="3" fontId="49" fillId="0" borderId="0" xfId="0" applyNumberFormat="1" applyFont="1" applyAlignment="1">
      <alignment horizontal="right" vertical="center" shrinkToFit="1"/>
    </xf>
    <xf numFmtId="0" fontId="49" fillId="0" borderId="0" xfId="0" applyFont="1" applyAlignment="1">
      <alignment horizontal="left" vertical="center" shrinkToFit="1"/>
    </xf>
    <xf numFmtId="0" fontId="49" fillId="0" borderId="92" xfId="2" applyFont="1" applyFill="1" applyBorder="1" applyAlignment="1">
      <alignment horizontal="right" vertical="center" shrinkToFit="1"/>
    </xf>
    <xf numFmtId="0" fontId="49" fillId="0" borderId="87" xfId="2" applyFont="1" applyFill="1" applyBorder="1" applyAlignment="1">
      <alignment horizontal="right" vertical="center" shrinkToFit="1"/>
    </xf>
    <xf numFmtId="0" fontId="49" fillId="0" borderId="21" xfId="2" applyFont="1" applyFill="1" applyBorder="1" applyAlignment="1">
      <alignment horizontal="right" vertical="center" shrinkToFit="1"/>
    </xf>
    <xf numFmtId="0" fontId="54" fillId="0" borderId="0" xfId="2" applyFont="1" applyFill="1" applyAlignment="1">
      <alignment horizontal="left" vertical="center" wrapText="1"/>
    </xf>
    <xf numFmtId="0" fontId="49" fillId="0" borderId="0" xfId="2" applyFont="1" applyFill="1" applyAlignment="1">
      <alignment horizontal="center" vertical="center"/>
    </xf>
    <xf numFmtId="0" fontId="53" fillId="0" borderId="0" xfId="2" applyFont="1" applyFill="1" applyAlignment="1">
      <alignment horizontal="center" vertical="center" shrinkToFit="1"/>
    </xf>
    <xf numFmtId="0" fontId="49" fillId="0" borderId="87" xfId="2" applyNumberFormat="1" applyFont="1" applyFill="1" applyBorder="1" applyAlignment="1">
      <alignment horizontal="left" vertical="center" wrapText="1"/>
    </xf>
    <xf numFmtId="0" fontId="49" fillId="0" borderId="21" xfId="2" applyNumberFormat="1" applyFont="1" applyFill="1" applyBorder="1" applyAlignment="1">
      <alignment horizontal="left" vertical="center" wrapText="1"/>
    </xf>
    <xf numFmtId="0" fontId="49" fillId="0" borderId="80" xfId="0" applyFont="1" applyBorder="1" applyAlignment="1">
      <alignment horizontal="center"/>
    </xf>
    <xf numFmtId="0" fontId="49" fillId="0" borderId="86" xfId="0" applyFont="1" applyBorder="1" applyAlignment="1">
      <alignment horizontal="center"/>
    </xf>
    <xf numFmtId="0" fontId="49" fillId="0" borderId="92" xfId="2" applyFont="1" applyFill="1" applyBorder="1" applyAlignment="1">
      <alignment horizontal="right" vertical="center"/>
    </xf>
    <xf numFmtId="0" fontId="49" fillId="0" borderId="87" xfId="2" applyFont="1" applyFill="1" applyBorder="1" applyAlignment="1">
      <alignment horizontal="right" vertical="center"/>
    </xf>
    <xf numFmtId="0" fontId="49" fillId="0" borderId="21" xfId="2" applyFont="1" applyFill="1" applyBorder="1" applyAlignment="1">
      <alignment horizontal="right" vertical="center"/>
    </xf>
    <xf numFmtId="0" fontId="49" fillId="0" borderId="92" xfId="2" applyNumberFormat="1" applyFont="1" applyFill="1" applyBorder="1" applyAlignment="1">
      <alignment horizontal="right" vertical="center"/>
    </xf>
    <xf numFmtId="0" fontId="49" fillId="0" borderId="87" xfId="2" applyNumberFormat="1" applyFont="1" applyFill="1" applyBorder="1" applyAlignment="1">
      <alignment horizontal="right" vertical="center"/>
    </xf>
    <xf numFmtId="0" fontId="49" fillId="0" borderId="21" xfId="2" applyNumberFormat="1" applyFont="1" applyFill="1" applyBorder="1" applyAlignment="1">
      <alignment horizontal="right" vertical="center"/>
    </xf>
    <xf numFmtId="0" fontId="49" fillId="0" borderId="92" xfId="0" applyFont="1" applyBorder="1" applyAlignment="1">
      <alignment horizontal="right"/>
    </xf>
    <xf numFmtId="0" fontId="49" fillId="0" borderId="87" xfId="0" applyFont="1" applyBorder="1" applyAlignment="1">
      <alignment horizontal="right"/>
    </xf>
    <xf numFmtId="0" fontId="49" fillId="0" borderId="21" xfId="0" applyFont="1" applyBorder="1" applyAlignment="1">
      <alignment horizontal="right"/>
    </xf>
    <xf numFmtId="0" fontId="49" fillId="0" borderId="92" xfId="0" applyFont="1" applyBorder="1" applyAlignment="1">
      <alignment horizontal="center"/>
    </xf>
    <xf numFmtId="0" fontId="49" fillId="0" borderId="87" xfId="0" applyFont="1" applyBorder="1" applyAlignment="1">
      <alignment horizontal="center"/>
    </xf>
    <xf numFmtId="0" fontId="49" fillId="0" borderId="21" xfId="0" applyFont="1" applyBorder="1" applyAlignment="1">
      <alignment horizontal="center"/>
    </xf>
    <xf numFmtId="0" fontId="49" fillId="0" borderId="92" xfId="0" applyFont="1" applyBorder="1" applyAlignment="1">
      <alignment horizontal="left"/>
    </xf>
    <xf numFmtId="0" fontId="49" fillId="0" borderId="87" xfId="0" applyFont="1" applyBorder="1" applyAlignment="1">
      <alignment horizontal="left"/>
    </xf>
    <xf numFmtId="0" fontId="49" fillId="0" borderId="90" xfId="0" applyFont="1" applyBorder="1" applyAlignment="1">
      <alignment horizontal="right"/>
    </xf>
    <xf numFmtId="0" fontId="49" fillId="0" borderId="89" xfId="0" applyFont="1" applyBorder="1" applyAlignment="1">
      <alignment horizontal="right"/>
    </xf>
    <xf numFmtId="0" fontId="49" fillId="0" borderId="17" xfId="0" applyFont="1" applyBorder="1" applyAlignment="1">
      <alignment horizontal="right"/>
    </xf>
    <xf numFmtId="0" fontId="49" fillId="0" borderId="80" xfId="2" applyFont="1" applyFill="1" applyBorder="1" applyAlignment="1">
      <alignment horizontal="center" vertical="center"/>
    </xf>
    <xf numFmtId="0" fontId="49" fillId="0" borderId="86" xfId="2" applyFont="1" applyFill="1" applyBorder="1" applyAlignment="1">
      <alignment horizontal="center" vertical="center"/>
    </xf>
    <xf numFmtId="0" fontId="49" fillId="0" borderId="90" xfId="2" applyFont="1" applyFill="1" applyBorder="1" applyAlignment="1">
      <alignment horizontal="right" vertical="center"/>
    </xf>
    <xf numFmtId="0" fontId="49" fillId="0" borderId="89" xfId="2" applyFont="1" applyFill="1" applyBorder="1" applyAlignment="1">
      <alignment horizontal="right" vertical="center"/>
    </xf>
    <xf numFmtId="0" fontId="49" fillId="0" borderId="17" xfId="2" applyFont="1" applyFill="1" applyBorder="1" applyAlignment="1">
      <alignment horizontal="right" vertical="center"/>
    </xf>
    <xf numFmtId="0" fontId="49" fillId="0" borderId="92" xfId="2" applyNumberFormat="1" applyFont="1" applyFill="1" applyBorder="1" applyAlignment="1">
      <alignment horizontal="left" vertical="center"/>
    </xf>
    <xf numFmtId="0" fontId="49" fillId="0" borderId="87" xfId="2" applyNumberFormat="1" applyFont="1" applyFill="1" applyBorder="1" applyAlignment="1">
      <alignment horizontal="left" vertical="center"/>
    </xf>
    <xf numFmtId="0" fontId="49" fillId="0" borderId="21" xfId="2" applyNumberFormat="1" applyFont="1" applyFill="1" applyBorder="1" applyAlignment="1">
      <alignment horizontal="left" vertical="center"/>
    </xf>
    <xf numFmtId="0" fontId="54" fillId="0" borderId="79" xfId="0" applyFont="1" applyFill="1" applyBorder="1" applyAlignment="1">
      <alignment horizontal="center" vertical="center" wrapText="1"/>
    </xf>
    <xf numFmtId="0" fontId="54" fillId="0" borderId="68" xfId="0" applyFont="1" applyFill="1" applyBorder="1" applyAlignment="1">
      <alignment horizontal="center" vertical="center" wrapText="1"/>
    </xf>
    <xf numFmtId="0" fontId="54" fillId="0" borderId="78" xfId="0" applyFont="1" applyBorder="1" applyAlignment="1">
      <alignment horizontal="center" vertical="center" wrapText="1"/>
    </xf>
    <xf numFmtId="0" fontId="54" fillId="0" borderId="34" xfId="0" applyFont="1" applyBorder="1" applyAlignment="1">
      <alignment horizontal="center" vertical="center"/>
    </xf>
    <xf numFmtId="0" fontId="54" fillId="0" borderId="85" xfId="0" applyFont="1" applyFill="1" applyBorder="1" applyAlignment="1">
      <alignment horizontal="center" vertical="center" wrapText="1"/>
    </xf>
    <xf numFmtId="0" fontId="54" fillId="0" borderId="75" xfId="0" applyFont="1" applyFill="1" applyBorder="1" applyAlignment="1">
      <alignment horizontal="center" vertical="center" wrapText="1"/>
    </xf>
    <xf numFmtId="0" fontId="54" fillId="0" borderId="76" xfId="0" applyFont="1" applyFill="1" applyBorder="1" applyAlignment="1">
      <alignment horizontal="center" vertical="center" wrapText="1"/>
    </xf>
    <xf numFmtId="0" fontId="54" fillId="0" borderId="73" xfId="0" applyFont="1" applyFill="1" applyBorder="1" applyAlignment="1">
      <alignment horizontal="center" vertical="center" wrapText="1"/>
    </xf>
    <xf numFmtId="179" fontId="50" fillId="0" borderId="101" xfId="0" applyNumberFormat="1" applyFont="1" applyBorder="1" applyAlignment="1">
      <alignment horizontal="center"/>
    </xf>
    <xf numFmtId="0" fontId="49" fillId="0" borderId="0" xfId="0" applyFont="1" applyAlignment="1">
      <alignment horizontal="right"/>
    </xf>
    <xf numFmtId="0" fontId="49" fillId="0" borderId="100" xfId="0" applyFont="1" applyBorder="1" applyAlignment="1">
      <alignment horizontal="left"/>
    </xf>
    <xf numFmtId="0" fontId="49" fillId="0" borderId="3" xfId="0" applyFont="1" applyBorder="1" applyAlignment="1">
      <alignment horizontal="center"/>
    </xf>
    <xf numFmtId="0" fontId="50" fillId="0" borderId="0" xfId="0" applyFont="1" applyBorder="1" applyAlignment="1">
      <alignment horizontal="center" vertical="center"/>
    </xf>
    <xf numFmtId="14" fontId="49" fillId="0" borderId="0" xfId="0" applyNumberFormat="1" applyFont="1" applyAlignment="1">
      <alignment horizontal="right"/>
    </xf>
    <xf numFmtId="0" fontId="55" fillId="0" borderId="101" xfId="0" applyFont="1" applyBorder="1" applyAlignment="1">
      <alignment horizontal="center"/>
    </xf>
    <xf numFmtId="0" fontId="53" fillId="0" borderId="0" xfId="0" applyFont="1" applyAlignment="1">
      <alignment horizontal="distributed" readingOrder="1"/>
    </xf>
    <xf numFmtId="0" fontId="49" fillId="0" borderId="137" xfId="0" applyFont="1" applyBorder="1" applyAlignment="1">
      <alignment horizontal="left"/>
    </xf>
    <xf numFmtId="0" fontId="49" fillId="0" borderId="3" xfId="0" applyFont="1" applyBorder="1" applyAlignment="1">
      <alignment horizontal="left"/>
    </xf>
    <xf numFmtId="0" fontId="49" fillId="0" borderId="0" xfId="0" applyFont="1" applyAlignment="1">
      <alignment horizontal="center"/>
    </xf>
    <xf numFmtId="0" fontId="57" fillId="0" borderId="101" xfId="2" applyFont="1" applyFill="1" applyBorder="1" applyAlignment="1">
      <alignment horizontal="center"/>
    </xf>
    <xf numFmtId="0" fontId="54" fillId="0" borderId="79" xfId="2" applyFont="1" applyFill="1" applyBorder="1" applyAlignment="1">
      <alignment horizontal="center" vertical="center" wrapText="1"/>
    </xf>
    <xf numFmtId="0" fontId="54" fillId="0" borderId="68" xfId="2" applyFont="1" applyFill="1" applyBorder="1" applyAlignment="1">
      <alignment horizontal="center" vertical="center" wrapText="1"/>
    </xf>
    <xf numFmtId="0" fontId="58" fillId="0" borderId="78" xfId="2" applyFont="1" applyFill="1" applyBorder="1" applyAlignment="1">
      <alignment horizontal="center" vertical="center" wrapText="1"/>
    </xf>
    <xf numFmtId="0" fontId="58" fillId="0" borderId="34" xfId="2" applyFont="1" applyFill="1" applyBorder="1" applyAlignment="1">
      <alignment horizontal="center" vertical="center"/>
    </xf>
    <xf numFmtId="0" fontId="54" fillId="0" borderId="85" xfId="2" applyFont="1" applyFill="1" applyBorder="1" applyAlignment="1">
      <alignment horizontal="center" vertical="center" wrapText="1"/>
    </xf>
    <xf numFmtId="0" fontId="54" fillId="0" borderId="75" xfId="2" applyFont="1" applyFill="1" applyBorder="1" applyAlignment="1">
      <alignment horizontal="center" vertical="center" wrapText="1"/>
    </xf>
    <xf numFmtId="0" fontId="54" fillId="0" borderId="76" xfId="2" applyFont="1" applyFill="1" applyBorder="1" applyAlignment="1">
      <alignment horizontal="center" vertical="center" wrapText="1"/>
    </xf>
    <xf numFmtId="0" fontId="54" fillId="0" borderId="73" xfId="2" applyFont="1" applyFill="1" applyBorder="1" applyAlignment="1">
      <alignment horizontal="center" vertical="center" wrapText="1"/>
    </xf>
    <xf numFmtId="0" fontId="49" fillId="0" borderId="38" xfId="2" applyFont="1" applyFill="1" applyBorder="1" applyAlignment="1">
      <alignment horizontal="center" vertical="center"/>
    </xf>
    <xf numFmtId="0" fontId="49" fillId="0" borderId="3" xfId="2" applyFont="1" applyFill="1" applyBorder="1" applyAlignment="1">
      <alignment horizontal="right" vertical="center"/>
    </xf>
    <xf numFmtId="0" fontId="50" fillId="0" borderId="0" xfId="2" applyFont="1" applyFill="1" applyBorder="1" applyAlignment="1">
      <alignment horizontal="center" vertical="center"/>
    </xf>
    <xf numFmtId="0" fontId="53" fillId="0" borderId="101" xfId="2" applyFont="1" applyFill="1" applyBorder="1" applyAlignment="1">
      <alignment horizontal="center" vertical="center" shrinkToFit="1"/>
    </xf>
    <xf numFmtId="186" fontId="49" fillId="0" borderId="0" xfId="2" applyNumberFormat="1" applyFont="1" applyFill="1" applyAlignment="1">
      <alignment horizontal="center" vertical="center"/>
    </xf>
    <xf numFmtId="0" fontId="49" fillId="0" borderId="0" xfId="2" applyFont="1" applyFill="1" applyAlignment="1">
      <alignment horizontal="center" vertical="center" shrinkToFit="1"/>
    </xf>
    <xf numFmtId="0" fontId="56" fillId="0" borderId="0" xfId="2" applyFont="1" applyFill="1" applyBorder="1" applyAlignment="1">
      <alignment horizontal="center" vertical="center"/>
    </xf>
    <xf numFmtId="0" fontId="49" fillId="0" borderId="0" xfId="2" applyFont="1" applyFill="1" applyAlignment="1">
      <alignment horizontal="right" vertical="center"/>
    </xf>
    <xf numFmtId="0" fontId="61" fillId="0" borderId="0" xfId="2" applyFont="1" applyFill="1" applyBorder="1" applyAlignment="1">
      <alignment horizontal="left" vertical="center" wrapText="1" shrinkToFit="1"/>
    </xf>
    <xf numFmtId="187" fontId="50" fillId="0" borderId="101" xfId="2" applyNumberFormat="1" applyFont="1" applyFill="1" applyBorder="1" applyAlignment="1">
      <alignment horizontal="center" vertical="center"/>
    </xf>
    <xf numFmtId="0" fontId="49" fillId="0" borderId="100" xfId="2" applyFont="1" applyFill="1" applyBorder="1" applyAlignment="1">
      <alignment horizontal="left" vertical="center"/>
    </xf>
    <xf numFmtId="164" fontId="8" fillId="0" borderId="0" xfId="0" applyNumberFormat="1" applyFont="1" applyAlignment="1">
      <alignment horizontal="left" vertical="center"/>
    </xf>
    <xf numFmtId="0" fontId="37" fillId="0" borderId="0" xfId="0" applyFont="1" applyAlignment="1">
      <alignment horizontal="right" vertical="center"/>
    </xf>
    <xf numFmtId="0" fontId="21" fillId="0" borderId="0" xfId="0" applyFont="1" applyAlignment="1">
      <alignment horizontal="left" vertical="top" wrapText="1"/>
    </xf>
    <xf numFmtId="0" fontId="8" fillId="0" borderId="0" xfId="0" applyFont="1" applyAlignment="1">
      <alignment horizontal="right" vertical="center"/>
    </xf>
    <xf numFmtId="0" fontId="38" fillId="0" borderId="2" xfId="0" applyFont="1" applyBorder="1" applyAlignment="1">
      <alignment horizontal="center" vertical="center"/>
    </xf>
    <xf numFmtId="0" fontId="38" fillId="0" borderId="0" xfId="0" applyFont="1" applyBorder="1" applyAlignment="1">
      <alignment horizontal="center" vertical="center"/>
    </xf>
    <xf numFmtId="0" fontId="8" fillId="0" borderId="1" xfId="0" applyFont="1" applyBorder="1" applyAlignment="1">
      <alignment horizontal="right" vertical="center"/>
    </xf>
    <xf numFmtId="0" fontId="6" fillId="0" borderId="0" xfId="0" applyFont="1" applyAlignment="1">
      <alignment shrinkToFit="1"/>
    </xf>
    <xf numFmtId="0" fontId="32" fillId="0" borderId="123" xfId="0" applyFont="1" applyBorder="1" applyAlignment="1">
      <alignment horizontal="center" vertical="center"/>
    </xf>
    <xf numFmtId="0" fontId="8" fillId="0" borderId="134" xfId="0" applyFont="1" applyBorder="1" applyAlignment="1">
      <alignment horizontal="center" vertical="center"/>
    </xf>
    <xf numFmtId="0" fontId="8" fillId="0" borderId="124" xfId="0" applyFont="1" applyBorder="1" applyAlignment="1">
      <alignment horizontal="center" vertical="center"/>
    </xf>
    <xf numFmtId="0" fontId="8" fillId="0" borderId="135" xfId="0" applyFont="1" applyBorder="1" applyAlignment="1">
      <alignment horizontal="center" vertical="center"/>
    </xf>
    <xf numFmtId="0" fontId="8" fillId="0" borderId="0" xfId="0" applyFont="1" applyBorder="1" applyAlignment="1">
      <alignment horizontal="center" vertical="center"/>
    </xf>
    <xf numFmtId="0" fontId="8" fillId="0" borderId="30"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164" fontId="8" fillId="0" borderId="37" xfId="0" applyNumberFormat="1" applyFont="1" applyBorder="1" applyAlignment="1">
      <alignment horizontal="left" vertical="top" wrapText="1"/>
    </xf>
    <xf numFmtId="0" fontId="8" fillId="0" borderId="37" xfId="0" applyFont="1" applyBorder="1" applyAlignment="1">
      <alignment horizontal="left" vertical="top" wrapText="1"/>
    </xf>
    <xf numFmtId="0" fontId="8" fillId="0" borderId="134" xfId="0" applyFont="1" applyBorder="1" applyAlignment="1">
      <alignment horizontal="left" vertical="center" wrapText="1"/>
    </xf>
    <xf numFmtId="0" fontId="8" fillId="0" borderId="123" xfId="0" applyFont="1" applyBorder="1" applyAlignment="1">
      <alignment horizontal="left" vertical="center" wrapText="1"/>
    </xf>
    <xf numFmtId="0" fontId="8" fillId="0" borderId="124" xfId="0" applyFont="1" applyBorder="1" applyAlignment="1">
      <alignment horizontal="left" vertical="center" wrapText="1"/>
    </xf>
    <xf numFmtId="0" fontId="8" fillId="0" borderId="135" xfId="0" applyFont="1" applyBorder="1" applyAlignment="1">
      <alignment horizontal="left" vertical="center" wrapText="1"/>
    </xf>
    <xf numFmtId="0" fontId="8" fillId="0" borderId="0" xfId="0" applyFont="1" applyBorder="1" applyAlignment="1">
      <alignment horizontal="left" vertical="center" wrapText="1"/>
    </xf>
    <xf numFmtId="0" fontId="8" fillId="0" borderId="30" xfId="0" applyFont="1" applyBorder="1" applyAlignment="1">
      <alignment horizontal="left" vertical="center" wrapText="1"/>
    </xf>
    <xf numFmtId="0" fontId="8" fillId="0" borderId="8" xfId="0" applyFont="1" applyBorder="1" applyAlignment="1">
      <alignment horizontal="left" vertical="center"/>
    </xf>
    <xf numFmtId="0" fontId="8" fillId="0" borderId="3" xfId="0" applyFont="1" applyBorder="1" applyAlignment="1">
      <alignment horizontal="left" vertical="center"/>
    </xf>
    <xf numFmtId="0" fontId="8" fillId="0" borderId="9" xfId="0" applyFont="1" applyBorder="1" applyAlignment="1">
      <alignment horizontal="left" vertical="center"/>
    </xf>
    <xf numFmtId="164" fontId="8" fillId="0" borderId="145" xfId="0" applyNumberFormat="1" applyFont="1" applyBorder="1" applyAlignment="1">
      <alignment horizontal="center" vertical="center"/>
    </xf>
    <xf numFmtId="3" fontId="25" fillId="0" borderId="0" xfId="0" applyNumberFormat="1" applyFont="1" applyAlignment="1">
      <alignment horizontal="center" vertical="top" wrapText="1"/>
    </xf>
    <xf numFmtId="0" fontId="8" fillId="0" borderId="123" xfId="0" applyFont="1" applyBorder="1" applyAlignment="1">
      <alignment horizontal="right" vertical="top" wrapText="1"/>
    </xf>
    <xf numFmtId="0" fontId="8" fillId="0" borderId="124" xfId="0" applyFont="1" applyBorder="1" applyAlignment="1">
      <alignment horizontal="right" vertical="top" wrapText="1"/>
    </xf>
    <xf numFmtId="0" fontId="8" fillId="0" borderId="3" xfId="0" applyFont="1" applyBorder="1" applyAlignment="1">
      <alignment horizontal="right" vertical="top" wrapText="1"/>
    </xf>
    <xf numFmtId="0" fontId="8" fillId="0" borderId="9" xfId="0" applyFont="1" applyBorder="1" applyAlignment="1">
      <alignment horizontal="right" vertical="top" wrapText="1"/>
    </xf>
    <xf numFmtId="0" fontId="32" fillId="0" borderId="0" xfId="0" applyFont="1" applyAlignment="1">
      <alignment horizontal="left" vertical="center" shrinkToFit="1"/>
    </xf>
    <xf numFmtId="0" fontId="32" fillId="0" borderId="0" xfId="0" applyFont="1" applyAlignment="1">
      <alignment horizontal="center" vertical="center" shrinkToFit="1"/>
    </xf>
    <xf numFmtId="0" fontId="76" fillId="0" borderId="0" xfId="0" applyFont="1" applyAlignment="1">
      <alignment horizontal="right" vertical="center"/>
    </xf>
    <xf numFmtId="0" fontId="49" fillId="0" borderId="0" xfId="0" applyFont="1" applyAlignment="1">
      <alignment horizontal="left" vertical="top"/>
    </xf>
    <xf numFmtId="0" fontId="78" fillId="0" borderId="0" xfId="0" applyFont="1" applyAlignment="1">
      <alignment shrinkToFit="1"/>
    </xf>
    <xf numFmtId="0" fontId="53" fillId="0" borderId="143" xfId="0" applyFont="1" applyBorder="1" applyAlignment="1">
      <alignment horizontal="center" vertical="center"/>
    </xf>
    <xf numFmtId="3" fontId="60" fillId="0" borderId="0" xfId="0" applyNumberFormat="1" applyFont="1" applyAlignment="1">
      <alignment horizontal="center" vertical="top" wrapText="1"/>
    </xf>
    <xf numFmtId="3" fontId="53" fillId="0" borderId="0" xfId="0" applyNumberFormat="1" applyFont="1" applyAlignment="1">
      <alignment horizontal="center" vertical="top"/>
    </xf>
    <xf numFmtId="1" fontId="49" fillId="12" borderId="0" xfId="5" applyNumberFormat="1" applyFont="1" applyFill="1" applyBorder="1" applyAlignment="1" applyProtection="1">
      <alignment horizontal="left"/>
      <protection locked="0"/>
    </xf>
    <xf numFmtId="164" fontId="49" fillId="12" borderId="0" xfId="5" applyNumberFormat="1" applyFont="1" applyFill="1" applyBorder="1" applyAlignment="1" applyProtection="1">
      <alignment horizontal="left"/>
      <protection locked="0"/>
    </xf>
    <xf numFmtId="165" fontId="49" fillId="12" borderId="0" xfId="5" applyNumberFormat="1" applyFont="1" applyFill="1" applyBorder="1" applyAlignment="1" applyProtection="1">
      <alignment horizontal="left"/>
      <protection locked="0"/>
    </xf>
    <xf numFmtId="0" fontId="49" fillId="11" borderId="0" xfId="5" applyFont="1" applyFill="1" applyBorder="1" applyAlignment="1" applyProtection="1">
      <alignment horizontal="left"/>
    </xf>
    <xf numFmtId="0" fontId="49" fillId="12" borderId="0" xfId="5" applyFont="1" applyFill="1" applyBorder="1" applyAlignment="1" applyProtection="1">
      <alignment horizontal="left"/>
      <protection locked="0"/>
    </xf>
    <xf numFmtId="0" fontId="49" fillId="11" borderId="0" xfId="5" applyFont="1" applyFill="1" applyAlignment="1" applyProtection="1">
      <alignment horizontal="center"/>
    </xf>
    <xf numFmtId="0" fontId="49" fillId="12" borderId="143" xfId="5" applyFont="1" applyFill="1" applyBorder="1" applyAlignment="1" applyProtection="1">
      <alignment horizontal="center"/>
      <protection locked="0"/>
    </xf>
    <xf numFmtId="0" fontId="53" fillId="11" borderId="129" xfId="5" applyFont="1" applyFill="1" applyBorder="1" applyAlignment="1" applyProtection="1">
      <alignment horizontal="center" shrinkToFit="1"/>
    </xf>
    <xf numFmtId="0" fontId="53" fillId="11" borderId="138" xfId="5" applyFont="1" applyFill="1" applyBorder="1" applyAlignment="1" applyProtection="1">
      <alignment horizontal="center" shrinkToFit="1"/>
    </xf>
    <xf numFmtId="0" fontId="53" fillId="11" borderId="26" xfId="5" applyFont="1" applyFill="1" applyBorder="1" applyAlignment="1" applyProtection="1">
      <alignment horizontal="center" shrinkToFit="1"/>
    </xf>
    <xf numFmtId="37" fontId="49" fillId="12" borderId="143" xfId="5" applyNumberFormat="1" applyFont="1" applyFill="1" applyBorder="1" applyAlignment="1" applyProtection="1">
      <alignment horizontal="left" vertical="center"/>
      <protection locked="0"/>
    </xf>
    <xf numFmtId="37" fontId="49" fillId="12" borderId="142" xfId="5" applyNumberFormat="1" applyFont="1" applyFill="1" applyBorder="1" applyAlignment="1" applyProtection="1">
      <alignment horizontal="left" vertical="center"/>
      <protection locked="0"/>
    </xf>
    <xf numFmtId="0" fontId="53" fillId="13" borderId="143" xfId="5" applyFont="1" applyFill="1" applyBorder="1" applyAlignment="1" applyProtection="1">
      <alignment horizontal="center" vertical="center" shrinkToFit="1"/>
    </xf>
    <xf numFmtId="0" fontId="53" fillId="13" borderId="124" xfId="5" applyFont="1" applyFill="1" applyBorder="1" applyAlignment="1" applyProtection="1">
      <alignment horizontal="center" vertical="center" shrinkToFit="1"/>
    </xf>
    <xf numFmtId="0" fontId="53" fillId="13" borderId="145" xfId="5" applyFont="1" applyFill="1" applyBorder="1" applyAlignment="1" applyProtection="1">
      <alignment horizontal="center" vertical="center" shrinkToFit="1"/>
    </xf>
    <xf numFmtId="0" fontId="53" fillId="13" borderId="9" xfId="5" applyFont="1" applyFill="1" applyBorder="1" applyAlignment="1" applyProtection="1">
      <alignment horizontal="center" vertical="center" shrinkToFit="1"/>
    </xf>
    <xf numFmtId="0" fontId="49" fillId="11" borderId="143" xfId="5" applyFont="1" applyFill="1" applyBorder="1" applyAlignment="1" applyProtection="1">
      <alignment horizontal="center" vertical="center" shrinkToFit="1"/>
    </xf>
    <xf numFmtId="0" fontId="49" fillId="11" borderId="124" xfId="5" applyFont="1" applyFill="1" applyBorder="1" applyAlignment="1" applyProtection="1">
      <alignment horizontal="center" vertical="center" shrinkToFit="1"/>
    </xf>
    <xf numFmtId="0" fontId="49" fillId="11" borderId="0" xfId="5" applyFont="1" applyFill="1" applyBorder="1" applyAlignment="1" applyProtection="1">
      <alignment horizontal="center" vertical="center"/>
    </xf>
    <xf numFmtId="0" fontId="49" fillId="11" borderId="141" xfId="5" applyFont="1" applyFill="1" applyBorder="1" applyAlignment="1" applyProtection="1">
      <alignment horizontal="center" vertical="center"/>
    </xf>
    <xf numFmtId="0" fontId="49" fillId="11" borderId="129" xfId="5" applyFont="1" applyFill="1" applyBorder="1" applyAlignment="1" applyProtection="1">
      <alignment horizontal="center"/>
    </xf>
    <xf numFmtId="0" fontId="49" fillId="11" borderId="149" xfId="5" applyFont="1" applyFill="1" applyBorder="1" applyAlignment="1" applyProtection="1">
      <alignment horizontal="center"/>
    </xf>
    <xf numFmtId="0" fontId="72" fillId="15" borderId="0" xfId="5" applyFont="1" applyFill="1" applyAlignment="1" applyProtection="1">
      <alignment horizontal="center" vertical="center" shrinkToFit="1"/>
      <protection locked="0"/>
    </xf>
    <xf numFmtId="0" fontId="61" fillId="0" borderId="0" xfId="5" applyFont="1" applyAlignment="1" applyProtection="1">
      <alignment horizontal="left" wrapText="1"/>
    </xf>
    <xf numFmtId="0" fontId="49" fillId="11" borderId="0" xfId="5" applyFont="1" applyFill="1" applyAlignment="1" applyProtection="1">
      <alignment horizontal="left"/>
    </xf>
    <xf numFmtId="0" fontId="51" fillId="0" borderId="0" xfId="2" applyFont="1" applyBorder="1" applyAlignment="1">
      <alignment horizontal="left"/>
    </xf>
    <xf numFmtId="0" fontId="51" fillId="0" borderId="0" xfId="2" applyFont="1" applyAlignment="1">
      <alignment horizontal="center" shrinkToFit="1"/>
    </xf>
    <xf numFmtId="0" fontId="63" fillId="0" borderId="70" xfId="2" applyFont="1" applyBorder="1" applyAlignment="1">
      <alignment horizontal="center" vertical="center" wrapText="1"/>
    </xf>
    <xf numFmtId="0" fontId="63" fillId="0" borderId="67" xfId="2" applyFont="1" applyBorder="1" applyAlignment="1">
      <alignment horizontal="center" vertical="center"/>
    </xf>
    <xf numFmtId="165" fontId="60" fillId="0" borderId="3" xfId="2" applyNumberFormat="1" applyFont="1" applyBorder="1" applyAlignment="1">
      <alignment horizontal="left"/>
    </xf>
    <xf numFmtId="0" fontId="60" fillId="0" borderId="75" xfId="2" applyFont="1" applyBorder="1" applyAlignment="1">
      <alignment horizontal="center" vertical="center" shrinkToFit="1"/>
    </xf>
    <xf numFmtId="0" fontId="60" fillId="0" borderId="74" xfId="2" applyFont="1" applyBorder="1" applyAlignment="1">
      <alignment horizontal="center" vertical="center" shrinkToFit="1"/>
    </xf>
    <xf numFmtId="0" fontId="60" fillId="0" borderId="73" xfId="2" applyFont="1" applyBorder="1" applyAlignment="1">
      <alignment horizontal="center" vertical="center" shrinkToFit="1"/>
    </xf>
    <xf numFmtId="0" fontId="58" fillId="0" borderId="77" xfId="2" applyFont="1" applyBorder="1" applyAlignment="1">
      <alignment horizontal="center" vertical="center" shrinkToFit="1"/>
    </xf>
    <xf numFmtId="0" fontId="58" fillId="0" borderId="76" xfId="2" applyFont="1" applyBorder="1" applyAlignment="1">
      <alignment horizontal="center" vertical="center" shrinkToFit="1"/>
    </xf>
    <xf numFmtId="0" fontId="60" fillId="0" borderId="42" xfId="2" applyFont="1" applyBorder="1" applyAlignment="1">
      <alignment horizontal="center" vertical="center"/>
    </xf>
    <xf numFmtId="0" fontId="60" fillId="0" borderId="34" xfId="2" applyFont="1" applyBorder="1" applyAlignment="1">
      <alignment horizontal="center" vertical="center"/>
    </xf>
    <xf numFmtId="0" fontId="61" fillId="0" borderId="80" xfId="2" applyFont="1" applyBorder="1" applyAlignment="1">
      <alignment horizontal="center"/>
    </xf>
    <xf numFmtId="0" fontId="50" fillId="0" borderId="3" xfId="2" applyFont="1" applyBorder="1" applyAlignment="1">
      <alignment horizontal="center" shrinkToFit="1"/>
    </xf>
    <xf numFmtId="0" fontId="60" fillId="0" borderId="39" xfId="2" applyFont="1" applyBorder="1" applyAlignment="1">
      <alignment horizontal="center" vertical="center" shrinkToFit="1"/>
    </xf>
    <xf numFmtId="0" fontId="60" fillId="0" borderId="80" xfId="2" applyFont="1" applyBorder="1" applyAlignment="1">
      <alignment horizontal="center" vertical="center" shrinkToFit="1"/>
    </xf>
    <xf numFmtId="0" fontId="60" fillId="0" borderId="69" xfId="2" applyFont="1" applyBorder="1" applyAlignment="1">
      <alignment horizontal="center" vertical="center" shrinkToFit="1"/>
    </xf>
    <xf numFmtId="170" fontId="60" fillId="0" borderId="79" xfId="2" applyNumberFormat="1" applyFont="1" applyBorder="1" applyAlignment="1">
      <alignment horizontal="center" vertical="center"/>
    </xf>
    <xf numFmtId="170" fontId="60" fillId="0" borderId="72" xfId="2" applyNumberFormat="1" applyFont="1" applyBorder="1" applyAlignment="1">
      <alignment horizontal="center" vertical="center"/>
    </xf>
    <xf numFmtId="170" fontId="60" fillId="0" borderId="68" xfId="2" applyNumberFormat="1" applyFont="1" applyBorder="1" applyAlignment="1">
      <alignment horizontal="center" vertical="center"/>
    </xf>
    <xf numFmtId="0" fontId="60" fillId="0" borderId="78" xfId="2" applyFont="1" applyBorder="1" applyAlignment="1">
      <alignment horizontal="center" vertical="center" shrinkToFit="1"/>
    </xf>
    <xf numFmtId="0" fontId="60" fillId="0" borderId="71" xfId="2" applyFont="1" applyBorder="1" applyAlignment="1">
      <alignment horizontal="center" vertical="center" shrinkToFit="1"/>
    </xf>
    <xf numFmtId="0" fontId="60" fillId="0" borderId="34" xfId="2" applyFont="1" applyBorder="1" applyAlignment="1">
      <alignment horizontal="center" vertical="center" shrinkToFit="1"/>
    </xf>
    <xf numFmtId="0" fontId="60" fillId="0" borderId="78" xfId="2" applyFont="1" applyBorder="1" applyAlignment="1">
      <alignment horizontal="center" vertical="center" wrapText="1" shrinkToFit="1"/>
    </xf>
    <xf numFmtId="0" fontId="60" fillId="0" borderId="71" xfId="2" applyFont="1" applyBorder="1" applyAlignment="1">
      <alignment horizontal="center" vertical="center" wrapText="1" shrinkToFit="1"/>
    </xf>
    <xf numFmtId="0" fontId="60" fillId="0" borderId="34" xfId="2" applyFont="1" applyBorder="1" applyAlignment="1">
      <alignment horizontal="center" vertical="center" wrapText="1" shrinkToFit="1"/>
    </xf>
    <xf numFmtId="3" fontId="62" fillId="0" borderId="37" xfId="2" applyNumberFormat="1" applyFont="1" applyBorder="1" applyAlignment="1">
      <alignment horizontal="center" vertical="center" wrapText="1"/>
    </xf>
    <xf numFmtId="170" fontId="60" fillId="0" borderId="78" xfId="2" applyNumberFormat="1" applyFont="1" applyBorder="1" applyAlignment="1">
      <alignment horizontal="center" vertical="center" wrapText="1"/>
    </xf>
    <xf numFmtId="170" fontId="60" fillId="0" borderId="71" xfId="2" applyNumberFormat="1" applyFont="1" applyBorder="1" applyAlignment="1">
      <alignment horizontal="center" vertical="center"/>
    </xf>
    <xf numFmtId="170" fontId="60" fillId="0" borderId="34" xfId="2" applyNumberFormat="1" applyFont="1" applyBorder="1" applyAlignment="1">
      <alignment horizontal="center" vertical="center"/>
    </xf>
    <xf numFmtId="0" fontId="60" fillId="0" borderId="75" xfId="2" applyFont="1" applyBorder="1" applyAlignment="1">
      <alignment horizontal="center" vertical="center"/>
    </xf>
    <xf numFmtId="0" fontId="60" fillId="0" borderId="74" xfId="2" applyFont="1" applyBorder="1" applyAlignment="1">
      <alignment horizontal="center" vertical="center"/>
    </xf>
    <xf numFmtId="0" fontId="60" fillId="0" borderId="76" xfId="2" applyFont="1" applyBorder="1" applyAlignment="1">
      <alignment horizontal="center" vertical="center"/>
    </xf>
    <xf numFmtId="166" fontId="60" fillId="0" borderId="42" xfId="2" applyNumberFormat="1" applyFont="1" applyBorder="1" applyAlignment="1">
      <alignment horizontal="center" vertical="center" wrapText="1" shrinkToFit="1"/>
    </xf>
    <xf numFmtId="166" fontId="60" fillId="0" borderId="34" xfId="2" applyNumberFormat="1" applyFont="1" applyBorder="1" applyAlignment="1">
      <alignment horizontal="center" vertical="center" shrinkToFit="1"/>
    </xf>
    <xf numFmtId="166" fontId="60" fillId="0" borderId="124" xfId="2" applyNumberFormat="1" applyFont="1" applyBorder="1" applyAlignment="1">
      <alignment horizontal="center" vertical="center" wrapText="1" shrinkToFit="1"/>
    </xf>
    <xf numFmtId="166" fontId="60" fillId="0" borderId="9" xfId="2" applyNumberFormat="1" applyFont="1" applyBorder="1" applyAlignment="1">
      <alignment horizontal="center" vertical="center" shrinkToFit="1"/>
    </xf>
    <xf numFmtId="0" fontId="63" fillId="0" borderId="42" xfId="2" applyFont="1" applyBorder="1" applyAlignment="1">
      <alignment horizontal="center" vertical="center" wrapText="1" shrinkToFit="1"/>
    </xf>
    <xf numFmtId="0" fontId="63" fillId="0" borderId="34" xfId="2" applyFont="1" applyBorder="1" applyAlignment="1">
      <alignment horizontal="center" vertical="center" shrinkToFit="1"/>
    </xf>
    <xf numFmtId="0" fontId="25" fillId="0" borderId="126" xfId="2" applyFont="1" applyBorder="1" applyAlignment="1">
      <alignment horizontal="center" vertical="top" wrapText="1"/>
    </xf>
    <xf numFmtId="0" fontId="25" fillId="0" borderId="127" xfId="2" applyFont="1" applyBorder="1" applyAlignment="1">
      <alignment horizontal="center" vertical="top" wrapText="1"/>
    </xf>
    <xf numFmtId="0" fontId="25" fillId="0" borderId="105" xfId="2" applyFont="1" applyBorder="1" applyAlignment="1">
      <alignment horizontal="center" vertical="top" wrapText="1"/>
    </xf>
    <xf numFmtId="0" fontId="7" fillId="0" borderId="0" xfId="2" applyFont="1" applyAlignment="1">
      <alignment horizontal="left" vertical="top" wrapText="1"/>
    </xf>
    <xf numFmtId="0" fontId="21" fillId="0" borderId="78" xfId="2" applyFont="1" applyBorder="1" applyAlignment="1">
      <alignment horizontal="left" vertical="top" wrapText="1"/>
    </xf>
    <xf numFmtId="0" fontId="21" fillId="0" borderId="71" xfId="2" applyFont="1" applyBorder="1" applyAlignment="1">
      <alignment horizontal="left" vertical="top" wrapText="1"/>
    </xf>
    <xf numFmtId="0" fontId="21" fillId="0" borderId="131" xfId="2" applyFont="1" applyBorder="1" applyAlignment="1">
      <alignment horizontal="left" vertical="top" wrapText="1"/>
    </xf>
    <xf numFmtId="0" fontId="8" fillId="0" borderId="125" xfId="2" applyFont="1" applyBorder="1" applyAlignment="1">
      <alignment horizontal="left" vertical="top"/>
    </xf>
    <xf numFmtId="0" fontId="8" fillId="0" borderId="130" xfId="2" applyFont="1" applyBorder="1" applyAlignment="1">
      <alignment horizontal="left" vertical="top"/>
    </xf>
    <xf numFmtId="0" fontId="8" fillId="0" borderId="132" xfId="2" applyFont="1" applyBorder="1" applyAlignment="1">
      <alignment horizontal="left" vertical="top"/>
    </xf>
    <xf numFmtId="181" fontId="29" fillId="6" borderId="45" xfId="3" applyNumberFormat="1" applyFont="1" applyFill="1" applyBorder="1" applyAlignment="1">
      <alignment horizontal="center" vertical="center" wrapText="1"/>
    </xf>
    <xf numFmtId="181" fontId="29" fillId="6" borderId="44" xfId="3" applyNumberFormat="1" applyFont="1" applyFill="1" applyBorder="1" applyAlignment="1">
      <alignment horizontal="center" vertical="center" wrapText="1"/>
    </xf>
    <xf numFmtId="0" fontId="31" fillId="0" borderId="101" xfId="2" applyFont="1" applyBorder="1" applyAlignment="1">
      <alignment horizontal="center"/>
    </xf>
    <xf numFmtId="0" fontId="21" fillId="0" borderId="85" xfId="2" applyFont="1" applyFill="1" applyBorder="1" applyAlignment="1">
      <alignment horizontal="center" vertical="center" wrapText="1"/>
    </xf>
    <xf numFmtId="0" fontId="21" fillId="0" borderId="75" xfId="2" applyFont="1" applyFill="1" applyBorder="1" applyAlignment="1">
      <alignment horizontal="center" vertical="center" wrapText="1"/>
    </xf>
    <xf numFmtId="0" fontId="21" fillId="0" borderId="76" xfId="2" applyFont="1" applyFill="1" applyBorder="1" applyAlignment="1">
      <alignment horizontal="center" vertical="center" wrapText="1"/>
    </xf>
    <xf numFmtId="0" fontId="21" fillId="0" borderId="73" xfId="2" applyFont="1" applyFill="1" applyBorder="1" applyAlignment="1">
      <alignment horizontal="center" vertical="center" wrapText="1"/>
    </xf>
    <xf numFmtId="0" fontId="21" fillId="0" borderId="79" xfId="2" applyFont="1" applyFill="1" applyBorder="1" applyAlignment="1">
      <alignment horizontal="center" vertical="center" wrapText="1"/>
    </xf>
    <xf numFmtId="0" fontId="21" fillId="0" borderId="68" xfId="2" applyFont="1" applyFill="1" applyBorder="1" applyAlignment="1">
      <alignment horizontal="center" vertical="center" wrapText="1"/>
    </xf>
    <xf numFmtId="0" fontId="27" fillId="0" borderId="78" xfId="2" applyFont="1" applyBorder="1" applyAlignment="1">
      <alignment horizontal="center" vertical="center" wrapText="1"/>
    </xf>
    <xf numFmtId="0" fontId="27" fillId="0" borderId="34" xfId="2" applyFont="1" applyBorder="1" applyAlignment="1">
      <alignment horizontal="center" vertical="center"/>
    </xf>
    <xf numFmtId="0" fontId="65" fillId="0" borderId="0" xfId="2" applyFont="1" applyAlignment="1">
      <alignment horizontal="center" vertical="top"/>
    </xf>
    <xf numFmtId="0" fontId="49" fillId="0" borderId="80" xfId="2" applyNumberFormat="1" applyFont="1" applyBorder="1" applyAlignment="1">
      <alignment horizontal="center" vertical="center"/>
    </xf>
    <xf numFmtId="38" fontId="53" fillId="0" borderId="105" xfId="3" applyFont="1" applyBorder="1" applyAlignment="1">
      <alignment horizontal="center" shrinkToFit="1"/>
    </xf>
    <xf numFmtId="38" fontId="53" fillId="0" borderId="101" xfId="3" applyFont="1" applyBorder="1" applyAlignment="1">
      <alignment horizontal="center" shrinkToFit="1"/>
    </xf>
    <xf numFmtId="38" fontId="53" fillId="0" borderId="104" xfId="3" applyFont="1" applyBorder="1" applyAlignment="1">
      <alignment horizontal="center" shrinkToFit="1"/>
    </xf>
    <xf numFmtId="177" fontId="53" fillId="0" borderId="103" xfId="3" applyNumberFormat="1" applyFont="1" applyBorder="1" applyAlignment="1">
      <alignment horizontal="center"/>
    </xf>
    <xf numFmtId="177" fontId="53" fillId="0" borderId="102" xfId="3" applyNumberFormat="1" applyFont="1" applyBorder="1" applyAlignment="1">
      <alignment horizontal="center"/>
    </xf>
    <xf numFmtId="0" fontId="49" fillId="0" borderId="0" xfId="2" applyNumberFormat="1" applyFont="1" applyBorder="1" applyAlignment="1">
      <alignment horizontal="center" vertical="center" shrinkToFit="1"/>
    </xf>
    <xf numFmtId="0" fontId="49" fillId="0" borderId="0" xfId="2" applyNumberFormat="1" applyFont="1" applyBorder="1" applyAlignment="1">
      <alignment horizontal="center" vertical="center"/>
    </xf>
    <xf numFmtId="178" fontId="6" fillId="0" borderId="0" xfId="0" applyNumberFormat="1" applyFont="1"/>
    <xf numFmtId="0" fontId="6" fillId="0" borderId="42" xfId="0" applyFont="1" applyBorder="1" applyAlignment="1">
      <alignment horizontal="center" vertical="center"/>
    </xf>
    <xf numFmtId="0" fontId="6" fillId="0" borderId="34" xfId="0" applyFont="1" applyBorder="1" applyAlignment="1">
      <alignment horizontal="center" vertical="center"/>
    </xf>
    <xf numFmtId="0" fontId="6" fillId="0" borderId="41" xfId="0" applyFont="1" applyBorder="1" applyAlignment="1">
      <alignment horizontal="center" vertical="center"/>
    </xf>
    <xf numFmtId="0" fontId="6" fillId="0" borderId="36" xfId="0" applyFont="1" applyBorder="1" applyAlignment="1">
      <alignment horizontal="center" vertical="center"/>
    </xf>
    <xf numFmtId="0" fontId="6" fillId="0" borderId="40" xfId="0" applyFont="1" applyBorder="1" applyAlignment="1">
      <alignment horizontal="center" wrapText="1"/>
    </xf>
    <xf numFmtId="0" fontId="6" fillId="0" borderId="35" xfId="0" applyFont="1" applyBorder="1" applyAlignment="1">
      <alignment horizontal="center"/>
    </xf>
    <xf numFmtId="0" fontId="6" fillId="0" borderId="39" xfId="0" applyFont="1" applyBorder="1" applyAlignment="1">
      <alignment horizontal="center" shrinkToFit="1"/>
    </xf>
    <xf numFmtId="0" fontId="6" fillId="0" borderId="38" xfId="0" applyFont="1" applyBorder="1" applyAlignment="1">
      <alignment horizontal="center" shrinkToFit="1"/>
    </xf>
    <xf numFmtId="164" fontId="8" fillId="0" borderId="0" xfId="2" applyNumberFormat="1" applyFont="1" applyAlignment="1">
      <alignment horizontal="center" vertical="center"/>
    </xf>
    <xf numFmtId="0" fontId="8" fillId="0" borderId="42" xfId="2" applyFont="1" applyBorder="1" applyAlignment="1">
      <alignment horizontal="center" vertical="center"/>
    </xf>
    <xf numFmtId="0" fontId="8" fillId="0" borderId="34" xfId="2" applyFont="1" applyBorder="1" applyAlignment="1">
      <alignment horizontal="center" vertical="center"/>
    </xf>
    <xf numFmtId="0" fontId="8" fillId="0" borderId="42" xfId="2" applyFont="1" applyBorder="1" applyAlignment="1">
      <alignment horizontal="center" vertical="center" shrinkToFit="1"/>
    </xf>
    <xf numFmtId="0" fontId="8" fillId="0" borderId="34" xfId="2" applyFont="1" applyBorder="1" applyAlignment="1">
      <alignment horizontal="center" vertical="center" shrinkToFit="1"/>
    </xf>
    <xf numFmtId="0" fontId="8" fillId="0" borderId="41" xfId="2" applyFont="1" applyBorder="1" applyAlignment="1">
      <alignment horizontal="center" vertical="center" shrinkToFit="1"/>
    </xf>
    <xf numFmtId="0" fontId="8" fillId="0" borderId="36" xfId="2" applyFont="1" applyBorder="1" applyAlignment="1">
      <alignment horizontal="center" vertical="center" shrinkToFit="1"/>
    </xf>
    <xf numFmtId="0" fontId="34" fillId="0" borderId="40" xfId="2" applyFont="1" applyBorder="1" applyAlignment="1">
      <alignment horizontal="center" vertical="center" wrapText="1"/>
    </xf>
    <xf numFmtId="0" fontId="34" fillId="0" borderId="35" xfId="2" applyFont="1" applyBorder="1" applyAlignment="1">
      <alignment horizontal="center" vertical="center" wrapText="1"/>
    </xf>
    <xf numFmtId="0" fontId="8" fillId="0" borderId="39" xfId="2" applyFont="1" applyBorder="1" applyAlignment="1">
      <alignment horizontal="center" vertical="center" shrinkToFit="1"/>
    </xf>
    <xf numFmtId="0" fontId="8" fillId="0" borderId="38" xfId="2" applyFont="1" applyBorder="1" applyAlignment="1">
      <alignment horizontal="center" vertical="center" shrinkToFit="1"/>
    </xf>
    <xf numFmtId="187" fontId="49" fillId="0" borderId="0" xfId="2" applyNumberFormat="1" applyFont="1" applyFill="1" applyBorder="1" applyAlignment="1">
      <alignment horizontal="left" vertical="center" shrinkToFit="1"/>
    </xf>
  </cellXfs>
  <cellStyles count="7">
    <cellStyle name="Comma [0]" xfId="1" builtinId="6"/>
    <cellStyle name="Normal" xfId="0" builtinId="0"/>
    <cellStyle name="パーセント 2" xfId="4"/>
    <cellStyle name="桁区切り 2" xfId="3"/>
    <cellStyle name="標準 2" xfId="2"/>
    <cellStyle name="標準 3" xfId="5"/>
    <cellStyle name="標準 4" xfId="6"/>
  </cellStyles>
  <dxfs count="7">
    <dxf>
      <fill>
        <patternFill>
          <bgColor theme="9" tint="0.39994506668294322"/>
        </patternFill>
      </fill>
    </dxf>
    <dxf>
      <fill>
        <patternFill>
          <bgColor theme="8" tint="0.39994506668294322"/>
        </patternFill>
      </fill>
    </dxf>
    <dxf>
      <fill>
        <patternFill>
          <bgColor theme="8" tint="0.59996337778862885"/>
        </patternFill>
      </fill>
    </dxf>
    <dxf>
      <fill>
        <patternFill>
          <bgColor theme="8" tint="0.59996337778862885"/>
        </patternFill>
      </fill>
    </dxf>
    <dxf>
      <font>
        <condense val="0"/>
        <extend val="0"/>
        <color indexed="10"/>
      </font>
    </dxf>
    <dxf>
      <font>
        <condense val="0"/>
        <extend val="0"/>
        <color indexed="10"/>
      </font>
    </dxf>
    <dxf>
      <font>
        <condense val="0"/>
        <extend val="0"/>
        <color indexed="10"/>
      </font>
    </dxf>
  </dxfs>
  <tableStyles count="0" defaultTableStyle="TableStyleMedium2" defaultPivotStyle="PivotStyleMedium9"/>
  <colors>
    <mruColors>
      <color rgb="FFFCD5B4"/>
      <color rgb="FFFAAC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1</xdr:row>
      <xdr:rowOff>57150</xdr:rowOff>
    </xdr:from>
    <xdr:to>
      <xdr:col>2</xdr:col>
      <xdr:colOff>628650</xdr:colOff>
      <xdr:row>3</xdr:row>
      <xdr:rowOff>62278</xdr:rowOff>
    </xdr:to>
    <xdr:pic>
      <xdr:nvPicPr>
        <xdr:cNvPr id="3"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38125"/>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4397</xdr:rowOff>
    </xdr:from>
    <xdr:to>
      <xdr:col>2</xdr:col>
      <xdr:colOff>285750</xdr:colOff>
      <xdr:row>1</xdr:row>
      <xdr:rowOff>180975</xdr:rowOff>
    </xdr:to>
    <xdr:pic>
      <xdr:nvPicPr>
        <xdr:cNvPr id="3"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397"/>
          <a:ext cx="158115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352426</xdr:colOff>
      <xdr:row>1</xdr:row>
      <xdr:rowOff>219075</xdr:rowOff>
    </xdr:to>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371476</xdr:colOff>
      <xdr:row>1</xdr:row>
      <xdr:rowOff>209550</xdr:rowOff>
    </xdr:to>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752600"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42875" cy="66675"/>
    <xdr:sp macro="" textlink="">
      <xdr:nvSpPr>
        <xdr:cNvPr id="2" name="HideTemplatePointer"/>
        <xdr:cNvSpPr>
          <a:spLocks noChangeArrowheads="1"/>
        </xdr:cNvSpPr>
      </xdr:nvSpPr>
      <xdr:spPr bwMode="auto">
        <a:xfrm>
          <a:off x="0" y="0"/>
          <a:ext cx="142875" cy="66675"/>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fPrintsWithSheet="0"/>
  </xdr:oneCellAnchor>
  <xdr:oneCellAnchor>
    <xdr:from>
      <xdr:col>1</xdr:col>
      <xdr:colOff>28575</xdr:colOff>
      <xdr:row>2</xdr:row>
      <xdr:rowOff>47625</xdr:rowOff>
    </xdr:from>
    <xdr:ext cx="314325" cy="304800"/>
    <xdr:pic>
      <xdr:nvPicPr>
        <xdr:cNvPr id="3" name="Ảnh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 y="428625"/>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12</xdr:col>
      <xdr:colOff>28574</xdr:colOff>
      <xdr:row>21</xdr:row>
      <xdr:rowOff>28575</xdr:rowOff>
    </xdr:from>
    <xdr:to>
      <xdr:col>16</xdr:col>
      <xdr:colOff>514350</xdr:colOff>
      <xdr:row>23</xdr:row>
      <xdr:rowOff>1</xdr:rowOff>
    </xdr:to>
    <xdr:sp macro="" textlink="">
      <xdr:nvSpPr>
        <xdr:cNvPr id="3" name="テキスト ボックス 2"/>
        <xdr:cNvSpPr txBox="1"/>
      </xdr:nvSpPr>
      <xdr:spPr>
        <a:xfrm>
          <a:off x="7286624" y="4705350"/>
          <a:ext cx="3228976"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3</xdr:col>
      <xdr:colOff>1381126</xdr:colOff>
      <xdr:row>16</xdr:row>
      <xdr:rowOff>85725</xdr:rowOff>
    </xdr:from>
    <xdr:to>
      <xdr:col>10</xdr:col>
      <xdr:colOff>361950</xdr:colOff>
      <xdr:row>18</xdr:row>
      <xdr:rowOff>57151</xdr:rowOff>
    </xdr:to>
    <xdr:sp macro="" textlink="">
      <xdr:nvSpPr>
        <xdr:cNvPr id="5" name="テキスト ボックス 4"/>
        <xdr:cNvSpPr txBox="1"/>
      </xdr:nvSpPr>
      <xdr:spPr>
        <a:xfrm>
          <a:off x="2019301" y="3724275"/>
          <a:ext cx="4524374"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13</xdr:col>
      <xdr:colOff>0</xdr:colOff>
      <xdr:row>5</xdr:row>
      <xdr:rowOff>0</xdr:rowOff>
    </xdr:from>
    <xdr:to>
      <xdr:col>17</xdr:col>
      <xdr:colOff>558512</xdr:colOff>
      <xdr:row>10</xdr:row>
      <xdr:rowOff>9525</xdr:rowOff>
    </xdr:to>
    <xdr:sp macro="" textlink="">
      <xdr:nvSpPr>
        <xdr:cNvPr id="7" name="テキスト ボックス 6"/>
        <xdr:cNvSpPr txBox="1"/>
      </xdr:nvSpPr>
      <xdr:spPr>
        <a:xfrm>
          <a:off x="7943850" y="1323975"/>
          <a:ext cx="3301712" cy="1057275"/>
        </a:xfrm>
        <a:prstGeom prst="rect">
          <a:avLst/>
        </a:prstGeom>
        <a:solidFill>
          <a:schemeClr val="accent6">
            <a:lumMod val="40000"/>
            <a:lumOff val="6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At Billing for instruments (No.1</a:t>
          </a:r>
          <a:r>
            <a:rPr kumimoji="1" lang="ja-JP" altLang="en-US" sz="1000">
              <a:solidFill>
                <a:srgbClr val="FF0000"/>
              </a:solidFill>
              <a:latin typeface="Arial" panose="020B0604020202020204" pitchFamily="34" charset="0"/>
              <a:cs typeface="Arial" panose="020B0604020202020204" pitchFamily="34" charset="0"/>
            </a:rPr>
            <a:t>～</a:t>
          </a:r>
          <a:r>
            <a:rPr kumimoji="1" lang="en-US" altLang="ja-JP" sz="1000">
              <a:solidFill>
                <a:srgbClr val="FF0000"/>
              </a:solidFill>
              <a:latin typeface="Arial" panose="020B0604020202020204" pitchFamily="34" charset="0"/>
              <a:cs typeface="Arial" panose="020B0604020202020204" pitchFamily="34" charset="0"/>
            </a:rPr>
            <a:t>24 ) relating to measurement in flew gas , Instruments depreciation is Taking out quantities×Taking out of days, and Consumable goods cost is to Taking out quantities × Used days.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118628</xdr:colOff>
      <xdr:row>2</xdr:row>
      <xdr:rowOff>21647</xdr:rowOff>
    </xdr:from>
    <xdr:to>
      <xdr:col>11</xdr:col>
      <xdr:colOff>34636</xdr:colOff>
      <xdr:row>7</xdr:row>
      <xdr:rowOff>190500</xdr:rowOff>
    </xdr:to>
    <xdr:sp macro="" textlink="">
      <xdr:nvSpPr>
        <xdr:cNvPr id="2" name="テキスト ボックス 1"/>
        <xdr:cNvSpPr txBox="1"/>
      </xdr:nvSpPr>
      <xdr:spPr>
        <a:xfrm>
          <a:off x="5764355" y="307397"/>
          <a:ext cx="4020417" cy="1207944"/>
        </a:xfrm>
        <a:prstGeom prst="rect">
          <a:avLst/>
        </a:prstGeom>
        <a:solidFill>
          <a:schemeClr val="accent6">
            <a:lumMod val="40000"/>
            <a:lumOff val="6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At Billing for instruments (No.1</a:t>
          </a:r>
          <a:r>
            <a:rPr kumimoji="1" lang="ja-JP" altLang="en-US" sz="1000">
              <a:solidFill>
                <a:srgbClr val="FF0000"/>
              </a:solidFill>
              <a:latin typeface="Arial" panose="020B0604020202020204" pitchFamily="34" charset="0"/>
              <a:cs typeface="Arial" panose="020B0604020202020204" pitchFamily="34" charset="0"/>
            </a:rPr>
            <a:t>～</a:t>
          </a:r>
          <a:r>
            <a:rPr kumimoji="1" lang="en-US" altLang="ja-JP" sz="1000">
              <a:solidFill>
                <a:srgbClr val="FF0000"/>
              </a:solidFill>
              <a:latin typeface="Arial" panose="020B0604020202020204" pitchFamily="34" charset="0"/>
              <a:cs typeface="Arial" panose="020B0604020202020204" pitchFamily="34" charset="0"/>
            </a:rPr>
            <a:t>24 ) relating to measurement in flew gas , Instruments depreciation is Taking out quantities×Taking out days, and Consumable goods cost is to Taking out quantities × Used days.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twoCellAnchor>
    <xdr:from>
      <xdr:col>5</xdr:col>
      <xdr:colOff>76200</xdr:colOff>
      <xdr:row>28</xdr:row>
      <xdr:rowOff>142875</xdr:rowOff>
    </xdr:from>
    <xdr:to>
      <xdr:col>10</xdr:col>
      <xdr:colOff>17319</xdr:colOff>
      <xdr:row>32</xdr:row>
      <xdr:rowOff>181841</xdr:rowOff>
    </xdr:to>
    <xdr:sp macro="" textlink="">
      <xdr:nvSpPr>
        <xdr:cNvPr id="3" name="テキスト ボックス 2"/>
        <xdr:cNvSpPr txBox="1"/>
      </xdr:nvSpPr>
      <xdr:spPr>
        <a:xfrm>
          <a:off x="5721927" y="5831898"/>
          <a:ext cx="3361460" cy="870238"/>
        </a:xfrm>
        <a:prstGeom prst="rect">
          <a:avLst/>
        </a:prstGeom>
        <a:solidFill>
          <a:schemeClr val="accent5">
            <a:lumMod val="60000"/>
            <a:lumOff val="4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Standard gas should be regarded as consumables , and it should be charged . However, it will be charged</a:t>
          </a:r>
          <a:r>
            <a:rPr kumimoji="1" lang="en-US" altLang="ja-JP" sz="1000" baseline="0">
              <a:solidFill>
                <a:srgbClr val="FF0000"/>
              </a:solidFill>
              <a:latin typeface="Arial" panose="020B0604020202020204" pitchFamily="34" charset="0"/>
              <a:cs typeface="Arial" panose="020B0604020202020204" pitchFamily="34" charset="0"/>
            </a:rPr>
            <a:t> </a:t>
          </a:r>
          <a:r>
            <a:rPr kumimoji="1" lang="en-US" altLang="ja-JP" sz="1000">
              <a:solidFill>
                <a:srgbClr val="FF0000"/>
              </a:solidFill>
              <a:latin typeface="Arial" panose="020B0604020202020204" pitchFamily="34" charset="0"/>
              <a:cs typeface="Arial" panose="020B0604020202020204" pitchFamily="34" charset="0"/>
            </a:rPr>
            <a:t>on</a:t>
          </a:r>
          <a:r>
            <a:rPr kumimoji="1" lang="en-US" altLang="ja-JP" sz="1000" baseline="0">
              <a:solidFill>
                <a:srgbClr val="FF0000"/>
              </a:solidFill>
              <a:latin typeface="Arial" panose="020B0604020202020204" pitchFamily="34" charset="0"/>
              <a:cs typeface="Arial" panose="020B0604020202020204" pitchFamily="34" charset="0"/>
            </a:rPr>
            <a:t> weekly basis, </a:t>
          </a:r>
          <a:r>
            <a:rPr kumimoji="1" lang="en-US" altLang="ja-JP" sz="1000">
              <a:solidFill>
                <a:srgbClr val="FF0000"/>
              </a:solidFill>
              <a:latin typeface="Arial" panose="020B0604020202020204" pitchFamily="34" charset="0"/>
              <a:cs typeface="Arial" panose="020B0604020202020204" pitchFamily="34" charset="0"/>
            </a:rPr>
            <a:t>for example, if  taking out days are 10 days, it will be charged as two weeks.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twoCellAnchor>
    <xdr:from>
      <xdr:col>5</xdr:col>
      <xdr:colOff>123824</xdr:colOff>
      <xdr:row>42</xdr:row>
      <xdr:rowOff>66676</xdr:rowOff>
    </xdr:from>
    <xdr:to>
      <xdr:col>10</xdr:col>
      <xdr:colOff>0</xdr:colOff>
      <xdr:row>45</xdr:row>
      <xdr:rowOff>161926</xdr:rowOff>
    </xdr:to>
    <xdr:sp macro="" textlink="">
      <xdr:nvSpPr>
        <xdr:cNvPr id="4" name="テキスト ボックス 3"/>
        <xdr:cNvSpPr txBox="1"/>
      </xdr:nvSpPr>
      <xdr:spPr>
        <a:xfrm>
          <a:off x="5769551" y="8665153"/>
          <a:ext cx="3296517" cy="718705"/>
        </a:xfrm>
        <a:prstGeom prst="rect">
          <a:avLst/>
        </a:prstGeom>
        <a:solidFill>
          <a:schemeClr val="accent3">
            <a:lumMod val="40000"/>
            <a:lumOff val="6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Gas mask canisters include the depreciation of</a:t>
          </a:r>
          <a:r>
            <a:rPr kumimoji="1" lang="en-US" altLang="ja-JP" sz="1000" baseline="0">
              <a:solidFill>
                <a:srgbClr val="FF0000"/>
              </a:solidFill>
              <a:latin typeface="Arial" panose="020B0604020202020204" pitchFamily="34" charset="0"/>
              <a:cs typeface="Arial" panose="020B0604020202020204" pitchFamily="34" charset="0"/>
            </a:rPr>
            <a:t> </a:t>
          </a:r>
          <a:r>
            <a:rPr kumimoji="1" lang="en-US" altLang="ja-JP" sz="1000">
              <a:solidFill>
                <a:srgbClr val="FF0000"/>
              </a:solidFill>
              <a:latin typeface="Arial" panose="020B0604020202020204" pitchFamily="34" charset="0"/>
              <a:cs typeface="Arial" panose="020B0604020202020204" pitchFamily="34" charset="0"/>
            </a:rPr>
            <a:t>body.</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16</xdr:row>
      <xdr:rowOff>0</xdr:rowOff>
    </xdr:from>
    <xdr:to>
      <xdr:col>14</xdr:col>
      <xdr:colOff>485776</xdr:colOff>
      <xdr:row>17</xdr:row>
      <xdr:rowOff>180976</xdr:rowOff>
    </xdr:to>
    <xdr:sp macro="" textlink="">
      <xdr:nvSpPr>
        <xdr:cNvPr id="6" name="テキスト ボックス 5"/>
        <xdr:cNvSpPr txBox="1"/>
      </xdr:nvSpPr>
      <xdr:spPr>
        <a:xfrm>
          <a:off x="7391400" y="3600450"/>
          <a:ext cx="3228976"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3</xdr:col>
      <xdr:colOff>1304924</xdr:colOff>
      <xdr:row>6</xdr:row>
      <xdr:rowOff>66675</xdr:rowOff>
    </xdr:from>
    <xdr:to>
      <xdr:col>8</xdr:col>
      <xdr:colOff>619124</xdr:colOff>
      <xdr:row>8</xdr:row>
      <xdr:rowOff>38101</xdr:rowOff>
    </xdr:to>
    <xdr:sp macro="" textlink="">
      <xdr:nvSpPr>
        <xdr:cNvPr id="8" name="テキスト ボックス 7"/>
        <xdr:cNvSpPr txBox="1"/>
      </xdr:nvSpPr>
      <xdr:spPr>
        <a:xfrm>
          <a:off x="1943099" y="1581150"/>
          <a:ext cx="42195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altLang="ja-JP" sz="1200" b="1">
              <a:effectLst/>
              <a:latin typeface="Arial" panose="020B0604020202020204" pitchFamily="34" charset="0"/>
              <a:cs typeface="Arial" panose="020B0604020202020204" pitchFamily="34" charset="0"/>
            </a:rPr>
            <a:t>Remainder of page intentionally left blank.</a:t>
          </a:r>
        </a:p>
      </xdr:txBody>
    </xdr:sp>
    <xdr:clientData/>
  </xdr:twoCellAnchor>
  <xdr:twoCellAnchor>
    <xdr:from>
      <xdr:col>9</xdr:col>
      <xdr:colOff>200025</xdr:colOff>
      <xdr:row>5</xdr:row>
      <xdr:rowOff>200025</xdr:rowOff>
    </xdr:from>
    <xdr:to>
      <xdr:col>14</xdr:col>
      <xdr:colOff>608735</xdr:colOff>
      <xdr:row>10</xdr:row>
      <xdr:rowOff>22513</xdr:rowOff>
    </xdr:to>
    <xdr:sp macro="" textlink="">
      <xdr:nvSpPr>
        <xdr:cNvPr id="10" name="テキスト ボックス 9"/>
        <xdr:cNvSpPr txBox="1"/>
      </xdr:nvSpPr>
      <xdr:spPr>
        <a:xfrm>
          <a:off x="7381875" y="1495425"/>
          <a:ext cx="3361460" cy="870238"/>
        </a:xfrm>
        <a:prstGeom prst="rect">
          <a:avLst/>
        </a:prstGeom>
        <a:solidFill>
          <a:schemeClr val="accent5">
            <a:lumMod val="60000"/>
            <a:lumOff val="40000"/>
          </a:schemeClr>
        </a:solidFill>
        <a:ln w="635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000">
              <a:solidFill>
                <a:srgbClr val="FF0000"/>
              </a:solidFill>
              <a:latin typeface="Arial" panose="020B0604020202020204" pitchFamily="34" charset="0"/>
              <a:cs typeface="Arial" panose="020B0604020202020204" pitchFamily="34" charset="0"/>
            </a:rPr>
            <a:t>Standard gas should be regarded as consumables , and it should be charged . However, it will be charged</a:t>
          </a:r>
          <a:r>
            <a:rPr kumimoji="1" lang="en-US" altLang="ja-JP" sz="1000" baseline="0">
              <a:solidFill>
                <a:srgbClr val="FF0000"/>
              </a:solidFill>
              <a:latin typeface="Arial" panose="020B0604020202020204" pitchFamily="34" charset="0"/>
              <a:cs typeface="Arial" panose="020B0604020202020204" pitchFamily="34" charset="0"/>
            </a:rPr>
            <a:t> </a:t>
          </a:r>
          <a:r>
            <a:rPr kumimoji="1" lang="en-US" altLang="ja-JP" sz="1000">
              <a:solidFill>
                <a:srgbClr val="FF0000"/>
              </a:solidFill>
              <a:latin typeface="Arial" panose="020B0604020202020204" pitchFamily="34" charset="0"/>
              <a:cs typeface="Arial" panose="020B0604020202020204" pitchFamily="34" charset="0"/>
            </a:rPr>
            <a:t>on</a:t>
          </a:r>
          <a:r>
            <a:rPr kumimoji="1" lang="en-US" altLang="ja-JP" sz="1000" baseline="0">
              <a:solidFill>
                <a:srgbClr val="FF0000"/>
              </a:solidFill>
              <a:latin typeface="Arial" panose="020B0604020202020204" pitchFamily="34" charset="0"/>
              <a:cs typeface="Arial" panose="020B0604020202020204" pitchFamily="34" charset="0"/>
            </a:rPr>
            <a:t> weekly basis, </a:t>
          </a:r>
          <a:r>
            <a:rPr kumimoji="1" lang="en-US" altLang="ja-JP" sz="1000">
              <a:solidFill>
                <a:srgbClr val="FF0000"/>
              </a:solidFill>
              <a:latin typeface="Arial" panose="020B0604020202020204" pitchFamily="34" charset="0"/>
              <a:cs typeface="Arial" panose="020B0604020202020204" pitchFamily="34" charset="0"/>
            </a:rPr>
            <a:t>for example, if  taking out of days are 10 days, it will be charged as two weeks.</a:t>
          </a:r>
          <a:endParaRPr kumimoji="1" lang="ja-JP" altLang="en-US" sz="1000">
            <a:solidFill>
              <a:srgbClr val="FF0000"/>
            </a:solidFill>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a171\my%20documents\My%20Documents\5&#37329;&#23646;&#12481;&#12540;&#12512;\4&#28711;&#27827;&#35226;\&#37326;&#24115;&#65292;&#20381;&#38972;&#34920;&#12394;&#12393;\MSOffice\Template\&#19968;&#33324;\&#26908;&#37327;&#32218;.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153\&#24179;&#25104;11&#24180;&#24230;\&#24746;&#33261;\&#12381;&#12398;&#20182;\&#24746;&#3326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g.takai\My%20Documents\takai\28&#26399;&#12288;2009.9.1&#65374;2010.8.31\28&#26399;&#12518;&#12540;&#12470;&#12540;\K09G008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153\&#24179;&#25104;11&#24180;&#24230;\&#24746;&#33261;&#38306;&#20418;\&#26481;&#21644;&#31185;&#233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x 10"/>
      <sheetName val="SOx 50"/>
      <sheetName val="Zn NEDA"/>
      <sheetName val="PDS"/>
      <sheetName val="HCl"/>
      <sheetName val="Cl2"/>
    </sheetNames>
    <sheetDataSet>
      <sheetData sheetId="0">
        <row r="9">
          <cell r="F9">
            <v>0</v>
          </cell>
          <cell r="H9">
            <v>0</v>
          </cell>
        </row>
        <row r="10">
          <cell r="F10">
            <v>5</v>
          </cell>
          <cell r="H10">
            <v>0.192</v>
          </cell>
        </row>
        <row r="11">
          <cell r="F11">
            <v>10</v>
          </cell>
          <cell r="H11">
            <v>0.378</v>
          </cell>
        </row>
        <row r="12">
          <cell r="C12">
            <v>1.024</v>
          </cell>
          <cell r="F12">
            <v>15</v>
          </cell>
          <cell r="H12">
            <v>0.56799999999999995</v>
          </cell>
        </row>
        <row r="13">
          <cell r="F13">
            <v>20</v>
          </cell>
          <cell r="H13">
            <v>0.72</v>
          </cell>
        </row>
      </sheetData>
      <sheetData sheetId="1">
        <row r="9">
          <cell r="F9">
            <v>0</v>
          </cell>
          <cell r="H9">
            <v>4.0000000000000001E-3</v>
          </cell>
        </row>
        <row r="10">
          <cell r="F10">
            <v>5</v>
          </cell>
          <cell r="H10">
            <v>0.14599999999999999</v>
          </cell>
        </row>
        <row r="11">
          <cell r="F11">
            <v>10</v>
          </cell>
          <cell r="H11">
            <v>0.32800000000000001</v>
          </cell>
        </row>
        <row r="12">
          <cell r="C12">
            <v>1.036</v>
          </cell>
          <cell r="F12">
            <v>15</v>
          </cell>
          <cell r="H12">
            <v>0.50900000000000001</v>
          </cell>
        </row>
        <row r="13">
          <cell r="F13">
            <v>20</v>
          </cell>
          <cell r="H13">
            <v>0.64700000000000002</v>
          </cell>
        </row>
      </sheetData>
      <sheetData sheetId="2">
        <row r="9">
          <cell r="F9">
            <v>0</v>
          </cell>
          <cell r="H9">
            <v>5.0000000000000001E-3</v>
          </cell>
        </row>
        <row r="10">
          <cell r="F10">
            <v>10</v>
          </cell>
          <cell r="H10">
            <v>0.16600000000000001</v>
          </cell>
        </row>
        <row r="11">
          <cell r="F11">
            <v>20</v>
          </cell>
          <cell r="H11">
            <v>0.32700000000000001</v>
          </cell>
        </row>
        <row r="12">
          <cell r="F12">
            <v>30</v>
          </cell>
          <cell r="H12">
            <v>0.50700000000000001</v>
          </cell>
        </row>
        <row r="13">
          <cell r="F13">
            <v>40</v>
          </cell>
          <cell r="H13">
            <v>0.66200000000000003</v>
          </cell>
        </row>
        <row r="14">
          <cell r="F14">
            <v>50</v>
          </cell>
          <cell r="H14">
            <v>0.82499999999999996</v>
          </cell>
        </row>
      </sheetData>
      <sheetData sheetId="3">
        <row r="9">
          <cell r="F9">
            <v>0</v>
          </cell>
          <cell r="H9">
            <v>0</v>
          </cell>
        </row>
        <row r="10">
          <cell r="F10">
            <v>5</v>
          </cell>
          <cell r="H10">
            <v>0.155</v>
          </cell>
        </row>
        <row r="11">
          <cell r="F11">
            <v>10</v>
          </cell>
          <cell r="H11">
            <v>0.27</v>
          </cell>
        </row>
        <row r="12">
          <cell r="F12">
            <v>15</v>
          </cell>
          <cell r="H12">
            <v>0.40200000000000002</v>
          </cell>
        </row>
        <row r="13">
          <cell r="F13">
            <v>20</v>
          </cell>
          <cell r="H13">
            <v>0.54300000000000004</v>
          </cell>
        </row>
        <row r="14">
          <cell r="F14">
            <v>25</v>
          </cell>
          <cell r="H14">
            <v>0.69599999999999995</v>
          </cell>
        </row>
      </sheetData>
      <sheetData sheetId="4">
        <row r="9">
          <cell r="F9">
            <v>0</v>
          </cell>
          <cell r="H9">
            <v>0</v>
          </cell>
        </row>
        <row r="10">
          <cell r="F10">
            <v>1</v>
          </cell>
          <cell r="H10">
            <v>8.7999999999999995E-2</v>
          </cell>
        </row>
        <row r="11">
          <cell r="F11">
            <v>2</v>
          </cell>
          <cell r="H11">
            <v>0.17100000000000001</v>
          </cell>
        </row>
        <row r="12">
          <cell r="F12">
            <v>3</v>
          </cell>
          <cell r="H12">
            <v>0.25900000000000001</v>
          </cell>
        </row>
        <row r="13">
          <cell r="F13">
            <v>4</v>
          </cell>
          <cell r="H13">
            <v>0.33600000000000002</v>
          </cell>
        </row>
        <row r="14">
          <cell r="F14">
            <v>5</v>
          </cell>
          <cell r="H14">
            <v>0.42499999999999999</v>
          </cell>
        </row>
      </sheetData>
      <sheetData sheetId="5">
        <row r="9">
          <cell r="F9">
            <v>0</v>
          </cell>
          <cell r="H9">
            <v>8.9999999999999993E-3</v>
          </cell>
        </row>
        <row r="10">
          <cell r="F10">
            <v>0.5</v>
          </cell>
          <cell r="H10">
            <v>7.8E-2</v>
          </cell>
        </row>
        <row r="11">
          <cell r="F11">
            <v>1</v>
          </cell>
          <cell r="H11">
            <v>0.14899999999999999</v>
          </cell>
        </row>
        <row r="12">
          <cell r="F12">
            <v>2</v>
          </cell>
          <cell r="H12">
            <v>0.28399999999999997</v>
          </cell>
        </row>
        <row r="13">
          <cell r="F13">
            <v>3</v>
          </cell>
          <cell r="H13">
            <v>0.42399999999999999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証明"/>
      <sheetName val="一覧 "/>
      <sheetName val="一覧  (2)"/>
      <sheetName val="流速結果"/>
      <sheetName val="流速"/>
      <sheetName val="採取表"/>
      <sheetName val="NH3"/>
      <sheetName val="データNo.1用"/>
      <sheetName val="ｱﾙﾃﾞﾋﾄﾞ類計算No.1用"/>
      <sheetName val="データNo.2用"/>
      <sheetName val="ｱﾙﾃﾞﾋﾄﾞ類計算No.2用"/>
      <sheetName val="採取表（臭気用）"/>
      <sheetName val="臭気（排出口）"/>
    </sheetNames>
    <sheetDataSet>
      <sheetData sheetId="0"/>
      <sheetData sheetId="1" refreshError="1"/>
      <sheetData sheetId="2" refreshError="1"/>
      <sheetData sheetId="3" refreshError="1"/>
      <sheetData sheetId="4"/>
      <sheetData sheetId="5"/>
      <sheetData sheetId="6" refreshError="1">
        <row r="9">
          <cell r="F9">
            <v>0</v>
          </cell>
          <cell r="H9">
            <v>0</v>
          </cell>
        </row>
        <row r="10">
          <cell r="F10">
            <v>2</v>
          </cell>
          <cell r="H10">
            <v>8.6999999999999994E-2</v>
          </cell>
        </row>
        <row r="11">
          <cell r="F11">
            <v>4</v>
          </cell>
          <cell r="H11">
            <v>0.17699999999999999</v>
          </cell>
        </row>
        <row r="12">
          <cell r="F12">
            <v>6</v>
          </cell>
          <cell r="H12">
            <v>0.26600000000000001</v>
          </cell>
        </row>
        <row r="13">
          <cell r="F13">
            <v>8</v>
          </cell>
          <cell r="H13">
            <v>0.36099999999999999</v>
          </cell>
        </row>
        <row r="14">
          <cell r="F14">
            <v>10</v>
          </cell>
          <cell r="H14">
            <v>0.44700000000000001</v>
          </cell>
        </row>
      </sheetData>
      <sheetData sheetId="7"/>
      <sheetData sheetId="8" refreshError="1"/>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ッセージ"/>
      <sheetName val="変更履歴"/>
      <sheetName val="入力用"/>
      <sheetName val="依頼書"/>
      <sheetName val="受注票"/>
      <sheetName val="見積書"/>
      <sheetName val="PCB"/>
      <sheetName val="特計シート"/>
      <sheetName val="基礎情報入力シート"/>
      <sheetName val="受注予算書（入力用）"/>
      <sheetName val="分析費（入力用）"/>
      <sheetName val="分析原価別表シート"/>
      <sheetName val="分析一覧"/>
      <sheetName val="システム反映"/>
      <sheetName val="社内依頼"/>
      <sheetName val="分析依頼"/>
      <sheetName val="初期(事)"/>
      <sheetName val="初期(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証明"/>
      <sheetName val="Sheet1"/>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171"/>
  <sheetViews>
    <sheetView topLeftCell="A41" zoomScaleNormal="100" workbookViewId="0">
      <selection activeCell="S51" sqref="S51"/>
    </sheetView>
  </sheetViews>
  <sheetFormatPr defaultColWidth="9" defaultRowHeight="14.25"/>
  <cols>
    <col min="1" max="3" width="9" style="87"/>
    <col min="4" max="4" width="10.5703125" style="87" bestFit="1" customWidth="1"/>
    <col min="5" max="5" width="9.5703125" style="87" bestFit="1" customWidth="1"/>
    <col min="6" max="6" width="9.7109375" style="87" bestFit="1" customWidth="1"/>
    <col min="7" max="7" width="9" style="87"/>
    <col min="8" max="8" width="9.5703125" style="87" bestFit="1" customWidth="1"/>
    <col min="9" max="13" width="9" style="87"/>
    <col min="14" max="14" width="9.140625" style="87" bestFit="1" customWidth="1"/>
    <col min="15" max="15" width="10.5703125" style="87" bestFit="1" customWidth="1"/>
    <col min="16" max="16" width="10.42578125" style="87" customWidth="1"/>
    <col min="17" max="17" width="16.5703125" style="87" bestFit="1" customWidth="1"/>
    <col min="18" max="16384" width="9" style="87"/>
  </cols>
  <sheetData>
    <row r="1" spans="1:21">
      <c r="A1" s="87" t="s">
        <v>1</v>
      </c>
      <c r="G1" s="701" t="s">
        <v>2</v>
      </c>
      <c r="H1" s="701"/>
      <c r="I1" s="701"/>
      <c r="J1" s="701"/>
      <c r="K1" s="496"/>
    </row>
    <row r="2" spans="1:21">
      <c r="G2" s="702" t="s">
        <v>3</v>
      </c>
      <c r="H2" s="702"/>
      <c r="I2" s="702"/>
      <c r="J2" s="702"/>
      <c r="K2" s="504"/>
    </row>
    <row r="5" spans="1:21" ht="25.5">
      <c r="A5" s="705" t="s">
        <v>331</v>
      </c>
      <c r="B5" s="705"/>
      <c r="C5" s="705"/>
      <c r="D5" s="705"/>
      <c r="E5" s="705"/>
      <c r="F5" s="705"/>
      <c r="G5" s="705"/>
      <c r="H5" s="705"/>
      <c r="I5" s="705"/>
      <c r="J5" s="705"/>
      <c r="K5" s="498"/>
    </row>
    <row r="6" spans="1:21" ht="25.5">
      <c r="A6" s="705"/>
      <c r="B6" s="705"/>
      <c r="C6" s="705"/>
      <c r="D6" s="705"/>
      <c r="E6" s="705"/>
      <c r="F6" s="705"/>
      <c r="G6" s="705"/>
      <c r="H6" s="705"/>
      <c r="I6" s="705"/>
      <c r="J6" s="705"/>
      <c r="K6" s="498"/>
    </row>
    <row r="7" spans="1:21" s="133" customFormat="1" ht="27.75">
      <c r="A7" s="110"/>
      <c r="B7" s="110"/>
      <c r="C7" s="706" t="s">
        <v>344</v>
      </c>
      <c r="D7" s="706"/>
      <c r="E7" s="707" t="str">
        <f>"CCTVN - "&amp;Q7&amp;"-"&amp;S7&amp;U7&amp;"-"&amp;O7</f>
        <v>CCTVN - DEN-201704-01</v>
      </c>
      <c r="F7" s="707"/>
      <c r="G7" s="707"/>
      <c r="H7" s="707"/>
      <c r="I7" s="707"/>
      <c r="J7" s="707"/>
      <c r="K7" s="132"/>
      <c r="N7" s="134" t="s">
        <v>216</v>
      </c>
      <c r="O7" s="152" t="s">
        <v>428</v>
      </c>
      <c r="P7" s="135" t="s">
        <v>345</v>
      </c>
      <c r="Q7" s="136" t="s">
        <v>495</v>
      </c>
      <c r="R7" s="134" t="s">
        <v>346</v>
      </c>
      <c r="S7" s="136">
        <v>2017</v>
      </c>
      <c r="T7" s="134" t="s">
        <v>347</v>
      </c>
      <c r="U7" s="137" t="s">
        <v>496</v>
      </c>
    </row>
    <row r="8" spans="1:21" s="133" customFormat="1" ht="15">
      <c r="A8" s="110"/>
      <c r="B8" s="110"/>
      <c r="C8" s="499"/>
      <c r="D8" s="499"/>
      <c r="E8" s="500"/>
      <c r="F8" s="500"/>
      <c r="G8" s="500"/>
      <c r="H8" s="500"/>
      <c r="I8" s="500"/>
      <c r="J8" s="500"/>
      <c r="K8" s="132"/>
      <c r="N8" s="134"/>
      <c r="O8" s="152"/>
      <c r="P8" s="135"/>
      <c r="Q8" s="136"/>
      <c r="R8" s="134"/>
      <c r="S8" s="136"/>
      <c r="T8" s="134"/>
      <c r="U8" s="137"/>
    </row>
    <row r="9" spans="1:21" ht="14.25" customHeight="1">
      <c r="A9" s="704" t="s">
        <v>211</v>
      </c>
      <c r="B9" s="704"/>
      <c r="C9" s="704"/>
      <c r="D9" s="704"/>
      <c r="E9" s="704"/>
      <c r="F9" s="704"/>
      <c r="G9" s="704"/>
      <c r="H9" s="704"/>
      <c r="I9" s="704"/>
      <c r="J9" s="704"/>
    </row>
    <row r="10" spans="1:21" ht="14.25" customHeight="1">
      <c r="A10" s="704"/>
      <c r="B10" s="704"/>
      <c r="C10" s="704"/>
      <c r="D10" s="704"/>
      <c r="E10" s="704"/>
      <c r="F10" s="704"/>
      <c r="G10" s="704"/>
      <c r="H10" s="704"/>
      <c r="I10" s="704"/>
      <c r="J10" s="704"/>
    </row>
    <row r="11" spans="1:21" ht="14.25" customHeight="1">
      <c r="A11" s="704"/>
      <c r="B11" s="704"/>
      <c r="C11" s="704"/>
      <c r="D11" s="704"/>
      <c r="E11" s="704"/>
      <c r="F11" s="704"/>
      <c r="G11" s="704"/>
      <c r="H11" s="704"/>
      <c r="I11" s="704"/>
      <c r="J11" s="704"/>
    </row>
    <row r="12" spans="1:21" ht="14.25" customHeight="1">
      <c r="A12" s="704"/>
      <c r="B12" s="704"/>
      <c r="C12" s="704"/>
      <c r="D12" s="704"/>
      <c r="E12" s="704"/>
      <c r="F12" s="704"/>
      <c r="G12" s="704"/>
      <c r="H12" s="704"/>
      <c r="I12" s="704"/>
      <c r="J12" s="704"/>
    </row>
    <row r="13" spans="1:21" ht="14.25" customHeight="1">
      <c r="A13" s="497"/>
      <c r="B13" s="497"/>
      <c r="C13" s="497"/>
      <c r="D13" s="497"/>
      <c r="E13" s="497"/>
      <c r="F13" s="497"/>
      <c r="G13" s="497"/>
      <c r="H13" s="497"/>
      <c r="I13" s="497"/>
      <c r="J13" s="497"/>
    </row>
    <row r="14" spans="1:21">
      <c r="A14" s="111" t="s">
        <v>348</v>
      </c>
      <c r="B14" s="112"/>
      <c r="C14" s="112"/>
      <c r="D14" s="112"/>
      <c r="E14" s="112"/>
      <c r="F14" s="112"/>
      <c r="G14" s="112"/>
      <c r="H14" s="112"/>
      <c r="I14" s="112"/>
      <c r="J14" s="112"/>
    </row>
    <row r="15" spans="1:21" ht="15">
      <c r="A15" s="488" t="str">
        <f>"This Contract is made on "&amp;P15&amp;" by and between："</f>
        <v>This Contract is made on 18-Apr-17 by and between：</v>
      </c>
      <c r="B15" s="113"/>
      <c r="C15" s="113"/>
      <c r="D15" s="114"/>
      <c r="E15" s="114"/>
      <c r="F15" s="112"/>
      <c r="G15" s="112"/>
      <c r="H15" s="112"/>
      <c r="I15" s="112"/>
      <c r="J15" s="112"/>
      <c r="N15" s="87" t="s">
        <v>349</v>
      </c>
      <c r="P15" s="137" t="s">
        <v>497</v>
      </c>
    </row>
    <row r="16" spans="1:21" ht="15">
      <c r="A16" s="488"/>
      <c r="B16" s="113"/>
      <c r="C16" s="113"/>
      <c r="D16" s="114"/>
      <c r="E16" s="114"/>
      <c r="F16" s="112"/>
      <c r="G16" s="112"/>
      <c r="H16" s="112"/>
      <c r="I16" s="112"/>
      <c r="J16" s="112"/>
      <c r="P16" s="137"/>
    </row>
    <row r="17" spans="1:18">
      <c r="A17" s="115" t="s">
        <v>4</v>
      </c>
      <c r="B17" s="112"/>
      <c r="C17" s="116" t="s">
        <v>350</v>
      </c>
      <c r="D17" s="117" t="str">
        <f t="shared" ref="D17:D23" si="0">P17</f>
        <v>DENKA ADVANCED MATERIALS VIETNAM CO.,LTD.</v>
      </c>
      <c r="E17" s="112"/>
      <c r="F17" s="112"/>
      <c r="G17" s="112"/>
      <c r="H17" s="112"/>
      <c r="I17" s="112"/>
      <c r="J17" s="112"/>
      <c r="N17" s="87" t="s">
        <v>4</v>
      </c>
      <c r="P17" s="87" t="s">
        <v>498</v>
      </c>
    </row>
    <row r="18" spans="1:18">
      <c r="A18" s="111" t="s">
        <v>5</v>
      </c>
      <c r="B18" s="112"/>
      <c r="C18" s="116" t="s">
        <v>351</v>
      </c>
      <c r="D18" s="112" t="str">
        <f t="shared" si="0"/>
        <v>MR．YOSUKE SUZUKI</v>
      </c>
      <c r="E18" s="112"/>
      <c r="F18" s="112"/>
      <c r="G18" s="112"/>
      <c r="H18" s="112"/>
      <c r="I18" s="112"/>
      <c r="J18" s="112"/>
      <c r="N18" s="88" t="s">
        <v>5</v>
      </c>
      <c r="P18" s="87" t="s">
        <v>499</v>
      </c>
    </row>
    <row r="19" spans="1:18">
      <c r="A19" s="112" t="s">
        <v>6</v>
      </c>
      <c r="B19" s="112"/>
      <c r="C19" s="116" t="s">
        <v>351</v>
      </c>
      <c r="D19" s="112" t="str">
        <f t="shared" si="0"/>
        <v>General Manager</v>
      </c>
      <c r="E19" s="112"/>
      <c r="F19" s="112"/>
      <c r="G19" s="112"/>
      <c r="H19" s="112"/>
      <c r="I19" s="112"/>
      <c r="J19" s="112"/>
      <c r="N19" s="87" t="s">
        <v>6</v>
      </c>
      <c r="P19" s="87" t="s">
        <v>500</v>
      </c>
    </row>
    <row r="20" spans="1:18">
      <c r="A20" s="112" t="s">
        <v>7</v>
      </c>
      <c r="B20" s="112"/>
      <c r="C20" s="116" t="s">
        <v>351</v>
      </c>
      <c r="D20" s="703" t="str">
        <f t="shared" si="0"/>
        <v>Plot D-5, Thang Long Industrial Park ⅡYen my District, Hung Yen Province, Vietnam</v>
      </c>
      <c r="E20" s="703"/>
      <c r="F20" s="703"/>
      <c r="G20" s="703"/>
      <c r="H20" s="703"/>
      <c r="I20" s="703"/>
      <c r="J20" s="703"/>
      <c r="K20" s="494"/>
      <c r="L20" s="92"/>
      <c r="N20" s="87" t="s">
        <v>7</v>
      </c>
      <c r="P20" s="87" t="s">
        <v>501</v>
      </c>
    </row>
    <row r="21" spans="1:18">
      <c r="A21" s="112" t="s">
        <v>333</v>
      </c>
      <c r="B21" s="112"/>
      <c r="C21" s="116" t="s">
        <v>351</v>
      </c>
      <c r="D21" s="111" t="str">
        <f t="shared" si="0"/>
        <v>+84-321-3974-805</v>
      </c>
      <c r="E21" s="112"/>
      <c r="F21" s="112"/>
      <c r="G21" s="112"/>
      <c r="H21" s="112"/>
      <c r="I21" s="112"/>
      <c r="J21" s="112"/>
      <c r="N21" s="87" t="s">
        <v>352</v>
      </c>
      <c r="P21" s="88" t="s">
        <v>502</v>
      </c>
    </row>
    <row r="22" spans="1:18">
      <c r="A22" s="112" t="s">
        <v>8</v>
      </c>
      <c r="B22" s="112"/>
      <c r="C22" s="116" t="s">
        <v>351</v>
      </c>
      <c r="D22" s="111" t="str">
        <f t="shared" si="0"/>
        <v>+84-321-3974-806</v>
      </c>
      <c r="E22" s="112"/>
      <c r="F22" s="112"/>
      <c r="G22" s="112"/>
      <c r="H22" s="112"/>
      <c r="I22" s="112"/>
      <c r="J22" s="112"/>
      <c r="N22" s="87" t="s">
        <v>8</v>
      </c>
      <c r="P22" s="88" t="s">
        <v>503</v>
      </c>
    </row>
    <row r="23" spans="1:18">
      <c r="A23" s="112" t="s">
        <v>9</v>
      </c>
      <c r="B23" s="112"/>
      <c r="C23" s="116" t="s">
        <v>351</v>
      </c>
      <c r="D23" s="112">
        <f t="shared" si="0"/>
        <v>0</v>
      </c>
      <c r="E23" s="112"/>
      <c r="F23" s="112"/>
      <c r="G23" s="112"/>
      <c r="H23" s="112"/>
      <c r="I23" s="112"/>
      <c r="J23" s="112"/>
      <c r="N23" s="87" t="s">
        <v>9</v>
      </c>
      <c r="P23" s="88"/>
    </row>
    <row r="24" spans="1:18">
      <c r="A24" s="117" t="s">
        <v>318</v>
      </c>
      <c r="B24" s="117"/>
      <c r="C24" s="117"/>
      <c r="D24" s="112"/>
      <c r="E24" s="112"/>
      <c r="F24" s="112"/>
      <c r="G24" s="112"/>
      <c r="H24" s="112"/>
      <c r="I24" s="112"/>
      <c r="J24" s="112"/>
    </row>
    <row r="25" spans="1:18">
      <c r="A25" s="112"/>
      <c r="B25" s="112"/>
      <c r="C25" s="112"/>
      <c r="D25" s="112"/>
      <c r="E25" s="112"/>
      <c r="F25" s="112"/>
      <c r="G25" s="112"/>
      <c r="H25" s="112"/>
      <c r="I25" s="112"/>
      <c r="J25" s="112"/>
    </row>
    <row r="26" spans="1:18" ht="14.25" customHeight="1">
      <c r="A26" s="115" t="s">
        <v>10</v>
      </c>
      <c r="B26" s="112"/>
      <c r="C26" s="116" t="s">
        <v>351</v>
      </c>
      <c r="D26" s="117" t="s">
        <v>1</v>
      </c>
      <c r="E26" s="112"/>
      <c r="F26" s="112"/>
      <c r="G26" s="112"/>
      <c r="H26" s="112"/>
      <c r="I26" s="112"/>
      <c r="J26" s="112"/>
    </row>
    <row r="27" spans="1:18">
      <c r="A27" s="111" t="s">
        <v>5</v>
      </c>
      <c r="B27" s="112"/>
      <c r="C27" s="116" t="s">
        <v>351</v>
      </c>
      <c r="D27" s="112" t="s">
        <v>446</v>
      </c>
      <c r="E27" s="112"/>
      <c r="F27" s="112"/>
      <c r="G27" s="112"/>
      <c r="H27" s="112"/>
      <c r="I27" s="112"/>
      <c r="J27" s="112"/>
    </row>
    <row r="28" spans="1:18">
      <c r="A28" s="112" t="s">
        <v>6</v>
      </c>
      <c r="B28" s="112"/>
      <c r="C28" s="116" t="s">
        <v>351</v>
      </c>
      <c r="D28" s="112" t="s">
        <v>11</v>
      </c>
      <c r="E28" s="112"/>
      <c r="F28" s="112"/>
      <c r="G28" s="112"/>
      <c r="H28" s="112"/>
      <c r="I28" s="112"/>
      <c r="J28" s="112"/>
    </row>
    <row r="29" spans="1:18">
      <c r="A29" s="112" t="s">
        <v>7</v>
      </c>
      <c r="B29" s="112"/>
      <c r="C29" s="116" t="s">
        <v>351</v>
      </c>
      <c r="D29" s="703" t="s">
        <v>146</v>
      </c>
      <c r="E29" s="703"/>
      <c r="F29" s="703"/>
      <c r="G29" s="703"/>
      <c r="H29" s="703"/>
      <c r="I29" s="703"/>
      <c r="J29" s="703"/>
      <c r="N29" s="87" t="s">
        <v>21</v>
      </c>
    </row>
    <row r="30" spans="1:18" ht="15" thickBot="1">
      <c r="A30" s="112"/>
      <c r="B30" s="112"/>
      <c r="C30" s="116"/>
      <c r="D30" s="703"/>
      <c r="E30" s="703"/>
      <c r="F30" s="703"/>
      <c r="G30" s="703"/>
      <c r="H30" s="703"/>
      <c r="I30" s="703"/>
      <c r="J30" s="703"/>
      <c r="N30" s="1" t="s">
        <v>17</v>
      </c>
      <c r="O30" s="1" t="s">
        <v>18</v>
      </c>
      <c r="P30" s="2" t="s">
        <v>19</v>
      </c>
      <c r="Q30" s="138" t="s">
        <v>71</v>
      </c>
      <c r="R30" s="139"/>
    </row>
    <row r="31" spans="1:18" ht="15" thickTop="1">
      <c r="A31" s="112" t="s">
        <v>353</v>
      </c>
      <c r="B31" s="112"/>
      <c r="C31" s="116" t="s">
        <v>351</v>
      </c>
      <c r="D31" s="111" t="s">
        <v>12</v>
      </c>
      <c r="E31" s="112"/>
      <c r="F31" s="112"/>
      <c r="G31" s="112"/>
      <c r="H31" s="112"/>
      <c r="I31" s="112"/>
      <c r="J31" s="112"/>
      <c r="N31" s="140">
        <v>1</v>
      </c>
      <c r="O31" s="141" t="s">
        <v>65</v>
      </c>
      <c r="P31" s="142">
        <v>10065701</v>
      </c>
      <c r="Q31" s="143" t="s">
        <v>218</v>
      </c>
    </row>
    <row r="32" spans="1:18">
      <c r="A32" s="112" t="s">
        <v>8</v>
      </c>
      <c r="B32" s="112"/>
      <c r="C32" s="116" t="s">
        <v>351</v>
      </c>
      <c r="D32" s="111" t="s">
        <v>13</v>
      </c>
      <c r="E32" s="112"/>
      <c r="F32" s="112"/>
      <c r="G32" s="112"/>
      <c r="H32" s="112"/>
      <c r="I32" s="112"/>
      <c r="J32" s="112"/>
      <c r="N32" s="144">
        <v>2</v>
      </c>
      <c r="O32" s="145" t="s">
        <v>66</v>
      </c>
      <c r="P32" s="146">
        <v>10065702</v>
      </c>
      <c r="Q32" s="147" t="s">
        <v>69</v>
      </c>
    </row>
    <row r="33" spans="1:32">
      <c r="A33" s="112" t="s">
        <v>9</v>
      </c>
      <c r="B33" s="112"/>
      <c r="C33" s="116" t="s">
        <v>351</v>
      </c>
      <c r="D33" s="729" t="s">
        <v>213</v>
      </c>
      <c r="E33" s="729"/>
      <c r="F33" s="112"/>
      <c r="G33" s="112"/>
      <c r="H33" s="112"/>
      <c r="I33" s="112"/>
      <c r="J33" s="112"/>
      <c r="N33" s="148">
        <v>3</v>
      </c>
      <c r="O33" s="149" t="s">
        <v>67</v>
      </c>
      <c r="P33" s="150">
        <v>10065703</v>
      </c>
      <c r="Q33" s="151" t="s">
        <v>70</v>
      </c>
    </row>
    <row r="34" spans="1:32">
      <c r="A34" s="112" t="s">
        <v>14</v>
      </c>
      <c r="B34" s="112"/>
      <c r="C34" s="112"/>
      <c r="D34" s="112" t="s">
        <v>1</v>
      </c>
      <c r="E34" s="112"/>
      <c r="F34" s="112"/>
      <c r="G34" s="112"/>
      <c r="H34" s="112"/>
      <c r="I34" s="112"/>
      <c r="J34" s="112"/>
      <c r="K34" s="494"/>
      <c r="L34" s="92"/>
    </row>
    <row r="35" spans="1:32">
      <c r="A35" s="112" t="s">
        <v>15</v>
      </c>
      <c r="B35" s="112"/>
      <c r="C35" s="112"/>
      <c r="D35" s="501">
        <f>IF(O40="","",VLOOKUP(O40,N31:P33,3,TRUE))</f>
        <v>10065703</v>
      </c>
      <c r="E35" s="501" t="str">
        <f>IF(O40="","",VLOOKUP(O40,N31:Q33,2,TRUE))</f>
        <v>JPY</v>
      </c>
      <c r="F35" s="112"/>
      <c r="G35" s="112"/>
      <c r="H35" s="112"/>
      <c r="I35" s="112"/>
      <c r="J35" s="112"/>
      <c r="K35" s="494"/>
      <c r="L35" s="92"/>
    </row>
    <row r="36" spans="1:32">
      <c r="A36" s="112" t="s">
        <v>16</v>
      </c>
      <c r="B36" s="112"/>
      <c r="C36" s="112"/>
      <c r="D36" s="112" t="s">
        <v>354</v>
      </c>
      <c r="E36" s="112"/>
      <c r="F36" s="112"/>
      <c r="G36" s="112"/>
      <c r="H36" s="112"/>
      <c r="I36" s="112"/>
      <c r="J36" s="112"/>
    </row>
    <row r="37" spans="1:32">
      <c r="A37" s="117" t="s">
        <v>329</v>
      </c>
      <c r="B37" s="112"/>
      <c r="C37" s="112"/>
      <c r="D37" s="112"/>
      <c r="E37" s="112"/>
      <c r="F37" s="112"/>
      <c r="G37" s="112"/>
      <c r="H37" s="112"/>
      <c r="I37" s="112"/>
      <c r="J37" s="112"/>
    </row>
    <row r="38" spans="1:32">
      <c r="A38" s="112"/>
      <c r="B38" s="112"/>
      <c r="C38" s="112"/>
      <c r="D38" s="112"/>
      <c r="E38" s="112"/>
      <c r="F38" s="112"/>
      <c r="G38" s="112"/>
      <c r="H38" s="112"/>
      <c r="I38" s="112"/>
      <c r="J38" s="112"/>
    </row>
    <row r="39" spans="1:32">
      <c r="A39" s="112" t="s">
        <v>355</v>
      </c>
      <c r="B39" s="112"/>
      <c r="C39" s="112"/>
      <c r="D39" s="112"/>
      <c r="E39" s="112"/>
      <c r="F39" s="112"/>
      <c r="G39" s="112"/>
      <c r="H39" s="112"/>
      <c r="I39" s="112"/>
      <c r="J39" s="112"/>
      <c r="N39" s="87" t="s">
        <v>22</v>
      </c>
    </row>
    <row r="40" spans="1:32">
      <c r="A40" s="112"/>
      <c r="B40" s="112"/>
      <c r="C40" s="112"/>
      <c r="D40" s="112"/>
      <c r="E40" s="112"/>
      <c r="F40" s="112"/>
      <c r="G40" s="112"/>
      <c r="H40" s="112"/>
      <c r="I40" s="112"/>
      <c r="J40" s="112"/>
      <c r="N40" s="87" t="s">
        <v>20</v>
      </c>
      <c r="O40" s="87">
        <v>3</v>
      </c>
    </row>
    <row r="41" spans="1:32">
      <c r="A41" s="118" t="s">
        <v>356</v>
      </c>
      <c r="B41" s="119"/>
      <c r="C41" s="112"/>
      <c r="D41" s="112"/>
      <c r="E41" s="112"/>
      <c r="F41" s="112"/>
      <c r="G41" s="112"/>
      <c r="H41" s="112"/>
      <c r="I41" s="112"/>
      <c r="J41" s="112"/>
    </row>
    <row r="42" spans="1:32">
      <c r="A42" s="112"/>
      <c r="B42" s="112"/>
      <c r="C42" s="112"/>
      <c r="D42" s="112"/>
      <c r="E42" s="112"/>
      <c r="F42" s="112"/>
      <c r="G42" s="112"/>
      <c r="H42" s="112"/>
      <c r="I42" s="112"/>
      <c r="J42" s="112"/>
    </row>
    <row r="43" spans="1:32">
      <c r="A43" s="503" t="s">
        <v>357</v>
      </c>
      <c r="B43" s="501" t="s">
        <v>339</v>
      </c>
      <c r="C43" s="109"/>
      <c r="D43" s="109"/>
      <c r="E43" s="109"/>
      <c r="F43" s="109"/>
      <c r="G43" s="109"/>
      <c r="H43" s="109"/>
      <c r="I43" s="109"/>
      <c r="J43" s="109"/>
      <c r="N43" s="87" t="s">
        <v>23</v>
      </c>
    </row>
    <row r="44" spans="1:32" ht="15" thickBot="1">
      <c r="A44" s="112"/>
      <c r="B44" s="112" t="s">
        <v>57</v>
      </c>
      <c r="C44" s="112"/>
      <c r="D44" s="116" t="s">
        <v>351</v>
      </c>
      <c r="E44" s="699" t="str">
        <f>R49</f>
        <v>PT Inspection for container welding lines</v>
      </c>
      <c r="F44" s="699"/>
      <c r="G44" s="699"/>
      <c r="H44" s="699"/>
      <c r="I44" s="699"/>
      <c r="J44" s="699"/>
      <c r="N44" s="1" t="s">
        <v>17</v>
      </c>
      <c r="O44" s="687" t="s">
        <v>24</v>
      </c>
      <c r="P44" s="688"/>
      <c r="Q44" s="688"/>
      <c r="R44" s="689"/>
      <c r="S44" s="687" t="s">
        <v>75</v>
      </c>
      <c r="T44" s="688"/>
      <c r="U44" s="688"/>
      <c r="V44" s="688"/>
      <c r="W44" s="688"/>
      <c r="X44" s="688"/>
      <c r="Y44" s="688"/>
      <c r="Z44" s="688"/>
      <c r="AA44" s="688"/>
      <c r="AB44" s="688"/>
      <c r="AC44" s="688"/>
      <c r="AD44" s="688"/>
      <c r="AE44" s="688"/>
      <c r="AF44" s="689"/>
    </row>
    <row r="45" spans="1:32" ht="15" thickTop="1">
      <c r="A45" s="112"/>
      <c r="B45" s="112" t="s">
        <v>58</v>
      </c>
      <c r="C45" s="112"/>
      <c r="D45" s="116" t="s">
        <v>351</v>
      </c>
      <c r="E45" s="699" t="str">
        <f>R51</f>
        <v>DENKA ADVANCED MATERIALS VIETNAM CO.,LTD</v>
      </c>
      <c r="F45" s="699"/>
      <c r="G45" s="699"/>
      <c r="H45" s="699"/>
      <c r="I45" s="699"/>
      <c r="J45" s="699"/>
      <c r="N45" s="140">
        <v>1</v>
      </c>
      <c r="O45" s="690" t="s">
        <v>60</v>
      </c>
      <c r="P45" s="691"/>
      <c r="Q45" s="691"/>
      <c r="R45" s="692"/>
      <c r="S45" s="708" t="s">
        <v>424</v>
      </c>
      <c r="T45" s="709"/>
      <c r="U45" s="709"/>
      <c r="V45" s="709"/>
      <c r="W45" s="709"/>
      <c r="X45" s="709"/>
      <c r="Y45" s="709"/>
      <c r="Z45" s="709"/>
      <c r="AA45" s="709"/>
      <c r="AB45" s="709"/>
      <c r="AC45" s="709"/>
      <c r="AD45" s="709"/>
      <c r="AE45" s="709"/>
      <c r="AF45" s="710"/>
    </row>
    <row r="46" spans="1:32">
      <c r="A46" s="112"/>
      <c r="B46" s="112" t="s">
        <v>59</v>
      </c>
      <c r="C46" s="112"/>
      <c r="D46" s="116" t="s">
        <v>351</v>
      </c>
      <c r="E46" s="669" t="str">
        <f t="shared" ref="E46" si="1">R52</f>
        <v>Vietnam</v>
      </c>
      <c r="F46" s="109"/>
      <c r="G46" s="109"/>
      <c r="H46" s="109"/>
      <c r="I46" s="109"/>
      <c r="J46" s="492"/>
      <c r="N46" s="144">
        <v>2</v>
      </c>
      <c r="O46" s="693" t="s">
        <v>61</v>
      </c>
      <c r="P46" s="694"/>
      <c r="Q46" s="694"/>
      <c r="R46" s="695"/>
      <c r="S46" s="711" t="s">
        <v>425</v>
      </c>
      <c r="T46" s="712"/>
      <c r="U46" s="712"/>
      <c r="V46" s="712"/>
      <c r="W46" s="712"/>
      <c r="X46" s="712"/>
      <c r="Y46" s="712"/>
      <c r="Z46" s="712"/>
      <c r="AA46" s="712"/>
      <c r="AB46" s="712"/>
      <c r="AC46" s="712"/>
      <c r="AD46" s="712"/>
      <c r="AE46" s="712"/>
      <c r="AF46" s="713"/>
    </row>
    <row r="47" spans="1:32">
      <c r="A47" s="112"/>
      <c r="B47" s="112" t="s">
        <v>304</v>
      </c>
      <c r="C47" s="112"/>
      <c r="D47" s="116" t="s">
        <v>351</v>
      </c>
      <c r="E47" s="343" t="s">
        <v>305</v>
      </c>
      <c r="F47" s="670">
        <f>'2.Quotation Service Order'!E34</f>
        <v>42849</v>
      </c>
      <c r="G47" s="126" t="s">
        <v>306</v>
      </c>
      <c r="H47" s="671">
        <f>'2.Quotation Service Order'!G34</f>
        <v>42855</v>
      </c>
      <c r="I47" s="672"/>
      <c r="J47" s="637"/>
      <c r="M47" s="94"/>
      <c r="N47" s="148">
        <v>3</v>
      </c>
      <c r="O47" s="696" t="s">
        <v>62</v>
      </c>
      <c r="P47" s="697"/>
      <c r="Q47" s="697"/>
      <c r="R47" s="698"/>
      <c r="S47" s="711" t="s">
        <v>426</v>
      </c>
      <c r="T47" s="712"/>
      <c r="U47" s="712"/>
      <c r="V47" s="712"/>
      <c r="W47" s="712"/>
      <c r="X47" s="712"/>
      <c r="Y47" s="712"/>
      <c r="Z47" s="712"/>
      <c r="AA47" s="712"/>
      <c r="AB47" s="712"/>
      <c r="AC47" s="712"/>
      <c r="AD47" s="712"/>
      <c r="AE47" s="712"/>
      <c r="AF47" s="713"/>
    </row>
    <row r="48" spans="1:32">
      <c r="A48" s="112"/>
      <c r="B48" s="112" t="s">
        <v>332</v>
      </c>
      <c r="C48" s="112"/>
      <c r="D48" s="116" t="s">
        <v>351</v>
      </c>
      <c r="E48" s="491">
        <f>'2.Quotation Service Order'!I34</f>
        <v>7</v>
      </c>
      <c r="F48" s="671"/>
      <c r="G48" s="671"/>
      <c r="H48" s="126"/>
      <c r="I48" s="671"/>
      <c r="J48" s="495"/>
      <c r="K48" s="506"/>
    </row>
    <row r="49" spans="1:22">
      <c r="A49" s="112"/>
      <c r="B49" s="492"/>
      <c r="C49" s="492"/>
      <c r="D49" s="492"/>
      <c r="E49" s="492"/>
      <c r="F49" s="492"/>
      <c r="G49" s="492"/>
      <c r="H49" s="492"/>
      <c r="I49" s="492"/>
      <c r="J49" s="492"/>
      <c r="K49" s="506"/>
      <c r="N49" s="87" t="s">
        <v>57</v>
      </c>
      <c r="Q49" s="493" t="s">
        <v>358</v>
      </c>
      <c r="R49" s="87" t="s">
        <v>504</v>
      </c>
    </row>
    <row r="50" spans="1:22">
      <c r="A50" s="503" t="s">
        <v>359</v>
      </c>
      <c r="B50" s="715" t="s">
        <v>212</v>
      </c>
      <c r="C50" s="715"/>
      <c r="D50" s="715"/>
      <c r="E50" s="715"/>
      <c r="F50" s="715"/>
      <c r="G50" s="715"/>
      <c r="H50" s="715"/>
      <c r="I50" s="715"/>
      <c r="J50" s="715"/>
      <c r="K50" s="494"/>
      <c r="N50" s="87" t="s">
        <v>63</v>
      </c>
      <c r="Q50" s="493" t="s">
        <v>358</v>
      </c>
      <c r="R50" s="87" t="s">
        <v>81</v>
      </c>
    </row>
    <row r="51" spans="1:22">
      <c r="A51" s="112"/>
      <c r="B51" s="715"/>
      <c r="C51" s="715"/>
      <c r="D51" s="715"/>
      <c r="E51" s="715"/>
      <c r="F51" s="715"/>
      <c r="G51" s="715"/>
      <c r="H51" s="715"/>
      <c r="I51" s="715"/>
      <c r="J51" s="715"/>
      <c r="K51" s="494"/>
      <c r="N51" s="87" t="s">
        <v>58</v>
      </c>
      <c r="Q51" s="493" t="s">
        <v>358</v>
      </c>
      <c r="R51" s="87" t="s">
        <v>505</v>
      </c>
    </row>
    <row r="52" spans="1:22">
      <c r="A52" s="112"/>
      <c r="B52" s="714" t="s">
        <v>360</v>
      </c>
      <c r="C52" s="714"/>
      <c r="D52" s="489" t="str">
        <f>'2.Quotation Service Order'!N14</f>
        <v>QCTVN201704-01</v>
      </c>
      <c r="E52" s="109"/>
      <c r="F52" s="109"/>
      <c r="G52" s="109"/>
      <c r="H52" s="109"/>
      <c r="I52" s="109"/>
      <c r="J52" s="109"/>
      <c r="K52" s="494"/>
      <c r="N52" s="87" t="s">
        <v>59</v>
      </c>
      <c r="Q52" s="493" t="s">
        <v>358</v>
      </c>
      <c r="R52" s="87" t="s">
        <v>429</v>
      </c>
    </row>
    <row r="53" spans="1:22">
      <c r="A53" s="112"/>
      <c r="B53" s="730"/>
      <c r="C53" s="730"/>
      <c r="D53" s="492"/>
      <c r="E53" s="492"/>
      <c r="F53" s="492"/>
      <c r="G53" s="492"/>
      <c r="H53" s="492"/>
      <c r="I53" s="492"/>
      <c r="J53" s="492"/>
      <c r="K53" s="494"/>
      <c r="Q53" s="493"/>
    </row>
    <row r="54" spans="1:22">
      <c r="A54" s="118" t="s">
        <v>363</v>
      </c>
      <c r="B54" s="112"/>
      <c r="C54" s="116"/>
      <c r="D54" s="112"/>
      <c r="E54" s="112"/>
      <c r="F54" s="112"/>
      <c r="G54" s="112"/>
      <c r="H54" s="112"/>
      <c r="I54" s="112"/>
      <c r="J54" s="112"/>
      <c r="K54" s="494"/>
      <c r="Q54" s="493"/>
    </row>
    <row r="55" spans="1:22">
      <c r="A55" s="112"/>
      <c r="B55" s="112"/>
      <c r="C55" s="116"/>
      <c r="D55" s="112"/>
      <c r="E55" s="112"/>
      <c r="F55" s="112"/>
      <c r="G55" s="112"/>
      <c r="H55" s="112"/>
      <c r="I55" s="112"/>
      <c r="J55" s="112"/>
      <c r="K55" s="494"/>
    </row>
    <row r="56" spans="1:22" ht="14.25" customHeight="1">
      <c r="A56" s="503" t="s">
        <v>364</v>
      </c>
      <c r="B56" s="120" t="str">
        <f>"Total contract value is "&amp;O65&amp;" "&amp;P65&amp;"."</f>
        <v>Total contract value is 103,600,000 JPY.</v>
      </c>
      <c r="C56" s="121"/>
      <c r="D56" s="122"/>
      <c r="E56" s="123"/>
      <c r="F56" s="123"/>
      <c r="G56" s="123"/>
      <c r="H56" s="123"/>
      <c r="I56" s="123"/>
      <c r="J56" s="123"/>
      <c r="K56" s="494"/>
      <c r="N56" s="700" t="s">
        <v>421</v>
      </c>
      <c r="O56" s="700"/>
      <c r="P56" s="700"/>
      <c r="Q56" s="700"/>
      <c r="R56" s="700"/>
      <c r="S56" s="700"/>
      <c r="T56" s="700"/>
      <c r="U56" s="700"/>
      <c r="V56" s="700"/>
    </row>
    <row r="57" spans="1:22">
      <c r="A57" s="503"/>
      <c r="B57" s="124" t="str">
        <f>" ( By words:"&amp;O69&amp;" "&amp;Q69&amp;" "&amp;O70&amp;" "&amp;Q70&amp;" "&amp;Q71&amp;" "&amp;O71&amp;" "&amp;N69&amp;" )."</f>
        <v xml:space="preserve"> ( By words:Fifty Seven Million Six Hundred Thousand Eigty Four Vietnamese Dong ).</v>
      </c>
      <c r="C57" s="123"/>
      <c r="D57" s="123"/>
      <c r="E57" s="123"/>
      <c r="F57" s="123"/>
      <c r="G57" s="123"/>
      <c r="H57" s="123"/>
      <c r="I57" s="123"/>
      <c r="J57" s="123"/>
      <c r="K57" s="494"/>
      <c r="N57" s="700"/>
      <c r="O57" s="700"/>
      <c r="P57" s="700"/>
      <c r="Q57" s="700"/>
      <c r="R57" s="700"/>
      <c r="S57" s="700"/>
      <c r="T57" s="700"/>
      <c r="U57" s="700"/>
      <c r="V57" s="700"/>
    </row>
    <row r="58" spans="1:22">
      <c r="A58" s="525"/>
      <c r="B58" s="124" t="s">
        <v>443</v>
      </c>
      <c r="C58" s="123"/>
      <c r="D58" s="123">
        <f>'3.Detail Quotation'!J50</f>
        <v>103600000</v>
      </c>
      <c r="E58" s="123" t="s">
        <v>493</v>
      </c>
      <c r="F58" s="123"/>
      <c r="G58" s="123"/>
      <c r="H58" s="123"/>
      <c r="I58" s="123"/>
      <c r="J58" s="123"/>
      <c r="K58" s="494"/>
    </row>
    <row r="59" spans="1:22">
      <c r="A59" s="525"/>
      <c r="B59" s="124" t="s">
        <v>444</v>
      </c>
      <c r="C59" s="123"/>
      <c r="D59" s="123">
        <f>'3.Detail Quotation'!J51</f>
        <v>0</v>
      </c>
      <c r="E59" s="123" t="s">
        <v>494</v>
      </c>
      <c r="F59" s="123"/>
      <c r="G59" s="123"/>
      <c r="H59" s="123"/>
      <c r="I59" s="123"/>
      <c r="J59" s="123"/>
      <c r="K59" s="494"/>
    </row>
    <row r="60" spans="1:22">
      <c r="A60" s="112"/>
      <c r="B60" s="120" t="str">
        <f>P84</f>
        <v>This Price is 10% VAT applicable.</v>
      </c>
      <c r="C60" s="123"/>
      <c r="D60" s="123"/>
      <c r="E60" s="123"/>
      <c r="F60" s="123"/>
      <c r="G60" s="123"/>
      <c r="H60" s="123"/>
      <c r="I60" s="123"/>
      <c r="J60" s="123"/>
      <c r="K60" s="494"/>
      <c r="N60" s="131" t="s">
        <v>82</v>
      </c>
    </row>
    <row r="61" spans="1:22" ht="15">
      <c r="A61" s="112"/>
      <c r="B61" s="120"/>
      <c r="C61" s="123"/>
      <c r="D61" s="123"/>
      <c r="E61" s="123"/>
      <c r="F61" s="123"/>
      <c r="G61" s="123"/>
      <c r="H61" s="123"/>
      <c r="I61" s="123"/>
      <c r="J61" s="123"/>
      <c r="K61" s="506"/>
      <c r="N61" s="87" t="s">
        <v>217</v>
      </c>
      <c r="O61" s="152" t="s">
        <v>428</v>
      </c>
      <c r="P61" s="134" t="s">
        <v>361</v>
      </c>
      <c r="Q61" s="136">
        <v>2016</v>
      </c>
      <c r="R61" s="134" t="s">
        <v>362</v>
      </c>
      <c r="S61" s="137" t="s">
        <v>442</v>
      </c>
    </row>
    <row r="62" spans="1:22">
      <c r="A62" s="525" t="s">
        <v>365</v>
      </c>
      <c r="B62" s="703" t="s">
        <v>461</v>
      </c>
      <c r="C62" s="703"/>
      <c r="D62" s="703"/>
      <c r="E62" s="703"/>
      <c r="F62" s="703"/>
      <c r="G62" s="703"/>
      <c r="H62" s="703"/>
      <c r="I62" s="703"/>
      <c r="J62" s="703"/>
      <c r="K62" s="494"/>
    </row>
    <row r="63" spans="1:22">
      <c r="A63" s="112"/>
      <c r="B63" s="704" t="s">
        <v>462</v>
      </c>
      <c r="C63" s="704"/>
      <c r="D63" s="704"/>
      <c r="E63" s="704"/>
      <c r="F63" s="704"/>
      <c r="G63" s="704"/>
      <c r="H63" s="704"/>
      <c r="I63" s="704"/>
      <c r="J63" s="704"/>
    </row>
    <row r="64" spans="1:22">
      <c r="A64" s="503"/>
      <c r="B64" s="704"/>
      <c r="C64" s="704"/>
      <c r="D64" s="704"/>
      <c r="E64" s="704"/>
      <c r="F64" s="704"/>
      <c r="G64" s="704"/>
      <c r="H64" s="704"/>
      <c r="I64" s="704"/>
      <c r="J64" s="704"/>
      <c r="O64" s="134"/>
    </row>
    <row r="65" spans="1:17" ht="14.25" customHeight="1">
      <c r="A65" s="112"/>
      <c r="B65" s="704" t="s">
        <v>463</v>
      </c>
      <c r="C65" s="704"/>
      <c r="D65" s="704"/>
      <c r="E65" s="704"/>
      <c r="F65" s="704"/>
      <c r="G65" s="704"/>
      <c r="H65" s="704"/>
      <c r="I65" s="704"/>
      <c r="J65" s="704"/>
      <c r="N65" s="87" t="s">
        <v>64</v>
      </c>
      <c r="O65" s="153" t="str">
        <f>TEXT('3.Detail Quotation'!J52,"#,###")</f>
        <v>103,600,000</v>
      </c>
      <c r="P65" s="87" t="str">
        <f>E35</f>
        <v>JPY</v>
      </c>
    </row>
    <row r="66" spans="1:17">
      <c r="A66" s="112"/>
      <c r="B66" s="704"/>
      <c r="C66" s="704"/>
      <c r="D66" s="704"/>
      <c r="E66" s="704"/>
      <c r="F66" s="704"/>
      <c r="G66" s="704"/>
      <c r="H66" s="704"/>
      <c r="I66" s="704"/>
      <c r="J66" s="704"/>
      <c r="O66" s="154"/>
    </row>
    <row r="67" spans="1:17">
      <c r="A67" s="112"/>
      <c r="B67" s="704"/>
      <c r="C67" s="704"/>
      <c r="D67" s="704"/>
      <c r="E67" s="704"/>
      <c r="F67" s="704"/>
      <c r="G67" s="704"/>
      <c r="H67" s="704"/>
      <c r="I67" s="704"/>
      <c r="J67" s="704"/>
      <c r="O67" s="154"/>
    </row>
    <row r="68" spans="1:17">
      <c r="A68" s="503" t="s">
        <v>366</v>
      </c>
      <c r="B68" s="728" t="s">
        <v>330</v>
      </c>
      <c r="C68" s="728"/>
      <c r="D68" s="728"/>
      <c r="E68" s="728"/>
      <c r="F68" s="728"/>
      <c r="G68" s="728"/>
      <c r="H68" s="728"/>
      <c r="I68" s="728"/>
      <c r="J68" s="728"/>
      <c r="O68" s="154"/>
    </row>
    <row r="69" spans="1:17">
      <c r="A69" s="112"/>
      <c r="B69" s="728"/>
      <c r="C69" s="728"/>
      <c r="D69" s="728"/>
      <c r="E69" s="728"/>
      <c r="F69" s="728"/>
      <c r="G69" s="728"/>
      <c r="H69" s="728"/>
      <c r="I69" s="728"/>
      <c r="J69" s="728"/>
      <c r="N69" s="87" t="s">
        <v>460</v>
      </c>
      <c r="O69" s="341" t="s">
        <v>455</v>
      </c>
      <c r="Q69" s="341" t="s">
        <v>456</v>
      </c>
    </row>
    <row r="70" spans="1:17">
      <c r="A70" s="112"/>
      <c r="B70" s="728"/>
      <c r="C70" s="728"/>
      <c r="D70" s="728"/>
      <c r="E70" s="728"/>
      <c r="F70" s="728"/>
      <c r="G70" s="728"/>
      <c r="H70" s="728"/>
      <c r="I70" s="728"/>
      <c r="J70" s="728"/>
      <c r="O70" s="341" t="s">
        <v>457</v>
      </c>
      <c r="Q70" s="341" t="s">
        <v>458</v>
      </c>
    </row>
    <row r="71" spans="1:17" ht="14.25" customHeight="1">
      <c r="A71" s="112"/>
      <c r="B71" s="728"/>
      <c r="C71" s="728"/>
      <c r="D71" s="728"/>
      <c r="E71" s="728"/>
      <c r="F71" s="728"/>
      <c r="G71" s="728"/>
      <c r="H71" s="728"/>
      <c r="I71" s="728"/>
      <c r="J71" s="728"/>
      <c r="O71" s="341" t="s">
        <v>474</v>
      </c>
      <c r="Q71" s="341" t="s">
        <v>459</v>
      </c>
    </row>
    <row r="72" spans="1:17">
      <c r="A72" s="112"/>
      <c r="B72" s="533"/>
      <c r="C72" s="533"/>
      <c r="D72" s="533"/>
      <c r="E72" s="533"/>
      <c r="F72" s="533"/>
      <c r="G72" s="533"/>
      <c r="H72" s="533"/>
      <c r="I72" s="533"/>
      <c r="J72" s="533"/>
      <c r="O72" s="341"/>
      <c r="Q72" s="341"/>
    </row>
    <row r="73" spans="1:17">
      <c r="A73" s="118" t="s">
        <v>367</v>
      </c>
      <c r="B73" s="112"/>
      <c r="C73" s="112"/>
      <c r="D73" s="112"/>
      <c r="E73" s="112"/>
      <c r="F73" s="112"/>
      <c r="G73" s="112"/>
      <c r="H73" s="112"/>
      <c r="I73" s="112"/>
      <c r="J73" s="112"/>
      <c r="O73" s="341"/>
      <c r="Q73" s="341"/>
    </row>
    <row r="74" spans="1:17">
      <c r="A74" s="112"/>
      <c r="B74" s="112"/>
      <c r="C74" s="112"/>
      <c r="D74" s="112"/>
      <c r="E74" s="112"/>
      <c r="F74" s="112"/>
      <c r="G74" s="112"/>
      <c r="H74" s="112"/>
      <c r="I74" s="112"/>
      <c r="J74" s="112"/>
      <c r="O74" s="342"/>
      <c r="Q74" s="341"/>
    </row>
    <row r="75" spans="1:17">
      <c r="A75" s="125" t="s">
        <v>464</v>
      </c>
      <c r="B75" s="112"/>
      <c r="C75" s="112"/>
      <c r="D75" s="112"/>
      <c r="E75" s="112"/>
      <c r="F75" s="112"/>
      <c r="G75" s="112"/>
      <c r="H75" s="112"/>
      <c r="I75" s="112"/>
      <c r="J75" s="112"/>
      <c r="O75" s="342"/>
      <c r="Q75" s="341"/>
    </row>
    <row r="76" spans="1:17">
      <c r="A76" s="112"/>
      <c r="B76" s="112"/>
      <c r="C76" s="112"/>
      <c r="D76" s="112"/>
      <c r="E76" s="112"/>
      <c r="F76" s="112"/>
      <c r="G76" s="112"/>
      <c r="H76" s="112"/>
      <c r="I76" s="112"/>
      <c r="J76" s="112"/>
      <c r="O76" s="342"/>
      <c r="Q76" s="341"/>
    </row>
    <row r="77" spans="1:17" ht="14.25" customHeight="1">
      <c r="A77" s="503" t="s">
        <v>368</v>
      </c>
      <c r="B77" s="703" t="s">
        <v>465</v>
      </c>
      <c r="C77" s="703"/>
      <c r="D77" s="703"/>
      <c r="E77" s="703"/>
      <c r="F77" s="703"/>
      <c r="G77" s="703"/>
      <c r="H77" s="703"/>
      <c r="I77" s="703"/>
      <c r="J77" s="703"/>
      <c r="O77" s="342"/>
      <c r="Q77" s="341"/>
    </row>
    <row r="78" spans="1:17" ht="14.25" customHeight="1">
      <c r="A78" s="112"/>
      <c r="B78" s="703"/>
      <c r="C78" s="703"/>
      <c r="D78" s="703"/>
      <c r="E78" s="703"/>
      <c r="F78" s="703"/>
      <c r="G78" s="703"/>
      <c r="H78" s="703"/>
      <c r="I78" s="703"/>
      <c r="J78" s="703"/>
      <c r="O78" s="342"/>
      <c r="Q78" s="341"/>
    </row>
    <row r="79" spans="1:17" ht="14.25" customHeight="1">
      <c r="A79" s="112"/>
      <c r="B79" s="703"/>
      <c r="C79" s="703"/>
      <c r="D79" s="703"/>
      <c r="E79" s="703"/>
      <c r="F79" s="703"/>
      <c r="G79" s="703"/>
      <c r="H79" s="703"/>
      <c r="I79" s="703"/>
      <c r="J79" s="703"/>
      <c r="O79" s="342"/>
      <c r="Q79" s="341"/>
    </row>
    <row r="80" spans="1:17" ht="14.25" customHeight="1">
      <c r="A80" s="503" t="s">
        <v>369</v>
      </c>
      <c r="B80" s="703" t="s">
        <v>197</v>
      </c>
      <c r="C80" s="703"/>
      <c r="D80" s="703"/>
      <c r="E80" s="703"/>
      <c r="F80" s="703"/>
      <c r="G80" s="703"/>
      <c r="H80" s="703"/>
      <c r="I80" s="703"/>
      <c r="J80" s="703"/>
      <c r="O80" s="342"/>
      <c r="Q80" s="341"/>
    </row>
    <row r="81" spans="1:24">
      <c r="A81" s="112"/>
      <c r="B81" s="703"/>
      <c r="C81" s="703"/>
      <c r="D81" s="703"/>
      <c r="E81" s="703"/>
      <c r="F81" s="703"/>
      <c r="G81" s="703"/>
      <c r="H81" s="703"/>
      <c r="I81" s="703"/>
      <c r="J81" s="703"/>
      <c r="O81" s="342"/>
      <c r="Q81" s="341"/>
    </row>
    <row r="82" spans="1:24">
      <c r="A82" s="112"/>
      <c r="B82" s="112"/>
      <c r="C82" s="112"/>
      <c r="D82" s="112"/>
      <c r="E82" s="112"/>
      <c r="F82" s="112"/>
      <c r="G82" s="112"/>
      <c r="H82" s="112"/>
      <c r="I82" s="112"/>
      <c r="J82" s="112"/>
      <c r="N82" s="722" t="s">
        <v>72</v>
      </c>
      <c r="O82" s="155">
        <v>1</v>
      </c>
      <c r="P82" s="155" t="s">
        <v>76</v>
      </c>
      <c r="Q82" s="717" t="s">
        <v>74</v>
      </c>
      <c r="R82" s="717"/>
      <c r="S82" s="717"/>
      <c r="T82" s="717"/>
      <c r="U82" s="717" t="s">
        <v>173</v>
      </c>
      <c r="V82" s="717"/>
      <c r="W82" s="717"/>
      <c r="X82" s="717"/>
    </row>
    <row r="83" spans="1:24">
      <c r="A83" s="118" t="s">
        <v>370</v>
      </c>
      <c r="B83" s="112"/>
      <c r="C83" s="112"/>
      <c r="D83" s="112"/>
      <c r="E83" s="112"/>
      <c r="F83" s="112"/>
      <c r="G83" s="112"/>
      <c r="H83" s="112"/>
      <c r="I83" s="112"/>
      <c r="J83" s="112"/>
      <c r="N83" s="722"/>
      <c r="O83" s="156">
        <v>2</v>
      </c>
      <c r="P83" s="157" t="s">
        <v>77</v>
      </c>
      <c r="Q83" s="718" t="s">
        <v>78</v>
      </c>
      <c r="R83" s="719"/>
      <c r="S83" s="719"/>
      <c r="T83" s="720"/>
      <c r="U83" s="718" t="s">
        <v>79</v>
      </c>
      <c r="V83" s="719"/>
      <c r="W83" s="719"/>
      <c r="X83" s="720"/>
    </row>
    <row r="84" spans="1:24">
      <c r="A84" s="112"/>
      <c r="B84" s="112"/>
      <c r="C84" s="112"/>
      <c r="D84" s="112"/>
      <c r="E84" s="112"/>
      <c r="F84" s="112"/>
      <c r="G84" s="112"/>
      <c r="H84" s="112"/>
      <c r="I84" s="112"/>
      <c r="J84" s="112"/>
      <c r="N84" s="505" t="s">
        <v>73</v>
      </c>
      <c r="O84" s="158">
        <v>1</v>
      </c>
      <c r="P84" s="711" t="str">
        <f>IF(O84="","",VLOOKUP(O84,O82:Q83,3,TRUE))</f>
        <v>This Price is 10% VAT applicable.</v>
      </c>
      <c r="Q84" s="712"/>
      <c r="R84" s="712"/>
      <c r="S84" s="712"/>
      <c r="T84" s="713"/>
    </row>
    <row r="85" spans="1:24">
      <c r="A85" s="503" t="s">
        <v>371</v>
      </c>
      <c r="B85" s="703" t="s">
        <v>372</v>
      </c>
      <c r="C85" s="703"/>
      <c r="D85" s="703"/>
      <c r="E85" s="703"/>
      <c r="F85" s="703"/>
      <c r="G85" s="703"/>
      <c r="H85" s="703"/>
      <c r="I85" s="703"/>
      <c r="J85" s="703"/>
      <c r="P85" s="716"/>
      <c r="Q85" s="716"/>
      <c r="R85" s="716"/>
      <c r="S85" s="716"/>
      <c r="T85" s="716"/>
    </row>
    <row r="86" spans="1:24">
      <c r="A86" s="501"/>
      <c r="B86" s="703"/>
      <c r="C86" s="703"/>
      <c r="D86" s="703"/>
      <c r="E86" s="703"/>
      <c r="F86" s="703"/>
      <c r="G86" s="703"/>
      <c r="H86" s="703"/>
      <c r="I86" s="703"/>
      <c r="J86" s="703"/>
      <c r="N86" s="3"/>
      <c r="O86" s="3"/>
      <c r="P86" s="3"/>
      <c r="Q86" s="3"/>
      <c r="R86" s="3"/>
      <c r="S86" s="3"/>
      <c r="T86" s="3"/>
    </row>
    <row r="87" spans="1:24">
      <c r="A87" s="501"/>
      <c r="B87" s="703"/>
      <c r="C87" s="703"/>
      <c r="D87" s="703"/>
      <c r="E87" s="703"/>
      <c r="F87" s="703"/>
      <c r="G87" s="703"/>
      <c r="H87" s="703"/>
      <c r="I87" s="703"/>
      <c r="J87" s="703"/>
      <c r="M87" s="87" t="s">
        <v>312</v>
      </c>
      <c r="N87" s="3"/>
      <c r="O87" s="3"/>
      <c r="P87" s="3"/>
      <c r="Q87" s="3"/>
      <c r="R87" s="3"/>
      <c r="S87" s="3"/>
      <c r="T87" s="3"/>
    </row>
    <row r="88" spans="1:24">
      <c r="A88" s="501"/>
      <c r="B88" s="703"/>
      <c r="C88" s="703"/>
      <c r="D88" s="703"/>
      <c r="E88" s="703"/>
      <c r="F88" s="703"/>
      <c r="G88" s="703"/>
      <c r="H88" s="703"/>
      <c r="I88" s="703"/>
      <c r="J88" s="703"/>
      <c r="M88" s="87" t="s">
        <v>208</v>
      </c>
      <c r="N88" s="3"/>
      <c r="O88" s="3"/>
      <c r="P88" s="159"/>
      <c r="Q88" s="3"/>
      <c r="R88" s="3"/>
      <c r="S88" s="3"/>
      <c r="T88" s="3"/>
    </row>
    <row r="89" spans="1:24">
      <c r="A89" s="118" t="s">
        <v>373</v>
      </c>
      <c r="B89" s="112"/>
      <c r="C89" s="112"/>
      <c r="D89" s="112"/>
      <c r="E89" s="112"/>
      <c r="F89" s="112"/>
      <c r="G89" s="112"/>
      <c r="H89" s="112"/>
      <c r="I89" s="112"/>
      <c r="J89" s="112"/>
      <c r="N89" s="160"/>
      <c r="O89" s="3"/>
      <c r="P89" s="3"/>
      <c r="Q89" s="3"/>
      <c r="R89" s="3"/>
      <c r="S89" s="3"/>
      <c r="T89" s="3"/>
    </row>
    <row r="90" spans="1:24">
      <c r="A90" s="112"/>
      <c r="B90" s="112"/>
      <c r="C90" s="112"/>
      <c r="D90" s="112"/>
      <c r="E90" s="112"/>
      <c r="F90" s="112"/>
      <c r="G90" s="112"/>
      <c r="H90" s="112"/>
      <c r="I90" s="112"/>
      <c r="J90" s="112"/>
      <c r="N90" s="160"/>
      <c r="O90" s="3"/>
      <c r="P90" s="721"/>
      <c r="Q90" s="721"/>
      <c r="R90" s="721"/>
      <c r="S90" s="721"/>
      <c r="T90" s="721"/>
    </row>
    <row r="91" spans="1:24">
      <c r="A91" s="117" t="s">
        <v>80</v>
      </c>
      <c r="B91" s="112"/>
      <c r="C91" s="112"/>
      <c r="D91" s="112"/>
      <c r="E91" s="112"/>
      <c r="F91" s="112"/>
      <c r="G91" s="112"/>
      <c r="H91" s="112"/>
      <c r="I91" s="112"/>
      <c r="J91" s="112"/>
    </row>
    <row r="92" spans="1:24">
      <c r="A92" s="112"/>
      <c r="B92" s="112"/>
      <c r="C92" s="112"/>
      <c r="D92" s="112"/>
      <c r="E92" s="112"/>
      <c r="F92" s="112"/>
      <c r="G92" s="112"/>
      <c r="H92" s="112"/>
      <c r="I92" s="112"/>
      <c r="J92" s="112"/>
    </row>
    <row r="93" spans="1:24">
      <c r="A93" s="112" t="s">
        <v>374</v>
      </c>
      <c r="B93" s="112"/>
      <c r="C93" s="112"/>
      <c r="D93" s="112"/>
      <c r="E93" s="112"/>
      <c r="F93" s="112"/>
      <c r="G93" s="112"/>
      <c r="H93" s="112"/>
      <c r="I93" s="112"/>
      <c r="J93" s="112"/>
    </row>
    <row r="94" spans="1:24">
      <c r="A94" s="112" t="s">
        <v>81</v>
      </c>
      <c r="B94" s="703" t="s">
        <v>491</v>
      </c>
      <c r="C94" s="703"/>
      <c r="D94" s="703"/>
      <c r="E94" s="703"/>
      <c r="F94" s="703"/>
      <c r="G94" s="703"/>
      <c r="H94" s="703"/>
      <c r="I94" s="703"/>
      <c r="J94" s="703"/>
    </row>
    <row r="95" spans="1:24" ht="14.25" customHeight="1">
      <c r="A95" s="112" t="s">
        <v>81</v>
      </c>
      <c r="B95" s="703" t="s">
        <v>466</v>
      </c>
      <c r="C95" s="703"/>
      <c r="D95" s="703"/>
      <c r="E95" s="703"/>
      <c r="F95" s="703"/>
      <c r="G95" s="703"/>
      <c r="H95" s="703"/>
      <c r="I95" s="703"/>
      <c r="J95" s="703"/>
    </row>
    <row r="96" spans="1:24">
      <c r="A96" s="112" t="s">
        <v>81</v>
      </c>
      <c r="B96" s="703" t="s">
        <v>445</v>
      </c>
      <c r="C96" s="703"/>
      <c r="D96" s="703"/>
      <c r="E96" s="703"/>
      <c r="F96" s="703"/>
      <c r="G96" s="703"/>
      <c r="H96" s="703"/>
      <c r="I96" s="703"/>
      <c r="J96" s="703"/>
    </row>
    <row r="97" spans="1:10">
      <c r="A97" s="112" t="s">
        <v>81</v>
      </c>
      <c r="B97" s="112" t="s">
        <v>492</v>
      </c>
      <c r="C97" s="112"/>
      <c r="D97" s="112"/>
      <c r="E97" s="112"/>
      <c r="F97" s="112"/>
      <c r="G97" s="112"/>
      <c r="H97" s="112"/>
      <c r="I97" s="112"/>
      <c r="J97" s="112"/>
    </row>
    <row r="98" spans="1:10">
      <c r="A98" s="112" t="s">
        <v>81</v>
      </c>
      <c r="B98" s="703" t="s">
        <v>336</v>
      </c>
      <c r="C98" s="703"/>
      <c r="D98" s="703"/>
      <c r="E98" s="703"/>
      <c r="F98" s="703"/>
      <c r="G98" s="703"/>
      <c r="H98" s="703"/>
      <c r="I98" s="703"/>
      <c r="J98" s="703"/>
    </row>
    <row r="99" spans="1:10">
      <c r="A99" s="112"/>
      <c r="B99" s="703"/>
      <c r="C99" s="703"/>
      <c r="D99" s="703"/>
      <c r="E99" s="703"/>
      <c r="F99" s="703"/>
      <c r="G99" s="703"/>
      <c r="H99" s="703"/>
      <c r="I99" s="703"/>
      <c r="J99" s="703"/>
    </row>
    <row r="100" spans="1:10">
      <c r="A100" s="112"/>
      <c r="B100" s="703"/>
      <c r="C100" s="703"/>
      <c r="D100" s="703"/>
      <c r="E100" s="703"/>
      <c r="F100" s="703"/>
      <c r="G100" s="703"/>
      <c r="H100" s="703"/>
      <c r="I100" s="703"/>
      <c r="J100" s="703"/>
    </row>
    <row r="101" spans="1:10">
      <c r="A101" s="112"/>
      <c r="B101" s="703"/>
      <c r="C101" s="703"/>
      <c r="D101" s="703"/>
      <c r="E101" s="703"/>
      <c r="F101" s="703"/>
      <c r="G101" s="703"/>
      <c r="H101" s="703"/>
      <c r="I101" s="703"/>
      <c r="J101" s="703"/>
    </row>
    <row r="102" spans="1:10">
      <c r="A102" s="112" t="s">
        <v>375</v>
      </c>
      <c r="B102" s="112"/>
      <c r="C102" s="112"/>
      <c r="D102" s="112"/>
      <c r="E102" s="112"/>
      <c r="F102" s="112"/>
      <c r="G102" s="112"/>
      <c r="H102" s="112"/>
      <c r="I102" s="112"/>
      <c r="J102" s="112"/>
    </row>
    <row r="103" spans="1:10">
      <c r="A103" s="112" t="s">
        <v>81</v>
      </c>
      <c r="B103" s="703" t="s">
        <v>467</v>
      </c>
      <c r="C103" s="703"/>
      <c r="D103" s="703"/>
      <c r="E103" s="703"/>
      <c r="F103" s="703"/>
      <c r="G103" s="703"/>
      <c r="H103" s="703"/>
      <c r="I103" s="703"/>
      <c r="J103" s="703"/>
    </row>
    <row r="104" spans="1:10">
      <c r="A104" s="112" t="s">
        <v>81</v>
      </c>
      <c r="B104" s="703" t="s">
        <v>468</v>
      </c>
      <c r="C104" s="703"/>
      <c r="D104" s="703"/>
      <c r="E104" s="703"/>
      <c r="F104" s="703"/>
      <c r="G104" s="703"/>
      <c r="H104" s="703"/>
      <c r="I104" s="703"/>
      <c r="J104" s="703"/>
    </row>
    <row r="105" spans="1:10">
      <c r="A105" s="112" t="s">
        <v>81</v>
      </c>
      <c r="B105" s="703" t="s">
        <v>469</v>
      </c>
      <c r="C105" s="703"/>
      <c r="D105" s="703"/>
      <c r="E105" s="703"/>
      <c r="F105" s="703"/>
      <c r="G105" s="703"/>
      <c r="H105" s="703"/>
      <c r="I105" s="703"/>
      <c r="J105" s="703"/>
    </row>
    <row r="106" spans="1:10">
      <c r="A106" s="112" t="s">
        <v>81</v>
      </c>
      <c r="B106" s="703" t="s">
        <v>336</v>
      </c>
      <c r="C106" s="703"/>
      <c r="D106" s="703"/>
      <c r="E106" s="703"/>
      <c r="F106" s="703"/>
      <c r="G106" s="703"/>
      <c r="H106" s="703"/>
      <c r="I106" s="703"/>
      <c r="J106" s="703"/>
    </row>
    <row r="107" spans="1:10">
      <c r="A107" s="112"/>
      <c r="B107" s="703"/>
      <c r="C107" s="703"/>
      <c r="D107" s="703"/>
      <c r="E107" s="703"/>
      <c r="F107" s="703"/>
      <c r="G107" s="703"/>
      <c r="H107" s="703"/>
      <c r="I107" s="703"/>
      <c r="J107" s="703"/>
    </row>
    <row r="108" spans="1:10" ht="14.25" customHeight="1">
      <c r="A108" s="112"/>
      <c r="B108" s="703"/>
      <c r="C108" s="703"/>
      <c r="D108" s="703"/>
      <c r="E108" s="703"/>
      <c r="F108" s="703"/>
      <c r="G108" s="703"/>
      <c r="H108" s="703"/>
      <c r="I108" s="703"/>
      <c r="J108" s="703"/>
    </row>
    <row r="109" spans="1:10">
      <c r="A109" s="112"/>
      <c r="B109" s="112"/>
      <c r="C109" s="112"/>
      <c r="D109" s="112"/>
      <c r="E109" s="112"/>
      <c r="F109" s="112"/>
      <c r="G109" s="112"/>
      <c r="H109" s="112"/>
      <c r="I109" s="112"/>
      <c r="J109" s="112"/>
    </row>
    <row r="110" spans="1:10" ht="13.5" customHeight="1">
      <c r="A110" s="118" t="s">
        <v>412</v>
      </c>
      <c r="B110" s="112"/>
      <c r="C110" s="112"/>
      <c r="D110" s="112"/>
      <c r="E110" s="112"/>
      <c r="F110" s="112"/>
      <c r="G110" s="112"/>
      <c r="H110" s="112"/>
      <c r="I110" s="112"/>
      <c r="J110" s="112"/>
    </row>
    <row r="111" spans="1:10" ht="14.25" customHeight="1">
      <c r="A111" s="112"/>
      <c r="B111" s="112"/>
      <c r="C111" s="112"/>
      <c r="D111" s="112"/>
      <c r="E111" s="112"/>
      <c r="F111" s="112"/>
      <c r="G111" s="112"/>
      <c r="H111" s="112"/>
      <c r="I111" s="112"/>
      <c r="J111" s="112"/>
    </row>
    <row r="112" spans="1:10" ht="13.5" customHeight="1">
      <c r="A112" s="503" t="s">
        <v>376</v>
      </c>
      <c r="B112" s="703" t="s">
        <v>341</v>
      </c>
      <c r="C112" s="703"/>
      <c r="D112" s="703"/>
      <c r="E112" s="703"/>
      <c r="F112" s="703"/>
      <c r="G112" s="703"/>
      <c r="H112" s="703"/>
      <c r="I112" s="703"/>
      <c r="J112" s="703"/>
    </row>
    <row r="113" spans="1:17">
      <c r="A113" s="112"/>
      <c r="B113" s="127"/>
      <c r="C113" s="127"/>
      <c r="D113" s="127"/>
      <c r="E113" s="127"/>
      <c r="F113" s="127"/>
      <c r="G113" s="127"/>
      <c r="H113" s="127"/>
      <c r="I113" s="127"/>
      <c r="J113" s="127"/>
    </row>
    <row r="114" spans="1:17">
      <c r="A114" s="503" t="s">
        <v>377</v>
      </c>
      <c r="B114" s="703" t="s">
        <v>340</v>
      </c>
      <c r="C114" s="703"/>
      <c r="D114" s="703"/>
      <c r="E114" s="703"/>
      <c r="F114" s="703"/>
      <c r="G114" s="703"/>
      <c r="H114" s="703"/>
      <c r="I114" s="703"/>
      <c r="J114" s="703"/>
    </row>
    <row r="115" spans="1:17">
      <c r="A115" s="112"/>
      <c r="B115" s="112"/>
      <c r="C115" s="112"/>
      <c r="D115" s="112"/>
      <c r="E115" s="112"/>
      <c r="F115" s="112"/>
      <c r="G115" s="112"/>
      <c r="H115" s="112"/>
      <c r="I115" s="112"/>
      <c r="J115" s="112"/>
    </row>
    <row r="116" spans="1:17">
      <c r="A116" s="118" t="s">
        <v>379</v>
      </c>
      <c r="B116" s="112"/>
      <c r="C116" s="112"/>
      <c r="D116" s="112"/>
      <c r="E116" s="112"/>
      <c r="F116" s="112"/>
      <c r="G116" s="112"/>
      <c r="H116" s="112"/>
      <c r="I116" s="112"/>
      <c r="J116" s="112"/>
    </row>
    <row r="117" spans="1:17">
      <c r="A117" s="112"/>
      <c r="B117" s="112"/>
      <c r="C117" s="112"/>
      <c r="D117" s="112"/>
      <c r="E117" s="112"/>
      <c r="F117" s="112"/>
      <c r="G117" s="112"/>
      <c r="H117" s="112"/>
      <c r="I117" s="112"/>
      <c r="J117" s="112"/>
    </row>
    <row r="118" spans="1:17" ht="14.25" customHeight="1">
      <c r="A118" s="112" t="s">
        <v>380</v>
      </c>
      <c r="B118" s="112"/>
      <c r="C118" s="112"/>
      <c r="D118" s="112"/>
      <c r="E118" s="112"/>
      <c r="F118" s="112"/>
      <c r="G118" s="112"/>
      <c r="H118" s="112"/>
      <c r="I118" s="112"/>
      <c r="J118" s="112"/>
    </row>
    <row r="119" spans="1:17">
      <c r="A119" s="112"/>
      <c r="B119" s="112"/>
      <c r="C119" s="112"/>
      <c r="D119" s="112"/>
      <c r="E119" s="112"/>
      <c r="F119" s="112"/>
      <c r="G119" s="112"/>
      <c r="H119" s="112"/>
      <c r="I119" s="112"/>
      <c r="J119" s="112"/>
    </row>
    <row r="120" spans="1:17">
      <c r="A120" s="117" t="s">
        <v>334</v>
      </c>
      <c r="B120" s="117" t="str">
        <f>P17</f>
        <v>DENKA ADVANCED MATERIALS VIETNAM CO.,LTD.</v>
      </c>
      <c r="C120" s="112"/>
      <c r="D120" s="112"/>
      <c r="E120" s="112"/>
      <c r="F120" s="112"/>
      <c r="G120" s="112"/>
      <c r="H120" s="112"/>
      <c r="I120" s="112"/>
      <c r="J120" s="112"/>
      <c r="N120" s="161" t="s">
        <v>378</v>
      </c>
      <c r="Q120" s="87" t="s">
        <v>83</v>
      </c>
    </row>
    <row r="121" spans="1:17">
      <c r="A121" s="112"/>
      <c r="B121" s="112" t="s">
        <v>382</v>
      </c>
      <c r="C121" s="112" t="str">
        <f>P18</f>
        <v>MR．YOSUKE SUZUKI</v>
      </c>
      <c r="D121" s="112"/>
      <c r="E121" s="112"/>
      <c r="F121" s="111" t="str">
        <f>P21</f>
        <v>+84-321-3974-805</v>
      </c>
      <c r="G121" s="112"/>
      <c r="H121" s="112"/>
      <c r="I121" s="112"/>
      <c r="J121" s="112"/>
    </row>
    <row r="122" spans="1:17">
      <c r="A122" s="112"/>
      <c r="B122" s="112"/>
      <c r="C122" s="112"/>
      <c r="D122" s="112"/>
      <c r="E122" s="112"/>
      <c r="F122" s="112"/>
      <c r="G122" s="112"/>
      <c r="H122" s="112"/>
      <c r="I122" s="112"/>
      <c r="J122" s="112"/>
    </row>
    <row r="123" spans="1:17">
      <c r="A123" s="117" t="s">
        <v>335</v>
      </c>
      <c r="B123" s="117" t="s">
        <v>0</v>
      </c>
      <c r="C123" s="112"/>
      <c r="D123" s="112"/>
      <c r="E123" s="112"/>
      <c r="F123" s="112"/>
      <c r="G123" s="112"/>
      <c r="H123" s="112"/>
      <c r="I123" s="112"/>
      <c r="J123" s="126"/>
    </row>
    <row r="124" spans="1:17">
      <c r="A124" s="112"/>
      <c r="B124" s="112" t="s">
        <v>382</v>
      </c>
      <c r="C124" s="112" t="str">
        <f>D27</f>
        <v>MR．MASAMI OUE</v>
      </c>
      <c r="D124" s="112"/>
      <c r="E124" s="112"/>
      <c r="F124" s="111" t="str">
        <f>D31</f>
        <v>+84-8-5410-9111</v>
      </c>
      <c r="G124" s="112"/>
      <c r="H124" s="112"/>
      <c r="I124" s="112"/>
      <c r="J124" s="112"/>
    </row>
    <row r="125" spans="1:17">
      <c r="A125" s="112"/>
      <c r="B125" s="112"/>
      <c r="C125" s="112"/>
      <c r="D125" s="112"/>
      <c r="E125" s="112"/>
      <c r="F125" s="112"/>
      <c r="G125" s="112"/>
      <c r="H125" s="112"/>
      <c r="I125" s="112"/>
      <c r="J125" s="112"/>
    </row>
    <row r="126" spans="1:17">
      <c r="A126" s="118" t="s">
        <v>384</v>
      </c>
      <c r="B126" s="112"/>
      <c r="C126" s="112"/>
      <c r="D126" s="112"/>
      <c r="E126" s="112"/>
      <c r="F126" s="112"/>
      <c r="G126" s="112"/>
      <c r="H126" s="112"/>
      <c r="I126" s="112"/>
      <c r="J126" s="112"/>
      <c r="N126" s="87" t="s">
        <v>381</v>
      </c>
      <c r="O126" s="87" t="s">
        <v>209</v>
      </c>
    </row>
    <row r="127" spans="1:17">
      <c r="A127" s="112"/>
      <c r="B127" s="112"/>
      <c r="C127" s="112"/>
      <c r="D127" s="112"/>
      <c r="E127" s="112"/>
      <c r="F127" s="112"/>
      <c r="G127" s="112"/>
      <c r="H127" s="112"/>
      <c r="I127" s="112"/>
      <c r="J127" s="112"/>
      <c r="O127" s="88" t="s">
        <v>85</v>
      </c>
    </row>
    <row r="128" spans="1:17">
      <c r="A128" s="503" t="s">
        <v>385</v>
      </c>
      <c r="B128" s="703" t="s">
        <v>315</v>
      </c>
      <c r="C128" s="703"/>
      <c r="D128" s="703"/>
      <c r="E128" s="703"/>
      <c r="F128" s="703"/>
      <c r="G128" s="703"/>
      <c r="H128" s="703"/>
      <c r="I128" s="703"/>
      <c r="J128" s="703"/>
    </row>
    <row r="129" spans="1:15">
      <c r="A129" s="112"/>
      <c r="B129" s="703"/>
      <c r="C129" s="703"/>
      <c r="D129" s="703"/>
      <c r="E129" s="703"/>
      <c r="F129" s="703"/>
      <c r="G129" s="703"/>
      <c r="H129" s="703"/>
      <c r="I129" s="703"/>
      <c r="J129" s="703"/>
    </row>
    <row r="130" spans="1:15">
      <c r="A130" s="112"/>
      <c r="B130" s="703"/>
      <c r="C130" s="703"/>
      <c r="D130" s="703"/>
      <c r="E130" s="703"/>
      <c r="F130" s="703"/>
      <c r="G130" s="703"/>
      <c r="H130" s="703"/>
      <c r="I130" s="703"/>
      <c r="J130" s="703"/>
      <c r="N130" s="87" t="s">
        <v>383</v>
      </c>
      <c r="O130" s="87" t="s">
        <v>84</v>
      </c>
    </row>
    <row r="131" spans="1:15">
      <c r="A131" s="112"/>
      <c r="B131" s="526"/>
      <c r="C131" s="526"/>
      <c r="D131" s="526"/>
      <c r="E131" s="526"/>
      <c r="F131" s="526"/>
      <c r="G131" s="526"/>
      <c r="H131" s="526"/>
      <c r="I131" s="526"/>
      <c r="J131" s="526"/>
    </row>
    <row r="132" spans="1:15">
      <c r="A132" s="503" t="s">
        <v>386</v>
      </c>
      <c r="B132" s="703" t="s">
        <v>86</v>
      </c>
      <c r="C132" s="703"/>
      <c r="D132" s="703"/>
      <c r="E132" s="703"/>
      <c r="F132" s="703"/>
      <c r="G132" s="703"/>
      <c r="H132" s="703"/>
      <c r="I132" s="703"/>
      <c r="J132" s="703"/>
    </row>
    <row r="133" spans="1:15">
      <c r="A133" s="501"/>
      <c r="B133" s="703"/>
      <c r="C133" s="703"/>
      <c r="D133" s="703"/>
      <c r="E133" s="703"/>
      <c r="F133" s="703"/>
      <c r="G133" s="703"/>
      <c r="H133" s="703"/>
      <c r="I133" s="703"/>
      <c r="J133" s="703"/>
    </row>
    <row r="134" spans="1:15">
      <c r="A134" s="112"/>
      <c r="B134" s="127"/>
      <c r="C134" s="127"/>
      <c r="D134" s="127"/>
      <c r="E134" s="127"/>
      <c r="F134" s="127"/>
      <c r="G134" s="127"/>
      <c r="H134" s="127"/>
      <c r="I134" s="127"/>
      <c r="J134" s="127"/>
    </row>
    <row r="135" spans="1:15">
      <c r="A135" s="503" t="s">
        <v>387</v>
      </c>
      <c r="B135" s="703" t="s">
        <v>314</v>
      </c>
      <c r="C135" s="703"/>
      <c r="D135" s="703"/>
      <c r="E135" s="703"/>
      <c r="F135" s="703"/>
      <c r="G135" s="703"/>
      <c r="H135" s="703"/>
      <c r="I135" s="703"/>
      <c r="J135" s="703"/>
    </row>
    <row r="136" spans="1:15">
      <c r="A136" s="112"/>
      <c r="B136" s="703"/>
      <c r="C136" s="703"/>
      <c r="D136" s="703"/>
      <c r="E136" s="703"/>
      <c r="F136" s="703"/>
      <c r="G136" s="703"/>
      <c r="H136" s="703"/>
      <c r="I136" s="703"/>
      <c r="J136" s="703"/>
    </row>
    <row r="137" spans="1:15">
      <c r="A137" s="112"/>
      <c r="B137" s="703"/>
      <c r="C137" s="703"/>
      <c r="D137" s="703"/>
      <c r="E137" s="703"/>
      <c r="F137" s="703"/>
      <c r="G137" s="703"/>
      <c r="H137" s="703"/>
      <c r="I137" s="703"/>
      <c r="J137" s="703"/>
    </row>
    <row r="138" spans="1:15" ht="14.25" customHeight="1">
      <c r="A138" s="112"/>
      <c r="B138" s="703"/>
      <c r="C138" s="703"/>
      <c r="D138" s="703"/>
      <c r="E138" s="703"/>
      <c r="F138" s="703"/>
      <c r="G138" s="703"/>
      <c r="H138" s="703"/>
      <c r="I138" s="703"/>
      <c r="J138" s="703"/>
    </row>
    <row r="139" spans="1:15">
      <c r="A139" s="112"/>
      <c r="B139" s="112"/>
      <c r="C139" s="112"/>
      <c r="D139" s="112"/>
      <c r="E139" s="112"/>
      <c r="F139" s="112"/>
      <c r="G139" s="112"/>
      <c r="H139" s="112"/>
      <c r="I139" s="112"/>
      <c r="J139" s="112"/>
    </row>
    <row r="140" spans="1:15">
      <c r="A140" s="118" t="s">
        <v>388</v>
      </c>
      <c r="B140" s="112"/>
      <c r="C140" s="112"/>
      <c r="D140" s="112"/>
      <c r="E140" s="112"/>
      <c r="F140" s="112"/>
      <c r="G140" s="112"/>
      <c r="H140" s="112"/>
      <c r="I140" s="112"/>
      <c r="J140" s="112"/>
    </row>
    <row r="141" spans="1:15">
      <c r="A141" s="112"/>
      <c r="B141" s="112"/>
      <c r="C141" s="112"/>
      <c r="D141" s="112"/>
      <c r="E141" s="112"/>
      <c r="F141" s="112"/>
      <c r="G141" s="112"/>
      <c r="H141" s="112"/>
      <c r="I141" s="112"/>
      <c r="J141" s="112"/>
    </row>
    <row r="142" spans="1:15">
      <c r="A142" s="503" t="s">
        <v>389</v>
      </c>
      <c r="B142" s="715" t="s">
        <v>422</v>
      </c>
      <c r="C142" s="726"/>
      <c r="D142" s="726"/>
      <c r="E142" s="726"/>
      <c r="F142" s="726"/>
      <c r="G142" s="726"/>
      <c r="H142" s="726"/>
      <c r="I142" s="726"/>
      <c r="J142" s="726"/>
    </row>
    <row r="143" spans="1:15">
      <c r="A143" s="112"/>
      <c r="B143" s="726"/>
      <c r="C143" s="726"/>
      <c r="D143" s="726"/>
      <c r="E143" s="726"/>
      <c r="F143" s="726"/>
      <c r="G143" s="726"/>
      <c r="H143" s="726"/>
      <c r="I143" s="726"/>
      <c r="J143" s="726"/>
    </row>
    <row r="144" spans="1:15">
      <c r="A144" s="112"/>
      <c r="B144" s="726"/>
      <c r="C144" s="726"/>
      <c r="D144" s="726"/>
      <c r="E144" s="726"/>
      <c r="F144" s="726"/>
      <c r="G144" s="726"/>
      <c r="H144" s="726"/>
      <c r="I144" s="726"/>
      <c r="J144" s="726"/>
    </row>
    <row r="145" spans="1:10">
      <c r="A145" s="112"/>
      <c r="B145" s="112"/>
      <c r="C145" s="112"/>
      <c r="D145" s="112"/>
      <c r="E145" s="112"/>
      <c r="F145" s="112"/>
      <c r="G145" s="112"/>
      <c r="H145" s="112"/>
      <c r="I145" s="112"/>
      <c r="J145" s="112"/>
    </row>
    <row r="146" spans="1:10">
      <c r="A146" s="503" t="s">
        <v>390</v>
      </c>
      <c r="B146" s="703" t="s">
        <v>470</v>
      </c>
      <c r="C146" s="703"/>
      <c r="D146" s="703"/>
      <c r="E146" s="703"/>
      <c r="F146" s="703"/>
      <c r="G146" s="703"/>
      <c r="H146" s="703"/>
      <c r="I146" s="703"/>
      <c r="J146" s="703"/>
    </row>
    <row r="147" spans="1:10">
      <c r="A147" s="501"/>
      <c r="B147" s="703"/>
      <c r="C147" s="703"/>
      <c r="D147" s="703"/>
      <c r="E147" s="703"/>
      <c r="F147" s="703"/>
      <c r="G147" s="703"/>
      <c r="H147" s="703"/>
      <c r="I147" s="703"/>
      <c r="J147" s="703"/>
    </row>
    <row r="148" spans="1:10">
      <c r="A148" s="636"/>
      <c r="B148" s="703" t="s">
        <v>471</v>
      </c>
      <c r="C148" s="703"/>
      <c r="D148" s="703"/>
      <c r="E148" s="703"/>
      <c r="F148" s="703"/>
      <c r="G148" s="703"/>
      <c r="H148" s="703"/>
      <c r="I148" s="703"/>
      <c r="J148" s="703"/>
    </row>
    <row r="149" spans="1:10">
      <c r="A149" s="636"/>
      <c r="B149" s="703"/>
      <c r="C149" s="703"/>
      <c r="D149" s="703"/>
      <c r="E149" s="703"/>
      <c r="F149" s="703"/>
      <c r="G149" s="703"/>
      <c r="H149" s="703"/>
      <c r="I149" s="703"/>
      <c r="J149" s="703"/>
    </row>
    <row r="150" spans="1:10">
      <c r="A150" s="636"/>
      <c r="B150" s="109"/>
      <c r="C150" s="109"/>
      <c r="D150" s="109"/>
      <c r="E150" s="109"/>
      <c r="F150" s="109"/>
      <c r="G150" s="109"/>
      <c r="H150" s="109"/>
      <c r="I150" s="109"/>
      <c r="J150" s="109"/>
    </row>
    <row r="151" spans="1:10">
      <c r="A151" s="723" t="s">
        <v>214</v>
      </c>
      <c r="B151" s="723"/>
      <c r="C151" s="723"/>
      <c r="D151" s="723"/>
      <c r="E151" s="112"/>
      <c r="F151" s="112"/>
      <c r="G151" s="723" t="s">
        <v>215</v>
      </c>
      <c r="H151" s="723"/>
      <c r="I151" s="723"/>
      <c r="J151" s="723"/>
    </row>
    <row r="152" spans="1:10">
      <c r="A152" s="723" t="str">
        <f>P17</f>
        <v>DENKA ADVANCED MATERIALS VIETNAM CO.,LTD.</v>
      </c>
      <c r="B152" s="723"/>
      <c r="C152" s="723"/>
      <c r="D152" s="723"/>
      <c r="E152" s="112"/>
      <c r="F152" s="502"/>
      <c r="G152" s="725" t="str">
        <f>D26</f>
        <v>CHUGAI TECHNOS VIETNAM COMPANY LIMITED</v>
      </c>
      <c r="H152" s="725"/>
      <c r="I152" s="725"/>
      <c r="J152" s="725"/>
    </row>
    <row r="153" spans="1:10">
      <c r="A153" s="116"/>
      <c r="B153" s="128"/>
      <c r="C153" s="128"/>
      <c r="D153" s="128"/>
      <c r="E153" s="112"/>
      <c r="F153" s="129"/>
      <c r="G153" s="128"/>
      <c r="H153" s="128"/>
      <c r="I153" s="128"/>
      <c r="J153" s="128"/>
    </row>
    <row r="154" spans="1:10">
      <c r="A154" s="112"/>
      <c r="B154" s="128"/>
      <c r="C154" s="128"/>
      <c r="D154" s="128"/>
      <c r="E154" s="112"/>
      <c r="F154" s="128"/>
      <c r="G154" s="128"/>
      <c r="H154" s="128"/>
      <c r="I154" s="128"/>
      <c r="J154" s="112"/>
    </row>
    <row r="155" spans="1:10" ht="14.25" customHeight="1">
      <c r="A155" s="112"/>
      <c r="B155" s="112"/>
      <c r="C155" s="112"/>
      <c r="D155" s="112"/>
      <c r="E155" s="112"/>
      <c r="F155" s="112"/>
      <c r="G155" s="112"/>
      <c r="H155" s="112"/>
      <c r="I155" s="112"/>
      <c r="J155" s="112"/>
    </row>
    <row r="156" spans="1:10">
      <c r="A156" s="112"/>
      <c r="B156" s="112"/>
      <c r="C156" s="112"/>
      <c r="D156" s="112"/>
      <c r="E156" s="112"/>
      <c r="F156" s="112"/>
      <c r="G156" s="112"/>
      <c r="H156" s="112"/>
      <c r="I156" s="112"/>
      <c r="J156" s="112"/>
    </row>
    <row r="157" spans="1:10">
      <c r="A157" s="130"/>
      <c r="B157" s="130"/>
      <c r="C157" s="130"/>
      <c r="D157" s="130"/>
      <c r="E157" s="112"/>
      <c r="F157" s="112"/>
      <c r="G157" s="130"/>
      <c r="H157" s="130"/>
      <c r="I157" s="130"/>
      <c r="J157" s="130"/>
    </row>
    <row r="158" spans="1:10">
      <c r="A158" s="727" t="str">
        <f>D18</f>
        <v>MR．YOSUKE SUZUKI</v>
      </c>
      <c r="B158" s="727"/>
      <c r="C158" s="727"/>
      <c r="D158" s="727"/>
      <c r="E158" s="112"/>
      <c r="F158" s="112"/>
      <c r="G158" s="727" t="str">
        <f>D27</f>
        <v>MR．MASAMI OUE</v>
      </c>
      <c r="H158" s="727"/>
      <c r="I158" s="727"/>
      <c r="J158" s="727"/>
    </row>
    <row r="159" spans="1:10">
      <c r="A159" s="128"/>
      <c r="B159" s="128"/>
      <c r="C159" s="128"/>
      <c r="D159" s="128"/>
      <c r="E159" s="128"/>
      <c r="F159" s="128"/>
      <c r="G159" s="128"/>
      <c r="H159" s="128"/>
      <c r="I159" s="128"/>
      <c r="J159" s="128"/>
    </row>
    <row r="160" spans="1:10">
      <c r="A160" s="128"/>
      <c r="B160" s="724"/>
      <c r="C160" s="724"/>
      <c r="D160" s="724"/>
      <c r="E160" s="128"/>
      <c r="F160" s="128"/>
      <c r="G160" s="724"/>
      <c r="H160" s="724"/>
      <c r="I160" s="724"/>
      <c r="J160" s="128"/>
    </row>
    <row r="161" spans="1:10">
      <c r="A161" s="128"/>
      <c r="B161" s="128"/>
      <c r="C161" s="128"/>
      <c r="D161" s="128"/>
      <c r="E161" s="128"/>
      <c r="F161" s="128"/>
      <c r="G161" s="128"/>
      <c r="H161" s="128"/>
      <c r="I161" s="128"/>
      <c r="J161" s="128"/>
    </row>
    <row r="162" spans="1:10">
      <c r="A162" s="112"/>
      <c r="B162" s="112"/>
      <c r="C162" s="112"/>
      <c r="D162" s="112"/>
      <c r="E162" s="112"/>
      <c r="F162" s="112"/>
      <c r="G162" s="112"/>
      <c r="H162" s="112"/>
      <c r="I162" s="112"/>
      <c r="J162" s="112"/>
    </row>
    <row r="163" spans="1:10">
      <c r="A163" s="112"/>
      <c r="B163" s="112"/>
      <c r="C163" s="112"/>
      <c r="D163" s="112"/>
      <c r="E163" s="112"/>
      <c r="F163" s="112"/>
      <c r="G163" s="112"/>
      <c r="H163" s="112"/>
      <c r="I163" s="112"/>
      <c r="J163" s="112"/>
    </row>
    <row r="164" spans="1:10">
      <c r="A164" s="112"/>
      <c r="B164" s="112"/>
      <c r="C164" s="112"/>
      <c r="D164" s="112"/>
      <c r="E164" s="112"/>
      <c r="F164" s="112"/>
      <c r="G164" s="112"/>
      <c r="H164" s="112"/>
      <c r="I164" s="112"/>
      <c r="J164" s="112"/>
    </row>
    <row r="165" spans="1:10">
      <c r="A165" s="112"/>
      <c r="B165" s="112"/>
      <c r="C165" s="112"/>
      <c r="D165" s="112"/>
      <c r="E165" s="112"/>
      <c r="F165" s="112"/>
      <c r="G165" s="112"/>
      <c r="H165" s="112"/>
      <c r="I165" s="112"/>
      <c r="J165" s="112"/>
    </row>
    <row r="166" spans="1:10">
      <c r="A166" s="112"/>
      <c r="B166" s="112"/>
      <c r="C166" s="112"/>
      <c r="D166" s="112"/>
      <c r="E166" s="112"/>
      <c r="F166" s="112"/>
      <c r="G166" s="112"/>
      <c r="H166" s="112"/>
      <c r="I166" s="112"/>
      <c r="J166" s="112"/>
    </row>
    <row r="167" spans="1:10">
      <c r="A167" s="112"/>
      <c r="B167" s="112"/>
      <c r="C167" s="112"/>
      <c r="D167" s="112"/>
      <c r="E167" s="112"/>
      <c r="F167" s="112"/>
      <c r="G167" s="112"/>
      <c r="H167" s="112"/>
      <c r="I167" s="112"/>
      <c r="J167" s="112"/>
    </row>
    <row r="168" spans="1:10">
      <c r="A168" s="112"/>
      <c r="B168" s="112"/>
      <c r="C168" s="112"/>
      <c r="D168" s="112"/>
      <c r="E168" s="112"/>
      <c r="F168" s="112"/>
      <c r="G168" s="112"/>
      <c r="H168" s="112"/>
      <c r="I168" s="112"/>
      <c r="J168" s="112"/>
    </row>
    <row r="169" spans="1:10">
      <c r="A169" s="112"/>
      <c r="B169" s="112"/>
      <c r="C169" s="112"/>
      <c r="D169" s="112"/>
      <c r="E169" s="112"/>
      <c r="F169" s="112"/>
      <c r="G169" s="112"/>
      <c r="H169" s="112"/>
      <c r="I169" s="112"/>
      <c r="J169" s="112"/>
    </row>
    <row r="170" spans="1:10">
      <c r="A170" s="112"/>
      <c r="B170" s="112"/>
      <c r="C170" s="112"/>
      <c r="D170" s="112"/>
      <c r="E170" s="112"/>
      <c r="F170" s="112"/>
      <c r="G170" s="112"/>
      <c r="H170" s="112"/>
      <c r="I170" s="112"/>
      <c r="J170" s="112"/>
    </row>
    <row r="171" spans="1:10">
      <c r="A171" s="112"/>
      <c r="B171" s="112"/>
      <c r="C171" s="112"/>
      <c r="D171" s="112"/>
      <c r="E171" s="112"/>
      <c r="F171" s="112"/>
      <c r="G171" s="112"/>
      <c r="H171" s="112"/>
      <c r="I171" s="112"/>
      <c r="J171" s="112"/>
    </row>
  </sheetData>
  <mergeCells count="63">
    <mergeCell ref="B62:J62"/>
    <mergeCell ref="B68:J71"/>
    <mergeCell ref="D33:E33"/>
    <mergeCell ref="B135:J138"/>
    <mergeCell ref="B114:J114"/>
    <mergeCell ref="B128:J130"/>
    <mergeCell ref="B104:J104"/>
    <mergeCell ref="B53:C53"/>
    <mergeCell ref="B106:J108"/>
    <mergeCell ref="B96:J96"/>
    <mergeCell ref="B65:J66"/>
    <mergeCell ref="B112:J112"/>
    <mergeCell ref="B63:J64"/>
    <mergeCell ref="B67:J67"/>
    <mergeCell ref="B105:J105"/>
    <mergeCell ref="B77:J79"/>
    <mergeCell ref="B80:J81"/>
    <mergeCell ref="B94:J94"/>
    <mergeCell ref="A151:D151"/>
    <mergeCell ref="B160:D160"/>
    <mergeCell ref="G160:I160"/>
    <mergeCell ref="A152:D152"/>
    <mergeCell ref="G151:J151"/>
    <mergeCell ref="G152:J152"/>
    <mergeCell ref="B146:J147"/>
    <mergeCell ref="B142:J144"/>
    <mergeCell ref="B132:J133"/>
    <mergeCell ref="B148:J149"/>
    <mergeCell ref="G158:J158"/>
    <mergeCell ref="A158:D158"/>
    <mergeCell ref="P85:T85"/>
    <mergeCell ref="U82:X82"/>
    <mergeCell ref="U83:X83"/>
    <mergeCell ref="B85:J88"/>
    <mergeCell ref="B103:J103"/>
    <mergeCell ref="Q82:T82"/>
    <mergeCell ref="P84:T84"/>
    <mergeCell ref="Q83:T83"/>
    <mergeCell ref="P90:T90"/>
    <mergeCell ref="N82:N83"/>
    <mergeCell ref="B95:J95"/>
    <mergeCell ref="B98:J101"/>
    <mergeCell ref="N56:V57"/>
    <mergeCell ref="G1:J1"/>
    <mergeCell ref="G2:J2"/>
    <mergeCell ref="D20:J20"/>
    <mergeCell ref="D29:J30"/>
    <mergeCell ref="A9:J12"/>
    <mergeCell ref="A5:J6"/>
    <mergeCell ref="C7:D7"/>
    <mergeCell ref="E7:J7"/>
    <mergeCell ref="E45:J45"/>
    <mergeCell ref="S44:AF44"/>
    <mergeCell ref="S45:AF45"/>
    <mergeCell ref="S46:AF46"/>
    <mergeCell ref="S47:AF47"/>
    <mergeCell ref="B52:C52"/>
    <mergeCell ref="B50:J51"/>
    <mergeCell ref="O44:R44"/>
    <mergeCell ref="O45:R45"/>
    <mergeCell ref="O46:R46"/>
    <mergeCell ref="O47:R47"/>
    <mergeCell ref="E44:J44"/>
  </mergeCells>
  <phoneticPr fontId="4"/>
  <printOptions horizontalCentered="1"/>
  <pageMargins left="0.59055118110236227" right="0.23622047244094491" top="0.35433070866141736" bottom="0.43307086614173229" header="0.11811023622047245" footer="0.19685039370078741"/>
  <pageSetup paperSize="9" scale="91" orientation="portrait" r:id="rId1"/>
  <headerFooter>
    <oddFooter>&amp;CPage&amp;"Arial,標準"&amp;P/&amp;N</oddFooter>
  </headerFooter>
  <rowBreaks count="2" manualBreakCount="2">
    <brk id="64" max="9" man="1"/>
    <brk id="130"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N54"/>
  <sheetViews>
    <sheetView tabSelected="1" view="pageBreakPreview" topLeftCell="A20" zoomScale="85" zoomScaleNormal="100" zoomScaleSheetLayoutView="85" workbookViewId="0">
      <selection activeCell="J34" sqref="J34"/>
    </sheetView>
  </sheetViews>
  <sheetFormatPr defaultColWidth="9" defaultRowHeight="15"/>
  <cols>
    <col min="1" max="1" width="10.42578125" style="613" customWidth="1"/>
    <col min="2" max="4" width="9" style="613"/>
    <col min="5" max="5" width="9.42578125" style="613" bestFit="1" customWidth="1"/>
    <col min="6" max="6" width="9" style="613"/>
    <col min="7" max="7" width="9.42578125" style="613" bestFit="1" customWidth="1"/>
    <col min="8" max="8" width="9" style="613"/>
    <col min="9" max="10" width="9.42578125" style="613" bestFit="1" customWidth="1"/>
    <col min="11" max="12" width="9" style="613"/>
    <col min="13" max="13" width="9.85546875" style="613" bestFit="1" customWidth="1"/>
    <col min="14" max="14" width="10.42578125" style="613" bestFit="1" customWidth="1"/>
    <col min="15" max="16384" width="9" style="613"/>
  </cols>
  <sheetData>
    <row r="2" spans="1:14" ht="18.75">
      <c r="D2" s="639" t="s">
        <v>563</v>
      </c>
      <c r="E2" s="639"/>
      <c r="F2" s="639"/>
      <c r="G2" s="639"/>
      <c r="H2" s="639"/>
      <c r="I2" s="639"/>
      <c r="J2" s="639"/>
    </row>
    <row r="3" spans="1:14" ht="14.25" customHeight="1">
      <c r="E3" s="732" t="s">
        <v>568</v>
      </c>
      <c r="F3" s="732"/>
      <c r="G3" s="732"/>
      <c r="H3" s="732"/>
      <c r="I3" s="732"/>
      <c r="J3" s="732"/>
    </row>
    <row r="4" spans="1:14">
      <c r="E4" s="732"/>
      <c r="F4" s="732"/>
      <c r="G4" s="732"/>
      <c r="H4" s="732"/>
      <c r="I4" s="732"/>
      <c r="J4" s="732"/>
    </row>
    <row r="6" spans="1:14">
      <c r="E6" s="733" t="s">
        <v>654</v>
      </c>
      <c r="F6" s="733"/>
      <c r="G6" s="733"/>
      <c r="H6" s="733"/>
      <c r="I6" s="733"/>
      <c r="J6" s="733"/>
    </row>
    <row r="8" spans="1:14" ht="15.75" thickBot="1">
      <c r="A8" s="614"/>
      <c r="B8" s="614"/>
      <c r="C8" s="614"/>
      <c r="D8" s="614"/>
      <c r="E8" s="614"/>
      <c r="F8" s="736" t="s">
        <v>549</v>
      </c>
      <c r="G8" s="736"/>
      <c r="H8" s="737" t="s">
        <v>342</v>
      </c>
      <c r="I8" s="737"/>
      <c r="J8" s="737"/>
    </row>
    <row r="9" spans="1:14" ht="15" customHeight="1" thickTop="1">
      <c r="A9" s="734" t="s">
        <v>511</v>
      </c>
      <c r="B9" s="734"/>
      <c r="C9" s="734"/>
      <c r="D9" s="734"/>
      <c r="E9" s="734"/>
      <c r="F9" s="734"/>
      <c r="G9" s="734"/>
      <c r="H9" s="734"/>
      <c r="I9" s="734"/>
      <c r="J9" s="734"/>
    </row>
    <row r="10" spans="1:14" ht="14.25" customHeight="1">
      <c r="A10" s="735"/>
      <c r="B10" s="735"/>
      <c r="C10" s="735"/>
      <c r="D10" s="735"/>
      <c r="E10" s="735"/>
      <c r="F10" s="735"/>
      <c r="G10" s="735"/>
      <c r="H10" s="735"/>
      <c r="I10" s="735"/>
      <c r="J10" s="735"/>
    </row>
    <row r="11" spans="1:14" ht="14.25" customHeight="1">
      <c r="A11" s="735"/>
      <c r="B11" s="735"/>
      <c r="C11" s="735"/>
      <c r="D11" s="735"/>
      <c r="E11" s="735"/>
      <c r="F11" s="735"/>
      <c r="G11" s="735"/>
      <c r="H11" s="735"/>
      <c r="I11" s="735"/>
      <c r="J11" s="735"/>
    </row>
    <row r="13" spans="1:14">
      <c r="A13" s="613" t="s">
        <v>512</v>
      </c>
      <c r="B13" s="731" t="s">
        <v>517</v>
      </c>
      <c r="C13" s="731"/>
      <c r="D13" s="731"/>
      <c r="L13" s="613" t="s">
        <v>550</v>
      </c>
      <c r="N13" s="615">
        <v>42843</v>
      </c>
    </row>
    <row r="14" spans="1:14">
      <c r="A14" s="616" t="s">
        <v>551</v>
      </c>
      <c r="B14" s="613" t="str">
        <f>N14</f>
        <v>QCTVN201704-01</v>
      </c>
      <c r="L14" s="613" t="s">
        <v>552</v>
      </c>
      <c r="N14" s="613" t="s">
        <v>506</v>
      </c>
    </row>
    <row r="16" spans="1:14">
      <c r="A16" s="617" t="s">
        <v>513</v>
      </c>
      <c r="B16" s="613" t="s">
        <v>564</v>
      </c>
      <c r="L16" s="613" t="s">
        <v>553</v>
      </c>
      <c r="N16" s="613" t="str">
        <f>'1.Service Contraction'!P17</f>
        <v>DENKA ADVANCED MATERIALS VIETNAM CO.,LTD.</v>
      </c>
    </row>
    <row r="18" spans="1:14">
      <c r="A18" s="617" t="s">
        <v>514</v>
      </c>
      <c r="B18" s="613" t="s">
        <v>655</v>
      </c>
      <c r="L18" s="613" t="s">
        <v>554</v>
      </c>
      <c r="N18" s="613" t="str">
        <f>'1.Service Contraction'!P20</f>
        <v>Plot D-5, Thang Long Industrial Park ⅡYen my District, Hung Yen Province, Vietnam</v>
      </c>
    </row>
    <row r="20" spans="1:14">
      <c r="A20" s="617" t="s">
        <v>515</v>
      </c>
      <c r="B20" s="618" t="str">
        <f>N20</f>
        <v>+84-321-3974-805</v>
      </c>
      <c r="L20" s="613" t="s">
        <v>555</v>
      </c>
      <c r="N20" s="618" t="str">
        <f>'1.Service Contraction'!P21</f>
        <v>+84-321-3974-805</v>
      </c>
    </row>
    <row r="21" spans="1:14">
      <c r="A21" s="617" t="s">
        <v>556</v>
      </c>
      <c r="B21" s="618" t="str">
        <f>N21</f>
        <v>+84-321-3974-806</v>
      </c>
      <c r="L21" s="613" t="s">
        <v>556</v>
      </c>
      <c r="N21" s="618" t="str">
        <f>'1.Service Contraction'!P22</f>
        <v>+84-321-3974-806</v>
      </c>
    </row>
    <row r="23" spans="1:14">
      <c r="A23" s="613" t="s">
        <v>516</v>
      </c>
    </row>
    <row r="25" spans="1:14" ht="22.5" customHeight="1">
      <c r="A25" s="616" t="s">
        <v>566</v>
      </c>
      <c r="B25" s="738" t="s">
        <v>548</v>
      </c>
      <c r="C25" s="738"/>
      <c r="D25" s="738"/>
      <c r="E25" s="738"/>
      <c r="F25" s="738"/>
      <c r="G25" s="685" t="s">
        <v>518</v>
      </c>
      <c r="H25" s="978">
        <f>'3.Detail Quotation'!J52</f>
        <v>103600000</v>
      </c>
      <c r="I25" s="978"/>
      <c r="J25" s="675"/>
      <c r="M25" s="613" t="str">
        <f>'1.Service Contraction'!R49</f>
        <v>PT Inspection for container welding lines</v>
      </c>
    </row>
    <row r="26" spans="1:14">
      <c r="B26" s="619">
        <v>1</v>
      </c>
      <c r="C26" s="613" t="s">
        <v>536</v>
      </c>
      <c r="G26" s="746">
        <f>'3.Detail Quotation'!J19</f>
        <v>86000000</v>
      </c>
      <c r="H26" s="746"/>
    </row>
    <row r="27" spans="1:14">
      <c r="B27" s="619">
        <v>2</v>
      </c>
      <c r="C27" s="613" t="s">
        <v>540</v>
      </c>
      <c r="G27" s="746">
        <f>'3.Detail Quotation'!J26</f>
        <v>17600000</v>
      </c>
      <c r="H27" s="746"/>
    </row>
    <row r="28" spans="1:14">
      <c r="B28" s="619"/>
      <c r="D28" s="743" t="s">
        <v>519</v>
      </c>
      <c r="E28" s="743"/>
      <c r="F28" s="743"/>
      <c r="G28" s="746">
        <f>'3.Detail Quotation'!J50</f>
        <v>103600000</v>
      </c>
      <c r="H28" s="746"/>
    </row>
    <row r="29" spans="1:14">
      <c r="B29" s="619"/>
      <c r="E29" s="676"/>
      <c r="F29" s="676"/>
      <c r="G29" s="746" t="s">
        <v>546</v>
      </c>
      <c r="H29" s="746"/>
    </row>
    <row r="30" spans="1:14" ht="15.75">
      <c r="C30" s="620" t="s">
        <v>547</v>
      </c>
      <c r="G30" s="621"/>
    </row>
    <row r="31" spans="1:14" ht="15.75">
      <c r="C31" s="622"/>
      <c r="G31" s="621"/>
    </row>
    <row r="32" spans="1:14">
      <c r="A32" s="613" t="s">
        <v>520</v>
      </c>
    </row>
    <row r="33" spans="1:14">
      <c r="A33" s="613" t="s">
        <v>557</v>
      </c>
      <c r="B33" s="742" t="s">
        <v>569</v>
      </c>
      <c r="C33" s="742"/>
      <c r="D33" s="623" t="s">
        <v>521</v>
      </c>
    </row>
    <row r="34" spans="1:14">
      <c r="A34" s="613" t="s">
        <v>557</v>
      </c>
      <c r="B34" s="613" t="s">
        <v>558</v>
      </c>
      <c r="D34" s="624" t="s">
        <v>522</v>
      </c>
      <c r="E34" s="686">
        <v>42849</v>
      </c>
      <c r="F34" s="625" t="s">
        <v>523</v>
      </c>
      <c r="G34" s="686">
        <v>42855</v>
      </c>
      <c r="I34" s="626">
        <f>DATEDIF(E34,G34,"d")+1</f>
        <v>7</v>
      </c>
      <c r="J34" s="613" t="s">
        <v>524</v>
      </c>
    </row>
    <row r="35" spans="1:14">
      <c r="A35" s="613" t="s">
        <v>557</v>
      </c>
      <c r="B35" s="613" t="s">
        <v>525</v>
      </c>
      <c r="D35" s="744" t="s">
        <v>657</v>
      </c>
      <c r="E35" s="744"/>
      <c r="F35" s="744"/>
      <c r="G35" s="744"/>
      <c r="H35" s="744"/>
      <c r="I35" s="744"/>
      <c r="J35" s="744"/>
    </row>
    <row r="36" spans="1:14" ht="14.25" customHeight="1">
      <c r="D36" s="744"/>
      <c r="E36" s="744"/>
      <c r="F36" s="744"/>
      <c r="G36" s="744"/>
      <c r="H36" s="744"/>
      <c r="I36" s="744"/>
      <c r="J36" s="744"/>
    </row>
    <row r="37" spans="1:14">
      <c r="D37" s="744"/>
      <c r="E37" s="744"/>
      <c r="F37" s="744"/>
      <c r="G37" s="744"/>
      <c r="H37" s="744"/>
      <c r="I37" s="744"/>
      <c r="J37" s="744"/>
    </row>
    <row r="38" spans="1:14" ht="14.25" customHeight="1">
      <c r="A38" s="613" t="s">
        <v>557</v>
      </c>
      <c r="B38" s="613" t="s">
        <v>559</v>
      </c>
      <c r="C38" s="616"/>
      <c r="D38" s="627" t="s">
        <v>656</v>
      </c>
      <c r="E38" s="627"/>
      <c r="F38" s="627"/>
      <c r="G38" s="627"/>
      <c r="H38" s="627"/>
      <c r="I38" s="627"/>
      <c r="J38" s="627"/>
    </row>
    <row r="39" spans="1:14" ht="14.25" customHeight="1">
      <c r="A39" s="613" t="s">
        <v>557</v>
      </c>
      <c r="B39" s="747" t="s">
        <v>560</v>
      </c>
      <c r="C39" s="747"/>
      <c r="D39" s="744" t="s">
        <v>562</v>
      </c>
      <c r="E39" s="744"/>
      <c r="F39" s="744"/>
      <c r="G39" s="744"/>
      <c r="H39" s="744"/>
      <c r="I39" s="744"/>
      <c r="J39" s="744"/>
    </row>
    <row r="40" spans="1:14" ht="14.25" customHeight="1">
      <c r="A40" s="613" t="s">
        <v>557</v>
      </c>
      <c r="B40" s="613" t="s">
        <v>561</v>
      </c>
      <c r="C40" s="628"/>
      <c r="D40" s="745" t="s">
        <v>658</v>
      </c>
      <c r="E40" s="745"/>
      <c r="F40" s="745"/>
      <c r="G40" s="745"/>
      <c r="H40" s="745"/>
      <c r="I40" s="745"/>
      <c r="J40" s="745"/>
    </row>
    <row r="41" spans="1:14">
      <c r="C41" s="628"/>
      <c r="D41" s="745"/>
      <c r="E41" s="745"/>
      <c r="F41" s="745"/>
      <c r="G41" s="745"/>
      <c r="H41" s="745"/>
      <c r="I41" s="745"/>
      <c r="J41" s="745"/>
    </row>
    <row r="42" spans="1:14">
      <c r="C42" s="628"/>
      <c r="D42" s="745"/>
      <c r="E42" s="745"/>
      <c r="F42" s="745"/>
      <c r="G42" s="745"/>
      <c r="H42" s="745"/>
      <c r="I42" s="745"/>
      <c r="J42" s="745"/>
    </row>
    <row r="43" spans="1:14">
      <c r="C43" s="628"/>
      <c r="D43" s="677"/>
      <c r="E43" s="677"/>
      <c r="F43" s="677"/>
      <c r="G43" s="677"/>
      <c r="H43" s="677"/>
      <c r="I43" s="677"/>
      <c r="J43" s="677"/>
    </row>
    <row r="44" spans="1:14">
      <c r="A44" s="740" t="s">
        <v>564</v>
      </c>
      <c r="B44" s="740"/>
      <c r="C44" s="740"/>
      <c r="D44" s="740"/>
      <c r="E44" s="674"/>
      <c r="G44" s="740" t="str">
        <f>D2</f>
        <v xml:space="preserve"> CÔNG TY TNHH CHUGAI TECHNOS VIỆT NAM </v>
      </c>
      <c r="H44" s="740"/>
      <c r="I44" s="740"/>
      <c r="J44" s="740"/>
      <c r="K44" s="629"/>
    </row>
    <row r="45" spans="1:14">
      <c r="A45" s="630"/>
      <c r="B45" s="630"/>
      <c r="C45" s="630"/>
      <c r="D45" s="630"/>
      <c r="E45" s="630"/>
      <c r="G45" s="674"/>
      <c r="H45" s="674"/>
      <c r="I45" s="674"/>
      <c r="J45" s="674"/>
      <c r="K45" s="629"/>
    </row>
    <row r="46" spans="1:14">
      <c r="A46" s="673" t="s">
        <v>512</v>
      </c>
      <c r="B46" s="741">
        <f>N13</f>
        <v>42843</v>
      </c>
      <c r="C46" s="741"/>
      <c r="D46" s="741"/>
      <c r="E46" s="634"/>
      <c r="G46" s="673" t="s">
        <v>512</v>
      </c>
      <c r="H46" s="741">
        <f>N13</f>
        <v>42843</v>
      </c>
      <c r="I46" s="741"/>
      <c r="J46" s="741"/>
      <c r="K46" s="631"/>
      <c r="N46" s="632"/>
    </row>
    <row r="53" spans="1:11">
      <c r="A53" s="633"/>
      <c r="B53" s="633"/>
      <c r="C53" s="633"/>
      <c r="D53" s="633"/>
      <c r="E53" s="631"/>
      <c r="G53" s="633"/>
      <c r="H53" s="633"/>
      <c r="I53" s="633"/>
      <c r="J53" s="633"/>
      <c r="K53" s="631"/>
    </row>
    <row r="54" spans="1:11">
      <c r="B54" s="739" t="s">
        <v>526</v>
      </c>
      <c r="C54" s="739"/>
      <c r="D54" s="739"/>
      <c r="E54" s="635"/>
      <c r="H54" s="739" t="s">
        <v>526</v>
      </c>
      <c r="I54" s="739"/>
      <c r="J54" s="739"/>
    </row>
  </sheetData>
  <mergeCells count="24">
    <mergeCell ref="B39:C39"/>
    <mergeCell ref="D39:J39"/>
    <mergeCell ref="B25:F25"/>
    <mergeCell ref="H25:I25"/>
    <mergeCell ref="B54:D54"/>
    <mergeCell ref="H54:J54"/>
    <mergeCell ref="A44:D44"/>
    <mergeCell ref="H46:J46"/>
    <mergeCell ref="B46:D46"/>
    <mergeCell ref="G44:J44"/>
    <mergeCell ref="B33:C33"/>
    <mergeCell ref="D28:F28"/>
    <mergeCell ref="D35:J37"/>
    <mergeCell ref="D40:J42"/>
    <mergeCell ref="G26:H26"/>
    <mergeCell ref="G27:H27"/>
    <mergeCell ref="G28:H28"/>
    <mergeCell ref="G29:H29"/>
    <mergeCell ref="B13:D13"/>
    <mergeCell ref="E3:J4"/>
    <mergeCell ref="E6:J6"/>
    <mergeCell ref="A9:J11"/>
    <mergeCell ref="F8:G8"/>
    <mergeCell ref="H8:J8"/>
  </mergeCells>
  <phoneticPr fontId="4"/>
  <conditionalFormatting sqref="H25:I25">
    <cfRule type="cellIs" dxfId="6" priority="1" stopIfTrue="1" operator="notEqual">
      <formula>$J$53</formula>
    </cfRule>
  </conditionalFormatting>
  <printOptions horizontalCentered="1"/>
  <pageMargins left="0.59055118110236227" right="0.23622047244094491" top="0.35433070866141736" bottom="3.937007874015748E-2" header="0.11811023622047245" footer="0.11811023622047245"/>
  <pageSetup paperSize="9" orientation="portrait" r:id="rId1"/>
  <headerFooter>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S52"/>
  <sheetViews>
    <sheetView topLeftCell="A34" zoomScale="98" zoomScaleNormal="98" workbookViewId="0">
      <selection activeCell="J52" sqref="J52"/>
    </sheetView>
  </sheetViews>
  <sheetFormatPr defaultColWidth="9" defaultRowHeight="15"/>
  <cols>
    <col min="1" max="1" width="3.5703125" style="221" customWidth="1"/>
    <col min="2" max="2" width="10.85546875" style="221" customWidth="1"/>
    <col min="3" max="3" width="4" style="221" customWidth="1"/>
    <col min="4" max="4" width="8.42578125" style="221" customWidth="1"/>
    <col min="5" max="5" width="19" style="221" customWidth="1"/>
    <col min="6" max="6" width="6.7109375" style="221" customWidth="1"/>
    <col min="7" max="7" width="8.28515625" style="221" customWidth="1"/>
    <col min="8" max="8" width="9" style="221"/>
    <col min="9" max="9" width="11.5703125" style="221" customWidth="1"/>
    <col min="10" max="10" width="15.5703125" style="221" customWidth="1"/>
    <col min="11" max="12" width="1.5703125" style="221" customWidth="1"/>
    <col min="13" max="15" width="11.5703125" style="221" customWidth="1"/>
    <col min="16" max="24" width="9" style="221"/>
    <col min="25" max="25" width="3.5703125" style="222" customWidth="1"/>
    <col min="26" max="26" width="8.42578125" style="222" customWidth="1"/>
    <col min="27" max="27" width="4" style="222" customWidth="1"/>
    <col min="28" max="28" width="5.5703125" style="222" customWidth="1"/>
    <col min="29" max="29" width="19" style="222" customWidth="1"/>
    <col min="30" max="30" width="6.7109375" style="222" customWidth="1"/>
    <col min="31" max="31" width="7.5703125" style="222" customWidth="1"/>
    <col min="32" max="32" width="9" style="222"/>
    <col min="33" max="33" width="11.5703125" style="222" customWidth="1"/>
    <col min="34" max="34" width="15.5703125" style="222" customWidth="1"/>
    <col min="35" max="35" width="1.5703125" style="222" customWidth="1"/>
    <col min="36" max="36" width="5.140625" style="222" customWidth="1"/>
    <col min="37" max="45" width="9" style="222"/>
    <col min="46" max="16384" width="9" style="221"/>
  </cols>
  <sheetData>
    <row r="1" spans="2:45" ht="6" customHeight="1"/>
    <row r="2" spans="2:45" ht="25.5" customHeight="1">
      <c r="B2" s="813" t="s">
        <v>527</v>
      </c>
      <c r="C2" s="813"/>
      <c r="D2" s="813"/>
      <c r="E2" s="813"/>
      <c r="F2" s="813"/>
      <c r="G2" s="813"/>
      <c r="H2" s="813"/>
      <c r="I2" s="813"/>
      <c r="J2" s="813"/>
      <c r="Z2" s="795" t="s">
        <v>571</v>
      </c>
      <c r="AA2" s="795"/>
      <c r="AB2" s="795"/>
      <c r="AC2" s="795"/>
      <c r="AD2" s="795"/>
      <c r="AE2" s="795"/>
      <c r="AF2" s="795"/>
      <c r="AG2" s="795"/>
      <c r="AH2" s="795"/>
    </row>
    <row r="3" spans="2:45">
      <c r="G3" s="818" t="s">
        <v>528</v>
      </c>
      <c r="H3" s="818"/>
      <c r="I3" s="815">
        <f>'2.Quotation Service Order'!N13</f>
        <v>42843</v>
      </c>
      <c r="J3" s="815"/>
      <c r="AG3" s="796">
        <f ca="1">TODAY()</f>
        <v>42852</v>
      </c>
      <c r="AH3" s="796"/>
    </row>
    <row r="4" spans="2:45">
      <c r="G4" s="818" t="s">
        <v>529</v>
      </c>
      <c r="H4" s="818"/>
      <c r="I4" s="752" t="str">
        <f>'2.Quotation Service Order'!N14</f>
        <v>QCTVN201704-01</v>
      </c>
      <c r="J4" s="752"/>
    </row>
    <row r="5" spans="2:45" s="223" customFormat="1" ht="22.5" thickBot="1">
      <c r="B5" s="814" t="s">
        <v>564</v>
      </c>
      <c r="C5" s="814"/>
      <c r="D5" s="814"/>
      <c r="E5" s="814"/>
      <c r="G5" s="753" t="s">
        <v>530</v>
      </c>
      <c r="H5" s="753"/>
      <c r="I5" s="753"/>
      <c r="J5" s="753"/>
      <c r="P5" s="224"/>
      <c r="Y5" s="225"/>
      <c r="Z5" s="797" t="s">
        <v>572</v>
      </c>
      <c r="AA5" s="797"/>
      <c r="AB5" s="797"/>
      <c r="AC5" s="797"/>
      <c r="AD5" s="225"/>
      <c r="AE5" s="225"/>
      <c r="AF5" s="798" t="s">
        <v>53</v>
      </c>
      <c r="AG5" s="798"/>
      <c r="AH5" s="798"/>
      <c r="AI5" s="225"/>
      <c r="AJ5" s="225"/>
      <c r="AK5" s="226" t="s">
        <v>53</v>
      </c>
      <c r="AL5" s="225"/>
      <c r="AM5" s="225"/>
      <c r="AN5" s="225"/>
      <c r="AO5" s="225"/>
      <c r="AP5" s="225"/>
      <c r="AQ5" s="225"/>
      <c r="AR5" s="225"/>
      <c r="AS5" s="225"/>
    </row>
    <row r="6" spans="2:45" ht="14.25" customHeight="1">
      <c r="B6" s="817" t="s">
        <v>566</v>
      </c>
      <c r="C6" s="819" t="str">
        <f>'2.Quotation Service Order'!B25</f>
        <v>Kiểm tra PT mối hàn của thùng chứa</v>
      </c>
      <c r="D6" s="819"/>
      <c r="E6" s="819"/>
      <c r="F6" s="819"/>
      <c r="G6" s="816" t="str">
        <f>J12</f>
        <v>Ông Masami Oue</v>
      </c>
      <c r="H6" s="816"/>
      <c r="I6" s="816"/>
      <c r="J6" s="816"/>
      <c r="K6" s="227"/>
      <c r="L6" s="227"/>
      <c r="M6" s="227"/>
      <c r="N6" s="227"/>
      <c r="AA6" s="799" t="s">
        <v>573</v>
      </c>
      <c r="AB6" s="799"/>
      <c r="AC6" s="799"/>
      <c r="AE6" s="801" t="s">
        <v>574</v>
      </c>
      <c r="AF6" s="801"/>
      <c r="AG6" s="801"/>
      <c r="AH6" s="801"/>
      <c r="AI6" s="228"/>
    </row>
    <row r="7" spans="2:45">
      <c r="B7" s="817"/>
      <c r="C7" s="819"/>
      <c r="D7" s="819"/>
      <c r="E7" s="819"/>
      <c r="F7" s="819"/>
      <c r="H7" s="751" t="s">
        <v>567</v>
      </c>
      <c r="I7" s="751"/>
      <c r="J7" s="751"/>
      <c r="Z7" s="229" t="s">
        <v>575</v>
      </c>
      <c r="AA7" s="800"/>
      <c r="AB7" s="800"/>
      <c r="AC7" s="800"/>
    </row>
    <row r="8" spans="2:45" ht="15" customHeight="1">
      <c r="B8" s="224" t="str">
        <f>'2.Quotation Service Order'!A23</f>
        <v>Kính gửi quý công ty, chúng tôi xin gửi báo giá như sau:</v>
      </c>
      <c r="H8" s="751"/>
      <c r="I8" s="751"/>
      <c r="J8" s="751"/>
      <c r="M8" s="596" t="s">
        <v>453</v>
      </c>
      <c r="N8" s="597">
        <v>23000</v>
      </c>
      <c r="Z8" s="230" t="s">
        <v>576</v>
      </c>
      <c r="AF8" s="226" t="s">
        <v>295</v>
      </c>
      <c r="AG8" s="231"/>
      <c r="AH8" s="231"/>
    </row>
    <row r="9" spans="2:45">
      <c r="H9" s="751"/>
      <c r="I9" s="751"/>
      <c r="J9" s="751"/>
      <c r="AE9" s="231"/>
      <c r="AF9" s="232" t="s">
        <v>296</v>
      </c>
      <c r="AG9" s="231"/>
      <c r="AH9" s="231"/>
    </row>
    <row r="10" spans="2:45" ht="24" thickBot="1">
      <c r="B10" s="820">
        <f>J52</f>
        <v>103600000</v>
      </c>
      <c r="C10" s="820"/>
      <c r="D10" s="820"/>
      <c r="E10" s="820"/>
      <c r="F10" s="752" t="s">
        <v>651</v>
      </c>
      <c r="G10" s="752"/>
      <c r="H10" s="752"/>
      <c r="I10" s="752"/>
      <c r="J10" s="752"/>
      <c r="P10" s="233" t="s">
        <v>577</v>
      </c>
      <c r="Q10" s="233"/>
      <c r="R10" s="234"/>
      <c r="S10" s="234"/>
      <c r="T10" s="234"/>
      <c r="U10" s="234"/>
      <c r="V10" s="234"/>
      <c r="W10" s="234"/>
      <c r="Z10" s="791">
        <f>AH52</f>
        <v>2988700</v>
      </c>
      <c r="AA10" s="791"/>
      <c r="AB10" s="791"/>
      <c r="AC10" s="791"/>
      <c r="AE10" s="792" t="s">
        <v>297</v>
      </c>
      <c r="AF10" s="792"/>
      <c r="AG10" s="792"/>
      <c r="AH10" s="792"/>
    </row>
    <row r="11" spans="2:45" ht="15.75" thickBot="1">
      <c r="B11" s="235" t="s">
        <v>531</v>
      </c>
      <c r="C11" s="821" t="s">
        <v>532</v>
      </c>
      <c r="D11" s="821"/>
      <c r="E11" s="821"/>
      <c r="P11" s="236"/>
      <c r="Q11" s="236"/>
      <c r="R11" s="236"/>
      <c r="S11" s="236"/>
      <c r="T11" s="236"/>
      <c r="U11" s="236"/>
      <c r="V11" s="802" t="s">
        <v>578</v>
      </c>
      <c r="W11" s="802"/>
      <c r="Z11" s="237" t="s">
        <v>579</v>
      </c>
      <c r="AA11" s="793" t="s">
        <v>580</v>
      </c>
      <c r="AB11" s="793"/>
      <c r="AC11" s="793"/>
    </row>
    <row r="12" spans="2:45" ht="14.25" customHeight="1">
      <c r="B12" s="235" t="s">
        <v>569</v>
      </c>
      <c r="C12" s="238" t="s">
        <v>521</v>
      </c>
      <c r="D12" s="238"/>
      <c r="E12" s="238"/>
      <c r="G12" s="812" t="s">
        <v>545</v>
      </c>
      <c r="H12" s="812"/>
      <c r="I12" s="812"/>
      <c r="J12" s="344" t="s">
        <v>570</v>
      </c>
      <c r="P12" s="803" t="s">
        <v>148</v>
      </c>
      <c r="Q12" s="805" t="s">
        <v>149</v>
      </c>
      <c r="R12" s="807" t="s">
        <v>139</v>
      </c>
      <c r="S12" s="807"/>
      <c r="T12" s="808" t="s">
        <v>581</v>
      </c>
      <c r="U12" s="809"/>
      <c r="V12" s="808" t="s">
        <v>142</v>
      </c>
      <c r="W12" s="810"/>
      <c r="Z12" s="237" t="s">
        <v>582</v>
      </c>
      <c r="AA12" s="239"/>
      <c r="AB12" s="239"/>
      <c r="AC12" s="239"/>
      <c r="AE12" s="794" t="s">
        <v>583</v>
      </c>
      <c r="AF12" s="794"/>
      <c r="AG12" s="794"/>
      <c r="AH12" s="794"/>
    </row>
    <row r="13" spans="2:45">
      <c r="B13" s="240"/>
      <c r="C13" s="240"/>
      <c r="D13" s="240"/>
      <c r="E13" s="240"/>
      <c r="F13" s="241"/>
      <c r="G13" s="241"/>
      <c r="H13" s="241"/>
      <c r="I13" s="242"/>
      <c r="J13" s="242"/>
      <c r="K13" s="243"/>
      <c r="L13" s="243"/>
      <c r="M13" s="243"/>
      <c r="N13" s="243"/>
      <c r="P13" s="804"/>
      <c r="Q13" s="806"/>
      <c r="R13" s="244" t="s">
        <v>118</v>
      </c>
      <c r="S13" s="245" t="s">
        <v>141</v>
      </c>
      <c r="T13" s="244" t="s">
        <v>118</v>
      </c>
      <c r="U13" s="245" t="s">
        <v>141</v>
      </c>
      <c r="V13" s="244" t="s">
        <v>118</v>
      </c>
      <c r="W13" s="245" t="s">
        <v>141</v>
      </c>
      <c r="Z13" s="246"/>
      <c r="AA13" s="246"/>
      <c r="AB13" s="246"/>
      <c r="AC13" s="246"/>
      <c r="AD13" s="247"/>
      <c r="AE13" s="247"/>
      <c r="AF13" s="247"/>
      <c r="AG13" s="229"/>
      <c r="AH13" s="229"/>
      <c r="AI13" s="248"/>
    </row>
    <row r="14" spans="2:45" ht="15.75" customHeight="1">
      <c r="B14" s="249" t="s">
        <v>533</v>
      </c>
      <c r="C14" s="250"/>
      <c r="D14" s="250"/>
      <c r="E14" s="775" t="s">
        <v>652</v>
      </c>
      <c r="F14" s="811"/>
      <c r="G14" s="251" t="s">
        <v>534</v>
      </c>
      <c r="H14" s="252" t="s">
        <v>535</v>
      </c>
      <c r="I14" s="598" t="s">
        <v>649</v>
      </c>
      <c r="J14" s="254" t="s">
        <v>650</v>
      </c>
      <c r="K14" s="243"/>
      <c r="L14" s="243"/>
      <c r="M14" s="253" t="s">
        <v>200</v>
      </c>
      <c r="N14" s="254" t="s">
        <v>201</v>
      </c>
      <c r="P14" s="255">
        <v>35000</v>
      </c>
      <c r="Q14" s="256">
        <f>P14/22/8</f>
        <v>198.86363636363637</v>
      </c>
      <c r="R14" s="256">
        <f>Q14*1.5</f>
        <v>298.29545454545456</v>
      </c>
      <c r="S14" s="256">
        <f>Q14*1.5+Q14*0.3+Q14*0.2</f>
        <v>397.72727272727275</v>
      </c>
      <c r="T14" s="256">
        <f>Q14*2</f>
        <v>397.72727272727275</v>
      </c>
      <c r="U14" s="256">
        <f>Q14*2+Q14*0.3+Q14*2*0.2</f>
        <v>536.93181818181824</v>
      </c>
      <c r="V14" s="256">
        <f>Q14*3</f>
        <v>596.59090909090912</v>
      </c>
      <c r="W14" s="257">
        <f>Q14*3+Q14*0.3+Q14*3*0.2</f>
        <v>775.56818181818187</v>
      </c>
      <c r="Z14" s="258" t="s">
        <v>584</v>
      </c>
      <c r="AA14" s="259" t="s">
        <v>585</v>
      </c>
      <c r="AB14" s="259"/>
      <c r="AC14" s="259"/>
      <c r="AD14" s="259"/>
      <c r="AE14" s="260" t="s">
        <v>586</v>
      </c>
      <c r="AF14" s="261" t="s">
        <v>587</v>
      </c>
      <c r="AG14" s="262" t="s">
        <v>588</v>
      </c>
      <c r="AH14" s="259" t="s">
        <v>589</v>
      </c>
      <c r="AI14" s="248"/>
    </row>
    <row r="15" spans="2:45" ht="15.75" customHeight="1" thickBot="1">
      <c r="B15" s="263" t="s">
        <v>510</v>
      </c>
      <c r="C15" s="264" t="s">
        <v>536</v>
      </c>
      <c r="D15" s="238"/>
      <c r="E15" s="265"/>
      <c r="F15" s="265"/>
      <c r="G15" s="266">
        <v>1</v>
      </c>
      <c r="H15" s="267" t="s">
        <v>535</v>
      </c>
      <c r="I15" s="599">
        <v>86000000</v>
      </c>
      <c r="J15" s="607">
        <f t="shared" ref="J15" si="0">IF(COUNT(G15:I15)=0,"",G15*I15)</f>
        <v>86000000</v>
      </c>
      <c r="K15" s="243"/>
      <c r="L15" s="243"/>
      <c r="M15" s="268"/>
      <c r="N15" s="335"/>
      <c r="P15" s="255">
        <v>45000</v>
      </c>
      <c r="Q15" s="256">
        <f>P15/22/8</f>
        <v>255.68181818181819</v>
      </c>
      <c r="R15" s="256">
        <f>Q15*1.5</f>
        <v>383.52272727272725</v>
      </c>
      <c r="S15" s="256">
        <f t="shared" ref="S15:S17" si="1">Q15*1.5+Q15*0.3+Q15*0.2</f>
        <v>511.36363636363632</v>
      </c>
      <c r="T15" s="256">
        <f>Q15*2</f>
        <v>511.36363636363637</v>
      </c>
      <c r="U15" s="256">
        <f t="shared" ref="U15:U17" si="2">Q15*2+Q15*0.3+Q15*2*0.2</f>
        <v>690.34090909090912</v>
      </c>
      <c r="V15" s="256">
        <f>Q15*3</f>
        <v>767.0454545454545</v>
      </c>
      <c r="W15" s="257">
        <f t="shared" ref="W15:W17" si="3">Q15*3+Q15*0.3+Q15*3*0.2</f>
        <v>997.15909090909088</v>
      </c>
      <c r="Z15" s="269" t="s">
        <v>590</v>
      </c>
      <c r="AA15" s="270"/>
      <c r="AB15" s="271"/>
      <c r="AC15" s="272"/>
      <c r="AD15" s="272"/>
      <c r="AE15" s="273"/>
      <c r="AF15" s="274"/>
      <c r="AG15" s="275"/>
      <c r="AH15" s="276"/>
      <c r="AI15" s="248"/>
      <c r="AK15" s="277" t="s">
        <v>591</v>
      </c>
      <c r="AL15" s="277"/>
    </row>
    <row r="16" spans="2:45" ht="15.75" customHeight="1">
      <c r="B16" s="278"/>
      <c r="C16" s="683" t="s">
        <v>537</v>
      </c>
      <c r="D16" s="577" t="s">
        <v>565</v>
      </c>
      <c r="E16" s="577"/>
      <c r="F16" s="581"/>
      <c r="G16" s="279"/>
      <c r="H16" s="319"/>
      <c r="I16" s="599" t="str">
        <f t="shared" ref="I16:I23" si="4">IF(COUNT(G16)=0,"",M16*$N$8)</f>
        <v/>
      </c>
      <c r="J16" s="607" t="str">
        <f>IF(COUNT(G16:I16)=0,"",G16*I16)</f>
        <v/>
      </c>
      <c r="K16" s="243"/>
      <c r="L16" s="243"/>
      <c r="M16" s="334"/>
      <c r="N16" s="335"/>
      <c r="P16" s="255">
        <v>100000</v>
      </c>
      <c r="Q16" s="256">
        <f>P16/22/8</f>
        <v>568.18181818181813</v>
      </c>
      <c r="R16" s="256">
        <f>Q16*1.5</f>
        <v>852.27272727272725</v>
      </c>
      <c r="S16" s="256">
        <f t="shared" si="1"/>
        <v>1136.3636363636365</v>
      </c>
      <c r="T16" s="256">
        <f>Q16*2</f>
        <v>1136.3636363636363</v>
      </c>
      <c r="U16" s="256">
        <f t="shared" si="2"/>
        <v>1534.090909090909</v>
      </c>
      <c r="V16" s="256">
        <f>Q16*3</f>
        <v>1704.5454545454545</v>
      </c>
      <c r="W16" s="257">
        <f t="shared" si="3"/>
        <v>2215.909090909091</v>
      </c>
      <c r="X16" s="287"/>
      <c r="Z16" s="281"/>
      <c r="AA16" s="282" t="s">
        <v>592</v>
      </c>
      <c r="AB16" s="288" t="s">
        <v>593</v>
      </c>
      <c r="AC16" s="678"/>
      <c r="AD16" s="678"/>
      <c r="AE16" s="283">
        <v>6</v>
      </c>
      <c r="AF16" s="283" t="s">
        <v>594</v>
      </c>
      <c r="AG16" s="284">
        <v>25000</v>
      </c>
      <c r="AH16" s="285">
        <f t="shared" ref="AH16:AH23" si="5">IF(COUNT(AE16:AG16)=0,"",AE16*AG16)</f>
        <v>150000</v>
      </c>
      <c r="AI16" s="248"/>
      <c r="AK16" s="783" t="s">
        <v>595</v>
      </c>
      <c r="AL16" s="785" t="s">
        <v>596</v>
      </c>
      <c r="AM16" s="787" t="s">
        <v>597</v>
      </c>
      <c r="AN16" s="787"/>
      <c r="AO16" s="788" t="s">
        <v>598</v>
      </c>
      <c r="AP16" s="789"/>
      <c r="AQ16" s="788" t="s">
        <v>599</v>
      </c>
      <c r="AR16" s="790"/>
      <c r="AS16" s="289"/>
    </row>
    <row r="17" spans="2:45" ht="32.25" customHeight="1" thickBot="1">
      <c r="B17" s="278"/>
      <c r="C17" s="683" t="s">
        <v>508</v>
      </c>
      <c r="D17" s="754" t="s">
        <v>659</v>
      </c>
      <c r="E17" s="754"/>
      <c r="F17" s="755"/>
      <c r="G17" s="279"/>
      <c r="H17" s="319"/>
      <c r="I17" s="599" t="str">
        <f t="shared" si="4"/>
        <v/>
      </c>
      <c r="J17" s="607" t="str">
        <f t="shared" ref="J17:J49" si="6">IF(COUNT(G17:I17)=0,"",G17*I17)</f>
        <v/>
      </c>
      <c r="K17" s="243"/>
      <c r="L17" s="243"/>
      <c r="M17" s="334"/>
      <c r="N17" s="335"/>
      <c r="P17" s="290">
        <v>120000</v>
      </c>
      <c r="Q17" s="291">
        <f>P17/22/8</f>
        <v>681.81818181818187</v>
      </c>
      <c r="R17" s="291">
        <f>Q17*1.5</f>
        <v>1022.7272727272727</v>
      </c>
      <c r="S17" s="291">
        <f t="shared" si="1"/>
        <v>1363.6363636363635</v>
      </c>
      <c r="T17" s="291">
        <f>Q17*2</f>
        <v>1363.6363636363637</v>
      </c>
      <c r="U17" s="291">
        <f t="shared" si="2"/>
        <v>1840.909090909091</v>
      </c>
      <c r="V17" s="291">
        <f>Q17*3</f>
        <v>2045.4545454545455</v>
      </c>
      <c r="W17" s="292">
        <f t="shared" si="3"/>
        <v>2659.090909090909</v>
      </c>
      <c r="X17" s="293"/>
      <c r="Z17" s="281"/>
      <c r="AA17" s="282" t="s">
        <v>600</v>
      </c>
      <c r="AB17" s="288" t="s">
        <v>601</v>
      </c>
      <c r="AC17" s="678"/>
      <c r="AD17" s="678"/>
      <c r="AE17" s="283">
        <v>4</v>
      </c>
      <c r="AF17" s="283" t="s">
        <v>594</v>
      </c>
      <c r="AG17" s="284">
        <v>25000</v>
      </c>
      <c r="AH17" s="285">
        <f t="shared" si="5"/>
        <v>100000</v>
      </c>
      <c r="AI17" s="248"/>
      <c r="AK17" s="784"/>
      <c r="AL17" s="786"/>
      <c r="AM17" s="294" t="s">
        <v>602</v>
      </c>
      <c r="AN17" s="295" t="s">
        <v>603</v>
      </c>
      <c r="AO17" s="294" t="s">
        <v>602</v>
      </c>
      <c r="AP17" s="295" t="s">
        <v>603</v>
      </c>
      <c r="AQ17" s="294" t="s">
        <v>602</v>
      </c>
      <c r="AR17" s="296" t="s">
        <v>603</v>
      </c>
      <c r="AS17" s="297"/>
    </row>
    <row r="18" spans="2:45" ht="15.75" customHeight="1">
      <c r="B18" s="278"/>
      <c r="C18" s="683" t="s">
        <v>427</v>
      </c>
      <c r="D18" s="679" t="s">
        <v>538</v>
      </c>
      <c r="E18" s="679"/>
      <c r="F18" s="581"/>
      <c r="G18" s="279"/>
      <c r="H18" s="319"/>
      <c r="I18" s="599" t="str">
        <f t="shared" si="4"/>
        <v/>
      </c>
      <c r="J18" s="607" t="str">
        <f t="shared" si="6"/>
        <v/>
      </c>
      <c r="K18" s="243"/>
      <c r="L18" s="243"/>
      <c r="M18" s="334"/>
      <c r="N18" s="335"/>
      <c r="P18" s="298" t="s">
        <v>604</v>
      </c>
      <c r="Q18" s="298"/>
      <c r="R18" s="298"/>
      <c r="S18" s="298"/>
      <c r="T18" s="298"/>
      <c r="U18" s="298"/>
      <c r="V18" s="298"/>
      <c r="W18" s="298"/>
      <c r="X18" s="299"/>
      <c r="Z18" s="281"/>
      <c r="AA18" s="300" t="s">
        <v>605</v>
      </c>
      <c r="AB18" s="288" t="s">
        <v>606</v>
      </c>
      <c r="AC18" s="288"/>
      <c r="AD18" s="301"/>
      <c r="AE18" s="283">
        <v>2</v>
      </c>
      <c r="AF18" s="283" t="s">
        <v>594</v>
      </c>
      <c r="AG18" s="284">
        <v>25000</v>
      </c>
      <c r="AH18" s="285">
        <f t="shared" si="5"/>
        <v>50000</v>
      </c>
      <c r="AI18" s="248"/>
      <c r="AK18" s="302">
        <v>30000</v>
      </c>
      <c r="AL18" s="303">
        <f>AK18/22/8</f>
        <v>170.45454545454547</v>
      </c>
      <c r="AM18" s="303">
        <f>AL18*1.5</f>
        <v>255.68181818181819</v>
      </c>
      <c r="AN18" s="303">
        <f>AL18*1.5*1.3+AL18*0.2</f>
        <v>366.47727272727275</v>
      </c>
      <c r="AO18" s="303">
        <f>AL18*2</f>
        <v>340.90909090909093</v>
      </c>
      <c r="AP18" s="303">
        <f>AL18*2*1.3+AL18*2*0.2</f>
        <v>511.36363636363643</v>
      </c>
      <c r="AQ18" s="303">
        <f>AL18*3</f>
        <v>511.36363636363637</v>
      </c>
      <c r="AR18" s="304">
        <f>AL18*3*1.3+AL18*3*0.2</f>
        <v>767.0454545454545</v>
      </c>
      <c r="AS18" s="305"/>
    </row>
    <row r="19" spans="2:45" ht="15.75" customHeight="1">
      <c r="B19" s="278"/>
      <c r="C19" s="683"/>
      <c r="D19" s="762" t="s">
        <v>539</v>
      </c>
      <c r="E19" s="762"/>
      <c r="F19" s="763"/>
      <c r="G19" s="279"/>
      <c r="H19" s="319"/>
      <c r="I19" s="599" t="str">
        <f t="shared" si="4"/>
        <v/>
      </c>
      <c r="J19" s="684">
        <f>J15</f>
        <v>86000000</v>
      </c>
      <c r="K19" s="243"/>
      <c r="L19" s="243"/>
      <c r="M19" s="334"/>
      <c r="N19" s="335"/>
      <c r="P19" s="298" t="s">
        <v>144</v>
      </c>
      <c r="Q19" s="298"/>
      <c r="R19" s="298"/>
      <c r="S19" s="298"/>
      <c r="T19" s="298"/>
      <c r="U19" s="298"/>
      <c r="V19" s="298"/>
      <c r="W19" s="298"/>
      <c r="X19" s="299"/>
      <c r="Z19" s="281"/>
      <c r="AA19" s="300" t="s">
        <v>607</v>
      </c>
      <c r="AB19" s="288" t="s">
        <v>608</v>
      </c>
      <c r="AC19" s="288"/>
      <c r="AD19" s="301"/>
      <c r="AE19" s="283"/>
      <c r="AF19" s="283"/>
      <c r="AG19" s="306"/>
      <c r="AH19" s="285"/>
      <c r="AI19" s="248"/>
      <c r="AK19" s="302">
        <v>50000</v>
      </c>
      <c r="AL19" s="303">
        <f t="shared" ref="AL19:AL22" si="7">AK19/22/8</f>
        <v>284.09090909090907</v>
      </c>
      <c r="AM19" s="303">
        <f t="shared" ref="AM19:AM22" si="8">AL19*1.5</f>
        <v>426.13636363636363</v>
      </c>
      <c r="AN19" s="303">
        <f t="shared" ref="AN19:AN22" si="9">AL19*1.5*1.3+AL19*0.2</f>
        <v>610.7954545454545</v>
      </c>
      <c r="AO19" s="303">
        <f t="shared" ref="AO19:AO22" si="10">AL19*2</f>
        <v>568.18181818181813</v>
      </c>
      <c r="AP19" s="303">
        <f t="shared" ref="AP19:AP22" si="11">AL19*2*1.3+AL19*2*0.2</f>
        <v>852.27272727272725</v>
      </c>
      <c r="AQ19" s="303">
        <f t="shared" ref="AQ19:AQ22" si="12">AL19*3</f>
        <v>852.27272727272725</v>
      </c>
      <c r="AR19" s="304">
        <f t="shared" ref="AR19:AR22" si="13">AL19*3*1.3+AL19*3*0.2</f>
        <v>1278.409090909091</v>
      </c>
      <c r="AS19" s="305"/>
    </row>
    <row r="20" spans="2:45" ht="15.75" customHeight="1">
      <c r="B20" s="278"/>
      <c r="C20" s="682"/>
      <c r="D20" s="577"/>
      <c r="E20" s="577"/>
      <c r="F20" s="581"/>
      <c r="G20" s="279"/>
      <c r="H20" s="319"/>
      <c r="I20" s="599" t="str">
        <f t="shared" si="4"/>
        <v/>
      </c>
      <c r="J20" s="607" t="str">
        <f t="shared" si="6"/>
        <v/>
      </c>
      <c r="K20" s="243"/>
      <c r="L20" s="243"/>
      <c r="M20" s="334"/>
      <c r="N20" s="335"/>
      <c r="P20" s="308"/>
      <c r="Q20" s="308"/>
      <c r="R20" s="308"/>
      <c r="S20" s="308"/>
      <c r="T20" s="308"/>
      <c r="U20" s="308"/>
      <c r="V20" s="308"/>
      <c r="W20" s="308"/>
      <c r="X20" s="308"/>
      <c r="Z20" s="281"/>
      <c r="AA20" s="309"/>
      <c r="AB20" s="288" t="s">
        <v>609</v>
      </c>
      <c r="AC20" s="288"/>
      <c r="AD20" s="301"/>
      <c r="AE20" s="283">
        <v>24</v>
      </c>
      <c r="AF20" s="283" t="s">
        <v>594</v>
      </c>
      <c r="AG20" s="284">
        <v>26000</v>
      </c>
      <c r="AH20" s="310">
        <f t="shared" si="5"/>
        <v>624000</v>
      </c>
      <c r="AI20" s="248"/>
      <c r="AK20" s="311">
        <v>70000</v>
      </c>
      <c r="AL20" s="312">
        <f t="shared" si="7"/>
        <v>397.72727272727275</v>
      </c>
      <c r="AM20" s="312">
        <f t="shared" si="8"/>
        <v>596.59090909090912</v>
      </c>
      <c r="AN20" s="312">
        <f t="shared" si="9"/>
        <v>855.11363636363649</v>
      </c>
      <c r="AO20" s="312">
        <f t="shared" si="10"/>
        <v>795.4545454545455</v>
      </c>
      <c r="AP20" s="312">
        <f t="shared" si="11"/>
        <v>1193.1818181818185</v>
      </c>
      <c r="AQ20" s="312">
        <f t="shared" si="12"/>
        <v>1193.1818181818182</v>
      </c>
      <c r="AR20" s="313">
        <f t="shared" si="13"/>
        <v>1789.7727272727275</v>
      </c>
      <c r="AS20" s="305"/>
    </row>
    <row r="21" spans="2:45" ht="15.75" customHeight="1">
      <c r="B21" s="278" t="s">
        <v>509</v>
      </c>
      <c r="C21" s="322" t="s">
        <v>540</v>
      </c>
      <c r="D21" s="347"/>
      <c r="E21" s="347"/>
      <c r="F21" s="490"/>
      <c r="G21" s="279">
        <v>1</v>
      </c>
      <c r="H21" s="319" t="s">
        <v>535</v>
      </c>
      <c r="I21" s="599">
        <v>17600000</v>
      </c>
      <c r="J21" s="607">
        <f>I21</f>
        <v>17600000</v>
      </c>
      <c r="K21" s="243"/>
      <c r="L21" s="243"/>
      <c r="M21" s="487"/>
      <c r="N21" s="607"/>
      <c r="P21" s="308"/>
      <c r="Q21" s="308"/>
      <c r="R21" s="308"/>
      <c r="S21" s="308"/>
      <c r="T21" s="308"/>
      <c r="U21" s="308"/>
      <c r="V21" s="308"/>
      <c r="W21" s="308"/>
      <c r="X21" s="308"/>
      <c r="Z21" s="281"/>
      <c r="AA21" s="309"/>
      <c r="AB21" s="288" t="s">
        <v>610</v>
      </c>
      <c r="AC21" s="288"/>
      <c r="AD21" s="301"/>
      <c r="AE21" s="283">
        <v>9</v>
      </c>
      <c r="AF21" s="283" t="s">
        <v>611</v>
      </c>
      <c r="AG21" s="314">
        <v>4000</v>
      </c>
      <c r="AH21" s="310">
        <f t="shared" si="5"/>
        <v>36000</v>
      </c>
      <c r="AI21" s="248"/>
      <c r="AK21" s="302">
        <v>100000</v>
      </c>
      <c r="AL21" s="303">
        <f t="shared" si="7"/>
        <v>568.18181818181813</v>
      </c>
      <c r="AM21" s="303">
        <f t="shared" si="8"/>
        <v>852.27272727272725</v>
      </c>
      <c r="AN21" s="303">
        <f t="shared" si="9"/>
        <v>1221.590909090909</v>
      </c>
      <c r="AO21" s="303">
        <f t="shared" si="10"/>
        <v>1136.3636363636363</v>
      </c>
      <c r="AP21" s="303">
        <f t="shared" si="11"/>
        <v>1704.5454545454545</v>
      </c>
      <c r="AQ21" s="303">
        <f t="shared" si="12"/>
        <v>1704.5454545454545</v>
      </c>
      <c r="AR21" s="304">
        <f t="shared" si="13"/>
        <v>2556.818181818182</v>
      </c>
      <c r="AS21" s="305"/>
    </row>
    <row r="22" spans="2:45" ht="15.75" customHeight="1" thickBot="1">
      <c r="B22" s="278"/>
      <c r="C22" s="307" t="s">
        <v>507</v>
      </c>
      <c r="D22" s="323" t="s">
        <v>541</v>
      </c>
      <c r="E22" s="323"/>
      <c r="F22" s="324"/>
      <c r="G22" s="286"/>
      <c r="H22" s="319"/>
      <c r="I22" s="599" t="str">
        <f t="shared" si="4"/>
        <v/>
      </c>
      <c r="J22" s="607" t="str">
        <f t="shared" si="6"/>
        <v/>
      </c>
      <c r="K22" s="243"/>
      <c r="L22" s="243"/>
      <c r="M22" s="334"/>
      <c r="N22" s="335"/>
      <c r="P22" s="308"/>
      <c r="Q22" s="308"/>
      <c r="R22" s="308"/>
      <c r="S22" s="308"/>
      <c r="T22" s="308"/>
      <c r="U22" s="308"/>
      <c r="V22" s="308"/>
      <c r="W22" s="308"/>
      <c r="X22" s="308"/>
      <c r="Z22" s="281"/>
      <c r="AA22" s="309"/>
      <c r="AB22" s="288" t="s">
        <v>612</v>
      </c>
      <c r="AC22" s="288"/>
      <c r="AD22" s="301"/>
      <c r="AE22" s="283">
        <v>8</v>
      </c>
      <c r="AF22" s="283" t="s">
        <v>594</v>
      </c>
      <c r="AG22" s="284">
        <v>40000</v>
      </c>
      <c r="AH22" s="310">
        <f t="shared" si="5"/>
        <v>320000</v>
      </c>
      <c r="AI22" s="248"/>
      <c r="AK22" s="315">
        <v>120000</v>
      </c>
      <c r="AL22" s="316">
        <f t="shared" si="7"/>
        <v>681.81818181818187</v>
      </c>
      <c r="AM22" s="316">
        <f t="shared" si="8"/>
        <v>1022.7272727272727</v>
      </c>
      <c r="AN22" s="316">
        <f t="shared" si="9"/>
        <v>1465.909090909091</v>
      </c>
      <c r="AO22" s="316">
        <f t="shared" si="10"/>
        <v>1363.6363636363637</v>
      </c>
      <c r="AP22" s="316">
        <f t="shared" si="11"/>
        <v>2045.4545454545457</v>
      </c>
      <c r="AQ22" s="316">
        <f t="shared" si="12"/>
        <v>2045.4545454545455</v>
      </c>
      <c r="AR22" s="317">
        <f t="shared" si="13"/>
        <v>3068.181818181818</v>
      </c>
      <c r="AS22" s="305"/>
    </row>
    <row r="23" spans="2:45" ht="15.75" customHeight="1">
      <c r="B23" s="278"/>
      <c r="C23" s="307" t="s">
        <v>508</v>
      </c>
      <c r="D23" s="323" t="s">
        <v>542</v>
      </c>
      <c r="E23" s="323"/>
      <c r="F23" s="324"/>
      <c r="G23" s="279"/>
      <c r="H23" s="319"/>
      <c r="I23" s="599" t="str">
        <f t="shared" si="4"/>
        <v/>
      </c>
      <c r="J23" s="607" t="str">
        <f t="shared" si="6"/>
        <v/>
      </c>
      <c r="K23" s="243"/>
      <c r="L23" s="243"/>
      <c r="M23" s="334"/>
      <c r="N23" s="335"/>
      <c r="P23" s="308"/>
      <c r="Q23" s="308"/>
      <c r="R23" s="308"/>
      <c r="S23" s="308"/>
      <c r="T23" s="308"/>
      <c r="U23" s="308"/>
      <c r="V23" s="308"/>
      <c r="W23" s="308"/>
      <c r="X23" s="308"/>
      <c r="Z23" s="281"/>
      <c r="AA23" s="309"/>
      <c r="AB23" s="288" t="s">
        <v>613</v>
      </c>
      <c r="AC23" s="288"/>
      <c r="AD23" s="301"/>
      <c r="AE23" s="283">
        <v>3</v>
      </c>
      <c r="AF23" s="283" t="s">
        <v>611</v>
      </c>
      <c r="AG23" s="284">
        <v>6250</v>
      </c>
      <c r="AH23" s="310">
        <f t="shared" si="5"/>
        <v>18750</v>
      </c>
      <c r="AI23" s="248"/>
      <c r="AK23" s="305" t="s">
        <v>614</v>
      </c>
      <c r="AL23" s="305"/>
      <c r="AM23" s="305"/>
      <c r="AN23" s="305"/>
      <c r="AO23" s="305"/>
      <c r="AP23" s="305"/>
      <c r="AQ23" s="305"/>
      <c r="AR23" s="305"/>
      <c r="AS23" s="305"/>
    </row>
    <row r="24" spans="2:45" ht="15.75" customHeight="1">
      <c r="B24" s="278"/>
      <c r="C24" s="307" t="s">
        <v>427</v>
      </c>
      <c r="D24" s="323" t="s">
        <v>543</v>
      </c>
      <c r="E24" s="323"/>
      <c r="F24" s="324"/>
      <c r="G24" s="286"/>
      <c r="H24" s="319"/>
      <c r="I24" s="599"/>
      <c r="J24" s="607"/>
      <c r="K24" s="243"/>
      <c r="L24" s="243"/>
      <c r="M24" s="334"/>
      <c r="N24" s="335"/>
      <c r="P24" s="308"/>
      <c r="Q24" s="308"/>
      <c r="R24" s="308"/>
      <c r="S24" s="308"/>
      <c r="T24" s="308"/>
      <c r="U24" s="308"/>
      <c r="V24" s="308"/>
      <c r="W24" s="308"/>
      <c r="X24" s="308"/>
      <c r="Z24" s="281"/>
      <c r="AA24" s="764" t="s">
        <v>615</v>
      </c>
      <c r="AB24" s="765"/>
      <c r="AC24" s="765"/>
      <c r="AD24" s="766"/>
      <c r="AE24" s="283"/>
      <c r="AF24" s="283"/>
      <c r="AG24" s="320"/>
      <c r="AH24" s="285">
        <f>SUM(AH16:AH23)</f>
        <v>1298750</v>
      </c>
      <c r="AI24" s="248"/>
      <c r="AK24" s="305" t="s">
        <v>616</v>
      </c>
      <c r="AL24" s="305"/>
      <c r="AM24" s="305"/>
      <c r="AN24" s="305"/>
      <c r="AO24" s="305"/>
      <c r="AP24" s="305"/>
      <c r="AQ24" s="305"/>
      <c r="AR24" s="305"/>
      <c r="AS24" s="305"/>
    </row>
    <row r="25" spans="2:45" ht="15.75" customHeight="1">
      <c r="B25" s="278"/>
      <c r="C25" s="307" t="s">
        <v>147</v>
      </c>
      <c r="D25" s="323" t="s">
        <v>653</v>
      </c>
      <c r="E25" s="323"/>
      <c r="F25" s="324"/>
      <c r="G25" s="279"/>
      <c r="H25" s="319"/>
      <c r="I25" s="599"/>
      <c r="J25" s="607"/>
      <c r="K25" s="243"/>
      <c r="L25" s="243"/>
      <c r="M25" s="334"/>
      <c r="N25" s="335" t="str">
        <f t="shared" ref="N25:N28" si="14">IF(COUNT(G25)=0,"",G25*M25)</f>
        <v/>
      </c>
      <c r="P25" s="243"/>
      <c r="Q25" s="243"/>
      <c r="R25" s="243"/>
      <c r="S25" s="243"/>
      <c r="T25" s="243"/>
      <c r="U25" s="243"/>
      <c r="V25" s="243"/>
      <c r="W25" s="243"/>
      <c r="X25" s="243"/>
      <c r="Z25" s="281"/>
      <c r="AA25" s="767"/>
      <c r="AB25" s="768"/>
      <c r="AC25" s="768"/>
      <c r="AD25" s="769"/>
      <c r="AE25" s="283"/>
      <c r="AF25" s="283"/>
      <c r="AG25" s="321"/>
      <c r="AH25" s="285"/>
      <c r="AI25" s="248"/>
    </row>
    <row r="26" spans="2:45" ht="15.75" customHeight="1">
      <c r="B26" s="278"/>
      <c r="C26" s="307"/>
      <c r="D26" s="762" t="s">
        <v>539</v>
      </c>
      <c r="E26" s="762"/>
      <c r="F26" s="763"/>
      <c r="G26" s="279"/>
      <c r="H26" s="319"/>
      <c r="I26" s="599"/>
      <c r="J26" s="684">
        <f>J21</f>
        <v>17600000</v>
      </c>
      <c r="K26" s="243"/>
      <c r="L26" s="243"/>
      <c r="M26" s="334"/>
      <c r="N26" s="335" t="str">
        <f t="shared" si="14"/>
        <v/>
      </c>
      <c r="Z26" s="281" t="s">
        <v>617</v>
      </c>
      <c r="AA26" s="309"/>
      <c r="AB26" s="288"/>
      <c r="AC26" s="288"/>
      <c r="AD26" s="301"/>
      <c r="AE26" s="283"/>
      <c r="AF26" s="283"/>
      <c r="AG26" s="321"/>
      <c r="AH26" s="285"/>
      <c r="AI26" s="248"/>
    </row>
    <row r="27" spans="2:45" ht="15.75" customHeight="1">
      <c r="B27" s="278"/>
      <c r="C27" s="307"/>
      <c r="D27" s="323"/>
      <c r="E27" s="323"/>
      <c r="F27" s="324"/>
      <c r="G27" s="279"/>
      <c r="H27" s="319"/>
      <c r="I27" s="599"/>
      <c r="J27" s="607"/>
      <c r="K27" s="243"/>
      <c r="L27" s="243"/>
      <c r="M27" s="334"/>
      <c r="N27" s="335" t="str">
        <f t="shared" si="14"/>
        <v/>
      </c>
      <c r="Z27" s="281"/>
      <c r="AA27" s="300" t="s">
        <v>618</v>
      </c>
      <c r="AB27" s="288" t="s">
        <v>619</v>
      </c>
      <c r="AC27" s="288"/>
      <c r="AD27" s="301"/>
      <c r="AE27" s="283" t="s">
        <v>620</v>
      </c>
      <c r="AF27" s="283" t="s">
        <v>621</v>
      </c>
      <c r="AG27" s="321"/>
      <c r="AH27" s="285">
        <v>238000</v>
      </c>
      <c r="AI27" s="248"/>
    </row>
    <row r="28" spans="2:45" ht="15.75" customHeight="1">
      <c r="B28" s="278"/>
      <c r="C28" s="307"/>
      <c r="D28" s="323"/>
      <c r="E28" s="323"/>
      <c r="F28" s="324"/>
      <c r="G28" s="279"/>
      <c r="H28" s="319"/>
      <c r="I28" s="599"/>
      <c r="J28" s="607"/>
      <c r="K28" s="243"/>
      <c r="L28" s="243"/>
      <c r="M28" s="334"/>
      <c r="N28" s="335" t="str">
        <f t="shared" si="14"/>
        <v/>
      </c>
      <c r="P28" s="325" t="s">
        <v>622</v>
      </c>
      <c r="Z28" s="281"/>
      <c r="AA28" s="300" t="s">
        <v>592</v>
      </c>
      <c r="AB28" s="288" t="s">
        <v>623</v>
      </c>
      <c r="AC28" s="288"/>
      <c r="AD28" s="301"/>
      <c r="AE28" s="283">
        <v>32</v>
      </c>
      <c r="AF28" s="283" t="s">
        <v>624</v>
      </c>
      <c r="AG28" s="321">
        <v>6500</v>
      </c>
      <c r="AH28" s="285">
        <f t="shared" ref="AH28:AH29" si="15">IF(COUNT(AE28:AG28)=0,"",AE28*AG28)</f>
        <v>208000</v>
      </c>
      <c r="AI28" s="248"/>
      <c r="AK28" s="326" t="s">
        <v>625</v>
      </c>
    </row>
    <row r="29" spans="2:45" ht="15.75" customHeight="1">
      <c r="B29" s="278"/>
      <c r="C29" s="748"/>
      <c r="D29" s="749"/>
      <c r="E29" s="749"/>
      <c r="F29" s="750"/>
      <c r="G29" s="279"/>
      <c r="H29" s="319"/>
      <c r="I29" s="599"/>
      <c r="J29" s="607"/>
      <c r="K29" s="243"/>
      <c r="L29" s="243"/>
      <c r="M29" s="334"/>
      <c r="N29" s="607"/>
      <c r="P29" s="325" t="s">
        <v>626</v>
      </c>
      <c r="Z29" s="281"/>
      <c r="AA29" s="300" t="s">
        <v>600</v>
      </c>
      <c r="AB29" s="288" t="s">
        <v>627</v>
      </c>
      <c r="AC29" s="288" t="s">
        <v>628</v>
      </c>
      <c r="AD29" s="301"/>
      <c r="AE29" s="283">
        <v>32</v>
      </c>
      <c r="AF29" s="283" t="s">
        <v>594</v>
      </c>
      <c r="AG29" s="321">
        <v>4000</v>
      </c>
      <c r="AH29" s="285">
        <f t="shared" si="15"/>
        <v>128000</v>
      </c>
      <c r="AI29" s="248"/>
      <c r="AK29" s="326" t="s">
        <v>629</v>
      </c>
    </row>
    <row r="30" spans="2:45" ht="15.75" customHeight="1">
      <c r="B30" s="278"/>
      <c r="C30" s="307"/>
      <c r="D30" s="523"/>
      <c r="E30" s="523"/>
      <c r="F30" s="524"/>
      <c r="G30" s="286"/>
      <c r="H30" s="319"/>
      <c r="I30" s="599"/>
      <c r="J30" s="607"/>
      <c r="K30" s="243"/>
      <c r="L30" s="243"/>
      <c r="M30" s="334"/>
      <c r="N30" s="335" t="str">
        <f>IF(COUNT(G30)=0,"",G30*M30)</f>
        <v/>
      </c>
      <c r="P30" s="325"/>
      <c r="Z30" s="281"/>
      <c r="AA30" s="300" t="s">
        <v>605</v>
      </c>
      <c r="AB30" s="288" t="s">
        <v>630</v>
      </c>
      <c r="AC30" s="288"/>
      <c r="AD30" s="301"/>
      <c r="AE30" s="283" t="s">
        <v>620</v>
      </c>
      <c r="AF30" s="283" t="s">
        <v>621</v>
      </c>
      <c r="AG30" s="321"/>
      <c r="AH30" s="285">
        <v>120000</v>
      </c>
      <c r="AI30" s="248"/>
    </row>
    <row r="31" spans="2:45" ht="15.75" customHeight="1">
      <c r="B31" s="278"/>
      <c r="C31" s="576"/>
      <c r="D31" s="577"/>
      <c r="E31" s="679"/>
      <c r="F31" s="680"/>
      <c r="G31" s="578"/>
      <c r="H31" s="579"/>
      <c r="I31" s="599"/>
      <c r="J31" s="607"/>
      <c r="K31" s="243"/>
      <c r="L31" s="243"/>
      <c r="M31" s="580"/>
      <c r="N31" s="335" t="str">
        <f>IF(COUNT(G31)=0,"",G31*M31)</f>
        <v/>
      </c>
      <c r="Z31" s="281"/>
      <c r="AA31" s="300" t="s">
        <v>607</v>
      </c>
      <c r="AB31" s="288" t="s">
        <v>631</v>
      </c>
      <c r="AC31" s="288"/>
      <c r="AD31" s="301"/>
      <c r="AE31" s="283" t="s">
        <v>620</v>
      </c>
      <c r="AF31" s="283" t="s">
        <v>621</v>
      </c>
      <c r="AG31" s="321"/>
      <c r="AH31" s="285">
        <v>0</v>
      </c>
      <c r="AI31" s="248"/>
    </row>
    <row r="32" spans="2:45" ht="15.75" customHeight="1">
      <c r="B32" s="278"/>
      <c r="C32" s="576"/>
      <c r="D32" s="577"/>
      <c r="E32" s="577"/>
      <c r="F32" s="581"/>
      <c r="G32" s="601"/>
      <c r="H32" s="611"/>
      <c r="I32" s="599"/>
      <c r="J32" s="607"/>
      <c r="K32" s="243"/>
      <c r="L32" s="243"/>
      <c r="M32" s="602"/>
      <c r="N32" s="335" t="str">
        <f>IF(COUNT(G32)=0,"",G32*M32)</f>
        <v/>
      </c>
      <c r="Z32" s="281"/>
      <c r="AA32" s="300" t="s">
        <v>632</v>
      </c>
      <c r="AB32" s="288" t="s">
        <v>633</v>
      </c>
      <c r="AC32" s="288"/>
      <c r="AD32" s="301"/>
      <c r="AE32" s="283" t="s">
        <v>620</v>
      </c>
      <c r="AF32" s="283" t="s">
        <v>621</v>
      </c>
      <c r="AG32" s="321"/>
      <c r="AH32" s="285">
        <v>0</v>
      </c>
      <c r="AI32" s="248"/>
    </row>
    <row r="33" spans="2:37" ht="15.75" customHeight="1">
      <c r="B33" s="278"/>
      <c r="C33" s="748"/>
      <c r="D33" s="749"/>
      <c r="E33" s="749"/>
      <c r="F33" s="750"/>
      <c r="G33" s="595"/>
      <c r="H33" s="594"/>
      <c r="I33" s="599"/>
      <c r="J33" s="607"/>
      <c r="K33" s="243"/>
      <c r="L33" s="243"/>
      <c r="M33" s="603"/>
      <c r="N33" s="335"/>
      <c r="P33" s="325" t="s">
        <v>634</v>
      </c>
      <c r="Z33" s="281"/>
      <c r="AA33" s="300" t="s">
        <v>635</v>
      </c>
      <c r="AB33" s="288" t="s">
        <v>636</v>
      </c>
      <c r="AC33" s="288"/>
      <c r="AD33" s="301"/>
      <c r="AE33" s="283"/>
      <c r="AF33" s="283"/>
      <c r="AG33" s="321"/>
      <c r="AH33" s="285"/>
      <c r="AI33" s="248"/>
      <c r="AK33" s="326" t="s">
        <v>637</v>
      </c>
    </row>
    <row r="34" spans="2:37" ht="15.75" customHeight="1">
      <c r="B34" s="278"/>
      <c r="C34" s="612"/>
      <c r="D34" s="347"/>
      <c r="E34" s="347"/>
      <c r="F34" s="490"/>
      <c r="G34" s="611"/>
      <c r="H34" s="611"/>
      <c r="I34" s="599" t="str">
        <f>IF(COUNT(G34)=0,"",M34*$N$8)</f>
        <v/>
      </c>
      <c r="J34" s="607"/>
      <c r="K34" s="243"/>
      <c r="L34" s="243"/>
      <c r="M34" s="604"/>
      <c r="N34" s="608"/>
      <c r="P34" s="325"/>
      <c r="Z34" s="281"/>
      <c r="AA34" s="309"/>
      <c r="AB34" s="288" t="s">
        <v>638</v>
      </c>
      <c r="AC34" s="288"/>
      <c r="AD34" s="301"/>
      <c r="AE34" s="283" t="s">
        <v>620</v>
      </c>
      <c r="AF34" s="283" t="s">
        <v>621</v>
      </c>
      <c r="AG34" s="321"/>
      <c r="AH34" s="285">
        <v>20000</v>
      </c>
      <c r="AI34" s="248"/>
    </row>
    <row r="35" spans="2:37" ht="15.75" customHeight="1">
      <c r="B35" s="278"/>
      <c r="C35" s="582"/>
      <c r="D35" s="583"/>
      <c r="E35" s="583"/>
      <c r="F35" s="584"/>
      <c r="G35" s="585"/>
      <c r="H35" s="585"/>
      <c r="I35" s="610" t="str">
        <f>IF(COUNT(G35)=0,"",M35*$N$8)</f>
        <v/>
      </c>
      <c r="J35" s="607" t="str">
        <f t="shared" si="6"/>
        <v/>
      </c>
      <c r="K35" s="243"/>
      <c r="L35" s="243"/>
      <c r="M35" s="605"/>
      <c r="N35" s="335" t="str">
        <f>IF(COUNT(G35)=0,"",G35*M35)</f>
        <v/>
      </c>
      <c r="Z35" s="281"/>
      <c r="AA35" s="309"/>
      <c r="AB35" s="288" t="s">
        <v>639</v>
      </c>
      <c r="AC35" s="288"/>
      <c r="AD35" s="301"/>
      <c r="AE35" s="283" t="s">
        <v>620</v>
      </c>
      <c r="AF35" s="283" t="s">
        <v>621</v>
      </c>
      <c r="AG35" s="321"/>
      <c r="AH35" s="285">
        <v>50000</v>
      </c>
      <c r="AI35" s="248"/>
    </row>
    <row r="36" spans="2:37" ht="15.75" customHeight="1">
      <c r="B36" s="278"/>
      <c r="C36" s="780"/>
      <c r="D36" s="781"/>
      <c r="E36" s="781"/>
      <c r="F36" s="782"/>
      <c r="G36" s="595"/>
      <c r="H36" s="594"/>
      <c r="I36" s="599"/>
      <c r="J36" s="607"/>
      <c r="K36" s="243"/>
      <c r="L36" s="243"/>
      <c r="M36" s="603"/>
      <c r="N36" s="335"/>
      <c r="Z36" s="281"/>
      <c r="AA36" s="309"/>
      <c r="AB36" s="288" t="s">
        <v>640</v>
      </c>
      <c r="AC36" s="288"/>
      <c r="AD36" s="301"/>
      <c r="AE36" s="283" t="s">
        <v>620</v>
      </c>
      <c r="AF36" s="283" t="s">
        <v>621</v>
      </c>
      <c r="AG36" s="321"/>
      <c r="AH36" s="285">
        <v>0</v>
      </c>
      <c r="AI36" s="248"/>
    </row>
    <row r="37" spans="2:37" ht="15.75" customHeight="1">
      <c r="B37" s="575"/>
      <c r="C37" s="586"/>
      <c r="D37" s="587"/>
      <c r="E37" s="587"/>
      <c r="F37" s="588"/>
      <c r="G37" s="578"/>
      <c r="H37" s="579"/>
      <c r="I37" s="599"/>
      <c r="J37" s="607"/>
      <c r="K37" s="243"/>
      <c r="L37" s="243"/>
      <c r="M37" s="580"/>
      <c r="N37" s="335"/>
      <c r="Z37" s="281"/>
      <c r="AA37" s="764" t="s">
        <v>615</v>
      </c>
      <c r="AB37" s="765"/>
      <c r="AC37" s="765"/>
      <c r="AD37" s="766"/>
      <c r="AE37" s="283"/>
      <c r="AF37" s="327"/>
      <c r="AG37" s="321"/>
      <c r="AH37" s="285">
        <f>SUM(AH27:AH36)</f>
        <v>764000</v>
      </c>
      <c r="AI37" s="248"/>
    </row>
    <row r="38" spans="2:37" ht="15.75" customHeight="1">
      <c r="B38" s="575"/>
      <c r="C38" s="748"/>
      <c r="D38" s="749"/>
      <c r="E38" s="749"/>
      <c r="F38" s="750"/>
      <c r="G38" s="590"/>
      <c r="H38" s="579"/>
      <c r="I38" s="599"/>
      <c r="J38" s="607"/>
      <c r="K38" s="243"/>
      <c r="L38" s="243"/>
      <c r="M38" s="580"/>
      <c r="N38" s="608"/>
      <c r="Z38" s="281"/>
      <c r="AA38" s="770"/>
      <c r="AB38" s="771"/>
      <c r="AC38" s="771"/>
      <c r="AD38" s="771"/>
      <c r="AE38" s="283"/>
      <c r="AF38" s="327"/>
      <c r="AG38" s="321"/>
      <c r="AH38" s="285" t="str">
        <f t="shared" ref="AH38:AH49" si="16">IF(COUNT(AE38:AG38)=0,"",AE38*AG38)</f>
        <v/>
      </c>
      <c r="AI38" s="248"/>
    </row>
    <row r="39" spans="2:37" ht="15.75" customHeight="1">
      <c r="B39" s="575"/>
      <c r="C39" s="761"/>
      <c r="D39" s="762"/>
      <c r="E39" s="762"/>
      <c r="F39" s="763"/>
      <c r="G39" s="590"/>
      <c r="H39" s="579"/>
      <c r="I39" s="599" t="str">
        <f t="shared" ref="I39:I49" si="17">IF(COUNT(G39)=0,"",M39*$N$8)</f>
        <v/>
      </c>
      <c r="J39" s="607" t="str">
        <f t="shared" si="6"/>
        <v/>
      </c>
      <c r="K39" s="243"/>
      <c r="L39" s="243"/>
      <c r="M39" s="580"/>
      <c r="N39" s="335" t="str">
        <f t="shared" ref="N39:N49" si="18">IF(COUNT(G39)=0,"",G39*M39)</f>
        <v/>
      </c>
      <c r="Z39" s="281" t="s">
        <v>641</v>
      </c>
      <c r="AA39" s="328"/>
      <c r="AB39" s="329"/>
      <c r="AC39" s="329"/>
      <c r="AD39" s="301"/>
      <c r="AE39" s="283"/>
      <c r="AF39" s="283"/>
      <c r="AG39" s="321"/>
      <c r="AH39" s="310" t="str">
        <f t="shared" si="16"/>
        <v/>
      </c>
      <c r="AI39" s="248"/>
    </row>
    <row r="40" spans="2:37" ht="15.75" customHeight="1">
      <c r="B40" s="575"/>
      <c r="C40" s="576"/>
      <c r="D40" s="589"/>
      <c r="E40" s="577"/>
      <c r="F40" s="577"/>
      <c r="G40" s="590"/>
      <c r="H40" s="579"/>
      <c r="I40" s="599" t="str">
        <f t="shared" si="17"/>
        <v/>
      </c>
      <c r="J40" s="607" t="str">
        <f t="shared" si="6"/>
        <v/>
      </c>
      <c r="K40" s="243"/>
      <c r="L40" s="243"/>
      <c r="M40" s="580"/>
      <c r="N40" s="335" t="str">
        <f t="shared" si="18"/>
        <v/>
      </c>
      <c r="Z40" s="281"/>
      <c r="AA40" s="300" t="s">
        <v>618</v>
      </c>
      <c r="AB40" s="330" t="s">
        <v>298</v>
      </c>
      <c r="AC40" s="288"/>
      <c r="AD40" s="288"/>
      <c r="AE40" s="283">
        <v>20</v>
      </c>
      <c r="AF40" s="283" t="s">
        <v>642</v>
      </c>
      <c r="AG40" s="321">
        <v>3000</v>
      </c>
      <c r="AH40" s="310">
        <f t="shared" si="16"/>
        <v>60000</v>
      </c>
      <c r="AI40" s="248"/>
    </row>
    <row r="41" spans="2:37" ht="15.75" customHeight="1">
      <c r="B41" s="575"/>
      <c r="C41" s="576"/>
      <c r="D41" s="589"/>
      <c r="E41" s="577"/>
      <c r="F41" s="577"/>
      <c r="G41" s="590"/>
      <c r="H41" s="579"/>
      <c r="I41" s="599" t="str">
        <f t="shared" si="17"/>
        <v/>
      </c>
      <c r="J41" s="607" t="str">
        <f t="shared" si="6"/>
        <v/>
      </c>
      <c r="K41" s="243"/>
      <c r="L41" s="243"/>
      <c r="M41" s="580"/>
      <c r="N41" s="335" t="str">
        <f t="shared" si="18"/>
        <v/>
      </c>
      <c r="Z41" s="281"/>
      <c r="AA41" s="300" t="s">
        <v>592</v>
      </c>
      <c r="AB41" s="330" t="s">
        <v>643</v>
      </c>
      <c r="AC41" s="288"/>
      <c r="AD41" s="288"/>
      <c r="AE41" s="283">
        <v>20</v>
      </c>
      <c r="AF41" s="283" t="s">
        <v>642</v>
      </c>
      <c r="AG41" s="321">
        <v>3000</v>
      </c>
      <c r="AH41" s="310">
        <f t="shared" si="16"/>
        <v>60000</v>
      </c>
      <c r="AI41" s="248"/>
    </row>
    <row r="42" spans="2:37" ht="15.75" customHeight="1">
      <c r="B42" s="575"/>
      <c r="C42" s="576"/>
      <c r="D42" s="589"/>
      <c r="E42" s="577"/>
      <c r="F42" s="581"/>
      <c r="G42" s="578"/>
      <c r="H42" s="579"/>
      <c r="I42" s="599" t="str">
        <f t="shared" si="17"/>
        <v/>
      </c>
      <c r="J42" s="607" t="str">
        <f t="shared" si="6"/>
        <v/>
      </c>
      <c r="K42" s="243"/>
      <c r="L42" s="243"/>
      <c r="M42" s="580"/>
      <c r="N42" s="335" t="str">
        <f t="shared" si="18"/>
        <v/>
      </c>
      <c r="Z42" s="281"/>
      <c r="AA42" s="300" t="s">
        <v>600</v>
      </c>
      <c r="AB42" s="330" t="s">
        <v>644</v>
      </c>
      <c r="AC42" s="288"/>
      <c r="AD42" s="301"/>
      <c r="AE42" s="283">
        <v>20</v>
      </c>
      <c r="AF42" s="283" t="s">
        <v>642</v>
      </c>
      <c r="AG42" s="321">
        <v>3000</v>
      </c>
      <c r="AH42" s="310">
        <f t="shared" si="16"/>
        <v>60000</v>
      </c>
      <c r="AI42" s="248"/>
    </row>
    <row r="43" spans="2:37" ht="15.75" customHeight="1">
      <c r="B43" s="575"/>
      <c r="C43" s="576"/>
      <c r="D43" s="589"/>
      <c r="E43" s="577"/>
      <c r="F43" s="581"/>
      <c r="G43" s="578"/>
      <c r="H43" s="579"/>
      <c r="I43" s="599" t="str">
        <f t="shared" si="17"/>
        <v/>
      </c>
      <c r="J43" s="607" t="str">
        <f t="shared" si="6"/>
        <v/>
      </c>
      <c r="K43" s="243"/>
      <c r="L43" s="243"/>
      <c r="M43" s="580"/>
      <c r="N43" s="335" t="str">
        <f t="shared" si="18"/>
        <v/>
      </c>
      <c r="Z43" s="281"/>
      <c r="AA43" s="300" t="s">
        <v>605</v>
      </c>
      <c r="AB43" s="330" t="s">
        <v>299</v>
      </c>
      <c r="AC43" s="288"/>
      <c r="AD43" s="301"/>
      <c r="AE43" s="283">
        <v>20</v>
      </c>
      <c r="AF43" s="283" t="s">
        <v>642</v>
      </c>
      <c r="AG43" s="321">
        <v>3000</v>
      </c>
      <c r="AH43" s="310">
        <f t="shared" si="16"/>
        <v>60000</v>
      </c>
      <c r="AI43" s="248"/>
    </row>
    <row r="44" spans="2:37" ht="15.75" customHeight="1">
      <c r="B44" s="575"/>
      <c r="C44" s="576"/>
      <c r="D44" s="589"/>
      <c r="E44" s="577"/>
      <c r="F44" s="577"/>
      <c r="G44" s="590"/>
      <c r="H44" s="579"/>
      <c r="I44" s="599" t="str">
        <f t="shared" si="17"/>
        <v/>
      </c>
      <c r="J44" s="607" t="str">
        <f t="shared" si="6"/>
        <v/>
      </c>
      <c r="K44" s="243"/>
      <c r="L44" s="243"/>
      <c r="M44" s="580"/>
      <c r="N44" s="335" t="str">
        <f t="shared" si="18"/>
        <v/>
      </c>
      <c r="Z44" s="281"/>
      <c r="AA44" s="300" t="s">
        <v>607</v>
      </c>
      <c r="AB44" s="330" t="s">
        <v>300</v>
      </c>
      <c r="AC44" s="288"/>
      <c r="AD44" s="301"/>
      <c r="AE44" s="283">
        <v>20</v>
      </c>
      <c r="AF44" s="283" t="s">
        <v>642</v>
      </c>
      <c r="AG44" s="321">
        <v>3000</v>
      </c>
      <c r="AH44" s="310">
        <f t="shared" si="16"/>
        <v>60000</v>
      </c>
      <c r="AI44" s="248"/>
    </row>
    <row r="45" spans="2:37" ht="15.75" customHeight="1">
      <c r="B45" s="575"/>
      <c r="C45" s="591"/>
      <c r="D45" s="592"/>
      <c r="E45" s="593"/>
      <c r="F45" s="581"/>
      <c r="G45" s="594"/>
      <c r="H45" s="579"/>
      <c r="I45" s="599" t="str">
        <f t="shared" si="17"/>
        <v/>
      </c>
      <c r="J45" s="607" t="str">
        <f t="shared" si="6"/>
        <v/>
      </c>
      <c r="K45" s="243"/>
      <c r="L45" s="243"/>
      <c r="M45" s="580"/>
      <c r="N45" s="335" t="str">
        <f t="shared" si="18"/>
        <v/>
      </c>
      <c r="Z45" s="281"/>
      <c r="AA45" s="764" t="s">
        <v>615</v>
      </c>
      <c r="AB45" s="765"/>
      <c r="AC45" s="765"/>
      <c r="AD45" s="766"/>
      <c r="AE45" s="283"/>
      <c r="AF45" s="327"/>
      <c r="AG45" s="321"/>
      <c r="AH45" s="310">
        <f>SUM(AH40:AH44)</f>
        <v>300000</v>
      </c>
      <c r="AI45" s="248"/>
    </row>
    <row r="46" spans="2:37" ht="15.75" customHeight="1">
      <c r="B46" s="575"/>
      <c r="C46" s="576"/>
      <c r="D46" s="589"/>
      <c r="E46" s="577"/>
      <c r="F46" s="581"/>
      <c r="G46" s="578"/>
      <c r="H46" s="579"/>
      <c r="I46" s="599" t="str">
        <f t="shared" si="17"/>
        <v/>
      </c>
      <c r="J46" s="607" t="str">
        <f t="shared" si="6"/>
        <v/>
      </c>
      <c r="K46" s="243"/>
      <c r="L46" s="243"/>
      <c r="M46" s="580"/>
      <c r="N46" s="335" t="str">
        <f t="shared" si="18"/>
        <v/>
      </c>
      <c r="Z46" s="281"/>
      <c r="AA46" s="309"/>
      <c r="AB46" s="288"/>
      <c r="AC46" s="288"/>
      <c r="AD46" s="301"/>
      <c r="AE46" s="283"/>
      <c r="AF46" s="327"/>
      <c r="AG46" s="321"/>
      <c r="AH46" s="310"/>
      <c r="AI46" s="248"/>
    </row>
    <row r="47" spans="2:37" ht="15.75" customHeight="1">
      <c r="B47" s="575"/>
      <c r="C47" s="576"/>
      <c r="D47" s="577"/>
      <c r="E47" s="577"/>
      <c r="F47" s="581"/>
      <c r="G47" s="590"/>
      <c r="H47" s="594"/>
      <c r="I47" s="599" t="str">
        <f t="shared" si="17"/>
        <v/>
      </c>
      <c r="J47" s="607" t="str">
        <f t="shared" si="6"/>
        <v/>
      </c>
      <c r="K47" s="243"/>
      <c r="L47" s="243"/>
      <c r="M47" s="580"/>
      <c r="N47" s="335" t="str">
        <f t="shared" si="18"/>
        <v/>
      </c>
      <c r="Z47" s="281" t="s">
        <v>645</v>
      </c>
      <c r="AA47" s="309"/>
      <c r="AB47" s="288"/>
      <c r="AC47" s="288"/>
      <c r="AD47" s="301"/>
      <c r="AE47" s="332">
        <v>15</v>
      </c>
      <c r="AF47" s="283" t="s">
        <v>646</v>
      </c>
      <c r="AG47" s="321"/>
      <c r="AH47" s="310">
        <f>(AH24+AH37+AH45)*0.15</f>
        <v>354412.5</v>
      </c>
      <c r="AI47" s="248"/>
    </row>
    <row r="48" spans="2:37" ht="15.75" customHeight="1">
      <c r="B48" s="278"/>
      <c r="C48" s="322"/>
      <c r="D48" s="323"/>
      <c r="E48" s="323"/>
      <c r="F48" s="324"/>
      <c r="G48" s="333"/>
      <c r="H48" s="318"/>
      <c r="I48" s="599" t="str">
        <f t="shared" si="17"/>
        <v/>
      </c>
      <c r="J48" s="607" t="str">
        <f t="shared" si="6"/>
        <v/>
      </c>
      <c r="K48" s="243"/>
      <c r="L48" s="243"/>
      <c r="M48" s="334"/>
      <c r="N48" s="335" t="str">
        <f t="shared" si="18"/>
        <v/>
      </c>
      <c r="Z48" s="281"/>
      <c r="AA48" s="309"/>
      <c r="AB48" s="288"/>
      <c r="AC48" s="288"/>
      <c r="AD48" s="301"/>
      <c r="AE48" s="332"/>
      <c r="AF48" s="283"/>
      <c r="AG48" s="321"/>
      <c r="AH48" s="310"/>
      <c r="AI48" s="248"/>
    </row>
    <row r="49" spans="1:35" ht="15.75" customHeight="1">
      <c r="B49" s="278"/>
      <c r="C49" s="322"/>
      <c r="D49" s="323"/>
      <c r="E49" s="323"/>
      <c r="F49" s="324"/>
      <c r="G49" s="318"/>
      <c r="H49" s="331"/>
      <c r="I49" s="599" t="str">
        <f t="shared" si="17"/>
        <v/>
      </c>
      <c r="J49" s="607" t="str">
        <f t="shared" si="6"/>
        <v/>
      </c>
      <c r="K49" s="243"/>
      <c r="L49" s="243"/>
      <c r="M49" s="280"/>
      <c r="N49" s="335" t="str">
        <f t="shared" si="18"/>
        <v/>
      </c>
      <c r="Z49" s="281"/>
      <c r="AA49" s="309"/>
      <c r="AB49" s="288"/>
      <c r="AC49" s="288"/>
      <c r="AD49" s="301"/>
      <c r="AE49" s="283"/>
      <c r="AF49" s="327"/>
      <c r="AG49" s="321"/>
      <c r="AH49" s="310" t="str">
        <f t="shared" si="16"/>
        <v/>
      </c>
      <c r="AI49" s="248"/>
    </row>
    <row r="50" spans="1:35" ht="15.75" customHeight="1">
      <c r="B50" s="336"/>
      <c r="C50" s="758" t="s">
        <v>539</v>
      </c>
      <c r="D50" s="759"/>
      <c r="E50" s="759"/>
      <c r="F50" s="760"/>
      <c r="G50" s="318"/>
      <c r="H50" s="331"/>
      <c r="I50" s="599"/>
      <c r="J50" s="607">
        <f>J19+J26</f>
        <v>103600000</v>
      </c>
      <c r="K50" s="243"/>
      <c r="L50" s="243"/>
      <c r="M50" s="280"/>
      <c r="N50" s="335">
        <f>N21+N29+N34+N38</f>
        <v>0</v>
      </c>
      <c r="Z50" s="281"/>
      <c r="AA50" s="764" t="s">
        <v>647</v>
      </c>
      <c r="AB50" s="765"/>
      <c r="AC50" s="765"/>
      <c r="AD50" s="766"/>
      <c r="AE50" s="283"/>
      <c r="AF50" s="327"/>
      <c r="AG50" s="321"/>
      <c r="AH50" s="310">
        <f>ROUNDDOWN(AH24+AH37+AH45+AH47,-3)</f>
        <v>2717000</v>
      </c>
      <c r="AI50" s="248"/>
    </row>
    <row r="51" spans="1:35" ht="15.75" customHeight="1">
      <c r="B51" s="336"/>
      <c r="C51" s="777" t="s">
        <v>303</v>
      </c>
      <c r="D51" s="778"/>
      <c r="E51" s="778"/>
      <c r="F51" s="779"/>
      <c r="G51" s="337">
        <v>0</v>
      </c>
      <c r="H51" s="318" t="s">
        <v>302</v>
      </c>
      <c r="I51" s="600"/>
      <c r="J51" s="607">
        <f>J50*G51/100</f>
        <v>0</v>
      </c>
      <c r="K51" s="243"/>
      <c r="L51" s="243"/>
      <c r="M51" s="280"/>
      <c r="N51" s="608">
        <f>N50*R51/100</f>
        <v>0</v>
      </c>
      <c r="Q51" s="681" t="s">
        <v>150</v>
      </c>
      <c r="R51" s="221">
        <v>10</v>
      </c>
      <c r="S51" s="221" t="s">
        <v>151</v>
      </c>
      <c r="Z51" s="281"/>
      <c r="AA51" s="772" t="s">
        <v>301</v>
      </c>
      <c r="AB51" s="773"/>
      <c r="AC51" s="773"/>
      <c r="AD51" s="774"/>
      <c r="AE51" s="338">
        <v>10</v>
      </c>
      <c r="AF51" s="283" t="s">
        <v>646</v>
      </c>
      <c r="AG51" s="321"/>
      <c r="AH51" s="310">
        <f>AH50*AE51%</f>
        <v>271700</v>
      </c>
      <c r="AI51" s="248"/>
    </row>
    <row r="52" spans="1:35" ht="15.75" customHeight="1">
      <c r="A52" s="243"/>
      <c r="B52" s="775" t="s">
        <v>544</v>
      </c>
      <c r="C52" s="775"/>
      <c r="D52" s="775"/>
      <c r="E52" s="775"/>
      <c r="F52" s="775"/>
      <c r="G52" s="775"/>
      <c r="H52" s="775"/>
      <c r="I52" s="776"/>
      <c r="J52" s="606">
        <f>J50+J51</f>
        <v>103600000</v>
      </c>
      <c r="K52" s="243"/>
      <c r="L52" s="243"/>
      <c r="M52" s="243"/>
      <c r="N52" s="609">
        <f>N50+N51</f>
        <v>0</v>
      </c>
      <c r="Q52" s="339" t="s">
        <v>152</v>
      </c>
      <c r="Y52" s="248"/>
      <c r="Z52" s="756" t="s">
        <v>648</v>
      </c>
      <c r="AA52" s="756"/>
      <c r="AB52" s="756"/>
      <c r="AC52" s="756"/>
      <c r="AD52" s="756"/>
      <c r="AE52" s="756"/>
      <c r="AF52" s="756"/>
      <c r="AG52" s="757"/>
      <c r="AH52" s="340">
        <f>AH50+AH51</f>
        <v>2988700</v>
      </c>
      <c r="AI52" s="248"/>
    </row>
  </sheetData>
  <mergeCells count="57">
    <mergeCell ref="B2:J2"/>
    <mergeCell ref="B5:E5"/>
    <mergeCell ref="I3:J3"/>
    <mergeCell ref="G6:J6"/>
    <mergeCell ref="B6:B7"/>
    <mergeCell ref="G3:H3"/>
    <mergeCell ref="G4:H4"/>
    <mergeCell ref="I4:J4"/>
    <mergeCell ref="C6:F7"/>
    <mergeCell ref="V11:W11"/>
    <mergeCell ref="P12:P13"/>
    <mergeCell ref="Q12:Q13"/>
    <mergeCell ref="R12:S12"/>
    <mergeCell ref="T12:U12"/>
    <mergeCell ref="V12:W12"/>
    <mergeCell ref="Z2:AH2"/>
    <mergeCell ref="AG3:AH3"/>
    <mergeCell ref="Z5:AC5"/>
    <mergeCell ref="AF5:AH5"/>
    <mergeCell ref="AA6:AC7"/>
    <mergeCell ref="AE6:AH6"/>
    <mergeCell ref="Z10:AC10"/>
    <mergeCell ref="AE10:AH10"/>
    <mergeCell ref="AA11:AC11"/>
    <mergeCell ref="AE12:AF12"/>
    <mergeCell ref="AG12:AH12"/>
    <mergeCell ref="AK16:AK17"/>
    <mergeCell ref="AL16:AL17"/>
    <mergeCell ref="AM16:AN16"/>
    <mergeCell ref="AO16:AP16"/>
    <mergeCell ref="AQ16:AR16"/>
    <mergeCell ref="Z52:AG52"/>
    <mergeCell ref="C50:F50"/>
    <mergeCell ref="C39:F39"/>
    <mergeCell ref="AA24:AD24"/>
    <mergeCell ref="AA25:AD25"/>
    <mergeCell ref="AA37:AD37"/>
    <mergeCell ref="AA38:AD38"/>
    <mergeCell ref="AA45:AD45"/>
    <mergeCell ref="D26:F26"/>
    <mergeCell ref="AA50:AD50"/>
    <mergeCell ref="AA51:AD51"/>
    <mergeCell ref="B52:I52"/>
    <mergeCell ref="C51:F51"/>
    <mergeCell ref="C36:F36"/>
    <mergeCell ref="C38:F38"/>
    <mergeCell ref="C33:F33"/>
    <mergeCell ref="C29:F29"/>
    <mergeCell ref="H7:J9"/>
    <mergeCell ref="F10:J10"/>
    <mergeCell ref="G5:J5"/>
    <mergeCell ref="D17:F17"/>
    <mergeCell ref="E14:F14"/>
    <mergeCell ref="G12:I12"/>
    <mergeCell ref="D19:F19"/>
    <mergeCell ref="B10:E10"/>
    <mergeCell ref="C11:E11"/>
  </mergeCells>
  <phoneticPr fontId="4"/>
  <conditionalFormatting sqref="B10:E10">
    <cfRule type="cellIs" dxfId="5" priority="2" stopIfTrue="1" operator="notEqual">
      <formula>$J$52</formula>
    </cfRule>
  </conditionalFormatting>
  <conditionalFormatting sqref="Z10:AC10">
    <cfRule type="cellIs" dxfId="4" priority="1" stopIfTrue="1" operator="notEqual">
      <formula>$J$52</formula>
    </cfRule>
  </conditionalFormatting>
  <pageMargins left="0.78740157480314965" right="0.19685039370078741" top="0.78740157480314965" bottom="0.39370078740157483" header="0.51181102362204722" footer="0.19685039370078741"/>
  <pageSetup paperSize="9" scale="92" orientation="portrait" r:id="rId1"/>
  <headerFooter alignWithMargins="0">
    <oddHeader>&amp;R&amp;G</oddHeader>
    <oddFooter>&amp;RAttachment-&amp;P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P56"/>
  <sheetViews>
    <sheetView topLeftCell="A22" zoomScaleNormal="100" zoomScaleSheetLayoutView="85" workbookViewId="0">
      <selection activeCell="A47" sqref="A47:D47"/>
    </sheetView>
  </sheetViews>
  <sheetFormatPr defaultColWidth="9" defaultRowHeight="14.25"/>
  <cols>
    <col min="1" max="1" width="9" style="87"/>
    <col min="2" max="2" width="10.140625" style="87" bestFit="1" customWidth="1"/>
    <col min="3" max="4" width="9" style="87"/>
    <col min="5" max="5" width="9.140625" style="87" bestFit="1" customWidth="1"/>
    <col min="6" max="6" width="9" style="87"/>
    <col min="7" max="7" width="9.85546875" style="87" bestFit="1" customWidth="1"/>
    <col min="8" max="9" width="9" style="87"/>
    <col min="10" max="10" width="9.42578125" style="87" bestFit="1" customWidth="1"/>
    <col min="11" max="13" width="9" style="87"/>
    <col min="14" max="14" width="10.140625" style="87" bestFit="1" customWidth="1"/>
    <col min="15" max="16" width="10.42578125" style="87" bestFit="1" customWidth="1"/>
    <col min="17" max="16384" width="9" style="87"/>
  </cols>
  <sheetData>
    <row r="2" spans="1:16" ht="18">
      <c r="D2" s="823" t="s">
        <v>0</v>
      </c>
      <c r="E2" s="823"/>
      <c r="F2" s="823"/>
      <c r="G2" s="823"/>
      <c r="H2" s="823"/>
      <c r="I2" s="823"/>
      <c r="J2" s="823"/>
      <c r="K2" s="162"/>
      <c r="L2" s="162"/>
    </row>
    <row r="3" spans="1:16" ht="14.25" customHeight="1">
      <c r="E3" s="824" t="s">
        <v>207</v>
      </c>
      <c r="F3" s="824"/>
      <c r="G3" s="824"/>
      <c r="H3" s="824"/>
      <c r="I3" s="824"/>
      <c r="J3" s="824"/>
      <c r="K3" s="92"/>
      <c r="L3" s="92"/>
    </row>
    <row r="4" spans="1:16">
      <c r="E4" s="824"/>
      <c r="F4" s="824"/>
      <c r="G4" s="824"/>
      <c r="H4" s="824"/>
      <c r="I4" s="824"/>
      <c r="J4" s="824"/>
      <c r="K4" s="92"/>
      <c r="L4" s="92"/>
    </row>
    <row r="6" spans="1:16">
      <c r="E6" s="825" t="s">
        <v>391</v>
      </c>
      <c r="F6" s="825"/>
      <c r="G6" s="825"/>
      <c r="H6" s="825"/>
      <c r="I6" s="825"/>
      <c r="J6" s="825"/>
    </row>
    <row r="8" spans="1:16" ht="15" thickBot="1">
      <c r="A8" s="95"/>
      <c r="B8" s="95"/>
      <c r="C8" s="95"/>
      <c r="D8" s="95"/>
      <c r="E8" s="95"/>
      <c r="F8" s="828" t="s">
        <v>343</v>
      </c>
      <c r="G8" s="828"/>
      <c r="H8" s="829" t="s">
        <v>342</v>
      </c>
      <c r="I8" s="829"/>
      <c r="J8" s="829"/>
      <c r="K8" s="94"/>
      <c r="L8" s="94"/>
    </row>
    <row r="9" spans="1:16" ht="15" customHeight="1" thickTop="1">
      <c r="A9" s="826" t="s">
        <v>164</v>
      </c>
      <c r="B9" s="826"/>
      <c r="C9" s="826"/>
      <c r="D9" s="826"/>
      <c r="E9" s="826"/>
      <c r="F9" s="826"/>
      <c r="G9" s="826"/>
      <c r="H9" s="826"/>
      <c r="I9" s="826"/>
      <c r="J9" s="826"/>
      <c r="K9" s="163"/>
      <c r="L9" s="163"/>
    </row>
    <row r="10" spans="1:16" ht="14.25" customHeight="1">
      <c r="A10" s="827"/>
      <c r="B10" s="827"/>
      <c r="C10" s="827"/>
      <c r="D10" s="827"/>
      <c r="E10" s="827"/>
      <c r="F10" s="827"/>
      <c r="G10" s="827"/>
      <c r="H10" s="827"/>
      <c r="I10" s="827"/>
      <c r="J10" s="827"/>
      <c r="K10" s="164"/>
      <c r="L10" s="164"/>
    </row>
    <row r="11" spans="1:16" ht="14.25" customHeight="1">
      <c r="A11" s="827"/>
      <c r="B11" s="827"/>
      <c r="C11" s="827"/>
      <c r="D11" s="827"/>
      <c r="E11" s="827"/>
      <c r="F11" s="827"/>
      <c r="G11" s="827"/>
      <c r="H11" s="827"/>
      <c r="I11" s="827"/>
      <c r="J11" s="827"/>
      <c r="K11" s="164"/>
      <c r="L11" s="164"/>
    </row>
    <row r="13" spans="1:16">
      <c r="A13" s="87" t="s">
        <v>392</v>
      </c>
      <c r="B13" s="822">
        <f>N13</f>
        <v>42840</v>
      </c>
      <c r="C13" s="822"/>
      <c r="D13" s="89"/>
      <c r="L13" s="509" t="s">
        <v>392</v>
      </c>
      <c r="N13" s="89">
        <v>42840</v>
      </c>
      <c r="P13" s="89"/>
    </row>
    <row r="15" spans="1:16" ht="15">
      <c r="A15" s="91" t="s">
        <v>393</v>
      </c>
      <c r="B15" s="90" t="str">
        <f>'2.Quotation Service Order'!N16</f>
        <v>DENKA ADVANCED MATERIALS VIETNAM CO.,LTD.</v>
      </c>
    </row>
    <row r="17" spans="1:16">
      <c r="A17" s="91" t="s">
        <v>394</v>
      </c>
      <c r="B17" s="87" t="str">
        <f>'2.Quotation Service Order'!N18</f>
        <v>Plot D-5, Thang Long Industrial Park ⅡYen my District, Hung Yen Province, Vietnam</v>
      </c>
    </row>
    <row r="19" spans="1:16">
      <c r="A19" s="91" t="s">
        <v>395</v>
      </c>
      <c r="B19" s="88" t="str">
        <f>'2.Quotation Service Order'!N20</f>
        <v>+84-321-3974-805</v>
      </c>
      <c r="P19" s="88"/>
    </row>
    <row r="20" spans="1:16">
      <c r="A20" s="91" t="s">
        <v>396</v>
      </c>
      <c r="B20" s="88" t="str">
        <f>'2.Quotation Service Order'!N21</f>
        <v>+84-321-3974-806</v>
      </c>
      <c r="P20" s="88"/>
    </row>
    <row r="22" spans="1:16" ht="15">
      <c r="A22" s="90" t="s">
        <v>165</v>
      </c>
    </row>
    <row r="23" spans="1:16">
      <c r="A23" s="87" t="s">
        <v>313</v>
      </c>
    </row>
    <row r="24" spans="1:16" ht="15">
      <c r="A24" s="87" t="s">
        <v>316</v>
      </c>
      <c r="B24" s="90"/>
      <c r="I24" s="96"/>
      <c r="J24" s="507"/>
    </row>
    <row r="25" spans="1:16">
      <c r="A25" s="87" t="s">
        <v>423</v>
      </c>
      <c r="B25" s="510"/>
      <c r="G25" s="96"/>
    </row>
    <row r="26" spans="1:16">
      <c r="A26" s="87" t="s">
        <v>166</v>
      </c>
      <c r="B26" s="510"/>
      <c r="G26" s="96"/>
    </row>
    <row r="27" spans="1:16">
      <c r="B27" s="510"/>
      <c r="G27" s="96"/>
    </row>
    <row r="28" spans="1:16" ht="15">
      <c r="A28" s="90" t="s">
        <v>397</v>
      </c>
      <c r="B28" s="510"/>
      <c r="G28" s="96"/>
    </row>
    <row r="29" spans="1:16">
      <c r="A29" s="831" t="s">
        <v>167</v>
      </c>
      <c r="B29" s="716"/>
      <c r="C29" s="832"/>
      <c r="D29" s="841" t="str">
        <f>'2.Quotation Service Order'!B25</f>
        <v>Kiểm tra PT mối hàn của thùng chứa</v>
      </c>
      <c r="E29" s="842"/>
      <c r="F29" s="842"/>
      <c r="G29" s="842"/>
      <c r="H29" s="842"/>
      <c r="I29" s="842"/>
      <c r="J29" s="843"/>
      <c r="L29" s="87" t="s">
        <v>168</v>
      </c>
    </row>
    <row r="30" spans="1:16">
      <c r="A30" s="833"/>
      <c r="B30" s="834"/>
      <c r="C30" s="835"/>
      <c r="D30" s="844"/>
      <c r="E30" s="845"/>
      <c r="F30" s="845"/>
      <c r="G30" s="845"/>
      <c r="H30" s="845"/>
      <c r="I30" s="845"/>
      <c r="J30" s="846"/>
    </row>
    <row r="31" spans="1:16">
      <c r="A31" s="836"/>
      <c r="B31" s="702"/>
      <c r="C31" s="837"/>
      <c r="D31" s="847" t="s">
        <v>472</v>
      </c>
      <c r="E31" s="848"/>
      <c r="F31" s="848"/>
      <c r="G31" s="848"/>
      <c r="H31" s="848"/>
      <c r="I31" s="848"/>
      <c r="J31" s="849"/>
      <c r="L31" s="509" t="s">
        <v>398</v>
      </c>
      <c r="M31" s="507">
        <v>2</v>
      </c>
      <c r="N31" s="509" t="s">
        <v>399</v>
      </c>
      <c r="O31" s="507">
        <v>4</v>
      </c>
    </row>
    <row r="33" spans="1:15" ht="14.25" customHeight="1">
      <c r="A33" s="90" t="s">
        <v>400</v>
      </c>
      <c r="C33" s="92"/>
      <c r="D33" s="92"/>
      <c r="E33" s="92"/>
      <c r="F33" s="92"/>
      <c r="G33" s="92"/>
      <c r="H33" s="92"/>
      <c r="I33" s="92"/>
      <c r="J33" s="92"/>
      <c r="K33" s="92"/>
      <c r="L33" s="92"/>
    </row>
    <row r="34" spans="1:15">
      <c r="A34" s="838" t="s">
        <v>317</v>
      </c>
      <c r="B34" s="838"/>
      <c r="C34" s="838"/>
      <c r="D34" s="839">
        <f>N13</f>
        <v>42840</v>
      </c>
      <c r="E34" s="840"/>
      <c r="F34" s="840"/>
      <c r="G34" s="840"/>
      <c r="H34" s="840"/>
      <c r="I34" s="840"/>
      <c r="J34" s="840"/>
      <c r="K34" s="92"/>
      <c r="L34" s="701" t="s">
        <v>169</v>
      </c>
      <c r="M34" s="701"/>
      <c r="N34" s="701"/>
      <c r="O34" s="89"/>
    </row>
    <row r="35" spans="1:15">
      <c r="A35" s="838" t="s">
        <v>170</v>
      </c>
      <c r="B35" s="838"/>
      <c r="C35" s="838"/>
      <c r="D35" s="840" t="str">
        <f>'1.Service Contraction'!E45</f>
        <v>DENKA ADVANCED MATERIALS VIETNAM CO.,LTD</v>
      </c>
      <c r="E35" s="840"/>
      <c r="F35" s="840"/>
      <c r="G35" s="840"/>
      <c r="H35" s="840"/>
      <c r="I35" s="840"/>
      <c r="J35" s="840"/>
      <c r="K35" s="92"/>
      <c r="L35" s="92"/>
    </row>
    <row r="36" spans="1:15">
      <c r="A36" s="838" t="s">
        <v>133</v>
      </c>
      <c r="B36" s="838"/>
      <c r="C36" s="838"/>
      <c r="D36" s="840" t="str">
        <f>'1.Service Contraction'!E46</f>
        <v>Vietnam</v>
      </c>
      <c r="E36" s="840"/>
      <c r="F36" s="840"/>
      <c r="G36" s="840"/>
      <c r="H36" s="840"/>
      <c r="I36" s="840"/>
      <c r="J36" s="840"/>
      <c r="K36" s="92"/>
      <c r="L36" s="92"/>
    </row>
    <row r="37" spans="1:15">
      <c r="A37" s="831" t="s">
        <v>171</v>
      </c>
      <c r="B37" s="716"/>
      <c r="C37" s="832"/>
      <c r="D37" s="108" t="s">
        <v>210</v>
      </c>
      <c r="E37" s="99" t="s">
        <v>172</v>
      </c>
      <c r="F37" s="99"/>
      <c r="G37" s="98"/>
      <c r="H37" s="852" t="str">
        <f>'1.Service Contraction'!E7</f>
        <v>CCTVN - DEN-201704-01</v>
      </c>
      <c r="I37" s="852"/>
      <c r="J37" s="853"/>
      <c r="K37" s="92"/>
      <c r="L37" s="92"/>
    </row>
    <row r="38" spans="1:15">
      <c r="A38" s="836"/>
      <c r="B38" s="702"/>
      <c r="C38" s="837"/>
      <c r="D38" s="100"/>
      <c r="E38" s="101" t="s">
        <v>402</v>
      </c>
      <c r="F38" s="101"/>
      <c r="G38" s="100"/>
      <c r="H38" s="854" t="str">
        <f>'2.Quotation Service Order'!B14</f>
        <v>QCTVN201704-01</v>
      </c>
      <c r="I38" s="854"/>
      <c r="J38" s="855"/>
      <c r="K38" s="92"/>
      <c r="L38" s="92"/>
    </row>
    <row r="40" spans="1:15">
      <c r="A40" s="120" t="str">
        <f>"Total contract value is "&amp;N40&amp;" "&amp;O40&amp;"."</f>
        <v>Total contract value is  .</v>
      </c>
      <c r="B40" s="121"/>
      <c r="C40" s="122"/>
      <c r="D40" s="123"/>
      <c r="E40" s="123"/>
    </row>
    <row r="41" spans="1:15">
      <c r="A41" s="124" t="str">
        <f>'1.Service Contraction'!B57</f>
        <v xml:space="preserve"> ( By words:Fifty Seven Million Six Hundred Thousand Eigty Four Vietnamese Dong ).</v>
      </c>
      <c r="B41" s="123"/>
      <c r="C41" s="123"/>
      <c r="D41" s="123"/>
      <c r="E41" s="123"/>
    </row>
    <row r="42" spans="1:15">
      <c r="A42" s="124" t="s">
        <v>443</v>
      </c>
      <c r="B42" s="123"/>
      <c r="C42" s="851">
        <f>'1.Service Contraction'!D58</f>
        <v>103600000</v>
      </c>
      <c r="D42" s="851"/>
      <c r="E42" s="123" t="s">
        <v>473</v>
      </c>
    </row>
    <row r="43" spans="1:15">
      <c r="A43" s="124" t="s">
        <v>444</v>
      </c>
      <c r="B43" s="123"/>
      <c r="C43" s="851">
        <f>'1.Service Contraction'!D59</f>
        <v>0</v>
      </c>
      <c r="D43" s="851"/>
      <c r="E43" s="123" t="s">
        <v>473</v>
      </c>
    </row>
    <row r="44" spans="1:15">
      <c r="A44" s="120" t="str">
        <f>'1.Service Contraction'!B60</f>
        <v>This Price is 10% VAT applicable.</v>
      </c>
      <c r="B44" s="123"/>
      <c r="C44" s="123"/>
      <c r="D44" s="123"/>
      <c r="E44" s="123"/>
    </row>
    <row r="45" spans="1:15" ht="15">
      <c r="C45" s="527"/>
      <c r="D45" s="527"/>
      <c r="E45" s="534"/>
    </row>
    <row r="47" spans="1:15" ht="15">
      <c r="A47" s="856" t="str">
        <f>'1.Service Contraction'!D17</f>
        <v>DENKA ADVANCED MATERIALS VIETNAM CO.,LTD.</v>
      </c>
      <c r="B47" s="856"/>
      <c r="C47" s="856"/>
      <c r="D47" s="856"/>
      <c r="F47" s="857" t="str">
        <f>D2</f>
        <v>CHUGAI TECHNOS VIETNAM COMPANY LIMITED</v>
      </c>
      <c r="G47" s="857"/>
      <c r="H47" s="857"/>
      <c r="I47" s="857"/>
      <c r="J47" s="93"/>
    </row>
    <row r="48" spans="1:15" ht="15">
      <c r="A48" s="511"/>
      <c r="B48" s="511"/>
      <c r="C48" s="511"/>
      <c r="D48" s="511"/>
      <c r="F48" s="508"/>
      <c r="G48" s="508"/>
      <c r="H48" s="508"/>
      <c r="I48" s="508"/>
      <c r="J48" s="93"/>
    </row>
    <row r="49" spans="1:10">
      <c r="A49" s="509" t="s">
        <v>401</v>
      </c>
      <c r="B49" s="850">
        <f>B13</f>
        <v>42840</v>
      </c>
      <c r="C49" s="850"/>
      <c r="D49" s="850"/>
      <c r="F49" s="509" t="s">
        <v>401</v>
      </c>
      <c r="G49" s="850">
        <f>B13</f>
        <v>42840</v>
      </c>
      <c r="H49" s="850"/>
      <c r="I49" s="850"/>
      <c r="J49" s="94"/>
    </row>
    <row r="55" spans="1:10">
      <c r="A55" s="97"/>
      <c r="B55" s="97"/>
      <c r="C55" s="97"/>
      <c r="D55" s="97"/>
      <c r="F55" s="97"/>
      <c r="G55" s="97"/>
      <c r="H55" s="97"/>
      <c r="I55" s="97"/>
      <c r="J55" s="94"/>
    </row>
    <row r="56" spans="1:10" ht="15">
      <c r="B56" s="830" t="s">
        <v>163</v>
      </c>
      <c r="C56" s="830"/>
      <c r="D56" s="830"/>
      <c r="G56" s="830" t="s">
        <v>163</v>
      </c>
      <c r="H56" s="830"/>
      <c r="I56" s="830"/>
    </row>
  </sheetData>
  <mergeCells count="28">
    <mergeCell ref="L34:N34"/>
    <mergeCell ref="A37:C38"/>
    <mergeCell ref="H37:J37"/>
    <mergeCell ref="H38:J38"/>
    <mergeCell ref="A47:D47"/>
    <mergeCell ref="F47:I47"/>
    <mergeCell ref="B56:D56"/>
    <mergeCell ref="G56:I56"/>
    <mergeCell ref="A29:C31"/>
    <mergeCell ref="A34:C34"/>
    <mergeCell ref="A35:C35"/>
    <mergeCell ref="A36:C36"/>
    <mergeCell ref="D34:J34"/>
    <mergeCell ref="D35:J35"/>
    <mergeCell ref="D36:J36"/>
    <mergeCell ref="D29:J30"/>
    <mergeCell ref="D31:J31"/>
    <mergeCell ref="G49:I49"/>
    <mergeCell ref="B49:D49"/>
    <mergeCell ref="C42:D42"/>
    <mergeCell ref="C43:D43"/>
    <mergeCell ref="B13:C13"/>
    <mergeCell ref="D2:J2"/>
    <mergeCell ref="E3:J4"/>
    <mergeCell ref="E6:J6"/>
    <mergeCell ref="A9:J11"/>
    <mergeCell ref="F8:G8"/>
    <mergeCell ref="H8:J8"/>
  </mergeCells>
  <phoneticPr fontId="4"/>
  <printOptions horizontalCentered="1"/>
  <pageMargins left="0.59055118110236227" right="0.23622047244094491" top="0.35433070866141736" bottom="3.937007874015748E-2" header="0.11811023622047245" footer="0.1181102362204724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P58"/>
  <sheetViews>
    <sheetView zoomScaleNormal="100" zoomScaleSheetLayoutView="85" workbookViewId="0">
      <selection activeCell="N14" sqref="N14"/>
    </sheetView>
  </sheetViews>
  <sheetFormatPr defaultColWidth="9" defaultRowHeight="15"/>
  <cols>
    <col min="1" max="1" width="9" style="613"/>
    <col min="2" max="2" width="9.85546875" style="613" bestFit="1" customWidth="1"/>
    <col min="3" max="3" width="9" style="613"/>
    <col min="4" max="4" width="9.42578125" style="613" bestFit="1" customWidth="1"/>
    <col min="5" max="6" width="9" style="613"/>
    <col min="7" max="7" width="9.42578125" style="613" bestFit="1" customWidth="1"/>
    <col min="8" max="9" width="9" style="613"/>
    <col min="10" max="10" width="9.42578125" style="613" bestFit="1" customWidth="1"/>
    <col min="11" max="13" width="9" style="613"/>
    <col min="14" max="14" width="10.140625" style="613" bestFit="1" customWidth="1"/>
    <col min="15" max="16" width="10.42578125" style="613" bestFit="1" customWidth="1"/>
    <col min="17" max="16384" width="9" style="613"/>
  </cols>
  <sheetData>
    <row r="2" spans="1:16" ht="18.75">
      <c r="D2" s="858" t="s">
        <v>0</v>
      </c>
      <c r="E2" s="858"/>
      <c r="F2" s="858"/>
      <c r="G2" s="858"/>
      <c r="H2" s="858"/>
      <c r="I2" s="858"/>
      <c r="J2" s="858"/>
      <c r="K2" s="639"/>
      <c r="L2" s="639"/>
    </row>
    <row r="3" spans="1:16" ht="14.25" customHeight="1">
      <c r="E3" s="732" t="s">
        <v>207</v>
      </c>
      <c r="F3" s="732"/>
      <c r="G3" s="732"/>
      <c r="H3" s="732"/>
      <c r="I3" s="732"/>
      <c r="J3" s="732"/>
      <c r="K3" s="628"/>
      <c r="L3" s="628"/>
    </row>
    <row r="4" spans="1:16">
      <c r="E4" s="732"/>
      <c r="F4" s="732"/>
      <c r="G4" s="732"/>
      <c r="H4" s="732"/>
      <c r="I4" s="732"/>
      <c r="J4" s="732"/>
      <c r="K4" s="628"/>
      <c r="L4" s="628"/>
    </row>
    <row r="6" spans="1:16">
      <c r="E6" s="733" t="s">
        <v>477</v>
      </c>
      <c r="F6" s="733"/>
      <c r="G6" s="733"/>
      <c r="H6" s="733"/>
      <c r="I6" s="733"/>
      <c r="J6" s="733"/>
    </row>
    <row r="8" spans="1:16" ht="15.75" thickBot="1">
      <c r="A8" s="614"/>
      <c r="B8" s="614"/>
      <c r="C8" s="614"/>
      <c r="D8" s="614"/>
      <c r="E8" s="614"/>
      <c r="F8" s="736" t="s">
        <v>454</v>
      </c>
      <c r="G8" s="736"/>
      <c r="H8" s="860" t="s">
        <v>342</v>
      </c>
      <c r="I8" s="860"/>
      <c r="J8" s="860"/>
      <c r="K8" s="631"/>
      <c r="L8" s="631"/>
    </row>
    <row r="9" spans="1:16" ht="15" customHeight="1" thickTop="1">
      <c r="A9" s="734" t="s">
        <v>174</v>
      </c>
      <c r="B9" s="734"/>
      <c r="C9" s="734"/>
      <c r="D9" s="734"/>
      <c r="E9" s="734"/>
      <c r="F9" s="734"/>
      <c r="G9" s="734"/>
      <c r="H9" s="734"/>
      <c r="I9" s="734"/>
      <c r="J9" s="734"/>
      <c r="K9" s="640"/>
      <c r="L9" s="640"/>
    </row>
    <row r="10" spans="1:16" ht="14.25" customHeight="1">
      <c r="A10" s="735"/>
      <c r="B10" s="735"/>
      <c r="C10" s="735"/>
      <c r="D10" s="735"/>
      <c r="E10" s="735"/>
      <c r="F10" s="735"/>
      <c r="G10" s="735"/>
      <c r="H10" s="735"/>
      <c r="I10" s="735"/>
      <c r="J10" s="735"/>
      <c r="K10" s="641"/>
      <c r="L10" s="641"/>
    </row>
    <row r="11" spans="1:16" ht="14.25" customHeight="1">
      <c r="A11" s="735"/>
      <c r="B11" s="735"/>
      <c r="C11" s="735"/>
      <c r="D11" s="735"/>
      <c r="E11" s="735"/>
      <c r="F11" s="735"/>
      <c r="G11" s="735"/>
      <c r="H11" s="735"/>
      <c r="I11" s="735"/>
      <c r="J11" s="735"/>
      <c r="K11" s="641"/>
      <c r="L11" s="641"/>
    </row>
    <row r="13" spans="1:16">
      <c r="A13" s="613" t="s">
        <v>478</v>
      </c>
      <c r="B13" s="731">
        <f>N13</f>
        <v>42840</v>
      </c>
      <c r="C13" s="731"/>
      <c r="D13" s="615"/>
      <c r="L13" s="638" t="s">
        <v>478</v>
      </c>
      <c r="N13" s="615">
        <v>42840</v>
      </c>
      <c r="P13" s="615"/>
    </row>
    <row r="15" spans="1:16">
      <c r="A15" s="617" t="s">
        <v>479</v>
      </c>
      <c r="B15" s="642" t="str">
        <f>'2.Quotation Service Order'!N16</f>
        <v>DENKA ADVANCED MATERIALS VIETNAM CO.,LTD.</v>
      </c>
    </row>
    <row r="17" spans="1:16">
      <c r="A17" s="617" t="s">
        <v>480</v>
      </c>
      <c r="B17" s="613" t="str">
        <f>'2.Quotation Service Order'!N18</f>
        <v>Plot D-5, Thang Long Industrial Park ⅡYen my District, Hung Yen Province, Vietnam</v>
      </c>
    </row>
    <row r="19" spans="1:16">
      <c r="A19" s="617" t="s">
        <v>481</v>
      </c>
      <c r="B19" s="618" t="str">
        <f>'2.Quotation Service Order'!N20</f>
        <v>+84-321-3974-805</v>
      </c>
      <c r="P19" s="618"/>
    </row>
    <row r="20" spans="1:16">
      <c r="A20" s="617" t="s">
        <v>482</v>
      </c>
      <c r="B20" s="618" t="str">
        <f>'2.Quotation Service Order'!N21</f>
        <v>+84-321-3974-806</v>
      </c>
      <c r="P20" s="618"/>
    </row>
    <row r="22" spans="1:16">
      <c r="A22" s="613" t="s">
        <v>165</v>
      </c>
    </row>
    <row r="23" spans="1:16" ht="14.25" customHeight="1">
      <c r="A23" s="745" t="str">
        <f>"According to the contract No: "&amp;'1.Service Contraction'!E7&amp;" made on "&amp;'1.Service Contraction'!P15&amp;" between  "&amp;'1.Service Contraction'!P17&amp;" and "&amp;'1.Service Contraction'!D26&amp;", please transfer to us the amount as below："</f>
        <v>According to the contract No: CCTVN - DEN-201704-01 made on 18-Apr-17 between  DENKA ADVANCED MATERIALS VIETNAM CO.,LTD. and CHUGAI TECHNOS VIETNAM COMPANY LIMITED, please transfer to us the amount as below：</v>
      </c>
      <c r="B23" s="745"/>
      <c r="C23" s="745"/>
      <c r="D23" s="745"/>
      <c r="E23" s="745"/>
      <c r="F23" s="745"/>
      <c r="G23" s="745"/>
      <c r="H23" s="745"/>
      <c r="I23" s="745"/>
      <c r="J23" s="745"/>
    </row>
    <row r="24" spans="1:16" ht="15" customHeight="1">
      <c r="A24" s="745"/>
      <c r="B24" s="745"/>
      <c r="C24" s="745"/>
      <c r="D24" s="745"/>
      <c r="E24" s="745"/>
      <c r="F24" s="745"/>
      <c r="G24" s="745"/>
      <c r="H24" s="745"/>
      <c r="I24" s="745"/>
      <c r="J24" s="745"/>
    </row>
    <row r="25" spans="1:16">
      <c r="A25" s="745"/>
      <c r="B25" s="745"/>
      <c r="C25" s="745"/>
      <c r="D25" s="745"/>
      <c r="E25" s="745"/>
      <c r="F25" s="745"/>
      <c r="G25" s="745"/>
      <c r="H25" s="745"/>
      <c r="I25" s="745"/>
      <c r="J25" s="745"/>
    </row>
    <row r="26" spans="1:16">
      <c r="A26" s="628"/>
      <c r="B26" s="628"/>
      <c r="C26" s="628"/>
      <c r="D26" s="628"/>
      <c r="E26" s="628"/>
      <c r="F26" s="628"/>
      <c r="G26" s="628"/>
      <c r="H26" s="628"/>
      <c r="I26" s="628"/>
      <c r="J26" s="628"/>
    </row>
    <row r="27" spans="1:16">
      <c r="A27" s="643" t="str">
        <f>'1.Service Contraction'!B56</f>
        <v>Total contract value is 103,600,000 JPY.</v>
      </c>
      <c r="B27" s="643"/>
      <c r="C27" s="644"/>
      <c r="D27" s="645"/>
      <c r="E27" s="645"/>
      <c r="G27" s="628"/>
      <c r="H27" s="628"/>
      <c r="I27" s="628"/>
      <c r="J27" s="628"/>
    </row>
    <row r="28" spans="1:16">
      <c r="A28" s="646" t="str">
        <f>'1.Service Contraction'!B57</f>
        <v xml:space="preserve"> ( By words:Fifty Seven Million Six Hundred Thousand Eigty Four Vietnamese Dong ).</v>
      </c>
      <c r="B28" s="645"/>
      <c r="C28" s="645"/>
      <c r="D28" s="645"/>
      <c r="E28" s="645"/>
      <c r="G28" s="628"/>
      <c r="H28" s="628"/>
      <c r="I28" s="628"/>
      <c r="J28" s="628"/>
    </row>
    <row r="29" spans="1:16">
      <c r="A29" s="646" t="s">
        <v>483</v>
      </c>
      <c r="B29" s="645"/>
      <c r="C29" s="862">
        <f>'1.Service Contraction'!D58</f>
        <v>103600000</v>
      </c>
      <c r="D29" s="862"/>
      <c r="E29" s="645" t="s">
        <v>475</v>
      </c>
      <c r="G29" s="628"/>
      <c r="H29" s="628"/>
      <c r="I29" s="628"/>
      <c r="J29" s="628"/>
    </row>
    <row r="30" spans="1:16">
      <c r="A30" s="646" t="s">
        <v>484</v>
      </c>
      <c r="B30" s="645"/>
      <c r="C30" s="862">
        <f>'1.Service Contraction'!D59</f>
        <v>0</v>
      </c>
      <c r="D30" s="862"/>
      <c r="E30" s="645" t="s">
        <v>473</v>
      </c>
      <c r="G30" s="628"/>
      <c r="H30" s="628"/>
      <c r="I30" s="628"/>
      <c r="J30" s="628"/>
    </row>
    <row r="31" spans="1:16">
      <c r="A31" s="643" t="str">
        <f>'1.Service Contraction'!B60</f>
        <v>This Price is 10% VAT applicable.</v>
      </c>
      <c r="B31" s="645"/>
      <c r="C31" s="645"/>
      <c r="D31" s="645"/>
      <c r="E31" s="645"/>
      <c r="G31" s="628"/>
      <c r="H31" s="628"/>
      <c r="I31" s="628"/>
      <c r="J31" s="628"/>
    </row>
    <row r="32" spans="1:16">
      <c r="A32" s="231"/>
      <c r="B32" s="628"/>
      <c r="C32" s="628"/>
      <c r="D32" s="647"/>
      <c r="E32" s="647"/>
      <c r="F32" s="628"/>
      <c r="G32" s="628"/>
      <c r="H32" s="628"/>
      <c r="I32" s="628"/>
      <c r="J32" s="628"/>
    </row>
    <row r="33" spans="1:16" ht="14.25" customHeight="1">
      <c r="A33" s="231" t="s">
        <v>485</v>
      </c>
      <c r="B33" s="628"/>
      <c r="C33" s="863">
        <f>C29+C30</f>
        <v>103600000</v>
      </c>
      <c r="D33" s="863"/>
      <c r="E33" s="648" t="s">
        <v>66</v>
      </c>
      <c r="F33" s="628"/>
      <c r="G33" s="628"/>
      <c r="H33" s="628"/>
      <c r="I33" s="628"/>
      <c r="J33" s="628"/>
    </row>
    <row r="34" spans="1:16">
      <c r="A34" s="231"/>
      <c r="B34" s="628"/>
      <c r="C34" s="628"/>
      <c r="D34" s="628"/>
      <c r="E34" s="628"/>
      <c r="F34" s="628"/>
      <c r="G34" s="628"/>
      <c r="H34" s="628"/>
      <c r="I34" s="628"/>
      <c r="J34" s="628"/>
    </row>
    <row r="35" spans="1:16">
      <c r="A35" s="646" t="str">
        <f>'1.Service Contraction'!B57</f>
        <v xml:space="preserve"> ( By words:Fifty Seven Million Six Hundred Thousand Eigty Four Vietnamese Dong ).</v>
      </c>
      <c r="B35" s="628"/>
      <c r="C35" s="628"/>
      <c r="D35" s="628"/>
      <c r="E35" s="628"/>
      <c r="F35" s="628"/>
      <c r="G35" s="628"/>
      <c r="H35" s="628"/>
      <c r="I35" s="628"/>
      <c r="J35" s="628"/>
    </row>
    <row r="36" spans="1:16">
      <c r="A36" s="231"/>
      <c r="B36" s="628"/>
      <c r="C36" s="628"/>
      <c r="D36" s="628"/>
      <c r="E36" s="628"/>
      <c r="F36" s="628"/>
      <c r="G36" s="628"/>
      <c r="H36" s="628"/>
      <c r="I36" s="628"/>
      <c r="J36" s="628"/>
      <c r="M36" s="613" t="s">
        <v>404</v>
      </c>
      <c r="N36" s="649" t="s">
        <v>403</v>
      </c>
      <c r="P36" s="649" t="s">
        <v>68</v>
      </c>
    </row>
    <row r="37" spans="1:16">
      <c r="A37" s="650" t="s">
        <v>486</v>
      </c>
      <c r="B37" s="628"/>
      <c r="C37" s="628"/>
      <c r="D37" s="628"/>
      <c r="E37" s="628"/>
      <c r="F37" s="628"/>
      <c r="G37" s="628"/>
      <c r="H37" s="628"/>
      <c r="I37" s="628"/>
      <c r="J37" s="628"/>
      <c r="N37" s="649" t="s">
        <v>405</v>
      </c>
      <c r="P37" s="649"/>
    </row>
    <row r="38" spans="1:16">
      <c r="A38" s="231"/>
      <c r="B38" s="628"/>
      <c r="C38" s="628"/>
      <c r="D38" s="628"/>
      <c r="E38" s="628"/>
      <c r="F38" s="628"/>
      <c r="G38" s="628"/>
      <c r="H38" s="628"/>
      <c r="I38" s="628"/>
      <c r="J38" s="628"/>
      <c r="N38" s="649"/>
      <c r="P38" s="649"/>
    </row>
    <row r="39" spans="1:16">
      <c r="A39" s="613" t="s">
        <v>14</v>
      </c>
      <c r="B39" s="628"/>
      <c r="C39" s="651" t="s">
        <v>487</v>
      </c>
      <c r="D39" s="648" t="str">
        <f>'1.Service Contraction'!D34</f>
        <v>CHUGAI TECHNOS VIETNAM COMPANY LIMITED</v>
      </c>
      <c r="E39" s="628"/>
      <c r="F39" s="628"/>
      <c r="G39" s="628"/>
      <c r="H39" s="628"/>
      <c r="I39" s="628"/>
      <c r="J39" s="628"/>
      <c r="N39" s="652"/>
      <c r="P39" s="649"/>
    </row>
    <row r="40" spans="1:16">
      <c r="A40" s="613" t="s">
        <v>15</v>
      </c>
      <c r="B40" s="628"/>
      <c r="C40" s="651" t="s">
        <v>476</v>
      </c>
      <c r="D40" s="859">
        <f>'1.Service Contraction'!D35</f>
        <v>10065703</v>
      </c>
      <c r="E40" s="859"/>
      <c r="F40" s="628" t="str">
        <f>'1.Service Contraction'!E35</f>
        <v>JPY</v>
      </c>
      <c r="G40" s="628"/>
      <c r="H40" s="628"/>
      <c r="I40" s="628"/>
      <c r="J40" s="628"/>
    </row>
    <row r="41" spans="1:16">
      <c r="A41" s="613" t="s">
        <v>16</v>
      </c>
      <c r="C41" s="651" t="s">
        <v>487</v>
      </c>
      <c r="D41" s="613" t="str">
        <f>'1.Service Contraction'!D36</f>
        <v>Sumitomo Mitsui Banking Corporation － Ho Chi Minh Branch</v>
      </c>
    </row>
    <row r="44" spans="1:16">
      <c r="A44" s="653"/>
      <c r="B44" s="653"/>
      <c r="C44" s="653"/>
      <c r="D44" s="653"/>
      <c r="F44" s="653" t="s">
        <v>175</v>
      </c>
      <c r="G44" s="653"/>
      <c r="H44" s="653"/>
      <c r="I44" s="653"/>
      <c r="J44" s="629"/>
    </row>
    <row r="45" spans="1:16">
      <c r="A45" s="654"/>
      <c r="B45" s="654"/>
      <c r="C45" s="654"/>
      <c r="D45" s="654"/>
      <c r="F45" s="654" t="s">
        <v>176</v>
      </c>
      <c r="G45" s="654"/>
      <c r="H45" s="654"/>
      <c r="I45" s="654"/>
      <c r="J45" s="629"/>
    </row>
    <row r="46" spans="1:16">
      <c r="A46" s="655"/>
      <c r="B46" s="631"/>
      <c r="C46" s="631"/>
      <c r="D46" s="631"/>
      <c r="F46" s="655"/>
      <c r="G46" s="631"/>
      <c r="H46" s="631"/>
      <c r="I46" s="631"/>
      <c r="J46" s="631"/>
    </row>
    <row r="47" spans="1:16">
      <c r="A47" s="631"/>
      <c r="B47" s="631"/>
      <c r="C47" s="631"/>
      <c r="D47" s="631"/>
      <c r="F47" s="631"/>
      <c r="G47" s="631"/>
      <c r="H47" s="631"/>
      <c r="I47" s="631"/>
    </row>
    <row r="48" spans="1:16">
      <c r="F48" s="631"/>
      <c r="G48" s="631"/>
      <c r="H48" s="631"/>
      <c r="I48" s="631"/>
    </row>
    <row r="49" spans="1:10">
      <c r="A49" s="642"/>
      <c r="F49" s="740" t="str">
        <f>D39</f>
        <v>CHUGAI TECHNOS VIETNAM COMPANY LIMITED</v>
      </c>
      <c r="G49" s="740"/>
      <c r="H49" s="740"/>
      <c r="I49" s="740"/>
      <c r="J49" s="740"/>
    </row>
    <row r="50" spans="1:10">
      <c r="F50" s="631"/>
      <c r="G50" s="631"/>
      <c r="H50" s="631"/>
      <c r="I50" s="631"/>
    </row>
    <row r="51" spans="1:10">
      <c r="F51" s="631"/>
      <c r="G51" s="631"/>
      <c r="H51" s="631"/>
      <c r="I51" s="631"/>
    </row>
    <row r="52" spans="1:10">
      <c r="F52" s="631"/>
      <c r="G52" s="631"/>
      <c r="H52" s="631"/>
      <c r="I52" s="631"/>
    </row>
    <row r="53" spans="1:10">
      <c r="F53" s="631"/>
      <c r="G53" s="631"/>
      <c r="H53" s="631"/>
      <c r="I53" s="631"/>
    </row>
    <row r="57" spans="1:10">
      <c r="A57" s="631"/>
      <c r="B57" s="631"/>
      <c r="C57" s="631"/>
      <c r="D57" s="631"/>
      <c r="F57" s="656"/>
      <c r="G57" s="656"/>
      <c r="H57" s="656"/>
      <c r="I57" s="656"/>
      <c r="J57" s="656"/>
    </row>
    <row r="58" spans="1:10">
      <c r="A58" s="653"/>
      <c r="B58" s="653"/>
      <c r="C58" s="653"/>
      <c r="D58" s="653"/>
      <c r="F58" s="861" t="str">
        <f>'1.Service Contraction'!D27</f>
        <v>MR．MASAMI OUE</v>
      </c>
      <c r="G58" s="861"/>
      <c r="H58" s="861"/>
      <c r="I58" s="861"/>
      <c r="J58" s="861"/>
    </row>
  </sheetData>
  <mergeCells count="14">
    <mergeCell ref="D40:E40"/>
    <mergeCell ref="B13:C13"/>
    <mergeCell ref="H8:J8"/>
    <mergeCell ref="F8:G8"/>
    <mergeCell ref="F58:J58"/>
    <mergeCell ref="C29:D29"/>
    <mergeCell ref="C30:D30"/>
    <mergeCell ref="C33:D33"/>
    <mergeCell ref="F49:J49"/>
    <mergeCell ref="D2:J2"/>
    <mergeCell ref="E3:J4"/>
    <mergeCell ref="E6:J6"/>
    <mergeCell ref="A9:J11"/>
    <mergeCell ref="A23:J25"/>
  </mergeCells>
  <phoneticPr fontId="4"/>
  <printOptions horizontalCentered="1"/>
  <pageMargins left="0.59055118110236227" right="0.23622047244094491" top="0.35433070866141736" bottom="3.937007874015748E-2" header="0.11811023622047245" footer="0.1181102362204724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autoPageBreaks="0" fitToPage="1"/>
  </sheetPr>
  <dimension ref="A1:I49"/>
  <sheetViews>
    <sheetView showGridLines="0" zoomScaleNormal="100" workbookViewId="0">
      <selection activeCell="F32" sqref="F32:I32"/>
    </sheetView>
  </sheetViews>
  <sheetFormatPr defaultColWidth="9" defaultRowHeight="15.75"/>
  <cols>
    <col min="1" max="1" width="1.42578125" style="535" customWidth="1"/>
    <col min="2" max="2" width="10.140625" style="535" customWidth="1"/>
    <col min="3" max="4" width="11.28515625" style="535" customWidth="1"/>
    <col min="5" max="5" width="8.85546875" style="535" customWidth="1"/>
    <col min="6" max="6" width="11.28515625" style="535" customWidth="1"/>
    <col min="7" max="7" width="8.85546875" style="535" customWidth="1"/>
    <col min="8" max="9" width="13.5703125" style="535" customWidth="1"/>
    <col min="10" max="10" width="4.140625" style="535" customWidth="1"/>
    <col min="11" max="16384" width="9" style="535"/>
  </cols>
  <sheetData>
    <row r="1" spans="1:9" ht="2.1" customHeight="1"/>
    <row r="2" spans="1:9" ht="6" customHeight="1"/>
    <row r="3" spans="1:9" ht="29.25" customHeight="1">
      <c r="B3" s="886" t="s">
        <v>448</v>
      </c>
      <c r="C3" s="886"/>
      <c r="D3" s="886"/>
      <c r="E3" s="886"/>
      <c r="F3" s="886"/>
      <c r="G3" s="886"/>
      <c r="H3" s="536"/>
      <c r="I3" s="536" t="s">
        <v>447</v>
      </c>
    </row>
    <row r="4" spans="1:9" ht="12" customHeight="1">
      <c r="B4" s="537"/>
      <c r="C4" s="537"/>
      <c r="D4" s="537"/>
      <c r="E4" s="537"/>
      <c r="F4" s="537"/>
      <c r="G4" s="537"/>
      <c r="H4" s="537"/>
      <c r="I4" s="537"/>
    </row>
    <row r="5" spans="1:9" ht="21.75" customHeight="1">
      <c r="A5" s="538"/>
      <c r="B5" s="887" t="s">
        <v>414</v>
      </c>
      <c r="C5" s="887"/>
      <c r="D5" s="887"/>
      <c r="E5" s="887"/>
      <c r="F5" s="887"/>
      <c r="G5" s="537"/>
      <c r="H5" s="537"/>
      <c r="I5" s="537"/>
    </row>
    <row r="6" spans="1:9" ht="20.25" customHeight="1">
      <c r="A6" s="538"/>
      <c r="B6" s="887"/>
      <c r="C6" s="887"/>
      <c r="D6" s="887"/>
      <c r="E6" s="887"/>
      <c r="F6" s="887"/>
      <c r="G6" s="539"/>
      <c r="H6" s="539"/>
      <c r="I6" s="539"/>
    </row>
    <row r="7" spans="1:9" ht="14.1" customHeight="1">
      <c r="F7" s="539"/>
      <c r="G7" s="539"/>
      <c r="H7" s="539"/>
      <c r="I7" s="539"/>
    </row>
    <row r="8" spans="1:9" ht="14.1" customHeight="1">
      <c r="A8" s="540"/>
      <c r="B8" s="888" t="s">
        <v>416</v>
      </c>
      <c r="C8" s="888"/>
      <c r="D8" s="888"/>
      <c r="E8" s="888"/>
      <c r="F8" s="539"/>
      <c r="G8" s="539"/>
      <c r="H8" s="539"/>
      <c r="I8" s="539"/>
    </row>
    <row r="9" spans="1:9" ht="14.1" customHeight="1">
      <c r="B9" s="539"/>
      <c r="C9" s="539"/>
      <c r="D9" s="539"/>
      <c r="E9" s="539"/>
      <c r="F9" s="539"/>
      <c r="G9" s="539"/>
      <c r="H9" s="539"/>
      <c r="I9" s="539"/>
    </row>
    <row r="10" spans="1:9" ht="14.1" customHeight="1">
      <c r="B10" s="539"/>
      <c r="C10" s="539"/>
      <c r="D10" s="539"/>
      <c r="E10" s="539"/>
      <c r="F10" s="539"/>
      <c r="G10" s="541"/>
      <c r="H10" s="539"/>
      <c r="I10" s="539"/>
    </row>
    <row r="11" spans="1:9" ht="14.1" customHeight="1">
      <c r="B11" s="542" t="s">
        <v>407</v>
      </c>
      <c r="C11" s="543"/>
      <c r="D11" s="543"/>
      <c r="E11" s="543"/>
      <c r="F11" s="539"/>
      <c r="G11" s="539"/>
      <c r="H11" s="539"/>
      <c r="I11" s="539"/>
    </row>
    <row r="12" spans="1:9" ht="14.1" customHeight="1">
      <c r="B12" s="868" t="s">
        <v>310</v>
      </c>
      <c r="C12" s="868"/>
      <c r="D12" s="868"/>
      <c r="E12" s="868"/>
      <c r="F12" s="867" t="s">
        <v>408</v>
      </c>
      <c r="G12" s="867"/>
      <c r="H12" s="864" t="str">
        <f>'1.Service Contraction'!E7</f>
        <v>CCTVN - DEN-201704-01</v>
      </c>
      <c r="I12" s="864"/>
    </row>
    <row r="13" spans="1:9" ht="14.1" customHeight="1">
      <c r="B13" s="868" t="s">
        <v>309</v>
      </c>
      <c r="C13" s="868"/>
      <c r="D13" s="868"/>
      <c r="E13" s="868"/>
      <c r="F13" s="867" t="s">
        <v>409</v>
      </c>
      <c r="G13" s="867"/>
      <c r="H13" s="865">
        <f>'4.Handing Over'!N13</f>
        <v>42840</v>
      </c>
      <c r="I13" s="865"/>
    </row>
    <row r="14" spans="1:9" ht="14.1" customHeight="1">
      <c r="B14" s="868" t="s">
        <v>417</v>
      </c>
      <c r="C14" s="868"/>
      <c r="D14" s="868"/>
      <c r="E14" s="868"/>
      <c r="F14" s="867" t="s">
        <v>410</v>
      </c>
      <c r="G14" s="867"/>
      <c r="H14" s="864" t="str">
        <f>H12</f>
        <v>CCTVN - DEN-201704-01</v>
      </c>
      <c r="I14" s="864"/>
    </row>
    <row r="15" spans="1:9" ht="14.1" customHeight="1">
      <c r="B15" s="544"/>
      <c r="C15" s="543"/>
      <c r="D15" s="543"/>
      <c r="E15" s="543"/>
      <c r="F15" s="867" t="s">
        <v>411</v>
      </c>
      <c r="G15" s="867"/>
      <c r="H15" s="866" t="str">
        <f>'1.Service Contraction'!P15</f>
        <v>18-Apr-17</v>
      </c>
      <c r="I15" s="866"/>
    </row>
    <row r="16" spans="1:9" ht="14.1" customHeight="1">
      <c r="B16" s="539"/>
      <c r="C16" s="539"/>
      <c r="D16" s="539"/>
      <c r="E16" s="539"/>
      <c r="F16" s="543"/>
      <c r="G16" s="545"/>
      <c r="H16" s="546"/>
    </row>
    <row r="17" spans="2:9" ht="14.1" customHeight="1">
      <c r="B17" s="542"/>
      <c r="C17" s="543"/>
      <c r="D17" s="543"/>
      <c r="E17" s="543"/>
      <c r="F17" s="543"/>
      <c r="G17" s="545"/>
      <c r="H17" s="546"/>
    </row>
    <row r="18" spans="2:9" ht="14.1" customHeight="1">
      <c r="B18" s="546"/>
      <c r="C18" s="543"/>
      <c r="D18" s="543"/>
      <c r="E18" s="543"/>
      <c r="F18" s="541"/>
      <c r="G18" s="547"/>
      <c r="H18" s="546"/>
    </row>
    <row r="19" spans="2:9" ht="14.1" customHeight="1">
      <c r="B19" s="548" t="str">
        <f>'1.Service Contraction'!B60</f>
        <v>This Price is 10% VAT applicable.</v>
      </c>
      <c r="C19" s="549"/>
      <c r="D19" s="550"/>
      <c r="E19" s="543"/>
      <c r="F19" s="539"/>
      <c r="G19" s="539"/>
      <c r="H19" s="539"/>
      <c r="I19" s="539"/>
    </row>
    <row r="20" spans="2:9" ht="14.1" customHeight="1">
      <c r="B20" s="539"/>
      <c r="C20" s="539"/>
      <c r="D20" s="539"/>
      <c r="E20" s="539"/>
      <c r="F20" s="539"/>
      <c r="G20" s="539"/>
      <c r="H20" s="539"/>
      <c r="I20" s="539"/>
    </row>
    <row r="21" spans="2:9" ht="18" customHeight="1">
      <c r="B21" s="876" t="s">
        <v>451</v>
      </c>
      <c r="C21" s="876"/>
      <c r="D21" s="876"/>
      <c r="E21" s="876"/>
      <c r="F21" s="876"/>
      <c r="G21" s="877"/>
      <c r="H21" s="551" t="s">
        <v>308</v>
      </c>
      <c r="I21" s="551" t="s">
        <v>307</v>
      </c>
    </row>
    <row r="22" spans="2:9" ht="18" customHeight="1">
      <c r="B22" s="878"/>
      <c r="C22" s="878"/>
      <c r="D22" s="878"/>
      <c r="E22" s="878"/>
      <c r="F22" s="878"/>
      <c r="G22" s="879"/>
      <c r="H22" s="551" t="s">
        <v>473</v>
      </c>
      <c r="I22" s="551" t="s">
        <v>488</v>
      </c>
    </row>
    <row r="23" spans="2:9" ht="20.100000000000001" customHeight="1">
      <c r="B23" s="570" t="s">
        <v>449</v>
      </c>
      <c r="C23" s="874" t="str">
        <f>'1.Service Contraction'!R49</f>
        <v>PT Inspection for container welding lines</v>
      </c>
      <c r="D23" s="874"/>
      <c r="E23" s="874"/>
      <c r="F23" s="874"/>
      <c r="G23" s="875"/>
      <c r="H23" s="572"/>
      <c r="I23" s="573"/>
    </row>
    <row r="24" spans="2:9" ht="20.100000000000001" customHeight="1">
      <c r="B24" s="571"/>
      <c r="C24" s="565" t="str">
        <f>'2.Quotation Service Order'!C26</f>
        <v>Chi phí nhân công</v>
      </c>
      <c r="D24" s="565"/>
      <c r="E24" s="565"/>
      <c r="F24" s="565"/>
      <c r="G24" s="566"/>
      <c r="H24" s="657">
        <f>'2.Quotation Service Order'!G26</f>
        <v>86000000</v>
      </c>
      <c r="I24" s="658">
        <v>1</v>
      </c>
    </row>
    <row r="25" spans="2:9" ht="20.100000000000001" customHeight="1">
      <c r="B25" s="571"/>
      <c r="C25" s="565" t="str">
        <f>'2.Quotation Service Order'!C27</f>
        <v>Chi phí</v>
      </c>
      <c r="D25" s="565"/>
      <c r="E25" s="565"/>
      <c r="F25" s="565"/>
      <c r="G25" s="566"/>
      <c r="H25" s="657">
        <f>'2.Quotation Service Order'!G27</f>
        <v>17600000</v>
      </c>
      <c r="I25" s="658">
        <v>1</v>
      </c>
    </row>
    <row r="26" spans="2:9" ht="20.100000000000001" customHeight="1">
      <c r="B26" s="571"/>
      <c r="C26" s="565" t="e">
        <f>'2.Quotation Service Order'!#REF!</f>
        <v>#REF!</v>
      </c>
      <c r="D26" s="565"/>
      <c r="E26" s="565"/>
      <c r="F26" s="565"/>
      <c r="G26" s="566"/>
      <c r="H26" s="657" t="e">
        <f>'2.Quotation Service Order'!#REF!</f>
        <v>#REF!</v>
      </c>
      <c r="I26" s="658">
        <v>1</v>
      </c>
    </row>
    <row r="27" spans="2:9" ht="20.100000000000001" customHeight="1">
      <c r="B27" s="571"/>
      <c r="C27" s="567"/>
      <c r="D27" s="568"/>
      <c r="E27" s="568"/>
      <c r="F27" s="568"/>
      <c r="G27" s="569"/>
      <c r="H27" s="572"/>
      <c r="I27" s="574"/>
    </row>
    <row r="28" spans="2:9" ht="20.100000000000001" customHeight="1">
      <c r="B28" s="571"/>
      <c r="C28" s="567"/>
      <c r="D28" s="568"/>
      <c r="E28" s="568"/>
      <c r="F28" s="568"/>
      <c r="G28" s="569"/>
      <c r="H28" s="572"/>
      <c r="I28" s="660" t="str">
        <f t="shared" ref="I28" si="0">IF(H28,H28*B28,"")</f>
        <v/>
      </c>
    </row>
    <row r="29" spans="2:9" ht="20.100000000000001" customHeight="1">
      <c r="B29" s="661"/>
      <c r="C29" s="662"/>
      <c r="D29" s="662"/>
      <c r="E29" s="662"/>
      <c r="F29" s="880" t="s">
        <v>450</v>
      </c>
      <c r="G29" s="881"/>
      <c r="H29" s="659" t="s">
        <v>489</v>
      </c>
      <c r="I29" s="663">
        <f>'2.Quotation Service Order'!G28</f>
        <v>103600000</v>
      </c>
    </row>
    <row r="30" spans="2:9" ht="20.100000000000001" customHeight="1" thickBot="1">
      <c r="B30" s="664"/>
      <c r="C30" s="558"/>
      <c r="D30" s="558"/>
      <c r="E30" s="558"/>
      <c r="F30" s="882" t="s">
        <v>406</v>
      </c>
      <c r="G30" s="883"/>
      <c r="H30" s="665" t="s">
        <v>66</v>
      </c>
      <c r="I30" s="666" t="str">
        <f>'2.Quotation Service Order'!G29</f>
        <v xml:space="preserve"> </v>
      </c>
    </row>
    <row r="31" spans="2:9" ht="20.100000000000001" customHeight="1" thickBot="1">
      <c r="B31" s="539"/>
      <c r="C31" s="539"/>
      <c r="D31" s="539"/>
      <c r="E31" s="539"/>
      <c r="F31" s="884" t="s">
        <v>490</v>
      </c>
      <c r="G31" s="885"/>
      <c r="H31" s="668" t="s">
        <v>66</v>
      </c>
      <c r="I31" s="667" t="e">
        <f>I29+I30</f>
        <v>#VALUE!</v>
      </c>
    </row>
    <row r="32" spans="2:9" ht="20.100000000000001" customHeight="1" thickBot="1">
      <c r="B32" s="539"/>
      <c r="C32" s="552"/>
      <c r="D32" s="552"/>
      <c r="E32" s="552"/>
      <c r="F32" s="871" t="str">
        <f>'1.Service Contraction'!B57</f>
        <v xml:space="preserve"> ( By words:Fifty Seven Million Six Hundred Thousand Eigty Four Vietnamese Dong ).</v>
      </c>
      <c r="G32" s="872"/>
      <c r="H32" s="872"/>
      <c r="I32" s="873"/>
    </row>
    <row r="33" spans="2:9" ht="20.100000000000001" customHeight="1">
      <c r="B33" s="553"/>
      <c r="C33" s="539"/>
      <c r="D33" s="539"/>
      <c r="E33" s="539"/>
      <c r="F33" s="553"/>
      <c r="G33" s="539"/>
      <c r="H33" s="539"/>
      <c r="I33" s="539"/>
    </row>
    <row r="34" spans="2:9" ht="20.100000000000001" customHeight="1">
      <c r="B34" s="541"/>
      <c r="C34" s="554"/>
      <c r="D34" s="554"/>
      <c r="E34" s="539"/>
      <c r="F34" s="553"/>
      <c r="G34" s="539"/>
      <c r="H34" s="539"/>
      <c r="I34" s="539"/>
    </row>
    <row r="35" spans="2:9" ht="20.100000000000001" customHeight="1">
      <c r="B35" s="555"/>
      <c r="C35" s="539"/>
      <c r="D35" s="539"/>
      <c r="E35" s="539"/>
      <c r="F35" s="869" t="s">
        <v>415</v>
      </c>
      <c r="G35" s="869"/>
      <c r="H35" s="869"/>
      <c r="I35" s="869"/>
    </row>
    <row r="36" spans="2:9" ht="20.100000000000001" customHeight="1">
      <c r="B36" s="555"/>
      <c r="C36" s="539"/>
      <c r="D36" s="539"/>
      <c r="E36" s="539"/>
      <c r="F36" s="555"/>
      <c r="G36" s="539"/>
      <c r="H36" s="539"/>
      <c r="I36" s="556"/>
    </row>
    <row r="37" spans="2:9" ht="20.100000000000001" customHeight="1">
      <c r="B37" s="555"/>
      <c r="C37" s="539"/>
      <c r="D37" s="539"/>
      <c r="E37" s="539"/>
      <c r="F37" s="555"/>
      <c r="G37" s="539"/>
      <c r="H37" s="539"/>
      <c r="I37" s="556"/>
    </row>
    <row r="38" spans="2:9" ht="20.100000000000001" customHeight="1">
      <c r="B38" s="555"/>
      <c r="C38" s="539"/>
      <c r="D38" s="539"/>
      <c r="E38" s="539"/>
      <c r="F38" s="555"/>
      <c r="G38" s="539"/>
      <c r="H38" s="539"/>
      <c r="I38" s="556"/>
    </row>
    <row r="39" spans="2:9" ht="20.100000000000001" customHeight="1">
      <c r="B39" s="555"/>
      <c r="C39" s="539"/>
      <c r="D39" s="539"/>
      <c r="E39" s="539"/>
      <c r="F39" s="557"/>
      <c r="G39" s="558"/>
      <c r="H39" s="558"/>
      <c r="I39" s="559"/>
    </row>
    <row r="40" spans="2:9" ht="20.100000000000001" customHeight="1">
      <c r="B40" s="539"/>
      <c r="C40" s="539"/>
      <c r="D40" s="539"/>
      <c r="E40" s="539" t="s">
        <v>413</v>
      </c>
      <c r="F40" s="870" t="s">
        <v>452</v>
      </c>
      <c r="G40" s="870"/>
      <c r="H40" s="870"/>
      <c r="I40" s="870"/>
    </row>
    <row r="41" spans="2:9" ht="20.100000000000001" customHeight="1">
      <c r="B41" s="561"/>
      <c r="C41" s="556"/>
      <c r="D41" s="556"/>
      <c r="E41" s="556"/>
      <c r="F41" s="556"/>
      <c r="G41" s="556"/>
      <c r="H41" s="556"/>
      <c r="I41" s="560"/>
    </row>
    <row r="42" spans="2:9" ht="20.100000000000001" customHeight="1">
      <c r="B42" s="560"/>
      <c r="C42" s="560"/>
      <c r="D42" s="560"/>
      <c r="E42" s="562"/>
      <c r="F42" s="560"/>
      <c r="G42" s="560"/>
      <c r="H42" s="560"/>
      <c r="I42" s="563"/>
    </row>
    <row r="43" spans="2:9" ht="14.1" customHeight="1"/>
    <row r="44" spans="2:9" ht="12" customHeight="1">
      <c r="B44" s="564"/>
      <c r="C44" s="564"/>
      <c r="D44" s="564"/>
      <c r="E44" s="564"/>
      <c r="F44" s="564"/>
      <c r="G44" s="564"/>
      <c r="H44" s="564"/>
    </row>
    <row r="45" spans="2:9" ht="12" customHeight="1"/>
    <row r="46" spans="2:9" ht="12" customHeight="1"/>
    <row r="47" spans="2:9" ht="12" customHeight="1"/>
    <row r="48" spans="2:9" ht="12" customHeight="1"/>
    <row r="49" ht="30" customHeight="1"/>
  </sheetData>
  <mergeCells count="22">
    <mergeCell ref="B3:G3"/>
    <mergeCell ref="B5:F6"/>
    <mergeCell ref="B8:E8"/>
    <mergeCell ref="B12:E12"/>
    <mergeCell ref="B13:E13"/>
    <mergeCell ref="B14:E14"/>
    <mergeCell ref="F35:I35"/>
    <mergeCell ref="F40:I40"/>
    <mergeCell ref="F32:I32"/>
    <mergeCell ref="C23:G23"/>
    <mergeCell ref="B21:G22"/>
    <mergeCell ref="F29:G29"/>
    <mergeCell ref="F30:G30"/>
    <mergeCell ref="F31:G31"/>
    <mergeCell ref="H12:I12"/>
    <mergeCell ref="H13:I13"/>
    <mergeCell ref="H14:I14"/>
    <mergeCell ref="H15:I15"/>
    <mergeCell ref="F12:G12"/>
    <mergeCell ref="F13:G13"/>
    <mergeCell ref="F14:G14"/>
    <mergeCell ref="F15:G15"/>
  </mergeCells>
  <phoneticPr fontId="4"/>
  <printOptions horizontalCentered="1"/>
  <pageMargins left="0.23622047244094491" right="0.23622047244094491" top="0.74803149606299213" bottom="0.74803149606299213" header="0.23622047244094491" footer="0.51181102362204722"/>
  <pageSetup orientation="portrait" r:id="rId1"/>
  <headerFooter alignWithMargins="0">
    <oddFooter>&amp;C© Copyright, 2015,Chugai Technos Viet Nam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V41"/>
  <sheetViews>
    <sheetView topLeftCell="A4" zoomScaleNormal="100" workbookViewId="0">
      <selection activeCell="P13" sqref="P13"/>
    </sheetView>
  </sheetViews>
  <sheetFormatPr defaultColWidth="9" defaultRowHeight="13.5"/>
  <cols>
    <col min="1" max="1" width="3.5703125" style="348" customWidth="1"/>
    <col min="2" max="2" width="15.42578125" style="348" customWidth="1"/>
    <col min="3" max="3" width="6.42578125" style="349" customWidth="1"/>
    <col min="4" max="4" width="15.5703125" style="350" customWidth="1"/>
    <col min="5" max="7" width="6.85546875" style="348" customWidth="1"/>
    <col min="8" max="9" width="5.5703125" style="348" customWidth="1"/>
    <col min="10" max="11" width="11.28515625" style="348" customWidth="1"/>
    <col min="12" max="12" width="6.85546875" style="348" customWidth="1"/>
    <col min="13" max="13" width="10" style="348" customWidth="1"/>
    <col min="14" max="14" width="7" style="348" customWidth="1"/>
    <col min="15" max="16" width="6.7109375" style="348" customWidth="1"/>
    <col min="17" max="20" width="6.5703125" style="348" customWidth="1"/>
    <col min="21" max="16384" width="9" style="348"/>
  </cols>
  <sheetData>
    <row r="1" spans="2:22" ht="15.75">
      <c r="J1" s="351"/>
    </row>
    <row r="2" spans="2:22" ht="21.75" customHeight="1">
      <c r="B2" s="352" t="s">
        <v>124</v>
      </c>
      <c r="C2" s="889" t="str">
        <f>'1.Service Contraction'!D17</f>
        <v>DENKA ADVANCED MATERIALS VIETNAM CO.,LTD.</v>
      </c>
      <c r="D2" s="889"/>
      <c r="E2" s="889"/>
      <c r="F2" s="889"/>
      <c r="G2" s="889"/>
      <c r="H2" s="353"/>
      <c r="I2" s="349"/>
      <c r="N2" s="890" t="str">
        <f>'1.Service Contraction'!D34</f>
        <v>CHUGAI TECHNOS VIETNAM COMPANY LIMITED</v>
      </c>
      <c r="O2" s="890"/>
      <c r="P2" s="890"/>
      <c r="Q2" s="890"/>
      <c r="R2" s="890"/>
      <c r="S2" s="890"/>
      <c r="T2" s="890"/>
    </row>
    <row r="3" spans="2:22" ht="18.75" customHeight="1">
      <c r="B3" s="354" t="s">
        <v>337</v>
      </c>
      <c r="C3" s="901" t="str">
        <f>'1.Service Contraction'!E46</f>
        <v>Vietnam</v>
      </c>
      <c r="D3" s="901"/>
      <c r="E3" s="902" t="str">
        <f>'1.Service Contraction'!E45</f>
        <v>DENKA ADVANCED MATERIALS VIETNAM CO.,LTD</v>
      </c>
      <c r="F3" s="902"/>
      <c r="G3" s="902"/>
    </row>
    <row r="4" spans="2:22" ht="16.5" customHeight="1">
      <c r="B4" s="520"/>
      <c r="C4" s="522"/>
      <c r="P4" s="355"/>
      <c r="Q4" s="356" t="s">
        <v>338</v>
      </c>
      <c r="R4" s="893">
        <v>42616</v>
      </c>
      <c r="S4" s="893"/>
      <c r="T4" s="893"/>
    </row>
    <row r="5" spans="2:22" ht="8.25" customHeight="1" thickBot="1"/>
    <row r="6" spans="2:22" ht="15" customHeight="1">
      <c r="B6" s="906" t="s">
        <v>49</v>
      </c>
      <c r="C6" s="916" t="s">
        <v>118</v>
      </c>
      <c r="D6" s="909" t="s">
        <v>48</v>
      </c>
      <c r="E6" s="919" t="s">
        <v>206</v>
      </c>
      <c r="F6" s="920"/>
      <c r="G6" s="920"/>
      <c r="H6" s="921"/>
      <c r="I6" s="912" t="s">
        <v>47</v>
      </c>
      <c r="J6" s="919" t="s">
        <v>120</v>
      </c>
      <c r="K6" s="920"/>
      <c r="L6" s="920"/>
      <c r="M6" s="920"/>
      <c r="N6" s="920"/>
      <c r="O6" s="897" t="s">
        <v>328</v>
      </c>
      <c r="P6" s="898"/>
      <c r="Q6" s="894" t="s">
        <v>46</v>
      </c>
      <c r="R6" s="895"/>
      <c r="S6" s="895"/>
      <c r="T6" s="896"/>
    </row>
    <row r="7" spans="2:22" ht="15" customHeight="1">
      <c r="B7" s="907"/>
      <c r="C7" s="917"/>
      <c r="D7" s="910"/>
      <c r="E7" s="899" t="s">
        <v>45</v>
      </c>
      <c r="F7" s="899" t="s">
        <v>44</v>
      </c>
      <c r="G7" s="899" t="s">
        <v>119</v>
      </c>
      <c r="H7" s="899" t="s">
        <v>117</v>
      </c>
      <c r="I7" s="913"/>
      <c r="J7" s="922" t="s">
        <v>121</v>
      </c>
      <c r="K7" s="924" t="s">
        <v>122</v>
      </c>
      <c r="L7" s="915" t="s">
        <v>43</v>
      </c>
      <c r="M7" s="926" t="s">
        <v>199</v>
      </c>
      <c r="N7" s="891" t="s">
        <v>123</v>
      </c>
      <c r="O7" s="357" t="s">
        <v>319</v>
      </c>
      <c r="P7" s="358" t="s">
        <v>40</v>
      </c>
      <c r="Q7" s="903" t="s">
        <v>42</v>
      </c>
      <c r="R7" s="904"/>
      <c r="S7" s="904"/>
      <c r="T7" s="905"/>
      <c r="V7" s="349"/>
    </row>
    <row r="8" spans="2:22" ht="15" customHeight="1">
      <c r="B8" s="908"/>
      <c r="C8" s="918"/>
      <c r="D8" s="911"/>
      <c r="E8" s="900"/>
      <c r="F8" s="900"/>
      <c r="G8" s="900"/>
      <c r="H8" s="900"/>
      <c r="I8" s="914"/>
      <c r="J8" s="923"/>
      <c r="K8" s="925"/>
      <c r="L8" s="915"/>
      <c r="M8" s="927"/>
      <c r="N8" s="892"/>
      <c r="O8" s="359">
        <v>18</v>
      </c>
      <c r="P8" s="360"/>
      <c r="Q8" s="358" t="s">
        <v>41</v>
      </c>
      <c r="R8" s="358" t="s">
        <v>418</v>
      </c>
      <c r="S8" s="358" t="s">
        <v>41</v>
      </c>
      <c r="T8" s="361" t="s">
        <v>40</v>
      </c>
      <c r="V8" s="349"/>
    </row>
    <row r="9" spans="2:22" ht="15" customHeight="1">
      <c r="B9" s="362">
        <v>42776</v>
      </c>
      <c r="C9" s="363" t="str">
        <f t="shared" ref="C9:C12" si="0">IF(COUNT(B9)=0,"",TEXT(B9,"ddd"))</f>
        <v>Fri</v>
      </c>
      <c r="D9" s="366" t="s">
        <v>430</v>
      </c>
      <c r="E9" s="367">
        <v>0.33333333333333331</v>
      </c>
      <c r="F9" s="367">
        <v>0.70833333333333337</v>
      </c>
      <c r="G9" s="367">
        <v>4.1666666666666664E-2</v>
      </c>
      <c r="H9" s="368">
        <f t="shared" ref="H9:H12" si="1">IF(COUNT(E9:F9)=0,"",(DAY(F9-E9-G9))*24+HOUR(F9-E9-G9)+(MINUTE(F9-E9-G9)/60))</f>
        <v>8</v>
      </c>
      <c r="I9" s="369">
        <v>1</v>
      </c>
      <c r="J9" s="528" t="s">
        <v>436</v>
      </c>
      <c r="K9" s="528" t="s">
        <v>436</v>
      </c>
      <c r="L9" s="371" t="s">
        <v>437</v>
      </c>
      <c r="M9" s="364"/>
      <c r="N9" s="372"/>
      <c r="O9" s="373"/>
      <c r="P9" s="374"/>
      <c r="Q9" s="369"/>
      <c r="R9" s="375"/>
      <c r="S9" s="369"/>
      <c r="T9" s="376"/>
      <c r="V9" s="349"/>
    </row>
    <row r="10" spans="2:22" ht="15" customHeight="1">
      <c r="B10" s="397">
        <v>42777</v>
      </c>
      <c r="C10" s="363" t="str">
        <f t="shared" si="0"/>
        <v>Sat</v>
      </c>
      <c r="D10" s="366" t="s">
        <v>431</v>
      </c>
      <c r="E10" s="367">
        <v>0.33333333333333331</v>
      </c>
      <c r="F10" s="367">
        <v>0.70833333333333337</v>
      </c>
      <c r="G10" s="367">
        <v>4.1666666666666664E-2</v>
      </c>
      <c r="H10" s="530">
        <f t="shared" si="1"/>
        <v>8</v>
      </c>
      <c r="I10" s="369">
        <v>1</v>
      </c>
      <c r="J10" s="370"/>
      <c r="K10" s="370"/>
      <c r="L10" s="371"/>
      <c r="M10" s="364"/>
      <c r="N10" s="372"/>
      <c r="O10" s="373"/>
      <c r="P10" s="374"/>
      <c r="Q10" s="369"/>
      <c r="R10" s="375"/>
      <c r="S10" s="369"/>
      <c r="T10" s="384"/>
    </row>
    <row r="11" spans="2:22" ht="15" customHeight="1">
      <c r="B11" s="397">
        <v>42778</v>
      </c>
      <c r="C11" s="363" t="str">
        <f t="shared" si="0"/>
        <v>Sun</v>
      </c>
      <c r="D11" s="366"/>
      <c r="E11" s="367"/>
      <c r="F11" s="367"/>
      <c r="G11" s="367"/>
      <c r="H11" s="368" t="str">
        <f t="shared" si="1"/>
        <v/>
      </c>
      <c r="I11" s="369"/>
      <c r="J11" s="370"/>
      <c r="K11" s="370"/>
      <c r="L11" s="371"/>
      <c r="M11" s="364"/>
      <c r="N11" s="372"/>
      <c r="O11" s="373"/>
      <c r="P11" s="374"/>
      <c r="Q11" s="369"/>
      <c r="R11" s="375"/>
      <c r="S11" s="369"/>
      <c r="T11" s="385"/>
    </row>
    <row r="12" spans="2:22" ht="15" customHeight="1">
      <c r="B12" s="397">
        <v>42779</v>
      </c>
      <c r="C12" s="521" t="str">
        <f t="shared" si="0"/>
        <v>Mon</v>
      </c>
      <c r="D12" s="396" t="s">
        <v>432</v>
      </c>
      <c r="E12" s="387">
        <v>0.25</v>
      </c>
      <c r="F12" s="387">
        <v>0.625</v>
      </c>
      <c r="G12" s="387">
        <v>4.1666666666666664E-2</v>
      </c>
      <c r="H12" s="529">
        <f t="shared" si="1"/>
        <v>8</v>
      </c>
      <c r="I12" s="388">
        <v>1</v>
      </c>
      <c r="J12" s="389" t="s">
        <v>436</v>
      </c>
      <c r="K12" s="389" t="s">
        <v>438</v>
      </c>
      <c r="L12" s="371" t="s">
        <v>419</v>
      </c>
      <c r="M12" s="364"/>
      <c r="N12" s="391"/>
      <c r="O12" s="392"/>
      <c r="P12" s="393">
        <v>2</v>
      </c>
      <c r="Q12" s="388"/>
      <c r="R12" s="394"/>
      <c r="S12" s="388"/>
      <c r="T12" s="395"/>
    </row>
    <row r="13" spans="2:22" ht="15" customHeight="1">
      <c r="B13" s="365"/>
      <c r="C13" s="363" t="str">
        <f t="shared" ref="C13:C32" si="2">IF(COUNT(B13)=0,"",TEXT(B13,"ddd"))</f>
        <v/>
      </c>
      <c r="D13" s="366" t="s">
        <v>433</v>
      </c>
      <c r="E13" s="367">
        <v>0.625</v>
      </c>
      <c r="F13" s="367">
        <v>0.70833333333333337</v>
      </c>
      <c r="G13" s="367"/>
      <c r="H13" s="531">
        <f>IF(COUNT(E13:F13)=0,"",(DAY(F13-E13-G13))*24+HOUR(F13-E13-G13)+(MINUTE(F13-E13-G13)/60))</f>
        <v>2</v>
      </c>
      <c r="I13" s="369">
        <v>1</v>
      </c>
      <c r="J13" s="370" t="s">
        <v>438</v>
      </c>
      <c r="K13" s="370" t="s">
        <v>438</v>
      </c>
      <c r="L13" s="371"/>
      <c r="M13" s="364"/>
      <c r="N13" s="372"/>
      <c r="O13" s="373">
        <v>1</v>
      </c>
      <c r="P13" s="374"/>
      <c r="Q13" s="512"/>
      <c r="R13" s="375"/>
      <c r="S13" s="369"/>
      <c r="T13" s="384"/>
    </row>
    <row r="14" spans="2:22" s="383" customFormat="1" ht="15" customHeight="1">
      <c r="B14" s="365"/>
      <c r="C14" s="363" t="str">
        <f t="shared" si="2"/>
        <v/>
      </c>
      <c r="D14" s="366" t="s">
        <v>434</v>
      </c>
      <c r="E14" s="367">
        <v>0.70833333333333337</v>
      </c>
      <c r="F14" s="367">
        <v>0.77083333333333337</v>
      </c>
      <c r="G14" s="367"/>
      <c r="H14" s="368"/>
      <c r="I14" s="369">
        <v>1</v>
      </c>
      <c r="J14" s="370" t="s">
        <v>438</v>
      </c>
      <c r="K14" s="370" t="s">
        <v>438</v>
      </c>
      <c r="L14" s="371"/>
      <c r="M14" s="364"/>
      <c r="N14" s="372"/>
      <c r="O14" s="373"/>
      <c r="P14" s="516"/>
      <c r="Q14" s="512"/>
      <c r="R14" s="375"/>
      <c r="S14" s="369"/>
      <c r="T14" s="376"/>
    </row>
    <row r="15" spans="2:22" s="383" customFormat="1" ht="15" customHeight="1">
      <c r="B15" s="365">
        <v>42780</v>
      </c>
      <c r="C15" s="363" t="str">
        <f t="shared" si="2"/>
        <v>Tue</v>
      </c>
      <c r="D15" s="366" t="s">
        <v>434</v>
      </c>
      <c r="E15" s="367">
        <v>0.27083333333333331</v>
      </c>
      <c r="F15" s="367">
        <v>0.33333333333333331</v>
      </c>
      <c r="G15" s="367"/>
      <c r="H15" s="368"/>
      <c r="I15" s="369">
        <v>1</v>
      </c>
      <c r="J15" s="370" t="s">
        <v>438</v>
      </c>
      <c r="K15" s="528" t="s">
        <v>436</v>
      </c>
      <c r="L15" s="371" t="s">
        <v>419</v>
      </c>
      <c r="M15" s="364"/>
      <c r="N15" s="372"/>
      <c r="O15" s="373"/>
      <c r="P15" s="516"/>
      <c r="Q15" s="375"/>
      <c r="R15" s="375"/>
      <c r="S15" s="369"/>
      <c r="T15" s="376"/>
    </row>
    <row r="16" spans="2:22" ht="15" customHeight="1">
      <c r="B16" s="365"/>
      <c r="C16" s="363" t="str">
        <f t="shared" si="2"/>
        <v/>
      </c>
      <c r="D16" s="366" t="s">
        <v>435</v>
      </c>
      <c r="E16" s="367">
        <v>0.33333333333333331</v>
      </c>
      <c r="F16" s="367">
        <v>0.66666666666666663</v>
      </c>
      <c r="G16" s="367">
        <v>4.1666666666666664E-2</v>
      </c>
      <c r="H16" s="531">
        <f t="shared" ref="H16" si="3">IF(COUNT(E16:F16)=0,"",(DAY(F16-E16-G16))*24+HOUR(F16-E16-G16)+(MINUTE(F16-E16-G16)/60))</f>
        <v>7</v>
      </c>
      <c r="I16" s="369">
        <v>1</v>
      </c>
      <c r="J16" s="370"/>
      <c r="K16" s="370"/>
      <c r="L16" s="371"/>
      <c r="M16" s="364"/>
      <c r="N16" s="372"/>
      <c r="O16" s="373">
        <v>1</v>
      </c>
      <c r="P16" s="516"/>
      <c r="Q16" s="375"/>
      <c r="R16" s="375"/>
      <c r="S16" s="369"/>
      <c r="T16" s="376"/>
    </row>
    <row r="17" spans="2:20" ht="15" customHeight="1">
      <c r="B17" s="365"/>
      <c r="C17" s="363" t="str">
        <f t="shared" si="2"/>
        <v/>
      </c>
      <c r="D17" s="366" t="s">
        <v>434</v>
      </c>
      <c r="E17" s="367">
        <v>0.66666666666666663</v>
      </c>
      <c r="F17" s="367">
        <v>1</v>
      </c>
      <c r="G17" s="367"/>
      <c r="H17" s="514">
        <f t="shared" ref="H17:H26" si="4">IF(COUNT(E17:F17)=0,"",(DAY(F17-E17-G17))*24+HOUR(F17-E17-G17)+(MINUTE(F17-E17-G17)/60))</f>
        <v>8</v>
      </c>
      <c r="I17" s="369">
        <v>1</v>
      </c>
      <c r="J17" s="370"/>
      <c r="K17" s="370"/>
      <c r="L17" s="371"/>
      <c r="M17" s="364"/>
      <c r="N17" s="372"/>
      <c r="O17" s="373"/>
      <c r="P17" s="516"/>
      <c r="Q17" s="375"/>
      <c r="R17" s="375"/>
      <c r="S17" s="369"/>
      <c r="T17" s="376"/>
    </row>
    <row r="18" spans="2:20" ht="15" customHeight="1">
      <c r="B18" s="365">
        <v>42781</v>
      </c>
      <c r="C18" s="363" t="str">
        <f t="shared" si="2"/>
        <v>Wed</v>
      </c>
      <c r="D18" s="366" t="s">
        <v>441</v>
      </c>
      <c r="E18" s="367">
        <v>0.33333333333333331</v>
      </c>
      <c r="F18" s="367">
        <v>0.70833333333333337</v>
      </c>
      <c r="G18" s="367">
        <v>4.1666666666666664E-2</v>
      </c>
      <c r="H18" s="530">
        <f t="shared" si="4"/>
        <v>8</v>
      </c>
      <c r="I18" s="377">
        <v>1</v>
      </c>
      <c r="J18" s="378"/>
      <c r="K18" s="370"/>
      <c r="L18" s="371"/>
      <c r="M18" s="364"/>
      <c r="N18" s="379"/>
      <c r="O18" s="380"/>
      <c r="P18" s="517"/>
      <c r="Q18" s="381"/>
      <c r="R18" s="381"/>
      <c r="S18" s="377"/>
      <c r="T18" s="382"/>
    </row>
    <row r="19" spans="2:20" ht="15" customHeight="1">
      <c r="B19" s="365"/>
      <c r="C19" s="363" t="str">
        <f t="shared" si="2"/>
        <v/>
      </c>
      <c r="D19" s="366" t="s">
        <v>440</v>
      </c>
      <c r="E19" s="367">
        <v>0.33333333333333331</v>
      </c>
      <c r="F19" s="367">
        <v>0.70833333333333337</v>
      </c>
      <c r="G19" s="367">
        <v>4.1666666666666664E-2</v>
      </c>
      <c r="H19" s="368">
        <f t="shared" si="4"/>
        <v>8</v>
      </c>
      <c r="I19" s="377">
        <v>1</v>
      </c>
      <c r="J19" s="378"/>
      <c r="K19" s="370"/>
      <c r="L19" s="371"/>
      <c r="M19" s="364"/>
      <c r="N19" s="379"/>
      <c r="O19" s="380"/>
      <c r="P19" s="517"/>
      <c r="Q19" s="513"/>
      <c r="R19" s="381"/>
      <c r="S19" s="377"/>
      <c r="T19" s="382"/>
    </row>
    <row r="20" spans="2:20" ht="15" customHeight="1">
      <c r="B20" s="365"/>
      <c r="C20" s="363" t="str">
        <f t="shared" si="2"/>
        <v/>
      </c>
      <c r="D20" s="366" t="s">
        <v>439</v>
      </c>
      <c r="E20" s="367">
        <v>0.33333333333333331</v>
      </c>
      <c r="F20" s="367">
        <v>0.625</v>
      </c>
      <c r="G20" s="367">
        <v>4.1666666666666664E-2</v>
      </c>
      <c r="H20" s="368">
        <f t="shared" si="4"/>
        <v>6</v>
      </c>
      <c r="I20" s="377">
        <v>1</v>
      </c>
      <c r="J20" s="378"/>
      <c r="K20" s="370"/>
      <c r="L20" s="371"/>
      <c r="M20" s="364"/>
      <c r="N20" s="372"/>
      <c r="O20" s="373"/>
      <c r="P20" s="516"/>
      <c r="Q20" s="512"/>
      <c r="R20" s="375"/>
      <c r="S20" s="369"/>
      <c r="T20" s="376"/>
    </row>
    <row r="21" spans="2:20" ht="15" customHeight="1">
      <c r="B21" s="365"/>
      <c r="C21" s="363" t="str">
        <f t="shared" si="2"/>
        <v/>
      </c>
      <c r="D21" s="366"/>
      <c r="E21" s="367"/>
      <c r="F21" s="367"/>
      <c r="G21" s="367"/>
      <c r="H21" s="368" t="str">
        <f t="shared" si="4"/>
        <v/>
      </c>
      <c r="I21" s="369"/>
      <c r="J21" s="370"/>
      <c r="K21" s="370"/>
      <c r="L21" s="371"/>
      <c r="M21" s="364"/>
      <c r="N21" s="372"/>
      <c r="O21" s="373"/>
      <c r="P21" s="516"/>
      <c r="Q21" s="369"/>
      <c r="R21" s="375"/>
      <c r="S21" s="369"/>
      <c r="T21" s="376"/>
    </row>
    <row r="22" spans="2:20" ht="15" customHeight="1">
      <c r="B22" s="365"/>
      <c r="C22" s="363" t="str">
        <f t="shared" si="2"/>
        <v/>
      </c>
      <c r="D22" s="366"/>
      <c r="E22" s="367"/>
      <c r="F22" s="367"/>
      <c r="G22" s="367"/>
      <c r="H22" s="368" t="str">
        <f t="shared" si="4"/>
        <v/>
      </c>
      <c r="I22" s="369"/>
      <c r="J22" s="370"/>
      <c r="K22" s="370"/>
      <c r="L22" s="371"/>
      <c r="M22" s="364"/>
      <c r="N22" s="372"/>
      <c r="O22" s="373"/>
      <c r="P22" s="516"/>
      <c r="Q22" s="369"/>
      <c r="R22" s="375"/>
      <c r="S22" s="369"/>
      <c r="T22" s="376"/>
    </row>
    <row r="23" spans="2:20" ht="15" customHeight="1">
      <c r="B23" s="365"/>
      <c r="C23" s="363" t="str">
        <f t="shared" si="2"/>
        <v/>
      </c>
      <c r="D23" s="366"/>
      <c r="E23" s="367"/>
      <c r="F23" s="367"/>
      <c r="G23" s="367"/>
      <c r="H23" s="368" t="str">
        <f t="shared" si="4"/>
        <v/>
      </c>
      <c r="I23" s="369"/>
      <c r="J23" s="370"/>
      <c r="K23" s="370"/>
      <c r="L23" s="371"/>
      <c r="M23" s="364"/>
      <c r="N23" s="372"/>
      <c r="O23" s="373"/>
      <c r="P23" s="516"/>
      <c r="Q23" s="369"/>
      <c r="R23" s="375"/>
      <c r="S23" s="369"/>
      <c r="T23" s="376"/>
    </row>
    <row r="24" spans="2:20" ht="15" customHeight="1">
      <c r="B24" s="365"/>
      <c r="C24" s="363" t="str">
        <f t="shared" si="2"/>
        <v/>
      </c>
      <c r="D24" s="366"/>
      <c r="E24" s="367"/>
      <c r="F24" s="367"/>
      <c r="G24" s="367"/>
      <c r="H24" s="368" t="str">
        <f t="shared" si="4"/>
        <v/>
      </c>
      <c r="I24" s="369"/>
      <c r="J24" s="370"/>
      <c r="K24" s="370"/>
      <c r="L24" s="371"/>
      <c r="M24" s="364"/>
      <c r="N24" s="372"/>
      <c r="O24" s="373"/>
      <c r="P24" s="516"/>
      <c r="Q24" s="369"/>
      <c r="R24" s="375"/>
      <c r="S24" s="369"/>
      <c r="T24" s="384"/>
    </row>
    <row r="25" spans="2:20" ht="15" customHeight="1">
      <c r="B25" s="365"/>
      <c r="C25" s="363" t="str">
        <f t="shared" si="2"/>
        <v/>
      </c>
      <c r="D25" s="366"/>
      <c r="E25" s="367"/>
      <c r="F25" s="367"/>
      <c r="G25" s="367"/>
      <c r="H25" s="368" t="str">
        <f t="shared" si="4"/>
        <v/>
      </c>
      <c r="I25" s="369"/>
      <c r="J25" s="370"/>
      <c r="K25" s="370"/>
      <c r="L25" s="371"/>
      <c r="M25" s="364"/>
      <c r="N25" s="372"/>
      <c r="O25" s="373"/>
      <c r="P25" s="516"/>
      <c r="Q25" s="369"/>
      <c r="R25" s="375"/>
      <c r="S25" s="369"/>
      <c r="T25" s="385"/>
    </row>
    <row r="26" spans="2:20" ht="15" customHeight="1">
      <c r="B26" s="365"/>
      <c r="C26" s="363" t="str">
        <f t="shared" si="2"/>
        <v/>
      </c>
      <c r="D26" s="366"/>
      <c r="E26" s="367"/>
      <c r="F26" s="367"/>
      <c r="G26" s="367"/>
      <c r="H26" s="368" t="str">
        <f t="shared" si="4"/>
        <v/>
      </c>
      <c r="I26" s="369"/>
      <c r="J26" s="370"/>
      <c r="K26" s="370"/>
      <c r="L26" s="386"/>
      <c r="M26" s="364"/>
      <c r="N26" s="372"/>
      <c r="O26" s="373"/>
      <c r="P26" s="516"/>
      <c r="Q26" s="369"/>
      <c r="R26" s="375"/>
      <c r="S26" s="369"/>
      <c r="T26" s="385"/>
    </row>
    <row r="27" spans="2:20" ht="15" customHeight="1">
      <c r="B27" s="365"/>
      <c r="C27" s="363" t="str">
        <f t="shared" si="2"/>
        <v/>
      </c>
      <c r="D27" s="366"/>
      <c r="E27" s="367"/>
      <c r="F27" s="367"/>
      <c r="G27" s="367"/>
      <c r="H27" s="368"/>
      <c r="I27" s="369"/>
      <c r="J27" s="370"/>
      <c r="K27" s="370"/>
      <c r="L27" s="386"/>
      <c r="M27" s="364"/>
      <c r="N27" s="372"/>
      <c r="O27" s="373"/>
      <c r="P27" s="516"/>
      <c r="Q27" s="369"/>
      <c r="R27" s="375"/>
      <c r="S27" s="369"/>
      <c r="T27" s="385"/>
    </row>
    <row r="28" spans="2:20" ht="15" customHeight="1">
      <c r="B28" s="365"/>
      <c r="C28" s="363" t="str">
        <f t="shared" si="2"/>
        <v/>
      </c>
      <c r="D28" s="366"/>
      <c r="E28" s="367"/>
      <c r="F28" s="367"/>
      <c r="G28" s="367"/>
      <c r="H28" s="368"/>
      <c r="I28" s="369"/>
      <c r="J28" s="370"/>
      <c r="K28" s="370"/>
      <c r="L28" s="386"/>
      <c r="M28" s="364"/>
      <c r="N28" s="372"/>
      <c r="O28" s="373"/>
      <c r="P28" s="516"/>
      <c r="Q28" s="369"/>
      <c r="R28" s="375"/>
      <c r="S28" s="369"/>
      <c r="T28" s="385"/>
    </row>
    <row r="29" spans="2:20" ht="15" customHeight="1">
      <c r="B29" s="365"/>
      <c r="C29" s="363" t="str">
        <f t="shared" si="2"/>
        <v/>
      </c>
      <c r="D29" s="366"/>
      <c r="E29" s="367"/>
      <c r="F29" s="367"/>
      <c r="G29" s="367"/>
      <c r="H29" s="368" t="str">
        <f t="shared" ref="H29:H32" si="5">IF(COUNT(E29:F29)=0,"",(DAY(F29-E29-G29))*24+HOUR(F29-E29-G29)+(MINUTE(F29-E29-G29)/60))</f>
        <v/>
      </c>
      <c r="I29" s="388"/>
      <c r="J29" s="389"/>
      <c r="K29" s="389"/>
      <c r="L29" s="390"/>
      <c r="M29" s="364"/>
      <c r="N29" s="391"/>
      <c r="O29" s="392"/>
      <c r="P29" s="515"/>
      <c r="Q29" s="388"/>
      <c r="R29" s="394"/>
      <c r="S29" s="388"/>
      <c r="T29" s="395"/>
    </row>
    <row r="30" spans="2:20" ht="15" customHeight="1">
      <c r="B30" s="365"/>
      <c r="C30" s="363" t="str">
        <f t="shared" si="2"/>
        <v/>
      </c>
      <c r="D30" s="366"/>
      <c r="E30" s="367"/>
      <c r="F30" s="367"/>
      <c r="G30" s="367"/>
      <c r="H30" s="368" t="str">
        <f t="shared" si="5"/>
        <v/>
      </c>
      <c r="I30" s="388"/>
      <c r="J30" s="389"/>
      <c r="K30" s="389"/>
      <c r="L30" s="390"/>
      <c r="M30" s="364"/>
      <c r="N30" s="391"/>
      <c r="O30" s="392"/>
      <c r="P30" s="515"/>
      <c r="Q30" s="388"/>
      <c r="R30" s="394"/>
      <c r="S30" s="388"/>
      <c r="T30" s="395"/>
    </row>
    <row r="31" spans="2:20" ht="15" customHeight="1">
      <c r="B31" s="365"/>
      <c r="C31" s="363" t="str">
        <f t="shared" si="2"/>
        <v/>
      </c>
      <c r="D31" s="366"/>
      <c r="E31" s="367"/>
      <c r="F31" s="387"/>
      <c r="G31" s="367"/>
      <c r="H31" s="368" t="str">
        <f t="shared" si="5"/>
        <v/>
      </c>
      <c r="I31" s="388"/>
      <c r="J31" s="389"/>
      <c r="K31" s="389"/>
      <c r="L31" s="390"/>
      <c r="M31" s="364"/>
      <c r="N31" s="391"/>
      <c r="O31" s="392"/>
      <c r="P31" s="515"/>
      <c r="Q31" s="388"/>
      <c r="R31" s="388"/>
      <c r="S31" s="388"/>
      <c r="T31" s="395"/>
    </row>
    <row r="32" spans="2:20" ht="15" customHeight="1">
      <c r="B32" s="365"/>
      <c r="C32" s="363" t="str">
        <f t="shared" si="2"/>
        <v/>
      </c>
      <c r="D32" s="366"/>
      <c r="E32" s="367"/>
      <c r="F32" s="367"/>
      <c r="G32" s="367"/>
      <c r="H32" s="368" t="str">
        <f t="shared" si="5"/>
        <v/>
      </c>
      <c r="I32" s="388"/>
      <c r="J32" s="389"/>
      <c r="K32" s="389"/>
      <c r="L32" s="390"/>
      <c r="M32" s="364"/>
      <c r="N32" s="391"/>
      <c r="O32" s="392"/>
      <c r="P32" s="515"/>
      <c r="Q32" s="388"/>
      <c r="R32" s="388"/>
      <c r="S32" s="388"/>
      <c r="T32" s="395"/>
    </row>
    <row r="33" spans="2:20" ht="15" customHeight="1">
      <c r="B33" s="365"/>
      <c r="C33" s="363" t="str">
        <f t="shared" ref="C33:C39" si="6">IF(COUNT(B33)=0,"",TEXT(B33,"ddd"))</f>
        <v/>
      </c>
      <c r="D33" s="366"/>
      <c r="E33" s="367"/>
      <c r="F33" s="367"/>
      <c r="G33" s="367"/>
      <c r="H33" s="368" t="str">
        <f t="shared" ref="H33:H39" si="7">IF(COUNT(E33:F33)=0,"",(DAY(F33-E33-G33))*24+HOUR(F33-E33-G33)+(MINUTE(F33-E33-G33)/60))</f>
        <v/>
      </c>
      <c r="I33" s="388"/>
      <c r="J33" s="389"/>
      <c r="K33" s="389"/>
      <c r="L33" s="390"/>
      <c r="M33" s="364"/>
      <c r="N33" s="391"/>
      <c r="O33" s="392"/>
      <c r="P33" s="515"/>
      <c r="Q33" s="388"/>
      <c r="R33" s="388"/>
      <c r="S33" s="388"/>
      <c r="T33" s="395"/>
    </row>
    <row r="34" spans="2:20" ht="15" customHeight="1">
      <c r="B34" s="365"/>
      <c r="C34" s="363" t="str">
        <f t="shared" si="6"/>
        <v/>
      </c>
      <c r="D34" s="366"/>
      <c r="E34" s="387"/>
      <c r="F34" s="387"/>
      <c r="G34" s="367"/>
      <c r="H34" s="368" t="str">
        <f t="shared" si="7"/>
        <v/>
      </c>
      <c r="I34" s="388"/>
      <c r="J34" s="389"/>
      <c r="K34" s="389"/>
      <c r="L34" s="390"/>
      <c r="M34" s="364"/>
      <c r="N34" s="391"/>
      <c r="O34" s="392"/>
      <c r="P34" s="515"/>
      <c r="Q34" s="388"/>
      <c r="R34" s="388"/>
      <c r="S34" s="388"/>
      <c r="T34" s="395"/>
    </row>
    <row r="35" spans="2:20" ht="15" customHeight="1">
      <c r="B35" s="365"/>
      <c r="C35" s="363" t="str">
        <f t="shared" si="6"/>
        <v/>
      </c>
      <c r="D35" s="366"/>
      <c r="E35" s="387"/>
      <c r="F35" s="387"/>
      <c r="G35" s="367"/>
      <c r="H35" s="368" t="str">
        <f t="shared" si="7"/>
        <v/>
      </c>
      <c r="I35" s="388"/>
      <c r="J35" s="389"/>
      <c r="K35" s="389"/>
      <c r="L35" s="390"/>
      <c r="M35" s="364"/>
      <c r="N35" s="391"/>
      <c r="O35" s="392"/>
      <c r="P35" s="515"/>
      <c r="Q35" s="388"/>
      <c r="R35" s="388"/>
      <c r="S35" s="388"/>
      <c r="T35" s="395"/>
    </row>
    <row r="36" spans="2:20" s="383" customFormat="1" ht="15" customHeight="1">
      <c r="B36" s="365"/>
      <c r="C36" s="363" t="str">
        <f t="shared" si="6"/>
        <v/>
      </c>
      <c r="D36" s="366"/>
      <c r="E36" s="367"/>
      <c r="F36" s="367"/>
      <c r="G36" s="367"/>
      <c r="H36" s="368" t="str">
        <f t="shared" si="7"/>
        <v/>
      </c>
      <c r="I36" s="388"/>
      <c r="J36" s="389"/>
      <c r="K36" s="389"/>
      <c r="L36" s="390"/>
      <c r="M36" s="364"/>
      <c r="N36" s="391"/>
      <c r="O36" s="392"/>
      <c r="P36" s="515"/>
      <c r="Q36" s="388"/>
      <c r="R36" s="388"/>
      <c r="S36" s="388"/>
      <c r="T36" s="395"/>
    </row>
    <row r="37" spans="2:20" ht="17.100000000000001" customHeight="1">
      <c r="B37" s="365"/>
      <c r="C37" s="363" t="str">
        <f t="shared" si="6"/>
        <v/>
      </c>
      <c r="D37" s="366"/>
      <c r="E37" s="367"/>
      <c r="F37" s="367"/>
      <c r="G37" s="367"/>
      <c r="H37" s="368" t="str">
        <f t="shared" si="7"/>
        <v/>
      </c>
      <c r="I37" s="388"/>
      <c r="J37" s="389"/>
      <c r="K37" s="389"/>
      <c r="L37" s="390"/>
      <c r="M37" s="364"/>
      <c r="N37" s="391"/>
      <c r="O37" s="392"/>
      <c r="P37" s="515"/>
      <c r="Q37" s="388"/>
      <c r="R37" s="388"/>
      <c r="S37" s="388"/>
      <c r="T37" s="395"/>
    </row>
    <row r="38" spans="2:20" ht="17.100000000000001" customHeight="1">
      <c r="B38" s="365"/>
      <c r="C38" s="363" t="str">
        <f t="shared" si="6"/>
        <v/>
      </c>
      <c r="D38" s="366"/>
      <c r="E38" s="367"/>
      <c r="F38" s="387"/>
      <c r="G38" s="367"/>
      <c r="H38" s="368" t="str">
        <f t="shared" si="7"/>
        <v/>
      </c>
      <c r="I38" s="388"/>
      <c r="J38" s="389"/>
      <c r="K38" s="389"/>
      <c r="L38" s="390"/>
      <c r="M38" s="364"/>
      <c r="N38" s="391"/>
      <c r="O38" s="392"/>
      <c r="P38" s="515"/>
      <c r="Q38" s="388"/>
      <c r="R38" s="388"/>
      <c r="S38" s="388"/>
      <c r="T38" s="395"/>
    </row>
    <row r="39" spans="2:20" ht="17.100000000000001" customHeight="1" thickBot="1">
      <c r="B39" s="365"/>
      <c r="C39" s="363" t="str">
        <f t="shared" si="6"/>
        <v/>
      </c>
      <c r="D39" s="366"/>
      <c r="E39" s="367"/>
      <c r="F39" s="367"/>
      <c r="G39" s="367"/>
      <c r="H39" s="368" t="str">
        <f t="shared" si="7"/>
        <v/>
      </c>
      <c r="I39" s="398"/>
      <c r="J39" s="399"/>
      <c r="K39" s="399"/>
      <c r="L39" s="400"/>
      <c r="M39" s="401"/>
      <c r="N39" s="402"/>
      <c r="O39" s="403"/>
      <c r="P39" s="518"/>
      <c r="Q39" s="398"/>
      <c r="R39" s="398"/>
      <c r="S39" s="398"/>
      <c r="T39" s="404"/>
    </row>
    <row r="40" spans="2:20" ht="17.100000000000001" customHeight="1" thickBot="1">
      <c r="B40" s="405" t="s">
        <v>420</v>
      </c>
      <c r="C40" s="406"/>
      <c r="D40" s="407"/>
      <c r="E40" s="408"/>
      <c r="F40" s="408"/>
      <c r="G40" s="408"/>
      <c r="H40" s="532">
        <f>SUM(H9:H39)</f>
        <v>63</v>
      </c>
      <c r="I40" s="409">
        <f>SUM(I9:I39)</f>
        <v>11</v>
      </c>
      <c r="J40" s="410"/>
      <c r="K40" s="410"/>
      <c r="L40" s="411"/>
      <c r="M40" s="412">
        <f t="shared" ref="M40:T40" si="8">SUM(M9:M39)</f>
        <v>0</v>
      </c>
      <c r="N40" s="413">
        <f t="shared" si="8"/>
        <v>0</v>
      </c>
      <c r="O40" s="414">
        <f t="shared" si="8"/>
        <v>2</v>
      </c>
      <c r="P40" s="519">
        <f t="shared" si="8"/>
        <v>2</v>
      </c>
      <c r="Q40" s="415">
        <f t="shared" si="8"/>
        <v>0</v>
      </c>
      <c r="R40" s="416">
        <f t="shared" si="8"/>
        <v>0</v>
      </c>
      <c r="S40" s="415">
        <f t="shared" si="8"/>
        <v>0</v>
      </c>
      <c r="T40" s="416">
        <f t="shared" si="8"/>
        <v>0</v>
      </c>
    </row>
    <row r="41" spans="2:20" ht="17.100000000000001" customHeight="1">
      <c r="B41" s="417"/>
      <c r="C41" s="418"/>
      <c r="D41" s="419"/>
      <c r="E41" s="420"/>
      <c r="F41" s="420"/>
      <c r="G41" s="420"/>
      <c r="H41" s="420"/>
      <c r="I41" s="421"/>
      <c r="J41" s="422"/>
      <c r="K41" s="422"/>
      <c r="L41" s="423"/>
      <c r="M41" s="424" t="str">
        <f t="shared" ref="M41" si="9">IF(COUNT(J41:L41)=0,"",J41*L41)</f>
        <v/>
      </c>
      <c r="N41" s="424"/>
      <c r="O41" s="424"/>
      <c r="P41" s="424"/>
    </row>
  </sheetData>
  <mergeCells count="23">
    <mergeCell ref="B6:B8"/>
    <mergeCell ref="D6:D8"/>
    <mergeCell ref="I6:I8"/>
    <mergeCell ref="L7:L8"/>
    <mergeCell ref="C6:C8"/>
    <mergeCell ref="J6:N6"/>
    <mergeCell ref="E6:H6"/>
    <mergeCell ref="J7:J8"/>
    <mergeCell ref="K7:K8"/>
    <mergeCell ref="M7:M8"/>
    <mergeCell ref="C2:G2"/>
    <mergeCell ref="N2:T2"/>
    <mergeCell ref="N7:N8"/>
    <mergeCell ref="R4:T4"/>
    <mergeCell ref="Q6:T6"/>
    <mergeCell ref="O6:P6"/>
    <mergeCell ref="E7:E8"/>
    <mergeCell ref="F7:F8"/>
    <mergeCell ref="G7:G8"/>
    <mergeCell ref="H7:H8"/>
    <mergeCell ref="C3:D3"/>
    <mergeCell ref="E3:G3"/>
    <mergeCell ref="Q7:T7"/>
  </mergeCells>
  <phoneticPr fontId="4"/>
  <conditionalFormatting sqref="B9:T39">
    <cfRule type="expression" dxfId="3" priority="30">
      <formula>$C9="Sat"</formula>
    </cfRule>
    <cfRule type="expression" dxfId="2" priority="31">
      <formula>$B9="Sat"</formula>
    </cfRule>
    <cfRule type="expression" dxfId="1" priority="32">
      <formula>$B9="Sat"</formula>
    </cfRule>
    <cfRule type="expression" dxfId="0" priority="33">
      <formula>$C9="Sun"</formula>
    </cfRule>
  </conditionalFormatting>
  <printOptions horizontalCentered="1"/>
  <pageMargins left="0.19685039370078741" right="0.19685039370078741" top="0.78740157480314965" bottom="0.59055118110236227" header="0.51181102362204722" footer="0.19685039370078741"/>
  <pageSetup paperSize="9" scale="9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V54"/>
  <sheetViews>
    <sheetView zoomScaleNormal="100" workbookViewId="0">
      <selection activeCell="E6" sqref="E6:E51"/>
    </sheetView>
  </sheetViews>
  <sheetFormatPr defaultColWidth="9" defaultRowHeight="14.25"/>
  <cols>
    <col min="1" max="1" width="17.140625" style="23" customWidth="1"/>
    <col min="2" max="5" width="27.5703125" style="23" customWidth="1"/>
    <col min="6" max="16384" width="9" style="23"/>
  </cols>
  <sheetData>
    <row r="1" spans="1:22" ht="21.75" customHeight="1">
      <c r="A1" s="21" t="s">
        <v>135</v>
      </c>
      <c r="B1" s="22"/>
      <c r="C1" s="22"/>
      <c r="D1" s="22"/>
      <c r="G1" s="22" t="s">
        <v>138</v>
      </c>
      <c r="H1" s="22"/>
    </row>
    <row r="2" spans="1:22" ht="15.75" thickBot="1">
      <c r="A2" s="24"/>
      <c r="E2" s="25" t="s">
        <v>311</v>
      </c>
      <c r="G2" s="26"/>
      <c r="H2" s="26"/>
      <c r="I2" s="26"/>
      <c r="J2" s="26"/>
      <c r="K2" s="26"/>
      <c r="L2" s="26"/>
      <c r="M2" s="940" t="s">
        <v>136</v>
      </c>
      <c r="N2" s="940"/>
      <c r="O2" s="26"/>
      <c r="P2" s="26"/>
      <c r="Q2" s="26"/>
      <c r="R2" s="26"/>
      <c r="S2" s="26"/>
      <c r="T2" s="26"/>
      <c r="U2" s="26"/>
      <c r="V2" s="26"/>
    </row>
    <row r="3" spans="1:22" ht="21" customHeight="1" thickBot="1">
      <c r="A3" s="42"/>
      <c r="B3" s="40" t="s">
        <v>128</v>
      </c>
      <c r="C3" s="40" t="s">
        <v>129</v>
      </c>
      <c r="D3" s="40" t="s">
        <v>130</v>
      </c>
      <c r="E3" s="41" t="s">
        <v>51</v>
      </c>
      <c r="G3" s="945" t="s">
        <v>148</v>
      </c>
      <c r="H3" s="947" t="s">
        <v>149</v>
      </c>
      <c r="I3" s="941" t="s">
        <v>139</v>
      </c>
      <c r="J3" s="941"/>
      <c r="K3" s="942" t="s">
        <v>143</v>
      </c>
      <c r="L3" s="943"/>
      <c r="M3" s="942" t="s">
        <v>142</v>
      </c>
      <c r="N3" s="944"/>
      <c r="O3" s="27"/>
      <c r="P3" s="27"/>
      <c r="Q3" s="27"/>
      <c r="R3" s="27"/>
      <c r="S3" s="27"/>
      <c r="T3" s="27"/>
      <c r="U3" s="26"/>
      <c r="V3" s="26"/>
    </row>
    <row r="4" spans="1:22" s="28" customFormat="1" ht="21" customHeight="1" thickBot="1">
      <c r="A4" s="43" t="s">
        <v>50</v>
      </c>
      <c r="B4" s="345">
        <v>25</v>
      </c>
      <c r="C4" s="345">
        <v>18</v>
      </c>
      <c r="D4" s="345">
        <v>9</v>
      </c>
      <c r="E4" s="346">
        <v>9</v>
      </c>
      <c r="G4" s="946"/>
      <c r="H4" s="948"/>
      <c r="I4" s="29" t="s">
        <v>118</v>
      </c>
      <c r="J4" s="30" t="s">
        <v>141</v>
      </c>
      <c r="K4" s="29" t="s">
        <v>118</v>
      </c>
      <c r="L4" s="30" t="s">
        <v>141</v>
      </c>
      <c r="M4" s="29" t="s">
        <v>118</v>
      </c>
      <c r="N4" s="30" t="s">
        <v>141</v>
      </c>
      <c r="O4" s="31"/>
      <c r="P4" s="31"/>
      <c r="Q4" s="31"/>
      <c r="R4" s="31"/>
      <c r="S4" s="31"/>
      <c r="T4" s="31"/>
      <c r="U4" s="26"/>
      <c r="V4" s="26"/>
    </row>
    <row r="5" spans="1:22" s="28" customFormat="1" ht="21" customHeight="1" thickBot="1">
      <c r="A5" s="44" t="s">
        <v>131</v>
      </c>
      <c r="B5" s="938" t="s">
        <v>132</v>
      </c>
      <c r="C5" s="938"/>
      <c r="D5" s="938"/>
      <c r="E5" s="939"/>
      <c r="G5" s="32">
        <v>35000</v>
      </c>
      <c r="H5" s="33">
        <f>G5/22/8</f>
        <v>198.86363636363637</v>
      </c>
      <c r="I5" s="33">
        <f>H5*1.5</f>
        <v>298.29545454545456</v>
      </c>
      <c r="J5" s="33">
        <f>H5*1.5+H5*0.3+H5*0.2</f>
        <v>397.72727272727275</v>
      </c>
      <c r="K5" s="33">
        <f>H5*2</f>
        <v>397.72727272727275</v>
      </c>
      <c r="L5" s="33">
        <f>H5*2+H5*0.3+H5*2*0.2</f>
        <v>536.93181818181824</v>
      </c>
      <c r="M5" s="33">
        <f>H5*3</f>
        <v>596.59090909090912</v>
      </c>
      <c r="N5" s="34">
        <f>H5*3+H5*0.3+H5*3*0.2</f>
        <v>775.56818181818187</v>
      </c>
      <c r="O5" s="35"/>
      <c r="P5" s="35"/>
      <c r="Q5" s="35"/>
      <c r="R5" s="35"/>
      <c r="S5" s="35"/>
      <c r="T5" s="35"/>
      <c r="U5" s="26"/>
      <c r="V5" s="26"/>
    </row>
    <row r="6" spans="1:22" ht="21" customHeight="1">
      <c r="A6" s="928" t="s">
        <v>133</v>
      </c>
      <c r="B6" s="932" t="s">
        <v>126</v>
      </c>
      <c r="C6" s="932" t="s">
        <v>127</v>
      </c>
      <c r="D6" s="932" t="s">
        <v>125</v>
      </c>
      <c r="E6" s="935" t="s">
        <v>134</v>
      </c>
      <c r="G6" s="32">
        <v>45000</v>
      </c>
      <c r="H6" s="33">
        <f>G6/22/8</f>
        <v>255.68181818181819</v>
      </c>
      <c r="I6" s="33">
        <f>H6*1.5</f>
        <v>383.52272727272725</v>
      </c>
      <c r="J6" s="33">
        <f t="shared" ref="J6:J9" si="0">H6*1.5+H6*0.3+H6*0.2</f>
        <v>511.36363636363632</v>
      </c>
      <c r="K6" s="33">
        <f>H6*2</f>
        <v>511.36363636363637</v>
      </c>
      <c r="L6" s="33">
        <f t="shared" ref="L6:L9" si="1">H6*2+H6*0.3+H6*2*0.2</f>
        <v>690.34090909090912</v>
      </c>
      <c r="M6" s="33">
        <f>H6*3</f>
        <v>767.0454545454545</v>
      </c>
      <c r="N6" s="34">
        <f t="shared" ref="N6:N9" si="2">H6*3+H6*0.3+H6*3*0.2</f>
        <v>997.15909090909088</v>
      </c>
      <c r="O6" s="35"/>
      <c r="P6" s="35"/>
      <c r="Q6" s="35"/>
      <c r="R6" s="35"/>
      <c r="S6" s="35"/>
      <c r="T6" s="35"/>
      <c r="U6" s="26"/>
      <c r="V6" s="26"/>
    </row>
    <row r="7" spans="1:22" ht="21" customHeight="1">
      <c r="A7" s="929"/>
      <c r="B7" s="933"/>
      <c r="C7" s="933"/>
      <c r="D7" s="933"/>
      <c r="E7" s="936"/>
      <c r="G7" s="32">
        <v>70000</v>
      </c>
      <c r="H7" s="33">
        <f>G7/22/8</f>
        <v>397.72727272727275</v>
      </c>
      <c r="I7" s="33">
        <f>H7*1.5</f>
        <v>596.59090909090912</v>
      </c>
      <c r="J7" s="33">
        <f t="shared" si="0"/>
        <v>795.4545454545455</v>
      </c>
      <c r="K7" s="33">
        <f>H7*2</f>
        <v>795.4545454545455</v>
      </c>
      <c r="L7" s="33">
        <f t="shared" si="1"/>
        <v>1073.8636363636365</v>
      </c>
      <c r="M7" s="33">
        <f>H7*3</f>
        <v>1193.1818181818182</v>
      </c>
      <c r="N7" s="34">
        <f t="shared" si="2"/>
        <v>1551.1363636363637</v>
      </c>
      <c r="O7" s="35"/>
      <c r="P7" s="35"/>
      <c r="Q7" s="35"/>
      <c r="R7" s="35"/>
      <c r="S7" s="35"/>
      <c r="T7" s="35"/>
      <c r="U7" s="26"/>
      <c r="V7" s="26"/>
    </row>
    <row r="8" spans="1:22" ht="21" customHeight="1">
      <c r="A8" s="929"/>
      <c r="B8" s="933"/>
      <c r="C8" s="933"/>
      <c r="D8" s="933"/>
      <c r="E8" s="936"/>
      <c r="G8" s="32">
        <v>100000</v>
      </c>
      <c r="H8" s="33">
        <f>G8/22/8</f>
        <v>568.18181818181813</v>
      </c>
      <c r="I8" s="33">
        <f>H8*1.5</f>
        <v>852.27272727272725</v>
      </c>
      <c r="J8" s="33">
        <f t="shared" si="0"/>
        <v>1136.3636363636365</v>
      </c>
      <c r="K8" s="33">
        <f>H8*2</f>
        <v>1136.3636363636363</v>
      </c>
      <c r="L8" s="33">
        <f t="shared" si="1"/>
        <v>1534.090909090909</v>
      </c>
      <c r="M8" s="33">
        <f>H8*3</f>
        <v>1704.5454545454545</v>
      </c>
      <c r="N8" s="34">
        <f t="shared" si="2"/>
        <v>2215.909090909091</v>
      </c>
      <c r="O8" s="35"/>
      <c r="P8" s="35"/>
      <c r="Q8" s="35"/>
      <c r="R8" s="35"/>
      <c r="S8" s="35"/>
      <c r="T8" s="35"/>
      <c r="U8" s="26"/>
      <c r="V8" s="26"/>
    </row>
    <row r="9" spans="1:22" ht="21" customHeight="1" thickBot="1">
      <c r="A9" s="929"/>
      <c r="B9" s="933"/>
      <c r="C9" s="933"/>
      <c r="D9" s="933"/>
      <c r="E9" s="936"/>
      <c r="F9" s="36"/>
      <c r="G9" s="37">
        <v>120000</v>
      </c>
      <c r="H9" s="38">
        <f>G9/22/8</f>
        <v>681.81818181818187</v>
      </c>
      <c r="I9" s="38">
        <f>H9*1.5</f>
        <v>1022.7272727272727</v>
      </c>
      <c r="J9" s="38">
        <f t="shared" si="0"/>
        <v>1363.6363636363635</v>
      </c>
      <c r="K9" s="38">
        <f>H9*2</f>
        <v>1363.6363636363637</v>
      </c>
      <c r="L9" s="38">
        <f t="shared" si="1"/>
        <v>1840.909090909091</v>
      </c>
      <c r="M9" s="38">
        <f>H9*3</f>
        <v>2045.4545454545455</v>
      </c>
      <c r="N9" s="39">
        <f t="shared" si="2"/>
        <v>2659.090909090909</v>
      </c>
      <c r="O9" s="35"/>
      <c r="P9" s="35"/>
      <c r="Q9" s="35"/>
      <c r="R9" s="35"/>
      <c r="S9" s="35"/>
      <c r="T9" s="35"/>
      <c r="U9" s="26"/>
      <c r="V9" s="26"/>
    </row>
    <row r="10" spans="1:22" ht="21" customHeight="1">
      <c r="A10" s="929"/>
      <c r="B10" s="933"/>
      <c r="C10" s="933"/>
      <c r="D10" s="933"/>
      <c r="E10" s="936"/>
      <c r="F10" s="36"/>
      <c r="G10" s="35" t="s">
        <v>140</v>
      </c>
      <c r="H10" s="35"/>
      <c r="I10" s="35"/>
      <c r="J10" s="35"/>
      <c r="K10" s="35"/>
      <c r="L10" s="35"/>
      <c r="M10" s="35"/>
      <c r="N10" s="35"/>
      <c r="O10" s="35"/>
      <c r="P10" s="35"/>
      <c r="Q10" s="35"/>
      <c r="R10" s="35"/>
      <c r="S10" s="35"/>
      <c r="T10" s="35"/>
      <c r="U10" s="26"/>
      <c r="V10" s="26"/>
    </row>
    <row r="11" spans="1:22" ht="21" customHeight="1">
      <c r="A11" s="929"/>
      <c r="B11" s="933"/>
      <c r="C11" s="933"/>
      <c r="D11" s="933"/>
      <c r="E11" s="936"/>
      <c r="F11" s="36"/>
      <c r="G11" s="35" t="s">
        <v>144</v>
      </c>
      <c r="H11" s="35"/>
      <c r="I11" s="35"/>
      <c r="J11" s="35"/>
      <c r="K11" s="35"/>
      <c r="L11" s="35"/>
      <c r="M11" s="35"/>
      <c r="N11" s="35"/>
      <c r="O11" s="35"/>
      <c r="P11" s="35"/>
      <c r="Q11" s="35"/>
      <c r="R11" s="35"/>
      <c r="S11" s="35"/>
      <c r="T11" s="35"/>
      <c r="U11" s="26"/>
      <c r="V11" s="26"/>
    </row>
    <row r="12" spans="1:22" ht="21" customHeight="1">
      <c r="A12" s="929"/>
      <c r="B12" s="933"/>
      <c r="C12" s="933"/>
      <c r="D12" s="933"/>
      <c r="E12" s="936"/>
      <c r="G12" s="35"/>
      <c r="H12" s="35"/>
      <c r="I12" s="35"/>
      <c r="J12" s="35"/>
      <c r="K12" s="35"/>
      <c r="L12" s="35"/>
      <c r="M12" s="35"/>
      <c r="N12" s="35"/>
      <c r="O12" s="35"/>
      <c r="P12" s="35"/>
      <c r="Q12" s="35"/>
      <c r="R12" s="35"/>
      <c r="S12" s="35"/>
      <c r="T12" s="35"/>
      <c r="U12" s="26"/>
      <c r="V12" s="26"/>
    </row>
    <row r="13" spans="1:22" ht="21" customHeight="1">
      <c r="A13" s="929"/>
      <c r="B13" s="933"/>
      <c r="C13" s="933"/>
      <c r="D13" s="933"/>
      <c r="E13" s="936"/>
      <c r="G13" s="35"/>
      <c r="H13" s="35"/>
      <c r="I13" s="35"/>
      <c r="J13" s="35"/>
      <c r="K13" s="35"/>
      <c r="L13" s="35"/>
      <c r="M13" s="35"/>
      <c r="N13" s="35"/>
      <c r="O13" s="35"/>
      <c r="P13" s="35"/>
      <c r="Q13" s="35"/>
      <c r="R13" s="35"/>
      <c r="S13" s="35"/>
      <c r="T13" s="35"/>
      <c r="U13" s="26"/>
      <c r="V13" s="26"/>
    </row>
    <row r="14" spans="1:22" ht="21" customHeight="1">
      <c r="A14" s="929"/>
      <c r="B14" s="933"/>
      <c r="C14" s="933"/>
      <c r="D14" s="933"/>
      <c r="E14" s="936"/>
      <c r="G14" s="35"/>
      <c r="H14" s="35"/>
      <c r="I14" s="35"/>
      <c r="J14" s="35"/>
      <c r="K14" s="35"/>
      <c r="L14" s="35"/>
      <c r="M14" s="35"/>
      <c r="N14" s="35"/>
      <c r="O14" s="35"/>
      <c r="P14" s="35"/>
      <c r="Q14" s="35"/>
      <c r="R14" s="35"/>
      <c r="S14" s="35"/>
      <c r="T14" s="35"/>
      <c r="U14" s="26"/>
      <c r="V14" s="26"/>
    </row>
    <row r="15" spans="1:22" ht="21" customHeight="1">
      <c r="A15" s="929"/>
      <c r="B15" s="933"/>
      <c r="C15" s="933"/>
      <c r="D15" s="933"/>
      <c r="E15" s="936"/>
      <c r="G15" s="35"/>
      <c r="H15" s="35"/>
      <c r="I15" s="35"/>
      <c r="J15" s="35"/>
      <c r="K15" s="35"/>
      <c r="L15" s="35"/>
      <c r="M15" s="35"/>
      <c r="N15" s="35"/>
      <c r="O15" s="35"/>
      <c r="P15" s="35"/>
      <c r="Q15" s="35"/>
      <c r="R15" s="35"/>
      <c r="S15" s="35"/>
      <c r="T15" s="35"/>
      <c r="U15" s="26"/>
      <c r="V15" s="26"/>
    </row>
    <row r="16" spans="1:22" ht="21" customHeight="1">
      <c r="A16" s="929"/>
      <c r="B16" s="933"/>
      <c r="C16" s="933"/>
      <c r="D16" s="933"/>
      <c r="E16" s="936"/>
      <c r="G16" s="35"/>
      <c r="H16" s="35"/>
      <c r="I16" s="35"/>
      <c r="J16" s="35"/>
      <c r="K16" s="35"/>
      <c r="L16" s="35"/>
      <c r="M16" s="35"/>
      <c r="N16" s="35"/>
      <c r="O16" s="35"/>
      <c r="P16" s="35"/>
      <c r="Q16" s="35"/>
      <c r="R16" s="35"/>
      <c r="S16" s="35"/>
      <c r="T16" s="35"/>
      <c r="U16" s="26"/>
      <c r="V16" s="26"/>
    </row>
    <row r="17" spans="1:22" ht="21" customHeight="1">
      <c r="A17" s="929"/>
      <c r="B17" s="933"/>
      <c r="C17" s="933"/>
      <c r="D17" s="933"/>
      <c r="E17" s="936"/>
      <c r="G17" s="35"/>
      <c r="H17" s="35"/>
      <c r="I17" s="35"/>
      <c r="J17" s="35"/>
      <c r="K17" s="35"/>
      <c r="L17" s="35"/>
      <c r="M17" s="35"/>
      <c r="N17" s="35"/>
      <c r="O17" s="35"/>
      <c r="P17" s="35"/>
      <c r="Q17" s="35"/>
      <c r="R17" s="35"/>
      <c r="S17" s="35"/>
      <c r="T17" s="35"/>
      <c r="U17" s="26"/>
      <c r="V17" s="26"/>
    </row>
    <row r="18" spans="1:22" ht="21" customHeight="1">
      <c r="A18" s="929"/>
      <c r="B18" s="933"/>
      <c r="C18" s="933"/>
      <c r="D18" s="933"/>
      <c r="E18" s="936"/>
      <c r="G18" s="35"/>
      <c r="H18" s="35"/>
      <c r="I18" s="35"/>
      <c r="J18" s="35"/>
      <c r="K18" s="35"/>
      <c r="L18" s="35"/>
      <c r="M18" s="35"/>
      <c r="N18" s="35"/>
      <c r="O18" s="35"/>
      <c r="P18" s="35"/>
      <c r="Q18" s="35"/>
      <c r="R18" s="35"/>
      <c r="S18" s="35"/>
      <c r="T18" s="35"/>
      <c r="U18" s="26"/>
      <c r="V18" s="26"/>
    </row>
    <row r="19" spans="1:22" ht="21" customHeight="1">
      <c r="A19" s="929"/>
      <c r="B19" s="933"/>
      <c r="C19" s="933"/>
      <c r="D19" s="933"/>
      <c r="E19" s="936"/>
      <c r="G19" s="35"/>
      <c r="H19" s="35"/>
      <c r="I19" s="35"/>
      <c r="J19" s="35"/>
      <c r="K19" s="35"/>
      <c r="L19" s="35"/>
      <c r="M19" s="35"/>
      <c r="N19" s="35"/>
      <c r="O19" s="35"/>
      <c r="P19" s="35"/>
      <c r="Q19" s="35"/>
      <c r="R19" s="35"/>
      <c r="S19" s="35"/>
      <c r="T19" s="35"/>
      <c r="U19" s="26"/>
      <c r="V19" s="26"/>
    </row>
    <row r="20" spans="1:22" ht="24" customHeight="1">
      <c r="A20" s="929"/>
      <c r="B20" s="933"/>
      <c r="C20" s="933"/>
      <c r="D20" s="933"/>
      <c r="E20" s="936"/>
      <c r="G20" s="35"/>
      <c r="H20" s="35"/>
      <c r="I20" s="35"/>
      <c r="J20" s="35"/>
      <c r="K20" s="35"/>
      <c r="L20" s="35"/>
      <c r="M20" s="35"/>
      <c r="N20" s="35"/>
      <c r="O20" s="35"/>
      <c r="P20" s="35"/>
      <c r="Q20" s="35"/>
      <c r="R20" s="35"/>
      <c r="S20" s="35"/>
      <c r="T20" s="35"/>
      <c r="U20" s="26"/>
      <c r="V20" s="26"/>
    </row>
    <row r="21" spans="1:22">
      <c r="A21" s="929"/>
      <c r="B21" s="933"/>
      <c r="C21" s="933"/>
      <c r="D21" s="933"/>
      <c r="E21" s="936"/>
      <c r="G21" s="35"/>
      <c r="H21" s="35"/>
      <c r="I21" s="35"/>
      <c r="J21" s="35"/>
      <c r="K21" s="35"/>
      <c r="L21" s="35"/>
      <c r="M21" s="35"/>
      <c r="N21" s="35"/>
      <c r="O21" s="35"/>
      <c r="P21" s="35"/>
      <c r="Q21" s="35"/>
      <c r="R21" s="35"/>
      <c r="S21" s="35"/>
      <c r="T21" s="35"/>
      <c r="U21" s="26"/>
      <c r="V21" s="26"/>
    </row>
    <row r="22" spans="1:22">
      <c r="A22" s="929"/>
      <c r="B22" s="933"/>
      <c r="C22" s="933"/>
      <c r="D22" s="933"/>
      <c r="E22" s="936"/>
      <c r="G22" s="35"/>
      <c r="H22" s="35"/>
      <c r="I22" s="35"/>
      <c r="J22" s="35"/>
      <c r="K22" s="35"/>
      <c r="L22" s="35"/>
      <c r="M22" s="35"/>
      <c r="N22" s="35"/>
      <c r="O22" s="35"/>
      <c r="P22" s="35"/>
      <c r="Q22" s="35"/>
      <c r="R22" s="35"/>
      <c r="S22" s="35"/>
      <c r="T22" s="35"/>
      <c r="U22" s="26"/>
      <c r="V22" s="26"/>
    </row>
    <row r="23" spans="1:22">
      <c r="A23" s="929"/>
      <c r="B23" s="933"/>
      <c r="C23" s="933"/>
      <c r="D23" s="933"/>
      <c r="E23" s="936"/>
      <c r="G23" s="35"/>
      <c r="H23" s="35"/>
      <c r="I23" s="35"/>
      <c r="J23" s="35"/>
      <c r="K23" s="35"/>
      <c r="L23" s="35"/>
      <c r="M23" s="35"/>
      <c r="N23" s="35"/>
      <c r="O23" s="35"/>
      <c r="P23" s="35"/>
      <c r="Q23" s="35"/>
      <c r="R23" s="35"/>
      <c r="S23" s="35"/>
      <c r="T23" s="35"/>
      <c r="U23" s="26"/>
      <c r="V23" s="26"/>
    </row>
    <row r="24" spans="1:22">
      <c r="A24" s="929"/>
      <c r="B24" s="933"/>
      <c r="C24" s="933"/>
      <c r="D24" s="933"/>
      <c r="E24" s="936"/>
      <c r="G24" s="35"/>
      <c r="H24" s="35"/>
      <c r="I24" s="35"/>
      <c r="J24" s="35"/>
      <c r="K24" s="35"/>
      <c r="L24" s="35"/>
      <c r="M24" s="35"/>
      <c r="N24" s="35"/>
      <c r="O24" s="35"/>
      <c r="P24" s="35"/>
      <c r="Q24" s="35"/>
      <c r="R24" s="35"/>
      <c r="S24" s="35"/>
      <c r="T24" s="35"/>
      <c r="U24" s="26"/>
      <c r="V24" s="26"/>
    </row>
    <row r="25" spans="1:22">
      <c r="A25" s="929"/>
      <c r="B25" s="933"/>
      <c r="C25" s="933"/>
      <c r="D25" s="933"/>
      <c r="E25" s="936"/>
      <c r="G25" s="26"/>
      <c r="H25" s="26"/>
      <c r="I25" s="26"/>
      <c r="J25" s="26"/>
      <c r="K25" s="26"/>
      <c r="L25" s="26"/>
      <c r="M25" s="26"/>
      <c r="N25" s="26"/>
      <c r="O25" s="26"/>
      <c r="P25" s="26"/>
      <c r="Q25" s="26"/>
      <c r="R25" s="26"/>
      <c r="S25" s="26"/>
      <c r="T25" s="26"/>
      <c r="U25" s="26"/>
      <c r="V25" s="26"/>
    </row>
    <row r="26" spans="1:22">
      <c r="A26" s="929"/>
      <c r="B26" s="933"/>
      <c r="C26" s="933"/>
      <c r="D26" s="933"/>
      <c r="E26" s="936"/>
      <c r="G26" s="26"/>
      <c r="H26" s="26"/>
      <c r="I26" s="26"/>
      <c r="J26" s="26"/>
      <c r="K26" s="26"/>
      <c r="L26" s="26"/>
      <c r="M26" s="26"/>
      <c r="N26" s="26"/>
      <c r="O26" s="26"/>
      <c r="P26" s="26"/>
      <c r="Q26" s="26"/>
      <c r="R26" s="26"/>
      <c r="S26" s="26"/>
      <c r="T26" s="26"/>
      <c r="U26" s="26"/>
      <c r="V26" s="26"/>
    </row>
    <row r="27" spans="1:22">
      <c r="A27" s="929"/>
      <c r="B27" s="933"/>
      <c r="C27" s="933"/>
      <c r="D27" s="933"/>
      <c r="E27" s="936"/>
      <c r="G27" s="26"/>
      <c r="H27" s="26"/>
      <c r="I27" s="26"/>
      <c r="J27" s="26"/>
      <c r="K27" s="26"/>
      <c r="L27" s="26"/>
      <c r="M27" s="26"/>
      <c r="N27" s="26"/>
      <c r="O27" s="26"/>
      <c r="P27" s="26"/>
      <c r="Q27" s="26"/>
      <c r="R27" s="26"/>
      <c r="S27" s="26"/>
      <c r="T27" s="26"/>
      <c r="U27" s="26"/>
      <c r="V27" s="26"/>
    </row>
    <row r="28" spans="1:22">
      <c r="A28" s="929"/>
      <c r="B28" s="933"/>
      <c r="C28" s="933"/>
      <c r="D28" s="933"/>
      <c r="E28" s="936"/>
      <c r="G28" s="26"/>
      <c r="H28" s="26"/>
      <c r="I28" s="26"/>
      <c r="J28" s="26"/>
      <c r="K28" s="26"/>
      <c r="L28" s="26"/>
      <c r="M28" s="26"/>
      <c r="N28" s="26"/>
      <c r="O28" s="26"/>
      <c r="P28" s="26"/>
      <c r="Q28" s="26"/>
      <c r="R28" s="26"/>
      <c r="S28" s="26"/>
      <c r="T28" s="26"/>
      <c r="U28" s="26"/>
      <c r="V28" s="26"/>
    </row>
    <row r="29" spans="1:22">
      <c r="A29" s="929"/>
      <c r="B29" s="933"/>
      <c r="C29" s="933"/>
      <c r="D29" s="933"/>
      <c r="E29" s="936"/>
    </row>
    <row r="30" spans="1:22">
      <c r="A30" s="929"/>
      <c r="B30" s="933"/>
      <c r="C30" s="933"/>
      <c r="D30" s="933"/>
      <c r="E30" s="936"/>
    </row>
    <row r="31" spans="1:22">
      <c r="A31" s="929"/>
      <c r="B31" s="933"/>
      <c r="C31" s="933"/>
      <c r="D31" s="933"/>
      <c r="E31" s="936"/>
    </row>
    <row r="32" spans="1:22">
      <c r="A32" s="929"/>
      <c r="B32" s="933"/>
      <c r="C32" s="933"/>
      <c r="D32" s="933"/>
      <c r="E32" s="936"/>
    </row>
    <row r="33" spans="1:5">
      <c r="A33" s="929"/>
      <c r="B33" s="933"/>
      <c r="C33" s="933"/>
      <c r="D33" s="933"/>
      <c r="E33" s="936"/>
    </row>
    <row r="34" spans="1:5">
      <c r="A34" s="929"/>
      <c r="B34" s="933"/>
      <c r="C34" s="933"/>
      <c r="D34" s="933"/>
      <c r="E34" s="936"/>
    </row>
    <row r="35" spans="1:5">
      <c r="A35" s="929"/>
      <c r="B35" s="933"/>
      <c r="C35" s="933"/>
      <c r="D35" s="933"/>
      <c r="E35" s="936"/>
    </row>
    <row r="36" spans="1:5">
      <c r="A36" s="929"/>
      <c r="B36" s="933"/>
      <c r="C36" s="933"/>
      <c r="D36" s="933"/>
      <c r="E36" s="936"/>
    </row>
    <row r="37" spans="1:5">
      <c r="A37" s="929"/>
      <c r="B37" s="933"/>
      <c r="C37" s="933"/>
      <c r="D37" s="933"/>
      <c r="E37" s="936"/>
    </row>
    <row r="38" spans="1:5">
      <c r="A38" s="929"/>
      <c r="B38" s="933"/>
      <c r="C38" s="933"/>
      <c r="D38" s="933"/>
      <c r="E38" s="936"/>
    </row>
    <row r="39" spans="1:5">
      <c r="A39" s="929"/>
      <c r="B39" s="933"/>
      <c r="C39" s="933"/>
      <c r="D39" s="933"/>
      <c r="E39" s="936"/>
    </row>
    <row r="40" spans="1:5">
      <c r="A40" s="929"/>
      <c r="B40" s="933"/>
      <c r="C40" s="933"/>
      <c r="D40" s="933"/>
      <c r="E40" s="936"/>
    </row>
    <row r="41" spans="1:5">
      <c r="A41" s="929"/>
      <c r="B41" s="933"/>
      <c r="C41" s="933"/>
      <c r="D41" s="933"/>
      <c r="E41" s="936"/>
    </row>
    <row r="42" spans="1:5">
      <c r="A42" s="929"/>
      <c r="B42" s="933"/>
      <c r="C42" s="933"/>
      <c r="D42" s="933"/>
      <c r="E42" s="936"/>
    </row>
    <row r="43" spans="1:5">
      <c r="A43" s="929"/>
      <c r="B43" s="933"/>
      <c r="C43" s="933"/>
      <c r="D43" s="933"/>
      <c r="E43" s="936"/>
    </row>
    <row r="44" spans="1:5">
      <c r="A44" s="929"/>
      <c r="B44" s="933"/>
      <c r="C44" s="933"/>
      <c r="D44" s="933"/>
      <c r="E44" s="936"/>
    </row>
    <row r="45" spans="1:5">
      <c r="A45" s="929"/>
      <c r="B45" s="933"/>
      <c r="C45" s="933"/>
      <c r="D45" s="933"/>
      <c r="E45" s="936"/>
    </row>
    <row r="46" spans="1:5">
      <c r="A46" s="929"/>
      <c r="B46" s="933"/>
      <c r="C46" s="933"/>
      <c r="D46" s="933"/>
      <c r="E46" s="936"/>
    </row>
    <row r="47" spans="1:5">
      <c r="A47" s="929"/>
      <c r="B47" s="933"/>
      <c r="C47" s="933"/>
      <c r="D47" s="933"/>
      <c r="E47" s="936"/>
    </row>
    <row r="48" spans="1:5">
      <c r="A48" s="929"/>
      <c r="B48" s="933"/>
      <c r="C48" s="933"/>
      <c r="D48" s="933"/>
      <c r="E48" s="936"/>
    </row>
    <row r="49" spans="1:5">
      <c r="A49" s="929"/>
      <c r="B49" s="933"/>
      <c r="C49" s="933"/>
      <c r="D49" s="933"/>
      <c r="E49" s="936"/>
    </row>
    <row r="50" spans="1:5">
      <c r="A50" s="929"/>
      <c r="B50" s="933"/>
      <c r="C50" s="933"/>
      <c r="D50" s="933"/>
      <c r="E50" s="936"/>
    </row>
    <row r="51" spans="1:5" ht="15" thickBot="1">
      <c r="A51" s="930"/>
      <c r="B51" s="934"/>
      <c r="C51" s="934"/>
      <c r="D51" s="934"/>
      <c r="E51" s="937"/>
    </row>
    <row r="52" spans="1:5">
      <c r="E52" s="45"/>
    </row>
    <row r="53" spans="1:5" ht="14.25" customHeight="1">
      <c r="A53" s="931" t="s">
        <v>137</v>
      </c>
      <c r="B53" s="931"/>
      <c r="C53" s="931"/>
      <c r="D53" s="931"/>
      <c r="E53" s="931"/>
    </row>
    <row r="54" spans="1:5">
      <c r="A54" s="931"/>
      <c r="B54" s="931"/>
      <c r="C54" s="931"/>
      <c r="D54" s="931"/>
      <c r="E54" s="931"/>
    </row>
  </sheetData>
  <mergeCells count="13">
    <mergeCell ref="M2:N2"/>
    <mergeCell ref="I3:J3"/>
    <mergeCell ref="K3:L3"/>
    <mergeCell ref="M3:N3"/>
    <mergeCell ref="G3:G4"/>
    <mergeCell ref="H3:H4"/>
    <mergeCell ref="A6:A51"/>
    <mergeCell ref="A53:E54"/>
    <mergeCell ref="D6:D51"/>
    <mergeCell ref="E6:E51"/>
    <mergeCell ref="B5:E5"/>
    <mergeCell ref="C6:C51"/>
    <mergeCell ref="B6:B51"/>
  </mergeCells>
  <phoneticPr fontId="4"/>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L50"/>
  <sheetViews>
    <sheetView zoomScaleNormal="100" workbookViewId="0">
      <selection activeCell="J6" sqref="J6:J16"/>
    </sheetView>
  </sheetViews>
  <sheetFormatPr defaultColWidth="9" defaultRowHeight="15"/>
  <cols>
    <col min="1" max="1" width="3.5703125" style="425" customWidth="1"/>
    <col min="2" max="2" width="3.140625" style="425" customWidth="1"/>
    <col min="3" max="3" width="1.5703125" style="425" customWidth="1"/>
    <col min="4" max="4" width="27.42578125" style="425" customWidth="1"/>
    <col min="5" max="6" width="8.42578125" style="427" customWidth="1"/>
    <col min="7" max="7" width="5.5703125" style="425" customWidth="1"/>
    <col min="8" max="8" width="5" style="425" customWidth="1"/>
    <col min="9" max="9" width="12.42578125" style="425" customWidth="1"/>
    <col min="10" max="10" width="5.42578125" style="425" customWidth="1"/>
    <col min="11" max="11" width="12.42578125" style="425" customWidth="1"/>
    <col min="12" max="12" width="1.5703125" style="425" customWidth="1"/>
    <col min="13" max="16384" width="9" style="425"/>
  </cols>
  <sheetData>
    <row r="2" spans="2:12" ht="25.5" customHeight="1">
      <c r="D2" s="949" t="s">
        <v>145</v>
      </c>
      <c r="E2" s="949"/>
      <c r="F2" s="949"/>
      <c r="G2" s="949"/>
      <c r="H2" s="949"/>
      <c r="I2" s="949"/>
      <c r="J2" s="949"/>
      <c r="K2" s="949"/>
      <c r="L2" s="426"/>
    </row>
    <row r="3" spans="2:12" ht="18" customHeight="1">
      <c r="G3" s="956" t="str">
        <f>'3.Detail Quotation'!B5</f>
        <v>CÔNG TY TNHH VẬT LIỆU MỚI DENKA VIỆT NAM</v>
      </c>
      <c r="H3" s="956"/>
      <c r="I3" s="956"/>
      <c r="J3" s="956"/>
      <c r="K3" s="956"/>
    </row>
    <row r="4" spans="2:12" ht="18" customHeight="1">
      <c r="B4" s="428" t="s">
        <v>159</v>
      </c>
      <c r="I4" s="950" t="str">
        <f>'3.Detail Quotation'!C11</f>
        <v>Việt Nam</v>
      </c>
      <c r="J4" s="950"/>
      <c r="K4" s="950"/>
    </row>
    <row r="5" spans="2:12" ht="28.5" customHeight="1">
      <c r="B5" s="429"/>
      <c r="D5" s="430" t="s">
        <v>162</v>
      </c>
      <c r="E5" s="431" t="s">
        <v>155</v>
      </c>
      <c r="F5" s="432" t="s">
        <v>324</v>
      </c>
      <c r="G5" s="433" t="s">
        <v>156</v>
      </c>
      <c r="H5" s="433" t="s">
        <v>55</v>
      </c>
      <c r="I5" s="434" t="s">
        <v>157</v>
      </c>
      <c r="J5" s="434" t="s">
        <v>54</v>
      </c>
      <c r="K5" s="434" t="s">
        <v>158</v>
      </c>
    </row>
    <row r="6" spans="2:12" ht="16.5" customHeight="1">
      <c r="B6" s="429"/>
      <c r="D6" s="435" t="str">
        <f>IF(B6="","",VLOOKUP(B6,'10.Equipment depreciation table'!$B$3:$E$52,2))</f>
        <v/>
      </c>
      <c r="E6" s="436" t="str">
        <f>IF(B6="","",VLOOKUP(B6,'10.Equipment depreciation table'!$B$3:$E$52,3))</f>
        <v/>
      </c>
      <c r="F6" s="437" t="str">
        <f>IF(B6="","",VLOOKUP(B6,'10.Equipment depreciation table'!$B$3:$E$52,4))</f>
        <v/>
      </c>
      <c r="G6" s="438"/>
      <c r="H6" s="438"/>
      <c r="I6" s="439" t="str">
        <f t="shared" ref="I6:I47" si="0">IF(H6=0,"",E6*G6*H6)</f>
        <v/>
      </c>
      <c r="J6" s="440"/>
      <c r="K6" s="441" t="str">
        <f t="shared" ref="K6:K47" si="1">IF(G6=0,"",F6*G6*J6)</f>
        <v/>
      </c>
    </row>
    <row r="7" spans="2:12" ht="16.5" customHeight="1">
      <c r="B7" s="429"/>
      <c r="D7" s="435" t="str">
        <f>IF(B7="","",VLOOKUP(B7,'10.Equipment depreciation table'!$B$3:$E$52,2))</f>
        <v/>
      </c>
      <c r="E7" s="436" t="str">
        <f>IF(B7="","",VLOOKUP(B7,'10.Equipment depreciation table'!$B$3:$E$52,3))</f>
        <v/>
      </c>
      <c r="F7" s="437" t="str">
        <f>IF(B7="","",VLOOKUP(B7,'10.Equipment depreciation table'!$B$3:$E$52,4))</f>
        <v/>
      </c>
      <c r="G7" s="438"/>
      <c r="H7" s="438"/>
      <c r="I7" s="439" t="str">
        <f t="shared" si="0"/>
        <v/>
      </c>
      <c r="J7" s="440"/>
      <c r="K7" s="441" t="str">
        <f t="shared" si="1"/>
        <v/>
      </c>
    </row>
    <row r="8" spans="2:12" ht="16.5" customHeight="1">
      <c r="B8" s="429"/>
      <c r="D8" s="435" t="str">
        <f>IF(B8="","",VLOOKUP(B8,'10.Equipment depreciation table'!$B$3:$E$52,2))</f>
        <v/>
      </c>
      <c r="E8" s="436" t="str">
        <f>IF(B8="","",VLOOKUP(B8,'10.Equipment depreciation table'!$B$3:$E$52,3))</f>
        <v/>
      </c>
      <c r="F8" s="437" t="str">
        <f>IF(B8="","",VLOOKUP(B8,'10.Equipment depreciation table'!$B$3:$E$52,4))</f>
        <v/>
      </c>
      <c r="G8" s="438"/>
      <c r="H8" s="438"/>
      <c r="I8" s="439" t="str">
        <f t="shared" si="0"/>
        <v/>
      </c>
      <c r="J8" s="440"/>
      <c r="K8" s="441" t="str">
        <f t="shared" si="1"/>
        <v/>
      </c>
    </row>
    <row r="9" spans="2:12" ht="16.5" customHeight="1">
      <c r="B9" s="429"/>
      <c r="D9" s="435" t="str">
        <f>IF(B9="","",VLOOKUP(B9,'10.Equipment depreciation table'!$B$3:$E$52,2))</f>
        <v/>
      </c>
      <c r="E9" s="436" t="str">
        <f>IF(B9="","",VLOOKUP(B9,'10.Equipment depreciation table'!$B$3:$E$52,3))</f>
        <v/>
      </c>
      <c r="F9" s="437" t="str">
        <f>IF(B9="","",VLOOKUP(B9,'10.Equipment depreciation table'!$B$3:$E$52,4))</f>
        <v/>
      </c>
      <c r="G9" s="438"/>
      <c r="H9" s="438"/>
      <c r="I9" s="439" t="str">
        <f t="shared" si="0"/>
        <v/>
      </c>
      <c r="J9" s="440"/>
      <c r="K9" s="441" t="str">
        <f t="shared" si="1"/>
        <v/>
      </c>
    </row>
    <row r="10" spans="2:12" ht="16.5" customHeight="1">
      <c r="B10" s="429"/>
      <c r="D10" s="435" t="str">
        <f>IF(B10="","",VLOOKUP(B10,'10.Equipment depreciation table'!$B$3:$E$52,2))</f>
        <v/>
      </c>
      <c r="E10" s="436" t="str">
        <f>IF(B10="","",VLOOKUP(B10,'10.Equipment depreciation table'!$B$3:$E$52,3))</f>
        <v/>
      </c>
      <c r="F10" s="437" t="str">
        <f>IF(B10="","",VLOOKUP(B10,'10.Equipment depreciation table'!$B$3:$E$52,4))</f>
        <v/>
      </c>
      <c r="G10" s="438"/>
      <c r="H10" s="438"/>
      <c r="I10" s="439" t="str">
        <f t="shared" si="0"/>
        <v/>
      </c>
      <c r="J10" s="440"/>
      <c r="K10" s="441" t="str">
        <f t="shared" si="1"/>
        <v/>
      </c>
    </row>
    <row r="11" spans="2:12" ht="16.5" customHeight="1">
      <c r="B11" s="429"/>
      <c r="D11" s="435" t="str">
        <f>IF(B11="","",VLOOKUP(B11,'10.Equipment depreciation table'!$B$3:$E$52,2))</f>
        <v/>
      </c>
      <c r="E11" s="436" t="str">
        <f>IF(B11="","",VLOOKUP(B11,'10.Equipment depreciation table'!$B$3:$E$52,3))</f>
        <v/>
      </c>
      <c r="F11" s="437" t="str">
        <f>IF(B11="","",VLOOKUP(B11,'10.Equipment depreciation table'!$B$3:$E$52,4))</f>
        <v/>
      </c>
      <c r="G11" s="438"/>
      <c r="H11" s="438"/>
      <c r="I11" s="439" t="str">
        <f t="shared" si="0"/>
        <v/>
      </c>
      <c r="J11" s="440"/>
      <c r="K11" s="441" t="str">
        <f t="shared" si="1"/>
        <v/>
      </c>
    </row>
    <row r="12" spans="2:12" ht="16.5" customHeight="1">
      <c r="B12" s="429"/>
      <c r="D12" s="435" t="str">
        <f>IF(B12="","",VLOOKUP(B12,'10.Equipment depreciation table'!$B$3:$E$52,2))</f>
        <v/>
      </c>
      <c r="E12" s="436" t="str">
        <f>IF(B12="","",VLOOKUP(B12,'10.Equipment depreciation table'!$B$3:$E$52,3))</f>
        <v/>
      </c>
      <c r="F12" s="437" t="str">
        <f>IF(B12="","",VLOOKUP(B12,'10.Equipment depreciation table'!$B$3:$E$52,4))</f>
        <v/>
      </c>
      <c r="G12" s="438"/>
      <c r="H12" s="438"/>
      <c r="I12" s="439" t="str">
        <f t="shared" si="0"/>
        <v/>
      </c>
      <c r="J12" s="440"/>
      <c r="K12" s="441" t="str">
        <f t="shared" si="1"/>
        <v/>
      </c>
    </row>
    <row r="13" spans="2:12" ht="16.5" customHeight="1">
      <c r="B13" s="429"/>
      <c r="D13" s="435" t="str">
        <f>IF(B13="","",VLOOKUP(B13,'10.Equipment depreciation table'!$B$3:$E$52,2))</f>
        <v/>
      </c>
      <c r="E13" s="436" t="str">
        <f>IF(B13="","",VLOOKUP(B13,'10.Equipment depreciation table'!$B$3:$E$52,3))</f>
        <v/>
      </c>
      <c r="F13" s="437" t="str">
        <f>IF(B13="","",VLOOKUP(B13,'10.Equipment depreciation table'!$B$3:$E$52,4))</f>
        <v/>
      </c>
      <c r="G13" s="438"/>
      <c r="H13" s="438"/>
      <c r="I13" s="439" t="str">
        <f t="shared" si="0"/>
        <v/>
      </c>
      <c r="J13" s="440"/>
      <c r="K13" s="441" t="str">
        <f t="shared" si="1"/>
        <v/>
      </c>
    </row>
    <row r="14" spans="2:12" ht="16.5" customHeight="1">
      <c r="B14" s="429"/>
      <c r="D14" s="435" t="str">
        <f>IF(B14="","",VLOOKUP(B14,'10.Equipment depreciation table'!$B$3:$E$52,2))</f>
        <v/>
      </c>
      <c r="E14" s="436" t="str">
        <f>IF(B14="","",VLOOKUP(B14,'10.Equipment depreciation table'!$B$3:$E$52,3))</f>
        <v/>
      </c>
      <c r="F14" s="437" t="str">
        <f>IF(B14="","",VLOOKUP(B14,'10.Equipment depreciation table'!$B$3:$E$52,4))</f>
        <v/>
      </c>
      <c r="G14" s="438"/>
      <c r="H14" s="438"/>
      <c r="I14" s="439" t="str">
        <f t="shared" si="0"/>
        <v/>
      </c>
      <c r="J14" s="440"/>
      <c r="K14" s="441" t="str">
        <f t="shared" si="1"/>
        <v/>
      </c>
    </row>
    <row r="15" spans="2:12" ht="16.5" customHeight="1">
      <c r="B15" s="429"/>
      <c r="D15" s="435" t="str">
        <f>IF(B15="","",VLOOKUP(B15,'10.Equipment depreciation table'!$B$3:$E$52,2))</f>
        <v/>
      </c>
      <c r="E15" s="436" t="str">
        <f>IF(B15="","",VLOOKUP(B15,'10.Equipment depreciation table'!$B$3:$E$52,3))</f>
        <v/>
      </c>
      <c r="F15" s="437" t="str">
        <f>IF(B15="","",VLOOKUP(B15,'10.Equipment depreciation table'!$B$3:$E$52,4))</f>
        <v/>
      </c>
      <c r="G15" s="438"/>
      <c r="H15" s="438"/>
      <c r="I15" s="439" t="str">
        <f t="shared" si="0"/>
        <v/>
      </c>
      <c r="J15" s="440"/>
      <c r="K15" s="441" t="str">
        <f t="shared" si="1"/>
        <v/>
      </c>
    </row>
    <row r="16" spans="2:12" ht="16.5" customHeight="1">
      <c r="B16" s="429"/>
      <c r="D16" s="435" t="str">
        <f>IF(B16="","",VLOOKUP(B16,'10.Equipment depreciation table'!$B$3:$E$52,2))</f>
        <v/>
      </c>
      <c r="E16" s="436" t="str">
        <f>IF(B16="","",VLOOKUP(B16,'10.Equipment depreciation table'!$B$3:$E$52,3))</f>
        <v/>
      </c>
      <c r="F16" s="437" t="str">
        <f>IF(B16="","",VLOOKUP(B16,'10.Equipment depreciation table'!$B$3:$E$52,4))</f>
        <v/>
      </c>
      <c r="G16" s="438"/>
      <c r="H16" s="438"/>
      <c r="I16" s="442" t="str">
        <f t="shared" si="0"/>
        <v/>
      </c>
      <c r="J16" s="440"/>
      <c r="K16" s="441" t="str">
        <f t="shared" si="1"/>
        <v/>
      </c>
    </row>
    <row r="17" spans="2:11" ht="16.5" customHeight="1">
      <c r="B17" s="429"/>
      <c r="D17" s="435" t="str">
        <f>IF(B17="","",VLOOKUP(B17,'10.Equipment depreciation table'!$B$3:$E$52,2))</f>
        <v/>
      </c>
      <c r="E17" s="443" t="str">
        <f>IF(B17="","",VLOOKUP(B17,'10.Equipment depreciation table'!$B$3:$E$52,3))</f>
        <v/>
      </c>
      <c r="F17" s="444" t="str">
        <f>IF(B17="","",VLOOKUP(B17,'10.Equipment depreciation table'!$B$3:$E$52,4))</f>
        <v/>
      </c>
      <c r="G17" s="438"/>
      <c r="H17" s="438"/>
      <c r="I17" s="442" t="str">
        <f t="shared" si="0"/>
        <v/>
      </c>
      <c r="J17" s="440"/>
      <c r="K17" s="441" t="str">
        <f t="shared" si="1"/>
        <v/>
      </c>
    </row>
    <row r="18" spans="2:11" ht="16.5" customHeight="1">
      <c r="B18" s="429"/>
      <c r="D18" s="435" t="str">
        <f>IF(B18="","",VLOOKUP(B18,'10.Equipment depreciation table'!$B$3:$E$52,2))</f>
        <v/>
      </c>
      <c r="E18" s="443" t="str">
        <f>IF(B18="","",VLOOKUP(B18,'10.Equipment depreciation table'!$B$3:$E$52,3))</f>
        <v/>
      </c>
      <c r="F18" s="444" t="str">
        <f>IF(B18="","",VLOOKUP(B18,'10.Equipment depreciation table'!$B$3:$E$52,4))</f>
        <v/>
      </c>
      <c r="G18" s="438"/>
      <c r="H18" s="438"/>
      <c r="I18" s="442" t="str">
        <f t="shared" si="0"/>
        <v/>
      </c>
      <c r="J18" s="440"/>
      <c r="K18" s="441" t="str">
        <f t="shared" si="1"/>
        <v/>
      </c>
    </row>
    <row r="19" spans="2:11" ht="16.5" customHeight="1">
      <c r="B19" s="429"/>
      <c r="D19" s="435" t="str">
        <f>IF(B19="","",VLOOKUP(B19,'10.Equipment depreciation table'!$B$3:$E$52,2))</f>
        <v/>
      </c>
      <c r="E19" s="443" t="str">
        <f>IF(B19="","",VLOOKUP(B19,'10.Equipment depreciation table'!$B$3:$E$52,3))</f>
        <v/>
      </c>
      <c r="F19" s="444" t="str">
        <f>IF(B19="","",VLOOKUP(B19,'10.Equipment depreciation table'!$B$3:$E$52,4))</f>
        <v/>
      </c>
      <c r="G19" s="438"/>
      <c r="H19" s="438"/>
      <c r="I19" s="442" t="str">
        <f t="shared" si="0"/>
        <v/>
      </c>
      <c r="J19" s="440"/>
      <c r="K19" s="441" t="str">
        <f t="shared" si="1"/>
        <v/>
      </c>
    </row>
    <row r="20" spans="2:11" ht="16.5" customHeight="1">
      <c r="B20" s="429"/>
      <c r="D20" s="435" t="str">
        <f>IF(B20="","",VLOOKUP(B20,'10.Equipment depreciation table'!$B$3:$E$52,2))</f>
        <v/>
      </c>
      <c r="E20" s="443" t="str">
        <f>IF(B20="","",VLOOKUP(B20,'10.Equipment depreciation table'!$B$3:$E$52,3))</f>
        <v/>
      </c>
      <c r="F20" s="444" t="str">
        <f>IF(B20="","",VLOOKUP(B20,'10.Equipment depreciation table'!$B$3:$E$52,4))</f>
        <v/>
      </c>
      <c r="G20" s="438"/>
      <c r="H20" s="438"/>
      <c r="I20" s="442" t="str">
        <f t="shared" si="0"/>
        <v/>
      </c>
      <c r="J20" s="440"/>
      <c r="K20" s="441" t="str">
        <f t="shared" si="1"/>
        <v/>
      </c>
    </row>
    <row r="21" spans="2:11" ht="16.5" customHeight="1">
      <c r="B21" s="429"/>
      <c r="D21" s="435" t="str">
        <f>IF(B21="","",VLOOKUP(B21,'10.Equipment depreciation table'!$B$3:$E$52,2))</f>
        <v/>
      </c>
      <c r="E21" s="443" t="str">
        <f>IF(B21="","",VLOOKUP(B21,'10.Equipment depreciation table'!$B$3:$E$52,3))</f>
        <v/>
      </c>
      <c r="F21" s="444" t="str">
        <f>IF(B21="","",VLOOKUP(B21,'10.Equipment depreciation table'!$B$3:$E$52,4))</f>
        <v/>
      </c>
      <c r="G21" s="438"/>
      <c r="H21" s="438"/>
      <c r="I21" s="442" t="str">
        <f t="shared" si="0"/>
        <v/>
      </c>
      <c r="J21" s="440"/>
      <c r="K21" s="441" t="str">
        <f t="shared" si="1"/>
        <v/>
      </c>
    </row>
    <row r="22" spans="2:11" ht="16.5" customHeight="1">
      <c r="B22" s="429"/>
      <c r="D22" s="435" t="str">
        <f>IF(B22="","",VLOOKUP(B22,'10.Equipment depreciation table'!$B$3:$E$52,2))</f>
        <v/>
      </c>
      <c r="E22" s="443" t="str">
        <f>IF(B22="","",VLOOKUP(B22,'10.Equipment depreciation table'!$B$3:$E$52,3))</f>
        <v/>
      </c>
      <c r="F22" s="444" t="str">
        <f>IF(B22="","",VLOOKUP(B22,'10.Equipment depreciation table'!$B$3:$E$52,4))</f>
        <v/>
      </c>
      <c r="G22" s="438"/>
      <c r="H22" s="438"/>
      <c r="I22" s="442" t="str">
        <f t="shared" si="0"/>
        <v/>
      </c>
      <c r="J22" s="440"/>
      <c r="K22" s="441" t="str">
        <f t="shared" si="1"/>
        <v/>
      </c>
    </row>
    <row r="23" spans="2:11" ht="16.5" customHeight="1">
      <c r="B23" s="429"/>
      <c r="D23" s="435" t="str">
        <f>IF(B23="","",VLOOKUP(B23,'10.Equipment depreciation table'!$B$3:$E$52,2))</f>
        <v/>
      </c>
      <c r="E23" s="443" t="str">
        <f>IF(B23="","",VLOOKUP(B23,'10.Equipment depreciation table'!$B$3:$E$52,3))</f>
        <v/>
      </c>
      <c r="F23" s="444" t="str">
        <f>IF(B23="","",VLOOKUP(B23,'10.Equipment depreciation table'!$B$3:$E$52,4))</f>
        <v/>
      </c>
      <c r="G23" s="438"/>
      <c r="H23" s="438"/>
      <c r="I23" s="442" t="str">
        <f t="shared" si="0"/>
        <v/>
      </c>
      <c r="J23" s="440"/>
      <c r="K23" s="441" t="str">
        <f t="shared" si="1"/>
        <v/>
      </c>
    </row>
    <row r="24" spans="2:11" ht="16.5" customHeight="1">
      <c r="B24" s="429"/>
      <c r="D24" s="435" t="str">
        <f>IF(B24="","",VLOOKUP(B24,'10.Equipment depreciation table'!$B$3:$E$52,2))</f>
        <v/>
      </c>
      <c r="E24" s="443" t="str">
        <f>IF(B24="","",VLOOKUP(B24,'10.Equipment depreciation table'!$B$3:$E$52,3))</f>
        <v/>
      </c>
      <c r="F24" s="444" t="str">
        <f>IF(B24="","",VLOOKUP(B24,'10.Equipment depreciation table'!$B$3:$E$52,4))</f>
        <v/>
      </c>
      <c r="G24" s="438"/>
      <c r="H24" s="438"/>
      <c r="I24" s="442" t="str">
        <f t="shared" si="0"/>
        <v/>
      </c>
      <c r="J24" s="440"/>
      <c r="K24" s="441" t="str">
        <f t="shared" si="1"/>
        <v/>
      </c>
    </row>
    <row r="25" spans="2:11" ht="16.5" customHeight="1">
      <c r="B25" s="429"/>
      <c r="D25" s="435" t="str">
        <f>IF(B25="","",VLOOKUP(B25,'10.Equipment depreciation table'!$B$3:$E$52,2))</f>
        <v/>
      </c>
      <c r="E25" s="443" t="str">
        <f>IF(B25="","",VLOOKUP(B25,'10.Equipment depreciation table'!$B$3:$E$52,3))</f>
        <v/>
      </c>
      <c r="F25" s="444" t="str">
        <f>IF(B25="","",VLOOKUP(B25,'10.Equipment depreciation table'!$B$3:$E$52,4))</f>
        <v/>
      </c>
      <c r="G25" s="438"/>
      <c r="H25" s="438"/>
      <c r="I25" s="442" t="str">
        <f t="shared" si="0"/>
        <v/>
      </c>
      <c r="J25" s="440"/>
      <c r="K25" s="441" t="str">
        <f t="shared" si="1"/>
        <v/>
      </c>
    </row>
    <row r="26" spans="2:11" ht="16.5" customHeight="1">
      <c r="B26" s="429"/>
      <c r="D26" s="435" t="str">
        <f>IF(B26="","",VLOOKUP(B26,'10.Equipment depreciation table'!$B$3:$E$52,2))</f>
        <v/>
      </c>
      <c r="E26" s="443" t="str">
        <f>IF(B26="","",VLOOKUP(B26,'10.Equipment depreciation table'!$B$3:$E$52,3))</f>
        <v/>
      </c>
      <c r="F26" s="444" t="str">
        <f>IF(B26="","",VLOOKUP(B26,'10.Equipment depreciation table'!$B$3:$E$52,4))</f>
        <v/>
      </c>
      <c r="G26" s="438"/>
      <c r="H26" s="438"/>
      <c r="I26" s="442" t="str">
        <f t="shared" si="0"/>
        <v/>
      </c>
      <c r="J26" s="440"/>
      <c r="K26" s="441" t="str">
        <f t="shared" si="1"/>
        <v/>
      </c>
    </row>
    <row r="27" spans="2:11" ht="16.5" customHeight="1">
      <c r="B27" s="429"/>
      <c r="D27" s="435" t="str">
        <f>IF(B27="","",VLOOKUP(B27,'10.Equipment depreciation table'!$B$3:$E$52,2))</f>
        <v/>
      </c>
      <c r="E27" s="443" t="str">
        <f>IF(B27="","",VLOOKUP(B27,'10.Equipment depreciation table'!$B$3:$E$52,3))</f>
        <v/>
      </c>
      <c r="F27" s="444" t="str">
        <f>IF(B27="","",VLOOKUP(B27,'10.Equipment depreciation table'!$B$3:$E$52,4))</f>
        <v/>
      </c>
      <c r="G27" s="438"/>
      <c r="H27" s="438"/>
      <c r="I27" s="442" t="str">
        <f t="shared" si="0"/>
        <v/>
      </c>
      <c r="J27" s="440"/>
      <c r="K27" s="441" t="str">
        <f t="shared" si="1"/>
        <v/>
      </c>
    </row>
    <row r="28" spans="2:11" ht="16.5" customHeight="1">
      <c r="B28" s="429"/>
      <c r="D28" s="435" t="str">
        <f>IF(B28="","",VLOOKUP(B28,'10.Equipment depreciation table'!$B$3:$E$52,2))</f>
        <v/>
      </c>
      <c r="E28" s="443" t="str">
        <f>IF(B28="","",VLOOKUP(B28,'10.Equipment depreciation table'!$B$3:$E$52,3))</f>
        <v/>
      </c>
      <c r="F28" s="444" t="str">
        <f>IF(B28="","",VLOOKUP(B28,'10.Equipment depreciation table'!$B$3:$E$52,4))</f>
        <v/>
      </c>
      <c r="G28" s="438"/>
      <c r="H28" s="438"/>
      <c r="I28" s="442" t="str">
        <f t="shared" si="0"/>
        <v/>
      </c>
      <c r="J28" s="440"/>
      <c r="K28" s="441" t="str">
        <f t="shared" si="1"/>
        <v/>
      </c>
    </row>
    <row r="29" spans="2:11" ht="16.5" customHeight="1">
      <c r="B29" s="429"/>
      <c r="D29" s="435" t="str">
        <f>IF(B29="","",VLOOKUP(B29,'10.Equipment depreciation table'!$B$3:$E$52,2))</f>
        <v/>
      </c>
      <c r="E29" s="443" t="str">
        <f>IF(B29="","",VLOOKUP(B29,'10.Equipment depreciation table'!$B$3:$E$52,3))</f>
        <v/>
      </c>
      <c r="F29" s="444" t="str">
        <f>IF(B29="","",VLOOKUP(B29,'10.Equipment depreciation table'!$B$3:$E$52,4))</f>
        <v/>
      </c>
      <c r="G29" s="438"/>
      <c r="H29" s="438"/>
      <c r="I29" s="442" t="str">
        <f t="shared" si="0"/>
        <v/>
      </c>
      <c r="J29" s="440"/>
      <c r="K29" s="441" t="str">
        <f t="shared" si="1"/>
        <v/>
      </c>
    </row>
    <row r="30" spans="2:11" ht="16.5" customHeight="1">
      <c r="B30" s="429"/>
      <c r="D30" s="435" t="str">
        <f>IF(B30="","",VLOOKUP(B30,'10.Equipment depreciation table'!$B$3:$E$52,2))</f>
        <v/>
      </c>
      <c r="E30" s="443" t="str">
        <f>IF(B30="","",VLOOKUP(B30,'10.Equipment depreciation table'!$B$3:$E$52,3))</f>
        <v/>
      </c>
      <c r="F30" s="444" t="str">
        <f>IF(B30="","",VLOOKUP(B30,'10.Equipment depreciation table'!$B$3:$E$52,4))</f>
        <v/>
      </c>
      <c r="G30" s="438"/>
      <c r="H30" s="438"/>
      <c r="I30" s="442" t="str">
        <f t="shared" si="0"/>
        <v/>
      </c>
      <c r="J30" s="440"/>
      <c r="K30" s="441" t="str">
        <f t="shared" si="1"/>
        <v/>
      </c>
    </row>
    <row r="31" spans="2:11" ht="16.5" customHeight="1">
      <c r="B31" s="429"/>
      <c r="D31" s="435" t="str">
        <f>IF(B31="","",VLOOKUP(B31,'10.Equipment depreciation table'!$B$3:$E$52,2))</f>
        <v/>
      </c>
      <c r="E31" s="443" t="str">
        <f>IF(B31="","",VLOOKUP(B31,'10.Equipment depreciation table'!$B$3:$E$52,3))</f>
        <v/>
      </c>
      <c r="F31" s="444" t="str">
        <f>IF(B31="","",VLOOKUP(B31,'10.Equipment depreciation table'!$B$3:$E$52,4))</f>
        <v/>
      </c>
      <c r="G31" s="438"/>
      <c r="H31" s="438"/>
      <c r="I31" s="442" t="str">
        <f t="shared" si="0"/>
        <v/>
      </c>
      <c r="J31" s="440"/>
      <c r="K31" s="441" t="str">
        <f t="shared" si="1"/>
        <v/>
      </c>
    </row>
    <row r="32" spans="2:11" ht="16.5" customHeight="1">
      <c r="B32" s="429"/>
      <c r="D32" s="435" t="str">
        <f>IF(B32="","",VLOOKUP(B32,'10.Equipment depreciation table'!$B$3:$E$52,2))</f>
        <v/>
      </c>
      <c r="E32" s="443" t="str">
        <f>IF(B32="","",VLOOKUP(B32,'10.Equipment depreciation table'!$B$3:$E$52,3))</f>
        <v/>
      </c>
      <c r="F32" s="444" t="str">
        <f>IF(B32="","",VLOOKUP(B32,'10.Equipment depreciation table'!$B$3:$E$52,4))</f>
        <v/>
      </c>
      <c r="G32" s="438"/>
      <c r="H32" s="438"/>
      <c r="I32" s="442" t="str">
        <f t="shared" si="0"/>
        <v/>
      </c>
      <c r="J32" s="440"/>
      <c r="K32" s="441" t="str">
        <f t="shared" si="1"/>
        <v/>
      </c>
    </row>
    <row r="33" spans="2:11" ht="16.5" customHeight="1">
      <c r="B33" s="429"/>
      <c r="D33" s="435" t="str">
        <f>IF(B33="","",VLOOKUP(B33,'10.Equipment depreciation table'!$B$3:$E$52,2))</f>
        <v/>
      </c>
      <c r="E33" s="443" t="str">
        <f>IF(B33="","",VLOOKUP(B33,'10.Equipment depreciation table'!$B$3:$E$52,3))</f>
        <v/>
      </c>
      <c r="F33" s="444" t="str">
        <f>IF(B33="","",VLOOKUP(B33,'10.Equipment depreciation table'!$B$3:$E$52,4))</f>
        <v/>
      </c>
      <c r="G33" s="438"/>
      <c r="H33" s="438"/>
      <c r="I33" s="442" t="str">
        <f t="shared" si="0"/>
        <v/>
      </c>
      <c r="J33" s="440"/>
      <c r="K33" s="441" t="str">
        <f t="shared" si="1"/>
        <v/>
      </c>
    </row>
    <row r="34" spans="2:11" ht="16.5" customHeight="1">
      <c r="B34" s="429"/>
      <c r="D34" s="435" t="str">
        <f>IF(B34="","",VLOOKUP(B34,'10.Equipment depreciation table'!$B$3:$E$52,2))</f>
        <v/>
      </c>
      <c r="E34" s="443" t="str">
        <f>IF(B34="","",VLOOKUP(B34,'10.Equipment depreciation table'!$B$3:$E$52,3))</f>
        <v/>
      </c>
      <c r="F34" s="444" t="str">
        <f>IF(B34="","",VLOOKUP(B34,'10.Equipment depreciation table'!$B$3:$E$52,4))</f>
        <v/>
      </c>
      <c r="G34" s="438"/>
      <c r="H34" s="438"/>
      <c r="I34" s="442" t="str">
        <f t="shared" si="0"/>
        <v/>
      </c>
      <c r="J34" s="440"/>
      <c r="K34" s="441" t="str">
        <f t="shared" si="1"/>
        <v/>
      </c>
    </row>
    <row r="35" spans="2:11" ht="16.5" customHeight="1">
      <c r="B35" s="429"/>
      <c r="D35" s="435" t="str">
        <f>IF(B35="","",VLOOKUP(B35,'10.Equipment depreciation table'!$B$3:$E$52,2))</f>
        <v/>
      </c>
      <c r="E35" s="443" t="str">
        <f>IF(B35="","",VLOOKUP(B35,'10.Equipment depreciation table'!$B$3:$E$52,3))</f>
        <v/>
      </c>
      <c r="F35" s="444" t="str">
        <f>IF(B35="","",VLOOKUP(B35,'10.Equipment depreciation table'!$B$3:$E$52,4))</f>
        <v/>
      </c>
      <c r="G35" s="438"/>
      <c r="H35" s="438"/>
      <c r="I35" s="442" t="str">
        <f t="shared" si="0"/>
        <v/>
      </c>
      <c r="J35" s="440"/>
      <c r="K35" s="441" t="str">
        <f t="shared" si="1"/>
        <v/>
      </c>
    </row>
    <row r="36" spans="2:11" ht="16.5" customHeight="1">
      <c r="B36" s="429"/>
      <c r="D36" s="435" t="str">
        <f>IF(B36="","",VLOOKUP(B36,'10.Equipment depreciation table'!$B$3:$E$52,2))</f>
        <v/>
      </c>
      <c r="E36" s="443" t="str">
        <f>IF(B36="","",VLOOKUP(B36,'10.Equipment depreciation table'!$B$3:$E$52,3))</f>
        <v/>
      </c>
      <c r="F36" s="444" t="str">
        <f>IF(B36="","",VLOOKUP(B36,'10.Equipment depreciation table'!$B$3:$E$52,4))</f>
        <v/>
      </c>
      <c r="G36" s="438"/>
      <c r="H36" s="438"/>
      <c r="I36" s="442" t="str">
        <f t="shared" si="0"/>
        <v/>
      </c>
      <c r="J36" s="440"/>
      <c r="K36" s="441" t="str">
        <f t="shared" si="1"/>
        <v/>
      </c>
    </row>
    <row r="37" spans="2:11" ht="16.5" customHeight="1">
      <c r="B37" s="429"/>
      <c r="D37" s="435" t="str">
        <f>IF(B37="","",VLOOKUP(B37,'10.Equipment depreciation table'!$B$3:$E$52,2))</f>
        <v/>
      </c>
      <c r="E37" s="443" t="str">
        <f>IF(B37="","",VLOOKUP(B37,'10.Equipment depreciation table'!$B$3:$E$52,3))</f>
        <v/>
      </c>
      <c r="F37" s="444" t="str">
        <f>IF(B37="","",VLOOKUP(B37,'10.Equipment depreciation table'!$B$3:$E$52,4))</f>
        <v/>
      </c>
      <c r="G37" s="438"/>
      <c r="H37" s="438"/>
      <c r="I37" s="442" t="str">
        <f t="shared" si="0"/>
        <v/>
      </c>
      <c r="J37" s="440"/>
      <c r="K37" s="441" t="str">
        <f t="shared" si="1"/>
        <v/>
      </c>
    </row>
    <row r="38" spans="2:11" ht="16.5" customHeight="1">
      <c r="B38" s="429"/>
      <c r="D38" s="435" t="str">
        <f>IF(B38="","",VLOOKUP(B38,'10.Equipment depreciation table'!$B$3:$E$52,2))</f>
        <v/>
      </c>
      <c r="E38" s="443" t="str">
        <f>IF(B38="","",VLOOKUP(B38,'10.Equipment depreciation table'!$B$3:$E$52,3))</f>
        <v/>
      </c>
      <c r="F38" s="444" t="str">
        <f>IF(B38="","",VLOOKUP(B38,'10.Equipment depreciation table'!$B$3:$E$52,4))</f>
        <v/>
      </c>
      <c r="G38" s="438"/>
      <c r="H38" s="438"/>
      <c r="I38" s="442" t="str">
        <f t="shared" si="0"/>
        <v/>
      </c>
      <c r="J38" s="440"/>
      <c r="K38" s="441" t="str">
        <f t="shared" si="1"/>
        <v/>
      </c>
    </row>
    <row r="39" spans="2:11" ht="16.5" customHeight="1">
      <c r="B39" s="429"/>
      <c r="D39" s="435" t="str">
        <f>IF(B39="","",VLOOKUP(B39,'10.Equipment depreciation table'!$B$3:$E$52,2))</f>
        <v/>
      </c>
      <c r="E39" s="443" t="str">
        <f>IF(B39="","",VLOOKUP(B39,'10.Equipment depreciation table'!$B$3:$E$52,3))</f>
        <v/>
      </c>
      <c r="F39" s="444" t="str">
        <f>IF(B39="","",VLOOKUP(B39,'10.Equipment depreciation table'!$B$3:$E$52,4))</f>
        <v/>
      </c>
      <c r="G39" s="438"/>
      <c r="H39" s="438"/>
      <c r="I39" s="442" t="str">
        <f t="shared" si="0"/>
        <v/>
      </c>
      <c r="J39" s="440"/>
      <c r="K39" s="441" t="str">
        <f t="shared" si="1"/>
        <v/>
      </c>
    </row>
    <row r="40" spans="2:11" ht="16.5" customHeight="1">
      <c r="B40" s="429"/>
      <c r="D40" s="435" t="str">
        <f>IF(B40="","",VLOOKUP(B40,'10.Equipment depreciation table'!$B$3:$E$52,2))</f>
        <v/>
      </c>
      <c r="E40" s="443" t="str">
        <f>IF(B40="","",VLOOKUP(B40,'10.Equipment depreciation table'!$B$3:$E$52,3))</f>
        <v/>
      </c>
      <c r="F40" s="444" t="str">
        <f>IF(B40="","",VLOOKUP(B40,'10.Equipment depreciation table'!$B$3:$E$52,4))</f>
        <v/>
      </c>
      <c r="G40" s="438"/>
      <c r="H40" s="438"/>
      <c r="I40" s="442" t="str">
        <f t="shared" si="0"/>
        <v/>
      </c>
      <c r="J40" s="440"/>
      <c r="K40" s="441" t="str">
        <f t="shared" si="1"/>
        <v/>
      </c>
    </row>
    <row r="41" spans="2:11" ht="16.5" customHeight="1">
      <c r="B41" s="429"/>
      <c r="D41" s="435" t="str">
        <f>IF(B41="","",VLOOKUP(B41,'10.Equipment depreciation table'!$B$3:$E$52,2))</f>
        <v/>
      </c>
      <c r="E41" s="443" t="str">
        <f>IF(B41="","",VLOOKUP(B41,'10.Equipment depreciation table'!$B$3:$E$52,3))</f>
        <v/>
      </c>
      <c r="F41" s="444" t="str">
        <f>IF(B41="","",VLOOKUP(B41,'10.Equipment depreciation table'!$B$3:$E$52,4))</f>
        <v/>
      </c>
      <c r="G41" s="438"/>
      <c r="H41" s="438"/>
      <c r="I41" s="442" t="str">
        <f t="shared" si="0"/>
        <v/>
      </c>
      <c r="J41" s="440"/>
      <c r="K41" s="441" t="str">
        <f t="shared" si="1"/>
        <v/>
      </c>
    </row>
    <row r="42" spans="2:11" ht="16.5" customHeight="1">
      <c r="B42" s="429"/>
      <c r="D42" s="435" t="str">
        <f>IF(B42="","",VLOOKUP(B42,'10.Equipment depreciation table'!$B$3:$E$52,2))</f>
        <v/>
      </c>
      <c r="E42" s="443" t="str">
        <f>IF(B42="","",VLOOKUP(B42,'10.Equipment depreciation table'!$B$3:$E$52,3))</f>
        <v/>
      </c>
      <c r="F42" s="444" t="str">
        <f>IF(B42="","",VLOOKUP(B42,'10.Equipment depreciation table'!$B$3:$E$52,4))</f>
        <v/>
      </c>
      <c r="G42" s="438"/>
      <c r="H42" s="438"/>
      <c r="I42" s="442" t="str">
        <f t="shared" si="0"/>
        <v/>
      </c>
      <c r="J42" s="440"/>
      <c r="K42" s="441" t="str">
        <f t="shared" si="1"/>
        <v/>
      </c>
    </row>
    <row r="43" spans="2:11" ht="16.5" customHeight="1">
      <c r="B43" s="429"/>
      <c r="D43" s="435" t="str">
        <f>IF(B43="","",VLOOKUP(B43,'10.Equipment depreciation table'!$B$3:$E$52,2))</f>
        <v/>
      </c>
      <c r="E43" s="443" t="str">
        <f>IF(B43="","",VLOOKUP(B43,'10.Equipment depreciation table'!$B$3:$E$52,3))</f>
        <v/>
      </c>
      <c r="F43" s="444" t="str">
        <f>IF(B43="","",VLOOKUP(B43,'10.Equipment depreciation table'!$B$3:$E$52,4))</f>
        <v/>
      </c>
      <c r="G43" s="438"/>
      <c r="H43" s="438"/>
      <c r="I43" s="442" t="str">
        <f t="shared" si="0"/>
        <v/>
      </c>
      <c r="J43" s="440"/>
      <c r="K43" s="441" t="str">
        <f t="shared" si="1"/>
        <v/>
      </c>
    </row>
    <row r="44" spans="2:11" ht="16.5" customHeight="1">
      <c r="B44" s="429"/>
      <c r="D44" s="435" t="str">
        <f>IF(B44="","",VLOOKUP(B44,'10.Equipment depreciation table'!$B$3:$E$52,2))</f>
        <v/>
      </c>
      <c r="E44" s="443" t="str">
        <f>IF(B44="","",VLOOKUP(B44,'10.Equipment depreciation table'!$B$3:$E$52,3))</f>
        <v/>
      </c>
      <c r="F44" s="444" t="str">
        <f>IF(B44="","",VLOOKUP(B44,'10.Equipment depreciation table'!$B$3:$E$52,4))</f>
        <v/>
      </c>
      <c r="G44" s="438"/>
      <c r="H44" s="438"/>
      <c r="I44" s="442" t="str">
        <f t="shared" si="0"/>
        <v/>
      </c>
      <c r="J44" s="440"/>
      <c r="K44" s="441" t="str">
        <f t="shared" si="1"/>
        <v/>
      </c>
    </row>
    <row r="45" spans="2:11" ht="16.5" customHeight="1">
      <c r="B45" s="429"/>
      <c r="D45" s="435" t="str">
        <f>IF(B45="","",VLOOKUP(B45,'10.Equipment depreciation table'!$B$3:$E$52,2))</f>
        <v/>
      </c>
      <c r="E45" s="443" t="str">
        <f>IF(B45="","",VLOOKUP(B45,'10.Equipment depreciation table'!$B$3:$E$52,3))</f>
        <v/>
      </c>
      <c r="F45" s="444" t="str">
        <f>IF(B45="","",VLOOKUP(B45,'10.Equipment depreciation table'!$B$3:$E$52,4))</f>
        <v/>
      </c>
      <c r="G45" s="438"/>
      <c r="H45" s="438"/>
      <c r="I45" s="442" t="str">
        <f t="shared" si="0"/>
        <v/>
      </c>
      <c r="J45" s="440"/>
      <c r="K45" s="441" t="str">
        <f t="shared" si="1"/>
        <v/>
      </c>
    </row>
    <row r="46" spans="2:11" ht="16.5" customHeight="1">
      <c r="B46" s="445"/>
      <c r="D46" s="435" t="str">
        <f>IF(B46="","",VLOOKUP(B46,'10.Equipment depreciation table'!$B$3:$E$52,2))</f>
        <v/>
      </c>
      <c r="E46" s="443" t="str">
        <f>IF(B46="","",VLOOKUP(B46,'10.Equipment depreciation table'!$B$3:$E$52,3))</f>
        <v/>
      </c>
      <c r="F46" s="444" t="str">
        <f>IF(B46="","",VLOOKUP(B46,'10.Equipment depreciation table'!$B$3:$E$52,4))</f>
        <v/>
      </c>
      <c r="G46" s="438"/>
      <c r="H46" s="438"/>
      <c r="I46" s="442" t="str">
        <f t="shared" si="0"/>
        <v/>
      </c>
      <c r="J46" s="440"/>
      <c r="K46" s="441" t="str">
        <f t="shared" si="1"/>
        <v/>
      </c>
    </row>
    <row r="47" spans="2:11" ht="16.5" customHeight="1" thickBot="1">
      <c r="B47" s="429"/>
      <c r="D47" s="446" t="str">
        <f>IF(B47="","",VLOOKUP(B47,'10.Equipment depreciation table'!$B$3:$E$52,2))</f>
        <v/>
      </c>
      <c r="E47" s="447" t="str">
        <f>IF(B47="","",VLOOKUP(B47,'10.Equipment depreciation table'!$B$3:$E$52,3))</f>
        <v/>
      </c>
      <c r="F47" s="448" t="str">
        <f>IF(B47="","",VLOOKUP(B47,'10.Equipment depreciation table'!$B$3:$E$52,4))</f>
        <v/>
      </c>
      <c r="G47" s="449"/>
      <c r="H47" s="449"/>
      <c r="I47" s="442" t="str">
        <f t="shared" si="0"/>
        <v/>
      </c>
      <c r="J47" s="450"/>
      <c r="K47" s="441" t="str">
        <f t="shared" si="1"/>
        <v/>
      </c>
    </row>
    <row r="48" spans="2:11" ht="16.5" customHeight="1">
      <c r="B48" s="451"/>
      <c r="C48" s="451"/>
      <c r="D48" s="451" t="str">
        <f>IF(B48="","",VLOOKUP(B48,'10.Equipment depreciation table'!$B$3:$E$52,2))</f>
        <v/>
      </c>
      <c r="E48" s="452" t="str">
        <f>IF(B48="","",VLOOKUP(B48,'10.Equipment depreciation table'!$B$3:$E$52,3))</f>
        <v/>
      </c>
      <c r="F48" s="453" t="str">
        <f>IF(B48="","",VLOOKUP(B48,'10.Equipment depreciation table'!$B$3:$E$52,4))</f>
        <v/>
      </c>
      <c r="G48" s="454"/>
      <c r="H48" s="455" t="s">
        <v>154</v>
      </c>
      <c r="I48" s="456">
        <f>SUM(I6:I47)</f>
        <v>0</v>
      </c>
      <c r="J48" s="457" t="s">
        <v>154</v>
      </c>
      <c r="K48" s="458">
        <f>SUM(K6:K47)</f>
        <v>0</v>
      </c>
    </row>
    <row r="49" spans="2:11" ht="16.5" customHeight="1" thickBot="1">
      <c r="B49" s="451"/>
      <c r="C49" s="451"/>
      <c r="D49" s="451" t="str">
        <f>IF(B49="","",VLOOKUP(B49,'10.Equipment depreciation table'!$B$3:$E$52,2))</f>
        <v/>
      </c>
      <c r="E49" s="452" t="str">
        <f>IF(B49="","",VLOOKUP(B49,'10.Equipment depreciation table'!$B$3:$E$52,3))</f>
        <v/>
      </c>
      <c r="F49" s="453" t="str">
        <f>IF(B49="","",VLOOKUP(B49,'10.Equipment depreciation table'!$B$3:$E$52,4))</f>
        <v/>
      </c>
      <c r="G49" s="951" t="s">
        <v>153</v>
      </c>
      <c r="H49" s="952"/>
      <c r="I49" s="953"/>
      <c r="J49" s="954">
        <f>I48+K48</f>
        <v>0</v>
      </c>
      <c r="K49" s="955"/>
    </row>
    <row r="50" spans="2:11">
      <c r="D50" s="451"/>
      <c r="E50" s="459"/>
      <c r="F50" s="459"/>
      <c r="G50" s="451"/>
      <c r="H50" s="451"/>
      <c r="I50" s="451"/>
      <c r="J50" s="451"/>
      <c r="K50" s="451"/>
    </row>
  </sheetData>
  <mergeCells count="5">
    <mergeCell ref="D2:K2"/>
    <mergeCell ref="I4:K4"/>
    <mergeCell ref="G49:I49"/>
    <mergeCell ref="J49:K49"/>
    <mergeCell ref="G3:K3"/>
  </mergeCells>
  <phoneticPr fontId="4"/>
  <pageMargins left="0.98425196850393704" right="0.39370078740157483" top="0.78740157480314965" bottom="0.59055118110236227" header="0.19685039370078741" footer="0.19685039370078741"/>
  <pageSetup paperSize="9" scale="95" orientation="portrait" r:id="rId1"/>
  <headerFooter alignWithMargins="0">
    <oddHeader>&amp;R&amp;G</oddHead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E54"/>
  <sheetViews>
    <sheetView topLeftCell="A11" zoomScale="110" zoomScaleNormal="110" workbookViewId="0">
      <selection activeCell="B3" sqref="B3:B49"/>
    </sheetView>
  </sheetViews>
  <sheetFormatPr defaultColWidth="9" defaultRowHeight="14.25"/>
  <cols>
    <col min="1" max="1" width="1.5703125" style="5" customWidth="1"/>
    <col min="2" max="2" width="5.5703125" style="5" customWidth="1"/>
    <col min="3" max="3" width="25.5703125" style="5" customWidth="1"/>
    <col min="4" max="4" width="20.42578125" style="5" customWidth="1"/>
    <col min="5" max="5" width="20.5703125" style="5" customWidth="1"/>
    <col min="6" max="16384" width="9" style="5"/>
  </cols>
  <sheetData>
    <row r="1" spans="2:5" ht="5.0999999999999996" customHeight="1"/>
    <row r="2" spans="2:5" ht="18" customHeight="1">
      <c r="B2" s="4" t="s">
        <v>38</v>
      </c>
      <c r="C2" s="4" t="s">
        <v>219</v>
      </c>
      <c r="D2" s="4" t="s">
        <v>178</v>
      </c>
      <c r="E2" s="4" t="s">
        <v>220</v>
      </c>
    </row>
    <row r="3" spans="2:5" ht="17.100000000000001" customHeight="1">
      <c r="B3" s="6">
        <v>1</v>
      </c>
      <c r="C3" s="7" t="s">
        <v>107</v>
      </c>
      <c r="D3" s="103">
        <v>113.1</v>
      </c>
      <c r="E3" s="103">
        <v>34.799999999999997</v>
      </c>
    </row>
    <row r="4" spans="2:5" ht="17.100000000000001" customHeight="1">
      <c r="B4" s="8">
        <v>2</v>
      </c>
      <c r="C4" s="9" t="s">
        <v>321</v>
      </c>
      <c r="D4" s="104">
        <v>139</v>
      </c>
      <c r="E4" s="104">
        <v>34.799999999999997</v>
      </c>
    </row>
    <row r="5" spans="2:5" ht="17.100000000000001" customHeight="1">
      <c r="B5" s="8">
        <v>3</v>
      </c>
      <c r="C5" s="9" t="s">
        <v>320</v>
      </c>
      <c r="D5" s="104">
        <v>139.1</v>
      </c>
      <c r="E5" s="104">
        <v>34.799999999999997</v>
      </c>
    </row>
    <row r="6" spans="2:5" ht="17.100000000000001" customHeight="1">
      <c r="B6" s="8">
        <v>4</v>
      </c>
      <c r="C6" s="9" t="s">
        <v>37</v>
      </c>
      <c r="D6" s="104">
        <v>13.1</v>
      </c>
      <c r="E6" s="104">
        <v>8.6999999999999993</v>
      </c>
    </row>
    <row r="7" spans="2:5" ht="17.100000000000001" customHeight="1">
      <c r="B7" s="8">
        <v>5</v>
      </c>
      <c r="C7" s="9" t="s">
        <v>221</v>
      </c>
      <c r="D7" s="104">
        <v>8.6999999999999993</v>
      </c>
      <c r="E7" s="104">
        <v>7</v>
      </c>
    </row>
    <row r="8" spans="2:5" ht="17.100000000000001" customHeight="1">
      <c r="B8" s="8">
        <v>6</v>
      </c>
      <c r="C8" s="9" t="s">
        <v>101</v>
      </c>
      <c r="D8" s="104">
        <v>8.6999999999999993</v>
      </c>
      <c r="E8" s="104">
        <v>4.3</v>
      </c>
    </row>
    <row r="9" spans="2:5" ht="17.100000000000001" customHeight="1">
      <c r="B9" s="8">
        <v>7</v>
      </c>
      <c r="C9" s="9" t="s">
        <v>108</v>
      </c>
      <c r="D9" s="104">
        <v>13.1</v>
      </c>
      <c r="E9" s="104">
        <v>8.6999999999999993</v>
      </c>
    </row>
    <row r="10" spans="2:5" ht="17.100000000000001" customHeight="1">
      <c r="B10" s="8">
        <v>8</v>
      </c>
      <c r="C10" s="9" t="s">
        <v>109</v>
      </c>
      <c r="D10" s="104">
        <v>13.1</v>
      </c>
      <c r="E10" s="104">
        <v>13.1</v>
      </c>
    </row>
    <row r="11" spans="2:5" ht="17.100000000000001" customHeight="1">
      <c r="B11" s="8">
        <v>9</v>
      </c>
      <c r="C11" s="9" t="s">
        <v>113</v>
      </c>
      <c r="D11" s="104">
        <v>13.1</v>
      </c>
      <c r="E11" s="104">
        <v>0</v>
      </c>
    </row>
    <row r="12" spans="2:5" ht="17.100000000000001" customHeight="1">
      <c r="B12" s="8">
        <v>10</v>
      </c>
      <c r="C12" s="9" t="s">
        <v>36</v>
      </c>
      <c r="D12" s="104">
        <v>26.1</v>
      </c>
      <c r="E12" s="104">
        <v>30.5</v>
      </c>
    </row>
    <row r="13" spans="2:5" ht="17.100000000000001" customHeight="1">
      <c r="B13" s="8">
        <v>11</v>
      </c>
      <c r="C13" s="9" t="s">
        <v>116</v>
      </c>
      <c r="D13" s="104">
        <v>26.1</v>
      </c>
      <c r="E13" s="104">
        <v>30.5</v>
      </c>
    </row>
    <row r="14" spans="2:5" ht="17.100000000000001" customHeight="1">
      <c r="B14" s="8">
        <v>12</v>
      </c>
      <c r="C14" s="9" t="s">
        <v>110</v>
      </c>
      <c r="D14" s="104">
        <v>26.1</v>
      </c>
      <c r="E14" s="104">
        <v>30.5</v>
      </c>
    </row>
    <row r="15" spans="2:5" ht="17.100000000000001" customHeight="1">
      <c r="B15" s="8">
        <v>13</v>
      </c>
      <c r="C15" s="9" t="s">
        <v>111</v>
      </c>
      <c r="D15" s="104">
        <v>26.1</v>
      </c>
      <c r="E15" s="104">
        <v>34.799999999999997</v>
      </c>
    </row>
    <row r="16" spans="2:5" ht="17.100000000000001" customHeight="1">
      <c r="B16" s="8">
        <v>14</v>
      </c>
      <c r="C16" s="9" t="s">
        <v>204</v>
      </c>
      <c r="D16" s="104">
        <v>26.1</v>
      </c>
      <c r="E16" s="104">
        <v>30.5</v>
      </c>
    </row>
    <row r="17" spans="2:5" ht="17.100000000000001" customHeight="1">
      <c r="B17" s="8">
        <v>15</v>
      </c>
      <c r="C17" s="9" t="s">
        <v>205</v>
      </c>
      <c r="D17" s="104">
        <v>26.1</v>
      </c>
      <c r="E17" s="104">
        <v>13.1</v>
      </c>
    </row>
    <row r="18" spans="2:5" ht="17.100000000000001" customHeight="1">
      <c r="B18" s="8">
        <v>16</v>
      </c>
      <c r="C18" s="9" t="s">
        <v>112</v>
      </c>
      <c r="D18" s="104">
        <v>26.1</v>
      </c>
      <c r="E18" s="104">
        <v>8.6999999999999993</v>
      </c>
    </row>
    <row r="19" spans="2:5" ht="17.100000000000001" customHeight="1">
      <c r="B19" s="8">
        <v>17</v>
      </c>
      <c r="C19" s="9" t="s">
        <v>102</v>
      </c>
      <c r="D19" s="104">
        <v>34.799999999999997</v>
      </c>
      <c r="E19" s="104">
        <v>0</v>
      </c>
    </row>
    <row r="20" spans="2:5" ht="17.100000000000001" customHeight="1">
      <c r="B20" s="8">
        <v>18</v>
      </c>
      <c r="C20" s="9" t="s">
        <v>103</v>
      </c>
      <c r="D20" s="104">
        <v>8.6999999999999993</v>
      </c>
      <c r="E20" s="104">
        <v>0</v>
      </c>
    </row>
    <row r="21" spans="2:5" ht="17.100000000000001" customHeight="1">
      <c r="B21" s="8">
        <v>19</v>
      </c>
      <c r="C21" s="9" t="s">
        <v>104</v>
      </c>
      <c r="D21" s="104">
        <v>17.399999999999999</v>
      </c>
      <c r="E21" s="104">
        <v>0</v>
      </c>
    </row>
    <row r="22" spans="2:5" ht="17.100000000000001" customHeight="1">
      <c r="B22" s="8">
        <v>20</v>
      </c>
      <c r="C22" s="9" t="s">
        <v>35</v>
      </c>
      <c r="D22" s="104">
        <v>26.1</v>
      </c>
      <c r="E22" s="104">
        <v>0</v>
      </c>
    </row>
    <row r="23" spans="2:5" ht="17.100000000000001" customHeight="1">
      <c r="B23" s="8">
        <v>21</v>
      </c>
      <c r="C23" s="9" t="s">
        <v>34</v>
      </c>
      <c r="D23" s="104">
        <v>26.1</v>
      </c>
      <c r="E23" s="104">
        <v>0</v>
      </c>
    </row>
    <row r="24" spans="2:5" ht="17.100000000000001" customHeight="1">
      <c r="B24" s="8">
        <v>22</v>
      </c>
      <c r="C24" s="9" t="s">
        <v>33</v>
      </c>
      <c r="D24" s="104">
        <v>39.200000000000003</v>
      </c>
      <c r="E24" s="104">
        <v>13.1</v>
      </c>
    </row>
    <row r="25" spans="2:5" ht="17.100000000000001" customHeight="1">
      <c r="B25" s="8">
        <v>23</v>
      </c>
      <c r="C25" s="9" t="s">
        <v>114</v>
      </c>
      <c r="D25" s="104">
        <v>26.1</v>
      </c>
      <c r="E25" s="104">
        <v>34.9</v>
      </c>
    </row>
    <row r="26" spans="2:5" ht="17.100000000000001" customHeight="1">
      <c r="B26" s="8">
        <v>24</v>
      </c>
      <c r="C26" s="9" t="s">
        <v>115</v>
      </c>
      <c r="D26" s="104">
        <v>26.1</v>
      </c>
      <c r="E26" s="104">
        <v>34.9</v>
      </c>
    </row>
    <row r="27" spans="2:5" ht="17.100000000000001" customHeight="1">
      <c r="B27" s="102">
        <v>25</v>
      </c>
      <c r="C27" s="9" t="s">
        <v>105</v>
      </c>
      <c r="D27" s="104">
        <v>173.9</v>
      </c>
      <c r="E27" s="104">
        <v>26.1</v>
      </c>
    </row>
    <row r="28" spans="2:5" ht="17.100000000000001" customHeight="1">
      <c r="B28" s="102">
        <v>26</v>
      </c>
      <c r="C28" s="9" t="s">
        <v>198</v>
      </c>
      <c r="D28" s="104">
        <v>113.1</v>
      </c>
      <c r="E28" s="104">
        <v>34.9</v>
      </c>
    </row>
    <row r="29" spans="2:5" ht="17.100000000000001" customHeight="1">
      <c r="B29" s="11">
        <v>27</v>
      </c>
      <c r="C29" s="9" t="s">
        <v>322</v>
      </c>
      <c r="D29" s="104">
        <v>10</v>
      </c>
      <c r="E29" s="10">
        <v>0</v>
      </c>
    </row>
    <row r="30" spans="2:5" ht="17.100000000000001" customHeight="1">
      <c r="B30" s="11">
        <v>28</v>
      </c>
      <c r="C30" s="9" t="s">
        <v>323</v>
      </c>
      <c r="D30" s="104">
        <v>10</v>
      </c>
      <c r="E30" s="10">
        <v>0</v>
      </c>
    </row>
    <row r="31" spans="2:5" ht="17.100000000000001" customHeight="1">
      <c r="B31" s="12">
        <v>29</v>
      </c>
      <c r="C31" s="9" t="s">
        <v>32</v>
      </c>
      <c r="D31" s="104" t="s">
        <v>87</v>
      </c>
      <c r="E31" s="104">
        <v>174</v>
      </c>
    </row>
    <row r="32" spans="2:5" ht="17.100000000000001" customHeight="1">
      <c r="B32" s="11">
        <v>30</v>
      </c>
      <c r="C32" s="9" t="s">
        <v>98</v>
      </c>
      <c r="D32" s="105" t="s">
        <v>88</v>
      </c>
      <c r="E32" s="106">
        <v>10.5</v>
      </c>
    </row>
    <row r="33" spans="2:5" ht="17.100000000000001" customHeight="1">
      <c r="B33" s="11">
        <v>31</v>
      </c>
      <c r="C33" s="9" t="s">
        <v>100</v>
      </c>
      <c r="D33" s="105" t="s">
        <v>88</v>
      </c>
      <c r="E33" s="106">
        <v>13.1</v>
      </c>
    </row>
    <row r="34" spans="2:5" ht="17.100000000000001" customHeight="1">
      <c r="B34" s="11">
        <v>32</v>
      </c>
      <c r="C34" s="9" t="s">
        <v>99</v>
      </c>
      <c r="D34" s="105" t="s">
        <v>88</v>
      </c>
      <c r="E34" s="106">
        <v>17.399999999999999</v>
      </c>
    </row>
    <row r="35" spans="2:5" ht="17.100000000000001" customHeight="1">
      <c r="B35" s="11">
        <v>33</v>
      </c>
      <c r="C35" s="9" t="s">
        <v>95</v>
      </c>
      <c r="D35" s="105" t="s">
        <v>89</v>
      </c>
      <c r="E35" s="106">
        <v>8.6999999999999993</v>
      </c>
    </row>
    <row r="36" spans="2:5" ht="17.100000000000001" customHeight="1">
      <c r="B36" s="11">
        <v>34</v>
      </c>
      <c r="C36" s="9" t="s">
        <v>94</v>
      </c>
      <c r="D36" s="105" t="s">
        <v>89</v>
      </c>
      <c r="E36" s="106">
        <v>26.1</v>
      </c>
    </row>
    <row r="37" spans="2:5" ht="17.100000000000001" customHeight="1">
      <c r="B37" s="11">
        <v>35</v>
      </c>
      <c r="C37" s="9" t="s">
        <v>106</v>
      </c>
      <c r="D37" s="105" t="s">
        <v>89</v>
      </c>
      <c r="E37" s="106">
        <v>30.5</v>
      </c>
    </row>
    <row r="38" spans="2:5" ht="17.100000000000001" customHeight="1">
      <c r="B38" s="11">
        <v>36</v>
      </c>
      <c r="C38" s="9" t="s">
        <v>96</v>
      </c>
      <c r="D38" s="105" t="s">
        <v>89</v>
      </c>
      <c r="E38" s="106">
        <v>4</v>
      </c>
    </row>
    <row r="39" spans="2:5" ht="17.100000000000001" customHeight="1">
      <c r="B39" s="11">
        <v>37</v>
      </c>
      <c r="C39" s="9" t="s">
        <v>97</v>
      </c>
      <c r="D39" s="105" t="s">
        <v>89</v>
      </c>
      <c r="E39" s="106">
        <v>3.5</v>
      </c>
    </row>
    <row r="40" spans="2:5" ht="17.100000000000001" customHeight="1">
      <c r="B40" s="11">
        <v>38</v>
      </c>
      <c r="C40" s="15" t="s">
        <v>31</v>
      </c>
      <c r="D40" s="105" t="s">
        <v>89</v>
      </c>
      <c r="E40" s="107">
        <v>8.6999999999999993</v>
      </c>
    </row>
    <row r="41" spans="2:5" ht="17.100000000000001" customHeight="1">
      <c r="B41" s="11">
        <v>39</v>
      </c>
      <c r="C41" s="9" t="s">
        <v>30</v>
      </c>
      <c r="D41" s="105" t="s">
        <v>88</v>
      </c>
      <c r="E41" s="106">
        <v>7</v>
      </c>
    </row>
    <row r="42" spans="2:5" ht="17.100000000000001" customHeight="1">
      <c r="B42" s="11">
        <v>40</v>
      </c>
      <c r="C42" s="9" t="s">
        <v>29</v>
      </c>
      <c r="D42" s="105" t="s">
        <v>90</v>
      </c>
      <c r="E42" s="106">
        <v>1.6</v>
      </c>
    </row>
    <row r="43" spans="2:5" ht="17.100000000000001" customHeight="1">
      <c r="B43" s="11">
        <v>41</v>
      </c>
      <c r="C43" s="9" t="s">
        <v>28</v>
      </c>
      <c r="D43" s="105" t="s">
        <v>91</v>
      </c>
      <c r="E43" s="106">
        <v>7</v>
      </c>
    </row>
    <row r="44" spans="2:5" ht="17.100000000000001" customHeight="1">
      <c r="B44" s="11">
        <v>42</v>
      </c>
      <c r="C44" s="15" t="s">
        <v>93</v>
      </c>
      <c r="D44" s="105" t="s">
        <v>89</v>
      </c>
      <c r="E44" s="106">
        <v>21.8</v>
      </c>
    </row>
    <row r="45" spans="2:5" ht="17.100000000000001" customHeight="1">
      <c r="B45" s="11">
        <v>43</v>
      </c>
      <c r="C45" s="15" t="s">
        <v>27</v>
      </c>
      <c r="D45" s="105" t="s">
        <v>89</v>
      </c>
      <c r="E45" s="106">
        <v>3.1</v>
      </c>
    </row>
    <row r="46" spans="2:5" ht="17.100000000000001" customHeight="1">
      <c r="B46" s="18">
        <v>44</v>
      </c>
      <c r="C46" s="15" t="s">
        <v>92</v>
      </c>
      <c r="D46" s="105" t="s">
        <v>89</v>
      </c>
      <c r="E46" s="107">
        <v>17.399999999999999</v>
      </c>
    </row>
    <row r="47" spans="2:5" ht="17.100000000000001" customHeight="1">
      <c r="B47" s="11">
        <v>45</v>
      </c>
      <c r="C47" s="9" t="s">
        <v>202</v>
      </c>
      <c r="D47" s="105" t="s">
        <v>89</v>
      </c>
      <c r="E47" s="106">
        <v>0.8</v>
      </c>
    </row>
    <row r="48" spans="2:5" ht="17.100000000000001" customHeight="1">
      <c r="B48" s="11">
        <v>46</v>
      </c>
      <c r="C48" s="9" t="s">
        <v>203</v>
      </c>
      <c r="D48" s="105" t="s">
        <v>89</v>
      </c>
      <c r="E48" s="106">
        <v>1</v>
      </c>
    </row>
    <row r="49" spans="2:5" ht="17.100000000000001" customHeight="1">
      <c r="B49" s="11">
        <v>47</v>
      </c>
      <c r="C49" s="9"/>
      <c r="D49" s="13"/>
      <c r="E49" s="14"/>
    </row>
    <row r="50" spans="2:5" ht="17.100000000000001" customHeight="1">
      <c r="B50" s="11">
        <v>48</v>
      </c>
      <c r="C50" s="15"/>
      <c r="D50" s="16"/>
      <c r="E50" s="17"/>
    </row>
    <row r="51" spans="2:5" ht="17.100000000000001" customHeight="1">
      <c r="B51" s="11">
        <v>49</v>
      </c>
      <c r="C51" s="15"/>
      <c r="D51" s="16"/>
      <c r="E51" s="17"/>
    </row>
    <row r="52" spans="2:5" ht="17.100000000000001" customHeight="1">
      <c r="B52" s="20">
        <v>50</v>
      </c>
      <c r="C52" s="19"/>
      <c r="D52" s="20"/>
      <c r="E52" s="20"/>
    </row>
    <row r="54" spans="2:5" ht="12" customHeight="1"/>
  </sheetData>
  <phoneticPr fontId="4"/>
  <pageMargins left="0.78740157480314965" right="0.78740157480314965" top="0" bottom="0" header="0.51181102362204722" footer="0.51181102362204722"/>
  <pageSetup paperSize="9" orientation="portrait" r:id="rId1"/>
  <headerFooter alignWithMargins="0"/>
  <colBreaks count="1" manualBreakCount="1">
    <brk id="5"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J49"/>
  <sheetViews>
    <sheetView topLeftCell="A13" zoomScaleNormal="100" workbookViewId="0">
      <selection activeCell="K13" sqref="K13"/>
    </sheetView>
  </sheetViews>
  <sheetFormatPr defaultColWidth="9" defaultRowHeight="15"/>
  <cols>
    <col min="1" max="1" width="3.5703125" style="425" customWidth="1"/>
    <col min="2" max="2" width="3.140625" style="425" customWidth="1"/>
    <col min="3" max="3" width="1.5703125" style="425" customWidth="1"/>
    <col min="4" max="4" width="28.28515625" style="425" customWidth="1"/>
    <col min="5" max="5" width="8" style="427" customWidth="1"/>
    <col min="6" max="6" width="8.5703125" style="427" customWidth="1"/>
    <col min="7" max="7" width="6.140625" style="425" customWidth="1"/>
    <col min="8" max="8" width="13.42578125" style="425" customWidth="1"/>
    <col min="9" max="9" width="21.42578125" style="425" customWidth="1"/>
    <col min="10" max="10" width="2.7109375" style="425" customWidth="1"/>
    <col min="11" max="16384" width="9" style="425"/>
  </cols>
  <sheetData>
    <row r="2" spans="2:10" ht="23.25" customHeight="1">
      <c r="D2" s="949" t="s">
        <v>224</v>
      </c>
      <c r="E2" s="949"/>
      <c r="F2" s="949"/>
      <c r="G2" s="949"/>
      <c r="H2" s="949"/>
      <c r="I2" s="949"/>
      <c r="J2" s="426"/>
    </row>
    <row r="3" spans="2:10" ht="18" customHeight="1">
      <c r="G3" s="957" t="str">
        <f>'3.Detail Quotation'!B5</f>
        <v>CÔNG TY TNHH VẬT LIỆU MỚI DENKA VIỆT NAM</v>
      </c>
      <c r="H3" s="957"/>
      <c r="I3" s="957"/>
    </row>
    <row r="4" spans="2:10" ht="18" customHeight="1">
      <c r="B4" s="428" t="s">
        <v>159</v>
      </c>
      <c r="H4" s="950" t="str">
        <f>'3.Detail Quotation'!C11</f>
        <v>Việt Nam</v>
      </c>
      <c r="I4" s="950"/>
    </row>
    <row r="5" spans="2:10" ht="28.5" customHeight="1">
      <c r="B5" s="429"/>
      <c r="D5" s="430" t="s">
        <v>325</v>
      </c>
      <c r="E5" s="460" t="s">
        <v>327</v>
      </c>
      <c r="F5" s="461" t="s">
        <v>326</v>
      </c>
      <c r="G5" s="462" t="s">
        <v>161</v>
      </c>
      <c r="H5" s="463" t="s">
        <v>160</v>
      </c>
      <c r="I5" s="434" t="s">
        <v>56</v>
      </c>
    </row>
    <row r="6" spans="2:10" ht="16.5" customHeight="1">
      <c r="B6" s="429"/>
      <c r="D6" s="464" t="str">
        <f>IF(B6="","",VLOOKUP(B6,'10.Equipment depreciation table'!$B$3:$E$52,2))</f>
        <v/>
      </c>
      <c r="E6" s="465" t="str">
        <f>IF(B6="","",VLOOKUP(B6,'10.Equipment depreciation table'!$B$3:$E$52,3))</f>
        <v/>
      </c>
      <c r="F6" s="466" t="str">
        <f>IF(B6="","",VLOOKUP(B6,'10.Equipment depreciation table'!$B$3:$E$52,4))</f>
        <v/>
      </c>
      <c r="G6" s="467"/>
      <c r="H6" s="468" t="str">
        <f t="shared" ref="H6:H47" si="0">IF(G6=0,"",F6*G6)</f>
        <v/>
      </c>
      <c r="I6" s="469"/>
    </row>
    <row r="7" spans="2:10" ht="16.5" customHeight="1">
      <c r="B7" s="429"/>
      <c r="D7" s="470" t="str">
        <f>IF(B7="","",VLOOKUP(B7,'10.Equipment depreciation table'!$B$3:$E$52,2))</f>
        <v/>
      </c>
      <c r="E7" s="471" t="str">
        <f>IF(B7="","",VLOOKUP(B7,'10.Equipment depreciation table'!$B$3:$E$52,3))</f>
        <v/>
      </c>
      <c r="F7" s="472" t="str">
        <f>IF(B7="","",VLOOKUP(B7,'10.Equipment depreciation table'!$B$3:$E$52,4))</f>
        <v/>
      </c>
      <c r="G7" s="473"/>
      <c r="H7" s="474" t="str">
        <f t="shared" si="0"/>
        <v/>
      </c>
      <c r="I7" s="475"/>
    </row>
    <row r="8" spans="2:10" ht="16.5" customHeight="1">
      <c r="B8" s="429"/>
      <c r="D8" s="470" t="str">
        <f>IF(B8="","",VLOOKUP(B8,'10.Equipment depreciation table'!$B$3:$E$52,2))</f>
        <v/>
      </c>
      <c r="E8" s="471" t="str">
        <f>IF(B8="","",VLOOKUP(B8,'10.Equipment depreciation table'!$B$3:$E$52,3))</f>
        <v/>
      </c>
      <c r="F8" s="472" t="str">
        <f>IF(B8="","",VLOOKUP(B8,'10.Equipment depreciation table'!$B$3:$E$52,4))</f>
        <v/>
      </c>
      <c r="G8" s="473"/>
      <c r="H8" s="474" t="str">
        <f t="shared" si="0"/>
        <v/>
      </c>
      <c r="I8" s="475"/>
    </row>
    <row r="9" spans="2:10" ht="16.5" customHeight="1">
      <c r="B9" s="429"/>
      <c r="D9" s="470" t="str">
        <f>IF(B9="","",VLOOKUP(B9,'10.Equipment depreciation table'!$B$3:$E$52,2))</f>
        <v/>
      </c>
      <c r="E9" s="471" t="str">
        <f>IF(B9="","",VLOOKUP(B9,'10.Equipment depreciation table'!$B$3:$E$52,3))</f>
        <v/>
      </c>
      <c r="F9" s="472" t="str">
        <f>IF(B9="","",VLOOKUP(B9,'10.Equipment depreciation table'!$B$3:$E$52,4))</f>
        <v/>
      </c>
      <c r="G9" s="473"/>
      <c r="H9" s="474" t="str">
        <f t="shared" si="0"/>
        <v/>
      </c>
      <c r="I9" s="475"/>
    </row>
    <row r="10" spans="2:10" ht="16.5" customHeight="1">
      <c r="B10" s="429"/>
      <c r="D10" s="470" t="str">
        <f>IF(B10="","",VLOOKUP(B10,'10.Equipment depreciation table'!$B$3:$E$52,2))</f>
        <v/>
      </c>
      <c r="E10" s="471" t="str">
        <f>IF(B10="","",VLOOKUP(B10,'10.Equipment depreciation table'!$B$3:$E$52,3))</f>
        <v/>
      </c>
      <c r="F10" s="472" t="str">
        <f>IF(B10="","",VLOOKUP(B10,'10.Equipment depreciation table'!$B$3:$E$52,4))</f>
        <v/>
      </c>
      <c r="G10" s="473"/>
      <c r="H10" s="474" t="str">
        <f t="shared" si="0"/>
        <v/>
      </c>
      <c r="I10" s="475"/>
    </row>
    <row r="11" spans="2:10" ht="16.5" customHeight="1">
      <c r="B11" s="429"/>
      <c r="D11" s="470" t="str">
        <f>IF(B11="","",VLOOKUP(B11,'10.Equipment depreciation table'!$B$3:$E$52,2))</f>
        <v/>
      </c>
      <c r="E11" s="471" t="str">
        <f>IF(B11="","",VLOOKUP(B11,'10.Equipment depreciation table'!$B$3:$E$52,3))</f>
        <v/>
      </c>
      <c r="F11" s="472" t="str">
        <f>IF(B11="","",VLOOKUP(B11,'10.Equipment depreciation table'!$B$3:$E$52,4))</f>
        <v/>
      </c>
      <c r="G11" s="473"/>
      <c r="H11" s="474" t="str">
        <f t="shared" si="0"/>
        <v/>
      </c>
      <c r="I11" s="475"/>
    </row>
    <row r="12" spans="2:10" ht="16.5" customHeight="1">
      <c r="B12" s="429"/>
      <c r="D12" s="470" t="str">
        <f>IF(B12="","",VLOOKUP(B12,'10.Equipment depreciation table'!$B$3:$E$52,2))</f>
        <v/>
      </c>
      <c r="E12" s="471" t="str">
        <f>IF(B12="","",VLOOKUP(B12,'10.Equipment depreciation table'!$B$3:$E$52,3))</f>
        <v/>
      </c>
      <c r="F12" s="472" t="str">
        <f>IF(B12="","",VLOOKUP(B12,'10.Equipment depreciation table'!$B$3:$E$52,4))</f>
        <v/>
      </c>
      <c r="G12" s="473"/>
      <c r="H12" s="474" t="str">
        <f t="shared" si="0"/>
        <v/>
      </c>
      <c r="I12" s="475"/>
    </row>
    <row r="13" spans="2:10" ht="16.5" customHeight="1">
      <c r="B13" s="429"/>
      <c r="D13" s="470" t="str">
        <f>IF(B13="","",VLOOKUP(B13,'10.Equipment depreciation table'!$B$3:$E$52,2))</f>
        <v/>
      </c>
      <c r="E13" s="471" t="str">
        <f>IF(B13="","",VLOOKUP(B13,'10.Equipment depreciation table'!$B$3:$E$52,3))</f>
        <v/>
      </c>
      <c r="F13" s="472" t="str">
        <f>IF(B13="","",VLOOKUP(B13,'10.Equipment depreciation table'!$B$3:$E$52,4))</f>
        <v/>
      </c>
      <c r="G13" s="473"/>
      <c r="H13" s="474" t="str">
        <f t="shared" si="0"/>
        <v/>
      </c>
      <c r="I13" s="475"/>
    </row>
    <row r="14" spans="2:10" ht="16.5" customHeight="1">
      <c r="B14" s="429"/>
      <c r="D14" s="470" t="str">
        <f>IF(B14="","",VLOOKUP(B14,'10.Equipment depreciation table'!$B$3:$E$52,2))</f>
        <v/>
      </c>
      <c r="E14" s="471" t="str">
        <f>IF(B14="","",VLOOKUP(B14,'10.Equipment depreciation table'!$B$3:$E$52,3))</f>
        <v/>
      </c>
      <c r="F14" s="472" t="str">
        <f>IF(B14="","",VLOOKUP(B14,'10.Equipment depreciation table'!$B$3:$E$52,4))</f>
        <v/>
      </c>
      <c r="G14" s="473"/>
      <c r="H14" s="474" t="str">
        <f t="shared" si="0"/>
        <v/>
      </c>
      <c r="I14" s="475"/>
    </row>
    <row r="15" spans="2:10" ht="16.5" customHeight="1">
      <c r="B15" s="429"/>
      <c r="D15" s="470" t="str">
        <f>IF(B15="","",VLOOKUP(B15,'10.Equipment depreciation table'!$B$3:$E$52,2))</f>
        <v/>
      </c>
      <c r="E15" s="476" t="str">
        <f>IF(B15="","",VLOOKUP(B15,'10.Equipment depreciation table'!$B$3:$E$52,3))</f>
        <v/>
      </c>
      <c r="F15" s="477" t="str">
        <f>IF(B15="","",VLOOKUP(B15,'10.Equipment depreciation table'!$B$3:$E$52,4))</f>
        <v/>
      </c>
      <c r="G15" s="473"/>
      <c r="H15" s="474" t="str">
        <f t="shared" si="0"/>
        <v/>
      </c>
      <c r="I15" s="475"/>
    </row>
    <row r="16" spans="2:10" ht="16.5" customHeight="1">
      <c r="B16" s="429"/>
      <c r="D16" s="470" t="str">
        <f>IF(B16="","",VLOOKUP(B16,'10.Equipment depreciation table'!$B$3:$E$52,2))</f>
        <v/>
      </c>
      <c r="E16" s="476" t="str">
        <f>IF(B16="","",VLOOKUP(B16,'10.Equipment depreciation table'!$B$3:$E$52,3))</f>
        <v/>
      </c>
      <c r="F16" s="477" t="str">
        <f>IF(B16="","",VLOOKUP(B16,'10.Equipment depreciation table'!$B$3:$E$52,4))</f>
        <v/>
      </c>
      <c r="G16" s="473"/>
      <c r="H16" s="478" t="str">
        <f t="shared" si="0"/>
        <v/>
      </c>
      <c r="I16" s="475"/>
    </row>
    <row r="17" spans="2:9" ht="16.5" customHeight="1">
      <c r="B17" s="429"/>
      <c r="D17" s="470" t="str">
        <f>IF(B17="","",VLOOKUP(B17,'10.Equipment depreciation table'!$B$3:$E$52,2))</f>
        <v/>
      </c>
      <c r="E17" s="476" t="str">
        <f>IF(B17="","",VLOOKUP(B17,'10.Equipment depreciation table'!$B$3:$E$52,3))</f>
        <v/>
      </c>
      <c r="F17" s="477" t="str">
        <f>IF(B17="","",VLOOKUP(B17,'10.Equipment depreciation table'!$B$3:$E$52,4))</f>
        <v/>
      </c>
      <c r="G17" s="473"/>
      <c r="H17" s="478" t="str">
        <f t="shared" si="0"/>
        <v/>
      </c>
      <c r="I17" s="475"/>
    </row>
    <row r="18" spans="2:9" ht="16.5" customHeight="1">
      <c r="B18" s="429"/>
      <c r="D18" s="470" t="str">
        <f>IF(B18="","",VLOOKUP(B18,'10.Equipment depreciation table'!$B$3:$E$52,2))</f>
        <v/>
      </c>
      <c r="E18" s="476" t="str">
        <f>IF(B18="","",VLOOKUP(B18,'10.Equipment depreciation table'!$B$3:$E$52,3))</f>
        <v/>
      </c>
      <c r="F18" s="477" t="str">
        <f>IF(B18="","",VLOOKUP(B18,'10.Equipment depreciation table'!$B$3:$E$52,4))</f>
        <v/>
      </c>
      <c r="G18" s="473"/>
      <c r="H18" s="478" t="str">
        <f t="shared" si="0"/>
        <v/>
      </c>
      <c r="I18" s="475"/>
    </row>
    <row r="19" spans="2:9" ht="16.5" customHeight="1">
      <c r="B19" s="429"/>
      <c r="D19" s="470" t="str">
        <f>IF(B19="","",VLOOKUP(B19,'10.Equipment depreciation table'!$B$3:$E$52,2))</f>
        <v/>
      </c>
      <c r="E19" s="476" t="str">
        <f>IF(B19="","",VLOOKUP(B19,'10.Equipment depreciation table'!$B$3:$E$52,3))</f>
        <v/>
      </c>
      <c r="F19" s="477" t="str">
        <f>IF(B19="","",VLOOKUP(B19,'10.Equipment depreciation table'!$B$3:$E$52,4))</f>
        <v/>
      </c>
      <c r="G19" s="473"/>
      <c r="H19" s="478" t="str">
        <f t="shared" si="0"/>
        <v/>
      </c>
      <c r="I19" s="475"/>
    </row>
    <row r="20" spans="2:9" ht="16.5" customHeight="1">
      <c r="B20" s="429"/>
      <c r="D20" s="470" t="str">
        <f>IF(B20="","",VLOOKUP(B20,'10.Equipment depreciation table'!$B$3:$E$52,2))</f>
        <v/>
      </c>
      <c r="E20" s="476" t="str">
        <f>IF(B20="","",VLOOKUP(B20,'10.Equipment depreciation table'!$B$3:$E$52,3))</f>
        <v/>
      </c>
      <c r="F20" s="477" t="str">
        <f>IF(B20="","",VLOOKUP(B20,'10.Equipment depreciation table'!$B$3:$E$52,4))</f>
        <v/>
      </c>
      <c r="G20" s="473"/>
      <c r="H20" s="478" t="str">
        <f t="shared" si="0"/>
        <v/>
      </c>
      <c r="I20" s="475"/>
    </row>
    <row r="21" spans="2:9" ht="16.5" customHeight="1">
      <c r="B21" s="429"/>
      <c r="D21" s="470" t="str">
        <f>IF(B21="","",VLOOKUP(B21,'10.Equipment depreciation table'!$B$3:$E$52,2))</f>
        <v/>
      </c>
      <c r="E21" s="476" t="str">
        <f>IF(B21="","",VLOOKUP(B21,'10.Equipment depreciation table'!$B$3:$E$52,3))</f>
        <v/>
      </c>
      <c r="F21" s="477" t="str">
        <f>IF(B21="","",VLOOKUP(B21,'10.Equipment depreciation table'!$B$3:$E$52,4))</f>
        <v/>
      </c>
      <c r="G21" s="473"/>
      <c r="H21" s="478" t="str">
        <f t="shared" si="0"/>
        <v/>
      </c>
      <c r="I21" s="475"/>
    </row>
    <row r="22" spans="2:9" ht="16.5" customHeight="1">
      <c r="B22" s="429"/>
      <c r="D22" s="470" t="str">
        <f>IF(B22="","",VLOOKUP(B22,'10.Equipment depreciation table'!$B$3:$E$52,2))</f>
        <v/>
      </c>
      <c r="E22" s="476" t="str">
        <f>IF(B22="","",VLOOKUP(B22,'10.Equipment depreciation table'!$B$3:$E$52,3))</f>
        <v/>
      </c>
      <c r="F22" s="477" t="str">
        <f>IF(B22="","",VLOOKUP(B22,'10.Equipment depreciation table'!$B$3:$E$52,4))</f>
        <v/>
      </c>
      <c r="G22" s="473"/>
      <c r="H22" s="478" t="str">
        <f t="shared" si="0"/>
        <v/>
      </c>
      <c r="I22" s="475"/>
    </row>
    <row r="23" spans="2:9" ht="16.5" customHeight="1">
      <c r="B23" s="429"/>
      <c r="D23" s="470" t="str">
        <f>IF(B23="","",VLOOKUP(B23,'10.Equipment depreciation table'!$B$3:$E$52,2))</f>
        <v/>
      </c>
      <c r="E23" s="476" t="str">
        <f>IF(B23="","",VLOOKUP(B23,'10.Equipment depreciation table'!$B$3:$E$52,3))</f>
        <v/>
      </c>
      <c r="F23" s="477" t="str">
        <f>IF(B23="","",VLOOKUP(B23,'10.Equipment depreciation table'!$B$3:$E$52,4))</f>
        <v/>
      </c>
      <c r="G23" s="473"/>
      <c r="H23" s="478" t="str">
        <f t="shared" si="0"/>
        <v/>
      </c>
      <c r="I23" s="475"/>
    </row>
    <row r="24" spans="2:9" ht="16.5" customHeight="1">
      <c r="B24" s="429"/>
      <c r="D24" s="470" t="str">
        <f>IF(B24="","",VLOOKUP(B24,'10.Equipment depreciation table'!$B$3:$E$52,2))</f>
        <v/>
      </c>
      <c r="E24" s="476" t="str">
        <f>IF(B24="","",VLOOKUP(B24,'10.Equipment depreciation table'!$B$3:$E$52,3))</f>
        <v/>
      </c>
      <c r="F24" s="477" t="str">
        <f>IF(B24="","",VLOOKUP(B24,'10.Equipment depreciation table'!$B$3:$E$52,4))</f>
        <v/>
      </c>
      <c r="G24" s="473"/>
      <c r="H24" s="478" t="str">
        <f t="shared" si="0"/>
        <v/>
      </c>
      <c r="I24" s="475"/>
    </row>
    <row r="25" spans="2:9" ht="16.5" customHeight="1">
      <c r="B25" s="429"/>
      <c r="D25" s="470" t="str">
        <f>IF(B25="","",VLOOKUP(B25,'10.Equipment depreciation table'!$B$3:$E$52,2))</f>
        <v/>
      </c>
      <c r="E25" s="476" t="str">
        <f>IF(B25="","",VLOOKUP(B25,'10.Equipment depreciation table'!$B$3:$E$52,3))</f>
        <v/>
      </c>
      <c r="F25" s="477" t="str">
        <f>IF(B25="","",VLOOKUP(B25,'10.Equipment depreciation table'!$B$3:$E$52,4))</f>
        <v/>
      </c>
      <c r="G25" s="473"/>
      <c r="H25" s="478" t="str">
        <f t="shared" si="0"/>
        <v/>
      </c>
      <c r="I25" s="475"/>
    </row>
    <row r="26" spans="2:9" ht="16.5" customHeight="1">
      <c r="B26" s="429"/>
      <c r="D26" s="470" t="str">
        <f>IF(B26="","",VLOOKUP(B26,'10.Equipment depreciation table'!$B$3:$E$52,2))</f>
        <v/>
      </c>
      <c r="E26" s="476" t="str">
        <f>IF(B26="","",VLOOKUP(B26,'10.Equipment depreciation table'!$B$3:$E$52,3))</f>
        <v/>
      </c>
      <c r="F26" s="477" t="str">
        <f>IF(B26="","",VLOOKUP(B26,'10.Equipment depreciation table'!$B$3:$E$52,4))</f>
        <v/>
      </c>
      <c r="G26" s="473"/>
      <c r="H26" s="478" t="str">
        <f t="shared" si="0"/>
        <v/>
      </c>
      <c r="I26" s="475"/>
    </row>
    <row r="27" spans="2:9" ht="16.5" customHeight="1">
      <c r="B27" s="429"/>
      <c r="D27" s="470" t="str">
        <f>IF(B27="","",VLOOKUP(B27,'10.Equipment depreciation table'!$B$3:$E$52,2))</f>
        <v/>
      </c>
      <c r="E27" s="476" t="str">
        <f>IF(B27="","",VLOOKUP(B27,'10.Equipment depreciation table'!$B$3:$E$52,3))</f>
        <v/>
      </c>
      <c r="F27" s="477" t="str">
        <f>IF(B27="","",VLOOKUP(B27,'10.Equipment depreciation table'!$B$3:$E$52,4))</f>
        <v/>
      </c>
      <c r="G27" s="473"/>
      <c r="H27" s="478" t="str">
        <f t="shared" si="0"/>
        <v/>
      </c>
      <c r="I27" s="475"/>
    </row>
    <row r="28" spans="2:9" ht="16.5" customHeight="1">
      <c r="B28" s="429"/>
      <c r="D28" s="470" t="str">
        <f>IF(B28="","",VLOOKUP(B28,'10.Equipment depreciation table'!$B$3:$E$52,2))</f>
        <v/>
      </c>
      <c r="E28" s="476" t="str">
        <f>IF(B28="","",VLOOKUP(B28,'10.Equipment depreciation table'!$B$3:$E$52,3))</f>
        <v/>
      </c>
      <c r="F28" s="477" t="str">
        <f>IF(B28="","",VLOOKUP(B28,'10.Equipment depreciation table'!$B$3:$E$52,4))</f>
        <v/>
      </c>
      <c r="G28" s="473"/>
      <c r="H28" s="478" t="str">
        <f t="shared" si="0"/>
        <v/>
      </c>
      <c r="I28" s="475"/>
    </row>
    <row r="29" spans="2:9" ht="16.5" customHeight="1">
      <c r="B29" s="429"/>
      <c r="D29" s="470" t="str">
        <f>IF(B29="","",VLOOKUP(B29,'10.Equipment depreciation table'!$B$3:$E$52,2))</f>
        <v/>
      </c>
      <c r="E29" s="476" t="str">
        <f>IF(B29="","",VLOOKUP(B29,'10.Equipment depreciation table'!$B$3:$E$52,3))</f>
        <v/>
      </c>
      <c r="F29" s="477" t="str">
        <f>IF(B29="","",VLOOKUP(B29,'10.Equipment depreciation table'!$B$3:$E$52,4))</f>
        <v/>
      </c>
      <c r="G29" s="473"/>
      <c r="H29" s="478" t="str">
        <f t="shared" si="0"/>
        <v/>
      </c>
      <c r="I29" s="475"/>
    </row>
    <row r="30" spans="2:9" ht="16.5" customHeight="1">
      <c r="B30" s="429"/>
      <c r="D30" s="470" t="str">
        <f>IF(B30="","",VLOOKUP(B30,'10.Equipment depreciation table'!$B$3:$E$52,2))</f>
        <v/>
      </c>
      <c r="E30" s="476" t="str">
        <f>IF(B30="","",VLOOKUP(B30,'10.Equipment depreciation table'!$B$3:$E$52,3))</f>
        <v/>
      </c>
      <c r="F30" s="477" t="str">
        <f>IF(B30="","",VLOOKUP(B30,'10.Equipment depreciation table'!$B$3:$E$52,4))</f>
        <v/>
      </c>
      <c r="G30" s="473"/>
      <c r="H30" s="478" t="str">
        <f t="shared" si="0"/>
        <v/>
      </c>
      <c r="I30" s="475"/>
    </row>
    <row r="31" spans="2:9" ht="16.5" customHeight="1">
      <c r="B31" s="429"/>
      <c r="D31" s="470" t="str">
        <f>IF(B31="","",VLOOKUP(B31,'10.Equipment depreciation table'!$B$3:$E$52,2))</f>
        <v/>
      </c>
      <c r="E31" s="476" t="str">
        <f>IF(B31="","",VLOOKUP(B31,'10.Equipment depreciation table'!$B$3:$E$52,3))</f>
        <v/>
      </c>
      <c r="F31" s="477" t="str">
        <f>IF(B31="","",VLOOKUP(B31,'10.Equipment depreciation table'!$B$3:$E$52,4))</f>
        <v/>
      </c>
      <c r="G31" s="473"/>
      <c r="H31" s="478" t="str">
        <f t="shared" si="0"/>
        <v/>
      </c>
      <c r="I31" s="475"/>
    </row>
    <row r="32" spans="2:9" ht="16.5" customHeight="1">
      <c r="B32" s="429"/>
      <c r="D32" s="470" t="str">
        <f>IF(B32="","",VLOOKUP(B32,'10.Equipment depreciation table'!$B$3:$E$52,2))</f>
        <v/>
      </c>
      <c r="E32" s="476" t="str">
        <f>IF(B32="","",VLOOKUP(B32,'10.Equipment depreciation table'!$B$3:$E$52,3))</f>
        <v/>
      </c>
      <c r="F32" s="477" t="str">
        <f>IF(B32="","",VLOOKUP(B32,'10.Equipment depreciation table'!$B$3:$E$52,4))</f>
        <v/>
      </c>
      <c r="G32" s="473"/>
      <c r="H32" s="478" t="str">
        <f t="shared" si="0"/>
        <v/>
      </c>
      <c r="I32" s="475"/>
    </row>
    <row r="33" spans="2:9" ht="16.5" customHeight="1">
      <c r="B33" s="429"/>
      <c r="D33" s="470" t="str">
        <f>IF(B33="","",VLOOKUP(B33,'10.Equipment depreciation table'!$B$3:$E$52,2))</f>
        <v/>
      </c>
      <c r="E33" s="476" t="str">
        <f>IF(B33="","",VLOOKUP(B33,'10.Equipment depreciation table'!$B$3:$E$52,3))</f>
        <v/>
      </c>
      <c r="F33" s="477" t="str">
        <f>IF(B33="","",VLOOKUP(B33,'10.Equipment depreciation table'!$B$3:$E$52,4))</f>
        <v/>
      </c>
      <c r="G33" s="473"/>
      <c r="H33" s="478" t="str">
        <f t="shared" si="0"/>
        <v/>
      </c>
      <c r="I33" s="475"/>
    </row>
    <row r="34" spans="2:9" ht="16.5" customHeight="1">
      <c r="B34" s="429"/>
      <c r="D34" s="470" t="str">
        <f>IF(B34="","",VLOOKUP(B34,'10.Equipment depreciation table'!$B$3:$E$52,2))</f>
        <v/>
      </c>
      <c r="E34" s="476" t="str">
        <f>IF(B34="","",VLOOKUP(B34,'10.Equipment depreciation table'!$B$3:$E$52,3))</f>
        <v/>
      </c>
      <c r="F34" s="477" t="str">
        <f>IF(B34="","",VLOOKUP(B34,'10.Equipment depreciation table'!$B$3:$E$52,4))</f>
        <v/>
      </c>
      <c r="G34" s="473"/>
      <c r="H34" s="478" t="str">
        <f t="shared" si="0"/>
        <v/>
      </c>
      <c r="I34" s="475"/>
    </row>
    <row r="35" spans="2:9" ht="16.5" customHeight="1">
      <c r="B35" s="429"/>
      <c r="D35" s="470" t="str">
        <f>IF(B35="","",VLOOKUP(B35,'10.Equipment depreciation table'!$B$3:$E$52,2))</f>
        <v/>
      </c>
      <c r="E35" s="476" t="str">
        <f>IF(B35="","",VLOOKUP(B35,'10.Equipment depreciation table'!$B$3:$E$52,3))</f>
        <v/>
      </c>
      <c r="F35" s="477" t="str">
        <f>IF(B35="","",VLOOKUP(B35,'10.Equipment depreciation table'!$B$3:$E$52,4))</f>
        <v/>
      </c>
      <c r="G35" s="473"/>
      <c r="H35" s="478" t="str">
        <f t="shared" si="0"/>
        <v/>
      </c>
      <c r="I35" s="475"/>
    </row>
    <row r="36" spans="2:9" ht="16.5" customHeight="1">
      <c r="B36" s="429"/>
      <c r="D36" s="470" t="str">
        <f>IF(B36="","",VLOOKUP(B36,'10.Equipment depreciation table'!$B$3:$E$52,2))</f>
        <v/>
      </c>
      <c r="E36" s="476" t="str">
        <f>IF(B36="","",VLOOKUP(B36,'10.Equipment depreciation table'!$B$3:$E$52,3))</f>
        <v/>
      </c>
      <c r="F36" s="477" t="str">
        <f>IF(B36="","",VLOOKUP(B36,'10.Equipment depreciation table'!$B$3:$E$52,4))</f>
        <v/>
      </c>
      <c r="G36" s="473"/>
      <c r="H36" s="478" t="str">
        <f t="shared" si="0"/>
        <v/>
      </c>
      <c r="I36" s="475"/>
    </row>
    <row r="37" spans="2:9" ht="16.5" customHeight="1">
      <c r="B37" s="429"/>
      <c r="D37" s="470" t="str">
        <f>IF(B37="","",VLOOKUP(B37,'10.Equipment depreciation table'!$B$3:$E$52,2))</f>
        <v/>
      </c>
      <c r="E37" s="476" t="str">
        <f>IF(B37="","",VLOOKUP(B37,'10.Equipment depreciation table'!$B$3:$E$52,3))</f>
        <v/>
      </c>
      <c r="F37" s="477" t="str">
        <f>IF(B37="","",VLOOKUP(B37,'10.Equipment depreciation table'!$B$3:$E$52,4))</f>
        <v/>
      </c>
      <c r="G37" s="473"/>
      <c r="H37" s="478" t="str">
        <f t="shared" si="0"/>
        <v/>
      </c>
      <c r="I37" s="475"/>
    </row>
    <row r="38" spans="2:9" ht="16.5" customHeight="1">
      <c r="B38" s="429"/>
      <c r="D38" s="470" t="str">
        <f>IF(B38="","",VLOOKUP(B38,'10.Equipment depreciation table'!$B$3:$E$52,2))</f>
        <v/>
      </c>
      <c r="E38" s="476" t="str">
        <f>IF(B38="","",VLOOKUP(B38,'10.Equipment depreciation table'!$B$3:$E$52,3))</f>
        <v/>
      </c>
      <c r="F38" s="477" t="str">
        <f>IF(B38="","",VLOOKUP(B38,'10.Equipment depreciation table'!$B$3:$E$52,4))</f>
        <v/>
      </c>
      <c r="G38" s="473"/>
      <c r="H38" s="478" t="str">
        <f t="shared" si="0"/>
        <v/>
      </c>
      <c r="I38" s="475"/>
    </row>
    <row r="39" spans="2:9" ht="16.5" customHeight="1">
      <c r="B39" s="429"/>
      <c r="D39" s="470" t="str">
        <f>IF(B39="","",VLOOKUP(B39,'10.Equipment depreciation table'!$B$3:$E$52,2))</f>
        <v/>
      </c>
      <c r="E39" s="476" t="str">
        <f>IF(B39="","",VLOOKUP(B39,'10.Equipment depreciation table'!$B$3:$E$52,3))</f>
        <v/>
      </c>
      <c r="F39" s="477" t="str">
        <f>IF(B39="","",VLOOKUP(B39,'10.Equipment depreciation table'!$B$3:$E$52,4))</f>
        <v/>
      </c>
      <c r="G39" s="473"/>
      <c r="H39" s="478" t="str">
        <f t="shared" si="0"/>
        <v/>
      </c>
      <c r="I39" s="475"/>
    </row>
    <row r="40" spans="2:9" ht="16.5" customHeight="1">
      <c r="B40" s="429"/>
      <c r="D40" s="470" t="str">
        <f>IF(B40="","",VLOOKUP(B40,'10.Equipment depreciation table'!$B$3:$E$52,2))</f>
        <v/>
      </c>
      <c r="E40" s="476" t="str">
        <f>IF(B40="","",VLOOKUP(B40,'10.Equipment depreciation table'!$B$3:$E$52,3))</f>
        <v/>
      </c>
      <c r="F40" s="477" t="str">
        <f>IF(B40="","",VLOOKUP(B40,'10.Equipment depreciation table'!$B$3:$E$52,4))</f>
        <v/>
      </c>
      <c r="G40" s="473"/>
      <c r="H40" s="478" t="str">
        <f t="shared" si="0"/>
        <v/>
      </c>
      <c r="I40" s="475"/>
    </row>
    <row r="41" spans="2:9" ht="16.5" customHeight="1">
      <c r="B41" s="429"/>
      <c r="D41" s="470" t="str">
        <f>IF(B41="","",VLOOKUP(B41,'10.Equipment depreciation table'!$B$3:$E$52,2))</f>
        <v/>
      </c>
      <c r="E41" s="476" t="str">
        <f>IF(B41="","",VLOOKUP(B41,'10.Equipment depreciation table'!$B$3:$E$52,3))</f>
        <v/>
      </c>
      <c r="F41" s="477" t="str">
        <f>IF(B41="","",VLOOKUP(B41,'10.Equipment depreciation table'!$B$3:$E$52,4))</f>
        <v/>
      </c>
      <c r="G41" s="473"/>
      <c r="H41" s="478" t="str">
        <f t="shared" si="0"/>
        <v/>
      </c>
      <c r="I41" s="475"/>
    </row>
    <row r="42" spans="2:9" ht="16.5" customHeight="1">
      <c r="B42" s="429"/>
      <c r="D42" s="470" t="str">
        <f>IF(B42="","",VLOOKUP(B42,'10.Equipment depreciation table'!$B$3:$E$52,2))</f>
        <v/>
      </c>
      <c r="E42" s="476" t="str">
        <f>IF(B42="","",VLOOKUP(B42,'10.Equipment depreciation table'!$B$3:$E$52,3))</f>
        <v/>
      </c>
      <c r="F42" s="477" t="str">
        <f>IF(B42="","",VLOOKUP(B42,'10.Equipment depreciation table'!$B$3:$E$52,4))</f>
        <v/>
      </c>
      <c r="G42" s="473"/>
      <c r="H42" s="478" t="str">
        <f t="shared" si="0"/>
        <v/>
      </c>
      <c r="I42" s="475"/>
    </row>
    <row r="43" spans="2:9" ht="16.5" customHeight="1">
      <c r="B43" s="429"/>
      <c r="D43" s="470" t="str">
        <f>IF(B43="","",VLOOKUP(B43,'10.Equipment depreciation table'!$B$3:$E$52,2))</f>
        <v/>
      </c>
      <c r="E43" s="476" t="str">
        <f>IF(B43="","",VLOOKUP(B43,'10.Equipment depreciation table'!$B$3:$E$52,3))</f>
        <v/>
      </c>
      <c r="F43" s="477" t="str">
        <f>IF(B43="","",VLOOKUP(B43,'10.Equipment depreciation table'!$B$3:$E$52,4))</f>
        <v/>
      </c>
      <c r="G43" s="473"/>
      <c r="H43" s="478" t="str">
        <f t="shared" si="0"/>
        <v/>
      </c>
      <c r="I43" s="475"/>
    </row>
    <row r="44" spans="2:9" ht="16.5" customHeight="1">
      <c r="B44" s="429"/>
      <c r="D44" s="470" t="str">
        <f>IF(B44="","",VLOOKUP(B44,'10.Equipment depreciation table'!$B$3:$E$52,2))</f>
        <v/>
      </c>
      <c r="E44" s="476" t="str">
        <f>IF(B44="","",VLOOKUP(B44,'10.Equipment depreciation table'!$B$3:$E$52,3))</f>
        <v/>
      </c>
      <c r="F44" s="477" t="str">
        <f>IF(B44="","",VLOOKUP(B44,'10.Equipment depreciation table'!$B$3:$E$52,4))</f>
        <v/>
      </c>
      <c r="G44" s="473"/>
      <c r="H44" s="478" t="str">
        <f t="shared" si="0"/>
        <v/>
      </c>
      <c r="I44" s="475"/>
    </row>
    <row r="45" spans="2:9" ht="16.5" customHeight="1">
      <c r="B45" s="429"/>
      <c r="D45" s="470" t="str">
        <f>IF(B45="","",VLOOKUP(B45,'10.Equipment depreciation table'!$B$3:$E$52,2))</f>
        <v/>
      </c>
      <c r="E45" s="476" t="str">
        <f>IF(B45="","",VLOOKUP(B45,'10.Equipment depreciation table'!$B$3:$E$52,3))</f>
        <v/>
      </c>
      <c r="F45" s="477" t="str">
        <f>IF(B45="","",VLOOKUP(B45,'10.Equipment depreciation table'!$B$3:$E$52,4))</f>
        <v/>
      </c>
      <c r="G45" s="473"/>
      <c r="H45" s="478" t="str">
        <f t="shared" si="0"/>
        <v/>
      </c>
      <c r="I45" s="475"/>
    </row>
    <row r="46" spans="2:9" ht="16.5" customHeight="1">
      <c r="B46" s="429"/>
      <c r="D46" s="470" t="str">
        <f>IF(B46="","",VLOOKUP(B46,'10.Equipment depreciation table'!$B$3:$E$52,2))</f>
        <v/>
      </c>
      <c r="E46" s="476" t="str">
        <f>IF(B46="","",VLOOKUP(B46,'10.Equipment depreciation table'!$B$3:$E$52,3))</f>
        <v/>
      </c>
      <c r="F46" s="477" t="str">
        <f>IF(B46="","",VLOOKUP(B46,'10.Equipment depreciation table'!$B$3:$E$52,4))</f>
        <v/>
      </c>
      <c r="G46" s="473"/>
      <c r="H46" s="478" t="str">
        <f t="shared" si="0"/>
        <v/>
      </c>
      <c r="I46" s="475"/>
    </row>
    <row r="47" spans="2:9" ht="16.5" customHeight="1" thickBot="1">
      <c r="B47" s="429"/>
      <c r="D47" s="470" t="str">
        <f>IF(B47="","",VLOOKUP(B47,'10.Equipment depreciation table'!$B$3:$E$52,2))</f>
        <v/>
      </c>
      <c r="E47" s="476" t="str">
        <f>IF(B47="","",VLOOKUP(B47,'10.Equipment depreciation table'!$B$3:$E$52,3))</f>
        <v/>
      </c>
      <c r="F47" s="477" t="str">
        <f>IF(B47="","",VLOOKUP(B47,'10.Equipment depreciation table'!$B$3:$E$52,4))</f>
        <v/>
      </c>
      <c r="G47" s="479"/>
      <c r="H47" s="480" t="str">
        <f t="shared" si="0"/>
        <v/>
      </c>
      <c r="I47" s="481"/>
    </row>
    <row r="48" spans="2:9" ht="16.5" customHeight="1" thickBot="1">
      <c r="B48" s="429"/>
      <c r="D48" s="482" t="str">
        <f>IF(B48="","",VLOOKUP(B48,'10.Equipment depreciation table'!$B$3:$E$52,2))</f>
        <v/>
      </c>
      <c r="E48" s="483" t="str">
        <f>IF(B48="","",VLOOKUP(B48,'10.Equipment depreciation table'!$B$3:$E$52,3))</f>
        <v/>
      </c>
      <c r="F48" s="483" t="str">
        <f>IF(B48="","",VLOOKUP(B48,'10.Equipment depreciation table'!$B$3:$E$52,4))</f>
        <v/>
      </c>
      <c r="G48" s="484" t="s">
        <v>177</v>
      </c>
      <c r="H48" s="485">
        <f>SUM(H6:H47)</f>
        <v>0</v>
      </c>
      <c r="I48" s="486"/>
    </row>
    <row r="49" spans="4:9">
      <c r="D49" s="451"/>
      <c r="E49" s="459"/>
      <c r="F49" s="459"/>
      <c r="G49" s="451"/>
      <c r="H49" s="451"/>
      <c r="I49" s="451"/>
    </row>
  </sheetData>
  <mergeCells count="3">
    <mergeCell ref="H4:I4"/>
    <mergeCell ref="D2:I2"/>
    <mergeCell ref="G3:I3"/>
  </mergeCells>
  <phoneticPr fontId="4"/>
  <pageMargins left="0.98425196850393704" right="0.39370078740157483" top="0.78740157480314965" bottom="0.59055118110236227" header="0.19685039370078741" footer="0.19685039370078741"/>
  <pageSetup paperSize="9" orientation="portrait" r:id="rId1"/>
  <headerFooter alignWithMargins="0">
    <oddHeader>&amp;R&amp;G</oddHeader>
  </headerFooter>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B2:R56"/>
  <sheetViews>
    <sheetView topLeftCell="A7" workbookViewId="0">
      <selection activeCell="I22" sqref="I22"/>
    </sheetView>
  </sheetViews>
  <sheetFormatPr defaultColWidth="9" defaultRowHeight="14.25"/>
  <cols>
    <col min="1" max="1" width="2.42578125" style="46" customWidth="1"/>
    <col min="2" max="2" width="14.28515625" style="46" customWidth="1"/>
    <col min="3" max="3" width="21.42578125" style="46" customWidth="1"/>
    <col min="4" max="4" width="6" style="46" customWidth="1"/>
    <col min="5" max="5" width="7.42578125" style="46" customWidth="1"/>
    <col min="6" max="18" width="9" style="46"/>
    <col min="19" max="19" width="3" style="46" customWidth="1"/>
    <col min="20" max="16384" width="9" style="46"/>
  </cols>
  <sheetData>
    <row r="2" spans="2:18" ht="15">
      <c r="B2" s="212" t="s">
        <v>294</v>
      </c>
      <c r="C2" s="214">
        <v>120</v>
      </c>
      <c r="D2" s="213" t="s">
        <v>294</v>
      </c>
    </row>
    <row r="3" spans="2:18" ht="21" customHeight="1">
      <c r="B3" s="48" t="s">
        <v>227</v>
      </c>
      <c r="Q3" s="967">
        <v>41844</v>
      </c>
      <c r="R3" s="967"/>
    </row>
    <row r="4" spans="2:18" ht="9" customHeight="1" thickBot="1"/>
    <row r="5" spans="2:18" ht="15" customHeight="1">
      <c r="B5" s="968" t="s">
        <v>179</v>
      </c>
      <c r="C5" s="968" t="s">
        <v>180</v>
      </c>
      <c r="D5" s="970" t="s">
        <v>182</v>
      </c>
      <c r="E5" s="972" t="s">
        <v>52</v>
      </c>
      <c r="F5" s="83" t="s">
        <v>228</v>
      </c>
      <c r="G5" s="974" t="s">
        <v>183</v>
      </c>
      <c r="H5" s="167" t="s">
        <v>184</v>
      </c>
      <c r="I5" s="4" t="s">
        <v>187</v>
      </c>
      <c r="J5" s="4" t="s">
        <v>185</v>
      </c>
      <c r="K5" s="166" t="s">
        <v>229</v>
      </c>
      <c r="L5" s="166" t="s">
        <v>186</v>
      </c>
      <c r="M5" s="166" t="s">
        <v>190</v>
      </c>
      <c r="N5" s="166" t="s">
        <v>188</v>
      </c>
      <c r="O5" s="976" t="s">
        <v>230</v>
      </c>
      <c r="P5" s="977"/>
      <c r="Q5" s="4" t="s">
        <v>26</v>
      </c>
      <c r="R5" s="4" t="s">
        <v>25</v>
      </c>
    </row>
    <row r="6" spans="2:18" ht="15" customHeight="1">
      <c r="B6" s="969"/>
      <c r="C6" s="969"/>
      <c r="D6" s="971"/>
      <c r="E6" s="973"/>
      <c r="F6" s="84" t="s">
        <v>196</v>
      </c>
      <c r="G6" s="975"/>
      <c r="H6" s="85" t="s">
        <v>189</v>
      </c>
      <c r="I6" s="165" t="s">
        <v>39</v>
      </c>
      <c r="J6" s="165" t="s">
        <v>39</v>
      </c>
      <c r="K6" s="165" t="s">
        <v>39</v>
      </c>
      <c r="L6" s="165" t="s">
        <v>189</v>
      </c>
      <c r="M6" s="165" t="s">
        <v>39</v>
      </c>
      <c r="N6" s="165" t="s">
        <v>231</v>
      </c>
      <c r="O6" s="165" t="s">
        <v>39</v>
      </c>
      <c r="P6" s="165" t="s">
        <v>189</v>
      </c>
      <c r="Q6" s="165" t="s">
        <v>39</v>
      </c>
      <c r="R6" s="165" t="s">
        <v>189</v>
      </c>
    </row>
    <row r="7" spans="2:18" ht="15" customHeight="1">
      <c r="B7" s="49" t="s">
        <v>232</v>
      </c>
      <c r="C7" s="50"/>
      <c r="D7" s="50"/>
      <c r="E7" s="51"/>
      <c r="F7" s="52"/>
      <c r="G7" s="52"/>
      <c r="H7" s="53"/>
      <c r="I7" s="54"/>
      <c r="J7" s="54"/>
      <c r="K7" s="54"/>
      <c r="L7" s="54"/>
      <c r="M7" s="54"/>
      <c r="N7" s="54"/>
      <c r="O7" s="54"/>
      <c r="P7" s="54"/>
      <c r="Q7" s="54"/>
      <c r="R7" s="54"/>
    </row>
    <row r="8" spans="2:18" ht="15" customHeight="1" thickBot="1">
      <c r="B8" s="55"/>
      <c r="C8" s="56" t="s">
        <v>181</v>
      </c>
      <c r="D8" s="57">
        <v>1</v>
      </c>
      <c r="E8" s="58" t="s">
        <v>194</v>
      </c>
      <c r="F8" s="52"/>
      <c r="G8" s="59"/>
      <c r="H8" s="218">
        <f>ROUND(H36/$C$2,0)</f>
        <v>396</v>
      </c>
      <c r="I8" s="218">
        <f t="shared" ref="I8:R8" si="0">ROUND(I36/$C$2,0)</f>
        <v>375</v>
      </c>
      <c r="J8" s="218">
        <f t="shared" si="0"/>
        <v>333</v>
      </c>
      <c r="K8" s="218">
        <f t="shared" si="0"/>
        <v>267</v>
      </c>
      <c r="L8" s="218">
        <f t="shared" si="0"/>
        <v>333</v>
      </c>
      <c r="M8" s="218">
        <f t="shared" si="0"/>
        <v>333</v>
      </c>
      <c r="N8" s="218">
        <f t="shared" si="0"/>
        <v>333</v>
      </c>
      <c r="O8" s="218">
        <f t="shared" si="0"/>
        <v>287</v>
      </c>
      <c r="P8" s="218">
        <f t="shared" si="0"/>
        <v>320</v>
      </c>
      <c r="Q8" s="218">
        <f t="shared" si="0"/>
        <v>190</v>
      </c>
      <c r="R8" s="218">
        <f t="shared" si="0"/>
        <v>317</v>
      </c>
    </row>
    <row r="9" spans="2:18" ht="15" customHeight="1" thickBot="1">
      <c r="B9" s="50"/>
      <c r="C9" s="56"/>
      <c r="D9" s="60"/>
      <c r="E9" s="61"/>
      <c r="F9" s="62"/>
      <c r="G9" s="215">
        <f>ROUND(G37/$C$2,0)</f>
        <v>233</v>
      </c>
      <c r="H9" s="63">
        <f t="shared" ref="H9:R9" si="1">$G$9/H8</f>
        <v>0.58838383838383834</v>
      </c>
      <c r="I9" s="64">
        <f t="shared" si="1"/>
        <v>0.62133333333333329</v>
      </c>
      <c r="J9" s="64">
        <f t="shared" si="1"/>
        <v>0.6996996996996997</v>
      </c>
      <c r="K9" s="64">
        <f t="shared" si="1"/>
        <v>0.87265917602996257</v>
      </c>
      <c r="L9" s="63">
        <f t="shared" si="1"/>
        <v>0.6996996996996997</v>
      </c>
      <c r="M9" s="64">
        <f t="shared" si="1"/>
        <v>0.6996996996996997</v>
      </c>
      <c r="N9" s="63">
        <f t="shared" si="1"/>
        <v>0.6996996996996997</v>
      </c>
      <c r="O9" s="64">
        <f t="shared" si="1"/>
        <v>0.81184668989547037</v>
      </c>
      <c r="P9" s="63">
        <f t="shared" si="1"/>
        <v>0.72812500000000002</v>
      </c>
      <c r="Q9" s="64">
        <f t="shared" si="1"/>
        <v>1.2263157894736842</v>
      </c>
      <c r="R9" s="65">
        <f t="shared" si="1"/>
        <v>0.73501577287066244</v>
      </c>
    </row>
    <row r="10" spans="2:18" ht="15" customHeight="1">
      <c r="B10" s="56"/>
      <c r="C10" s="56"/>
      <c r="D10" s="60"/>
      <c r="E10" s="61"/>
      <c r="F10" s="62"/>
      <c r="G10" s="216">
        <f>ROUND(G38/$C$2,0)</f>
        <v>208</v>
      </c>
      <c r="H10" s="66">
        <f t="shared" ref="H10:R10" si="2">$G$10/H8</f>
        <v>0.5252525252525253</v>
      </c>
      <c r="I10" s="66">
        <f t="shared" si="2"/>
        <v>0.55466666666666664</v>
      </c>
      <c r="J10" s="66">
        <f t="shared" si="2"/>
        <v>0.62462462462462465</v>
      </c>
      <c r="K10" s="66">
        <f t="shared" si="2"/>
        <v>0.77902621722846443</v>
      </c>
      <c r="L10" s="66">
        <f t="shared" si="2"/>
        <v>0.62462462462462465</v>
      </c>
      <c r="M10" s="66">
        <f t="shared" si="2"/>
        <v>0.62462462462462465</v>
      </c>
      <c r="N10" s="66">
        <f t="shared" si="2"/>
        <v>0.62462462462462465</v>
      </c>
      <c r="O10" s="66">
        <f t="shared" si="2"/>
        <v>0.72473867595818819</v>
      </c>
      <c r="P10" s="66">
        <f t="shared" si="2"/>
        <v>0.65</v>
      </c>
      <c r="Q10" s="66">
        <f t="shared" si="2"/>
        <v>1.0947368421052632</v>
      </c>
      <c r="R10" s="66">
        <f t="shared" si="2"/>
        <v>0.65615141955835965</v>
      </c>
    </row>
    <row r="11" spans="2:18" ht="15" customHeight="1">
      <c r="B11" s="56"/>
      <c r="C11" s="56"/>
      <c r="D11" s="60"/>
      <c r="E11" s="61"/>
      <c r="F11" s="62"/>
      <c r="G11" s="52"/>
      <c r="H11" s="67"/>
      <c r="I11" s="68"/>
      <c r="J11" s="68"/>
      <c r="K11" s="68"/>
      <c r="L11" s="68"/>
      <c r="M11" s="68"/>
      <c r="N11" s="68"/>
      <c r="O11" s="68"/>
      <c r="P11" s="68"/>
      <c r="Q11" s="68"/>
      <c r="R11" s="68"/>
    </row>
    <row r="12" spans="2:18" ht="15" customHeight="1">
      <c r="B12" s="56" t="s">
        <v>233</v>
      </c>
      <c r="C12" s="56"/>
      <c r="D12" s="60"/>
      <c r="E12" s="61"/>
      <c r="F12" s="69"/>
      <c r="G12" s="62"/>
      <c r="H12" s="70"/>
      <c r="I12" s="71"/>
      <c r="J12" s="71"/>
      <c r="K12" s="71"/>
      <c r="L12" s="71"/>
      <c r="M12" s="71"/>
      <c r="N12" s="71"/>
      <c r="O12" s="71"/>
      <c r="P12" s="71"/>
      <c r="Q12" s="71"/>
      <c r="R12" s="71"/>
    </row>
    <row r="13" spans="2:18" ht="15" customHeight="1">
      <c r="B13" s="56"/>
      <c r="C13" s="56" t="s">
        <v>234</v>
      </c>
      <c r="D13" s="60">
        <v>1</v>
      </c>
      <c r="E13" s="61" t="s">
        <v>195</v>
      </c>
      <c r="F13" s="69"/>
      <c r="G13" s="62"/>
      <c r="H13" s="219">
        <f>ROUND(H41/$C$2,0)</f>
        <v>285</v>
      </c>
      <c r="I13" s="70"/>
      <c r="J13" s="219">
        <f t="shared" ref="J13" si="3">ROUND(J41/$C$2,0)</f>
        <v>83</v>
      </c>
      <c r="K13" s="71"/>
      <c r="L13" s="71"/>
      <c r="M13" s="71"/>
      <c r="N13" s="71"/>
      <c r="O13" s="86" t="s">
        <v>222</v>
      </c>
      <c r="P13" s="86" t="s">
        <v>222</v>
      </c>
      <c r="Q13" s="86" t="s">
        <v>222</v>
      </c>
      <c r="R13" s="86" t="s">
        <v>222</v>
      </c>
    </row>
    <row r="14" spans="2:18" ht="15" customHeight="1">
      <c r="B14" s="56"/>
      <c r="C14" s="72" t="s">
        <v>235</v>
      </c>
      <c r="D14" s="60">
        <v>1</v>
      </c>
      <c r="E14" s="61" t="s">
        <v>236</v>
      </c>
      <c r="F14" s="217">
        <f>ROUND(F42/$C$2,0)</f>
        <v>16</v>
      </c>
      <c r="G14" s="62"/>
      <c r="H14" s="219">
        <f t="shared" ref="H14:R18" si="4">ROUND(H42/$C$2,0)</f>
        <v>42</v>
      </c>
      <c r="I14" s="219">
        <f t="shared" si="4"/>
        <v>42</v>
      </c>
      <c r="J14" s="219">
        <f t="shared" si="4"/>
        <v>42</v>
      </c>
      <c r="K14" s="219">
        <f t="shared" si="4"/>
        <v>42</v>
      </c>
      <c r="L14" s="219">
        <f t="shared" si="4"/>
        <v>50</v>
      </c>
      <c r="M14" s="219">
        <f t="shared" si="4"/>
        <v>42</v>
      </c>
      <c r="N14" s="219">
        <f t="shared" si="4"/>
        <v>42</v>
      </c>
      <c r="O14" s="219">
        <f t="shared" si="4"/>
        <v>50</v>
      </c>
      <c r="P14" s="219">
        <f t="shared" si="4"/>
        <v>50</v>
      </c>
      <c r="Q14" s="219">
        <f t="shared" si="4"/>
        <v>42</v>
      </c>
      <c r="R14" s="219">
        <f t="shared" si="4"/>
        <v>25</v>
      </c>
    </row>
    <row r="15" spans="2:18" ht="15" customHeight="1">
      <c r="B15" s="56"/>
      <c r="C15" s="56" t="s">
        <v>237</v>
      </c>
      <c r="D15" s="60">
        <v>1</v>
      </c>
      <c r="E15" s="61" t="s">
        <v>238</v>
      </c>
      <c r="F15" s="217">
        <f>ROUND(F43/$C$2,0)</f>
        <v>67</v>
      </c>
      <c r="G15" s="62"/>
      <c r="H15" s="219">
        <f t="shared" si="4"/>
        <v>90</v>
      </c>
      <c r="I15" s="219">
        <f t="shared" si="4"/>
        <v>66</v>
      </c>
      <c r="J15" s="219">
        <f t="shared" si="4"/>
        <v>108</v>
      </c>
      <c r="K15" s="86" t="s">
        <v>222</v>
      </c>
      <c r="L15" s="219">
        <f t="shared" si="4"/>
        <v>17</v>
      </c>
      <c r="M15" s="47" t="s">
        <v>191</v>
      </c>
      <c r="N15" s="86" t="s">
        <v>222</v>
      </c>
      <c r="O15" s="86" t="s">
        <v>222</v>
      </c>
      <c r="P15" s="86" t="s">
        <v>222</v>
      </c>
      <c r="Q15" s="86" t="s">
        <v>222</v>
      </c>
      <c r="R15" s="219">
        <f t="shared" si="4"/>
        <v>133</v>
      </c>
    </row>
    <row r="16" spans="2:18" ht="15" customHeight="1">
      <c r="B16" s="56"/>
      <c r="C16" s="56" t="s">
        <v>239</v>
      </c>
      <c r="D16" s="60">
        <v>1</v>
      </c>
      <c r="E16" s="61" t="s">
        <v>192</v>
      </c>
      <c r="F16" s="69"/>
      <c r="G16" s="62"/>
      <c r="H16" s="219">
        <f t="shared" si="4"/>
        <v>167</v>
      </c>
      <c r="I16" s="219">
        <f t="shared" si="4"/>
        <v>192</v>
      </c>
      <c r="J16" s="219">
        <f t="shared" si="4"/>
        <v>100</v>
      </c>
      <c r="K16" s="70">
        <f t="shared" si="4"/>
        <v>100</v>
      </c>
      <c r="L16" s="71"/>
      <c r="M16" s="70">
        <f t="shared" si="4"/>
        <v>83</v>
      </c>
      <c r="N16" s="86" t="s">
        <v>222</v>
      </c>
      <c r="O16" s="86" t="s">
        <v>222</v>
      </c>
      <c r="P16" s="86" t="s">
        <v>222</v>
      </c>
      <c r="Q16" s="86" t="s">
        <v>222</v>
      </c>
      <c r="R16" s="86" t="s">
        <v>222</v>
      </c>
    </row>
    <row r="17" spans="2:18" ht="15" customHeight="1">
      <c r="B17" s="56"/>
      <c r="C17" s="56" t="s">
        <v>223</v>
      </c>
      <c r="D17" s="60">
        <v>1</v>
      </c>
      <c r="E17" s="61" t="s">
        <v>193</v>
      </c>
      <c r="F17" s="69"/>
      <c r="G17" s="62"/>
      <c r="H17" s="86" t="s">
        <v>222</v>
      </c>
      <c r="I17" s="86" t="s">
        <v>222</v>
      </c>
      <c r="J17" s="86" t="s">
        <v>222</v>
      </c>
      <c r="K17" s="86" t="s">
        <v>222</v>
      </c>
      <c r="L17" s="86" t="s">
        <v>222</v>
      </c>
      <c r="M17" s="86" t="s">
        <v>222</v>
      </c>
      <c r="N17" s="86" t="s">
        <v>222</v>
      </c>
      <c r="O17" s="86" t="s">
        <v>222</v>
      </c>
      <c r="P17" s="86" t="s">
        <v>222</v>
      </c>
      <c r="Q17" s="86" t="s">
        <v>222</v>
      </c>
      <c r="R17" s="86" t="s">
        <v>222</v>
      </c>
    </row>
    <row r="18" spans="2:18" ht="15" customHeight="1">
      <c r="B18" s="56"/>
      <c r="C18" s="56" t="s">
        <v>240</v>
      </c>
      <c r="D18" s="60">
        <v>1</v>
      </c>
      <c r="E18" s="61" t="s">
        <v>193</v>
      </c>
      <c r="F18" s="217">
        <f>ROUND(F46/$C$2,0)</f>
        <v>83</v>
      </c>
      <c r="G18" s="62"/>
      <c r="H18" s="70"/>
      <c r="I18" s="71"/>
      <c r="J18" s="219">
        <f t="shared" si="4"/>
        <v>250</v>
      </c>
      <c r="K18" s="219">
        <f t="shared" si="4"/>
        <v>183</v>
      </c>
      <c r="L18" s="220"/>
      <c r="M18" s="219">
        <f t="shared" si="4"/>
        <v>167</v>
      </c>
      <c r="N18" s="219">
        <f t="shared" si="4"/>
        <v>183</v>
      </c>
      <c r="O18" s="219">
        <f t="shared" si="4"/>
        <v>167</v>
      </c>
      <c r="P18" s="219">
        <f t="shared" si="4"/>
        <v>167</v>
      </c>
      <c r="Q18" s="219">
        <f t="shared" si="4"/>
        <v>300</v>
      </c>
      <c r="R18" s="219">
        <f t="shared" si="4"/>
        <v>500</v>
      </c>
    </row>
    <row r="19" spans="2:18" ht="15" customHeight="1">
      <c r="B19" s="56"/>
      <c r="C19" s="56" t="s">
        <v>241</v>
      </c>
      <c r="D19" s="60">
        <v>1</v>
      </c>
      <c r="E19" s="61" t="s">
        <v>193</v>
      </c>
      <c r="F19" s="69"/>
      <c r="G19" s="62"/>
      <c r="H19" s="70"/>
      <c r="I19" s="219">
        <f t="shared" ref="I19" si="5">ROUND(I47/$C$2,0)</f>
        <v>125</v>
      </c>
      <c r="J19" s="71"/>
      <c r="K19" s="71"/>
      <c r="L19" s="71"/>
      <c r="M19" s="71"/>
      <c r="N19" s="71"/>
      <c r="O19" s="71"/>
      <c r="P19" s="71"/>
      <c r="Q19" s="71"/>
      <c r="R19" s="71"/>
    </row>
    <row r="20" spans="2:18" ht="15" customHeight="1">
      <c r="B20" s="56"/>
      <c r="C20" s="56" t="s">
        <v>242</v>
      </c>
      <c r="D20" s="60">
        <v>1</v>
      </c>
      <c r="E20" s="61" t="s">
        <v>118</v>
      </c>
      <c r="F20" s="69"/>
      <c r="G20" s="62"/>
      <c r="H20" s="70"/>
      <c r="I20" s="71"/>
      <c r="J20" s="71"/>
      <c r="K20" s="71"/>
      <c r="L20" s="71"/>
      <c r="M20" s="71"/>
      <c r="N20" s="71"/>
      <c r="O20" s="219">
        <f t="shared" ref="O20:P21" si="6">ROUND(O48/$C$2,0)</f>
        <v>7</v>
      </c>
      <c r="P20" s="219">
        <f t="shared" si="6"/>
        <v>7</v>
      </c>
      <c r="Q20" s="71"/>
      <c r="R20" s="71"/>
    </row>
    <row r="21" spans="2:18" ht="15" customHeight="1">
      <c r="B21" s="56"/>
      <c r="C21" s="56" t="s">
        <v>243</v>
      </c>
      <c r="D21" s="60">
        <v>1</v>
      </c>
      <c r="E21" s="61" t="s">
        <v>118</v>
      </c>
      <c r="F21" s="69"/>
      <c r="G21" s="62"/>
      <c r="H21" s="70"/>
      <c r="I21" s="71"/>
      <c r="J21" s="71"/>
      <c r="K21" s="71"/>
      <c r="L21" s="71"/>
      <c r="M21" s="71"/>
      <c r="N21" s="71"/>
      <c r="O21" s="219">
        <f t="shared" si="6"/>
        <v>8</v>
      </c>
      <c r="P21" s="219">
        <f t="shared" si="6"/>
        <v>8</v>
      </c>
      <c r="Q21" s="71"/>
      <c r="R21" s="71"/>
    </row>
    <row r="22" spans="2:18" ht="15" customHeight="1">
      <c r="B22" s="56"/>
      <c r="C22" s="56" t="s">
        <v>244</v>
      </c>
      <c r="D22" s="60"/>
      <c r="E22" s="61"/>
      <c r="F22" s="69"/>
      <c r="G22" s="62"/>
      <c r="H22" s="70"/>
      <c r="I22" s="71"/>
      <c r="J22" s="71"/>
      <c r="K22" s="71"/>
      <c r="L22" s="71"/>
      <c r="M22" s="71"/>
      <c r="N22" s="71"/>
      <c r="O22" s="71"/>
      <c r="P22" s="71"/>
      <c r="Q22" s="86" t="s">
        <v>222</v>
      </c>
      <c r="R22" s="86" t="s">
        <v>222</v>
      </c>
    </row>
    <row r="23" spans="2:18" ht="15" customHeight="1">
      <c r="B23" s="56"/>
      <c r="C23" s="56" t="s">
        <v>245</v>
      </c>
      <c r="D23" s="60">
        <v>1</v>
      </c>
      <c r="E23" s="61" t="s">
        <v>118</v>
      </c>
      <c r="F23" s="217">
        <f>ROUND(F51/$C$2,0)</f>
        <v>4</v>
      </c>
      <c r="G23" s="62"/>
      <c r="H23" s="70"/>
      <c r="I23" s="71"/>
      <c r="J23" s="71"/>
      <c r="K23" s="71"/>
      <c r="L23" s="71"/>
      <c r="M23" s="71"/>
      <c r="N23" s="71"/>
      <c r="O23" s="71"/>
      <c r="P23" s="71"/>
      <c r="Q23" s="71"/>
      <c r="R23" s="71"/>
    </row>
    <row r="24" spans="2:18" ht="15" customHeight="1">
      <c r="B24" s="56"/>
      <c r="C24" s="56"/>
      <c r="D24" s="56"/>
      <c r="E24" s="73"/>
      <c r="F24" s="69"/>
      <c r="G24" s="62"/>
      <c r="H24" s="67"/>
      <c r="I24" s="68"/>
      <c r="J24" s="68"/>
      <c r="K24" s="68"/>
      <c r="L24" s="68"/>
      <c r="M24" s="68"/>
      <c r="N24" s="68"/>
      <c r="O24" s="68"/>
      <c r="P24" s="68"/>
      <c r="Q24" s="68"/>
      <c r="R24" s="68"/>
    </row>
    <row r="25" spans="2:18" ht="15" customHeight="1">
      <c r="B25" s="56" t="s">
        <v>246</v>
      </c>
      <c r="C25" s="56"/>
      <c r="D25" s="56"/>
      <c r="E25" s="73"/>
      <c r="F25" s="69"/>
      <c r="G25" s="74">
        <v>0.15</v>
      </c>
      <c r="H25" s="75" t="s">
        <v>247</v>
      </c>
      <c r="I25" s="76" t="s">
        <v>247</v>
      </c>
      <c r="J25" s="76" t="s">
        <v>247</v>
      </c>
      <c r="K25" s="76" t="s">
        <v>247</v>
      </c>
      <c r="L25" s="76" t="s">
        <v>248</v>
      </c>
      <c r="M25" s="76" t="s">
        <v>248</v>
      </c>
      <c r="N25" s="76" t="s">
        <v>248</v>
      </c>
      <c r="O25" s="76" t="s">
        <v>247</v>
      </c>
      <c r="P25" s="76" t="s">
        <v>248</v>
      </c>
      <c r="Q25" s="76" t="s">
        <v>247</v>
      </c>
      <c r="R25" s="76" t="s">
        <v>247</v>
      </c>
    </row>
    <row r="26" spans="2:18" ht="15" customHeight="1">
      <c r="B26" s="56"/>
      <c r="C26" s="56"/>
      <c r="D26" s="56"/>
      <c r="E26" s="73"/>
      <c r="F26" s="69"/>
      <c r="G26" s="62"/>
      <c r="H26" s="67"/>
      <c r="I26" s="68"/>
      <c r="J26" s="68"/>
      <c r="K26" s="68"/>
      <c r="L26" s="68"/>
      <c r="M26" s="68"/>
      <c r="N26" s="68"/>
      <c r="O26" s="68"/>
      <c r="P26" s="68"/>
      <c r="Q26" s="68"/>
      <c r="R26" s="68"/>
    </row>
    <row r="27" spans="2:18" ht="15" customHeight="1" thickBot="1">
      <c r="B27" s="77"/>
      <c r="C27" s="77"/>
      <c r="D27" s="77"/>
      <c r="E27" s="78"/>
      <c r="F27" s="79"/>
      <c r="G27" s="80"/>
      <c r="H27" s="81"/>
      <c r="I27" s="82"/>
      <c r="J27" s="82"/>
      <c r="K27" s="82"/>
      <c r="L27" s="82"/>
      <c r="M27" s="82"/>
      <c r="N27" s="82"/>
      <c r="O27" s="82"/>
      <c r="P27" s="82"/>
      <c r="Q27" s="82"/>
      <c r="R27" s="82"/>
    </row>
    <row r="28" spans="2:18">
      <c r="B28" s="46" t="s">
        <v>249</v>
      </c>
    </row>
    <row r="31" spans="2:18" s="168" customFormat="1" ht="21" customHeight="1">
      <c r="B31" s="169" t="s">
        <v>250</v>
      </c>
      <c r="Q31" s="958">
        <v>41479</v>
      </c>
      <c r="R31" s="958"/>
    </row>
    <row r="32" spans="2:18" s="168" customFormat="1" ht="9.6" customHeight="1" thickBot="1"/>
    <row r="33" spans="2:18" s="168" customFormat="1" ht="15" customHeight="1">
      <c r="B33" s="959" t="s">
        <v>251</v>
      </c>
      <c r="C33" s="959" t="s">
        <v>252</v>
      </c>
      <c r="D33" s="959" t="s">
        <v>253</v>
      </c>
      <c r="E33" s="961" t="s">
        <v>254</v>
      </c>
      <c r="F33" s="170" t="s">
        <v>255</v>
      </c>
      <c r="G33" s="963" t="s">
        <v>256</v>
      </c>
      <c r="H33" s="171" t="s">
        <v>257</v>
      </c>
      <c r="I33" s="172" t="s">
        <v>258</v>
      </c>
      <c r="J33" s="172" t="s">
        <v>259</v>
      </c>
      <c r="K33" s="173" t="s">
        <v>260</v>
      </c>
      <c r="L33" s="173" t="s">
        <v>261</v>
      </c>
      <c r="M33" s="173" t="s">
        <v>262</v>
      </c>
      <c r="N33" s="173" t="s">
        <v>263</v>
      </c>
      <c r="O33" s="965" t="s">
        <v>264</v>
      </c>
      <c r="P33" s="966"/>
      <c r="Q33" s="172" t="s">
        <v>225</v>
      </c>
      <c r="R33" s="172" t="s">
        <v>226</v>
      </c>
    </row>
    <row r="34" spans="2:18" s="168" customFormat="1" ht="15" customHeight="1">
      <c r="B34" s="960"/>
      <c r="C34" s="960"/>
      <c r="D34" s="960"/>
      <c r="E34" s="962"/>
      <c r="F34" s="174" t="s">
        <v>265</v>
      </c>
      <c r="G34" s="964"/>
      <c r="H34" s="175" t="s">
        <v>266</v>
      </c>
      <c r="I34" s="176" t="s">
        <v>267</v>
      </c>
      <c r="J34" s="176" t="s">
        <v>267</v>
      </c>
      <c r="K34" s="176" t="s">
        <v>267</v>
      </c>
      <c r="L34" s="176" t="s">
        <v>266</v>
      </c>
      <c r="M34" s="176" t="s">
        <v>267</v>
      </c>
      <c r="N34" s="176" t="s">
        <v>266</v>
      </c>
      <c r="O34" s="176" t="s">
        <v>267</v>
      </c>
      <c r="P34" s="176" t="s">
        <v>266</v>
      </c>
      <c r="Q34" s="176" t="s">
        <v>267</v>
      </c>
      <c r="R34" s="176" t="s">
        <v>266</v>
      </c>
    </row>
    <row r="35" spans="2:18" s="168" customFormat="1" ht="15" customHeight="1">
      <c r="B35" s="177" t="s">
        <v>268</v>
      </c>
      <c r="C35" s="177"/>
      <c r="D35" s="177"/>
      <c r="E35" s="178"/>
      <c r="F35" s="179"/>
      <c r="G35" s="179"/>
      <c r="H35" s="180"/>
      <c r="I35" s="181"/>
      <c r="J35" s="181"/>
      <c r="K35" s="181"/>
      <c r="L35" s="181"/>
      <c r="M35" s="181"/>
      <c r="N35" s="181"/>
      <c r="O35" s="181"/>
      <c r="P35" s="181"/>
      <c r="Q35" s="181"/>
      <c r="R35" s="181"/>
    </row>
    <row r="36" spans="2:18" s="168" customFormat="1" ht="15" customHeight="1" thickBot="1">
      <c r="B36" s="182"/>
      <c r="C36" s="182" t="s">
        <v>269</v>
      </c>
      <c r="D36" s="183">
        <v>1</v>
      </c>
      <c r="E36" s="184" t="s">
        <v>270</v>
      </c>
      <c r="F36" s="179"/>
      <c r="G36" s="185"/>
      <c r="H36" s="186">
        <v>47500</v>
      </c>
      <c r="I36" s="187">
        <v>45040</v>
      </c>
      <c r="J36" s="187">
        <v>40000</v>
      </c>
      <c r="K36" s="187">
        <v>32000</v>
      </c>
      <c r="L36" s="187">
        <v>40000</v>
      </c>
      <c r="M36" s="187">
        <v>40000</v>
      </c>
      <c r="N36" s="187">
        <v>40000</v>
      </c>
      <c r="O36" s="187">
        <v>34400</v>
      </c>
      <c r="P36" s="187">
        <v>38400</v>
      </c>
      <c r="Q36" s="187">
        <v>22800</v>
      </c>
      <c r="R36" s="187">
        <v>38000</v>
      </c>
    </row>
    <row r="37" spans="2:18" s="168" customFormat="1" ht="15" customHeight="1" thickBot="1">
      <c r="B37" s="182"/>
      <c r="C37" s="182"/>
      <c r="D37" s="188"/>
      <c r="E37" s="189"/>
      <c r="F37" s="190"/>
      <c r="G37" s="191">
        <v>28000</v>
      </c>
      <c r="H37" s="192">
        <f>$G$9/H36</f>
        <v>4.9052631578947372E-3</v>
      </c>
      <c r="I37" s="193">
        <f t="shared" ref="I37:R37" si="7">$G$9/I36</f>
        <v>5.173179396092362E-3</v>
      </c>
      <c r="J37" s="193">
        <f t="shared" si="7"/>
        <v>5.8250000000000003E-3</v>
      </c>
      <c r="K37" s="193">
        <f>$G$9/K36</f>
        <v>7.2812500000000004E-3</v>
      </c>
      <c r="L37" s="192">
        <f>$G$9/L36</f>
        <v>5.8250000000000003E-3</v>
      </c>
      <c r="M37" s="193">
        <f>$G$9/M36</f>
        <v>5.8250000000000003E-3</v>
      </c>
      <c r="N37" s="192">
        <f>$G$9/N36</f>
        <v>5.8250000000000003E-3</v>
      </c>
      <c r="O37" s="193">
        <f t="shared" si="7"/>
        <v>6.7732558139534885E-3</v>
      </c>
      <c r="P37" s="192">
        <f t="shared" si="7"/>
        <v>6.0677083333333329E-3</v>
      </c>
      <c r="Q37" s="193">
        <f t="shared" si="7"/>
        <v>1.0219298245614034E-2</v>
      </c>
      <c r="R37" s="194">
        <f t="shared" si="7"/>
        <v>6.1315789473684211E-3</v>
      </c>
    </row>
    <row r="38" spans="2:18" s="168" customFormat="1" ht="15" customHeight="1">
      <c r="B38" s="182"/>
      <c r="C38" s="182"/>
      <c r="D38" s="188"/>
      <c r="E38" s="189"/>
      <c r="F38" s="190"/>
      <c r="G38" s="195">
        <v>25000</v>
      </c>
      <c r="H38" s="196">
        <f>$G$10/H36</f>
        <v>4.3789473684210526E-3</v>
      </c>
      <c r="I38" s="196">
        <f t="shared" ref="I38:R38" si="8">$G$10/I36</f>
        <v>4.6181172291296629E-3</v>
      </c>
      <c r="J38" s="196">
        <f t="shared" si="8"/>
        <v>5.1999999999999998E-3</v>
      </c>
      <c r="K38" s="196">
        <f>$G$10/K36</f>
        <v>6.4999999999999997E-3</v>
      </c>
      <c r="L38" s="196">
        <f>$G$10/L36</f>
        <v>5.1999999999999998E-3</v>
      </c>
      <c r="M38" s="196">
        <f>$G$10/M36</f>
        <v>5.1999999999999998E-3</v>
      </c>
      <c r="N38" s="196">
        <f>$G$10/N36</f>
        <v>5.1999999999999998E-3</v>
      </c>
      <c r="O38" s="196">
        <f t="shared" si="8"/>
        <v>6.0465116279069765E-3</v>
      </c>
      <c r="P38" s="196">
        <f t="shared" si="8"/>
        <v>5.4166666666666669E-3</v>
      </c>
      <c r="Q38" s="196">
        <f t="shared" si="8"/>
        <v>9.1228070175438589E-3</v>
      </c>
      <c r="R38" s="196">
        <f t="shared" si="8"/>
        <v>5.4736842105263155E-3</v>
      </c>
    </row>
    <row r="39" spans="2:18" s="168" customFormat="1" ht="15" customHeight="1">
      <c r="B39" s="182"/>
      <c r="C39" s="182"/>
      <c r="D39" s="188"/>
      <c r="E39" s="189"/>
      <c r="F39" s="190"/>
      <c r="G39" s="190"/>
      <c r="H39" s="197"/>
      <c r="I39" s="198"/>
      <c r="J39" s="198"/>
      <c r="K39" s="198"/>
      <c r="L39" s="198"/>
      <c r="M39" s="198"/>
      <c r="N39" s="198"/>
      <c r="O39" s="198"/>
      <c r="P39" s="198"/>
      <c r="Q39" s="198"/>
      <c r="R39" s="198"/>
    </row>
    <row r="40" spans="2:18" s="168" customFormat="1" ht="15" customHeight="1">
      <c r="B40" s="182" t="s">
        <v>271</v>
      </c>
      <c r="C40" s="182"/>
      <c r="D40" s="188"/>
      <c r="E40" s="189"/>
      <c r="F40" s="199"/>
      <c r="G40" s="190"/>
      <c r="H40" s="200"/>
      <c r="I40" s="201"/>
      <c r="J40" s="201"/>
      <c r="K40" s="201"/>
      <c r="L40" s="201"/>
      <c r="M40" s="201"/>
      <c r="N40" s="201"/>
      <c r="O40" s="201"/>
      <c r="P40" s="201"/>
      <c r="Q40" s="201"/>
      <c r="R40" s="201"/>
    </row>
    <row r="41" spans="2:18" s="168" customFormat="1" ht="15" customHeight="1">
      <c r="B41" s="182"/>
      <c r="C41" s="182" t="s">
        <v>272</v>
      </c>
      <c r="D41" s="188">
        <v>1</v>
      </c>
      <c r="E41" s="189" t="s">
        <v>273</v>
      </c>
      <c r="F41" s="199"/>
      <c r="G41" s="190"/>
      <c r="H41" s="200">
        <v>34150</v>
      </c>
      <c r="I41" s="201"/>
      <c r="J41" s="201">
        <v>10000</v>
      </c>
      <c r="K41" s="201"/>
      <c r="L41" s="201"/>
      <c r="M41" s="201"/>
      <c r="N41" s="201"/>
      <c r="O41" s="201" t="s">
        <v>274</v>
      </c>
      <c r="P41" s="201" t="s">
        <v>274</v>
      </c>
      <c r="Q41" s="201" t="s">
        <v>274</v>
      </c>
      <c r="R41" s="201" t="s">
        <v>274</v>
      </c>
    </row>
    <row r="42" spans="2:18" s="168" customFormat="1" ht="15" customHeight="1">
      <c r="B42" s="182"/>
      <c r="C42" s="182" t="s">
        <v>275</v>
      </c>
      <c r="D42" s="188">
        <v>1</v>
      </c>
      <c r="E42" s="189" t="s">
        <v>276</v>
      </c>
      <c r="F42" s="199">
        <v>1900</v>
      </c>
      <c r="G42" s="190"/>
      <c r="H42" s="200">
        <v>5000</v>
      </c>
      <c r="I42" s="201">
        <v>5000</v>
      </c>
      <c r="J42" s="201">
        <v>5000</v>
      </c>
      <c r="K42" s="201">
        <v>5000</v>
      </c>
      <c r="L42" s="201">
        <v>6000</v>
      </c>
      <c r="M42" s="201">
        <v>5000</v>
      </c>
      <c r="N42" s="201">
        <v>5000</v>
      </c>
      <c r="O42" s="201">
        <v>6000</v>
      </c>
      <c r="P42" s="201">
        <v>6000</v>
      </c>
      <c r="Q42" s="201">
        <v>5000</v>
      </c>
      <c r="R42" s="201">
        <v>3000</v>
      </c>
    </row>
    <row r="43" spans="2:18" s="168" customFormat="1" ht="15" customHeight="1">
      <c r="B43" s="182"/>
      <c r="C43" s="182" t="s">
        <v>277</v>
      </c>
      <c r="D43" s="188">
        <v>1</v>
      </c>
      <c r="E43" s="189" t="s">
        <v>278</v>
      </c>
      <c r="F43" s="199">
        <v>8000</v>
      </c>
      <c r="G43" s="190"/>
      <c r="H43" s="200">
        <v>10750</v>
      </c>
      <c r="I43" s="201">
        <v>7880</v>
      </c>
      <c r="J43" s="201">
        <v>13000</v>
      </c>
      <c r="K43" s="201" t="s">
        <v>274</v>
      </c>
      <c r="L43" s="201">
        <v>2000</v>
      </c>
      <c r="M43" s="201" t="s">
        <v>279</v>
      </c>
      <c r="N43" s="201" t="s">
        <v>274</v>
      </c>
      <c r="O43" s="201" t="s">
        <v>274</v>
      </c>
      <c r="P43" s="201" t="s">
        <v>274</v>
      </c>
      <c r="Q43" s="201" t="s">
        <v>274</v>
      </c>
      <c r="R43" s="201">
        <v>16000</v>
      </c>
    </row>
    <row r="44" spans="2:18" s="168" customFormat="1" ht="15" customHeight="1">
      <c r="B44" s="182"/>
      <c r="C44" s="182" t="s">
        <v>280</v>
      </c>
      <c r="D44" s="188">
        <v>1</v>
      </c>
      <c r="E44" s="189" t="s">
        <v>281</v>
      </c>
      <c r="F44" s="199"/>
      <c r="G44" s="190"/>
      <c r="H44" s="200">
        <v>20000</v>
      </c>
      <c r="I44" s="201">
        <v>23000</v>
      </c>
      <c r="J44" s="201">
        <v>12000</v>
      </c>
      <c r="K44" s="201">
        <v>12000</v>
      </c>
      <c r="L44" s="201"/>
      <c r="M44" s="201">
        <v>10000</v>
      </c>
      <c r="N44" s="201" t="s">
        <v>274</v>
      </c>
      <c r="O44" s="201" t="s">
        <v>274</v>
      </c>
      <c r="P44" s="201" t="s">
        <v>274</v>
      </c>
      <c r="Q44" s="201" t="s">
        <v>274</v>
      </c>
      <c r="R44" s="201" t="s">
        <v>274</v>
      </c>
    </row>
    <row r="45" spans="2:18" s="168" customFormat="1" ht="15" customHeight="1">
      <c r="B45" s="182"/>
      <c r="C45" s="182" t="s">
        <v>282</v>
      </c>
      <c r="D45" s="188">
        <v>1</v>
      </c>
      <c r="E45" s="189" t="s">
        <v>281</v>
      </c>
      <c r="F45" s="199"/>
      <c r="G45" s="190"/>
      <c r="H45" s="200" t="s">
        <v>274</v>
      </c>
      <c r="I45" s="201" t="s">
        <v>274</v>
      </c>
      <c r="J45" s="201" t="s">
        <v>274</v>
      </c>
      <c r="K45" s="201" t="s">
        <v>274</v>
      </c>
      <c r="L45" s="201" t="s">
        <v>274</v>
      </c>
      <c r="M45" s="201" t="s">
        <v>274</v>
      </c>
      <c r="N45" s="201" t="s">
        <v>274</v>
      </c>
      <c r="O45" s="201" t="s">
        <v>274</v>
      </c>
      <c r="P45" s="201" t="s">
        <v>274</v>
      </c>
      <c r="Q45" s="201" t="s">
        <v>274</v>
      </c>
      <c r="R45" s="201" t="s">
        <v>274</v>
      </c>
    </row>
    <row r="46" spans="2:18" s="168" customFormat="1" ht="15" customHeight="1">
      <c r="B46" s="182"/>
      <c r="C46" s="182" t="s">
        <v>283</v>
      </c>
      <c r="D46" s="188">
        <v>1</v>
      </c>
      <c r="E46" s="189" t="s">
        <v>281</v>
      </c>
      <c r="F46" s="199">
        <v>10000</v>
      </c>
      <c r="G46" s="190"/>
      <c r="H46" s="200"/>
      <c r="I46" s="201"/>
      <c r="J46" s="201">
        <v>30000</v>
      </c>
      <c r="K46" s="201">
        <v>22000</v>
      </c>
      <c r="L46" s="201"/>
      <c r="M46" s="201">
        <v>20000</v>
      </c>
      <c r="N46" s="201">
        <v>22000</v>
      </c>
      <c r="O46" s="201">
        <v>20000</v>
      </c>
      <c r="P46" s="201">
        <v>20000</v>
      </c>
      <c r="Q46" s="201">
        <v>36000</v>
      </c>
      <c r="R46" s="201">
        <v>60000</v>
      </c>
    </row>
    <row r="47" spans="2:18" s="168" customFormat="1" ht="15" customHeight="1">
      <c r="B47" s="182"/>
      <c r="C47" s="182" t="s">
        <v>284</v>
      </c>
      <c r="D47" s="188">
        <v>1</v>
      </c>
      <c r="E47" s="189" t="s">
        <v>281</v>
      </c>
      <c r="F47" s="199"/>
      <c r="G47" s="190"/>
      <c r="H47" s="200"/>
      <c r="I47" s="201">
        <v>15000</v>
      </c>
      <c r="J47" s="201"/>
      <c r="K47" s="201"/>
      <c r="L47" s="201"/>
      <c r="M47" s="201"/>
      <c r="N47" s="201"/>
      <c r="O47" s="201"/>
      <c r="P47" s="201"/>
      <c r="Q47" s="201"/>
      <c r="R47" s="201"/>
    </row>
    <row r="48" spans="2:18" s="168" customFormat="1" ht="15" customHeight="1">
      <c r="B48" s="182"/>
      <c r="C48" s="182" t="s">
        <v>285</v>
      </c>
      <c r="D48" s="188">
        <v>1</v>
      </c>
      <c r="E48" s="189" t="s">
        <v>286</v>
      </c>
      <c r="F48" s="199"/>
      <c r="G48" s="190"/>
      <c r="H48" s="200"/>
      <c r="I48" s="201"/>
      <c r="J48" s="201"/>
      <c r="K48" s="201"/>
      <c r="L48" s="201"/>
      <c r="M48" s="201"/>
      <c r="N48" s="201"/>
      <c r="O48" s="201">
        <v>800</v>
      </c>
      <c r="P48" s="201">
        <v>800</v>
      </c>
      <c r="Q48" s="201"/>
      <c r="R48" s="201"/>
    </row>
    <row r="49" spans="2:18" s="168" customFormat="1" ht="15" customHeight="1">
      <c r="B49" s="182"/>
      <c r="C49" s="182" t="s">
        <v>287</v>
      </c>
      <c r="D49" s="188">
        <v>1</v>
      </c>
      <c r="E49" s="189" t="s">
        <v>286</v>
      </c>
      <c r="F49" s="199"/>
      <c r="G49" s="190"/>
      <c r="H49" s="200"/>
      <c r="I49" s="201"/>
      <c r="J49" s="201"/>
      <c r="K49" s="201"/>
      <c r="L49" s="201"/>
      <c r="M49" s="201"/>
      <c r="N49" s="201"/>
      <c r="O49" s="201">
        <v>1000</v>
      </c>
      <c r="P49" s="201">
        <v>1000</v>
      </c>
      <c r="Q49" s="201"/>
      <c r="R49" s="201"/>
    </row>
    <row r="50" spans="2:18" s="168" customFormat="1" ht="15" customHeight="1">
      <c r="B50" s="182"/>
      <c r="C50" s="182" t="s">
        <v>288</v>
      </c>
      <c r="D50" s="188"/>
      <c r="E50" s="189"/>
      <c r="F50" s="199"/>
      <c r="G50" s="190"/>
      <c r="H50" s="200"/>
      <c r="I50" s="201"/>
      <c r="J50" s="201"/>
      <c r="K50" s="201"/>
      <c r="L50" s="201"/>
      <c r="M50" s="201"/>
      <c r="N50" s="201"/>
      <c r="O50" s="201"/>
      <c r="P50" s="201"/>
      <c r="Q50" s="201" t="s">
        <v>274</v>
      </c>
      <c r="R50" s="201" t="s">
        <v>274</v>
      </c>
    </row>
    <row r="51" spans="2:18" s="168" customFormat="1" ht="15" customHeight="1">
      <c r="B51" s="182"/>
      <c r="C51" s="182" t="s">
        <v>289</v>
      </c>
      <c r="D51" s="188">
        <v>1</v>
      </c>
      <c r="E51" s="189" t="s">
        <v>286</v>
      </c>
      <c r="F51" s="199">
        <v>500</v>
      </c>
      <c r="G51" s="190"/>
      <c r="H51" s="200"/>
      <c r="I51" s="201"/>
      <c r="J51" s="201"/>
      <c r="K51" s="201"/>
      <c r="L51" s="201"/>
      <c r="M51" s="201"/>
      <c r="N51" s="201"/>
      <c r="O51" s="201"/>
      <c r="P51" s="201"/>
      <c r="Q51" s="201"/>
      <c r="R51" s="201"/>
    </row>
    <row r="52" spans="2:18" s="168" customFormat="1" ht="15" customHeight="1">
      <c r="B52" s="182"/>
      <c r="C52" s="182"/>
      <c r="D52" s="182"/>
      <c r="E52" s="202"/>
      <c r="F52" s="199"/>
      <c r="G52" s="190"/>
      <c r="H52" s="197"/>
      <c r="I52" s="198"/>
      <c r="J52" s="198"/>
      <c r="K52" s="198"/>
      <c r="L52" s="198"/>
      <c r="M52" s="198"/>
      <c r="N52" s="198"/>
      <c r="O52" s="198"/>
      <c r="P52" s="198"/>
      <c r="Q52" s="198"/>
      <c r="R52" s="198"/>
    </row>
    <row r="53" spans="2:18" s="168" customFormat="1" ht="15" customHeight="1">
      <c r="B53" s="182" t="s">
        <v>290</v>
      </c>
      <c r="C53" s="182"/>
      <c r="D53" s="182"/>
      <c r="E53" s="202"/>
      <c r="F53" s="199"/>
      <c r="G53" s="203">
        <v>0.15</v>
      </c>
      <c r="H53" s="204" t="s">
        <v>291</v>
      </c>
      <c r="I53" s="205" t="s">
        <v>291</v>
      </c>
      <c r="J53" s="205" t="s">
        <v>291</v>
      </c>
      <c r="K53" s="205" t="s">
        <v>291</v>
      </c>
      <c r="L53" s="205" t="s">
        <v>292</v>
      </c>
      <c r="M53" s="205" t="s">
        <v>292</v>
      </c>
      <c r="N53" s="205" t="s">
        <v>292</v>
      </c>
      <c r="O53" s="205" t="s">
        <v>291</v>
      </c>
      <c r="P53" s="205" t="s">
        <v>292</v>
      </c>
      <c r="Q53" s="205" t="s">
        <v>291</v>
      </c>
      <c r="R53" s="205" t="s">
        <v>291</v>
      </c>
    </row>
    <row r="54" spans="2:18" s="168" customFormat="1" ht="15" customHeight="1">
      <c r="B54" s="182"/>
      <c r="C54" s="182"/>
      <c r="D54" s="182"/>
      <c r="E54" s="202"/>
      <c r="F54" s="199"/>
      <c r="G54" s="190"/>
      <c r="H54" s="197"/>
      <c r="I54" s="198"/>
      <c r="J54" s="198"/>
      <c r="K54" s="198"/>
      <c r="L54" s="198"/>
      <c r="M54" s="198"/>
      <c r="N54" s="198"/>
      <c r="O54" s="198"/>
      <c r="P54" s="198"/>
      <c r="Q54" s="198"/>
      <c r="R54" s="198"/>
    </row>
    <row r="55" spans="2:18" s="168" customFormat="1" ht="15" customHeight="1" thickBot="1">
      <c r="B55" s="206"/>
      <c r="C55" s="206"/>
      <c r="D55" s="206"/>
      <c r="E55" s="207"/>
      <c r="F55" s="208"/>
      <c r="G55" s="209"/>
      <c r="H55" s="210"/>
      <c r="I55" s="211"/>
      <c r="J55" s="211"/>
      <c r="K55" s="211"/>
      <c r="L55" s="211"/>
      <c r="M55" s="211"/>
      <c r="N55" s="211"/>
      <c r="O55" s="211"/>
      <c r="P55" s="211"/>
      <c r="Q55" s="211"/>
      <c r="R55" s="211"/>
    </row>
    <row r="56" spans="2:18" s="168" customFormat="1">
      <c r="B56" s="168" t="s">
        <v>293</v>
      </c>
    </row>
  </sheetData>
  <mergeCells count="14">
    <mergeCell ref="Q3:R3"/>
    <mergeCell ref="B5:B6"/>
    <mergeCell ref="C5:C6"/>
    <mergeCell ref="D5:D6"/>
    <mergeCell ref="E5:E6"/>
    <mergeCell ref="G5:G6"/>
    <mergeCell ref="O5:P5"/>
    <mergeCell ref="Q31:R31"/>
    <mergeCell ref="B33:B34"/>
    <mergeCell ref="C33:C34"/>
    <mergeCell ref="D33:D34"/>
    <mergeCell ref="E33:E34"/>
    <mergeCell ref="G33:G34"/>
    <mergeCell ref="O33:P33"/>
  </mergeCells>
  <phoneticPr fontId="4"/>
  <printOptions horizontalCentered="1"/>
  <pageMargins left="0.39370078740157483" right="0.39370078740157483" top="0.98425196850393704" bottom="0.98425196850393704" header="0.51181102362204722" footer="0.51181102362204722"/>
  <pageSetup paperSize="9" scale="8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1.Service Contraction</vt:lpstr>
      <vt:lpstr>2.Quotation Service Order</vt:lpstr>
      <vt:lpstr>3.Detail Quotation</vt:lpstr>
      <vt:lpstr>4.Handing Over</vt:lpstr>
      <vt:lpstr>5.Request for Payment</vt:lpstr>
      <vt:lpstr>6.Invoice</vt:lpstr>
      <vt:lpstr>7. Process Sheet</vt:lpstr>
      <vt:lpstr>8.Allowance and Others</vt:lpstr>
      <vt:lpstr>9.Instrument Breakdown Sheet</vt:lpstr>
      <vt:lpstr>10.Equipment depreciation table</vt:lpstr>
      <vt:lpstr>11.Consumbles Breakudown Sheet</vt:lpstr>
      <vt:lpstr>Balance sheet</vt:lpstr>
      <vt:lpstr>'1.Service Contraction'!Print_Area</vt:lpstr>
      <vt:lpstr>'10.Equipment depreciation table'!Print_Area</vt:lpstr>
      <vt:lpstr>'11.Consumbles Breakudown Sheet'!Print_Area</vt:lpstr>
      <vt:lpstr>'2.Quotation Service Order'!Print_Area</vt:lpstr>
      <vt:lpstr>'3.Detail Quotation'!Print_Area</vt:lpstr>
      <vt:lpstr>'4.Handing Over'!Print_Area</vt:lpstr>
      <vt:lpstr>'5.Request for Payment'!Print_Area</vt:lpstr>
      <vt:lpstr>'6.Invoice'!Print_Area</vt:lpstr>
      <vt:lpstr>'7. Process Sheet'!Print_Area</vt:lpstr>
      <vt:lpstr>'8.Allowance and Others'!Print_Area</vt:lpstr>
      <vt:lpstr>'9.Instrument Breakdown Sheet'!Print_Area</vt:lpstr>
      <vt:lpstr>'Balance sheet'!Print_Area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2017-04-27T10:01:14Z</dcterms:modified>
</cp:coreProperties>
</file>