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0" yWindow="0" windowWidth="20490" windowHeight="7755" tabRatio="766" activeTab="4"/>
  </bookViews>
  <sheets>
    <sheet name="1.Service Contraction" sheetId="3" r:id="rId1"/>
    <sheet name="2.Quotation Service Order" sheetId="1" r:id="rId2"/>
    <sheet name="3.Detail Quotation" sheetId="19" r:id="rId3"/>
    <sheet name="4.Handing Over" sheetId="15" r:id="rId4"/>
    <sheet name="5.Request for Payment" sheetId="17" r:id="rId5"/>
    <sheet name="6.Invoice" sheetId="18" r:id="rId6"/>
    <sheet name="7. Process Sheet" sheetId="7" r:id="rId7"/>
    <sheet name="8.Allowance and Others" sheetId="8" r:id="rId8"/>
    <sheet name="9.Instrument Breakdown Sheet" sheetId="11" r:id="rId9"/>
    <sheet name="10.Equipment depreciation table" sheetId="6" r:id="rId10"/>
    <sheet name="11.Consumbles Breakudown Sheet" sheetId="12" r:id="rId11"/>
    <sheet name="Balance sheet" sheetId="4" r:id="rId12"/>
  </sheets>
  <externalReferences>
    <externalReference r:id="rId13"/>
    <externalReference r:id="rId14"/>
    <externalReference r:id="rId15"/>
    <externalReference r:id="rId16"/>
    <externalReference r:id="rId17"/>
  </externalReferences>
  <definedNames>
    <definedName name="\z" localSheetId="2">#REF!</definedName>
    <definedName name="\z" localSheetId="3">#REF!</definedName>
    <definedName name="\z" localSheetId="4">#REF!</definedName>
    <definedName name="\z">#REF!</definedName>
    <definedName name="__IntlFixup" hidden="1">TRUE</definedName>
    <definedName name="__IntlFixupTable" localSheetId="2" hidden="1">#REF!</definedName>
    <definedName name="__IntlFixupTable" hidden="1">#REF!</definedName>
    <definedName name="_1W_一" localSheetId="2">#REF!,#REF!,#REF!,#REF!</definedName>
    <definedName name="_1W_一" localSheetId="3">#REF!,#REF!,#REF!,#REF!</definedName>
    <definedName name="_1W_一" localSheetId="4">#REF!,#REF!,#REF!,#REF!</definedName>
    <definedName name="_1W_一">#REF!,#REF!,#REF!,#REF!</definedName>
    <definedName name="_Order1" hidden="1">0</definedName>
    <definedName name="A" localSheetId="2">#REF!</definedName>
    <definedName name="A" localSheetId="3">#REF!</definedName>
    <definedName name="A" localSheetId="4">#REF!</definedName>
    <definedName name="A">#REF!</definedName>
    <definedName name="AA.Report.Files" localSheetId="2" hidden="1">#REF!</definedName>
    <definedName name="AA.Report.Files" hidden="1">#REF!</definedName>
    <definedName name="AA.Reports.Available" localSheetId="2" hidden="1">#REF!</definedName>
    <definedName name="AA.Reports.Available" hidden="1">#REF!</definedName>
    <definedName name="Cl2入力">[1]Cl2!$C$8:$C$9,[1]Cl2!$F$9:$F$14,[1]Cl2!$H$9:$H$14,[1]Cl2!$C$7</definedName>
    <definedName name="d" localSheetId="2">#REF!</definedName>
    <definedName name="d" localSheetId="3">#REF!</definedName>
    <definedName name="d" localSheetId="4">#REF!</definedName>
    <definedName name="d">#REF!</definedName>
    <definedName name="Data.Dump" localSheetId="2" hidden="1">OFFSET([0]!Data.Top.Left,1,0)</definedName>
    <definedName name="Data.Dump" hidden="1">OFFSET([0]!Data.Top.Left,1,0)</definedName>
    <definedName name="Database.File" localSheetId="2" hidden="1">#REF!</definedName>
    <definedName name="Database.File" hidden="1">#REF!</definedName>
    <definedName name="File.Type" localSheetId="2" hidden="1">#REF!</definedName>
    <definedName name="File.Type" hidden="1">#REF!</definedName>
    <definedName name="FLOW" localSheetId="2">#REF!</definedName>
    <definedName name="FLOW">#REF!</definedName>
    <definedName name="HCl入力">[1]HCl!$C$8:$C$9,[1]HCl!$F$9:$F$14,[1]HCl!$H$9:$H$14,[1]HCl!$C$7</definedName>
    <definedName name="HTML_CodePage" hidden="1">1252</definedName>
    <definedName name="HTML_Control" localSheetId="2" hidden="1">{"'Leverage'!$B$2:$M$418"}</definedName>
    <definedName name="HTML_Control" hidden="1">{"'Leverage'!$B$2:$M$418"}</definedName>
    <definedName name="HTML_Description" hidden="1">""</definedName>
    <definedName name="HTML_Email" hidden="1">""</definedName>
    <definedName name="HTML_Header" hidden="1">"Leverage"</definedName>
    <definedName name="HTML_LastUpdate" hidden="1">"8/21/00"</definedName>
    <definedName name="HTML_LineAfter" hidden="1">FALSE</definedName>
    <definedName name="HTML_LineBefore" hidden="1">FALSE</definedName>
    <definedName name="HTML_Name" hidden="1">"Frank Vickers"</definedName>
    <definedName name="HTML_OBDlg2" hidden="1">TRUE</definedName>
    <definedName name="HTML_OBDlg4" hidden="1">TRUE</definedName>
    <definedName name="HTML_OS" hidden="1">0</definedName>
    <definedName name="HTML_PathFile" hidden="1">"C:\my documents\lever.htm"</definedName>
    <definedName name="HTML_Title" hidden="1">"leverage"</definedName>
    <definedName name="Limit" localSheetId="2">#REF!</definedName>
    <definedName name="Limit" localSheetId="3">#REF!</definedName>
    <definedName name="Limit" localSheetId="4">#REF!</definedName>
    <definedName name="Limit">#REF!</definedName>
    <definedName name="NH3入力">[2]NH3!$C$8:$C$9,[2]NH3!$F$9:$F$14,[2]NH3!$H$9:$H$14,[2]NH3!$C$7</definedName>
    <definedName name="Ownership" localSheetId="2" hidden="1">OFFSET([0]!Data.Top.Left,1,0)</definedName>
    <definedName name="Ownership" hidden="1">OFFSET([0]!Data.Top.Left,1,0)</definedName>
    <definedName name="Pa" localSheetId="2">#REF!</definedName>
    <definedName name="Pa" localSheetId="3">#REF!</definedName>
    <definedName name="Pa" localSheetId="4">#REF!</definedName>
    <definedName name="Pa">#REF!</definedName>
    <definedName name="PDS入力">[1]PDS!$C$8:$C$9,[1]PDS!$F$9:$F$14,[1]PDS!$H$9:$H$14,[1]PDS!$C$7</definedName>
    <definedName name="Po" localSheetId="2">#REF!</definedName>
    <definedName name="Po" localSheetId="3">#REF!</definedName>
    <definedName name="Po" localSheetId="4">#REF!</definedName>
    <definedName name="Po">#REF!</definedName>
    <definedName name="_xlnm.Print_Area" localSheetId="0">'1.Service Contraction'!$A$1:$J$151</definedName>
    <definedName name="_xlnm.Print_Area" localSheetId="9">'10.Equipment depreciation table'!$A$1:$E$52</definedName>
    <definedName name="_xlnm.Print_Area" localSheetId="10">'11.Consumbles Breakudown Sheet'!$D$2:$I$48</definedName>
    <definedName name="_xlnm.Print_Area" localSheetId="1">'2.Quotation Service Order'!$A$1:$J$53</definedName>
    <definedName name="_xlnm.Print_Area" localSheetId="2">'3.Detail Quotation'!$A$1:$J$52</definedName>
    <definedName name="_xlnm.Print_Area" localSheetId="3">'4.Handing Over'!$A$1:$I$55</definedName>
    <definedName name="_xlnm.Print_Area" localSheetId="4">'5.Request for Payment'!$A$1:$J$56</definedName>
    <definedName name="_xlnm.Print_Area" localSheetId="5">'6.Invoice'!$A$1:$I$42</definedName>
    <definedName name="_xlnm.Print_Area" localSheetId="6">'7. Process Sheet'!$B$1:$T$40</definedName>
    <definedName name="_xlnm.Print_Area" localSheetId="7">'8.Allowance and Others'!$A$1:$E$54</definedName>
    <definedName name="_xlnm.Print_Area" localSheetId="8">'9.Instrument Breakdown Sheet'!$D$1:$K$49</definedName>
    <definedName name="_xlnm.Print_Area" localSheetId="11">'Balance sheet'!$A$2:$R$28</definedName>
    <definedName name="Print_Area_MI" localSheetId="2">#REF!</definedName>
    <definedName name="Print_Area_MI" localSheetId="3">#REF!</definedName>
    <definedName name="Print_Area_MI" localSheetId="4">#REF!</definedName>
    <definedName name="Print_Area_MI">#REF!</definedName>
    <definedName name="Ps" localSheetId="2">#REF!</definedName>
    <definedName name="Ps" localSheetId="3">#REF!</definedName>
    <definedName name="Ps" localSheetId="4">#REF!</definedName>
    <definedName name="Ps">#REF!</definedName>
    <definedName name="Ｐv" localSheetId="2">#REF!</definedName>
    <definedName name="Ｐv" localSheetId="3">#REF!</definedName>
    <definedName name="Ｐv" localSheetId="4">#REF!</definedName>
    <definedName name="Ｐv">#REF!</definedName>
    <definedName name="Request" localSheetId="2">#REF!</definedName>
    <definedName name="Request">#REF!</definedName>
    <definedName name="S0x50入力">'[1]SOx 50'!$C$8:$C$9,'[1]SOx 50'!$C$12,'[1]SOx 50'!$F$9:$F$14,'[1]SOx 50'!$H$9:$H$14,'[1]SOx 50'!$C$7</definedName>
    <definedName name="Show.Acct.Update.Warning" localSheetId="2" hidden="1">#REF!</definedName>
    <definedName name="Show.Acct.Update.Warning" hidden="1">#REF!</definedName>
    <definedName name="Show.MDB.Update.Warning" localSheetId="2" hidden="1">#REF!</definedName>
    <definedName name="Show.MDB.Update.Warning" hidden="1">#REF!</definedName>
    <definedName name="SOx入力">'[1]SOx 10'!$C$8:$C$9,'[1]SOx 10'!$C$12,'[1]SOx 10'!$F$9:$F$14,'[1]SOx 10'!$H$9:$H$14,'[1]SOx 10'!$C$7</definedName>
    <definedName name="ｔ" localSheetId="2">#REF!</definedName>
    <definedName name="ｔ" localSheetId="3">#REF!</definedName>
    <definedName name="ｔ" localSheetId="4">#REF!</definedName>
    <definedName name="ｔ">#REF!</definedName>
    <definedName name="To" localSheetId="2">#REF!</definedName>
    <definedName name="To" localSheetId="3">#REF!</definedName>
    <definedName name="To" localSheetId="4">#REF!</definedName>
    <definedName name="To">#REF!</definedName>
    <definedName name="Xw" localSheetId="2">#REF!</definedName>
    <definedName name="Xw" localSheetId="3">#REF!</definedName>
    <definedName name="Xw" localSheetId="4">#REF!</definedName>
    <definedName name="Xw">#REF!</definedName>
    <definedName name="Zn入力">'[1]Zn NEDA'!$C$8:$C$9,'[1]Zn NEDA'!$F$9:$F$14,'[1]Zn NEDA'!$H$9:$H$14,'[1]Zn NEDA'!$C$7</definedName>
    <definedName name="γ" localSheetId="2">#REF!</definedName>
    <definedName name="γ" localSheetId="3">#REF!</definedName>
    <definedName name="γ" localSheetId="4">#REF!</definedName>
    <definedName name="γ">#REF!</definedName>
    <definedName name="γ0" localSheetId="2">#REF!</definedName>
    <definedName name="γ0" localSheetId="3">#REF!</definedName>
    <definedName name="γ0" localSheetId="4">#REF!</definedName>
    <definedName name="γ0">#REF!</definedName>
    <definedName name="θm" localSheetId="2">#REF!</definedName>
    <definedName name="θm" localSheetId="3">#REF!</definedName>
    <definedName name="θm" localSheetId="4">#REF!</definedName>
    <definedName name="θm">#REF!</definedName>
    <definedName name="θs" localSheetId="2">#REF!</definedName>
    <definedName name="θs" localSheetId="3">#REF!</definedName>
    <definedName name="θs" localSheetId="4">#REF!</definedName>
    <definedName name="θs">#REF!</definedName>
    <definedName name="あ" localSheetId="2">#REF!,#REF!,#REF!,#REF!</definedName>
    <definedName name="あ" localSheetId="3">#REF!,#REF!,#REF!,#REF!</definedName>
    <definedName name="あ" localSheetId="4">#REF!,#REF!,#REF!,#REF!</definedName>
    <definedName name="あ">#REF!,#REF!,#REF!,#REF!</definedName>
    <definedName name="あいう">[3]受注予算書（入力用）!$AE$79</definedName>
    <definedName name="一般入力" localSheetId="2">#REF!,#REF!,#REF!,#REF!</definedName>
    <definedName name="一般入力" localSheetId="3">#REF!,#REF!,#REF!,#REF!</definedName>
    <definedName name="一般入力" localSheetId="4">#REF!,#REF!,#REF!,#REF!</definedName>
    <definedName name="一般入力">#REF!,#REF!,#REF!,#REF!</definedName>
    <definedName name="一般入寮">[4]証明!$M$2:$M$9,[4]証明!$N$11:$N$13,[4]証明!$I$25:$I$31,[4]証明!$M$1</definedName>
    <definedName name="主任技師" localSheetId="10">#REF!</definedName>
    <definedName name="主任技師" localSheetId="2">#REF!</definedName>
    <definedName name="主任技師" localSheetId="3">#REF!</definedName>
    <definedName name="主任技師" localSheetId="4">#REF!</definedName>
    <definedName name="主任技師" localSheetId="6">#REF!</definedName>
    <definedName name="主任技師" localSheetId="11">#REF!</definedName>
    <definedName name="主任技師">#REF!</definedName>
    <definedName name="主任技師ｂ" localSheetId="10">#REF!</definedName>
    <definedName name="主任技師ｂ" localSheetId="2">#REF!</definedName>
    <definedName name="主任技師ｂ" localSheetId="3">#REF!</definedName>
    <definedName name="主任技師ｂ" localSheetId="4">#REF!</definedName>
    <definedName name="主任技師ｂ" localSheetId="6">#REF!</definedName>
    <definedName name="主任技師ｂ" localSheetId="11">#REF!</definedName>
    <definedName name="主任技師ｂ">#REF!</definedName>
    <definedName name="係数C" localSheetId="2">#REF!</definedName>
    <definedName name="係数C" localSheetId="3">#REF!</definedName>
    <definedName name="係数C" localSheetId="4">#REF!</definedName>
    <definedName name="係数C">#REF!</definedName>
    <definedName name="分析利益" localSheetId="2">#REF!</definedName>
    <definedName name="分析利益" localSheetId="3">#REF!</definedName>
    <definedName name="分析利益" localSheetId="4">#REF!</definedName>
    <definedName name="分析利益">#REF!</definedName>
    <definedName name="助手ｂ" localSheetId="10">#REF!</definedName>
    <definedName name="助手ｂ" localSheetId="2">#REF!</definedName>
    <definedName name="助手ｂ" localSheetId="3">#REF!</definedName>
    <definedName name="助手ｂ" localSheetId="4">#REF!</definedName>
    <definedName name="助手ｂ" localSheetId="6">#REF!</definedName>
    <definedName name="助手ｂ" localSheetId="11">#REF!</definedName>
    <definedName name="助手ｂ">#REF!</definedName>
    <definedName name="報告台帳" localSheetId="2">#REF!</definedName>
    <definedName name="報告台帳" localSheetId="3">#REF!</definedName>
    <definedName name="報告台帳" localSheetId="4">#REF!</definedName>
    <definedName name="報告台帳">#REF!</definedName>
    <definedName name="技師" localSheetId="10">#REF!</definedName>
    <definedName name="技師" localSheetId="2">#REF!</definedName>
    <definedName name="技師" localSheetId="3">#REF!</definedName>
    <definedName name="技師" localSheetId="4">#REF!</definedName>
    <definedName name="技師" localSheetId="6">#REF!</definedName>
    <definedName name="技師" localSheetId="11">#REF!</definedName>
    <definedName name="技師">#REF!</definedName>
    <definedName name="技師Ａ" localSheetId="10">#REF!</definedName>
    <definedName name="技師Ａ" localSheetId="2">#REF!</definedName>
    <definedName name="技師Ａ" localSheetId="3">#REF!</definedName>
    <definedName name="技師Ａ" localSheetId="4">#REF!</definedName>
    <definedName name="技師Ａ" localSheetId="6">#REF!</definedName>
    <definedName name="技師Ａ" localSheetId="11">#REF!</definedName>
    <definedName name="技師Ａ">#REF!</definedName>
    <definedName name="技師Ｂ" localSheetId="10">#REF!</definedName>
    <definedName name="技師Ｂ" localSheetId="2">#REF!</definedName>
    <definedName name="技師Ｂ" localSheetId="3">#REF!</definedName>
    <definedName name="技師Ｂ" localSheetId="4">#REF!</definedName>
    <definedName name="技師Ｂ" localSheetId="6">#REF!</definedName>
    <definedName name="技師Ｂ" localSheetId="11">#REF!</definedName>
    <definedName name="技師Ｂ">#REF!</definedName>
    <definedName name="技師Ｃ" localSheetId="10">#REF!</definedName>
    <definedName name="技師Ｃ" localSheetId="2">#REF!</definedName>
    <definedName name="技師Ｃ" localSheetId="3">#REF!</definedName>
    <definedName name="技師Ｃ" localSheetId="4">#REF!</definedName>
    <definedName name="技師Ｃ" localSheetId="6">#REF!</definedName>
    <definedName name="技師Ｃ" localSheetId="11">#REF!</definedName>
    <definedName name="技師Ｃ">#REF!</definedName>
    <definedName name="技師補ｂ" localSheetId="10">#REF!</definedName>
    <definedName name="技師補ｂ" localSheetId="2">#REF!</definedName>
    <definedName name="技師補ｂ" localSheetId="3">#REF!</definedName>
    <definedName name="技師補ｂ" localSheetId="4">#REF!</definedName>
    <definedName name="技師補ｂ" localSheetId="6">#REF!</definedName>
    <definedName name="技師補ｂ" localSheetId="11">#REF!</definedName>
    <definedName name="技師補ｂ">#REF!</definedName>
    <definedName name="技師長" localSheetId="10">#REF!</definedName>
    <definedName name="技師長" localSheetId="2">#REF!</definedName>
    <definedName name="技師長" localSheetId="3">#REF!</definedName>
    <definedName name="技師長" localSheetId="4">#REF!</definedName>
    <definedName name="技師長" localSheetId="6">#REF!</definedName>
    <definedName name="技師長" localSheetId="11">#REF!</definedName>
    <definedName name="技師長">#REF!</definedName>
    <definedName name="技師長ｂ" localSheetId="10">#REF!</definedName>
    <definedName name="技師長ｂ" localSheetId="2">#REF!</definedName>
    <definedName name="技師長ｂ" localSheetId="3">#REF!</definedName>
    <definedName name="技師長ｂ" localSheetId="4">#REF!</definedName>
    <definedName name="技師長ｂ" localSheetId="6">#REF!</definedName>
    <definedName name="技師長ｂ" localSheetId="11">#REF!</definedName>
    <definedName name="技師長ｂ">#REF!</definedName>
    <definedName name="技術員" localSheetId="10">#REF!</definedName>
    <definedName name="技術員" localSheetId="2">#REF!</definedName>
    <definedName name="技術員" localSheetId="3">#REF!</definedName>
    <definedName name="技術員" localSheetId="4">#REF!</definedName>
    <definedName name="技術員" localSheetId="6">#REF!</definedName>
    <definedName name="技術員" localSheetId="11">#REF!</definedName>
    <definedName name="技術員">#REF!</definedName>
    <definedName name="金属入力" localSheetId="2">#REF!,#REF!</definedName>
    <definedName name="金属入力" localSheetId="3">#REF!,#REF!</definedName>
    <definedName name="金属入力" localSheetId="4">#REF!,#REF!</definedName>
    <definedName name="金属入力">#REF!,#REF!</definedName>
  </definedNames>
  <calcPr calcId="152511"/>
</workbook>
</file>

<file path=xl/calcChain.xml><?xml version="1.0" encoding="utf-8"?>
<calcChain xmlns="http://schemas.openxmlformats.org/spreadsheetml/2006/main">
  <c r="H25" i="1" l="1"/>
  <c r="D41" i="17" l="1"/>
  <c r="C33" i="17"/>
  <c r="N51" i="19"/>
  <c r="N52" i="19" s="1"/>
  <c r="N50" i="19"/>
  <c r="AH49" i="19"/>
  <c r="N49" i="19"/>
  <c r="J49" i="19"/>
  <c r="I49" i="19"/>
  <c r="N48" i="19"/>
  <c r="I48" i="19"/>
  <c r="J48" i="19" s="1"/>
  <c r="N47" i="19"/>
  <c r="I47" i="19"/>
  <c r="J47" i="19" s="1"/>
  <c r="N46" i="19"/>
  <c r="J46" i="19"/>
  <c r="I46" i="19"/>
  <c r="N45" i="19"/>
  <c r="J45" i="19"/>
  <c r="I45" i="19"/>
  <c r="AH44" i="19"/>
  <c r="N44" i="19"/>
  <c r="J44" i="19"/>
  <c r="I44" i="19"/>
  <c r="AH43" i="19"/>
  <c r="N43" i="19"/>
  <c r="J43" i="19"/>
  <c r="I43" i="19"/>
  <c r="AH42" i="19"/>
  <c r="N42" i="19"/>
  <c r="J42" i="19"/>
  <c r="I42" i="19"/>
  <c r="AH41" i="19"/>
  <c r="N41" i="19"/>
  <c r="J41" i="19"/>
  <c r="I41" i="19"/>
  <c r="AH40" i="19"/>
  <c r="AH45" i="19" s="1"/>
  <c r="N40" i="19"/>
  <c r="J40" i="19"/>
  <c r="I40" i="19"/>
  <c r="AH39" i="19"/>
  <c r="N39" i="19"/>
  <c r="J39" i="19"/>
  <c r="I39" i="19"/>
  <c r="AH38" i="19"/>
  <c r="N35" i="19"/>
  <c r="I35" i="19"/>
  <c r="J35" i="19" s="1"/>
  <c r="I34" i="19"/>
  <c r="N32" i="19"/>
  <c r="N31" i="19"/>
  <c r="N30" i="19"/>
  <c r="AH29" i="19"/>
  <c r="AH28" i="19"/>
  <c r="AH37" i="19" s="1"/>
  <c r="N28" i="19"/>
  <c r="N27" i="19"/>
  <c r="N26" i="19"/>
  <c r="N25" i="19"/>
  <c r="AH23" i="19"/>
  <c r="J23" i="19"/>
  <c r="I23" i="19"/>
  <c r="AL22" i="19"/>
  <c r="AQ22" i="19" s="1"/>
  <c r="AH22" i="19"/>
  <c r="J22" i="19"/>
  <c r="I22" i="19"/>
  <c r="AR21" i="19"/>
  <c r="AN21" i="19"/>
  <c r="AL21" i="19"/>
  <c r="AO21" i="19" s="1"/>
  <c r="AH21" i="19"/>
  <c r="J21" i="19"/>
  <c r="J26" i="19" s="1"/>
  <c r="AQ20" i="19"/>
  <c r="AO20" i="19"/>
  <c r="AM20" i="19"/>
  <c r="AL20" i="19"/>
  <c r="AP20" i="19" s="1"/>
  <c r="AH20" i="19"/>
  <c r="I20" i="19"/>
  <c r="J20" i="19" s="1"/>
  <c r="AQ19" i="19"/>
  <c r="AO19" i="19"/>
  <c r="AM19" i="19"/>
  <c r="AL19" i="19"/>
  <c r="AR19" i="19" s="1"/>
  <c r="J19" i="19"/>
  <c r="J50" i="19" s="1"/>
  <c r="I19" i="19"/>
  <c r="AR18" i="19"/>
  <c r="AN18" i="19"/>
  <c r="AL18" i="19"/>
  <c r="AO18" i="19" s="1"/>
  <c r="AH18" i="19"/>
  <c r="J18" i="19"/>
  <c r="I18" i="19"/>
  <c r="AH17" i="19"/>
  <c r="V17" i="19"/>
  <c r="T17" i="19"/>
  <c r="R17" i="19"/>
  <c r="Q17" i="19"/>
  <c r="W17" i="19" s="1"/>
  <c r="J17" i="19"/>
  <c r="I17" i="19"/>
  <c r="AH16" i="19"/>
  <c r="AH24" i="19" s="1"/>
  <c r="V16" i="19"/>
  <c r="T16" i="19"/>
  <c r="R16" i="19"/>
  <c r="Q16" i="19"/>
  <c r="U16" i="19" s="1"/>
  <c r="J16" i="19"/>
  <c r="I16" i="19"/>
  <c r="Q15" i="19"/>
  <c r="V15" i="19" s="1"/>
  <c r="J15" i="19"/>
  <c r="Q14" i="19"/>
  <c r="V14" i="19" s="1"/>
  <c r="B8" i="19"/>
  <c r="G6" i="19"/>
  <c r="C6" i="19"/>
  <c r="I4" i="19"/>
  <c r="AG3" i="19"/>
  <c r="I3" i="19"/>
  <c r="H46" i="1"/>
  <c r="B46" i="1"/>
  <c r="G44" i="1"/>
  <c r="G28" i="1"/>
  <c r="G27" i="1"/>
  <c r="G26" i="1"/>
  <c r="M25" i="1"/>
  <c r="N18" i="1"/>
  <c r="N16" i="1"/>
  <c r="B14" i="1"/>
  <c r="J51" i="19" l="1"/>
  <c r="J52" i="19" s="1"/>
  <c r="B10" i="19" s="1"/>
  <c r="AH47" i="19"/>
  <c r="AH50" i="19"/>
  <c r="S14" i="19"/>
  <c r="S15" i="19"/>
  <c r="AP18" i="19"/>
  <c r="AP21" i="19"/>
  <c r="AR22" i="19"/>
  <c r="W14" i="19"/>
  <c r="W15" i="19"/>
  <c r="AN22" i="19"/>
  <c r="T14" i="19"/>
  <c r="T15" i="19"/>
  <c r="S16" i="19"/>
  <c r="W16" i="19"/>
  <c r="U17" i="19"/>
  <c r="AM18" i="19"/>
  <c r="AQ18" i="19"/>
  <c r="AP19" i="19"/>
  <c r="AN20" i="19"/>
  <c r="AR20" i="19"/>
  <c r="AM21" i="19"/>
  <c r="AQ21" i="19"/>
  <c r="AO22" i="19"/>
  <c r="U14" i="19"/>
  <c r="U15" i="19"/>
  <c r="AP22" i="19"/>
  <c r="R14" i="19"/>
  <c r="R15" i="19"/>
  <c r="S17" i="19"/>
  <c r="AN19" i="19"/>
  <c r="AM22" i="19"/>
  <c r="AH51" i="19" l="1"/>
  <c r="AH52" i="19" s="1"/>
  <c r="Z10" i="19" s="1"/>
  <c r="G151" i="3" l="1"/>
  <c r="C114" i="3" l="1"/>
  <c r="F111" i="3"/>
  <c r="D53" i="3" l="1"/>
  <c r="H25" i="18" l="1"/>
  <c r="H24" i="18"/>
  <c r="C25" i="18"/>
  <c r="C24" i="18"/>
  <c r="H13" i="18" l="1"/>
  <c r="F55" i="17"/>
  <c r="H16" i="7" l="1"/>
  <c r="H15" i="18" l="1"/>
  <c r="T40" i="7" l="1"/>
  <c r="S40" i="7"/>
  <c r="R40" i="7"/>
  <c r="Q40" i="7"/>
  <c r="N40" i="7"/>
  <c r="M40" i="7"/>
  <c r="I40" i="7"/>
  <c r="O40" i="7"/>
  <c r="P40" i="7"/>
  <c r="H34" i="7"/>
  <c r="H29" i="7"/>
  <c r="H30" i="7"/>
  <c r="H31" i="7"/>
  <c r="H32" i="7"/>
  <c r="H12" i="7"/>
  <c r="C12" i="7"/>
  <c r="H11" i="7"/>
  <c r="C11" i="7"/>
  <c r="H10" i="7"/>
  <c r="C10" i="7"/>
  <c r="H9" i="7"/>
  <c r="C9" i="7"/>
  <c r="H25" i="7"/>
  <c r="H26" i="7"/>
  <c r="C25" i="7"/>
  <c r="C26" i="7"/>
  <c r="C27" i="7"/>
  <c r="C28" i="7"/>
  <c r="C29" i="7"/>
  <c r="C30" i="7"/>
  <c r="C31" i="7"/>
  <c r="C32" i="7"/>
  <c r="F32" i="18" l="1"/>
  <c r="E6" i="11" l="1"/>
  <c r="H17" i="7" l="1"/>
  <c r="H18" i="7"/>
  <c r="H19" i="7"/>
  <c r="H20" i="7"/>
  <c r="H21" i="7"/>
  <c r="H22" i="7"/>
  <c r="H23" i="7"/>
  <c r="H24" i="7"/>
  <c r="C13" i="7" l="1"/>
  <c r="C14" i="7"/>
  <c r="C15" i="7"/>
  <c r="C16" i="7"/>
  <c r="C17" i="7"/>
  <c r="C18" i="7"/>
  <c r="C19" i="7"/>
  <c r="C20" i="7"/>
  <c r="C21" i="7"/>
  <c r="C22" i="7"/>
  <c r="C23" i="7"/>
  <c r="C24" i="7"/>
  <c r="I28" i="18" l="1"/>
  <c r="P21" i="4" l="1"/>
  <c r="O21" i="4"/>
  <c r="P20" i="4"/>
  <c r="O20" i="4"/>
  <c r="N18" i="4"/>
  <c r="O18" i="4"/>
  <c r="P18" i="4"/>
  <c r="Q18" i="4"/>
  <c r="R18" i="4"/>
  <c r="M18" i="4"/>
  <c r="K18" i="4"/>
  <c r="J18" i="4"/>
  <c r="I19" i="4"/>
  <c r="M16" i="4"/>
  <c r="I16" i="4"/>
  <c r="J16" i="4"/>
  <c r="K16" i="4"/>
  <c r="R15" i="4"/>
  <c r="L15" i="4"/>
  <c r="I15" i="4"/>
  <c r="J15" i="4"/>
  <c r="I14" i="4"/>
  <c r="J14" i="4"/>
  <c r="K14" i="4"/>
  <c r="L14" i="4"/>
  <c r="M14" i="4"/>
  <c r="N14" i="4"/>
  <c r="O14" i="4"/>
  <c r="P14" i="4"/>
  <c r="Q14" i="4"/>
  <c r="R14" i="4"/>
  <c r="J13" i="4"/>
  <c r="H14" i="4"/>
  <c r="H15" i="4"/>
  <c r="H16" i="4"/>
  <c r="I8" i="4"/>
  <c r="J8" i="4"/>
  <c r="K8" i="4"/>
  <c r="L8" i="4"/>
  <c r="L10" i="4" s="1"/>
  <c r="M8" i="4"/>
  <c r="N8" i="4"/>
  <c r="N10" i="4" s="1"/>
  <c r="O8" i="4"/>
  <c r="P8" i="4"/>
  <c r="P10" i="4" s="1"/>
  <c r="Q8" i="4"/>
  <c r="R8" i="4"/>
  <c r="H13" i="4"/>
  <c r="H8" i="4"/>
  <c r="F23" i="4"/>
  <c r="F18" i="4"/>
  <c r="F15" i="4"/>
  <c r="F14" i="4"/>
  <c r="G10" i="4"/>
  <c r="G9" i="4"/>
  <c r="H9" i="4" s="1"/>
  <c r="I9" i="4"/>
  <c r="M9" i="4"/>
  <c r="Q9" i="4"/>
  <c r="H10" i="4"/>
  <c r="I10" i="4"/>
  <c r="J10" i="4"/>
  <c r="K10" i="4"/>
  <c r="M10" i="4"/>
  <c r="O10" i="4"/>
  <c r="Q10" i="4"/>
  <c r="R10" i="4"/>
  <c r="R38" i="4"/>
  <c r="Q38" i="4"/>
  <c r="P38" i="4"/>
  <c r="O38" i="4"/>
  <c r="N38" i="4"/>
  <c r="M38" i="4"/>
  <c r="L38" i="4"/>
  <c r="K38" i="4"/>
  <c r="J38" i="4"/>
  <c r="I38" i="4"/>
  <c r="H38" i="4"/>
  <c r="R37" i="4"/>
  <c r="P37" i="4"/>
  <c r="N37" i="4"/>
  <c r="L37" i="4"/>
  <c r="J37" i="4"/>
  <c r="H37" i="4"/>
  <c r="K37" i="4" l="1"/>
  <c r="O37" i="4"/>
  <c r="R9" i="4"/>
  <c r="J9" i="4"/>
  <c r="I37" i="4"/>
  <c r="M37" i="4"/>
  <c r="Q37" i="4"/>
  <c r="N9" i="4"/>
  <c r="O9" i="4"/>
  <c r="K9" i="4"/>
  <c r="P9" i="4"/>
  <c r="L9" i="4"/>
  <c r="G145" i="3" l="1"/>
  <c r="E7" i="11" l="1"/>
  <c r="E8" i="11"/>
  <c r="E9" i="11"/>
  <c r="E10" i="11"/>
  <c r="N9" i="8" l="1"/>
  <c r="K9" i="8"/>
  <c r="J9" i="8"/>
  <c r="H9" i="8"/>
  <c r="M9" i="8" s="1"/>
  <c r="K8" i="8"/>
  <c r="H8" i="8"/>
  <c r="L8" i="8" s="1"/>
  <c r="H7" i="8"/>
  <c r="K7" i="8" s="1"/>
  <c r="H6" i="8"/>
  <c r="N6" i="8" s="1"/>
  <c r="N5" i="8"/>
  <c r="K5" i="8"/>
  <c r="H5" i="8"/>
  <c r="M5" i="8" s="1"/>
  <c r="M8" i="8" l="1"/>
  <c r="I8" i="8"/>
  <c r="N8" i="8"/>
  <c r="J5" i="8"/>
  <c r="K6" i="8"/>
  <c r="J8" i="8"/>
  <c r="L7" i="8"/>
  <c r="L6" i="8"/>
  <c r="I7" i="8"/>
  <c r="M7" i="8"/>
  <c r="L5" i="8"/>
  <c r="I6" i="8"/>
  <c r="M6" i="8"/>
  <c r="J7" i="8"/>
  <c r="N7" i="8"/>
  <c r="L9" i="8"/>
  <c r="I5" i="8"/>
  <c r="J6" i="8"/>
  <c r="I9" i="8"/>
  <c r="D39" i="17" l="1"/>
  <c r="F47" i="17" s="1"/>
  <c r="F47" i="15"/>
  <c r="G49" i="15" l="1"/>
  <c r="B49" i="15"/>
  <c r="D29" i="15" l="1"/>
  <c r="H38" i="15"/>
  <c r="N2" i="7" l="1"/>
  <c r="C33" i="7"/>
  <c r="C34" i="7"/>
  <c r="C35" i="7"/>
  <c r="C36" i="7"/>
  <c r="C37" i="7"/>
  <c r="C38" i="7"/>
  <c r="C39" i="7"/>
  <c r="H33" i="7"/>
  <c r="H35" i="7"/>
  <c r="H36" i="7"/>
  <c r="H37" i="7"/>
  <c r="H38" i="7"/>
  <c r="H39" i="7"/>
  <c r="H13" i="7"/>
  <c r="H40" i="7" l="1"/>
  <c r="F114" i="3"/>
  <c r="P83" i="3" l="1"/>
  <c r="E7" i="3"/>
  <c r="H12" i="18" l="1"/>
  <c r="H14" i="18" s="1"/>
  <c r="H37" i="15"/>
  <c r="D36" i="15"/>
  <c r="H4" i="12"/>
  <c r="C3" i="7"/>
  <c r="D35" i="15"/>
  <c r="E3" i="7"/>
  <c r="G3" i="12"/>
  <c r="D6" i="12"/>
  <c r="E6" i="12"/>
  <c r="F6" i="12"/>
  <c r="H6" i="12" s="1"/>
  <c r="D7" i="12"/>
  <c r="E7" i="12"/>
  <c r="F7" i="12"/>
  <c r="H7" i="12" s="1"/>
  <c r="D8" i="12"/>
  <c r="E8" i="12"/>
  <c r="F8" i="12"/>
  <c r="H8" i="12" s="1"/>
  <c r="D9" i="12"/>
  <c r="E9" i="12"/>
  <c r="F9" i="12"/>
  <c r="H9" i="12" s="1"/>
  <c r="D10" i="12"/>
  <c r="E10" i="12"/>
  <c r="F10" i="12"/>
  <c r="H10" i="12" s="1"/>
  <c r="D11" i="12"/>
  <c r="E11" i="12"/>
  <c r="F11" i="12"/>
  <c r="H11" i="12" s="1"/>
  <c r="D12" i="12"/>
  <c r="E12" i="12"/>
  <c r="F12" i="12"/>
  <c r="H12" i="12" s="1"/>
  <c r="D13" i="12"/>
  <c r="E13" i="12"/>
  <c r="F13" i="12"/>
  <c r="H13" i="12" s="1"/>
  <c r="D14" i="12"/>
  <c r="E14" i="12"/>
  <c r="F14" i="12"/>
  <c r="H14" i="12" s="1"/>
  <c r="D15" i="12"/>
  <c r="E15" i="12"/>
  <c r="F15" i="12"/>
  <c r="H15" i="12"/>
  <c r="D16" i="12"/>
  <c r="E16" i="12"/>
  <c r="F16" i="12"/>
  <c r="H16" i="12"/>
  <c r="D17" i="12"/>
  <c r="E17" i="12"/>
  <c r="F17" i="12"/>
  <c r="H17" i="12"/>
  <c r="D18" i="12"/>
  <c r="E18" i="12"/>
  <c r="F18" i="12"/>
  <c r="H18" i="12"/>
  <c r="D19" i="12"/>
  <c r="E19" i="12"/>
  <c r="F19" i="12"/>
  <c r="H19" i="12"/>
  <c r="D20" i="12"/>
  <c r="E20" i="12"/>
  <c r="F20" i="12"/>
  <c r="H20" i="12"/>
  <c r="D21" i="12"/>
  <c r="E21" i="12"/>
  <c r="F21" i="12"/>
  <c r="H21" i="12"/>
  <c r="D22" i="12"/>
  <c r="E22" i="12"/>
  <c r="F22" i="12"/>
  <c r="H22" i="12"/>
  <c r="D23" i="12"/>
  <c r="E23" i="12"/>
  <c r="F23" i="12"/>
  <c r="H23" i="12"/>
  <c r="D24" i="12"/>
  <c r="E24" i="12"/>
  <c r="F24" i="12"/>
  <c r="H24" i="12"/>
  <c r="D25" i="12"/>
  <c r="E25" i="12"/>
  <c r="F25" i="12"/>
  <c r="H25" i="12"/>
  <c r="D26" i="12"/>
  <c r="E26" i="12"/>
  <c r="F26" i="12"/>
  <c r="H26" i="12"/>
  <c r="D27" i="12"/>
  <c r="E27" i="12"/>
  <c r="F27" i="12"/>
  <c r="H27" i="12"/>
  <c r="D28" i="12"/>
  <c r="E28" i="12"/>
  <c r="F28" i="12"/>
  <c r="H28" i="12"/>
  <c r="D29" i="12"/>
  <c r="E29" i="12"/>
  <c r="F29" i="12"/>
  <c r="H29" i="12"/>
  <c r="D30" i="12"/>
  <c r="E30" i="12"/>
  <c r="F30" i="12"/>
  <c r="H30" i="12"/>
  <c r="D31" i="12"/>
  <c r="E31" i="12"/>
  <c r="F31" i="12"/>
  <c r="H31" i="12"/>
  <c r="D32" i="12"/>
  <c r="E32" i="12"/>
  <c r="F32" i="12"/>
  <c r="H32" i="12"/>
  <c r="D33" i="12"/>
  <c r="E33" i="12"/>
  <c r="F33" i="12"/>
  <c r="H33" i="12"/>
  <c r="D34" i="12"/>
  <c r="E34" i="12"/>
  <c r="F34" i="12"/>
  <c r="H34" i="12"/>
  <c r="D35" i="12"/>
  <c r="E35" i="12"/>
  <c r="F35" i="12"/>
  <c r="H35" i="12"/>
  <c r="D36" i="12"/>
  <c r="E36" i="12"/>
  <c r="F36" i="12"/>
  <c r="H36" i="12"/>
  <c r="D37" i="12"/>
  <c r="E37" i="12"/>
  <c r="F37" i="12"/>
  <c r="H37" i="12"/>
  <c r="D38" i="12"/>
  <c r="E38" i="12"/>
  <c r="F38" i="12"/>
  <c r="H38" i="12"/>
  <c r="D39" i="12"/>
  <c r="E39" i="12"/>
  <c r="F39" i="12"/>
  <c r="H39" i="12"/>
  <c r="D40" i="12"/>
  <c r="E40" i="12"/>
  <c r="F40" i="12"/>
  <c r="H40" i="12"/>
  <c r="D41" i="12"/>
  <c r="E41" i="12"/>
  <c r="F41" i="12"/>
  <c r="H41" i="12"/>
  <c r="D42" i="12"/>
  <c r="E42" i="12"/>
  <c r="F42" i="12"/>
  <c r="H42" i="12"/>
  <c r="D43" i="12"/>
  <c r="E43" i="12"/>
  <c r="F43" i="12"/>
  <c r="H43" i="12"/>
  <c r="D44" i="12"/>
  <c r="E44" i="12"/>
  <c r="F44" i="12"/>
  <c r="H44" i="12"/>
  <c r="D45" i="12"/>
  <c r="E45" i="12"/>
  <c r="F45" i="12"/>
  <c r="H45" i="12"/>
  <c r="D46" i="12"/>
  <c r="E46" i="12"/>
  <c r="F46" i="12"/>
  <c r="H46" i="12"/>
  <c r="D47" i="12"/>
  <c r="E47" i="12"/>
  <c r="F47" i="12"/>
  <c r="H47" i="12"/>
  <c r="D48" i="12"/>
  <c r="E48" i="12"/>
  <c r="F48" i="12"/>
  <c r="G3" i="11"/>
  <c r="D6" i="11"/>
  <c r="I6" i="11"/>
  <c r="F6" i="11"/>
  <c r="K6" i="11" s="1"/>
  <c r="D7" i="11"/>
  <c r="I7" i="11"/>
  <c r="F7" i="11"/>
  <c r="K7" i="11" s="1"/>
  <c r="D8" i="11"/>
  <c r="I8" i="11"/>
  <c r="F8" i="11"/>
  <c r="K8" i="11" s="1"/>
  <c r="D9" i="11"/>
  <c r="I9" i="11"/>
  <c r="F9" i="11"/>
  <c r="K9" i="11" s="1"/>
  <c r="D10" i="11"/>
  <c r="I10" i="11"/>
  <c r="F10" i="11"/>
  <c r="K10" i="11" s="1"/>
  <c r="D11" i="11"/>
  <c r="E11" i="11"/>
  <c r="I11" i="11" s="1"/>
  <c r="F11" i="11"/>
  <c r="K11" i="11" s="1"/>
  <c r="D12" i="11"/>
  <c r="E12" i="11"/>
  <c r="I12" i="11" s="1"/>
  <c r="F12" i="11"/>
  <c r="K12" i="11" s="1"/>
  <c r="D13" i="11"/>
  <c r="E13" i="11"/>
  <c r="I13" i="11" s="1"/>
  <c r="F13" i="11"/>
  <c r="K13" i="11" s="1"/>
  <c r="D14" i="11"/>
  <c r="E14" i="11"/>
  <c r="I14" i="11" s="1"/>
  <c r="F14" i="11"/>
  <c r="K14" i="11" s="1"/>
  <c r="D15" i="11"/>
  <c r="E15" i="11"/>
  <c r="I15" i="11" s="1"/>
  <c r="F15" i="11"/>
  <c r="K15" i="11" s="1"/>
  <c r="D16" i="11"/>
  <c r="E16" i="11"/>
  <c r="I16" i="11" s="1"/>
  <c r="F16" i="11"/>
  <c r="K16" i="11" s="1"/>
  <c r="D17" i="11"/>
  <c r="E17" i="11"/>
  <c r="I17" i="11" s="1"/>
  <c r="F17" i="11"/>
  <c r="K17" i="11" s="1"/>
  <c r="D18" i="11"/>
  <c r="E18" i="11"/>
  <c r="I18" i="11" s="1"/>
  <c r="F18" i="11"/>
  <c r="K18" i="11" s="1"/>
  <c r="D19" i="11"/>
  <c r="E19" i="11"/>
  <c r="I19" i="11" s="1"/>
  <c r="F19" i="11"/>
  <c r="K19" i="11" s="1"/>
  <c r="D20" i="11"/>
  <c r="E20" i="11"/>
  <c r="I20" i="11" s="1"/>
  <c r="F20" i="11"/>
  <c r="K20" i="11" s="1"/>
  <c r="D21" i="11"/>
  <c r="E21" i="11"/>
  <c r="I21" i="11" s="1"/>
  <c r="F21" i="11"/>
  <c r="K21" i="11" s="1"/>
  <c r="D22" i="11"/>
  <c r="E22" i="11"/>
  <c r="I22" i="11" s="1"/>
  <c r="F22" i="11"/>
  <c r="K22" i="11" s="1"/>
  <c r="D23" i="11"/>
  <c r="E23" i="11"/>
  <c r="F23" i="11"/>
  <c r="I23" i="11"/>
  <c r="K23" i="11"/>
  <c r="D24" i="11"/>
  <c r="E24" i="11"/>
  <c r="F24" i="11"/>
  <c r="I24" i="11"/>
  <c r="K24" i="11"/>
  <c r="D25" i="11"/>
  <c r="E25" i="11"/>
  <c r="F25" i="11"/>
  <c r="I25" i="11"/>
  <c r="K25" i="11"/>
  <c r="D26" i="11"/>
  <c r="E26" i="11"/>
  <c r="F26" i="11"/>
  <c r="I26" i="11"/>
  <c r="K26" i="11"/>
  <c r="D27" i="11"/>
  <c r="E27" i="11"/>
  <c r="F27" i="11"/>
  <c r="I27" i="11"/>
  <c r="K27" i="11"/>
  <c r="D28" i="11"/>
  <c r="E28" i="11"/>
  <c r="F28" i="11"/>
  <c r="I28" i="11"/>
  <c r="K28" i="11"/>
  <c r="D29" i="11"/>
  <c r="E29" i="11"/>
  <c r="F29" i="11"/>
  <c r="I29" i="11"/>
  <c r="K29" i="11"/>
  <c r="D30" i="11"/>
  <c r="E30" i="11"/>
  <c r="F30" i="11"/>
  <c r="I30" i="11"/>
  <c r="K30" i="11"/>
  <c r="D31" i="11"/>
  <c r="E31" i="11"/>
  <c r="F31" i="11"/>
  <c r="I31" i="11"/>
  <c r="K31" i="11"/>
  <c r="D32" i="11"/>
  <c r="E32" i="11"/>
  <c r="F32" i="11"/>
  <c r="I32" i="11"/>
  <c r="K32" i="11"/>
  <c r="D33" i="11"/>
  <c r="E33" i="11"/>
  <c r="F33" i="11"/>
  <c r="I33" i="11"/>
  <c r="K33" i="11"/>
  <c r="D34" i="11"/>
  <c r="E34" i="11"/>
  <c r="F34" i="11"/>
  <c r="I34" i="11"/>
  <c r="K34" i="11"/>
  <c r="D35" i="11"/>
  <c r="E35" i="11"/>
  <c r="F35" i="11"/>
  <c r="I35" i="11"/>
  <c r="K35" i="11"/>
  <c r="D36" i="11"/>
  <c r="E36" i="11"/>
  <c r="F36" i="11"/>
  <c r="I36" i="11"/>
  <c r="K36" i="11"/>
  <c r="D37" i="11"/>
  <c r="E37" i="11"/>
  <c r="F37" i="11"/>
  <c r="I37" i="11"/>
  <c r="K37" i="11"/>
  <c r="D38" i="11"/>
  <c r="E38" i="11"/>
  <c r="F38" i="11"/>
  <c r="I38" i="11"/>
  <c r="K38" i="11"/>
  <c r="D39" i="11"/>
  <c r="E39" i="11"/>
  <c r="F39" i="11"/>
  <c r="I39" i="11"/>
  <c r="K39" i="11"/>
  <c r="D40" i="11"/>
  <c r="E40" i="11"/>
  <c r="F40" i="11"/>
  <c r="I40" i="11"/>
  <c r="K40" i="11"/>
  <c r="D41" i="11"/>
  <c r="E41" i="11"/>
  <c r="F41" i="11"/>
  <c r="I41" i="11"/>
  <c r="K41" i="11"/>
  <c r="D42" i="11"/>
  <c r="E42" i="11"/>
  <c r="F42" i="11"/>
  <c r="I42" i="11"/>
  <c r="K42" i="11"/>
  <c r="D43" i="11"/>
  <c r="E43" i="11"/>
  <c r="F43" i="11"/>
  <c r="I43" i="11"/>
  <c r="K43" i="11"/>
  <c r="D44" i="11"/>
  <c r="E44" i="11"/>
  <c r="F44" i="11"/>
  <c r="I44" i="11"/>
  <c r="K44" i="11"/>
  <c r="D45" i="11"/>
  <c r="E45" i="11"/>
  <c r="F45" i="11"/>
  <c r="I45" i="11"/>
  <c r="K45" i="11"/>
  <c r="D46" i="11"/>
  <c r="E46" i="11"/>
  <c r="F46" i="11"/>
  <c r="I46" i="11"/>
  <c r="K46" i="11"/>
  <c r="D47" i="11"/>
  <c r="E47" i="11"/>
  <c r="F47" i="11"/>
  <c r="I47" i="11"/>
  <c r="K47" i="11"/>
  <c r="D48" i="11"/>
  <c r="E48" i="11"/>
  <c r="F48" i="11"/>
  <c r="D49" i="11"/>
  <c r="E49" i="11"/>
  <c r="F49" i="11"/>
  <c r="M41" i="7"/>
  <c r="I4" i="11" l="1"/>
  <c r="H48" i="12"/>
  <c r="I48" i="11"/>
  <c r="K48" i="11"/>
  <c r="J49" i="11" l="1"/>
  <c r="P64" i="3" l="1"/>
  <c r="D36" i="3"/>
  <c r="D40" i="17" s="1"/>
  <c r="I29" i="18" l="1"/>
  <c r="I31" i="18" s="1"/>
  <c r="D24" i="3"/>
  <c r="D23" i="3"/>
  <c r="A151" i="3"/>
  <c r="A47" i="15"/>
  <c r="C2" i="7" l="1"/>
  <c r="O64" i="3" l="1"/>
</calcChain>
</file>

<file path=xl/sharedStrings.xml><?xml version="1.0" encoding="utf-8"?>
<sst xmlns="http://schemas.openxmlformats.org/spreadsheetml/2006/main" count="963" uniqueCount="650">
  <si>
    <t>CHUGAI TECHNOS VIETNAM COMPANY LIMITED</t>
    <phoneticPr fontId="4"/>
  </si>
  <si>
    <t>Party A</t>
    <phoneticPr fontId="4"/>
  </si>
  <si>
    <t>Represented by</t>
    <phoneticPr fontId="4"/>
  </si>
  <si>
    <t>Title</t>
    <phoneticPr fontId="4"/>
  </si>
  <si>
    <t>Address</t>
    <phoneticPr fontId="4"/>
  </si>
  <si>
    <t>Fax</t>
    <phoneticPr fontId="4"/>
  </si>
  <si>
    <t>Tax code</t>
    <phoneticPr fontId="4"/>
  </si>
  <si>
    <t>+84-8-5410-9111</t>
    <phoneticPr fontId="4"/>
  </si>
  <si>
    <t>+84-8-5410-9222</t>
    <phoneticPr fontId="4"/>
  </si>
  <si>
    <t>No.</t>
    <phoneticPr fontId="10"/>
  </si>
  <si>
    <t>currency</t>
    <phoneticPr fontId="10"/>
  </si>
  <si>
    <t>Acc Number</t>
    <phoneticPr fontId="10"/>
  </si>
  <si>
    <t>Currency</t>
    <phoneticPr fontId="4"/>
  </si>
  <si>
    <t>Table-1 Acc number</t>
    <phoneticPr fontId="4"/>
  </si>
  <si>
    <t>Acc number (Choose from Table-1)</t>
    <phoneticPr fontId="4"/>
  </si>
  <si>
    <t>Table-2 Acc number</t>
    <phoneticPr fontId="4"/>
  </si>
  <si>
    <t>Service</t>
    <phoneticPr fontId="4"/>
  </si>
  <si>
    <t>BHK</t>
    <phoneticPr fontId="10"/>
  </si>
  <si>
    <t>BHIC</t>
    <phoneticPr fontId="10"/>
  </si>
  <si>
    <t>Seal tape</t>
    <phoneticPr fontId="10"/>
  </si>
  <si>
    <t>Silica wool</t>
    <phoneticPr fontId="10"/>
  </si>
  <si>
    <t>Vinyl hose</t>
    <phoneticPr fontId="10"/>
  </si>
  <si>
    <t>Silicon hose</t>
    <phoneticPr fontId="10"/>
  </si>
  <si>
    <t>Filter paper for Andersen</t>
    <phoneticPr fontId="10"/>
  </si>
  <si>
    <t>Standard gas</t>
    <phoneticPr fontId="10"/>
  </si>
  <si>
    <t>Andersen</t>
    <phoneticPr fontId="10"/>
  </si>
  <si>
    <t>Water purifier instrument</t>
    <phoneticPr fontId="10"/>
  </si>
  <si>
    <t>Electric furnace</t>
    <phoneticPr fontId="10"/>
  </si>
  <si>
    <t>Dust (1set)</t>
    <phoneticPr fontId="10"/>
  </si>
  <si>
    <t>Orsat</t>
    <phoneticPr fontId="10"/>
  </si>
  <si>
    <t>No.</t>
    <phoneticPr fontId="10"/>
  </si>
  <si>
    <t>Measurement</t>
    <phoneticPr fontId="10"/>
  </si>
  <si>
    <t>Overtime</t>
    <phoneticPr fontId="10"/>
  </si>
  <si>
    <t>Man-hour</t>
    <phoneticPr fontId="10"/>
  </si>
  <si>
    <t>Engineers</t>
  </si>
  <si>
    <t>Transportation</t>
    <phoneticPr fontId="10"/>
  </si>
  <si>
    <t>Finish</t>
    <phoneticPr fontId="10"/>
  </si>
  <si>
    <t>Start</t>
    <phoneticPr fontId="10"/>
  </si>
  <si>
    <t>Breakdown of man-hour</t>
    <phoneticPr fontId="10"/>
  </si>
  <si>
    <t>Head-count</t>
    <phoneticPr fontId="10"/>
  </si>
  <si>
    <t>Business content</t>
    <phoneticPr fontId="10"/>
  </si>
  <si>
    <t>Date</t>
    <phoneticPr fontId="10"/>
  </si>
  <si>
    <t>Daily pay</t>
    <phoneticPr fontId="10"/>
  </si>
  <si>
    <t>In Vietnam</t>
    <phoneticPr fontId="10"/>
  </si>
  <si>
    <t>Unit</t>
    <phoneticPr fontId="10"/>
  </si>
  <si>
    <t>CHUGAI TECHNOS VIETNAM CO.,LTD</t>
    <phoneticPr fontId="14"/>
  </si>
  <si>
    <t>Used days</t>
    <phoneticPr fontId="19"/>
  </si>
  <si>
    <t>Taking out days</t>
    <phoneticPr fontId="19"/>
  </si>
  <si>
    <t>Remarks</t>
    <phoneticPr fontId="10"/>
  </si>
  <si>
    <t xml:space="preserve">Service subject line </t>
    <phoneticPr fontId="4"/>
  </si>
  <si>
    <t>Site</t>
    <phoneticPr fontId="4"/>
  </si>
  <si>
    <t>Country</t>
    <phoneticPr fontId="4"/>
  </si>
  <si>
    <t>Analysis</t>
    <phoneticPr fontId="4"/>
  </si>
  <si>
    <t>Environmental consulting</t>
    <phoneticPr fontId="4"/>
  </si>
  <si>
    <t>Non-destructive inspection</t>
    <phoneticPr fontId="4"/>
  </si>
  <si>
    <t>Relevant facilities</t>
    <phoneticPr fontId="4"/>
  </si>
  <si>
    <t>Price</t>
    <phoneticPr fontId="4"/>
  </si>
  <si>
    <t>USD</t>
    <phoneticPr fontId="4"/>
  </si>
  <si>
    <t>VND</t>
    <phoneticPr fontId="4"/>
  </si>
  <si>
    <t>JPY</t>
    <phoneticPr fontId="4"/>
  </si>
  <si>
    <t>thousand</t>
    <phoneticPr fontId="4"/>
  </si>
  <si>
    <t>Vietnamese Dong</t>
    <phoneticPr fontId="4"/>
  </si>
  <si>
    <t>Japanese Yen</t>
    <phoneticPr fontId="4"/>
  </si>
  <si>
    <t>currency</t>
    <phoneticPr fontId="4"/>
  </si>
  <si>
    <t>VAT</t>
    <phoneticPr fontId="4"/>
  </si>
  <si>
    <t>Choice</t>
    <phoneticPr fontId="4"/>
  </si>
  <si>
    <t>This Price is 10% VAT applicable.</t>
    <phoneticPr fontId="4"/>
  </si>
  <si>
    <t>Cost</t>
    <phoneticPr fontId="4"/>
  </si>
  <si>
    <t>applicable</t>
  </si>
  <si>
    <t>not applicable</t>
  </si>
  <si>
    <t>This Price is not 10% VAT applicable.</t>
    <phoneticPr fontId="4"/>
  </si>
  <si>
    <t xml:space="preserve"> </t>
    <phoneticPr fontId="4"/>
  </si>
  <si>
    <t>-</t>
    <phoneticPr fontId="4"/>
  </si>
  <si>
    <t>Relevant month quotation</t>
    <phoneticPr fontId="4"/>
  </si>
  <si>
    <t>10 days</t>
    <phoneticPr fontId="4"/>
  </si>
  <si>
    <t>Mr. Masami Oue</t>
    <phoneticPr fontId="4"/>
  </si>
  <si>
    <t>+81-82-295-2237</t>
    <phoneticPr fontId="4"/>
  </si>
  <si>
    <r>
      <t>cylinder</t>
    </r>
    <r>
      <rPr>
        <sz val="11"/>
        <rFont val="ＭＳ Ｐゴシック"/>
        <family val="2"/>
      </rPr>
      <t>・</t>
    </r>
    <r>
      <rPr>
        <sz val="11"/>
        <rFont val="Arial"/>
        <family val="2"/>
      </rPr>
      <t>week</t>
    </r>
    <phoneticPr fontId="10"/>
  </si>
  <si>
    <t>m</t>
    <phoneticPr fontId="10"/>
  </si>
  <si>
    <t>piece</t>
    <phoneticPr fontId="10"/>
  </si>
  <si>
    <t>m</t>
    <phoneticPr fontId="10"/>
  </si>
  <si>
    <t>g</t>
    <phoneticPr fontId="10"/>
  </si>
  <si>
    <r>
      <t>Gas mask canister</t>
    </r>
    <r>
      <rPr>
        <sz val="11"/>
        <rFont val="ＭＳ Ｐゴシック"/>
        <family val="3"/>
        <charset val="128"/>
      </rPr>
      <t>（</t>
    </r>
    <r>
      <rPr>
        <sz val="11"/>
        <rFont val="Arial"/>
        <family val="2"/>
      </rPr>
      <t>SOx</t>
    </r>
    <r>
      <rPr>
        <sz val="11"/>
        <rFont val="ＭＳ Ｐゴシック"/>
        <family val="3"/>
        <charset val="128"/>
      </rPr>
      <t>）</t>
    </r>
    <phoneticPr fontId="10"/>
  </si>
  <si>
    <t>Heat resistance tape</t>
    <phoneticPr fontId="10"/>
  </si>
  <si>
    <t>Thimble filter ( 89S )</t>
    <phoneticPr fontId="10"/>
  </si>
  <si>
    <t>Thimble filter ( Silica )</t>
    <phoneticPr fontId="10"/>
  </si>
  <si>
    <t>Circular filter ( Teflon )</t>
    <phoneticPr fontId="10"/>
  </si>
  <si>
    <r>
      <t>Circular filter ( QM</t>
    </r>
    <r>
      <rPr>
        <sz val="11"/>
        <rFont val="ＭＳ Ｐゴシック"/>
        <family val="3"/>
        <charset val="128"/>
      </rPr>
      <t>－</t>
    </r>
    <r>
      <rPr>
        <sz val="11"/>
        <rFont val="Arial"/>
        <family val="2"/>
      </rPr>
      <t>A )</t>
    </r>
    <phoneticPr fontId="10"/>
  </si>
  <si>
    <r>
      <t>Teflon tube ( 4</t>
    </r>
    <r>
      <rPr>
        <sz val="11"/>
        <rFont val="ＭＳ Ｐゴシック"/>
        <family val="3"/>
        <charset val="128"/>
      </rPr>
      <t>×</t>
    </r>
    <r>
      <rPr>
        <sz val="11"/>
        <rFont val="Arial"/>
        <family val="2"/>
      </rPr>
      <t>6 )</t>
    </r>
    <phoneticPr fontId="10"/>
  </si>
  <si>
    <r>
      <t>Teflon tube ( 8</t>
    </r>
    <r>
      <rPr>
        <sz val="11"/>
        <rFont val="ＭＳ Ｐゴシック"/>
        <family val="3"/>
        <charset val="128"/>
      </rPr>
      <t>×</t>
    </r>
    <r>
      <rPr>
        <sz val="11"/>
        <rFont val="Arial"/>
        <family val="2"/>
      </rPr>
      <t>10 )</t>
    </r>
    <r>
      <rPr>
        <sz val="11"/>
        <color theme="1"/>
        <rFont val="Calibri"/>
        <family val="2"/>
        <charset val="128"/>
        <scheme val="minor"/>
      </rPr>
      <t/>
    </r>
    <phoneticPr fontId="4"/>
  </si>
  <si>
    <r>
      <t>Teflon tube ( 6</t>
    </r>
    <r>
      <rPr>
        <sz val="11"/>
        <rFont val="ＭＳ Ｐゴシック"/>
        <family val="3"/>
        <charset val="128"/>
      </rPr>
      <t>×</t>
    </r>
    <r>
      <rPr>
        <sz val="11"/>
        <rFont val="Arial"/>
        <family val="2"/>
      </rPr>
      <t>8 )</t>
    </r>
    <r>
      <rPr>
        <sz val="11"/>
        <color theme="1"/>
        <rFont val="Calibri"/>
        <family val="2"/>
        <charset val="128"/>
        <scheme val="minor"/>
      </rPr>
      <t/>
    </r>
    <phoneticPr fontId="4"/>
  </si>
  <si>
    <t>CO ( Detection tube )</t>
    <phoneticPr fontId="10"/>
  </si>
  <si>
    <r>
      <t>Chemical balance (Precise</t>
    </r>
    <r>
      <rPr>
        <sz val="11"/>
        <rFont val="ＭＳ Ｐゴシック"/>
        <family val="3"/>
        <charset val="128"/>
      </rPr>
      <t>）</t>
    </r>
    <phoneticPr fontId="10"/>
  </si>
  <si>
    <t>Balance</t>
    <phoneticPr fontId="10"/>
  </si>
  <si>
    <t>Oven</t>
    <phoneticPr fontId="10"/>
  </si>
  <si>
    <t>Ion chromatograph</t>
    <phoneticPr fontId="10"/>
  </si>
  <si>
    <t>Thimble filter ( 89 )</t>
    <phoneticPr fontId="10"/>
  </si>
  <si>
    <r>
      <t>NOx-O</t>
    </r>
    <r>
      <rPr>
        <vertAlign val="subscript"/>
        <sz val="11"/>
        <rFont val="Arial"/>
        <family val="2"/>
      </rPr>
      <t xml:space="preserve">2 </t>
    </r>
    <r>
      <rPr>
        <sz val="11"/>
        <rFont val="Arial"/>
        <family val="2"/>
      </rPr>
      <t>monitor</t>
    </r>
    <phoneticPr fontId="10"/>
  </si>
  <si>
    <t>Moisture content measurement</t>
    <phoneticPr fontId="10"/>
  </si>
  <si>
    <t>Velocity measurement</t>
    <phoneticPr fontId="10"/>
  </si>
  <si>
    <r>
      <t>SO</t>
    </r>
    <r>
      <rPr>
        <vertAlign val="subscript"/>
        <sz val="11"/>
        <rFont val="Arial"/>
        <family val="2"/>
      </rPr>
      <t xml:space="preserve">3 </t>
    </r>
    <r>
      <rPr>
        <sz val="11"/>
        <rFont val="Arial"/>
        <family val="2"/>
      </rPr>
      <t>measurement</t>
    </r>
    <phoneticPr fontId="10"/>
  </si>
  <si>
    <r>
      <t>NH</t>
    </r>
    <r>
      <rPr>
        <vertAlign val="subscript"/>
        <sz val="11"/>
        <rFont val="Arial"/>
        <family val="2"/>
      </rPr>
      <t xml:space="preserve">3 </t>
    </r>
    <r>
      <rPr>
        <sz val="11"/>
        <rFont val="Arial"/>
        <family val="2"/>
      </rPr>
      <t>measurement</t>
    </r>
    <phoneticPr fontId="10"/>
  </si>
  <si>
    <t>Water mist measurement</t>
    <phoneticPr fontId="10"/>
  </si>
  <si>
    <t>Temperature measurement</t>
    <phoneticPr fontId="10"/>
  </si>
  <si>
    <r>
      <t>NH</t>
    </r>
    <r>
      <rPr>
        <vertAlign val="subscript"/>
        <sz val="11"/>
        <rFont val="Arial"/>
        <family val="2"/>
      </rPr>
      <t>3</t>
    </r>
    <r>
      <rPr>
        <sz val="11"/>
        <rFont val="Arial"/>
        <family val="2"/>
      </rPr>
      <t xml:space="preserve"> analysis instruments</t>
    </r>
    <phoneticPr fontId="10"/>
  </si>
  <si>
    <t>SOx analysis instruments</t>
    <phoneticPr fontId="4"/>
  </si>
  <si>
    <t>SOx measurement</t>
    <phoneticPr fontId="4"/>
  </si>
  <si>
    <t>Hours</t>
    <phoneticPr fontId="10"/>
  </si>
  <si>
    <t>Day</t>
    <phoneticPr fontId="10"/>
  </si>
  <si>
    <t>Rest</t>
    <phoneticPr fontId="4"/>
  </si>
  <si>
    <t>Travel Cost</t>
    <phoneticPr fontId="10"/>
  </si>
  <si>
    <t>Departure
Place</t>
    <phoneticPr fontId="10"/>
  </si>
  <si>
    <t>Arrival
Place</t>
    <phoneticPr fontId="10"/>
  </si>
  <si>
    <t>Numbers 
of Nights</t>
    <phoneticPr fontId="4"/>
  </si>
  <si>
    <t>To</t>
    <phoneticPr fontId="4"/>
  </si>
  <si>
    <t xml:space="preserve">DOMINICA
ARMENIA
ANGIERI
ANGOLA 
APGHANISTAN
AZECBAIZAN
BANGLADESH
CAMBODIA
DEMOCRATIC PEOPLE'S REPUBLIC OF KOREA
REPUBLIC OF GUINEA
REPUBLIC OF YEMEN
CONGO
COSTARICA
CUBA
EAST SAHARA
EAST TIMO
ECUADOR
ETHIOPIA
ELSALVADO
ERITRE
FIJI
GHANA
GRENADA
GRUZIA
GUATEMALA
HAITI
HONDURAS
IRAN
INDONESIA
JAMAICA
KAZACSTAN
KENIA
KYRGYZSTAN
LAOS
LIBI
MADAGASCAR
MALAYSIA
MALI
MARITUS
MAROC
MONGOLIA
MYANMAR
NEPAL
NICARAGOA 
PAKISTAN
PHILIPIN
SHIP
SRILANCA 
TAJIKISTAN
TANZANIA
THAILAND
TURKMENISTAN
UZBEKISTAN
VENEZUELA
SOMALI
XYRIA
Other countries not belonging to the above groups 
</t>
    <phoneticPr fontId="4"/>
  </si>
  <si>
    <t xml:space="preserve">IRELAND 
UK AND NORTHERN IRELAND 
AUSTRIA
BELGIUM
PORTUGAL
CANADA
GERMANY
TAIWAN
DENMARK
NEITHERLAND
SOUTH KOREA
ITALIA
LUXEMBOURG
USA
NORWAY
JAPAN 
FINLAND
FRANCE
SPAIN
SWEDEN
SWITZERLAND
RUSSIA
TURKEY
UKRAINA
</t>
    <phoneticPr fontId="4"/>
  </si>
  <si>
    <t xml:space="preserve">AGENTINA 
EGYPT
SAUDI ARABIA
POLAND 
BAREN
BELARUS
BOLIVIA
BOSNIA AND HECXEGOVINA
BRAXIN 
BRUNEI
BUNGARI
UNIFIED ARAB EMIRATES (UAE)
REPUBLIC OF CZECH 
REPUBLIC OF SLOVAKIA
CHILE
KUWAIT
COLOMBIA
CROATIA
ESTONIA
JORDAN
HONG KONG
HUNGARI
ISRAEL
LATVIA
LEBANON
INDIA
LITHUANA
MACAU
MACEDONIA
MALTA
MEXICO 
MOLDOVIA
SOUTH AFRICA
SECBIA MONGTENEGRO
NEW ZEALAND
AUSTRALIA
PANAMA
PERU 
QUATA
RUMANI 
SAMOA
SINGGAPORE
SLOVENIA
CHINA
URUGUAY
</t>
    <phoneticPr fontId="4"/>
  </si>
  <si>
    <t>Group 1</t>
    <phoneticPr fontId="10"/>
  </si>
  <si>
    <t>Group 2</t>
    <phoneticPr fontId="10"/>
  </si>
  <si>
    <t>Group 3</t>
  </si>
  <si>
    <t>Accommodation</t>
    <phoneticPr fontId="4"/>
  </si>
  <si>
    <t>Actual costs and expenses</t>
    <phoneticPr fontId="10"/>
  </si>
  <si>
    <t>Country</t>
    <phoneticPr fontId="4"/>
  </si>
  <si>
    <t>Evenness</t>
    <phoneticPr fontId="4"/>
  </si>
  <si>
    <r>
      <t>A</t>
    </r>
    <r>
      <rPr>
        <b/>
        <sz val="12"/>
        <color rgb="FFFF0000"/>
        <rFont val="ＭＳ ゴシック"/>
        <family val="3"/>
        <charset val="128"/>
      </rPr>
      <t>．</t>
    </r>
    <r>
      <rPr>
        <b/>
        <sz val="12"/>
        <color rgb="FFFF0000"/>
        <rFont val="Arial"/>
        <family val="2"/>
      </rPr>
      <t>Day pay and accommodation fee</t>
    </r>
    <phoneticPr fontId="4"/>
  </si>
  <si>
    <r>
      <t>Currency</t>
    </r>
    <r>
      <rPr>
        <b/>
        <sz val="10"/>
        <rFont val="ＭＳ Ｐゴシック"/>
        <family val="3"/>
        <charset val="128"/>
      </rPr>
      <t>：</t>
    </r>
    <r>
      <rPr>
        <b/>
        <sz val="10"/>
        <rFont val="Arial"/>
        <family val="2"/>
      </rPr>
      <t>JPY</t>
    </r>
    <phoneticPr fontId="10"/>
  </si>
  <si>
    <r>
      <t xml:space="preserve">In accordance with the Vietnamese government notices of Article 2, paragraph </t>
    </r>
    <r>
      <rPr>
        <sz val="11"/>
        <color rgb="FFFF0000"/>
        <rFont val="ＭＳ Ｐゴシック"/>
        <family val="3"/>
        <charset val="128"/>
      </rPr>
      <t>（</t>
    </r>
    <r>
      <rPr>
        <sz val="11"/>
        <color rgb="FFFF0000"/>
        <rFont val="Arial"/>
        <family val="2"/>
      </rPr>
      <t>5</t>
    </r>
    <r>
      <rPr>
        <sz val="11"/>
        <color rgb="FFFF0000"/>
        <rFont val="ＭＳ Ｐゴシック"/>
        <family val="3"/>
        <charset val="128"/>
      </rPr>
      <t>）</t>
    </r>
    <r>
      <rPr>
        <sz val="11"/>
        <color rgb="FFFF0000"/>
        <rFont val="Arial"/>
        <family val="2"/>
      </rPr>
      <t xml:space="preserve"> of 97/2012/TT-BTC and Article 6, paragraph </t>
    </r>
    <r>
      <rPr>
        <sz val="11"/>
        <color rgb="FFFF0000"/>
        <rFont val="ＭＳ Ｐゴシック"/>
        <family val="3"/>
        <charset val="128"/>
      </rPr>
      <t>（</t>
    </r>
    <r>
      <rPr>
        <sz val="11"/>
        <color rgb="FFFF0000"/>
        <rFont val="Arial"/>
        <family val="2"/>
      </rPr>
      <t>2.8</t>
    </r>
    <r>
      <rPr>
        <sz val="11"/>
        <color rgb="FFFF0000"/>
        <rFont val="ＭＳ Ｐゴシック"/>
        <family val="3"/>
        <charset val="128"/>
      </rPr>
      <t>）</t>
    </r>
    <r>
      <rPr>
        <sz val="11"/>
        <color rgb="FFFF0000"/>
        <rFont val="Arial"/>
        <family val="2"/>
      </rPr>
      <t xml:space="preserve"> of 123/2012/TT-BTC</t>
    </r>
    <phoneticPr fontId="4"/>
  </si>
  <si>
    <r>
      <t>B</t>
    </r>
    <r>
      <rPr>
        <b/>
        <sz val="12"/>
        <rFont val="ＭＳ ゴシック"/>
        <family val="3"/>
        <charset val="128"/>
      </rPr>
      <t>．</t>
    </r>
    <r>
      <rPr>
        <b/>
        <sz val="12"/>
        <rFont val="Arial"/>
        <family val="2"/>
      </rPr>
      <t>Overtime Money</t>
    </r>
    <phoneticPr fontId="10"/>
  </si>
  <si>
    <t>Weekday</t>
    <phoneticPr fontId="10"/>
  </si>
  <si>
    <r>
      <rPr>
        <sz val="10"/>
        <rFont val="ＭＳ Ｐゴシック"/>
        <family val="3"/>
        <charset val="128"/>
      </rPr>
      <t>※Ａ＝</t>
    </r>
    <r>
      <rPr>
        <sz val="10"/>
        <rFont val="Arial"/>
        <family val="2"/>
      </rPr>
      <t>Basic Salary</t>
    </r>
    <r>
      <rPr>
        <sz val="10"/>
        <rFont val="ＭＳ Ｐゴシック"/>
        <family val="3"/>
        <charset val="128"/>
      </rPr>
      <t>／</t>
    </r>
    <r>
      <rPr>
        <sz val="10"/>
        <rFont val="Arial"/>
        <family val="2"/>
      </rPr>
      <t>22days</t>
    </r>
    <r>
      <rPr>
        <sz val="10"/>
        <rFont val="ＭＳ Ｐゴシック"/>
        <family val="3"/>
        <charset val="128"/>
      </rPr>
      <t>／</t>
    </r>
    <r>
      <rPr>
        <sz val="10"/>
        <rFont val="Arial"/>
        <family val="2"/>
      </rPr>
      <t>8 hours</t>
    </r>
    <phoneticPr fontId="10"/>
  </si>
  <si>
    <t>Midnight</t>
    <phoneticPr fontId="10"/>
  </si>
  <si>
    <t>Public holiday</t>
    <phoneticPr fontId="10"/>
  </si>
  <si>
    <r>
      <t>Holiday(Sat and Sun</t>
    </r>
    <r>
      <rPr>
        <sz val="10"/>
        <rFont val="ＭＳ Ｐゴシック"/>
        <family val="3"/>
        <charset val="128"/>
      </rPr>
      <t>）</t>
    </r>
    <phoneticPr fontId="10"/>
  </si>
  <si>
    <t>Midnight Overtime is between p.m 21:00 and a.m 5:00</t>
    <phoneticPr fontId="4"/>
  </si>
  <si>
    <t>Breakdown Sheet of Instrument Depreciation</t>
    <phoneticPr fontId="4"/>
  </si>
  <si>
    <t>(4)</t>
  </si>
  <si>
    <t>Total salary</t>
    <phoneticPr fontId="10"/>
  </si>
  <si>
    <t>Basic unit price(A)</t>
    <phoneticPr fontId="10"/>
  </si>
  <si>
    <t>VAT=</t>
    <phoneticPr fontId="4"/>
  </si>
  <si>
    <t>%</t>
    <phoneticPr fontId="4"/>
  </si>
  <si>
    <t>VAT need in Vietnam</t>
    <phoneticPr fontId="4"/>
  </si>
  <si>
    <t>Equipment depreciation Total</t>
    <phoneticPr fontId="19"/>
  </si>
  <si>
    <t>Total</t>
    <phoneticPr fontId="19"/>
  </si>
  <si>
    <t>Instrument depreciation
 unit price</t>
    <phoneticPr fontId="19"/>
  </si>
  <si>
    <t>Taking out quantities</t>
    <phoneticPr fontId="19"/>
  </si>
  <si>
    <t>Instrument depreciation</t>
    <phoneticPr fontId="10"/>
  </si>
  <si>
    <t>Consumables cost</t>
    <phoneticPr fontId="19"/>
  </si>
  <si>
    <t>No.</t>
    <phoneticPr fontId="19"/>
  </si>
  <si>
    <t>Consumables cost</t>
    <phoneticPr fontId="10"/>
  </si>
  <si>
    <t>Quantities</t>
    <phoneticPr fontId="19"/>
  </si>
  <si>
    <t>Instrument name</t>
    <phoneticPr fontId="10"/>
  </si>
  <si>
    <t>If some reports exist, write circulation here</t>
    <phoneticPr fontId="4"/>
  </si>
  <si>
    <t>Service completion date</t>
    <phoneticPr fontId="4"/>
  </si>
  <si>
    <t>It includes VAT.</t>
    <phoneticPr fontId="4"/>
  </si>
  <si>
    <t>Total</t>
    <phoneticPr fontId="10"/>
  </si>
  <si>
    <t>Equipment depreciation</t>
    <phoneticPr fontId="10"/>
  </si>
  <si>
    <t>Item</t>
    <phoneticPr fontId="10"/>
  </si>
  <si>
    <t>Contents</t>
    <phoneticPr fontId="10"/>
  </si>
  <si>
    <t>Engineering cost</t>
    <phoneticPr fontId="10"/>
  </si>
  <si>
    <t>Quantity</t>
    <phoneticPr fontId="10"/>
  </si>
  <si>
    <t>Chugai Technos Vietnam</t>
    <phoneticPr fontId="10"/>
  </si>
  <si>
    <t>Kawaki</t>
    <phoneticPr fontId="10"/>
  </si>
  <si>
    <t>Mitsubishi</t>
    <phoneticPr fontId="10"/>
  </si>
  <si>
    <t>Hitachi</t>
    <phoneticPr fontId="10"/>
  </si>
  <si>
    <t>Alstom</t>
    <phoneticPr fontId="10"/>
  </si>
  <si>
    <t>Sumitomo</t>
    <phoneticPr fontId="10"/>
  </si>
  <si>
    <t>SV</t>
    <phoneticPr fontId="10"/>
  </si>
  <si>
    <t>EBARA</t>
    <phoneticPr fontId="10"/>
  </si>
  <si>
    <t>issuance</t>
  </si>
  <si>
    <t>Set</t>
    <phoneticPr fontId="10"/>
  </si>
  <si>
    <t>Set</t>
    <phoneticPr fontId="10"/>
  </si>
  <si>
    <t>Nan-hour</t>
    <phoneticPr fontId="10"/>
  </si>
  <si>
    <t>Times</t>
    <phoneticPr fontId="10"/>
  </si>
  <si>
    <t>Rule</t>
    <phoneticPr fontId="10"/>
  </si>
  <si>
    <t>CO2-CO-O2 monitor</t>
    <phoneticPr fontId="4"/>
  </si>
  <si>
    <t>Transportation 
Fee(USD)</t>
    <phoneticPr fontId="10"/>
  </si>
  <si>
    <t>Unit price(USD)</t>
    <phoneticPr fontId="14"/>
  </si>
  <si>
    <t>Price(USD)</t>
    <phoneticPr fontId="14"/>
  </si>
  <si>
    <t>Plastic bottle</t>
    <phoneticPr fontId="4"/>
  </si>
  <si>
    <t>Plastic bottle</t>
    <phoneticPr fontId="4"/>
  </si>
  <si>
    <t>NOx measurement</t>
    <phoneticPr fontId="10"/>
  </si>
  <si>
    <t>HCl measurement</t>
    <phoneticPr fontId="10"/>
  </si>
  <si>
    <t>Working Time</t>
    <phoneticPr fontId="10"/>
  </si>
  <si>
    <t>50% of total Contract value shall be paid immediately upon quotation's approval. 50% of total Contract value shall be paid in 7days time after the two parties has signed the works checking minute and receipt of the payment request and the official tax invoice.</t>
    <phoneticPr fontId="4"/>
  </si>
  <si>
    <t>Mr. Hirohiko Muraoka</t>
    <phoneticPr fontId="4"/>
  </si>
  <si>
    <t>0312737198</t>
    <phoneticPr fontId="4"/>
  </si>
  <si>
    <t>US Dollar</t>
  </si>
  <si>
    <t>Equipment Name</t>
    <phoneticPr fontId="10"/>
  </si>
  <si>
    <t>Consumables</t>
  </si>
  <si>
    <t>CO ( Drager detection tube )</t>
    <phoneticPr fontId="10"/>
  </si>
  <si>
    <t>Actual Cost</t>
  </si>
  <si>
    <r>
      <rPr>
        <sz val="11"/>
        <rFont val="ＭＳ Ｐゴシック"/>
        <family val="3"/>
        <charset val="128"/>
      </rPr>
      <t>⑤</t>
    </r>
    <r>
      <rPr>
        <sz val="11"/>
        <rFont val="Arial"/>
        <family val="2"/>
      </rPr>
      <t>Transportation cost</t>
    </r>
  </si>
  <si>
    <t>Breakdown Sheet of consumables</t>
  </si>
  <si>
    <t>BHIC</t>
    <phoneticPr fontId="10"/>
  </si>
  <si>
    <t>BHK</t>
    <phoneticPr fontId="10"/>
  </si>
  <si>
    <r>
      <rPr>
        <sz val="14"/>
        <rFont val="ＭＳ Ｐゴシック"/>
        <family val="3"/>
        <charset val="128"/>
      </rPr>
      <t>■</t>
    </r>
    <r>
      <rPr>
        <sz val="14"/>
        <rFont val="Arial"/>
        <family val="2"/>
      </rPr>
      <t>Balance sheet relating the quotations brought Japanese constructors up by us</t>
    </r>
    <phoneticPr fontId="4"/>
  </si>
  <si>
    <r>
      <rPr>
        <sz val="11"/>
        <rFont val="ＭＳ Ｐゴシック"/>
        <family val="3"/>
        <charset val="128"/>
      </rPr>
      <t>※</t>
    </r>
    <r>
      <rPr>
        <sz val="11"/>
        <rFont val="Arial"/>
        <family val="2"/>
      </rPr>
      <t>Company</t>
    </r>
    <phoneticPr fontId="10"/>
  </si>
  <si>
    <r>
      <rPr>
        <sz val="11"/>
        <rFont val="ＭＳ Ｐゴシック"/>
        <family val="3"/>
        <charset val="128"/>
      </rPr>
      <t>ＩＩＣ</t>
    </r>
    <phoneticPr fontId="10"/>
  </si>
  <si>
    <r>
      <rPr>
        <sz val="11"/>
        <rFont val="ＭＳ Ｐゴシック"/>
        <family val="3"/>
        <charset val="128"/>
      </rPr>
      <t>ＭＨＩ</t>
    </r>
    <r>
      <rPr>
        <sz val="11"/>
        <rFont val="Arial"/>
        <family val="2"/>
      </rPr>
      <t xml:space="preserve"> solution</t>
    </r>
    <phoneticPr fontId="10"/>
  </si>
  <si>
    <r>
      <rPr>
        <sz val="11"/>
        <rFont val="ＭＳ Ｐゴシック"/>
        <family val="3"/>
        <charset val="128"/>
      </rPr>
      <t>ＳＶ</t>
    </r>
    <phoneticPr fontId="10"/>
  </si>
  <si>
    <r>
      <t>1</t>
    </r>
    <r>
      <rPr>
        <sz val="11"/>
        <rFont val="ＭＳ Ｐゴシック"/>
        <family val="3"/>
        <charset val="128"/>
      </rPr>
      <t>．</t>
    </r>
    <r>
      <rPr>
        <sz val="11"/>
        <rFont val="Arial"/>
        <family val="2"/>
      </rPr>
      <t>Direct labor cost</t>
    </r>
    <phoneticPr fontId="10"/>
  </si>
  <si>
    <r>
      <t>2</t>
    </r>
    <r>
      <rPr>
        <sz val="11"/>
        <rFont val="ＭＳ Ｐゴシック"/>
        <family val="3"/>
        <charset val="128"/>
      </rPr>
      <t>．</t>
    </r>
    <r>
      <rPr>
        <sz val="11"/>
        <rFont val="Arial"/>
        <family val="2"/>
      </rPr>
      <t>Direct out-of-pocket cost</t>
    </r>
    <phoneticPr fontId="10"/>
  </si>
  <si>
    <r>
      <rPr>
        <sz val="11"/>
        <rFont val="ＭＳ Ｐゴシック"/>
        <family val="3"/>
        <charset val="128"/>
      </rPr>
      <t>①</t>
    </r>
    <r>
      <rPr>
        <sz val="11"/>
        <rFont val="Arial"/>
        <family val="2"/>
      </rPr>
      <t>VISA accession cost</t>
    </r>
    <phoneticPr fontId="10"/>
  </si>
  <si>
    <r>
      <rPr>
        <sz val="11"/>
        <rFont val="ＭＳ Ｐゴシック"/>
        <family val="3"/>
        <charset val="128"/>
      </rPr>
      <t>②</t>
    </r>
    <r>
      <rPr>
        <sz val="11"/>
        <rFont val="Arial"/>
        <family val="2"/>
      </rPr>
      <t>Daily allowance</t>
    </r>
    <phoneticPr fontId="10"/>
  </si>
  <si>
    <r>
      <t>Person</t>
    </r>
    <r>
      <rPr>
        <sz val="11"/>
        <rFont val="ＭＳ Ｐゴシック"/>
        <family val="3"/>
        <charset val="128"/>
      </rPr>
      <t>・</t>
    </r>
    <r>
      <rPr>
        <sz val="11"/>
        <rFont val="Arial"/>
        <family val="2"/>
      </rPr>
      <t>Day</t>
    </r>
    <phoneticPr fontId="10"/>
  </si>
  <si>
    <r>
      <rPr>
        <sz val="11"/>
        <rFont val="ＭＳ Ｐゴシック"/>
        <family val="3"/>
        <charset val="128"/>
      </rPr>
      <t>③</t>
    </r>
    <r>
      <rPr>
        <sz val="11"/>
        <rFont val="Arial"/>
        <family val="2"/>
      </rPr>
      <t>accommodation cost</t>
    </r>
    <phoneticPr fontId="10"/>
  </si>
  <si>
    <r>
      <t>Person</t>
    </r>
    <r>
      <rPr>
        <sz val="11"/>
        <rFont val="ＭＳ Ｐゴシック"/>
        <family val="3"/>
        <charset val="128"/>
      </rPr>
      <t>・</t>
    </r>
    <r>
      <rPr>
        <sz val="11"/>
        <rFont val="Arial"/>
        <family val="2"/>
      </rPr>
      <t>Night</t>
    </r>
    <phoneticPr fontId="10"/>
  </si>
  <si>
    <r>
      <rPr>
        <sz val="11"/>
        <rFont val="ＭＳ Ｐゴシック"/>
        <family val="3"/>
        <charset val="128"/>
      </rPr>
      <t>④</t>
    </r>
    <r>
      <rPr>
        <sz val="11"/>
        <rFont val="Arial"/>
        <family val="2"/>
      </rPr>
      <t>Insurance</t>
    </r>
    <phoneticPr fontId="10"/>
  </si>
  <si>
    <r>
      <rPr>
        <sz val="11"/>
        <rFont val="ＭＳ Ｐゴシック"/>
        <family val="3"/>
        <charset val="128"/>
      </rPr>
      <t>⑥</t>
    </r>
    <r>
      <rPr>
        <sz val="11"/>
        <rFont val="Arial"/>
        <family val="2"/>
      </rPr>
      <t>Entrance pay</t>
    </r>
    <phoneticPr fontId="10"/>
  </si>
  <si>
    <r>
      <rPr>
        <sz val="11"/>
        <rFont val="ＭＳ Ｐゴシック"/>
        <family val="3"/>
        <charset val="128"/>
      </rPr>
      <t>⑦</t>
    </r>
    <r>
      <rPr>
        <sz val="11"/>
        <rFont val="Arial"/>
        <family val="2"/>
      </rPr>
      <t xml:space="preserve">Communication cost </t>
    </r>
    <phoneticPr fontId="10"/>
  </si>
  <si>
    <r>
      <rPr>
        <sz val="11"/>
        <rFont val="ＭＳ Ｐゴシック"/>
        <family val="3"/>
        <charset val="128"/>
      </rPr>
      <t>⑧</t>
    </r>
    <r>
      <rPr>
        <sz val="11"/>
        <rFont val="Arial"/>
        <family val="2"/>
      </rPr>
      <t>Environment addition</t>
    </r>
    <phoneticPr fontId="10"/>
  </si>
  <si>
    <r>
      <rPr>
        <sz val="11"/>
        <rFont val="ＭＳ Ｐゴシック"/>
        <family val="3"/>
        <charset val="128"/>
      </rPr>
      <t>⑨</t>
    </r>
    <r>
      <rPr>
        <sz val="11"/>
        <rFont val="Arial"/>
        <family val="2"/>
      </rPr>
      <t>Separation allowance</t>
    </r>
    <phoneticPr fontId="10"/>
  </si>
  <si>
    <r>
      <rPr>
        <sz val="11"/>
        <rFont val="ＭＳ Ｐゴシック"/>
        <family val="3"/>
        <charset val="128"/>
      </rPr>
      <t>⑩</t>
    </r>
    <r>
      <rPr>
        <sz val="11"/>
        <rFont val="Arial"/>
        <family val="2"/>
      </rPr>
      <t>Immunization cost</t>
    </r>
    <phoneticPr fontId="10"/>
  </si>
  <si>
    <r>
      <rPr>
        <sz val="11"/>
        <rFont val="ＭＳ Ｐゴシック"/>
        <family val="3"/>
        <charset val="128"/>
      </rPr>
      <t>⑪</t>
    </r>
    <r>
      <rPr>
        <sz val="11"/>
        <rFont val="Arial"/>
        <family val="2"/>
      </rPr>
      <t>Dispatch allowance</t>
    </r>
    <phoneticPr fontId="10"/>
  </si>
  <si>
    <r>
      <t>3</t>
    </r>
    <r>
      <rPr>
        <sz val="11"/>
        <rFont val="ＭＳ Ｐゴシック"/>
        <family val="3"/>
        <charset val="128"/>
      </rPr>
      <t>．</t>
    </r>
    <r>
      <rPr>
        <sz val="11"/>
        <rFont val="Arial"/>
        <family val="2"/>
      </rPr>
      <t>Company cost</t>
    </r>
    <phoneticPr fontId="10"/>
  </si>
  <si>
    <r>
      <t>10</t>
    </r>
    <r>
      <rPr>
        <sz val="11"/>
        <color theme="1"/>
        <rFont val="ＭＳ Ｐゴシック"/>
        <family val="2"/>
      </rPr>
      <t>％</t>
    </r>
    <phoneticPr fontId="10"/>
  </si>
  <si>
    <r>
      <t>15</t>
    </r>
    <r>
      <rPr>
        <sz val="11"/>
        <color theme="1"/>
        <rFont val="ＭＳ Ｐゴシック"/>
        <family val="2"/>
      </rPr>
      <t>％</t>
    </r>
    <phoneticPr fontId="10"/>
  </si>
  <si>
    <r>
      <rPr>
        <sz val="11"/>
        <rFont val="ＭＳ Ｐゴシック"/>
        <family val="3"/>
        <charset val="128"/>
      </rPr>
      <t>※</t>
    </r>
    <r>
      <rPr>
        <sz val="11"/>
        <rFont val="Arial"/>
        <family val="2"/>
      </rPr>
      <t xml:space="preserve">In the case that Area is ASEAN </t>
    </r>
    <r>
      <rPr>
        <sz val="11"/>
        <rFont val="ＭＳ Ｐゴシック"/>
        <family val="3"/>
        <charset val="128"/>
      </rPr>
      <t>（</t>
    </r>
    <r>
      <rPr>
        <sz val="11"/>
        <rFont val="Arial"/>
        <family val="2"/>
      </rPr>
      <t>Group C</t>
    </r>
    <r>
      <rPr>
        <sz val="11"/>
        <rFont val="ＭＳ Ｐゴシック"/>
        <family val="3"/>
        <charset val="128"/>
      </rPr>
      <t>）</t>
    </r>
    <r>
      <rPr>
        <sz val="11"/>
        <rFont val="Arial"/>
        <family val="2"/>
      </rPr>
      <t xml:space="preserve"> and employee is regular followed by company rule </t>
    </r>
    <phoneticPr fontId="10"/>
  </si>
  <si>
    <r>
      <rPr>
        <sz val="14"/>
        <rFont val="ＭＳ Ｐゴシック"/>
        <family val="3"/>
        <charset val="128"/>
      </rPr>
      <t>■国内プラントメーカー提出見積の比較</t>
    </r>
    <rPh sb="1" eb="3">
      <t>コクナイ</t>
    </rPh>
    <rPh sb="11" eb="13">
      <t>テイシュツ</t>
    </rPh>
    <rPh sb="13" eb="15">
      <t>ミツモリ</t>
    </rPh>
    <rPh sb="16" eb="18">
      <t>ヒカク</t>
    </rPh>
    <phoneticPr fontId="10"/>
  </si>
  <si>
    <r>
      <rPr>
        <sz val="11"/>
        <color theme="1"/>
        <rFont val="ＭＳ Ｐゴシック"/>
        <family val="2"/>
      </rPr>
      <t>項　目</t>
    </r>
    <rPh sb="0" eb="1">
      <t>コウ</t>
    </rPh>
    <rPh sb="2" eb="3">
      <t>メ</t>
    </rPh>
    <phoneticPr fontId="10"/>
  </si>
  <si>
    <r>
      <rPr>
        <sz val="11"/>
        <color theme="1"/>
        <rFont val="ＭＳ Ｐゴシック"/>
        <family val="2"/>
      </rPr>
      <t>内　　容</t>
    </r>
    <rPh sb="0" eb="1">
      <t>ウチ</t>
    </rPh>
    <rPh sb="3" eb="4">
      <t>カタチ</t>
    </rPh>
    <phoneticPr fontId="10"/>
  </si>
  <si>
    <r>
      <rPr>
        <sz val="11"/>
        <color theme="1"/>
        <rFont val="ＭＳ Ｐゴシック"/>
        <family val="2"/>
      </rPr>
      <t>数量</t>
    </r>
    <rPh sb="0" eb="2">
      <t>スウリョウ</t>
    </rPh>
    <phoneticPr fontId="10"/>
  </si>
  <si>
    <r>
      <rPr>
        <sz val="11"/>
        <color theme="1"/>
        <rFont val="ＭＳ Ｐゴシック"/>
        <family val="2"/>
      </rPr>
      <t>単位</t>
    </r>
    <rPh sb="0" eb="2">
      <t>タンイ</t>
    </rPh>
    <phoneticPr fontId="10"/>
  </si>
  <si>
    <r>
      <rPr>
        <sz val="11"/>
        <color theme="1"/>
        <rFont val="ＭＳ Ｐゴシック"/>
        <family val="2"/>
      </rPr>
      <t>会社※</t>
    </r>
    <rPh sb="0" eb="2">
      <t>カイシャ</t>
    </rPh>
    <phoneticPr fontId="10"/>
  </si>
  <si>
    <r>
      <rPr>
        <sz val="11"/>
        <color theme="1"/>
        <rFont val="ＭＳ Ｐゴシック"/>
        <family val="2"/>
      </rPr>
      <t>中外
ベトナム</t>
    </r>
    <rPh sb="0" eb="2">
      <t>チュウガイ</t>
    </rPh>
    <phoneticPr fontId="10"/>
  </si>
  <si>
    <r>
      <rPr>
        <sz val="11"/>
        <color theme="1"/>
        <rFont val="ＭＳ Ｐゴシック"/>
        <family val="2"/>
      </rPr>
      <t>川重</t>
    </r>
    <rPh sb="0" eb="2">
      <t>カワジュウ</t>
    </rPh>
    <phoneticPr fontId="10"/>
  </si>
  <si>
    <r>
      <rPr>
        <sz val="11"/>
        <color theme="1"/>
        <rFont val="ＭＳ Ｐゴシック"/>
        <family val="2"/>
      </rPr>
      <t>アルストム</t>
    </r>
    <phoneticPr fontId="10"/>
  </si>
  <si>
    <r>
      <rPr>
        <sz val="11"/>
        <color theme="1"/>
        <rFont val="ＭＳ Ｐゴシック"/>
        <family val="2"/>
      </rPr>
      <t>三菱</t>
    </r>
    <rPh sb="0" eb="2">
      <t>ミツビシ</t>
    </rPh>
    <phoneticPr fontId="10"/>
  </si>
  <si>
    <r>
      <rPr>
        <sz val="11"/>
        <color theme="1"/>
        <rFont val="ＭＳ Ｐゴシック"/>
        <family val="2"/>
      </rPr>
      <t>ＩＩＣ</t>
    </r>
    <phoneticPr fontId="10"/>
  </si>
  <si>
    <r>
      <rPr>
        <sz val="11"/>
        <color theme="1"/>
        <rFont val="ＭＳ Ｐゴシック"/>
        <family val="2"/>
      </rPr>
      <t>日立プラント</t>
    </r>
    <rPh sb="0" eb="2">
      <t>ヒタチ</t>
    </rPh>
    <phoneticPr fontId="10"/>
  </si>
  <si>
    <r>
      <rPr>
        <sz val="11"/>
        <color theme="1"/>
        <rFont val="ＭＳ Ｐゴシック"/>
        <family val="2"/>
      </rPr>
      <t>荏原環境Ｐ</t>
    </r>
    <rPh sb="0" eb="2">
      <t>エバラ</t>
    </rPh>
    <rPh sb="2" eb="4">
      <t>カンキョウ</t>
    </rPh>
    <phoneticPr fontId="10"/>
  </si>
  <si>
    <r>
      <rPr>
        <sz val="11"/>
        <color theme="1"/>
        <rFont val="ＭＳ Ｐゴシック"/>
        <family val="2"/>
      </rPr>
      <t>住重</t>
    </r>
    <rPh sb="0" eb="1">
      <t>スミ</t>
    </rPh>
    <rPh sb="1" eb="2">
      <t>ジュウ</t>
    </rPh>
    <phoneticPr fontId="10"/>
  </si>
  <si>
    <r>
      <rPr>
        <sz val="11"/>
        <color theme="1"/>
        <rFont val="ＭＳ Ｐゴシック"/>
        <family val="2"/>
      </rPr>
      <t>ＭＨＩｿﾘｭｰｼｮﾝ</t>
    </r>
    <phoneticPr fontId="10"/>
  </si>
  <si>
    <r>
      <rPr>
        <sz val="11"/>
        <color theme="1"/>
        <rFont val="ＭＳ Ｐゴシック"/>
        <family val="2"/>
      </rPr>
      <t>規定</t>
    </r>
    <rPh sb="0" eb="2">
      <t>キテイ</t>
    </rPh>
    <phoneticPr fontId="10"/>
  </si>
  <si>
    <r>
      <rPr>
        <sz val="11"/>
        <color theme="1"/>
        <rFont val="ＭＳ Ｐゴシック"/>
        <family val="2"/>
      </rPr>
      <t>ＳＶ</t>
    </r>
    <phoneticPr fontId="10"/>
  </si>
  <si>
    <r>
      <rPr>
        <sz val="11"/>
        <color theme="1"/>
        <rFont val="ＭＳ Ｐゴシック"/>
        <family val="2"/>
      </rPr>
      <t>計測</t>
    </r>
    <rPh sb="0" eb="2">
      <t>ケイソク</t>
    </rPh>
    <phoneticPr fontId="10"/>
  </si>
  <si>
    <r>
      <rPr>
        <sz val="11"/>
        <color theme="1"/>
        <rFont val="ＭＳ Ｐゴシック"/>
        <family val="2"/>
      </rPr>
      <t>１．直接人件費</t>
    </r>
    <rPh sb="2" eb="4">
      <t>チョクセツ</t>
    </rPh>
    <rPh sb="4" eb="7">
      <t>ジンケンヒ</t>
    </rPh>
    <phoneticPr fontId="10"/>
  </si>
  <si>
    <r>
      <rPr>
        <sz val="11"/>
        <color theme="1"/>
        <rFont val="ＭＳ Ｐゴシック"/>
        <family val="2"/>
      </rPr>
      <t>技術料</t>
    </r>
    <rPh sb="0" eb="3">
      <t>ギジュツリョウ</t>
    </rPh>
    <phoneticPr fontId="10"/>
  </si>
  <si>
    <r>
      <rPr>
        <sz val="11"/>
        <color theme="1"/>
        <rFont val="ＭＳ Ｐゴシック"/>
        <family val="2"/>
      </rPr>
      <t>人工</t>
    </r>
    <rPh sb="0" eb="2">
      <t>ニンコウ</t>
    </rPh>
    <phoneticPr fontId="10"/>
  </si>
  <si>
    <r>
      <t>2</t>
    </r>
    <r>
      <rPr>
        <sz val="11"/>
        <color theme="1"/>
        <rFont val="ＭＳ Ｐゴシック"/>
        <family val="2"/>
      </rPr>
      <t>．直接経費</t>
    </r>
    <rPh sb="2" eb="4">
      <t>チョクセツ</t>
    </rPh>
    <rPh sb="4" eb="6">
      <t>ケイヒ</t>
    </rPh>
    <phoneticPr fontId="10"/>
  </si>
  <si>
    <r>
      <rPr>
        <sz val="11"/>
        <color theme="1"/>
        <rFont val="ＭＳ Ｐゴシック"/>
        <family val="2"/>
      </rPr>
      <t>①ビザ取得費等</t>
    </r>
    <rPh sb="3" eb="6">
      <t>シュトクヒ</t>
    </rPh>
    <rPh sb="6" eb="7">
      <t>トウ</t>
    </rPh>
    <phoneticPr fontId="10"/>
  </si>
  <si>
    <r>
      <rPr>
        <sz val="11"/>
        <color theme="1"/>
        <rFont val="ＭＳ Ｐゴシック"/>
        <family val="2"/>
      </rPr>
      <t>回</t>
    </r>
    <rPh sb="0" eb="1">
      <t>カイ</t>
    </rPh>
    <phoneticPr fontId="10"/>
  </si>
  <si>
    <r>
      <rPr>
        <sz val="11"/>
        <color theme="1"/>
        <rFont val="ＭＳ Ｐゴシック"/>
        <family val="2"/>
      </rPr>
      <t>実費</t>
    </r>
    <rPh sb="0" eb="2">
      <t>ジッピ</t>
    </rPh>
    <phoneticPr fontId="10"/>
  </si>
  <si>
    <r>
      <rPr>
        <sz val="11"/>
        <color theme="1"/>
        <rFont val="ＭＳ Ｐゴシック"/>
        <family val="2"/>
      </rPr>
      <t>②日当</t>
    </r>
    <rPh sb="1" eb="3">
      <t>ニットウ</t>
    </rPh>
    <phoneticPr fontId="10"/>
  </si>
  <si>
    <r>
      <rPr>
        <sz val="11"/>
        <color theme="1"/>
        <rFont val="ＭＳ Ｐゴシック"/>
        <family val="2"/>
      </rPr>
      <t>人・日</t>
    </r>
    <rPh sb="0" eb="1">
      <t>ニン</t>
    </rPh>
    <rPh sb="2" eb="3">
      <t>ニチ</t>
    </rPh>
    <phoneticPr fontId="10"/>
  </si>
  <si>
    <r>
      <rPr>
        <sz val="11"/>
        <color theme="1"/>
        <rFont val="ＭＳ Ｐゴシック"/>
        <family val="2"/>
      </rPr>
      <t>③宿泊費</t>
    </r>
    <rPh sb="1" eb="4">
      <t>シュクハクヒ</t>
    </rPh>
    <phoneticPr fontId="10"/>
  </si>
  <si>
    <r>
      <rPr>
        <sz val="11"/>
        <color theme="1"/>
        <rFont val="ＭＳ Ｐゴシック"/>
        <family val="2"/>
      </rPr>
      <t>人・泊</t>
    </r>
    <rPh sb="0" eb="1">
      <t>ニン</t>
    </rPh>
    <rPh sb="2" eb="3">
      <t>ハク</t>
    </rPh>
    <phoneticPr fontId="10"/>
  </si>
  <si>
    <r>
      <rPr>
        <sz val="11"/>
        <color theme="1"/>
        <rFont val="ＭＳ Ｐゴシック"/>
        <family val="2"/>
      </rPr>
      <t>支給</t>
    </r>
    <rPh sb="0" eb="2">
      <t>シキュウ</t>
    </rPh>
    <phoneticPr fontId="10"/>
  </si>
  <si>
    <r>
      <rPr>
        <sz val="11"/>
        <color theme="1"/>
        <rFont val="ＭＳ Ｐゴシック"/>
        <family val="2"/>
      </rPr>
      <t>④保険料</t>
    </r>
    <rPh sb="1" eb="3">
      <t>ホケン</t>
    </rPh>
    <rPh sb="3" eb="4">
      <t>リョウ</t>
    </rPh>
    <phoneticPr fontId="10"/>
  </si>
  <si>
    <r>
      <rPr>
        <sz val="11"/>
        <color theme="1"/>
        <rFont val="ＭＳ Ｐゴシック"/>
        <family val="2"/>
      </rPr>
      <t>式</t>
    </r>
    <rPh sb="0" eb="1">
      <t>シキ</t>
    </rPh>
    <phoneticPr fontId="10"/>
  </si>
  <si>
    <r>
      <rPr>
        <sz val="11"/>
        <color theme="1"/>
        <rFont val="ＭＳ Ｐゴシック"/>
        <family val="2"/>
      </rPr>
      <t>⑤交通費</t>
    </r>
    <rPh sb="1" eb="4">
      <t>コウツウヒ</t>
    </rPh>
    <phoneticPr fontId="10"/>
  </si>
  <si>
    <r>
      <rPr>
        <sz val="11"/>
        <color theme="1"/>
        <rFont val="ＭＳ Ｐゴシック"/>
        <family val="2"/>
      </rPr>
      <t>⑥支度金</t>
    </r>
    <rPh sb="1" eb="4">
      <t>シタクキン</t>
    </rPh>
    <phoneticPr fontId="10"/>
  </si>
  <si>
    <r>
      <rPr>
        <sz val="11"/>
        <color theme="1"/>
        <rFont val="ＭＳ Ｐゴシック"/>
        <family val="2"/>
      </rPr>
      <t>⑦通信費</t>
    </r>
    <rPh sb="1" eb="4">
      <t>ツウシンヒ</t>
    </rPh>
    <phoneticPr fontId="10"/>
  </si>
  <si>
    <r>
      <rPr>
        <sz val="11"/>
        <color theme="1"/>
        <rFont val="ＭＳ Ｐゴシック"/>
        <family val="2"/>
      </rPr>
      <t>⑧環境加算</t>
    </r>
    <rPh sb="1" eb="3">
      <t>カンキョウ</t>
    </rPh>
    <rPh sb="3" eb="5">
      <t>カサン</t>
    </rPh>
    <phoneticPr fontId="10"/>
  </si>
  <si>
    <r>
      <rPr>
        <sz val="11"/>
        <color theme="1"/>
        <rFont val="ＭＳ Ｐゴシック"/>
        <family val="2"/>
      </rPr>
      <t>日</t>
    </r>
    <rPh sb="0" eb="1">
      <t>ニチ</t>
    </rPh>
    <phoneticPr fontId="10"/>
  </si>
  <si>
    <r>
      <rPr>
        <sz val="11"/>
        <color theme="1"/>
        <rFont val="ＭＳ Ｐゴシック"/>
        <family val="2"/>
      </rPr>
      <t>⑨別居手当</t>
    </r>
    <rPh sb="1" eb="3">
      <t>ベッキョ</t>
    </rPh>
    <rPh sb="3" eb="5">
      <t>テアテ</t>
    </rPh>
    <phoneticPr fontId="10"/>
  </si>
  <si>
    <r>
      <rPr>
        <sz val="11"/>
        <color theme="1"/>
        <rFont val="ＭＳ Ｐゴシック"/>
        <family val="2"/>
      </rPr>
      <t>⑩予防注射代</t>
    </r>
    <rPh sb="1" eb="3">
      <t>ヨボウ</t>
    </rPh>
    <rPh sb="3" eb="6">
      <t>チュウシャダイ</t>
    </rPh>
    <phoneticPr fontId="10"/>
  </si>
  <si>
    <r>
      <rPr>
        <sz val="11"/>
        <color theme="1"/>
        <rFont val="ＭＳ Ｐゴシック"/>
        <family val="2"/>
      </rPr>
      <t>⑪派遣手当</t>
    </r>
    <rPh sb="1" eb="3">
      <t>ハケン</t>
    </rPh>
    <rPh sb="3" eb="5">
      <t>テアテ</t>
    </rPh>
    <phoneticPr fontId="10"/>
  </si>
  <si>
    <r>
      <rPr>
        <sz val="11"/>
        <color theme="1"/>
        <rFont val="ＭＳ Ｐゴシック"/>
        <family val="2"/>
      </rPr>
      <t>３．会社経費</t>
    </r>
    <rPh sb="2" eb="4">
      <t>カイシャ</t>
    </rPh>
    <rPh sb="4" eb="6">
      <t>ケイヒ</t>
    </rPh>
    <phoneticPr fontId="10"/>
  </si>
  <si>
    <r>
      <rPr>
        <sz val="11"/>
        <color theme="1"/>
        <rFont val="ＭＳ Ｐゴシック"/>
        <family val="2"/>
      </rPr>
      <t>１０％</t>
    </r>
    <phoneticPr fontId="10"/>
  </si>
  <si>
    <r>
      <rPr>
        <sz val="11"/>
        <color theme="1"/>
        <rFont val="ＭＳ Ｐゴシック"/>
        <family val="2"/>
      </rPr>
      <t>１５％</t>
    </r>
    <phoneticPr fontId="10"/>
  </si>
  <si>
    <r>
      <rPr>
        <sz val="11"/>
        <color theme="1"/>
        <rFont val="ＭＳ Ｐゴシック"/>
        <family val="2"/>
      </rPr>
      <t>※会社規定は、</t>
    </r>
    <r>
      <rPr>
        <sz val="11"/>
        <color theme="1"/>
        <rFont val="Arial"/>
        <family val="2"/>
      </rPr>
      <t>ASEAN</t>
    </r>
    <r>
      <rPr>
        <sz val="11"/>
        <color theme="1"/>
        <rFont val="ＭＳ Ｐゴシック"/>
        <family val="2"/>
      </rPr>
      <t>エリア（Ｃ地区）、一般とする。</t>
    </r>
    <rPh sb="1" eb="3">
      <t>カイシャ</t>
    </rPh>
    <rPh sb="3" eb="5">
      <t>キテイ</t>
    </rPh>
    <rPh sb="17" eb="19">
      <t>チク</t>
    </rPh>
    <rPh sb="21" eb="23">
      <t>イッパン</t>
    </rPh>
    <phoneticPr fontId="10"/>
  </si>
  <si>
    <r>
      <t>JPY</t>
    </r>
    <r>
      <rPr>
        <b/>
        <sz val="11"/>
        <color rgb="FFFF0000"/>
        <rFont val="ＭＳ Ｐゴシック"/>
        <family val="3"/>
        <charset val="128"/>
      </rPr>
      <t>／</t>
    </r>
    <r>
      <rPr>
        <b/>
        <sz val="11"/>
        <color rgb="FFFF0000"/>
        <rFont val="Arial"/>
        <family val="2"/>
      </rPr>
      <t>USD=</t>
    </r>
    <phoneticPr fontId="4"/>
  </si>
  <si>
    <t>66 Cao Trieu Phat, Hung Gia 4 area,</t>
  </si>
  <si>
    <t>Tan Phong ward, District 7, Ho Chi Minh city.</t>
  </si>
  <si>
    <t xml:space="preserve">           TEL +84-0-0000-0000   FAX +84-0-000-000 </t>
    <phoneticPr fontId="10"/>
  </si>
  <si>
    <t>SOx</t>
    <phoneticPr fontId="10"/>
  </si>
  <si>
    <t>NOx</t>
    <phoneticPr fontId="10"/>
  </si>
  <si>
    <t xml:space="preserve">VAT  </t>
    <phoneticPr fontId="14"/>
  </si>
  <si>
    <t>%</t>
  </si>
  <si>
    <t>VAT</t>
    <phoneticPr fontId="14"/>
  </si>
  <si>
    <r>
      <t>Currency</t>
    </r>
    <r>
      <rPr>
        <b/>
        <sz val="10"/>
        <rFont val="ＭＳ Ｐゴシック"/>
        <family val="3"/>
        <charset val="128"/>
      </rPr>
      <t>：</t>
    </r>
    <r>
      <rPr>
        <b/>
        <sz val="10"/>
        <rFont val="Arial"/>
        <family val="2"/>
      </rPr>
      <t>USD</t>
    </r>
    <phoneticPr fontId="10"/>
  </si>
  <si>
    <t xml:space="preserve">100% of total contract value shall be paid by the end of the next month when receiving a handing over and payment request. </t>
    <phoneticPr fontId="4"/>
  </si>
  <si>
    <t>Engineer</t>
    <phoneticPr fontId="10"/>
  </si>
  <si>
    <r>
      <t>NOx-O</t>
    </r>
    <r>
      <rPr>
        <vertAlign val="subscript"/>
        <sz val="11"/>
        <rFont val="Arial"/>
        <family val="2"/>
      </rPr>
      <t>2</t>
    </r>
    <r>
      <rPr>
        <sz val="11"/>
        <rFont val="Arial"/>
        <family val="2"/>
      </rPr>
      <t>-SO</t>
    </r>
    <r>
      <rPr>
        <vertAlign val="subscript"/>
        <sz val="11"/>
        <rFont val="Arial"/>
        <family val="2"/>
      </rPr>
      <t>2</t>
    </r>
    <r>
      <rPr>
        <sz val="10"/>
        <rFont val="Arial"/>
        <family val="2"/>
      </rPr>
      <t xml:space="preserve"> monitor</t>
    </r>
    <phoneticPr fontId="10"/>
  </si>
  <si>
    <r>
      <t>CO</t>
    </r>
    <r>
      <rPr>
        <vertAlign val="subscript"/>
        <sz val="11"/>
        <rFont val="Arial"/>
        <family val="2"/>
      </rPr>
      <t>2</t>
    </r>
    <r>
      <rPr>
        <sz val="11"/>
        <rFont val="Arial"/>
        <family val="2"/>
      </rPr>
      <t>-CO-O</t>
    </r>
    <r>
      <rPr>
        <vertAlign val="subscript"/>
        <sz val="11"/>
        <rFont val="Arial"/>
        <family val="2"/>
      </rPr>
      <t>2</t>
    </r>
    <r>
      <rPr>
        <sz val="10"/>
        <rFont val="Arial"/>
        <family val="2"/>
      </rPr>
      <t xml:space="preserve"> monitor</t>
    </r>
    <phoneticPr fontId="10"/>
  </si>
  <si>
    <t>Pump</t>
    <phoneticPr fontId="4"/>
  </si>
  <si>
    <t>Flow meter</t>
    <phoneticPr fontId="4"/>
  </si>
  <si>
    <t>Consumables
unit price</t>
    <phoneticPr fontId="4"/>
  </si>
  <si>
    <r>
      <t xml:space="preserve">The name of </t>
    </r>
    <r>
      <rPr>
        <sz val="11"/>
        <rFont val="ＭＳ Ｐ明朝"/>
        <family val="1"/>
        <charset val="128"/>
      </rPr>
      <t>ｃ</t>
    </r>
    <r>
      <rPr>
        <sz val="11"/>
        <rFont val="Times New Roman"/>
        <family val="1"/>
      </rPr>
      <t>onsumables</t>
    </r>
    <phoneticPr fontId="4"/>
  </si>
  <si>
    <t>Consumables
unit price</t>
    <phoneticPr fontId="4"/>
  </si>
  <si>
    <t>Unit</t>
    <phoneticPr fontId="19"/>
  </si>
  <si>
    <t>Daily payment</t>
    <phoneticPr fontId="4"/>
  </si>
  <si>
    <r>
      <t>Site name</t>
    </r>
    <r>
      <rPr>
        <sz val="12"/>
        <rFont val="ＭＳ Ｐゴシック"/>
        <family val="3"/>
        <charset val="128"/>
      </rPr>
      <t>：</t>
    </r>
    <phoneticPr fontId="4"/>
  </si>
  <si>
    <r>
      <t>Creation Date</t>
    </r>
    <r>
      <rPr>
        <sz val="10.5"/>
        <rFont val="ＭＳ Ｐゴシック"/>
        <family val="3"/>
        <charset val="128"/>
      </rPr>
      <t>：</t>
    </r>
    <phoneticPr fontId="10"/>
  </si>
  <si>
    <t>http://www.chugai-tec-vn.com/jp</t>
    <phoneticPr fontId="4"/>
  </si>
  <si>
    <t>Twenty Four</t>
    <phoneticPr fontId="4"/>
  </si>
  <si>
    <t>only</t>
    <phoneticPr fontId="4"/>
  </si>
  <si>
    <t>Thirty</t>
    <phoneticPr fontId="4"/>
  </si>
  <si>
    <t xml:space="preserve"> VAT</t>
    <phoneticPr fontId="4"/>
  </si>
  <si>
    <t xml:space="preserve"> </t>
    <phoneticPr fontId="4"/>
  </si>
  <si>
    <t>Trip</t>
    <phoneticPr fontId="10"/>
  </si>
  <si>
    <t>Taxi,Air</t>
    <phoneticPr fontId="4"/>
  </si>
  <si>
    <t>Total</t>
    <phoneticPr fontId="4"/>
  </si>
  <si>
    <t>This service will be carried out only in Japan. The data of service will be used only in Japan. It will not be used in Vietnam.</t>
    <phoneticPr fontId="4"/>
  </si>
  <si>
    <t>The above contract value includes direct labor, direct, company cost and so on.</t>
    <phoneticPr fontId="4"/>
  </si>
  <si>
    <t>The above contract value is full-package price, including direct labor, direct, consalting, company cost and so on.</t>
    <phoneticPr fontId="4"/>
  </si>
  <si>
    <t>The above contract value is full-package price, including direct labor, direct , inspection, company cost and so on.</t>
    <phoneticPr fontId="4"/>
  </si>
  <si>
    <t>(3)</t>
  </si>
  <si>
    <t>01</t>
    <phoneticPr fontId="4"/>
  </si>
  <si>
    <t>Vietnam</t>
    <phoneticPr fontId="4"/>
  </si>
  <si>
    <t>Custom procedure</t>
    <phoneticPr fontId="4"/>
  </si>
  <si>
    <t>Preparation</t>
    <phoneticPr fontId="4"/>
  </si>
  <si>
    <t>Transportation</t>
    <phoneticPr fontId="4"/>
  </si>
  <si>
    <t>Meeting</t>
    <phoneticPr fontId="4"/>
  </si>
  <si>
    <t>Transportation</t>
    <phoneticPr fontId="4"/>
  </si>
  <si>
    <t>Measurement</t>
    <phoneticPr fontId="4"/>
  </si>
  <si>
    <t>Chugai Technos</t>
    <phoneticPr fontId="4"/>
  </si>
  <si>
    <t>Taxi</t>
    <phoneticPr fontId="4"/>
  </si>
  <si>
    <t>Yazaki</t>
    <phoneticPr fontId="4"/>
  </si>
  <si>
    <t>Shipping procedure</t>
    <phoneticPr fontId="4"/>
  </si>
  <si>
    <t>Report</t>
    <phoneticPr fontId="4"/>
  </si>
  <si>
    <t>Clearance</t>
    <phoneticPr fontId="4"/>
  </si>
  <si>
    <t>02</t>
    <phoneticPr fontId="4"/>
  </si>
  <si>
    <t>USD/VND=</t>
    <phoneticPr fontId="4"/>
  </si>
  <si>
    <t>Million</t>
    <phoneticPr fontId="4"/>
  </si>
  <si>
    <t>Six</t>
    <phoneticPr fontId="4"/>
  </si>
  <si>
    <t>Hundred</t>
    <phoneticPr fontId="4"/>
  </si>
  <si>
    <t>Thousand</t>
    <phoneticPr fontId="4"/>
  </si>
  <si>
    <t>Vietnamese Dong</t>
    <phoneticPr fontId="4"/>
  </si>
  <si>
    <t>VND</t>
    <phoneticPr fontId="4"/>
  </si>
  <si>
    <t>UNIT</t>
    <phoneticPr fontId="4"/>
  </si>
  <si>
    <t>VND</t>
    <phoneticPr fontId="4"/>
  </si>
  <si>
    <t>04</t>
    <phoneticPr fontId="4"/>
  </si>
  <si>
    <t>18-Apr-17</t>
    <phoneticPr fontId="4"/>
  </si>
  <si>
    <t>PT Inspection for container welding lines</t>
    <phoneticPr fontId="4"/>
  </si>
  <si>
    <t>DENKA ADVANCED MATERIALS VIETNAM CO.,LTD</t>
    <phoneticPr fontId="4"/>
  </si>
  <si>
    <t>QCTVN201704-01</t>
    <phoneticPr fontId="4"/>
  </si>
  <si>
    <t>(1)</t>
    <phoneticPr fontId="4"/>
  </si>
  <si>
    <t>(2)</t>
  </si>
  <si>
    <t>2.</t>
    <phoneticPr fontId="4"/>
  </si>
  <si>
    <t>1.</t>
    <phoneticPr fontId="4"/>
  </si>
  <si>
    <t>0900870366</t>
    <phoneticPr fontId="4"/>
  </si>
  <si>
    <t>One Hundred Three</t>
    <phoneticPr fontId="4"/>
  </si>
  <si>
    <t>DENKA ADVANCED MATERIALS VIETNAM CO.,LTD</t>
    <phoneticPr fontId="4"/>
  </si>
  <si>
    <t>General Director</t>
    <phoneticPr fontId="4"/>
  </si>
  <si>
    <t>DAV</t>
    <phoneticPr fontId="4"/>
  </si>
  <si>
    <t>+84-221-3974-805</t>
    <phoneticPr fontId="4"/>
  </si>
  <si>
    <t>Plot D-5, Thang Long Industrial Park II, Lieu Xa Commune 3, Yen My District, Hung Yen Province, Vietnam</t>
    <phoneticPr fontId="4"/>
  </si>
  <si>
    <t>CÔNG TY TNHH CHUGAI TECHNOS VIỆT NAM</t>
  </si>
  <si>
    <t>CỘNG HÒA XÃ HỘI CHỦ NGHĨA VIỆT NAM</t>
  </si>
  <si>
    <t>HỢP ĐỒNG DỊCH VỤ</t>
  </si>
  <si>
    <t>Số hợp đồng:</t>
  </si>
  <si>
    <t>- Căn cứ luật dân sự số 33/2005/QH11 do Quốc Hội ban hành ngày 14 tháng 6 năm 2005.
- Căn cứ luật thương mại số 36/2005/QH11 do Quốc Hội ban hành ngày 14 tháng 6 năm 2005.</t>
  </si>
  <si>
    <t>－Dựa trên nhu cầu và khả năng của cả hai bên.</t>
  </si>
  <si>
    <t>Hợp đồng này được làm vào ngày 18 tháng 04 năm 2017 giữa hai bên</t>
  </si>
  <si>
    <t>Bên A</t>
  </si>
  <si>
    <t>CÔNG TY TNHH VẬT LIỆU MỚI DENKA VIỆT NAM</t>
  </si>
  <si>
    <t>Ông YOSHIO SASAKI</t>
  </si>
  <si>
    <t>Tổng giám đốc</t>
  </si>
  <si>
    <t>Địa chỉ:</t>
  </si>
  <si>
    <t>Trên đây gọi là bên A</t>
  </si>
  <si>
    <t>Bên B</t>
  </si>
  <si>
    <t>Ông MASAMI OUE</t>
  </si>
  <si>
    <t>Người đại diện</t>
  </si>
  <si>
    <t>Chức vụ</t>
  </si>
  <si>
    <t>Địa chỉ</t>
  </si>
  <si>
    <t>Điện thoại</t>
  </si>
  <si>
    <t>Fax</t>
  </si>
  <si>
    <t>Mã số thuế</t>
  </si>
  <si>
    <t>66 Cao Triều Phát, khu phố Hưng Gia 4, Phường Tân Phong, Quận 7, Tp.HCM, Việt Nam</t>
  </si>
  <si>
    <t>Chủ tài khoản</t>
  </si>
  <si>
    <t>Số tài khoản</t>
  </si>
  <si>
    <t>Ngân hàng</t>
  </si>
  <si>
    <t>Trên đây gọi là bên B</t>
  </si>
  <si>
    <t>Hai bên đã đồng ý ký hợp đồng với các điều khoản và điều kiện sau đây:</t>
  </si>
  <si>
    <t>ĐIỀU I: DỊCH VỤ</t>
  </si>
  <si>
    <t>Bên B đồng ý cung cấp cho Bên A dịch vụ sau.</t>
  </si>
  <si>
    <t xml:space="preserve">Tên dịch vụ </t>
  </si>
  <si>
    <t>Kiểm tra PT mối hàn của thùng chứa</t>
  </si>
  <si>
    <t>Địa điểm</t>
  </si>
  <si>
    <t>Quốc gia</t>
  </si>
  <si>
    <t>Việt Nam</t>
  </si>
  <si>
    <t>Thời gian</t>
  </si>
  <si>
    <t>Từ</t>
  </si>
  <si>
    <t>Đến</t>
  </si>
  <si>
    <t>24/04/2017</t>
  </si>
  <si>
    <t>03/05/2017</t>
  </si>
  <si>
    <t>Ngày</t>
  </si>
  <si>
    <t>Tất cả các dịch vụ do Bên B cung cấp được liệt kê trong báo giá kèm theo là một phần không thể tách rời của hợp đồng này.</t>
  </si>
  <si>
    <t xml:space="preserve">Số báo giá </t>
  </si>
  <si>
    <t>(Bằng chữ: Một trăm lẻ ba triệu sáu trăm nghìn đồng)</t>
  </si>
  <si>
    <t>Giá trị hợp đồng trên bao gồm chi phí nhân công, chi phí trực tiếp.</t>
  </si>
  <si>
    <t>Thuế được loại trừ khỏi giá trị hợp đồng. Nếu bên A có bất kỳ ưu đãi thuế nào, bên A phải chứng minh cho bên B để thanh toán tiền thuế.</t>
  </si>
  <si>
    <t>Giá trên được tính dựa trên điều kiện hiện tại. Sau khi kiểm tra tình trạng cuối cùng, nếu có bất kỳ chi phí phát sinh sẽ được thảo luận với quý công ty.</t>
  </si>
  <si>
    <t>Thanh toán bằng chuyển khoản ngân hàng Việt Nam đồng như sau:</t>
  </si>
  <si>
    <t>Trong trường hợp thanh toán trễ, bên A phải chịu phạt theo lãi suất của ngân hàng Sumitomo Mitsui Banking Vietnam và thời gian chờ thanh toán chậm.</t>
  </si>
  <si>
    <t>Trong trường hợp có sự thay đổi thời gian thực hiện dịch vụ, Bên A sẽ liên hệ trực tiếp với Bên B bằng điện thoại: (+ 84-8-5410-9111) hoặc bằng Fax: (84-8-5410-9222) sớm nhất có thể. Bên B có trách nhiệm giải quyết vấn đề nhanh nhất có thể.</t>
  </si>
  <si>
    <t>Trách nhiệm của mỗi bên được diễn tả dưới đây:</t>
  </si>
  <si>
    <t>Bên A phải nêu rõ yêu cầu bên A cho bên B trước khi ký hợp đồng.</t>
  </si>
  <si>
    <t>Bên A sẽ hợp tác với bên B trong quá trình kiểm tra dịch vụ.</t>
  </si>
  <si>
    <t>Bên A và Bên B không được phép tiết lộ thông tin bí mật cho bên thứ ba (bao gồm tất cả các nội dung của hợp đồng này) trong quá trình ký kết và thực hiện hợp đồng, trước và sau khi chấm dứt hoặc hết hạn hợp đồng.</t>
  </si>
  <si>
    <t>Kiểm tra PT của bể chứa lò hơi V921A, kiểm tra ăn mòn và phá hủy</t>
  </si>
  <si>
    <t>Bàn giao bản báo cáo kiểm tra</t>
  </si>
  <si>
    <t>Bên A phải thông báo cho Bên B ngày kết thúc dịch vụ trước khi kết thúc.</t>
  </si>
  <si>
    <t>Bên B phải cung cấp cho Bên A biên bản bàn giao sau khi dịch vụ kết thúc.</t>
  </si>
  <si>
    <t>Mọi thông báo giữa hai bên sẽ được gửi đến các địa chỉ sau:</t>
  </si>
  <si>
    <t>Hai bên phải thông báo cho nhau về tiến độ công việc. Bất kỳ vấn đề phát sinh từ thỏa thuận này sẽ được ưu tiên giải quyết bằng cách thảo luận theo cách thức hợp tác. Đơn phương chấm dứt hợp đồng sẽ không được chấp nhận.</t>
  </si>
  <si>
    <t>Trong trường hợp không giải quyết được tranh chấp giữa hai bên thì Trung Tâm Trọng Tài Quốc Tế Việt Nam thuộc Phòng Thương Mại và Công nghiệp Việt Nam giải quyết.</t>
  </si>
  <si>
    <t>Nếu tranh chấp không thể giải quyết bởi trọng tài thì bên A hoặc bên B hoặc cả hai bên có thể yêu cầu Toà kinh tế tại thành phố Hồ Chí Minh xem xét và giải quyết các tranh chấp đó và quyết định của Toà án là cuối cùng và ràng buộc đối với cả hai bên.</t>
  </si>
  <si>
    <t>ĐIỀU IX: ĐIỀU KIỆN CHUNG</t>
  </si>
  <si>
    <t>Hai bên đồng ý thực hiện đầy đủ các điều khoản và điều kiện quy định trong hợp đồng này.
Mọi thay đổi đối với hợp đồng này phải được sự đồng ý và bổ sung bằng văn bản có chữ ký hợp lệ của người đại diện có thẩm quyền của cả hai bên.</t>
  </si>
  <si>
    <t>Hợp đồng này được làm thành 02 bản gốc bằng tiếng Anh và 02 bản gốc bằng tiếng Việt, tất cả các bản tiếng Anh đều được ưu tiên. Mỗi bên giữ 01 bản bằng tiếng Anh và 01 bản tiếng Việt.</t>
  </si>
  <si>
    <t>Trong trường hợp có sự khác biệt giữa bản tiếng Việt và tiếng Anh, phiên bản tiếng Anh sẽ được sử dụng làm cơ sở để giải thích và tham khảo.</t>
  </si>
  <si>
    <t>BÊN A</t>
  </si>
  <si>
    <t>BÊN B</t>
  </si>
  <si>
    <t>Lô D-5, Khu công nghiệp Thăng Long II, Xã Liêu Xá 3, Huyện Yên Mỹ, Tỉnh Hưng Yên, Việt Nam</t>
  </si>
  <si>
    <t>100% tổng giá trị hợp đồng sẽ được thanh toán vào trước cuối tháng tiếp theo bằng chuyển khoản ngân hàng sau khi bên A nhận được báo cáo.</t>
  </si>
  <si>
    <t xml:space="preserve"> CÔNG TY TNHH CHUGAI TECHNOS VIỆT NAM </t>
  </si>
  <si>
    <t xml:space="preserve">66 Cao Triều Phát, Khu phố Hưng Gia 4, Phường Tân Phong, Quận 7, Tp.HCM </t>
  </si>
  <si>
    <t>Điện thoại：08-5410-9111 ；　Fax：08-5410-9222</t>
  </si>
  <si>
    <t xml:space="preserve">Website： </t>
  </si>
  <si>
    <t>BÁO GIÁ DỊCH VỤ</t>
  </si>
  <si>
    <t>Ngày：</t>
  </si>
  <si>
    <t>18/04/2017</t>
  </si>
  <si>
    <t>Date：</t>
  </si>
  <si>
    <t>Số：</t>
  </si>
  <si>
    <t>Quotation：</t>
  </si>
  <si>
    <t>Công ty：</t>
  </si>
  <si>
    <t>To：</t>
  </si>
  <si>
    <t>Địa chỉ：</t>
  </si>
  <si>
    <t>Add：</t>
  </si>
  <si>
    <t>Điện thoại：</t>
  </si>
  <si>
    <t>Tel ：</t>
  </si>
  <si>
    <t>Fax：</t>
  </si>
  <si>
    <t>Kính gửi quý công ty, chúng tôi xin gửi báo giá như sau:</t>
  </si>
  <si>
    <t>Dịch vụ:</t>
  </si>
  <si>
    <t>Tổng giá:</t>
  </si>
  <si>
    <t>Chi phí nhân công</t>
  </si>
  <si>
    <t xml:space="preserve">Chi phí </t>
  </si>
  <si>
    <t>Tổng cộng:</t>
  </si>
  <si>
    <t xml:space="preserve"> </t>
  </si>
  <si>
    <t>Giá trên không bao gồm 10% VAT</t>
  </si>
  <si>
    <t>Điều kiện:</t>
  </si>
  <si>
    <t>－</t>
  </si>
  <si>
    <t>Hiệu lực：</t>
  </si>
  <si>
    <t>90 ngày</t>
  </si>
  <si>
    <t>Thời gian：</t>
  </si>
  <si>
    <t>Giá dịch vụ：</t>
  </si>
  <si>
    <t>Giá trên căn cứ vào điều kiện hiện tại. Sau khi kiểm tra điều kiện cuối cùng. Nếu có bất kỳ chi phí phát sinh sẽ được thảo luận cùng quý công ty.</t>
  </si>
  <si>
    <t>Nội dung：</t>
  </si>
  <si>
    <t>Sản phẩm：</t>
  </si>
  <si>
    <t>Bản báo cáo kiểm tra</t>
  </si>
  <si>
    <t>Thanh toán：</t>
  </si>
  <si>
    <t>100 % giá trị hợp đồng sẽ được thanh toán trước cuối tháng tiếp theo bằng chuyển khoản sau khi bên A nhận được báo cáo.</t>
  </si>
  <si>
    <t>Chữ ký và đóng dấu công ty</t>
  </si>
  <si>
    <t>Lô D-5, Khu Công Nghiệp Thăng Long II, Xã Liêu Xá 3, Huyện Yên Mỹ, Tỉnh Hưng Yên, Việt Nam</t>
  </si>
  <si>
    <t>CHI TIẾT BÁO GIÁ</t>
  </si>
  <si>
    <t>御   見   積   書</t>
  </si>
  <si>
    <t>Ngày:</t>
  </si>
  <si>
    <t>日本プラントメーカー   御中</t>
  </si>
  <si>
    <t>ジャカルタボイラ性能試験</t>
  </si>
  <si>
    <t xml:space="preserve">              　　社長      大 上　政 視</t>
  </si>
  <si>
    <t>66 Cao Triều Phát, Khu phố Hưng Gia 4, Phường Tân Phong, Quận 7, Tp.HCM , Việt Nam</t>
  </si>
  <si>
    <t>件   名</t>
  </si>
  <si>
    <t>首題の件に関し下記の通り御見積申し上げます</t>
  </si>
  <si>
    <t>Điện thoại: +84-8-5410-9111   Fax: +84-8-5410-9222</t>
  </si>
  <si>
    <t>B．Overtime Money</t>
  </si>
  <si>
    <t>Địa điểm：</t>
  </si>
  <si>
    <t>Currency：JPY</t>
  </si>
  <si>
    <t>場      所</t>
  </si>
  <si>
    <t>インドネシア･ジャカルタ</t>
  </si>
  <si>
    <t>Phụ trách báo giá：</t>
  </si>
  <si>
    <t>Ông Masami Oue</t>
  </si>
  <si>
    <t>Holiday(Sat and Sun）</t>
  </si>
  <si>
    <t>有効期間</t>
  </si>
  <si>
    <t>見積責任者：</t>
  </si>
  <si>
    <t>Mục</t>
  </si>
  <si>
    <t>Nội dung</t>
  </si>
  <si>
    <t>Số lượng</t>
  </si>
  <si>
    <t>Đơn vị</t>
  </si>
  <si>
    <t>Đơn giá (VNĐ)</t>
  </si>
  <si>
    <t>Giá (VNĐ)</t>
  </si>
  <si>
    <t>項  目</t>
  </si>
  <si>
    <t>内                     容</t>
  </si>
  <si>
    <t>数  量</t>
  </si>
  <si>
    <t>単  位</t>
  </si>
  <si>
    <t>単    価</t>
  </si>
  <si>
    <t>金      額</t>
  </si>
  <si>
    <t>　　１．直接人件費</t>
  </si>
  <si>
    <t>Ｂ．ベトナム法による残業代</t>
  </si>
  <si>
    <t>(1)</t>
  </si>
  <si>
    <t>Chuẩn bị và dọn dẹp</t>
  </si>
  <si>
    <t>（２）</t>
  </si>
  <si>
    <t>機材準備及び整備</t>
  </si>
  <si>
    <t>人･日</t>
  </si>
  <si>
    <t>基本給</t>
  </si>
  <si>
    <t>基本単価
（Ａ）</t>
  </si>
  <si>
    <t>平日</t>
  </si>
  <si>
    <t>休日(土日）</t>
  </si>
  <si>
    <t>祝祭日</t>
  </si>
  <si>
    <t>（３）</t>
  </si>
  <si>
    <t>通関手続き</t>
  </si>
  <si>
    <t>通常</t>
  </si>
  <si>
    <t>深夜</t>
  </si>
  <si>
    <t>Báo cáo</t>
  </si>
  <si>
    <t>※Ａ＝Basic Salary／22days／8 hours</t>
  </si>
  <si>
    <t>（４）</t>
  </si>
  <si>
    <t>報告書作成（社内）</t>
  </si>
  <si>
    <t>Tổng</t>
  </si>
  <si>
    <t>（５）</t>
  </si>
  <si>
    <t>現地作業</t>
  </si>
  <si>
    <t>①技術員</t>
  </si>
  <si>
    <t>Chi phí</t>
  </si>
  <si>
    <t>②　〃　時間外、休日</t>
  </si>
  <si>
    <t>人･Hr</t>
  </si>
  <si>
    <t>Chi phí di chuyển</t>
  </si>
  <si>
    <t>③主任技師(日本人）</t>
  </si>
  <si>
    <t>Khách sạn</t>
  </si>
  <si>
    <t>④　〃　時間外、休日</t>
  </si>
  <si>
    <t>※Ａ＝基本給／22日／８ｈｒ</t>
  </si>
  <si>
    <t>Trợ cấp công tác</t>
  </si>
  <si>
    <t>小計　</t>
  </si>
  <si>
    <t>※深夜とは、22時～６時。</t>
  </si>
  <si>
    <t>Chi phí thiết bị</t>
  </si>
  <si>
    <t>　　２．直接経費</t>
  </si>
  <si>
    <t>（１）</t>
  </si>
  <si>
    <t>交通費</t>
  </si>
  <si>
    <t>一</t>
  </si>
  <si>
    <t>式</t>
  </si>
  <si>
    <t>※Accommodation fee is actual cost including breakfast.</t>
  </si>
  <si>
    <t>宿泊費（実費）</t>
  </si>
  <si>
    <t>人･泊</t>
  </si>
  <si>
    <t>※宿泊は、朝食を含む実費とする。</t>
  </si>
  <si>
    <t>※Daily allowance is from departure day to arrival day.</t>
  </si>
  <si>
    <t>日当</t>
  </si>
  <si>
    <t>（別表による）</t>
  </si>
  <si>
    <t>※日当は、出発した日から、帰着した日までが対象。</t>
  </si>
  <si>
    <t>機材運送費</t>
  </si>
  <si>
    <t>機器損料</t>
  </si>
  <si>
    <t>（６）</t>
  </si>
  <si>
    <t>消耗品</t>
  </si>
  <si>
    <t>※Immunization should be charged an actual cost price including man-hour spent</t>
  </si>
  <si>
    <t>（７）</t>
  </si>
  <si>
    <t>その他経費</t>
  </si>
  <si>
    <t>※予防注射等はすべて実費請求。要した工数（時間）も請求となる。</t>
  </si>
  <si>
    <t>①ビザ取得費</t>
  </si>
  <si>
    <t>②保険料</t>
  </si>
  <si>
    <t>③その他</t>
  </si>
  <si>
    <t>　　３．分析費</t>
  </si>
  <si>
    <t>検体</t>
  </si>
  <si>
    <r>
      <t>SO</t>
    </r>
    <r>
      <rPr>
        <vertAlign val="subscript"/>
        <sz val="11"/>
        <rFont val="Times New Roman"/>
        <family val="1"/>
      </rPr>
      <t>3</t>
    </r>
  </si>
  <si>
    <r>
      <t>NH</t>
    </r>
    <r>
      <rPr>
        <vertAlign val="subscript"/>
        <sz val="11"/>
        <rFont val="Times New Roman"/>
        <family val="1"/>
      </rPr>
      <t>3</t>
    </r>
  </si>
  <si>
    <t>HCl</t>
    <phoneticPr fontId="10"/>
  </si>
  <si>
    <t>　　４．会社経費</t>
  </si>
  <si>
    <t>％</t>
  </si>
  <si>
    <t>業務費　合計　</t>
  </si>
  <si>
    <t>Tổng giá</t>
  </si>
  <si>
    <t>合                              計</t>
  </si>
  <si>
    <t xml:space="preserve">          CÔNG TY TNHH CHUGAI TECHNOS VIỆT NAM</t>
  </si>
  <si>
    <t>BIÊN BẢN BÀN GIAO</t>
  </si>
  <si>
    <t>Chúng tôi đã hoàn thành dịch vụ, theo đó chúng tôi muốn báo cáo như dưới đây.</t>
  </si>
  <si>
    <t>Kính gửi quý công ty,</t>
  </si>
  <si>
    <t>Công ty:</t>
  </si>
  <si>
    <t>Lô D-5, Khu Công Nghiệp Thăng Long II, Xã Liêu Xá 3, Huyện Yên Mỹ, Tỉnh Hưng Yên, 
Việt Nam</t>
  </si>
  <si>
    <t>Vui lòng xác nhận dịch vụ đã được hoàn thành bằng chữ ký ở cuối biên bản bàn giao.</t>
  </si>
  <si>
    <t>Nếu quý công ty có thắc mắc, vui lòng liên hệ với chúng tôi.</t>
  </si>
  <si>
    <t>Sự hợp tác của quý công ty sẽ được đánh giá cao.</t>
  </si>
  <si>
    <t>Nội dung dịch vụ</t>
  </si>
  <si>
    <t>Báo cáo kiểm tra</t>
  </si>
  <si>
    <t>Điều kiện：</t>
  </si>
  <si>
    <t>Ngày hoàn thành dịch vụ</t>
  </si>
  <si>
    <t>Ghi chú</t>
  </si>
  <si>
    <t>Dựa vào</t>
  </si>
  <si>
    <t>Hợp đồng số</t>
  </si>
  <si>
    <t>Báo giá/Số yêu cầu thanh toán</t>
  </si>
  <si>
    <t xml:space="preserve">Tổng giá trị hợp đồng: </t>
  </si>
  <si>
    <t>103,600,000 VNĐ</t>
  </si>
  <si>
    <t>Tổng chi phí：</t>
  </si>
  <si>
    <t xml:space="preserve">               CÔNG TY TNHH CHUGAI TECHNOS VIỆT NAM</t>
  </si>
  <si>
    <t>YÊU CẦU THANH TOÁN</t>
  </si>
  <si>
    <t>Căn cứ theo hợp đồng số: CCTVN - DAV-201704-1 được làm vào ngày 18/04/2017 giữa công ty TNHH Vật Liệu Mới DENKA Việt Nam và công ty TNHH Chugai Technos Việt Nam, vui lòng chuyển khoản cho chúng tôi tổng số tiền dưới đây:</t>
  </si>
  <si>
    <t>Tổng số tiền</t>
  </si>
  <si>
    <t>VNĐ</t>
  </si>
  <si>
    <t>Vui lòng chuyển khoản đến tài khoản CÔNG TY TNHH CHUGAI TECHNOS VIỆT NAM
 như sau:</t>
  </si>
  <si>
    <t>Trân trọng</t>
  </si>
  <si>
    <t>Cảm ơn sự hợp tác của quý công ty</t>
  </si>
  <si>
    <t>Tổng tiền cần thanh toán：</t>
  </si>
  <si>
    <t>：</t>
  </si>
  <si>
    <t xml:space="preserve">    CÔNG TY TNHH CHUGAI TECHNOS VIỆT NAM</t>
  </si>
  <si>
    <t>HÓA ĐƠN</t>
  </si>
  <si>
    <t>Ngày phát hành:</t>
  </si>
  <si>
    <t>Điện thoại / Fax : +84-8-54109111/ +84-8-54109222</t>
  </si>
  <si>
    <t>KÍNH GỬI:</t>
  </si>
  <si>
    <t xml:space="preserve"> CÔNG TY TNHH VẬT LIỆU MỚI DENKA VIỆT NAM</t>
  </si>
  <si>
    <t>Địa chỉ: Lô D-5, Khu Công Nghiệp Thăng Long II, Xã Liêu Xá 3, Huyện Yên Mỹ, Tỉnh Hưng Yên, 
Việt Nam</t>
  </si>
  <si>
    <t>SỐ HÓA ĐƠN:</t>
  </si>
  <si>
    <t xml:space="preserve">NGÀY PHÁT HÀNH:  </t>
  </si>
  <si>
    <t>SỐ HỢP ĐỒNG:</t>
  </si>
  <si>
    <t>NGÀY PHÁT HÀNH:</t>
  </si>
  <si>
    <t>NỘI DUNG DỊCH VỤ</t>
  </si>
  <si>
    <t>ĐƠN GIÁ</t>
  </si>
  <si>
    <t>SỐ LƯỢNG</t>
  </si>
  <si>
    <t>Dịch vụ：</t>
  </si>
  <si>
    <t>Tổng tiền</t>
  </si>
  <si>
    <t>Tổng giám đốc:   MASAMI OUE</t>
  </si>
  <si>
    <t>Địa chỉ : 66 Cao Triều Phát, Khu phố Hưng Gia 4, Phường Tân Phong, Quận 7, Tp.HCM, Việt Nam</t>
  </si>
  <si>
    <t>No．：</t>
  </si>
  <si>
    <t>Customer：</t>
  </si>
  <si>
    <t>Year：</t>
  </si>
  <si>
    <t>Month：</t>
  </si>
  <si>
    <t>Contract date：</t>
  </si>
  <si>
    <t>MR．YOSHIO SASAKI</t>
  </si>
  <si>
    <t>Teｌ</t>
  </si>
  <si>
    <t>Sumitomo Mitsui Banking Corporation － Ho Chi Minh Branch</t>
  </si>
  <si>
    <t>1．1</t>
  </si>
  <si>
    <t>1．2</t>
  </si>
  <si>
    <t>2．1</t>
  </si>
  <si>
    <t>2．2</t>
  </si>
  <si>
    <t xml:space="preserve"> No．：</t>
  </si>
  <si>
    <t>2．3</t>
  </si>
  <si>
    <t>3．1</t>
  </si>
  <si>
    <t>3．2</t>
  </si>
  <si>
    <t>4．1</t>
  </si>
  <si>
    <r>
      <rPr>
        <b/>
        <sz val="10.5"/>
        <rFont val="Times New Roman"/>
        <family val="1"/>
      </rPr>
      <t>BÊN A：</t>
    </r>
    <r>
      <rPr>
        <sz val="10.5"/>
        <rFont val="Times New Roman"/>
        <family val="1"/>
      </rPr>
      <t>Chịu trách nhiệm:</t>
    </r>
  </si>
  <si>
    <r>
      <rPr>
        <b/>
        <sz val="10.5"/>
        <rFont val="Times New Roman"/>
        <family val="1"/>
      </rPr>
      <t>BÊN B：</t>
    </r>
    <r>
      <rPr>
        <sz val="10.5"/>
        <rFont val="Times New Roman"/>
        <family val="1"/>
      </rPr>
      <t xml:space="preserve"> Chịu trách nhiệm:</t>
    </r>
  </si>
  <si>
    <t>6．1</t>
  </si>
  <si>
    <t>6．2</t>
  </si>
  <si>
    <t>Bên A：</t>
  </si>
  <si>
    <t>Người nhận：</t>
  </si>
  <si>
    <t>Party B：</t>
  </si>
  <si>
    <t>Người nhận ：</t>
  </si>
  <si>
    <t>Period for acceptance inquiries：</t>
  </si>
  <si>
    <t>8．1</t>
  </si>
  <si>
    <t>8．2</t>
  </si>
  <si>
    <t>Party A ：</t>
  </si>
  <si>
    <t>8．3</t>
  </si>
  <si>
    <t>Party B ：</t>
  </si>
  <si>
    <t>9．1</t>
  </si>
  <si>
    <t>9．2</t>
  </si>
  <si>
    <t>original：</t>
  </si>
  <si>
    <t>Copy：</t>
  </si>
  <si>
    <t>Điều tra ngoài công trường
1 kỹ sư cho 4 ngày bao gồm ngày di chuyển</t>
  </si>
  <si>
    <t>='C:\Users\DELL\Documents\Company Job\Denka\[Quotation Denka (Vietnamese).xlsx]1.Service Contraction'!P21</t>
  </si>
  <si>
    <t>='C:\Users\DELL\Documents\Company Job\Denka\[Quotation Denka (Vietnamese).xlsx]1.Service Contraction'!P22</t>
  </si>
  <si>
    <t>+84-221-3974-805</t>
  </si>
  <si>
    <t>+84-221-3974-806</t>
  </si>
  <si>
    <t>Số báo giá:</t>
  </si>
  <si>
    <t>ĐIỀU II: GIÁ TRỊ HỢP ĐỒNG</t>
  </si>
  <si>
    <t>ĐIỀU III: PHƯƠNG THỨC THANH TOÁN</t>
  </si>
  <si>
    <t>ĐIỀU IV: BẢO HÀNH</t>
  </si>
  <si>
    <t>ĐIỀU V: TRÁCH NHIỆM CỦA MỖI BÊN</t>
  </si>
  <si>
    <t>ĐIỀU VI: KẾT THÚC DỊCH VỤ</t>
  </si>
  <si>
    <t>ĐIỀU VII: THÔNG BÁO ĐỊA CHỈ</t>
  </si>
  <si>
    <t>ĐIỀU VIII: GIẢI QUYẾT TRANH CHẤP</t>
  </si>
  <si>
    <t xml:space="preserve">  Độc lập - Tự do - Hạnh phúc</t>
  </si>
  <si>
    <t>11/05/2017</t>
  </si>
  <si>
    <t>18 ngày</t>
  </si>
  <si>
    <t>11/5/2017</t>
  </si>
</sst>
</file>

<file path=xl/styles.xml><?xml version="1.0" encoding="utf-8"?>
<styleSheet xmlns="http://schemas.openxmlformats.org/spreadsheetml/2006/main" xmlns:mc="http://schemas.openxmlformats.org/markup-compatibility/2006" xmlns:x14ac="http://schemas.microsoft.com/office/spreadsheetml/2009/9/ac" mc:Ignorable="x14ac">
  <numFmts count="24">
    <numFmt numFmtId="7" formatCode="&quot;$&quot;#,##0.00_);\(&quot;$&quot;#,##0.00\)"/>
    <numFmt numFmtId="164" formatCode="[$-409]d\-mmm\-yy;@"/>
    <numFmt numFmtId="165" formatCode="[$-409]dd\-mmm\-yy;@"/>
    <numFmt numFmtId="166" formatCode="0.0_ "/>
    <numFmt numFmtId="167" formatCode="m/d;@"/>
    <numFmt numFmtId="168" formatCode="h:mm;@"/>
    <numFmt numFmtId="169" formatCode="#,##0.0&quot; Hr&quot;"/>
    <numFmt numFmtId="170" formatCode="m&quot;月&quot;d&quot;日&quot;;@"/>
    <numFmt numFmtId="171" formatCode="&quot;購買依頼　NO．　&quot;@"/>
    <numFmt numFmtId="172" formatCode="&quot;作番　&quot;@"/>
    <numFmt numFmtId="173" formatCode="#,###"/>
    <numFmt numFmtId="174" formatCode="[$-409]d\-mmm;@"/>
    <numFmt numFmtId="175" formatCode="0_ "/>
    <numFmt numFmtId="176" formatCode="#,###,###"/>
    <numFmt numFmtId="177" formatCode="#,###.00"/>
    <numFmt numFmtId="178" formatCode="[$-411]ggge&quot;年&quot;m&quot;月&quot;d&quot;日&quot;;@"/>
    <numFmt numFmtId="179" formatCode="&quot;¥&quot;#,###&quot;－&quot;"/>
    <numFmt numFmtId="180" formatCode="0.0"/>
    <numFmt numFmtId="181" formatCode="#,##0.000;[Red]\-#,##0.000"/>
    <numFmt numFmtId="182" formatCode="###&quot;days&quot;"/>
    <numFmt numFmtId="183" formatCode="#,##0.0;[Red]\-#,##0.0"/>
    <numFmt numFmtId="184" formatCode="#,##0.00_ "/>
    <numFmt numFmtId="185" formatCode="&quot;VNĐ &quot;#,###"/>
    <numFmt numFmtId="186" formatCode="[$-1010000]d/m/yyyy;@"/>
  </numFmts>
  <fonts count="67">
    <font>
      <sz val="11"/>
      <color theme="1"/>
      <name val="Calibri"/>
      <family val="2"/>
      <scheme val="minor"/>
    </font>
    <font>
      <sz val="11"/>
      <color theme="1"/>
      <name val="Calibri"/>
      <family val="2"/>
      <charset val="128"/>
      <scheme val="minor"/>
    </font>
    <font>
      <sz val="11"/>
      <color theme="1"/>
      <name val="Calibri"/>
      <family val="2"/>
      <charset val="128"/>
      <scheme val="minor"/>
    </font>
    <font>
      <sz val="11"/>
      <color theme="1"/>
      <name val="Calibri"/>
      <family val="2"/>
      <scheme val="minor"/>
    </font>
    <font>
      <sz val="6"/>
      <name val="Calibri"/>
      <family val="3"/>
      <charset val="128"/>
      <scheme val="minor"/>
    </font>
    <font>
      <sz val="11"/>
      <color theme="1"/>
      <name val="ＭＳ Ｐゴシック"/>
      <family val="2"/>
    </font>
    <font>
      <sz val="11"/>
      <color theme="1"/>
      <name val="Arial"/>
      <family val="2"/>
    </font>
    <font>
      <sz val="11"/>
      <color rgb="FFFF0000"/>
      <name val="Arial"/>
      <family val="2"/>
    </font>
    <font>
      <sz val="11"/>
      <name val="Arial"/>
      <family val="2"/>
    </font>
    <font>
      <sz val="11"/>
      <color rgb="FFFF0000"/>
      <name val="ＭＳ Ｐゴシック"/>
      <family val="3"/>
      <charset val="128"/>
    </font>
    <font>
      <sz val="6"/>
      <name val="ＭＳ Ｐゴシック"/>
      <family val="3"/>
      <charset val="128"/>
    </font>
    <font>
      <sz val="11"/>
      <name val="ＭＳ Ｐゴシック"/>
      <family val="3"/>
      <charset val="128"/>
    </font>
    <font>
      <sz val="14"/>
      <name val="ＭＳ Ｐゴシック"/>
      <family val="3"/>
      <charset val="128"/>
    </font>
    <font>
      <sz val="10.5"/>
      <name val="ＭＳ Ｐゴシック"/>
      <family val="3"/>
      <charset val="128"/>
    </font>
    <font>
      <sz val="12"/>
      <name val="ＭＳ Ｐゴシック"/>
      <family val="3"/>
      <charset val="128"/>
    </font>
    <font>
      <b/>
      <sz val="10"/>
      <name val="ＭＳ Ｐゴシック"/>
      <family val="3"/>
      <charset val="128"/>
    </font>
    <font>
      <sz val="10"/>
      <name val="ＭＳ Ｐゴシック"/>
      <family val="3"/>
      <charset val="128"/>
    </font>
    <font>
      <b/>
      <sz val="12"/>
      <name val="ＭＳ ゴシック"/>
      <family val="3"/>
      <charset val="128"/>
    </font>
    <font>
      <b/>
      <sz val="12"/>
      <color rgb="FFFF0000"/>
      <name val="ＭＳ ゴシック"/>
      <family val="3"/>
      <charset val="128"/>
    </font>
    <font>
      <sz val="11"/>
      <name val="明朝"/>
      <family val="1"/>
      <charset val="128"/>
    </font>
    <font>
      <sz val="10"/>
      <name val="Arial"/>
      <family val="2"/>
    </font>
    <font>
      <vertAlign val="subscript"/>
      <sz val="11"/>
      <name val="Arial"/>
      <family val="2"/>
    </font>
    <font>
      <sz val="11"/>
      <name val="ＭＳ Ｐゴシック"/>
      <family val="2"/>
    </font>
    <font>
      <sz val="12"/>
      <name val="Arial"/>
      <family val="2"/>
    </font>
    <font>
      <sz val="10.5"/>
      <name val="Arial"/>
      <family val="2"/>
    </font>
    <font>
      <sz val="9"/>
      <name val="Arial"/>
      <family val="2"/>
    </font>
    <font>
      <b/>
      <sz val="10.5"/>
      <color rgb="FFFF0000"/>
      <name val="Arial"/>
      <family val="2"/>
    </font>
    <font>
      <b/>
      <sz val="12"/>
      <color rgb="FFFF0000"/>
      <name val="Arial"/>
      <family val="2"/>
    </font>
    <font>
      <b/>
      <sz val="12"/>
      <name val="Arial"/>
      <family val="2"/>
    </font>
    <font>
      <b/>
      <sz val="10"/>
      <name val="Arial"/>
      <family val="2"/>
    </font>
    <font>
      <sz val="14"/>
      <name val="Arial"/>
      <family val="2"/>
    </font>
    <font>
      <sz val="7"/>
      <name val="Arial"/>
      <family val="2"/>
    </font>
    <font>
      <b/>
      <sz val="11"/>
      <color rgb="FFFF0000"/>
      <name val="Arial"/>
      <family val="2"/>
    </font>
    <font>
      <b/>
      <sz val="11"/>
      <color rgb="FFFF0000"/>
      <name val="ＭＳ Ｐゴシック"/>
      <family val="3"/>
      <charset val="128"/>
    </font>
    <font>
      <sz val="11"/>
      <name val="Times New Roman"/>
      <family val="1"/>
    </font>
    <font>
      <sz val="18"/>
      <name val="Times New Roman"/>
      <family val="1"/>
    </font>
    <font>
      <b/>
      <sz val="12"/>
      <name val="Times New Roman"/>
      <family val="1"/>
    </font>
    <font>
      <sz val="16"/>
      <name val="Times New Roman"/>
      <family val="1"/>
    </font>
    <font>
      <b/>
      <sz val="11"/>
      <name val="Times New Roman"/>
      <family val="1"/>
    </font>
    <font>
      <sz val="10"/>
      <name val="Times New Roman"/>
      <family val="1"/>
    </font>
    <font>
      <b/>
      <sz val="16"/>
      <name val="Times New Roman"/>
      <family val="1"/>
    </font>
    <font>
      <u/>
      <sz val="11"/>
      <name val="Times New Roman"/>
      <family val="1"/>
    </font>
    <font>
      <b/>
      <sz val="10"/>
      <name val="Times New Roman"/>
      <family val="1"/>
    </font>
    <font>
      <sz val="9"/>
      <name val="Times New Roman"/>
      <family val="1"/>
    </font>
    <font>
      <vertAlign val="subscript"/>
      <sz val="11"/>
      <name val="Times New Roman"/>
      <family val="1"/>
    </font>
    <font>
      <sz val="10.5"/>
      <name val="Times New Roman"/>
      <family val="1"/>
    </font>
    <font>
      <sz val="12"/>
      <name val="Times New Roman"/>
      <family val="1"/>
    </font>
    <font>
      <sz val="6"/>
      <name val="Times New Roman"/>
      <family val="1"/>
    </font>
    <font>
      <sz val="8"/>
      <name val="Times New Roman"/>
      <family val="1"/>
    </font>
    <font>
      <b/>
      <sz val="10.5"/>
      <name val="Times New Roman"/>
      <family val="1"/>
    </font>
    <font>
      <u/>
      <sz val="14"/>
      <name val="Times New Roman"/>
      <family val="1"/>
    </font>
    <font>
      <sz val="7"/>
      <name val="Times New Roman"/>
      <family val="1"/>
    </font>
    <font>
      <sz val="11"/>
      <name val="ＭＳ Ｐ明朝"/>
      <family val="1"/>
      <charset val="128"/>
    </font>
    <font>
      <sz val="10.5"/>
      <color rgb="FFFF0000"/>
      <name val="Times New Roman"/>
      <family val="1"/>
    </font>
    <font>
      <sz val="10.5"/>
      <color theme="3" tint="0.39997558519241921"/>
      <name val="Times New Roman"/>
      <family val="1"/>
    </font>
    <font>
      <sz val="10.5"/>
      <color theme="9" tint="-0.249977111117893"/>
      <name val="Times New Roman"/>
      <family val="1"/>
    </font>
    <font>
      <b/>
      <sz val="20"/>
      <name val="Times New Roman"/>
      <family val="1"/>
    </font>
    <font>
      <b/>
      <i/>
      <sz val="11"/>
      <name val="Times New Roman"/>
      <family val="1"/>
    </font>
    <font>
      <sz val="11"/>
      <color rgb="FFFF0000"/>
      <name val="Times New Roman"/>
      <family val="1"/>
    </font>
    <font>
      <b/>
      <sz val="14"/>
      <name val="Times New Roman"/>
      <family val="1"/>
    </font>
    <font>
      <sz val="22"/>
      <name val="Times New Roman"/>
      <family val="1"/>
    </font>
    <font>
      <sz val="11"/>
      <color theme="1"/>
      <name val="Times New Roman"/>
      <family val="1"/>
    </font>
    <font>
      <b/>
      <u/>
      <sz val="11"/>
      <name val="Times New Roman"/>
      <family val="1"/>
    </font>
    <font>
      <sz val="20"/>
      <name val="Times New Roman"/>
      <family val="1"/>
    </font>
    <font>
      <b/>
      <u/>
      <sz val="10.5"/>
      <name val="Times New Roman"/>
      <family val="1"/>
    </font>
    <font>
      <u/>
      <sz val="10.5"/>
      <name val="Times New Roman"/>
      <family val="1"/>
    </font>
    <font>
      <sz val="8.8000000000000007"/>
      <name val="Times New Roman"/>
      <family val="1"/>
    </font>
  </fonts>
  <fills count="16">
    <fill>
      <patternFill patternType="none"/>
    </fill>
    <fill>
      <patternFill patternType="gray125"/>
    </fill>
    <fill>
      <patternFill patternType="solid">
        <fgColor theme="9" tint="0.59999389629810485"/>
        <bgColor indexed="64"/>
      </patternFill>
    </fill>
    <fill>
      <patternFill patternType="solid">
        <fgColor indexed="44"/>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6" tint="0.79998168889431442"/>
        <bgColor indexed="64"/>
      </patternFill>
    </fill>
    <fill>
      <patternFill patternType="solid">
        <fgColor rgb="FFFCD5B4"/>
        <bgColor indexed="64"/>
      </patternFill>
    </fill>
    <fill>
      <patternFill patternType="solid">
        <fgColor theme="0"/>
        <bgColor indexed="64"/>
      </patternFill>
    </fill>
    <fill>
      <patternFill patternType="solid">
        <fgColor theme="8" tint="0.59999389629810485"/>
        <bgColor indexed="64"/>
      </patternFill>
    </fill>
    <fill>
      <patternFill patternType="solid">
        <fgColor rgb="FFFFFF00"/>
        <bgColor indexed="64"/>
      </patternFill>
    </fill>
    <fill>
      <patternFill patternType="solid">
        <fgColor indexed="9"/>
        <bgColor indexed="9"/>
      </patternFill>
    </fill>
    <fill>
      <patternFill patternType="solid">
        <fgColor indexed="9"/>
        <bgColor indexed="26"/>
      </patternFill>
    </fill>
    <fill>
      <patternFill patternType="solid">
        <fgColor indexed="47"/>
        <bgColor indexed="9"/>
      </patternFill>
    </fill>
    <fill>
      <patternFill patternType="solid">
        <fgColor indexed="9"/>
        <bgColor indexed="64"/>
      </patternFill>
    </fill>
    <fill>
      <patternFill patternType="solid">
        <fgColor theme="4" tint="0.39997558519241921"/>
        <bgColor indexed="26"/>
      </patternFill>
    </fill>
  </fills>
  <borders count="151">
    <border>
      <left/>
      <right/>
      <top/>
      <bottom/>
      <diagonal/>
    </border>
    <border>
      <left/>
      <right/>
      <top/>
      <bottom style="double">
        <color indexed="64"/>
      </bottom>
      <diagonal/>
    </border>
    <border>
      <left/>
      <right/>
      <top style="double">
        <color indexed="64"/>
      </top>
      <bottom/>
      <diagonal/>
    </border>
    <border>
      <left/>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dotted">
        <color indexed="64"/>
      </bottom>
      <diagonal/>
    </border>
    <border>
      <left/>
      <right/>
      <top style="double">
        <color indexed="64"/>
      </top>
      <bottom style="dotted">
        <color indexed="64"/>
      </bottom>
      <diagonal/>
    </border>
    <border>
      <left/>
      <right style="thin">
        <color indexed="64"/>
      </right>
      <top style="double">
        <color indexed="64"/>
      </top>
      <bottom style="dotted">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style="medium">
        <color indexed="64"/>
      </right>
      <top style="hair">
        <color indexed="64"/>
      </top>
      <bottom style="medium">
        <color indexed="64"/>
      </bottom>
      <diagonal/>
    </border>
    <border>
      <left style="thin">
        <color indexed="64"/>
      </left>
      <right/>
      <top style="hair">
        <color auto="1"/>
      </top>
      <bottom style="thin">
        <color auto="1"/>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bottom style="hair">
        <color indexed="64"/>
      </bottom>
      <diagonal/>
    </border>
    <border>
      <left style="medium">
        <color indexed="64"/>
      </left>
      <right style="medium">
        <color indexed="64"/>
      </right>
      <top/>
      <bottom style="hair">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hair">
        <color indexed="64"/>
      </top>
      <bottom/>
      <diagonal/>
    </border>
    <border>
      <left/>
      <right style="thin">
        <color indexed="64"/>
      </right>
      <top/>
      <bottom/>
      <diagonal/>
    </border>
    <border>
      <left style="medium">
        <color indexed="64"/>
      </left>
      <right style="medium">
        <color indexed="64"/>
      </right>
      <top/>
      <bottom/>
      <diagonal/>
    </border>
    <border>
      <left style="thin">
        <color indexed="64"/>
      </left>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double">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dotted">
        <color indexed="64"/>
      </top>
      <bottom/>
      <diagonal/>
    </border>
    <border>
      <left style="thin">
        <color indexed="64"/>
      </left>
      <right style="thin">
        <color indexed="64"/>
      </right>
      <top style="dotted">
        <color indexed="64"/>
      </top>
      <bottom/>
      <diagonal/>
    </border>
    <border>
      <left style="double">
        <color indexed="64"/>
      </left>
      <right style="thin">
        <color indexed="64"/>
      </right>
      <top style="dotted">
        <color indexed="64"/>
      </top>
      <bottom/>
      <diagonal/>
    </border>
    <border>
      <left style="thin">
        <color indexed="64"/>
      </left>
      <right/>
      <top style="dotted">
        <color indexed="64"/>
      </top>
      <bottom/>
      <diagonal/>
    </border>
    <border>
      <left style="thin">
        <color indexed="64"/>
      </left>
      <right style="medium">
        <color indexed="64"/>
      </right>
      <top style="dotted">
        <color indexed="64"/>
      </top>
      <bottom style="dotted">
        <color indexed="64"/>
      </bottom>
      <diagonal/>
    </border>
    <border>
      <left style="double">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style="dotted">
        <color indexed="64"/>
      </bottom>
      <diagonal/>
    </border>
    <border>
      <left style="medium">
        <color indexed="64"/>
      </left>
      <right style="thin">
        <color indexed="64"/>
      </right>
      <top style="dotted">
        <color indexed="64"/>
      </top>
      <bottom style="dotted">
        <color indexed="64"/>
      </bottom>
      <diagonal/>
    </border>
    <border>
      <left style="thin">
        <color indexed="64"/>
      </left>
      <right style="medium">
        <color indexed="64"/>
      </right>
      <top/>
      <bottom style="dotted">
        <color indexed="64"/>
      </bottom>
      <diagonal/>
    </border>
    <border>
      <left style="thin">
        <color indexed="64"/>
      </left>
      <right style="thin">
        <color indexed="64"/>
      </right>
      <top/>
      <bottom style="dotted">
        <color indexed="64"/>
      </bottom>
      <diagonal/>
    </border>
    <border>
      <left style="double">
        <color indexed="64"/>
      </left>
      <right style="thin">
        <color indexed="64"/>
      </right>
      <top/>
      <bottom style="dotted">
        <color indexed="64"/>
      </bottom>
      <diagonal/>
    </border>
    <border>
      <left style="thin">
        <color indexed="64"/>
      </left>
      <right/>
      <top/>
      <bottom style="dotted">
        <color indexed="64"/>
      </bottom>
      <diagonal/>
    </border>
    <border>
      <left style="medium">
        <color indexed="64"/>
      </left>
      <right style="thin">
        <color indexed="64"/>
      </right>
      <top/>
      <bottom style="dotted">
        <color indexed="64"/>
      </bottom>
      <diagonal/>
    </border>
    <border>
      <left style="thin">
        <color indexed="64"/>
      </left>
      <right style="thin">
        <color indexed="64"/>
      </right>
      <top style="thin">
        <color indexed="64"/>
      </top>
      <bottom style="dotted">
        <color indexed="64"/>
      </bottom>
      <diagonal/>
    </border>
    <border>
      <left style="medium">
        <color indexed="64"/>
      </left>
      <right style="thin">
        <color indexed="64"/>
      </right>
      <top style="thin">
        <color indexed="64"/>
      </top>
      <bottom style="dotted">
        <color indexed="64"/>
      </bottom>
      <diagonal/>
    </border>
    <border>
      <left style="thin">
        <color indexed="64"/>
      </left>
      <right style="medium">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double">
        <color indexed="64"/>
      </right>
      <top style="thin">
        <color indexed="64"/>
      </top>
      <bottom/>
      <diagonal/>
    </border>
    <border>
      <left style="thin">
        <color indexed="64"/>
      </left>
      <right style="thin">
        <color indexed="64"/>
      </right>
      <top/>
      <bottom/>
      <diagonal/>
    </border>
    <border>
      <left style="medium">
        <color indexed="64"/>
      </left>
      <right style="thin">
        <color indexed="64"/>
      </right>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double">
        <color indexed="64"/>
      </left>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double">
        <color indexed="64"/>
      </right>
      <top style="thin">
        <color indexed="64"/>
      </top>
      <bottom style="thin">
        <color indexed="64"/>
      </bottom>
      <diagonal/>
    </border>
    <border>
      <left/>
      <right/>
      <top style="hair">
        <color indexed="64"/>
      </top>
      <bottom style="hair">
        <color indexed="64"/>
      </bottom>
      <diagonal/>
    </border>
    <border>
      <left/>
      <right style="double">
        <color indexed="64"/>
      </right>
      <top style="hair">
        <color indexed="64"/>
      </top>
      <bottom style="hair">
        <color indexed="64"/>
      </bottom>
      <diagonal/>
    </border>
    <border>
      <left/>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diagonal/>
    </border>
    <border>
      <left style="hair">
        <color indexed="64"/>
      </left>
      <right/>
      <top style="hair">
        <color indexed="64"/>
      </top>
      <bottom/>
      <diagonal/>
    </border>
    <border>
      <left/>
      <right/>
      <top/>
      <bottom style="hair">
        <color indexed="64"/>
      </bottom>
      <diagonal/>
    </border>
    <border>
      <left/>
      <right style="double">
        <color indexed="64"/>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thin">
        <color indexed="64"/>
      </top>
      <bottom style="thin">
        <color indexed="64"/>
      </bottom>
      <diagonal/>
    </border>
    <border>
      <left/>
      <right/>
      <top style="medium">
        <color indexed="64"/>
      </top>
      <bottom style="hair">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double">
        <color indexed="64"/>
      </right>
      <top style="hair">
        <color indexed="64"/>
      </top>
      <bottom style="thin">
        <color indexed="64"/>
      </bottom>
      <diagonal/>
    </border>
    <border>
      <left style="thin">
        <color indexed="64"/>
      </left>
      <right style="double">
        <color indexed="64"/>
      </right>
      <top/>
      <bottom style="hair">
        <color indexed="64"/>
      </bottom>
      <diagonal/>
    </border>
    <border>
      <left style="thin">
        <color indexed="64"/>
      </left>
      <right style="double">
        <color indexed="64"/>
      </right>
      <top style="thin">
        <color indexed="64"/>
      </top>
      <bottom style="thin">
        <color indexed="64"/>
      </bottom>
      <diagonal/>
    </border>
    <border>
      <left style="thin">
        <color indexed="64"/>
      </left>
      <right/>
      <top style="hair">
        <color indexed="64"/>
      </top>
      <bottom/>
      <diagonal/>
    </border>
    <border>
      <left style="thin">
        <color indexed="64"/>
      </left>
      <right style="double">
        <color indexed="64"/>
      </right>
      <top style="hair">
        <color indexed="64"/>
      </top>
      <bottom style="hair">
        <color indexed="64"/>
      </bottom>
      <diagonal/>
    </border>
    <border>
      <left style="thin">
        <color indexed="64"/>
      </left>
      <right/>
      <top style="thin">
        <color indexed="64"/>
      </top>
      <bottom style="hair">
        <color indexed="64"/>
      </bottom>
      <diagonal/>
    </border>
    <border>
      <left style="thin">
        <color indexed="64"/>
      </left>
      <right style="double">
        <color indexed="64"/>
      </right>
      <top style="thin">
        <color auto="1"/>
      </top>
      <bottom style="hair">
        <color auto="1"/>
      </bottom>
      <diagonal/>
    </border>
    <border>
      <left style="thin">
        <color indexed="64"/>
      </left>
      <right/>
      <top style="dotted">
        <color indexed="64"/>
      </top>
      <bottom style="thin">
        <color indexed="64"/>
      </bottom>
      <diagonal/>
    </border>
    <border>
      <left/>
      <right/>
      <top style="dotted">
        <color indexed="64"/>
      </top>
      <bottom style="dotted">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top/>
      <bottom/>
      <diagonal/>
    </border>
    <border diagonalDown="1">
      <left style="medium">
        <color indexed="64"/>
      </left>
      <right/>
      <top style="medium">
        <color indexed="64"/>
      </top>
      <bottom/>
      <diagonal style="thin">
        <color indexed="64"/>
      </diagonal>
    </border>
    <border>
      <left style="medium">
        <color indexed="64"/>
      </left>
      <right/>
      <top style="medium">
        <color indexed="64"/>
      </top>
      <bottom style="medium">
        <color indexed="64"/>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top style="thin">
        <color indexed="64"/>
      </top>
      <bottom/>
      <diagonal/>
    </border>
    <border>
      <left style="thin">
        <color indexed="64"/>
      </left>
      <right/>
      <top/>
      <bottom/>
      <diagonal/>
    </border>
    <border>
      <left style="medium">
        <color indexed="64"/>
      </left>
      <right style="medium">
        <color indexed="64"/>
      </right>
      <top style="medium">
        <color indexed="64"/>
      </top>
      <bottom style="hair">
        <color indexed="64"/>
      </bottom>
      <diagonal/>
    </border>
    <border>
      <left/>
      <right/>
      <top style="medium">
        <color indexed="64"/>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8"/>
      </left>
      <right/>
      <top/>
      <bottom/>
      <diagonal/>
    </border>
    <border>
      <left/>
      <right style="thin">
        <color indexed="8"/>
      </right>
      <top/>
      <bottom/>
      <diagonal/>
    </border>
    <border>
      <left/>
      <right style="thin">
        <color indexed="8"/>
      </right>
      <top style="thin">
        <color indexed="64"/>
      </top>
      <bottom/>
      <diagonal/>
    </border>
    <border>
      <left/>
      <right/>
      <top style="thin">
        <color indexed="64"/>
      </top>
      <bottom/>
      <diagonal/>
    </border>
    <border>
      <left style="thin">
        <color indexed="8"/>
      </left>
      <right/>
      <top style="thin">
        <color indexed="64"/>
      </top>
      <bottom/>
      <diagonal/>
    </border>
    <border>
      <left/>
      <right/>
      <top/>
      <bottom style="thin">
        <color indexed="64"/>
      </bottom>
      <diagonal/>
    </border>
    <border>
      <left/>
      <right style="double">
        <color indexed="64"/>
      </right>
      <top style="hair">
        <color indexed="64"/>
      </top>
      <bottom/>
      <diagonal/>
    </border>
    <border>
      <left/>
      <right style="thin">
        <color indexed="64"/>
      </right>
      <top style="thin">
        <color indexed="64"/>
      </top>
      <bottom style="thin">
        <color indexed="8"/>
      </bottom>
      <diagonal/>
    </border>
    <border>
      <left style="thin">
        <color indexed="8"/>
      </left>
      <right style="thin">
        <color indexed="64"/>
      </right>
      <top style="thin">
        <color indexed="8"/>
      </top>
      <bottom/>
      <diagonal/>
    </border>
    <border>
      <left/>
      <right style="thin">
        <color indexed="8"/>
      </right>
      <top style="medium">
        <color indexed="64"/>
      </top>
      <bottom style="medium">
        <color indexed="64"/>
      </bottom>
      <diagonal/>
    </border>
    <border>
      <left style="thin">
        <color indexed="8"/>
      </left>
      <right style="thin">
        <color indexed="64"/>
      </right>
      <top style="medium">
        <color indexed="64"/>
      </top>
      <bottom style="medium">
        <color indexed="64"/>
      </bottom>
      <diagonal/>
    </border>
  </borders>
  <cellStyleXfs count="7">
    <xf numFmtId="0" fontId="0" fillId="0" borderId="0"/>
    <xf numFmtId="38" fontId="3" fillId="0" borderId="0" applyFont="0" applyFill="0" applyBorder="0" applyAlignment="0" applyProtection="0">
      <alignment vertical="center"/>
    </xf>
    <xf numFmtId="0" fontId="11" fillId="0" borderId="0"/>
    <xf numFmtId="38" fontId="11" fillId="0" borderId="0" applyFont="0" applyFill="0" applyBorder="0" applyAlignment="0" applyProtection="0"/>
    <xf numFmtId="9" fontId="11" fillId="0" borderId="0" applyFont="0" applyFill="0" applyBorder="0" applyAlignment="0" applyProtection="0"/>
    <xf numFmtId="0" fontId="20" fillId="0" borderId="0"/>
    <xf numFmtId="0" fontId="2" fillId="0" borderId="0">
      <alignment vertical="center"/>
    </xf>
  </cellStyleXfs>
  <cellXfs count="940">
    <xf numFmtId="0" fontId="0" fillId="0" borderId="0" xfId="0"/>
    <xf numFmtId="0" fontId="8" fillId="0" borderId="37" xfId="2" applyFont="1" applyBorder="1" applyAlignment="1">
      <alignment horizontal="center" vertical="center" shrinkToFit="1"/>
    </xf>
    <xf numFmtId="0" fontId="8" fillId="0" borderId="0" xfId="2" applyFont="1" applyAlignment="1">
      <alignment shrinkToFit="1"/>
    </xf>
    <xf numFmtId="0" fontId="8" fillId="2" borderId="43" xfId="2" applyFont="1" applyFill="1" applyBorder="1" applyAlignment="1">
      <alignment shrinkToFit="1"/>
    </xf>
    <xf numFmtId="0" fontId="8" fillId="0" borderId="43" xfId="2" applyFont="1" applyBorder="1" applyAlignment="1">
      <alignment vertical="center" shrinkToFit="1"/>
    </xf>
    <xf numFmtId="0" fontId="8" fillId="2" borderId="20" xfId="2" applyFont="1" applyFill="1" applyBorder="1" applyAlignment="1">
      <alignment shrinkToFit="1"/>
    </xf>
    <xf numFmtId="0" fontId="8" fillId="0" borderId="20" xfId="2" applyFont="1" applyBorder="1" applyAlignment="1">
      <alignment vertical="center" shrinkToFit="1"/>
    </xf>
    <xf numFmtId="38" fontId="8" fillId="0" borderId="20" xfId="3" applyFont="1" applyBorder="1" applyAlignment="1">
      <alignment horizontal="right" shrinkToFit="1"/>
    </xf>
    <xf numFmtId="0" fontId="8" fillId="0" borderId="20" xfId="2" applyFont="1" applyBorder="1" applyAlignment="1">
      <alignment shrinkToFit="1"/>
    </xf>
    <xf numFmtId="0" fontId="8" fillId="5" borderId="20" xfId="2" applyFont="1" applyFill="1" applyBorder="1" applyAlignment="1">
      <alignment shrinkToFit="1"/>
    </xf>
    <xf numFmtId="0" fontId="8" fillId="0" borderId="20" xfId="2" applyFont="1" applyBorder="1" applyAlignment="1">
      <alignment horizontal="right" shrinkToFit="1"/>
    </xf>
    <xf numFmtId="38" fontId="8" fillId="0" borderId="20" xfId="3" applyFont="1" applyBorder="1" applyAlignment="1">
      <alignment shrinkToFit="1"/>
    </xf>
    <xf numFmtId="0" fontId="8" fillId="0" borderId="29" xfId="2" applyFont="1" applyBorder="1" applyAlignment="1">
      <alignment vertical="center" shrinkToFit="1"/>
    </xf>
    <xf numFmtId="0" fontId="8" fillId="0" borderId="29" xfId="2" applyFont="1" applyBorder="1" applyAlignment="1">
      <alignment horizontal="right" shrinkToFit="1"/>
    </xf>
    <xf numFmtId="38" fontId="8" fillId="0" borderId="29" xfId="3" applyFont="1" applyBorder="1" applyAlignment="1">
      <alignment shrinkToFit="1"/>
    </xf>
    <xf numFmtId="0" fontId="8" fillId="4" borderId="20" xfId="2" applyFont="1" applyFill="1" applyBorder="1" applyAlignment="1">
      <alignment shrinkToFit="1"/>
    </xf>
    <xf numFmtId="0" fontId="8" fillId="0" borderId="16" xfId="2" applyFont="1" applyBorder="1" applyAlignment="1">
      <alignment vertical="center" shrinkToFit="1"/>
    </xf>
    <xf numFmtId="0" fontId="8" fillId="0" borderId="16" xfId="2" applyFont="1" applyBorder="1" applyAlignment="1">
      <alignment shrinkToFit="1"/>
    </xf>
    <xf numFmtId="0" fontId="27" fillId="0" borderId="0" xfId="2" applyFont="1" applyAlignment="1"/>
    <xf numFmtId="0" fontId="28" fillId="0" borderId="0" xfId="2" applyFont="1" applyAlignment="1"/>
    <xf numFmtId="0" fontId="8" fillId="0" borderId="0" xfId="2" applyFont="1"/>
    <xf numFmtId="0" fontId="23" fillId="0" borderId="0" xfId="2" applyFont="1" applyAlignment="1">
      <alignment horizontal="center"/>
    </xf>
    <xf numFmtId="0" fontId="29" fillId="0" borderId="0" xfId="2" applyFont="1" applyAlignment="1">
      <alignment horizontal="center"/>
    </xf>
    <xf numFmtId="0" fontId="29" fillId="0" borderId="0" xfId="2" applyFont="1"/>
    <xf numFmtId="0" fontId="20" fillId="0" borderId="0" xfId="2" applyFont="1" applyAlignment="1">
      <alignment horizontal="center" vertical="center"/>
    </xf>
    <xf numFmtId="0" fontId="28" fillId="0" borderId="0" xfId="2" applyFont="1"/>
    <xf numFmtId="38" fontId="20" fillId="0" borderId="37" xfId="3" applyFont="1" applyBorder="1" applyAlignment="1">
      <alignment horizontal="center" vertical="center"/>
    </xf>
    <xf numFmtId="0" fontId="20" fillId="0" borderId="37" xfId="2" applyFont="1" applyBorder="1" applyAlignment="1">
      <alignment horizontal="center" vertical="center"/>
    </xf>
    <xf numFmtId="38" fontId="20" fillId="0" borderId="0" xfId="3" applyFont="1" applyAlignment="1">
      <alignment horizontal="center" vertical="center"/>
    </xf>
    <xf numFmtId="38" fontId="20" fillId="0" borderId="84" xfId="3" applyFont="1" applyBorder="1"/>
    <xf numFmtId="38" fontId="20" fillId="0" borderId="37" xfId="3" applyFont="1" applyBorder="1"/>
    <xf numFmtId="38" fontId="20" fillId="0" borderId="65" xfId="3" applyFont="1" applyBorder="1"/>
    <xf numFmtId="38" fontId="20" fillId="0" borderId="0" xfId="3" applyFont="1"/>
    <xf numFmtId="0" fontId="8" fillId="0" borderId="0" xfId="2" applyFont="1" applyAlignment="1">
      <alignment horizontal="left"/>
    </xf>
    <xf numFmtId="38" fontId="20" fillId="0" borderId="83" xfId="3" applyFont="1" applyBorder="1"/>
    <xf numFmtId="38" fontId="20" fillId="0" borderId="82" xfId="3" applyFont="1" applyBorder="1"/>
    <xf numFmtId="38" fontId="20" fillId="0" borderId="81" xfId="3" applyFont="1" applyBorder="1"/>
    <xf numFmtId="0" fontId="27" fillId="0" borderId="78" xfId="2" applyFont="1" applyBorder="1" applyAlignment="1">
      <alignment horizontal="center" vertical="center" wrapText="1"/>
    </xf>
    <xf numFmtId="0" fontId="27" fillId="0" borderId="125" xfId="2" applyFont="1" applyBorder="1" applyAlignment="1">
      <alignment horizontal="center" vertical="center" wrapText="1"/>
    </xf>
    <xf numFmtId="0" fontId="24" fillId="0" borderId="128" xfId="2" applyFont="1" applyBorder="1" applyAlignment="1">
      <alignment horizontal="right" wrapText="1"/>
    </xf>
    <xf numFmtId="0" fontId="27" fillId="6" borderId="129" xfId="2" applyFont="1" applyFill="1" applyBorder="1" applyAlignment="1">
      <alignment horizontal="center" vertical="center" wrapText="1"/>
    </xf>
    <xf numFmtId="0" fontId="26" fillId="6" borderId="129" xfId="2" applyFont="1" applyFill="1" applyBorder="1" applyAlignment="1">
      <alignment horizontal="center" vertical="center" wrapText="1"/>
    </xf>
    <xf numFmtId="0" fontId="8" fillId="0" borderId="0" xfId="2" applyFont="1" applyAlignment="1">
      <alignment vertical="top"/>
    </xf>
    <xf numFmtId="0" fontId="8" fillId="0" borderId="0" xfId="2" applyFont="1" applyAlignment="1">
      <alignment vertical="center"/>
    </xf>
    <xf numFmtId="0" fontId="6" fillId="0" borderId="0" xfId="0" applyFont="1" applyAlignment="1">
      <alignment horizontal="left" vertical="center" shrinkToFit="1"/>
    </xf>
    <xf numFmtId="0" fontId="30" fillId="0" borderId="0" xfId="2" applyFont="1" applyAlignment="1">
      <alignment vertical="center"/>
    </xf>
    <xf numFmtId="0" fontId="8" fillId="0" borderId="42" xfId="2" applyFont="1" applyBorder="1" applyAlignment="1">
      <alignment vertical="center"/>
    </xf>
    <xf numFmtId="0" fontId="8" fillId="0" borderId="33" xfId="2" applyFont="1" applyBorder="1" applyAlignment="1">
      <alignment vertical="center"/>
    </xf>
    <xf numFmtId="0" fontId="8" fillId="0" borderId="32" xfId="2" applyFont="1" applyBorder="1" applyAlignment="1">
      <alignment vertical="center"/>
    </xf>
    <xf numFmtId="0" fontId="8" fillId="0" borderId="25" xfId="2" applyFont="1" applyBorder="1" applyAlignment="1">
      <alignment vertical="center"/>
    </xf>
    <xf numFmtId="38" fontId="6" fillId="0" borderId="24" xfId="3" applyFont="1" applyBorder="1" applyAlignment="1">
      <alignment vertical="center"/>
    </xf>
    <xf numFmtId="38" fontId="6" fillId="0" borderId="33" xfId="3" applyFont="1" applyBorder="1" applyAlignment="1">
      <alignment vertical="center"/>
    </xf>
    <xf numFmtId="0" fontId="8" fillId="0" borderId="71" xfId="2" applyFont="1" applyBorder="1" applyAlignment="1">
      <alignment vertical="center"/>
    </xf>
    <xf numFmtId="0" fontId="8" fillId="0" borderId="20" xfId="2" applyFont="1" applyBorder="1" applyAlignment="1">
      <alignment vertical="center"/>
    </xf>
    <xf numFmtId="0" fontId="8" fillId="0" borderId="33" xfId="2" applyFont="1" applyBorder="1" applyAlignment="1">
      <alignment horizontal="center" vertical="center"/>
    </xf>
    <xf numFmtId="0" fontId="8" fillId="0" borderId="32" xfId="2" applyFont="1" applyBorder="1" applyAlignment="1">
      <alignment horizontal="center" vertical="center" shrinkToFit="1"/>
    </xf>
    <xf numFmtId="0" fontId="8" fillId="0" borderId="31" xfId="2" applyFont="1" applyBorder="1" applyAlignment="1">
      <alignment vertical="center"/>
    </xf>
    <xf numFmtId="0" fontId="8" fillId="0" borderId="20" xfId="2" applyFont="1" applyBorder="1" applyAlignment="1">
      <alignment horizontal="center" vertical="center"/>
    </xf>
    <xf numFmtId="0" fontId="8" fillId="0" borderId="23" xfId="2" applyFont="1" applyBorder="1" applyAlignment="1">
      <alignment horizontal="center" vertical="center" shrinkToFit="1"/>
    </xf>
    <xf numFmtId="0" fontId="8" fillId="0" borderId="22" xfId="2" applyFont="1" applyBorder="1" applyAlignment="1">
      <alignment vertical="center"/>
    </xf>
    <xf numFmtId="9" fontId="6" fillId="0" borderId="27" xfId="4" applyFont="1" applyFill="1" applyBorder="1" applyAlignment="1">
      <alignment vertical="center"/>
    </xf>
    <xf numFmtId="9" fontId="6" fillId="3" borderId="27" xfId="4" applyFont="1" applyFill="1" applyBorder="1" applyAlignment="1">
      <alignment vertical="center"/>
    </xf>
    <xf numFmtId="9" fontId="6" fillId="0" borderId="26" xfId="4" applyFont="1" applyFill="1" applyBorder="1" applyAlignment="1">
      <alignment vertical="center"/>
    </xf>
    <xf numFmtId="9" fontId="6" fillId="0" borderId="24" xfId="4" applyNumberFormat="1" applyFont="1" applyBorder="1" applyAlignment="1">
      <alignment vertical="center"/>
    </xf>
    <xf numFmtId="38" fontId="6" fillId="0" borderId="21" xfId="3" applyFont="1" applyBorder="1" applyAlignment="1">
      <alignment vertical="center"/>
    </xf>
    <xf numFmtId="38" fontId="6" fillId="0" borderId="20" xfId="3" applyFont="1" applyBorder="1" applyAlignment="1">
      <alignment vertical="center"/>
    </xf>
    <xf numFmtId="38" fontId="6" fillId="0" borderId="22" xfId="3" applyFont="1" applyBorder="1" applyAlignment="1">
      <alignment vertical="center"/>
    </xf>
    <xf numFmtId="38" fontId="6" fillId="0" borderId="21" xfId="3" applyFont="1" applyBorder="1" applyAlignment="1">
      <alignment horizontal="right" vertical="center"/>
    </xf>
    <xf numFmtId="38" fontId="6" fillId="0" borderId="20" xfId="3" applyFont="1" applyBorder="1" applyAlignment="1">
      <alignment horizontal="right" vertical="center"/>
    </xf>
    <xf numFmtId="0" fontId="8" fillId="0" borderId="20" xfId="2" applyFont="1" applyBorder="1" applyAlignment="1">
      <alignment vertical="center" wrapText="1"/>
    </xf>
    <xf numFmtId="0" fontId="8" fillId="0" borderId="23" xfId="2" applyFont="1" applyBorder="1" applyAlignment="1">
      <alignment vertical="center"/>
    </xf>
    <xf numFmtId="9" fontId="8" fillId="0" borderId="22" xfId="2" applyNumberFormat="1" applyFont="1" applyBorder="1" applyAlignment="1">
      <alignment horizontal="center" vertical="center"/>
    </xf>
    <xf numFmtId="38" fontId="6" fillId="0" borderId="21" xfId="3" quotePrefix="1" applyFont="1" applyBorder="1" applyAlignment="1">
      <alignment horizontal="center" vertical="center"/>
    </xf>
    <xf numFmtId="38" fontId="6" fillId="0" borderId="20" xfId="3" quotePrefix="1" applyFont="1" applyBorder="1" applyAlignment="1">
      <alignment horizontal="center" vertical="center"/>
    </xf>
    <xf numFmtId="0" fontId="8" fillId="0" borderId="16" xfId="2" applyFont="1" applyBorder="1" applyAlignment="1">
      <alignment vertical="center"/>
    </xf>
    <xf numFmtId="0" fontId="8" fillId="0" borderId="19" xfId="2" applyFont="1" applyBorder="1" applyAlignment="1">
      <alignment vertical="center"/>
    </xf>
    <xf numFmtId="38" fontId="6" fillId="0" borderId="18" xfId="3" applyFont="1" applyBorder="1" applyAlignment="1">
      <alignment vertical="center"/>
    </xf>
    <xf numFmtId="0" fontId="8" fillId="0" borderId="18" xfId="2" applyFont="1" applyBorder="1" applyAlignment="1">
      <alignment vertical="center"/>
    </xf>
    <xf numFmtId="38" fontId="6" fillId="0" borderId="17" xfId="3" applyFont="1" applyBorder="1" applyAlignment="1">
      <alignment vertical="center"/>
    </xf>
    <xf numFmtId="38" fontId="6" fillId="0" borderId="16" xfId="3" applyFont="1" applyBorder="1" applyAlignment="1">
      <alignment vertical="center"/>
    </xf>
    <xf numFmtId="0" fontId="8" fillId="0" borderId="40" xfId="2" applyFont="1" applyBorder="1" applyAlignment="1">
      <alignment horizontal="center" vertical="center" shrinkToFit="1"/>
    </xf>
    <xf numFmtId="0" fontId="8" fillId="0" borderId="35" xfId="2" applyFont="1" applyBorder="1" applyAlignment="1">
      <alignment horizontal="center" vertical="center" shrinkToFit="1"/>
    </xf>
    <xf numFmtId="0" fontId="8" fillId="0" borderId="9" xfId="2" applyFont="1" applyBorder="1" applyAlignment="1">
      <alignment horizontal="center" vertical="center" shrinkToFit="1"/>
    </xf>
    <xf numFmtId="38" fontId="6" fillId="0" borderId="21" xfId="3" applyFont="1" applyBorder="1" applyAlignment="1">
      <alignment horizontal="right" vertical="center" shrinkToFit="1"/>
    </xf>
    <xf numFmtId="0" fontId="8" fillId="7" borderId="20" xfId="2" applyFont="1" applyFill="1" applyBorder="1" applyAlignment="1">
      <alignment shrinkToFit="1"/>
    </xf>
    <xf numFmtId="40" fontId="8" fillId="0" borderId="43" xfId="3" applyNumberFormat="1" applyFont="1" applyBorder="1" applyAlignment="1">
      <alignment horizontal="right" shrinkToFit="1"/>
    </xf>
    <xf numFmtId="40" fontId="8" fillId="0" borderId="20" xfId="3" applyNumberFormat="1" applyFont="1" applyBorder="1" applyAlignment="1">
      <alignment horizontal="right" shrinkToFit="1"/>
    </xf>
    <xf numFmtId="40" fontId="8" fillId="0" borderId="20" xfId="2" applyNumberFormat="1" applyFont="1" applyBorder="1" applyAlignment="1">
      <alignment horizontal="right" shrinkToFit="1"/>
    </xf>
    <xf numFmtId="40" fontId="8" fillId="0" borderId="20" xfId="3" applyNumberFormat="1" applyFont="1" applyBorder="1" applyAlignment="1">
      <alignment shrinkToFit="1"/>
    </xf>
    <xf numFmtId="40" fontId="8" fillId="0" borderId="29" xfId="3" applyNumberFormat="1" applyFont="1" applyBorder="1" applyAlignment="1">
      <alignment shrinkToFit="1"/>
    </xf>
    <xf numFmtId="0" fontId="8" fillId="0" borderId="34" xfId="2" applyFont="1" applyBorder="1" applyAlignment="1">
      <alignment horizontal="center" vertical="center" shrinkToFit="1"/>
    </xf>
    <xf numFmtId="0" fontId="8" fillId="0" borderId="39" xfId="2" applyFont="1" applyBorder="1" applyAlignment="1">
      <alignment horizontal="center" vertical="center" shrinkToFit="1"/>
    </xf>
    <xf numFmtId="0" fontId="8" fillId="0" borderId="38" xfId="2" applyFont="1" applyBorder="1" applyAlignment="1">
      <alignment horizontal="center" vertical="center" shrinkToFit="1"/>
    </xf>
    <xf numFmtId="0" fontId="6" fillId="0" borderId="0" xfId="0" applyFont="1"/>
    <xf numFmtId="0" fontId="30" fillId="0" borderId="0" xfId="0" applyFont="1"/>
    <xf numFmtId="0" fontId="6" fillId="0" borderId="40" xfId="0" applyFont="1" applyBorder="1" applyAlignment="1">
      <alignment horizontal="center" wrapText="1"/>
    </xf>
    <xf numFmtId="0" fontId="6" fillId="0" borderId="38" xfId="0" applyFont="1" applyBorder="1" applyAlignment="1">
      <alignment horizontal="center" shrinkToFit="1"/>
    </xf>
    <xf numFmtId="0" fontId="6" fillId="0" borderId="37" xfId="0" applyFont="1" applyBorder="1" applyAlignment="1">
      <alignment horizontal="center" shrinkToFit="1"/>
    </xf>
    <xf numFmtId="0" fontId="6" fillId="0" borderId="39" xfId="0" applyFont="1" applyBorder="1" applyAlignment="1">
      <alignment horizontal="center" shrinkToFit="1"/>
    </xf>
    <xf numFmtId="0" fontId="6" fillId="0" borderId="35" xfId="0" applyFont="1" applyBorder="1" applyAlignment="1">
      <alignment horizontal="center"/>
    </xf>
    <xf numFmtId="0" fontId="6" fillId="0" borderId="9" xfId="0" applyFont="1" applyBorder="1" applyAlignment="1">
      <alignment horizontal="center" shrinkToFit="1"/>
    </xf>
    <xf numFmtId="0" fontId="6" fillId="0" borderId="34" xfId="0" applyFont="1" applyBorder="1" applyAlignment="1">
      <alignment horizontal="center" shrinkToFit="1"/>
    </xf>
    <xf numFmtId="0" fontId="6" fillId="0" borderId="33" xfId="0" applyFont="1" applyBorder="1"/>
    <xf numFmtId="0" fontId="6" fillId="0" borderId="32" xfId="0" applyFont="1" applyBorder="1"/>
    <xf numFmtId="0" fontId="6" fillId="0" borderId="25" xfId="0" applyFont="1" applyBorder="1"/>
    <xf numFmtId="38" fontId="6" fillId="0" borderId="24" xfId="3" applyFont="1" applyBorder="1"/>
    <xf numFmtId="38" fontId="6" fillId="0" borderId="33" xfId="3" applyFont="1" applyBorder="1"/>
    <xf numFmtId="0" fontId="6" fillId="0" borderId="20" xfId="0" applyFont="1" applyBorder="1"/>
    <xf numFmtId="0" fontId="6" fillId="0" borderId="33" xfId="0" applyFont="1" applyBorder="1" applyAlignment="1">
      <alignment horizontal="center"/>
    </xf>
    <xf numFmtId="0" fontId="6" fillId="0" borderId="32" xfId="0" applyFont="1" applyBorder="1" applyAlignment="1">
      <alignment horizontal="center"/>
    </xf>
    <xf numFmtId="0" fontId="6" fillId="0" borderId="31" xfId="0" applyFont="1" applyBorder="1"/>
    <xf numFmtId="38" fontId="6" fillId="0" borderId="30" xfId="3" applyFont="1" applyBorder="1"/>
    <xf numFmtId="38" fontId="6" fillId="0" borderId="29" xfId="3" applyFont="1" applyBorder="1"/>
    <xf numFmtId="0" fontId="6" fillId="0" borderId="20" xfId="0" applyFont="1" applyBorder="1" applyAlignment="1">
      <alignment horizontal="center"/>
    </xf>
    <xf numFmtId="0" fontId="6" fillId="0" borderId="23" xfId="0" applyFont="1" applyBorder="1" applyAlignment="1">
      <alignment horizontal="center"/>
    </xf>
    <xf numFmtId="0" fontId="6" fillId="0" borderId="22" xfId="0" applyFont="1" applyBorder="1"/>
    <xf numFmtId="38" fontId="6" fillId="3" borderId="28" xfId="3" applyFont="1" applyFill="1" applyBorder="1"/>
    <xf numFmtId="9" fontId="6" fillId="0" borderId="27" xfId="4" applyFont="1" applyFill="1" applyBorder="1"/>
    <xf numFmtId="9" fontId="6" fillId="3" borderId="27" xfId="4" applyFont="1" applyFill="1" applyBorder="1"/>
    <xf numFmtId="9" fontId="6" fillId="0" borderId="26" xfId="4" applyFont="1" applyFill="1" applyBorder="1"/>
    <xf numFmtId="38" fontId="6" fillId="0" borderId="25" xfId="3" applyFont="1" applyBorder="1"/>
    <xf numFmtId="9" fontId="6" fillId="0" borderId="24" xfId="4" applyNumberFormat="1" applyFont="1" applyBorder="1"/>
    <xf numFmtId="38" fontId="6" fillId="0" borderId="21" xfId="3" applyFont="1" applyBorder="1"/>
    <xf numFmtId="38" fontId="6" fillId="0" borderId="20" xfId="3" applyFont="1" applyBorder="1"/>
    <xf numFmtId="38" fontId="6" fillId="0" borderId="22" xfId="3" applyFont="1" applyBorder="1"/>
    <xf numFmtId="38" fontId="6" fillId="0" borderId="21" xfId="3" applyFont="1" applyBorder="1" applyAlignment="1">
      <alignment horizontal="right"/>
    </xf>
    <xf numFmtId="38" fontId="6" fillId="0" borderId="20" xfId="3" applyFont="1" applyBorder="1" applyAlignment="1">
      <alignment horizontal="right"/>
    </xf>
    <xf numFmtId="0" fontId="6" fillId="0" borderId="23" xfId="0" applyFont="1" applyBorder="1"/>
    <xf numFmtId="9" fontId="6" fillId="0" borderId="22" xfId="0" applyNumberFormat="1" applyFont="1" applyBorder="1" applyAlignment="1">
      <alignment horizontal="center"/>
    </xf>
    <xf numFmtId="38" fontId="6" fillId="0" borderId="21" xfId="3" quotePrefix="1" applyFont="1" applyBorder="1" applyAlignment="1">
      <alignment horizontal="center"/>
    </xf>
    <xf numFmtId="38" fontId="6" fillId="0" borderId="20" xfId="3" quotePrefix="1" applyFont="1" applyBorder="1" applyAlignment="1">
      <alignment horizontal="center"/>
    </xf>
    <xf numFmtId="0" fontId="6" fillId="0" borderId="16" xfId="0" applyFont="1" applyBorder="1"/>
    <xf numFmtId="0" fontId="6" fillId="0" borderId="19" xfId="0" applyFont="1" applyBorder="1"/>
    <xf numFmtId="38" fontId="6" fillId="0" borderId="18" xfId="3" applyFont="1" applyBorder="1"/>
    <xf numFmtId="0" fontId="6" fillId="0" borderId="18" xfId="0" applyFont="1" applyBorder="1"/>
    <xf numFmtId="38" fontId="6" fillId="0" borderId="17" xfId="3" applyFont="1" applyBorder="1"/>
    <xf numFmtId="38" fontId="6" fillId="0" borderId="16" xfId="3" applyFont="1" applyBorder="1"/>
    <xf numFmtId="0" fontId="32" fillId="0" borderId="0" xfId="2" applyFont="1" applyAlignment="1">
      <alignment horizontal="right" vertical="center"/>
    </xf>
    <xf numFmtId="0" fontId="32" fillId="0" borderId="0" xfId="2" applyFont="1" applyAlignment="1">
      <alignment horizontal="left" vertical="center"/>
    </xf>
    <xf numFmtId="0" fontId="32" fillId="0" borderId="0" xfId="2" applyFont="1" applyAlignment="1">
      <alignment vertical="center"/>
    </xf>
    <xf numFmtId="38" fontId="7" fillId="3" borderId="28" xfId="3" applyFont="1" applyFill="1" applyBorder="1" applyAlignment="1">
      <alignment vertical="center"/>
    </xf>
    <xf numFmtId="38" fontId="7" fillId="0" borderId="136" xfId="3" applyFont="1" applyFill="1" applyBorder="1" applyAlignment="1">
      <alignment vertical="center"/>
    </xf>
    <xf numFmtId="38" fontId="7" fillId="0" borderId="22" xfId="3" applyFont="1" applyBorder="1" applyAlignment="1">
      <alignment vertical="center"/>
    </xf>
    <xf numFmtId="38" fontId="7" fillId="0" borderId="30" xfId="3" applyFont="1" applyBorder="1" applyAlignment="1">
      <alignment vertical="center"/>
    </xf>
    <xf numFmtId="38" fontId="7" fillId="0" borderId="21" xfId="3" applyFont="1" applyBorder="1" applyAlignment="1">
      <alignment horizontal="right" vertical="center"/>
    </xf>
    <xf numFmtId="38" fontId="7" fillId="0" borderId="20" xfId="3" applyFont="1" applyBorder="1" applyAlignment="1">
      <alignment horizontal="right" vertical="center"/>
    </xf>
    <xf numFmtId="0" fontId="34" fillId="0" borderId="0" xfId="2" applyFont="1" applyFill="1" applyAlignment="1">
      <alignment vertical="center"/>
    </xf>
    <xf numFmtId="0" fontId="34" fillId="0" borderId="0" xfId="0" applyFont="1"/>
    <xf numFmtId="0" fontId="37" fillId="0" borderId="0" xfId="2" applyFont="1" applyFill="1" applyAlignment="1">
      <alignment vertical="center"/>
    </xf>
    <xf numFmtId="0" fontId="39" fillId="0" borderId="0" xfId="2" applyFont="1" applyFill="1" applyAlignment="1">
      <alignment vertical="center"/>
    </xf>
    <xf numFmtId="0" fontId="37" fillId="0" borderId="0" xfId="0" applyFont="1"/>
    <xf numFmtId="0" fontId="39" fillId="0" borderId="0" xfId="0" applyFont="1" applyAlignment="1"/>
    <xf numFmtId="0" fontId="34" fillId="0" borderId="0" xfId="2" applyFont="1" applyFill="1" applyAlignment="1">
      <alignment horizontal="centerContinuous" vertical="center"/>
    </xf>
    <xf numFmtId="0" fontId="34" fillId="0" borderId="0" xfId="0" applyFont="1" applyAlignment="1">
      <alignment horizontal="centerContinuous"/>
    </xf>
    <xf numFmtId="0" fontId="39" fillId="0" borderId="0" xfId="0" applyFont="1"/>
    <xf numFmtId="0" fontId="34" fillId="0" borderId="0" xfId="0" applyFont="1" applyAlignment="1">
      <alignment vertical="top"/>
    </xf>
    <xf numFmtId="0" fontId="39" fillId="0" borderId="0" xfId="0" applyFont="1" applyAlignment="1">
      <alignment vertical="center"/>
    </xf>
    <xf numFmtId="0" fontId="36" fillId="0" borderId="0" xfId="2" applyFont="1" applyFill="1" applyAlignment="1"/>
    <xf numFmtId="0" fontId="34" fillId="0" borderId="0" xfId="2" applyFont="1" applyFill="1"/>
    <xf numFmtId="0" fontId="34" fillId="0" borderId="95" xfId="2" applyFont="1" applyFill="1" applyBorder="1" applyAlignment="1">
      <alignment vertical="center" shrinkToFit="1"/>
    </xf>
    <xf numFmtId="0" fontId="42" fillId="0" borderId="0" xfId="2" applyFont="1" applyFill="1"/>
    <xf numFmtId="0" fontId="34" fillId="0" borderId="95" xfId="0" applyFont="1" applyBorder="1" applyAlignment="1">
      <alignment shrinkToFit="1"/>
    </xf>
    <xf numFmtId="0" fontId="34" fillId="0" borderId="95" xfId="2" applyFont="1" applyFill="1" applyBorder="1" applyAlignment="1">
      <alignment vertical="center"/>
    </xf>
    <xf numFmtId="0" fontId="34" fillId="0" borderId="95" xfId="0" applyFont="1" applyBorder="1"/>
    <xf numFmtId="0" fontId="34" fillId="0" borderId="0" xfId="2" applyFont="1" applyFill="1" applyBorder="1" applyAlignment="1">
      <alignment vertical="center"/>
    </xf>
    <xf numFmtId="0" fontId="34" fillId="0" borderId="0" xfId="0" applyFont="1" applyBorder="1"/>
    <xf numFmtId="0" fontId="34" fillId="0" borderId="99" xfId="2" applyFont="1" applyFill="1" applyBorder="1" applyAlignment="1">
      <alignment horizontal="centerContinuous" vertical="center"/>
    </xf>
    <xf numFmtId="0" fontId="34" fillId="0" borderId="80" xfId="2" applyFont="1" applyFill="1" applyBorder="1" applyAlignment="1">
      <alignment horizontal="centerContinuous" vertical="center"/>
    </xf>
    <xf numFmtId="0" fontId="34" fillId="0" borderId="86" xfId="2" applyFont="1" applyFill="1" applyBorder="1" applyAlignment="1">
      <alignment horizontal="centerContinuous" vertical="center" shrinkToFit="1"/>
    </xf>
    <xf numFmtId="0" fontId="34" fillId="0" borderId="80" xfId="2" applyFont="1" applyFill="1" applyBorder="1" applyAlignment="1">
      <alignment horizontal="centerContinuous" vertical="center" shrinkToFit="1"/>
    </xf>
    <xf numFmtId="38" fontId="39" fillId="0" borderId="84" xfId="3" applyFont="1" applyFill="1" applyBorder="1"/>
    <xf numFmtId="38" fontId="39" fillId="0" borderId="65" xfId="3" applyFont="1" applyFill="1" applyBorder="1"/>
    <xf numFmtId="0" fontId="34" fillId="0" borderId="99" xfId="0" applyFont="1" applyBorder="1" applyAlignment="1">
      <alignment horizontal="centerContinuous"/>
    </xf>
    <xf numFmtId="0" fontId="34" fillId="0" borderId="80" xfId="0" applyFont="1" applyBorder="1" applyAlignment="1">
      <alignment horizontal="centerContinuous"/>
    </xf>
    <xf numFmtId="0" fontId="34" fillId="0" borderId="86" xfId="0" applyFont="1" applyBorder="1" applyAlignment="1">
      <alignment horizontal="centerContinuous"/>
    </xf>
    <xf numFmtId="49" fontId="34" fillId="0" borderId="98" xfId="2" applyNumberFormat="1" applyFont="1" applyFill="1" applyBorder="1" applyAlignment="1">
      <alignment horizontal="right" vertical="center"/>
    </xf>
    <xf numFmtId="0" fontId="34" fillId="0" borderId="97" xfId="2" applyFont="1" applyFill="1" applyBorder="1" applyAlignment="1">
      <alignment horizontal="left" vertical="center"/>
    </xf>
    <xf numFmtId="0" fontId="34" fillId="0" borderId="95" xfId="2" applyFont="1" applyFill="1" applyBorder="1" applyAlignment="1">
      <alignment horizontal="left" vertical="center"/>
    </xf>
    <xf numFmtId="166" fontId="34" fillId="0" borderId="33" xfId="2" applyNumberFormat="1" applyFont="1" applyFill="1" applyBorder="1" applyAlignment="1">
      <alignment vertical="center"/>
    </xf>
    <xf numFmtId="166" fontId="34" fillId="0" borderId="33" xfId="2" applyNumberFormat="1" applyFont="1" applyFill="1" applyBorder="1" applyAlignment="1">
      <alignment horizontal="center" vertical="center"/>
    </xf>
    <xf numFmtId="3" fontId="34" fillId="0" borderId="96" xfId="2" applyNumberFormat="1" applyFont="1" applyFill="1" applyBorder="1" applyAlignment="1">
      <alignment vertical="center"/>
    </xf>
    <xf numFmtId="0" fontId="34" fillId="0" borderId="98" xfId="0" applyFont="1" applyBorder="1"/>
    <xf numFmtId="0" fontId="34" fillId="0" borderId="97" xfId="0" applyFont="1" applyBorder="1" applyAlignment="1">
      <alignment horizontal="left"/>
    </xf>
    <xf numFmtId="0" fontId="34" fillId="0" borderId="95" xfId="0" applyFont="1" applyBorder="1" applyAlignment="1"/>
    <xf numFmtId="0" fontId="34" fillId="0" borderId="95" xfId="0" applyFont="1" applyBorder="1" applyAlignment="1">
      <alignment horizontal="left"/>
    </xf>
    <xf numFmtId="166" fontId="34" fillId="0" borderId="33" xfId="0" applyNumberFormat="1" applyFont="1" applyBorder="1"/>
    <xf numFmtId="166" fontId="34" fillId="0" borderId="33" xfId="0" applyNumberFormat="1" applyFont="1" applyBorder="1" applyAlignment="1">
      <alignment horizontal="center"/>
    </xf>
    <xf numFmtId="3" fontId="34" fillId="8" borderId="96" xfId="0" applyNumberFormat="1" applyFont="1" applyFill="1" applyBorder="1"/>
    <xf numFmtId="3" fontId="34" fillId="0" borderId="95" xfId="0" applyNumberFormat="1" applyFont="1" applyBorder="1"/>
    <xf numFmtId="0" fontId="36" fillId="0" borderId="0" xfId="0" applyFont="1" applyAlignment="1"/>
    <xf numFmtId="49" fontId="34" fillId="0" borderId="91" xfId="2" applyNumberFormat="1" applyFont="1" applyFill="1" applyBorder="1" applyAlignment="1">
      <alignment horizontal="right" vertical="center"/>
    </xf>
    <xf numFmtId="166" fontId="34" fillId="0" borderId="20" xfId="2" applyNumberFormat="1" applyFont="1" applyFill="1" applyBorder="1" applyAlignment="1">
      <alignment horizontal="right" vertical="center"/>
    </xf>
    <xf numFmtId="3" fontId="34" fillId="0" borderId="88" xfId="2" applyNumberFormat="1" applyFont="1" applyFill="1" applyBorder="1" applyAlignment="1">
      <alignment vertical="center"/>
    </xf>
    <xf numFmtId="0" fontId="34" fillId="0" borderId="91" xfId="0" applyFont="1" applyBorder="1"/>
    <xf numFmtId="0" fontId="34" fillId="0" borderId="92" xfId="0" quotePrefix="1" applyFont="1" applyBorder="1" applyAlignment="1">
      <alignment horizontal="left"/>
    </xf>
    <xf numFmtId="166" fontId="34" fillId="0" borderId="20" xfId="0" applyNumberFormat="1" applyFont="1" applyBorder="1" applyAlignment="1">
      <alignment horizontal="center"/>
    </xf>
    <xf numFmtId="3" fontId="38" fillId="2" borderId="88" xfId="0" applyNumberFormat="1" applyFont="1" applyFill="1" applyBorder="1"/>
    <xf numFmtId="3" fontId="34" fillId="0" borderId="87" xfId="0" applyNumberFormat="1" applyFont="1" applyFill="1" applyBorder="1"/>
    <xf numFmtId="175" fontId="34" fillId="0" borderId="20" xfId="2" applyNumberFormat="1" applyFont="1" applyFill="1" applyBorder="1" applyAlignment="1">
      <alignment horizontal="right" vertical="center"/>
    </xf>
    <xf numFmtId="0" fontId="39" fillId="0" borderId="0" xfId="2" applyFont="1" applyFill="1" applyAlignment="1">
      <alignment horizontal="center" vertical="center"/>
    </xf>
    <xf numFmtId="0" fontId="34" fillId="0" borderId="87" xfId="0" applyFont="1" applyBorder="1" applyAlignment="1"/>
    <xf numFmtId="0" fontId="39" fillId="0" borderId="0" xfId="0" applyFont="1" applyAlignment="1">
      <alignment horizontal="center" vertical="center"/>
    </xf>
    <xf numFmtId="38" fontId="39" fillId="0" borderId="83" xfId="3" applyFont="1" applyFill="1" applyBorder="1"/>
    <xf numFmtId="38" fontId="39" fillId="0" borderId="82" xfId="3" applyFont="1" applyFill="1" applyBorder="1"/>
    <xf numFmtId="38" fontId="39" fillId="0" borderId="81" xfId="3" applyFont="1" applyFill="1" applyBorder="1"/>
    <xf numFmtId="38" fontId="39" fillId="0" borderId="0" xfId="3" applyFont="1" applyFill="1" applyAlignment="1">
      <alignment horizontal="center" vertical="center"/>
    </xf>
    <xf numFmtId="0" fontId="39" fillId="0" borderId="65" xfId="0" applyFont="1" applyBorder="1" applyAlignment="1">
      <alignment horizontal="center" vertical="center"/>
    </xf>
    <xf numFmtId="38" fontId="39" fillId="0" borderId="0" xfId="3" applyFont="1" applyAlignment="1">
      <alignment horizontal="center" vertical="center"/>
    </xf>
    <xf numFmtId="38" fontId="39" fillId="0" borderId="0" xfId="3" applyFont="1" applyFill="1"/>
    <xf numFmtId="38" fontId="39" fillId="0" borderId="0" xfId="3" applyFont="1" applyFill="1" applyAlignment="1">
      <alignment vertical="center"/>
    </xf>
    <xf numFmtId="0" fontId="34" fillId="0" borderId="92" xfId="0" quotePrefix="1" applyFont="1" applyBorder="1" applyAlignment="1"/>
    <xf numFmtId="0" fontId="34" fillId="0" borderId="21" xfId="0" applyFont="1" applyBorder="1" applyAlignment="1"/>
    <xf numFmtId="38" fontId="39" fillId="0" borderId="84" xfId="3" applyFont="1" applyBorder="1"/>
    <xf numFmtId="38" fontId="39" fillId="0" borderId="65" xfId="3" applyFont="1" applyBorder="1"/>
    <xf numFmtId="38" fontId="39" fillId="0" borderId="0" xfId="3" applyFont="1"/>
    <xf numFmtId="3" fontId="34" fillId="8" borderId="88" xfId="0" applyNumberFormat="1" applyFont="1" applyFill="1" applyBorder="1"/>
    <xf numFmtId="49" fontId="34" fillId="0" borderId="92" xfId="2" applyNumberFormat="1" applyFont="1" applyFill="1" applyBorder="1" applyAlignment="1">
      <alignment vertical="center"/>
    </xf>
    <xf numFmtId="38" fontId="39" fillId="0" borderId="0" xfId="3" applyFont="1" applyFill="1" applyBorder="1" applyAlignment="1">
      <alignment vertical="center"/>
    </xf>
    <xf numFmtId="0" fontId="34" fillId="0" borderId="92" xfId="0" applyFont="1" applyBorder="1" applyAlignment="1"/>
    <xf numFmtId="3" fontId="34" fillId="0" borderId="87" xfId="0" applyNumberFormat="1" applyFont="1" applyBorder="1"/>
    <xf numFmtId="38" fontId="39" fillId="9" borderId="84" xfId="3" applyFont="1" applyFill="1" applyBorder="1"/>
    <xf numFmtId="38" fontId="39" fillId="9" borderId="65" xfId="3" applyFont="1" applyFill="1" applyBorder="1"/>
    <xf numFmtId="3" fontId="38" fillId="2" borderId="88" xfId="0" applyNumberFormat="1" applyFont="1" applyFill="1" applyBorder="1" applyAlignment="1">
      <alignment horizontal="right"/>
    </xf>
    <xf numFmtId="38" fontId="39" fillId="0" borderId="83" xfId="3" applyFont="1" applyBorder="1"/>
    <xf numFmtId="38" fontId="39" fillId="0" borderId="82" xfId="3" applyFont="1" applyBorder="1"/>
    <xf numFmtId="38" fontId="39" fillId="0" borderId="81" xfId="3" applyFont="1" applyBorder="1"/>
    <xf numFmtId="166" fontId="34" fillId="0" borderId="20" xfId="2" applyNumberFormat="1" applyFont="1" applyFill="1" applyBorder="1" applyAlignment="1">
      <alignment horizontal="center" vertical="center"/>
    </xf>
    <xf numFmtId="166" fontId="34" fillId="0" borderId="20" xfId="2" applyNumberFormat="1" applyFont="1" applyFill="1" applyBorder="1" applyAlignment="1">
      <alignment horizontal="center" vertical="center" shrinkToFit="1"/>
    </xf>
    <xf numFmtId="3" fontId="34" fillId="0" borderId="88" xfId="0" applyNumberFormat="1" applyFont="1" applyBorder="1" applyAlignment="1">
      <alignment horizontal="center"/>
    </xf>
    <xf numFmtId="3" fontId="34" fillId="0" borderId="88" xfId="0" applyNumberFormat="1" applyFont="1" applyBorder="1"/>
    <xf numFmtId="0" fontId="34" fillId="0" borderId="92" xfId="2" applyFont="1" applyFill="1" applyBorder="1" applyAlignment="1">
      <alignment vertical="center"/>
    </xf>
    <xf numFmtId="0" fontId="34" fillId="0" borderId="87" xfId="2" applyFont="1" applyFill="1" applyBorder="1" applyAlignment="1">
      <alignment vertical="center"/>
    </xf>
    <xf numFmtId="0" fontId="34" fillId="0" borderId="21" xfId="2" applyFont="1" applyFill="1" applyBorder="1" applyAlignment="1">
      <alignment vertical="center"/>
    </xf>
    <xf numFmtId="0" fontId="38" fillId="0" borderId="0" xfId="2" applyFont="1" applyFill="1" applyAlignment="1">
      <alignment vertical="center"/>
    </xf>
    <xf numFmtId="0" fontId="38" fillId="0" borderId="0" xfId="0" applyFont="1"/>
    <xf numFmtId="166" fontId="34" fillId="0" borderId="20" xfId="0" applyNumberFormat="1" applyFont="1" applyBorder="1"/>
    <xf numFmtId="0" fontId="34" fillId="0" borderId="94" xfId="0" applyFont="1" applyBorder="1" applyAlignment="1"/>
    <xf numFmtId="0" fontId="34" fillId="0" borderId="93" xfId="0" applyFont="1" applyBorder="1" applyAlignment="1"/>
    <xf numFmtId="0" fontId="34" fillId="0" borderId="87" xfId="0" applyFont="1" applyBorder="1"/>
    <xf numFmtId="166" fontId="34" fillId="0" borderId="20" xfId="2" applyNumberFormat="1" applyFont="1" applyFill="1" applyBorder="1" applyAlignment="1">
      <alignment vertical="center"/>
    </xf>
    <xf numFmtId="166" fontId="38" fillId="2" borderId="20" xfId="0" applyNumberFormat="1" applyFont="1" applyFill="1" applyBorder="1" applyAlignment="1">
      <alignment horizontal="center"/>
    </xf>
    <xf numFmtId="166" fontId="38" fillId="0" borderId="20" xfId="2" applyNumberFormat="1" applyFont="1" applyFill="1" applyBorder="1" applyAlignment="1">
      <alignment horizontal="center" vertical="center"/>
    </xf>
    <xf numFmtId="4" fontId="34" fillId="0" borderId="88" xfId="2" applyNumberFormat="1" applyFont="1" applyFill="1" applyBorder="1" applyAlignment="1">
      <alignment vertical="center"/>
    </xf>
    <xf numFmtId="4" fontId="34" fillId="0" borderId="87" xfId="2" applyNumberFormat="1" applyFont="1" applyFill="1" applyBorder="1" applyAlignment="1">
      <alignment vertical="center"/>
    </xf>
    <xf numFmtId="0" fontId="34" fillId="0" borderId="91" xfId="2" applyFont="1" applyFill="1" applyBorder="1" applyAlignment="1">
      <alignment vertical="center"/>
    </xf>
    <xf numFmtId="166" fontId="38" fillId="0" borderId="16" xfId="2" applyNumberFormat="1" applyFont="1" applyFill="1" applyBorder="1" applyAlignment="1">
      <alignment horizontal="right" vertical="center"/>
    </xf>
    <xf numFmtId="166" fontId="38" fillId="2" borderId="16" xfId="0" applyNumberFormat="1" applyFont="1" applyFill="1" applyBorder="1" applyAlignment="1">
      <alignment horizontal="center"/>
    </xf>
    <xf numFmtId="0" fontId="34" fillId="0" borderId="0" xfId="2" applyFont="1" applyFill="1" applyAlignment="1">
      <alignment horizontal="left" vertical="center"/>
    </xf>
    <xf numFmtId="3" fontId="34" fillId="0" borderId="80" xfId="0" applyNumberFormat="1" applyFont="1" applyBorder="1"/>
    <xf numFmtId="40" fontId="28" fillId="6" borderId="45" xfId="3" applyNumberFormat="1" applyFont="1" applyFill="1" applyBorder="1" applyAlignment="1">
      <alignment horizontal="center" vertical="center" wrapText="1"/>
    </xf>
    <xf numFmtId="40" fontId="28" fillId="6" borderId="44" xfId="3" applyNumberFormat="1" applyFont="1" applyFill="1" applyBorder="1" applyAlignment="1">
      <alignment horizontal="center" vertical="center"/>
    </xf>
    <xf numFmtId="0" fontId="34" fillId="0" borderId="87" xfId="2" applyFont="1" applyFill="1" applyBorder="1" applyAlignment="1">
      <alignment vertical="center" shrinkToFit="1"/>
    </xf>
    <xf numFmtId="0" fontId="45" fillId="0" borderId="0" xfId="2" applyFont="1" applyBorder="1"/>
    <xf numFmtId="0" fontId="45" fillId="0" borderId="0" xfId="2" applyFont="1" applyBorder="1" applyAlignment="1">
      <alignment horizontal="center"/>
    </xf>
    <xf numFmtId="0" fontId="45" fillId="0" borderId="0" xfId="2" applyFont="1" applyBorder="1" applyAlignment="1">
      <alignment shrinkToFit="1"/>
    </xf>
    <xf numFmtId="0" fontId="46" fillId="0" borderId="0" xfId="2" applyFont="1" applyBorder="1"/>
    <xf numFmtId="0" fontId="46" fillId="0" borderId="3" xfId="2" applyFont="1" applyBorder="1" applyAlignment="1">
      <alignment horizontal="right"/>
    </xf>
    <xf numFmtId="0" fontId="45" fillId="0" borderId="0" xfId="2" applyFont="1" applyBorder="1" applyAlignment="1">
      <alignment horizontal="center" vertical="center"/>
    </xf>
    <xf numFmtId="0" fontId="46" fillId="0" borderId="80" xfId="2" applyFont="1" applyBorder="1" applyAlignment="1">
      <alignment horizontal="right"/>
    </xf>
    <xf numFmtId="0" fontId="45" fillId="0" borderId="3" xfId="2" applyFont="1" applyBorder="1"/>
    <xf numFmtId="0" fontId="45" fillId="0" borderId="3" xfId="2" applyFont="1" applyBorder="1" applyAlignment="1">
      <alignment horizontal="right"/>
    </xf>
    <xf numFmtId="0" fontId="43" fillId="0" borderId="66" xfId="2" applyFont="1" applyBorder="1" applyAlignment="1">
      <alignment horizontal="center" vertical="center" shrinkToFit="1"/>
    </xf>
    <xf numFmtId="0" fontId="43" fillId="0" borderId="37" xfId="2" applyFont="1" applyBorder="1" applyAlignment="1">
      <alignment horizontal="center" vertical="center" shrinkToFit="1"/>
    </xf>
    <xf numFmtId="40" fontId="45" fillId="0" borderId="66" xfId="3" applyNumberFormat="1" applyFont="1" applyBorder="1"/>
    <xf numFmtId="40" fontId="45" fillId="0" borderId="37" xfId="3" applyNumberFormat="1" applyFont="1" applyBorder="1"/>
    <xf numFmtId="0" fontId="43" fillId="0" borderId="65" xfId="2" applyFont="1" applyBorder="1" applyAlignment="1">
      <alignment horizontal="center" vertical="center" shrinkToFit="1"/>
    </xf>
    <xf numFmtId="174" fontId="45" fillId="0" borderId="64" xfId="2" applyNumberFormat="1" applyFont="1" applyBorder="1" applyAlignment="1">
      <alignment horizontal="center"/>
    </xf>
    <xf numFmtId="167" fontId="43" fillId="0" borderId="59" xfId="2" applyNumberFormat="1" applyFont="1" applyBorder="1" applyAlignment="1">
      <alignment horizontal="center"/>
    </xf>
    <xf numFmtId="40" fontId="45" fillId="0" borderId="6" xfId="3" applyNumberFormat="1" applyFont="1" applyBorder="1" applyAlignment="1">
      <alignment shrinkToFit="1"/>
    </xf>
    <xf numFmtId="174" fontId="45" fillId="0" borderId="62" xfId="2" applyNumberFormat="1" applyFont="1" applyBorder="1" applyAlignment="1">
      <alignment horizontal="center"/>
    </xf>
    <xf numFmtId="168" fontId="45" fillId="0" borderId="59" xfId="2" applyNumberFormat="1" applyFont="1" applyBorder="1" applyAlignment="1">
      <alignment shrinkToFit="1"/>
    </xf>
    <xf numFmtId="168" fontId="45" fillId="0" borderId="59" xfId="2" applyNumberFormat="1" applyFont="1" applyBorder="1" applyAlignment="1"/>
    <xf numFmtId="2" fontId="45" fillId="0" borderId="59" xfId="2" applyNumberFormat="1" applyFont="1" applyBorder="1" applyAlignment="1"/>
    <xf numFmtId="0" fontId="45" fillId="0" borderId="59" xfId="2" applyFont="1" applyBorder="1" applyAlignment="1">
      <alignment horizontal="center"/>
    </xf>
    <xf numFmtId="166" fontId="45" fillId="0" borderId="59" xfId="2" applyNumberFormat="1" applyFont="1" applyBorder="1" applyAlignment="1">
      <alignment horizontal="left"/>
    </xf>
    <xf numFmtId="3" fontId="45" fillId="0" borderId="59" xfId="2" applyNumberFormat="1" applyFont="1" applyBorder="1" applyAlignment="1">
      <alignment horizontal="center" shrinkToFit="1"/>
    </xf>
    <xf numFmtId="38" fontId="45" fillId="0" borderId="61" xfId="3" applyFont="1" applyBorder="1" applyAlignment="1">
      <alignment horizontal="center"/>
    </xf>
    <xf numFmtId="38" fontId="45" fillId="0" borderId="60" xfId="3" applyFont="1" applyBorder="1" applyAlignment="1">
      <alignment horizontal="center"/>
    </xf>
    <xf numFmtId="38" fontId="45" fillId="0" borderId="59" xfId="3" applyFont="1" applyBorder="1" applyAlignment="1">
      <alignment horizontal="center"/>
    </xf>
    <xf numFmtId="180" fontId="45" fillId="0" borderId="59" xfId="2" applyNumberFormat="1" applyFont="1" applyBorder="1" applyAlignment="1">
      <alignment horizontal="right"/>
    </xf>
    <xf numFmtId="180" fontId="45" fillId="0" borderId="58" xfId="2" applyNumberFormat="1" applyFont="1" applyBorder="1" applyAlignment="1">
      <alignment horizontal="right"/>
    </xf>
    <xf numFmtId="0" fontId="45" fillId="0" borderId="59" xfId="2" applyFont="1" applyFill="1" applyBorder="1" applyAlignment="1">
      <alignment horizontal="center"/>
    </xf>
    <xf numFmtId="166" fontId="45" fillId="0" borderId="59" xfId="2" applyNumberFormat="1" applyFont="1" applyFill="1" applyBorder="1" applyAlignment="1">
      <alignment horizontal="left"/>
    </xf>
    <xf numFmtId="38" fontId="45" fillId="0" borderId="61" xfId="3" applyFont="1" applyFill="1" applyBorder="1" applyAlignment="1">
      <alignment horizontal="center"/>
    </xf>
    <xf numFmtId="38" fontId="45" fillId="0" borderId="60" xfId="3" applyFont="1" applyFill="1" applyBorder="1" applyAlignment="1">
      <alignment horizontal="center"/>
    </xf>
    <xf numFmtId="180" fontId="45" fillId="0" borderId="59" xfId="2" applyNumberFormat="1" applyFont="1" applyFill="1" applyBorder="1" applyAlignment="1">
      <alignment horizontal="right"/>
    </xf>
    <xf numFmtId="180" fontId="45" fillId="0" borderId="58" xfId="2" applyNumberFormat="1" applyFont="1" applyFill="1" applyBorder="1" applyAlignment="1">
      <alignment horizontal="right"/>
    </xf>
    <xf numFmtId="0" fontId="45" fillId="0" borderId="0" xfId="2" applyFont="1" applyFill="1" applyBorder="1"/>
    <xf numFmtId="0" fontId="45" fillId="0" borderId="58" xfId="2" applyFont="1" applyBorder="1" applyAlignment="1">
      <alignment horizontal="right"/>
    </xf>
    <xf numFmtId="0" fontId="45" fillId="0" borderId="58" xfId="2" applyFont="1" applyBorder="1" applyAlignment="1">
      <alignment horizontal="center"/>
    </xf>
    <xf numFmtId="3" fontId="45" fillId="0" borderId="59" xfId="2" applyNumberFormat="1" applyFont="1" applyBorder="1" applyAlignment="1">
      <alignment horizontal="center"/>
    </xf>
    <xf numFmtId="168" fontId="45" fillId="0" borderId="6" xfId="2" applyNumberFormat="1" applyFont="1" applyBorder="1" applyAlignment="1"/>
    <xf numFmtId="0" fontId="45" fillId="0" borderId="6" xfId="2" applyFont="1" applyBorder="1" applyAlignment="1">
      <alignment horizontal="center"/>
    </xf>
    <xf numFmtId="166" fontId="45" fillId="0" borderId="6" xfId="2" applyNumberFormat="1" applyFont="1" applyBorder="1" applyAlignment="1">
      <alignment horizontal="left"/>
    </xf>
    <xf numFmtId="3" fontId="45" fillId="0" borderId="6" xfId="2" applyNumberFormat="1" applyFont="1" applyBorder="1" applyAlignment="1">
      <alignment horizontal="center"/>
    </xf>
    <xf numFmtId="38" fontId="45" fillId="0" borderId="55" xfId="3" applyFont="1" applyBorder="1" applyAlignment="1">
      <alignment horizontal="center"/>
    </xf>
    <xf numFmtId="38" fontId="45" fillId="0" borderId="54" xfId="3" applyFont="1" applyBorder="1" applyAlignment="1">
      <alignment horizontal="center"/>
    </xf>
    <xf numFmtId="38" fontId="45" fillId="0" borderId="6" xfId="3" applyFont="1" applyBorder="1" applyAlignment="1">
      <alignment horizontal="center"/>
    </xf>
    <xf numFmtId="180" fontId="45" fillId="0" borderId="6" xfId="2" applyNumberFormat="1" applyFont="1" applyBorder="1" applyAlignment="1">
      <alignment horizontal="right"/>
    </xf>
    <xf numFmtId="0" fontId="45" fillId="0" borderId="53" xfId="2" applyFont="1" applyBorder="1" applyAlignment="1">
      <alignment horizontal="center"/>
    </xf>
    <xf numFmtId="168" fontId="45" fillId="0" borderId="6" xfId="2" applyNumberFormat="1" applyFont="1" applyBorder="1" applyAlignment="1">
      <alignment shrinkToFit="1"/>
    </xf>
    <xf numFmtId="174" fontId="45" fillId="0" borderId="57" xfId="2" applyNumberFormat="1" applyFont="1" applyBorder="1" applyAlignment="1">
      <alignment horizontal="center"/>
    </xf>
    <xf numFmtId="0" fontId="45" fillId="0" borderId="50" xfId="2" applyFont="1" applyBorder="1" applyAlignment="1">
      <alignment horizontal="center"/>
    </xf>
    <xf numFmtId="166" fontId="45" fillId="0" borderId="50" xfId="2" applyNumberFormat="1" applyFont="1" applyBorder="1" applyAlignment="1">
      <alignment horizontal="left"/>
    </xf>
    <xf numFmtId="3" fontId="45" fillId="0" borderId="50" xfId="2" applyNumberFormat="1" applyFont="1" applyBorder="1" applyAlignment="1">
      <alignment horizontal="center"/>
    </xf>
    <xf numFmtId="40" fontId="45" fillId="0" borderId="133" xfId="3" applyNumberFormat="1" applyFont="1" applyBorder="1" applyAlignment="1">
      <alignment shrinkToFit="1"/>
    </xf>
    <xf numFmtId="38" fontId="45" fillId="0" borderId="52" xfId="3" applyFont="1" applyBorder="1" applyAlignment="1">
      <alignment horizontal="center"/>
    </xf>
    <xf numFmtId="38" fontId="45" fillId="0" borderId="51" xfId="3" applyFont="1" applyBorder="1" applyAlignment="1">
      <alignment horizontal="center"/>
    </xf>
    <xf numFmtId="0" fontId="45" fillId="0" borderId="49" xfId="2" applyFont="1" applyBorder="1" applyAlignment="1">
      <alignment horizontal="center"/>
    </xf>
    <xf numFmtId="167" fontId="49" fillId="0" borderId="48" xfId="2" applyNumberFormat="1" applyFont="1" applyFill="1" applyBorder="1" applyAlignment="1">
      <alignment horizontal="center"/>
    </xf>
    <xf numFmtId="167" fontId="49" fillId="0" borderId="27" xfId="2" applyNumberFormat="1" applyFont="1" applyFill="1" applyBorder="1" applyAlignment="1">
      <alignment horizontal="center"/>
    </xf>
    <xf numFmtId="168" fontId="49" fillId="0" borderId="45" xfId="2" applyNumberFormat="1" applyFont="1" applyFill="1" applyBorder="1" applyAlignment="1">
      <alignment shrinkToFit="1"/>
    </xf>
    <xf numFmtId="168" fontId="49" fillId="0" borderId="45" xfId="2" applyNumberFormat="1" applyFont="1" applyFill="1" applyBorder="1" applyAlignment="1"/>
    <xf numFmtId="0" fontId="49" fillId="0" borderId="45" xfId="2" applyFont="1" applyFill="1" applyBorder="1" applyAlignment="1"/>
    <xf numFmtId="166" fontId="49" fillId="0" borderId="45" xfId="2" applyNumberFormat="1" applyFont="1" applyFill="1" applyBorder="1" applyAlignment="1">
      <alignment horizontal="left"/>
    </xf>
    <xf numFmtId="3" fontId="49" fillId="0" borderId="45" xfId="2" applyNumberFormat="1" applyFont="1" applyFill="1" applyBorder="1" applyAlignment="1">
      <alignment horizontal="center"/>
    </xf>
    <xf numFmtId="40" fontId="49" fillId="0" borderId="47" xfId="3" applyNumberFormat="1" applyFont="1" applyFill="1" applyBorder="1" applyAlignment="1">
      <alignment horizontal="right"/>
    </xf>
    <xf numFmtId="38" fontId="49" fillId="0" borderId="47" xfId="3" applyFont="1" applyFill="1" applyBorder="1" applyAlignment="1">
      <alignment horizontal="center"/>
    </xf>
    <xf numFmtId="38" fontId="49" fillId="0" borderId="46" xfId="3" applyFont="1" applyFill="1" applyBorder="1" applyAlignment="1">
      <alignment horizontal="center" shrinkToFit="1"/>
    </xf>
    <xf numFmtId="0" fontId="49" fillId="0" borderId="45" xfId="2" applyFont="1" applyFill="1" applyBorder="1" applyAlignment="1">
      <alignment horizontal="center" shrinkToFit="1"/>
    </xf>
    <xf numFmtId="169" fontId="49" fillId="0" borderId="44" xfId="2" applyNumberFormat="1" applyFont="1" applyFill="1" applyBorder="1" applyAlignment="1">
      <alignment horizontal="center" shrinkToFit="1"/>
    </xf>
    <xf numFmtId="167" fontId="45" fillId="0" borderId="0" xfId="2" applyNumberFormat="1" applyFont="1" applyBorder="1"/>
    <xf numFmtId="167" fontId="45" fillId="0" borderId="0" xfId="2" applyNumberFormat="1" applyFont="1" applyBorder="1" applyAlignment="1">
      <alignment horizontal="center"/>
    </xf>
    <xf numFmtId="168" fontId="45" fillId="0" borderId="0" xfId="2" applyNumberFormat="1" applyFont="1" applyBorder="1" applyAlignment="1">
      <alignment shrinkToFit="1"/>
    </xf>
    <xf numFmtId="168" fontId="45" fillId="0" borderId="0" xfId="2" applyNumberFormat="1" applyFont="1" applyBorder="1" applyAlignment="1"/>
    <xf numFmtId="0" fontId="45" fillId="0" borderId="0" xfId="2" applyFont="1" applyBorder="1" applyAlignment="1"/>
    <xf numFmtId="166" fontId="45" fillId="0" borderId="0" xfId="2" applyNumberFormat="1" applyFont="1" applyBorder="1"/>
    <xf numFmtId="3" fontId="45" fillId="0" borderId="0" xfId="2" applyNumberFormat="1" applyFont="1" applyBorder="1"/>
    <xf numFmtId="38" fontId="45" fillId="0" borderId="0" xfId="3" applyFont="1" applyBorder="1"/>
    <xf numFmtId="0" fontId="34" fillId="0" borderId="0" xfId="2" applyFont="1"/>
    <xf numFmtId="0" fontId="50" fillId="0" borderId="0" xfId="2" applyFont="1" applyAlignment="1"/>
    <xf numFmtId="0" fontId="39" fillId="0" borderId="0" xfId="2" applyFont="1"/>
    <xf numFmtId="0" fontId="48" fillId="0" borderId="37" xfId="2" applyFont="1" applyBorder="1"/>
    <xf numFmtId="0" fontId="34" fillId="0" borderId="37" xfId="2" applyFont="1" applyBorder="1"/>
    <xf numFmtId="0" fontId="34" fillId="0" borderId="37" xfId="2" applyFont="1" applyBorder="1" applyAlignment="1">
      <alignment horizontal="center" vertical="center"/>
    </xf>
    <xf numFmtId="0" fontId="51" fillId="0" borderId="37" xfId="2" applyFont="1" applyBorder="1" applyAlignment="1">
      <alignment horizontal="center" vertical="center" wrapText="1" shrinkToFit="1"/>
    </xf>
    <xf numFmtId="0" fontId="51" fillId="0" borderId="111" xfId="2" applyFont="1" applyBorder="1" applyAlignment="1">
      <alignment horizontal="center" vertical="center" wrapText="1" shrinkToFit="1"/>
    </xf>
    <xf numFmtId="0" fontId="47" fillId="0" borderId="38" xfId="2" applyFont="1" applyBorder="1" applyAlignment="1">
      <alignment horizontal="center" vertical="center" wrapText="1"/>
    </xf>
    <xf numFmtId="0" fontId="39" fillId="0" borderId="37" xfId="2" applyFont="1" applyBorder="1" applyAlignment="1">
      <alignment horizontal="center" vertical="center" wrapText="1"/>
    </xf>
    <xf numFmtId="0" fontId="34" fillId="0" borderId="33" xfId="2" applyFont="1" applyBorder="1"/>
    <xf numFmtId="40" fontId="39" fillId="0" borderId="33" xfId="3" applyNumberFormat="1" applyFont="1" applyBorder="1" applyAlignment="1">
      <alignment horizontal="right"/>
    </xf>
    <xf numFmtId="40" fontId="39" fillId="0" borderId="110" xfId="3" applyNumberFormat="1" applyFont="1" applyBorder="1" applyAlignment="1">
      <alignment horizontal="right"/>
    </xf>
    <xf numFmtId="38" fontId="34" fillId="0" borderId="24" xfId="3" applyFont="1" applyBorder="1"/>
    <xf numFmtId="40" fontId="38" fillId="0" borderId="33" xfId="3" applyNumberFormat="1" applyFont="1" applyBorder="1"/>
    <xf numFmtId="38" fontId="34" fillId="0" borderId="33" xfId="3" applyFont="1" applyBorder="1"/>
    <xf numFmtId="2" fontId="38" fillId="0" borderId="33" xfId="3" applyNumberFormat="1" applyFont="1" applyBorder="1"/>
    <xf numFmtId="38" fontId="38" fillId="0" borderId="33" xfId="3" applyFont="1" applyBorder="1"/>
    <xf numFmtId="38" fontId="39" fillId="0" borderId="33" xfId="3" applyFont="1" applyBorder="1" applyAlignment="1">
      <alignment horizontal="right"/>
    </xf>
    <xf numFmtId="38" fontId="39" fillId="0" borderId="110" xfId="3" applyFont="1" applyBorder="1" applyAlignment="1">
      <alignment horizontal="right"/>
    </xf>
    <xf numFmtId="0" fontId="34" fillId="0" borderId="42" xfId="2" applyFont="1" applyBorder="1"/>
    <xf numFmtId="0" fontId="34" fillId="0" borderId="16" xfId="2" applyFont="1" applyBorder="1"/>
    <xf numFmtId="38" fontId="39" fillId="0" borderId="16" xfId="3" applyFont="1" applyBorder="1" applyAlignment="1">
      <alignment horizontal="right"/>
    </xf>
    <xf numFmtId="38" fontId="39" fillId="0" borderId="109" xfId="3" applyFont="1" applyBorder="1" applyAlignment="1">
      <alignment horizontal="right"/>
    </xf>
    <xf numFmtId="38" fontId="34" fillId="0" borderId="30" xfId="3" applyFont="1" applyBorder="1"/>
    <xf numFmtId="38" fontId="34" fillId="0" borderId="71" xfId="3" applyFont="1" applyBorder="1"/>
    <xf numFmtId="0" fontId="34" fillId="0" borderId="0" xfId="2" applyFont="1" applyBorder="1"/>
    <xf numFmtId="38" fontId="39" fillId="0" borderId="0" xfId="3" applyFont="1" applyBorder="1" applyAlignment="1">
      <alignment horizontal="right"/>
    </xf>
    <xf numFmtId="38" fontId="39" fillId="0" borderId="106" xfId="3" applyFont="1" applyBorder="1" applyAlignment="1">
      <alignment horizontal="right"/>
    </xf>
    <xf numFmtId="38" fontId="34" fillId="0" borderId="108" xfId="3" applyFont="1" applyBorder="1"/>
    <xf numFmtId="38" fontId="34" fillId="0" borderId="76" xfId="3" applyFont="1" applyBorder="1" applyAlignment="1">
      <alignment horizontal="center"/>
    </xf>
    <xf numFmtId="40" fontId="38" fillId="0" borderId="85" xfId="3" applyNumberFormat="1" applyFont="1" applyBorder="1"/>
    <xf numFmtId="38" fontId="34" fillId="0" borderId="85" xfId="3" applyFont="1" applyBorder="1" applyAlignment="1">
      <alignment horizontal="center"/>
    </xf>
    <xf numFmtId="177" fontId="38" fillId="0" borderId="107" xfId="3" applyNumberFormat="1" applyFont="1" applyBorder="1"/>
    <xf numFmtId="0" fontId="39" fillId="0" borderId="0" xfId="2" applyFont="1" applyBorder="1"/>
    <xf numFmtId="0" fontId="39" fillId="0" borderId="37" xfId="2" applyFont="1" applyBorder="1" applyAlignment="1">
      <alignment horizontal="center" vertical="center"/>
    </xf>
    <xf numFmtId="0" fontId="48" fillId="0" borderId="111" xfId="2" applyFont="1" applyBorder="1" applyAlignment="1">
      <alignment horizontal="center" vertical="center" wrapText="1"/>
    </xf>
    <xf numFmtId="0" fontId="48" fillId="0" borderId="37" xfId="2" applyFont="1" applyBorder="1" applyAlignment="1">
      <alignment horizontal="center" vertical="center" shrinkToFit="1"/>
    </xf>
    <xf numFmtId="0" fontId="39" fillId="0" borderId="39" xfId="2" applyFont="1" applyBorder="1" applyAlignment="1">
      <alignment horizontal="center" vertical="center" wrapText="1"/>
    </xf>
    <xf numFmtId="0" fontId="34" fillId="0" borderId="43" xfId="2" applyFont="1" applyBorder="1"/>
    <xf numFmtId="38" fontId="39" fillId="0" borderId="43" xfId="3" applyFont="1" applyBorder="1" applyAlignment="1">
      <alignment horizontal="right" shrinkToFit="1"/>
    </xf>
    <xf numFmtId="40" fontId="39" fillId="0" borderId="115" xfId="3" applyNumberFormat="1" applyFont="1" applyBorder="1" applyAlignment="1">
      <alignment horizontal="right"/>
    </xf>
    <xf numFmtId="38" fontId="34" fillId="0" borderId="43" xfId="3" applyFont="1" applyBorder="1"/>
    <xf numFmtId="177" fontId="38" fillId="0" borderId="114" xfId="3" applyNumberFormat="1" applyFont="1" applyBorder="1"/>
    <xf numFmtId="173" fontId="38" fillId="0" borderId="43" xfId="3" applyNumberFormat="1" applyFont="1" applyBorder="1"/>
    <xf numFmtId="0" fontId="34" fillId="0" borderId="20" xfId="2" applyFont="1" applyBorder="1"/>
    <xf numFmtId="38" fontId="39" fillId="0" borderId="20" xfId="3" applyFont="1" applyBorder="1" applyAlignment="1">
      <alignment horizontal="right" shrinkToFit="1"/>
    </xf>
    <xf numFmtId="40" fontId="39" fillId="0" borderId="113" xfId="3" applyNumberFormat="1" applyFont="1" applyBorder="1" applyAlignment="1">
      <alignment horizontal="right"/>
    </xf>
    <xf numFmtId="38" fontId="34" fillId="0" borderId="20" xfId="3" applyFont="1" applyBorder="1"/>
    <xf numFmtId="177" fontId="38" fillId="0" borderId="23" xfId="3" applyNumberFormat="1" applyFont="1" applyBorder="1"/>
    <xf numFmtId="173" fontId="38" fillId="0" borderId="20" xfId="3" applyNumberFormat="1" applyFont="1" applyBorder="1"/>
    <xf numFmtId="38" fontId="39" fillId="0" borderId="20" xfId="3" applyFont="1" applyBorder="1" applyAlignment="1">
      <alignment horizontal="right"/>
    </xf>
    <xf numFmtId="38" fontId="39" fillId="0" borderId="113" xfId="3" applyFont="1" applyBorder="1" applyAlignment="1">
      <alignment horizontal="right"/>
    </xf>
    <xf numFmtId="173" fontId="38" fillId="0" borderId="23" xfId="3" applyNumberFormat="1" applyFont="1" applyBorder="1"/>
    <xf numFmtId="38" fontId="34" fillId="0" borderId="29" xfId="3" applyFont="1" applyBorder="1"/>
    <xf numFmtId="173" fontId="38" fillId="0" borderId="112" xfId="3" applyNumberFormat="1" applyFont="1" applyBorder="1"/>
    <xf numFmtId="173" fontId="38" fillId="0" borderId="29" xfId="3" applyNumberFormat="1" applyFont="1" applyBorder="1"/>
    <xf numFmtId="0" fontId="34" fillId="0" borderId="19" xfId="2" applyFont="1" applyBorder="1"/>
    <xf numFmtId="38" fontId="39" fillId="0" borderId="89" xfId="3" applyFont="1" applyBorder="1" applyAlignment="1">
      <alignment horizontal="right"/>
    </xf>
    <xf numFmtId="0" fontId="34" fillId="0" borderId="48" xfId="2" applyFont="1" applyBorder="1" applyAlignment="1">
      <alignment horizontal="center"/>
    </xf>
    <xf numFmtId="177" fontId="38" fillId="0" borderId="45" xfId="3" applyNumberFormat="1" applyFont="1" applyBorder="1" applyAlignment="1"/>
    <xf numFmtId="173" fontId="38" fillId="0" borderId="44" xfId="3" applyNumberFormat="1" applyFont="1" applyBorder="1" applyAlignment="1"/>
    <xf numFmtId="4" fontId="34" fillId="0" borderId="88" xfId="2" applyNumberFormat="1" applyFont="1" applyFill="1" applyBorder="1" applyAlignment="1">
      <alignment horizontal="right" vertical="center"/>
    </xf>
    <xf numFmtId="0" fontId="34" fillId="0" borderId="21" xfId="2" applyFont="1" applyFill="1" applyBorder="1" applyAlignment="1">
      <alignment vertical="center" shrinkToFit="1"/>
    </xf>
    <xf numFmtId="180" fontId="45" fillId="0" borderId="59" xfId="2" applyNumberFormat="1" applyFont="1" applyBorder="1" applyAlignment="1">
      <alignment horizontal="center"/>
    </xf>
    <xf numFmtId="180" fontId="45" fillId="0" borderId="59" xfId="2" applyNumberFormat="1" applyFont="1" applyFill="1" applyBorder="1" applyAlignment="1">
      <alignment horizontal="center"/>
    </xf>
    <xf numFmtId="2" fontId="53" fillId="0" borderId="59" xfId="2" applyNumberFormat="1" applyFont="1" applyBorder="1" applyAlignment="1"/>
    <xf numFmtId="183" fontId="45" fillId="0" borderId="6" xfId="3" applyNumberFormat="1" applyFont="1" applyBorder="1" applyAlignment="1">
      <alignment horizontal="center"/>
    </xf>
    <xf numFmtId="183" fontId="45" fillId="0" borderId="59" xfId="3" applyNumberFormat="1" applyFont="1" applyBorder="1" applyAlignment="1">
      <alignment horizontal="center"/>
    </xf>
    <xf numFmtId="183" fontId="45" fillId="0" borderId="59" xfId="3" applyNumberFormat="1" applyFont="1" applyFill="1" applyBorder="1" applyAlignment="1">
      <alignment horizontal="center"/>
    </xf>
    <xf numFmtId="183" fontId="45" fillId="0" borderId="50" xfId="3" applyNumberFormat="1" applyFont="1" applyBorder="1" applyAlignment="1">
      <alignment horizontal="center"/>
    </xf>
    <xf numFmtId="183" fontId="49" fillId="0" borderId="45" xfId="3" applyNumberFormat="1" applyFont="1" applyFill="1" applyBorder="1" applyAlignment="1">
      <alignment horizontal="center" shrinkToFit="1"/>
    </xf>
    <xf numFmtId="0" fontId="53" fillId="0" borderId="0" xfId="2" applyFont="1" applyBorder="1"/>
    <xf numFmtId="167" fontId="43" fillId="0" borderId="6" xfId="2" applyNumberFormat="1" applyFont="1" applyBorder="1" applyAlignment="1">
      <alignment horizontal="center"/>
    </xf>
    <xf numFmtId="0" fontId="53" fillId="0" borderId="0" xfId="2" applyFont="1" applyBorder="1" applyAlignment="1">
      <alignment horizontal="center"/>
    </xf>
    <xf numFmtId="49" fontId="34" fillId="0" borderId="87" xfId="2" applyNumberFormat="1" applyFont="1" applyFill="1" applyBorder="1" applyAlignment="1">
      <alignment vertical="center"/>
    </xf>
    <xf numFmtId="49" fontId="34" fillId="0" borderId="21" xfId="2" applyNumberFormat="1" applyFont="1" applyFill="1" applyBorder="1" applyAlignment="1">
      <alignment vertical="center"/>
    </xf>
    <xf numFmtId="166" fontId="45" fillId="0" borderId="59" xfId="2" applyNumberFormat="1" applyFont="1" applyBorder="1" applyAlignment="1">
      <alignment horizontal="left" shrinkToFit="1"/>
    </xf>
    <xf numFmtId="2" fontId="53" fillId="0" borderId="6" xfId="2" applyNumberFormat="1" applyFont="1" applyBorder="1" applyAlignment="1"/>
    <xf numFmtId="2" fontId="54" fillId="0" borderId="59" xfId="2" applyNumberFormat="1" applyFont="1" applyBorder="1" applyAlignment="1"/>
    <xf numFmtId="2" fontId="55" fillId="0" borderId="59" xfId="2" applyNumberFormat="1" applyFont="1" applyBorder="1" applyAlignment="1"/>
    <xf numFmtId="2" fontId="49" fillId="0" borderId="45" xfId="2" applyNumberFormat="1" applyFont="1" applyFill="1" applyBorder="1" applyAlignment="1"/>
    <xf numFmtId="0" fontId="46" fillId="0" borderId="0" xfId="5" applyFont="1" applyProtection="1"/>
    <xf numFmtId="0" fontId="56" fillId="15" borderId="0" xfId="5" applyFont="1" applyFill="1" applyAlignment="1" applyProtection="1">
      <alignment vertical="center" shrinkToFit="1"/>
      <protection locked="0"/>
    </xf>
    <xf numFmtId="0" fontId="34" fillId="12" borderId="0" xfId="5" applyFont="1" applyFill="1" applyAlignment="1" applyProtection="1">
      <protection locked="0"/>
    </xf>
    <xf numFmtId="0" fontId="46" fillId="0" borderId="0" xfId="5" applyFont="1" applyAlignment="1" applyProtection="1">
      <alignment wrapText="1"/>
    </xf>
    <xf numFmtId="0" fontId="34" fillId="11" borderId="0" xfId="5" applyFont="1" applyFill="1" applyProtection="1"/>
    <xf numFmtId="0" fontId="34" fillId="11" borderId="0" xfId="5" applyFont="1" applyFill="1" applyAlignment="1" applyProtection="1"/>
    <xf numFmtId="0" fontId="38" fillId="11" borderId="0" xfId="5" applyFont="1" applyFill="1" applyBorder="1" applyProtection="1"/>
    <xf numFmtId="0" fontId="34" fillId="11" borderId="0" xfId="5" applyFont="1" applyFill="1" applyBorder="1" applyProtection="1"/>
    <xf numFmtId="0" fontId="34" fillId="11" borderId="0" xfId="5" applyFont="1" applyFill="1" applyBorder="1" applyAlignment="1" applyProtection="1">
      <alignment horizontal="right"/>
    </xf>
    <xf numFmtId="0" fontId="34" fillId="12" borderId="0" xfId="5" applyFont="1" applyFill="1" applyBorder="1" applyProtection="1">
      <protection locked="0"/>
    </xf>
    <xf numFmtId="0" fontId="34" fillId="11" borderId="0" xfId="5" applyFont="1" applyFill="1" applyAlignment="1" applyProtection="1">
      <alignment horizontal="right"/>
    </xf>
    <xf numFmtId="3" fontId="34" fillId="14" borderId="0" xfId="5" applyNumberFormat="1" applyFont="1" applyFill="1" applyBorder="1" applyProtection="1"/>
    <xf numFmtId="0" fontId="34" fillId="14" borderId="0" xfId="5" applyFont="1" applyFill="1" applyBorder="1" applyProtection="1"/>
    <xf numFmtId="10" fontId="34" fillId="0" borderId="0" xfId="5" applyNumberFormat="1" applyFont="1" applyFill="1" applyBorder="1" applyAlignment="1" applyProtection="1">
      <alignment horizontal="center"/>
      <protection locked="0"/>
    </xf>
    <xf numFmtId="0" fontId="38" fillId="13" borderId="139" xfId="5" applyFont="1" applyFill="1" applyBorder="1" applyAlignment="1" applyProtection="1">
      <alignment horizontal="center" vertical="center" shrinkToFit="1"/>
    </xf>
    <xf numFmtId="0" fontId="38" fillId="11" borderId="0" xfId="5" applyFont="1" applyFill="1" applyBorder="1" applyAlignment="1" applyProtection="1">
      <alignment horizontal="left"/>
    </xf>
    <xf numFmtId="0" fontId="38" fillId="11" borderId="0" xfId="5" applyFont="1" applyFill="1" applyProtection="1"/>
    <xf numFmtId="0" fontId="34" fillId="12" borderId="0" xfId="5" applyFont="1" applyFill="1" applyProtection="1">
      <protection locked="0"/>
    </xf>
    <xf numFmtId="0" fontId="34" fillId="11" borderId="0" xfId="5" applyFont="1" applyFill="1" applyAlignment="1" applyProtection="1">
      <alignment horizontal="centerContinuous"/>
    </xf>
    <xf numFmtId="0" fontId="34" fillId="12" borderId="145" xfId="5" applyFont="1" applyFill="1" applyBorder="1" applyProtection="1">
      <protection locked="0"/>
    </xf>
    <xf numFmtId="0" fontId="34" fillId="11" borderId="145" xfId="5" applyFont="1" applyFill="1" applyBorder="1" applyProtection="1"/>
    <xf numFmtId="0" fontId="34" fillId="11" borderId="145" xfId="5" applyFont="1" applyFill="1" applyBorder="1" applyAlignment="1" applyProtection="1">
      <alignment horizontal="centerContinuous"/>
    </xf>
    <xf numFmtId="0" fontId="34" fillId="0" borderId="0" xfId="5" applyFont="1" applyProtection="1"/>
    <xf numFmtId="0" fontId="57" fillId="11" borderId="0" xfId="5" applyFont="1" applyFill="1" applyAlignment="1" applyProtection="1">
      <alignment horizontal="centerContinuous"/>
    </xf>
    <xf numFmtId="0" fontId="38" fillId="0" borderId="0" xfId="5" applyFont="1" applyProtection="1"/>
    <xf numFmtId="0" fontId="34" fillId="0" borderId="0" xfId="5" applyFont="1" applyAlignment="1" applyProtection="1">
      <alignment horizontal="centerContinuous" vertical="center"/>
    </xf>
    <xf numFmtId="0" fontId="46" fillId="0" borderId="0" xfId="5" applyFont="1" applyAlignment="1" applyProtection="1">
      <alignment horizontal="centerContinuous" vertical="center"/>
    </xf>
    <xf numFmtId="0" fontId="46" fillId="12" borderId="0" xfId="5" applyFont="1" applyFill="1" applyBorder="1" applyAlignment="1" applyProtection="1">
      <alignment vertical="center"/>
      <protection locked="0"/>
    </xf>
    <xf numFmtId="0" fontId="46" fillId="12" borderId="141" xfId="5" applyFont="1" applyFill="1" applyBorder="1" applyAlignment="1" applyProtection="1">
      <alignment vertical="center"/>
      <protection locked="0"/>
    </xf>
    <xf numFmtId="0" fontId="34" fillId="12" borderId="0" xfId="5" applyFont="1" applyFill="1" applyBorder="1" applyAlignment="1" applyProtection="1">
      <alignment vertical="center"/>
      <protection locked="0"/>
    </xf>
    <xf numFmtId="0" fontId="34" fillId="11" borderId="0" xfId="5" applyFont="1" applyFill="1" applyBorder="1" applyAlignment="1" applyProtection="1">
      <alignment vertical="center"/>
    </xf>
    <xf numFmtId="0" fontId="34" fillId="11" borderId="141" xfId="5" applyFont="1" applyFill="1" applyBorder="1" applyAlignment="1" applyProtection="1">
      <alignment vertical="center"/>
    </xf>
    <xf numFmtId="37" fontId="34" fillId="12" borderId="144" xfId="5" applyNumberFormat="1" applyFont="1" applyFill="1" applyBorder="1" applyAlignment="1" applyProtection="1">
      <alignment horizontal="center" vertical="center" shrinkToFit="1"/>
      <protection locked="0"/>
    </xf>
    <xf numFmtId="37" fontId="34" fillId="12" borderId="140" xfId="5" applyNumberFormat="1" applyFont="1" applyFill="1" applyBorder="1" applyAlignment="1" applyProtection="1">
      <alignment horizontal="center" vertical="center"/>
      <protection locked="0"/>
    </xf>
    <xf numFmtId="39" fontId="34" fillId="12" borderId="141" xfId="5" applyNumberFormat="1" applyFont="1" applyFill="1" applyBorder="1" applyAlignment="1" applyProtection="1">
      <alignment vertical="center"/>
      <protection locked="0"/>
    </xf>
    <xf numFmtId="7" fontId="34" fillId="11" borderId="141" xfId="5" applyNumberFormat="1" applyFont="1" applyFill="1" applyBorder="1" applyAlignment="1" applyProtection="1">
      <alignment vertical="center"/>
    </xf>
    <xf numFmtId="39" fontId="34" fillId="11" borderId="141" xfId="5" applyNumberFormat="1" applyFont="1" applyFill="1" applyBorder="1" applyAlignment="1" applyProtection="1">
      <alignment horizontal="right" vertical="center"/>
    </xf>
    <xf numFmtId="0" fontId="34" fillId="0" borderId="91" xfId="2" applyNumberFormat="1" applyFont="1" applyFill="1" applyBorder="1" applyAlignment="1">
      <alignment horizontal="right" vertical="center"/>
    </xf>
    <xf numFmtId="0" fontId="34" fillId="0" borderId="92" xfId="2" applyNumberFormat="1" applyFont="1" applyFill="1" applyBorder="1" applyAlignment="1">
      <alignment vertical="center"/>
    </xf>
    <xf numFmtId="0" fontId="34" fillId="0" borderId="87" xfId="2" applyNumberFormat="1" applyFont="1" applyFill="1" applyBorder="1" applyAlignment="1">
      <alignment vertical="center"/>
    </xf>
    <xf numFmtId="0" fontId="34" fillId="0" borderId="20" xfId="2" applyNumberFormat="1" applyFont="1" applyFill="1" applyBorder="1" applyAlignment="1">
      <alignment horizontal="right" vertical="center"/>
    </xf>
    <xf numFmtId="0" fontId="34" fillId="0" borderId="20" xfId="2" applyNumberFormat="1" applyFont="1" applyFill="1" applyBorder="1" applyAlignment="1">
      <alignment horizontal="center" vertical="center" shrinkToFit="1"/>
    </xf>
    <xf numFmtId="0" fontId="34" fillId="0" borderId="88" xfId="2" applyNumberFormat="1" applyFont="1" applyFill="1" applyBorder="1" applyAlignment="1">
      <alignment vertical="center"/>
    </xf>
    <xf numFmtId="0" fontId="34" fillId="0" borderId="21" xfId="2" applyNumberFormat="1" applyFont="1" applyFill="1" applyBorder="1" applyAlignment="1">
      <alignment vertical="center"/>
    </xf>
    <xf numFmtId="0" fontId="34" fillId="0" borderId="97" xfId="2" applyNumberFormat="1" applyFont="1" applyFill="1" applyBorder="1" applyAlignment="1">
      <alignment vertical="center" wrapText="1"/>
    </xf>
    <xf numFmtId="0" fontId="34" fillId="0" borderId="95" xfId="2" applyNumberFormat="1" applyFont="1" applyFill="1" applyBorder="1" applyAlignment="1">
      <alignment vertical="center" wrapText="1"/>
    </xf>
    <xf numFmtId="0" fontId="34" fillId="0" borderId="24" xfId="2" applyNumberFormat="1" applyFont="1" applyFill="1" applyBorder="1" applyAlignment="1">
      <alignment vertical="center" wrapText="1"/>
    </xf>
    <xf numFmtId="0" fontId="34" fillId="0" borderId="33" xfId="2" applyNumberFormat="1" applyFont="1" applyFill="1" applyBorder="1" applyAlignment="1">
      <alignment vertical="center" wrapText="1"/>
    </xf>
    <xf numFmtId="0" fontId="34" fillId="0" borderId="92" xfId="2" quotePrefix="1" applyNumberFormat="1" applyFont="1" applyFill="1" applyBorder="1" applyAlignment="1">
      <alignment vertical="center"/>
    </xf>
    <xf numFmtId="0" fontId="34" fillId="0" borderId="87" xfId="2" quotePrefix="1" applyNumberFormat="1" applyFont="1" applyFill="1" applyBorder="1" applyAlignment="1">
      <alignment vertical="center"/>
    </xf>
    <xf numFmtId="0" fontId="34" fillId="0" borderId="21" xfId="2" quotePrefix="1" applyNumberFormat="1" applyFont="1" applyFill="1" applyBorder="1" applyAlignment="1">
      <alignment vertical="center"/>
    </xf>
    <xf numFmtId="0" fontId="34" fillId="0" borderId="87" xfId="2" applyNumberFormat="1" applyFont="1" applyBorder="1" applyAlignment="1">
      <alignment vertical="center"/>
    </xf>
    <xf numFmtId="0" fontId="38" fillId="0" borderId="20" xfId="2" applyNumberFormat="1" applyFont="1" applyFill="1" applyBorder="1" applyAlignment="1">
      <alignment horizontal="right" vertical="center"/>
    </xf>
    <xf numFmtId="0" fontId="34" fillId="0" borderId="94" xfId="2" applyNumberFormat="1" applyFont="1" applyBorder="1" applyAlignment="1">
      <alignment vertical="center"/>
    </xf>
    <xf numFmtId="0" fontId="34" fillId="0" borderId="93" xfId="2" applyNumberFormat="1" applyFont="1" applyBorder="1" applyAlignment="1">
      <alignment vertical="center"/>
    </xf>
    <xf numFmtId="0" fontId="34" fillId="0" borderId="93" xfId="2" applyNumberFormat="1" applyFont="1" applyFill="1" applyBorder="1" applyAlignment="1">
      <alignment vertical="center"/>
    </xf>
    <xf numFmtId="0" fontId="34" fillId="0" borderId="20" xfId="2" applyNumberFormat="1" applyFont="1" applyFill="1" applyBorder="1" applyAlignment="1">
      <alignment horizontal="center" vertical="center"/>
    </xf>
    <xf numFmtId="180" fontId="34" fillId="0" borderId="20" xfId="2" applyNumberFormat="1" applyFont="1" applyFill="1" applyBorder="1" applyAlignment="1">
      <alignment vertical="center"/>
    </xf>
    <xf numFmtId="0" fontId="58" fillId="0" borderId="0" xfId="2" applyFont="1" applyFill="1" applyAlignment="1">
      <alignment horizontal="right" vertical="center"/>
    </xf>
    <xf numFmtId="38" fontId="34" fillId="0" borderId="0" xfId="2" applyNumberFormat="1" applyFont="1" applyFill="1" applyAlignment="1">
      <alignment vertical="center"/>
    </xf>
    <xf numFmtId="0" fontId="34" fillId="0" borderId="111" xfId="2" applyFont="1" applyFill="1" applyBorder="1" applyAlignment="1">
      <alignment horizontal="centerContinuous" vertical="center" shrinkToFit="1"/>
    </xf>
    <xf numFmtId="3" fontId="34" fillId="0" borderId="113" xfId="2" applyNumberFormat="1" applyFont="1" applyFill="1" applyBorder="1" applyAlignment="1">
      <alignment vertical="center"/>
    </xf>
    <xf numFmtId="3" fontId="34" fillId="0" borderId="109" xfId="2" applyNumberFormat="1" applyFont="1" applyFill="1" applyBorder="1" applyAlignment="1">
      <alignment vertical="center"/>
    </xf>
    <xf numFmtId="180" fontId="34" fillId="0" borderId="20" xfId="2" applyNumberFormat="1" applyFont="1" applyFill="1" applyBorder="1" applyAlignment="1">
      <alignment horizontal="right" vertical="center"/>
    </xf>
    <xf numFmtId="2" fontId="34" fillId="0" borderId="88" xfId="2" applyNumberFormat="1" applyFont="1" applyFill="1" applyBorder="1" applyAlignment="1">
      <alignment horizontal="right" vertical="center"/>
    </xf>
    <xf numFmtId="2" fontId="34" fillId="0" borderId="88" xfId="2" applyNumberFormat="1" applyFont="1" applyFill="1" applyBorder="1" applyAlignment="1">
      <alignment vertical="center"/>
    </xf>
    <xf numFmtId="0" fontId="34" fillId="0" borderId="146" xfId="2" applyNumberFormat="1" applyFont="1" applyFill="1" applyBorder="1" applyAlignment="1">
      <alignment vertical="center" shrinkToFit="1"/>
    </xf>
    <xf numFmtId="0" fontId="34" fillId="0" borderId="96" xfId="2" applyNumberFormat="1" applyFont="1" applyFill="1" applyBorder="1" applyAlignment="1">
      <alignment vertical="center" wrapText="1"/>
    </xf>
    <xf numFmtId="3" fontId="34" fillId="0" borderId="80" xfId="2" applyNumberFormat="1" applyFont="1" applyFill="1" applyBorder="1" applyAlignment="1">
      <alignment vertical="center"/>
    </xf>
    <xf numFmtId="38" fontId="34" fillId="0" borderId="87" xfId="2" applyNumberFormat="1" applyFont="1" applyFill="1" applyBorder="1" applyAlignment="1">
      <alignment vertical="center"/>
    </xf>
    <xf numFmtId="40" fontId="34" fillId="0" borderId="87" xfId="2" applyNumberFormat="1" applyFont="1" applyFill="1" applyBorder="1" applyAlignment="1">
      <alignment vertical="center"/>
    </xf>
    <xf numFmtId="184" fontId="34" fillId="0" borderId="0" xfId="2" applyNumberFormat="1" applyFont="1" applyFill="1" applyBorder="1" applyAlignment="1">
      <alignment vertical="center"/>
    </xf>
    <xf numFmtId="3" fontId="34" fillId="0" borderId="110" xfId="2" applyNumberFormat="1" applyFont="1" applyFill="1" applyBorder="1" applyAlignment="1">
      <alignment vertical="center"/>
    </xf>
    <xf numFmtId="0" fontId="34" fillId="0" borderId="20" xfId="2" applyNumberFormat="1" applyFont="1" applyFill="1" applyBorder="1" applyAlignment="1">
      <alignment vertical="center" shrinkToFit="1"/>
    </xf>
    <xf numFmtId="0" fontId="34" fillId="0" borderId="92" xfId="2" applyFont="1" applyFill="1" applyBorder="1" applyAlignment="1">
      <alignment vertical="center" shrinkToFit="1"/>
    </xf>
    <xf numFmtId="0" fontId="34" fillId="0" borderId="0" xfId="0" applyFont="1" applyAlignment="1">
      <alignment vertical="center"/>
    </xf>
    <xf numFmtId="0" fontId="34" fillId="0" borderId="1" xfId="0" applyFont="1" applyBorder="1" applyAlignment="1">
      <alignment vertical="center"/>
    </xf>
    <xf numFmtId="164" fontId="34" fillId="0" borderId="0" xfId="0" applyNumberFormat="1" applyFont="1" applyAlignment="1">
      <alignment vertical="center"/>
    </xf>
    <xf numFmtId="0" fontId="34" fillId="0" borderId="0" xfId="0" applyFont="1" applyAlignment="1">
      <alignment vertical="center" shrinkToFit="1"/>
    </xf>
    <xf numFmtId="0" fontId="41" fillId="0" borderId="0" xfId="0" applyFont="1" applyAlignment="1">
      <alignment vertical="center"/>
    </xf>
    <xf numFmtId="49" fontId="34" fillId="0" borderId="0" xfId="0" applyNumberFormat="1" applyFont="1" applyAlignment="1">
      <alignment vertical="center"/>
    </xf>
    <xf numFmtId="0" fontId="34" fillId="0" borderId="0" xfId="0" applyFont="1" applyAlignment="1">
      <alignment horizontal="center" vertical="center"/>
    </xf>
    <xf numFmtId="3" fontId="36" fillId="0" borderId="0" xfId="0" applyNumberFormat="1" applyFont="1" applyAlignment="1">
      <alignment horizontal="left" vertical="center"/>
    </xf>
    <xf numFmtId="3" fontId="34" fillId="0" borderId="0" xfId="0" applyNumberFormat="1" applyFont="1" applyAlignment="1">
      <alignment vertical="center" shrinkToFit="1"/>
    </xf>
    <xf numFmtId="0" fontId="36" fillId="0" borderId="0" xfId="0" applyFont="1" applyAlignment="1">
      <alignment horizontal="left" vertical="center"/>
    </xf>
    <xf numFmtId="182" fontId="34" fillId="0" borderId="0" xfId="0" applyNumberFormat="1" applyFont="1" applyAlignment="1">
      <alignment vertical="center"/>
    </xf>
    <xf numFmtId="14" fontId="34" fillId="0" borderId="0" xfId="0" applyNumberFormat="1" applyFont="1" applyAlignment="1">
      <alignment horizontal="right" vertical="center" shrinkToFit="1"/>
    </xf>
    <xf numFmtId="0" fontId="34" fillId="0" borderId="0" xfId="0" applyNumberFormat="1" applyFont="1" applyAlignment="1">
      <alignment vertical="center"/>
    </xf>
    <xf numFmtId="14" fontId="34" fillId="0" borderId="0" xfId="0" applyNumberFormat="1" applyFont="1" applyAlignment="1">
      <alignment vertical="top"/>
    </xf>
    <xf numFmtId="0" fontId="34" fillId="0" borderId="0" xfId="0" applyFont="1" applyAlignment="1">
      <alignment vertical="top" wrapText="1"/>
    </xf>
    <xf numFmtId="0" fontId="38" fillId="0" borderId="0" xfId="0" applyFont="1" applyAlignment="1">
      <alignment vertical="center" shrinkToFit="1"/>
    </xf>
    <xf numFmtId="0" fontId="38" fillId="0" borderId="0" xfId="0" applyFont="1" applyAlignment="1">
      <alignment horizontal="left" vertical="center"/>
    </xf>
    <xf numFmtId="0" fontId="34" fillId="0" borderId="0" xfId="0" applyFont="1" applyBorder="1" applyAlignment="1">
      <alignment vertical="center"/>
    </xf>
    <xf numFmtId="165" fontId="34" fillId="0" borderId="0" xfId="0" applyNumberFormat="1" applyFont="1" applyAlignment="1">
      <alignment vertical="center"/>
    </xf>
    <xf numFmtId="165" fontId="34" fillId="0" borderId="0" xfId="0" applyNumberFormat="1" applyFont="1" applyBorder="1" applyAlignment="1">
      <alignment horizontal="center" vertical="center"/>
    </xf>
    <xf numFmtId="0" fontId="38" fillId="0" borderId="0" xfId="0" applyFont="1" applyBorder="1" applyAlignment="1">
      <alignment horizontal="center" vertical="center" shrinkToFit="1"/>
    </xf>
    <xf numFmtId="0" fontId="59" fillId="0" borderId="0" xfId="0" applyFont="1" applyAlignment="1">
      <alignment vertical="center"/>
    </xf>
    <xf numFmtId="0" fontId="60" fillId="0" borderId="0" xfId="0" applyFont="1" applyBorder="1" applyAlignment="1">
      <alignment vertical="center"/>
    </xf>
    <xf numFmtId="0" fontId="60" fillId="0" borderId="0" xfId="0" applyFont="1" applyAlignment="1">
      <alignment vertical="center"/>
    </xf>
    <xf numFmtId="0" fontId="38" fillId="0" borderId="0" xfId="0" applyFont="1" applyAlignment="1">
      <alignment vertical="center"/>
    </xf>
    <xf numFmtId="3" fontId="45" fillId="0" borderId="0" xfId="0" applyNumberFormat="1" applyFont="1" applyAlignment="1">
      <alignment vertical="top"/>
    </xf>
    <xf numFmtId="3" fontId="45" fillId="0" borderId="0" xfId="0" applyNumberFormat="1" applyFont="1" applyAlignment="1">
      <alignment horizontal="left" vertical="top"/>
    </xf>
    <xf numFmtId="3" fontId="45" fillId="0" borderId="0" xfId="0" applyNumberFormat="1" applyFont="1" applyAlignment="1">
      <alignment vertical="top" wrapText="1"/>
    </xf>
    <xf numFmtId="0" fontId="45" fillId="0" borderId="0" xfId="0" applyNumberFormat="1" applyFont="1" applyAlignment="1">
      <alignment vertical="top"/>
    </xf>
    <xf numFmtId="0" fontId="38" fillId="0" borderId="0" xfId="0" applyFont="1" applyAlignment="1">
      <alignment vertical="top" wrapText="1"/>
    </xf>
    <xf numFmtId="0" fontId="38" fillId="0" borderId="0" xfId="0" applyFont="1" applyAlignment="1">
      <alignment vertical="top"/>
    </xf>
    <xf numFmtId="0" fontId="34" fillId="10" borderId="0" xfId="0" applyFont="1" applyFill="1" applyAlignment="1">
      <alignment vertical="center"/>
    </xf>
    <xf numFmtId="0" fontId="34" fillId="0" borderId="0" xfId="0" applyFont="1" applyAlignment="1">
      <alignment horizontal="right" vertical="top" wrapText="1"/>
    </xf>
    <xf numFmtId="0" fontId="34" fillId="10" borderId="0" xfId="0" applyFont="1" applyFill="1" applyAlignment="1">
      <alignment horizontal="left" vertical="center"/>
    </xf>
    <xf numFmtId="0" fontId="38" fillId="0" borderId="0" xfId="0" applyFont="1" applyBorder="1" applyAlignment="1">
      <alignment vertical="center"/>
    </xf>
    <xf numFmtId="0" fontId="38" fillId="0" borderId="0" xfId="0" applyFont="1" applyBorder="1" applyAlignment="1">
      <alignment horizontal="left" vertical="center"/>
    </xf>
    <xf numFmtId="37" fontId="34" fillId="12" borderId="141" xfId="5" applyNumberFormat="1" applyFont="1" applyFill="1" applyBorder="1" applyAlignment="1" applyProtection="1">
      <alignment vertical="center"/>
      <protection locked="0"/>
    </xf>
    <xf numFmtId="37" fontId="34" fillId="11" borderId="141" xfId="5" applyNumberFormat="1" applyFont="1" applyFill="1" applyBorder="1" applyAlignment="1" applyProtection="1">
      <alignment horizontal="right" vertical="center"/>
    </xf>
    <xf numFmtId="0" fontId="34" fillId="11" borderId="139" xfId="5" applyFont="1" applyFill="1" applyBorder="1" applyAlignment="1" applyProtection="1">
      <alignment horizontal="center" vertical="center" shrinkToFit="1"/>
    </xf>
    <xf numFmtId="39" fontId="34" fillId="11" borderId="141" xfId="5" applyNumberFormat="1" applyFont="1" applyFill="1" applyBorder="1" applyAlignment="1" applyProtection="1">
      <alignment vertical="center"/>
    </xf>
    <xf numFmtId="0" fontId="34" fillId="11" borderId="134" xfId="5" applyFont="1" applyFill="1" applyBorder="1" applyProtection="1"/>
    <xf numFmtId="0" fontId="34" fillId="11" borderId="143" xfId="5" applyFont="1" applyFill="1" applyBorder="1" applyProtection="1"/>
    <xf numFmtId="37" fontId="34" fillId="11" borderId="147" xfId="5" applyNumberFormat="1" applyFont="1" applyFill="1" applyBorder="1" applyAlignment="1" applyProtection="1">
      <alignment vertical="center"/>
    </xf>
    <xf numFmtId="0" fontId="34" fillId="11" borderId="8" xfId="5" applyFont="1" applyFill="1" applyBorder="1" applyProtection="1"/>
    <xf numFmtId="0" fontId="34" fillId="11" borderId="140" xfId="5" applyFont="1" applyFill="1" applyBorder="1" applyAlignment="1" applyProtection="1">
      <alignment horizontal="center" vertical="center"/>
    </xf>
    <xf numFmtId="37" fontId="34" fillId="11" borderId="148" xfId="5" applyNumberFormat="1" applyFont="1" applyFill="1" applyBorder="1" applyAlignment="1" applyProtection="1">
      <alignment vertical="center"/>
    </xf>
    <xf numFmtId="37" fontId="38" fillId="11" borderId="26" xfId="5" applyNumberFormat="1" applyFont="1" applyFill="1" applyBorder="1" applyAlignment="1" applyProtection="1">
      <alignment vertical="center" shrinkToFit="1"/>
    </xf>
    <xf numFmtId="0" fontId="34" fillId="11" borderId="150" xfId="5" applyFont="1" applyFill="1" applyBorder="1" applyAlignment="1" applyProtection="1">
      <alignment horizontal="center" vertical="center"/>
    </xf>
    <xf numFmtId="0" fontId="34" fillId="0" borderId="87" xfId="2" applyNumberFormat="1" applyFont="1" applyFill="1" applyBorder="1" applyAlignment="1">
      <alignment horizontal="left" vertical="center"/>
    </xf>
    <xf numFmtId="0" fontId="34" fillId="0" borderId="21" xfId="2" applyNumberFormat="1" applyFont="1" applyFill="1" applyBorder="1" applyAlignment="1">
      <alignment horizontal="left" vertical="center"/>
    </xf>
    <xf numFmtId="49" fontId="34" fillId="0" borderId="92" xfId="2" quotePrefix="1" applyNumberFormat="1" applyFont="1" applyFill="1" applyBorder="1" applyAlignment="1">
      <alignment vertical="center"/>
    </xf>
    <xf numFmtId="38" fontId="38" fillId="0" borderId="87" xfId="2" applyNumberFormat="1" applyFont="1" applyFill="1" applyBorder="1" applyAlignment="1">
      <alignment vertical="center"/>
    </xf>
    <xf numFmtId="0" fontId="42" fillId="0" borderId="0" xfId="0" applyFont="1" applyAlignment="1">
      <alignment horizontal="right" vertical="center"/>
    </xf>
    <xf numFmtId="0" fontId="34" fillId="12" borderId="0" xfId="5" applyFont="1" applyFill="1" applyAlignment="1" applyProtection="1">
      <alignment horizontal="right"/>
      <protection locked="0"/>
    </xf>
    <xf numFmtId="0" fontId="34" fillId="0" borderId="0" xfId="0" applyFont="1" applyAlignment="1">
      <alignment horizontal="left" vertical="top" wrapText="1"/>
    </xf>
    <xf numFmtId="0" fontId="38" fillId="0" borderId="0" xfId="0" applyFont="1" applyAlignment="1">
      <alignment horizontal="center" vertical="center" shrinkToFit="1"/>
    </xf>
    <xf numFmtId="0" fontId="45" fillId="0" borderId="0" xfId="0" applyFont="1" applyAlignment="1">
      <alignment horizontal="left" vertical="top" wrapText="1"/>
    </xf>
    <xf numFmtId="0" fontId="34" fillId="0" borderId="0" xfId="0" applyFont="1" applyAlignment="1">
      <alignment horizontal="right" vertical="center"/>
    </xf>
    <xf numFmtId="0" fontId="34" fillId="0" borderId="0" xfId="0" applyFont="1" applyAlignment="1">
      <alignment horizontal="left" vertical="center"/>
    </xf>
    <xf numFmtId="0" fontId="38" fillId="0" borderId="0" xfId="0" applyFont="1" applyAlignment="1">
      <alignment horizontal="right" vertical="center"/>
    </xf>
    <xf numFmtId="0" fontId="34" fillId="0" borderId="0" xfId="2" applyFont="1" applyFill="1" applyAlignment="1">
      <alignment horizontal="right" vertical="center"/>
    </xf>
    <xf numFmtId="0" fontId="34" fillId="0" borderId="87" xfId="0" applyFont="1" applyBorder="1" applyAlignment="1">
      <alignment horizontal="left"/>
    </xf>
    <xf numFmtId="0" fontId="34" fillId="0" borderId="0" xfId="0" applyFont="1" applyAlignment="1">
      <alignment horizontal="left" vertical="top"/>
    </xf>
    <xf numFmtId="0" fontId="34" fillId="11" borderId="0" xfId="5" applyFont="1" applyFill="1" applyAlignment="1" applyProtection="1">
      <alignment horizontal="left"/>
    </xf>
    <xf numFmtId="0" fontId="34" fillId="11" borderId="0" xfId="5" applyFont="1" applyFill="1" applyAlignment="1" applyProtection="1">
      <alignment horizontal="center"/>
    </xf>
    <xf numFmtId="14" fontId="34" fillId="0" borderId="0" xfId="0" applyNumberFormat="1" applyFont="1" applyAlignment="1">
      <alignment vertical="center" shrinkToFit="1"/>
    </xf>
    <xf numFmtId="186" fontId="34" fillId="0" borderId="0" xfId="0" applyNumberFormat="1" applyFont="1" applyAlignment="1">
      <alignment vertical="center" shrinkToFit="1"/>
    </xf>
    <xf numFmtId="0" fontId="34" fillId="0" borderId="145" xfId="0" applyFont="1" applyBorder="1"/>
    <xf numFmtId="0" fontId="34" fillId="0" borderId="145" xfId="2" applyFont="1" applyFill="1" applyBorder="1" applyAlignment="1">
      <alignment vertical="center" shrinkToFit="1"/>
    </xf>
    <xf numFmtId="172" fontId="34" fillId="0" borderId="145" xfId="2" applyNumberFormat="1" applyFont="1" applyFill="1" applyBorder="1" applyAlignment="1">
      <alignment vertical="center"/>
    </xf>
    <xf numFmtId="171" fontId="34" fillId="0" borderId="145" xfId="2" applyNumberFormat="1" applyFont="1" applyFill="1" applyBorder="1" applyAlignment="1">
      <alignment vertical="center"/>
    </xf>
    <xf numFmtId="0" fontId="34" fillId="0" borderId="145" xfId="2" applyFont="1" applyFill="1" applyBorder="1" applyAlignment="1">
      <alignment vertical="center"/>
    </xf>
    <xf numFmtId="38" fontId="39" fillId="0" borderId="139" xfId="3" applyFont="1" applyFill="1" applyBorder="1" applyAlignment="1">
      <alignment horizontal="center" vertical="center"/>
    </xf>
    <xf numFmtId="0" fontId="39" fillId="0" borderId="139" xfId="2" applyFont="1" applyFill="1" applyBorder="1" applyAlignment="1">
      <alignment horizontal="center" vertical="center"/>
    </xf>
    <xf numFmtId="172" fontId="34" fillId="0" borderId="145" xfId="0" applyNumberFormat="1" applyFont="1" applyBorder="1" applyAlignment="1"/>
    <xf numFmtId="171" fontId="34" fillId="0" borderId="145" xfId="0" applyNumberFormat="1" applyFont="1" applyBorder="1" applyAlignment="1"/>
    <xf numFmtId="0" fontId="34" fillId="0" borderId="139" xfId="2" applyFont="1" applyFill="1" applyBorder="1" applyAlignment="1">
      <alignment horizontal="center" vertical="center"/>
    </xf>
    <xf numFmtId="0" fontId="34" fillId="0" borderId="139" xfId="2" applyFont="1" applyFill="1" applyBorder="1" applyAlignment="1">
      <alignment horizontal="centerContinuous" vertical="center"/>
    </xf>
    <xf numFmtId="38" fontId="39" fillId="0" borderId="139" xfId="3" applyFont="1" applyFill="1" applyBorder="1"/>
    <xf numFmtId="0" fontId="34" fillId="0" borderId="139" xfId="0" applyFont="1" applyBorder="1" applyAlignment="1">
      <alignment horizontal="center"/>
    </xf>
    <xf numFmtId="0" fontId="34" fillId="0" borderId="139" xfId="0" applyFont="1" applyBorder="1" applyAlignment="1">
      <alignment horizontal="centerContinuous"/>
    </xf>
    <xf numFmtId="38" fontId="39" fillId="0" borderId="139" xfId="3" applyFont="1" applyBorder="1" applyAlignment="1">
      <alignment horizontal="center" vertical="center"/>
    </xf>
    <xf numFmtId="0" fontId="39" fillId="0" borderId="139" xfId="0" applyFont="1" applyBorder="1" applyAlignment="1">
      <alignment horizontal="center" vertical="center"/>
    </xf>
    <xf numFmtId="38" fontId="39" fillId="0" borderId="139" xfId="3" applyFont="1" applyBorder="1"/>
    <xf numFmtId="0" fontId="34" fillId="0" borderId="92" xfId="2" quotePrefix="1" applyNumberFormat="1" applyFont="1" applyFill="1" applyBorder="1" applyAlignment="1">
      <alignment horizontal="left" vertical="center"/>
    </xf>
    <xf numFmtId="38" fontId="39" fillId="9" borderId="139" xfId="3" applyFont="1" applyFill="1" applyBorder="1"/>
    <xf numFmtId="49" fontId="34" fillId="12" borderId="0" xfId="5" applyNumberFormat="1" applyFont="1" applyFill="1" applyAlignment="1" applyProtection="1">
      <alignment horizontal="left"/>
      <protection locked="0"/>
    </xf>
    <xf numFmtId="0" fontId="34" fillId="0" borderId="0" xfId="0" applyFont="1" applyBorder="1" applyAlignment="1">
      <alignment horizontal="center" vertical="center"/>
    </xf>
    <xf numFmtId="0" fontId="63" fillId="0" borderId="0" xfId="0" applyFont="1" applyAlignment="1">
      <alignment horizontal="center" vertical="center"/>
    </xf>
    <xf numFmtId="0" fontId="45" fillId="0" borderId="0" xfId="0" applyNumberFormat="1" applyFont="1" applyAlignment="1">
      <alignment horizontal="center" vertical="center"/>
    </xf>
    <xf numFmtId="0" fontId="34" fillId="0" borderId="0" xfId="0" applyNumberFormat="1" applyFont="1" applyAlignment="1">
      <alignment horizontal="center" vertical="center"/>
    </xf>
    <xf numFmtId="0" fontId="34" fillId="0" borderId="0" xfId="0" applyNumberFormat="1" applyFont="1" applyAlignment="1">
      <alignment horizontal="right" vertical="center"/>
    </xf>
    <xf numFmtId="49" fontId="38" fillId="0" borderId="0" xfId="0" applyNumberFormat="1" applyFont="1" applyAlignment="1">
      <alignment vertical="center"/>
    </xf>
    <xf numFmtId="0" fontId="34" fillId="0" borderId="0" xfId="0" applyNumberFormat="1" applyFont="1" applyAlignment="1">
      <alignment horizontal="right" vertical="center" wrapText="1"/>
    </xf>
    <xf numFmtId="0" fontId="38" fillId="0" borderId="0" xfId="0" applyNumberFormat="1" applyFont="1" applyAlignment="1">
      <alignment horizontal="left" vertical="center"/>
    </xf>
    <xf numFmtId="49" fontId="38" fillId="0" borderId="0" xfId="0" applyNumberFormat="1" applyFont="1" applyAlignment="1">
      <alignment horizontal="left" vertical="center"/>
    </xf>
    <xf numFmtId="0" fontId="49" fillId="0" borderId="0" xfId="0" applyNumberFormat="1" applyFont="1" applyAlignment="1">
      <alignment horizontal="right" vertical="center"/>
    </xf>
    <xf numFmtId="0" fontId="49" fillId="0" borderId="0" xfId="0" applyNumberFormat="1" applyFont="1" applyAlignment="1">
      <alignment horizontal="left" vertical="center"/>
    </xf>
    <xf numFmtId="49" fontId="45" fillId="0" borderId="0" xfId="0" applyNumberFormat="1" applyFont="1" applyAlignment="1">
      <alignment horizontal="left" vertical="top" wrapText="1"/>
    </xf>
    <xf numFmtId="49" fontId="45" fillId="0" borderId="0" xfId="0" applyNumberFormat="1" applyFont="1" applyAlignment="1">
      <alignment vertical="center"/>
    </xf>
    <xf numFmtId="0" fontId="45" fillId="0" borderId="0" xfId="0" applyFont="1" applyAlignment="1">
      <alignment vertical="center"/>
    </xf>
    <xf numFmtId="164" fontId="45" fillId="0" borderId="0" xfId="0" applyNumberFormat="1" applyFont="1" applyAlignment="1">
      <alignment vertical="center"/>
    </xf>
    <xf numFmtId="0" fontId="45" fillId="0" borderId="0" xfId="0" applyNumberFormat="1" applyFont="1" applyAlignment="1">
      <alignment vertical="center"/>
    </xf>
    <xf numFmtId="165" fontId="49" fillId="0" borderId="0" xfId="0" applyNumberFormat="1" applyFont="1" applyAlignment="1">
      <alignment vertical="center"/>
    </xf>
    <xf numFmtId="49" fontId="49" fillId="0" borderId="0" xfId="0" applyNumberFormat="1" applyFont="1" applyAlignment="1">
      <alignment vertical="center"/>
    </xf>
    <xf numFmtId="0" fontId="45" fillId="0" borderId="0" xfId="0" applyFont="1" applyAlignment="1">
      <alignment horizontal="right" vertical="center"/>
    </xf>
    <xf numFmtId="0" fontId="49" fillId="0" borderId="0" xfId="0" applyFont="1" applyAlignment="1">
      <alignment vertical="center"/>
    </xf>
    <xf numFmtId="0" fontId="34" fillId="0" borderId="4" xfId="0" applyFont="1" applyBorder="1" applyAlignment="1">
      <alignment horizontal="center" vertical="center"/>
    </xf>
    <xf numFmtId="0" fontId="34" fillId="0" borderId="4" xfId="0" applyFont="1" applyBorder="1" applyAlignment="1">
      <alignment horizontal="center" vertical="center" shrinkToFit="1"/>
    </xf>
    <xf numFmtId="0" fontId="34" fillId="0" borderId="4" xfId="0" applyFont="1" applyBorder="1" applyAlignment="1">
      <alignment vertical="center" shrinkToFit="1"/>
    </xf>
    <xf numFmtId="0" fontId="34" fillId="0" borderId="0" xfId="0" applyFont="1" applyBorder="1" applyAlignment="1">
      <alignment vertical="center" shrinkToFit="1"/>
    </xf>
    <xf numFmtId="0" fontId="34" fillId="2" borderId="5" xfId="0" applyFont="1" applyFill="1" applyBorder="1"/>
    <xf numFmtId="0" fontId="34" fillId="0" borderId="5" xfId="0" applyFont="1" applyBorder="1" applyAlignment="1">
      <alignment horizontal="center"/>
    </xf>
    <xf numFmtId="0" fontId="34" fillId="0" borderId="5" xfId="1" applyNumberFormat="1" applyFont="1" applyBorder="1" applyAlignment="1">
      <alignment horizontal="right"/>
    </xf>
    <xf numFmtId="0" fontId="34" fillId="0" borderId="59" xfId="0" applyFont="1" applyBorder="1" applyAlignment="1">
      <alignment vertical="center"/>
    </xf>
    <xf numFmtId="0" fontId="34" fillId="2" borderId="6" xfId="0" applyFont="1" applyFill="1" applyBorder="1"/>
    <xf numFmtId="0" fontId="34" fillId="0" borderId="6" xfId="0" applyFont="1" applyBorder="1" applyAlignment="1">
      <alignment horizontal="center"/>
    </xf>
    <xf numFmtId="0" fontId="34" fillId="0" borderId="6" xfId="1" applyNumberFormat="1" applyFont="1" applyBorder="1" applyAlignment="1">
      <alignment horizontal="right"/>
    </xf>
    <xf numFmtId="0" fontId="34" fillId="0" borderId="6" xfId="0" applyFont="1" applyBorder="1" applyAlignment="1">
      <alignment vertical="center"/>
    </xf>
    <xf numFmtId="0" fontId="34" fillId="2" borderId="7" xfId="0" applyFont="1" applyFill="1" applyBorder="1"/>
    <xf numFmtId="0" fontId="34" fillId="0" borderId="7" xfId="0" applyFont="1" applyBorder="1" applyAlignment="1">
      <alignment horizontal="center"/>
    </xf>
    <xf numFmtId="0" fontId="34" fillId="0" borderId="7" xfId="1" applyNumberFormat="1" applyFont="1" applyBorder="1" applyAlignment="1">
      <alignment horizontal="right"/>
    </xf>
    <xf numFmtId="0" fontId="34" fillId="0" borderId="7" xfId="0" applyFont="1" applyBorder="1" applyAlignment="1">
      <alignment vertical="center"/>
    </xf>
    <xf numFmtId="0" fontId="45" fillId="0" borderId="0" xfId="0" applyFont="1" applyAlignment="1">
      <alignment horizontal="left" vertical="center"/>
    </xf>
    <xf numFmtId="0" fontId="64" fillId="0" borderId="0" xfId="0" applyFont="1" applyAlignment="1">
      <alignment vertical="center"/>
    </xf>
    <xf numFmtId="0" fontId="65" fillId="0" borderId="0" xfId="0" applyFont="1" applyAlignment="1">
      <alignment vertical="center"/>
    </xf>
    <xf numFmtId="49" fontId="45" fillId="0" borderId="0" xfId="0" applyNumberFormat="1" applyFont="1" applyAlignment="1">
      <alignment horizontal="left" vertical="center"/>
    </xf>
    <xf numFmtId="0" fontId="45" fillId="0" borderId="0" xfId="0" applyFont="1" applyAlignment="1">
      <alignment horizontal="left" vertical="top"/>
    </xf>
    <xf numFmtId="14" fontId="45" fillId="0" borderId="0" xfId="0" applyNumberFormat="1" applyFont="1" applyAlignment="1">
      <alignment vertical="center"/>
    </xf>
    <xf numFmtId="165" fontId="45" fillId="0" borderId="0" xfId="0" applyNumberFormat="1" applyFont="1" applyAlignment="1">
      <alignment horizontal="left" vertical="center"/>
    </xf>
    <xf numFmtId="0" fontId="45" fillId="0" borderId="0" xfId="0" applyFont="1" applyAlignment="1">
      <alignment vertical="top"/>
    </xf>
    <xf numFmtId="49" fontId="45" fillId="0" borderId="0" xfId="0" applyNumberFormat="1" applyFont="1" applyAlignment="1">
      <alignment horizontal="left" vertical="top"/>
    </xf>
    <xf numFmtId="165" fontId="45" fillId="0" borderId="0" xfId="0" applyNumberFormat="1" applyFont="1" applyAlignment="1">
      <alignment vertical="top"/>
    </xf>
    <xf numFmtId="165" fontId="45" fillId="0" borderId="0" xfId="0" applyNumberFormat="1" applyFont="1" applyAlignment="1">
      <alignment vertical="top" wrapText="1"/>
    </xf>
    <xf numFmtId="182" fontId="45" fillId="0" borderId="0" xfId="0" applyNumberFormat="1" applyFont="1" applyAlignment="1">
      <alignment horizontal="left" vertical="center"/>
    </xf>
    <xf numFmtId="165" fontId="45" fillId="0" borderId="0" xfId="0" applyNumberFormat="1" applyFont="1" applyAlignment="1">
      <alignment horizontal="left" vertical="top"/>
    </xf>
    <xf numFmtId="165" fontId="45" fillId="0" borderId="0" xfId="0" applyNumberFormat="1" applyFont="1" applyAlignment="1">
      <alignment horizontal="left" vertical="top" wrapText="1"/>
    </xf>
    <xf numFmtId="0" fontId="49" fillId="0" borderId="0" xfId="0" applyFont="1" applyAlignment="1">
      <alignment horizontal="left" vertical="top"/>
    </xf>
    <xf numFmtId="3" fontId="45" fillId="0" borderId="0" xfId="0" applyNumberFormat="1" applyFont="1" applyAlignment="1">
      <alignment vertical="top" shrinkToFit="1"/>
    </xf>
    <xf numFmtId="3" fontId="45" fillId="0" borderId="0" xfId="0" applyNumberFormat="1" applyFont="1" applyAlignment="1">
      <alignment horizontal="left" vertical="top" wrapText="1"/>
    </xf>
    <xf numFmtId="0" fontId="34" fillId="0" borderId="0" xfId="0" applyNumberFormat="1" applyFont="1" applyAlignment="1">
      <alignment horizontal="left" vertical="center"/>
    </xf>
    <xf numFmtId="38" fontId="34" fillId="0" borderId="0" xfId="0" quotePrefix="1" applyNumberFormat="1" applyFont="1" applyAlignment="1">
      <alignment vertical="center"/>
    </xf>
    <xf numFmtId="176" fontId="34" fillId="0" borderId="0" xfId="0" applyNumberFormat="1" applyFont="1" applyAlignment="1">
      <alignment vertical="center"/>
    </xf>
    <xf numFmtId="14" fontId="34" fillId="0" borderId="0" xfId="0" applyNumberFormat="1" applyFont="1" applyAlignment="1">
      <alignment vertical="top" wrapText="1"/>
    </xf>
    <xf numFmtId="0" fontId="45" fillId="0" borderId="0" xfId="0" applyNumberFormat="1" applyFont="1" applyAlignment="1">
      <alignment horizontal="left" vertical="center"/>
    </xf>
    <xf numFmtId="0" fontId="34" fillId="2" borderId="63" xfId="0" applyFont="1" applyFill="1" applyBorder="1" applyAlignment="1">
      <alignment vertical="center"/>
    </xf>
    <xf numFmtId="0" fontId="34" fillId="2" borderId="34" xfId="0" applyFont="1" applyFill="1" applyBorder="1" applyAlignment="1">
      <alignment vertical="center"/>
    </xf>
    <xf numFmtId="0" fontId="34" fillId="2" borderId="0" xfId="0" applyFont="1" applyFill="1" applyAlignment="1">
      <alignment shrinkToFit="1"/>
    </xf>
    <xf numFmtId="0" fontId="34" fillId="0" borderId="37" xfId="0" applyFont="1" applyBorder="1" applyAlignment="1">
      <alignment horizontal="center" vertical="center"/>
    </xf>
    <xf numFmtId="0" fontId="34" fillId="0" borderId="37" xfId="0" applyFont="1" applyBorder="1" applyAlignment="1">
      <alignment vertical="center"/>
    </xf>
    <xf numFmtId="0" fontId="34" fillId="0" borderId="0" xfId="0" applyFont="1" applyFill="1" applyBorder="1" applyAlignment="1">
      <alignment vertical="center"/>
    </xf>
    <xf numFmtId="0" fontId="34" fillId="0" borderId="0" xfId="0" applyFont="1" applyFill="1" applyBorder="1" applyAlignment="1">
      <alignment vertical="center" shrinkToFit="1"/>
    </xf>
    <xf numFmtId="0" fontId="34" fillId="0" borderId="0" xfId="0" applyFont="1" applyFill="1" applyBorder="1" applyAlignment="1">
      <alignment horizontal="center" vertical="center"/>
    </xf>
    <xf numFmtId="0" fontId="45" fillId="0" borderId="0" xfId="0" applyFont="1" applyAlignment="1">
      <alignment vertical="top" wrapText="1"/>
    </xf>
    <xf numFmtId="0" fontId="66" fillId="0" borderId="0" xfId="0" applyFont="1"/>
    <xf numFmtId="0" fontId="49" fillId="0" borderId="0" xfId="0" applyFont="1" applyAlignment="1">
      <alignment horizontal="center" vertical="center" shrinkToFit="1"/>
    </xf>
    <xf numFmtId="0" fontId="45" fillId="0" borderId="0" xfId="0" applyFont="1" applyBorder="1" applyAlignment="1">
      <alignment vertical="center"/>
    </xf>
    <xf numFmtId="0" fontId="45" fillId="0" borderId="0" xfId="0" applyFont="1" applyBorder="1" applyAlignment="1">
      <alignment horizontal="right" vertical="center"/>
    </xf>
    <xf numFmtId="0" fontId="45" fillId="0" borderId="3" xfId="0" applyFont="1" applyBorder="1" applyAlignment="1">
      <alignment vertical="center"/>
    </xf>
    <xf numFmtId="0" fontId="34" fillId="0" borderId="123" xfId="0" applyFont="1" applyBorder="1" applyAlignment="1">
      <alignment horizontal="left" vertical="top" shrinkToFit="1"/>
    </xf>
    <xf numFmtId="0" fontId="34" fillId="0" borderId="123" xfId="0" applyFont="1" applyBorder="1" applyAlignment="1">
      <alignment horizontal="left" vertical="top"/>
    </xf>
    <xf numFmtId="0" fontId="34" fillId="0" borderId="123" xfId="0" applyFont="1" applyBorder="1" applyAlignment="1">
      <alignment horizontal="left" vertical="top" wrapText="1"/>
    </xf>
    <xf numFmtId="0" fontId="34" fillId="0" borderId="3" xfId="0" applyFont="1" applyBorder="1" applyAlignment="1">
      <alignment horizontal="left" vertical="top" wrapText="1"/>
    </xf>
    <xf numFmtId="0" fontId="34" fillId="0" borderId="3" xfId="0" applyFont="1" applyBorder="1" applyAlignment="1">
      <alignment horizontal="left" vertical="top"/>
    </xf>
    <xf numFmtId="4" fontId="34" fillId="0" borderId="0" xfId="0" applyNumberFormat="1" applyFont="1" applyAlignment="1">
      <alignment vertical="center"/>
    </xf>
    <xf numFmtId="0" fontId="49" fillId="0" borderId="0" xfId="0" applyFont="1" applyAlignment="1">
      <alignment horizontal="right" vertical="center"/>
    </xf>
    <xf numFmtId="0" fontId="49" fillId="0" borderId="0" xfId="0" applyNumberFormat="1" applyFont="1" applyAlignment="1">
      <alignment horizontal="left" vertical="center"/>
    </xf>
    <xf numFmtId="0" fontId="45" fillId="0" borderId="0" xfId="0" applyFont="1" applyAlignment="1">
      <alignment horizontal="left" vertical="center" shrinkToFit="1"/>
    </xf>
    <xf numFmtId="0" fontId="34" fillId="0" borderId="10" xfId="0" applyFont="1" applyBorder="1" applyAlignment="1">
      <alignment horizontal="center" vertical="center"/>
    </xf>
    <xf numFmtId="0" fontId="34" fillId="0" borderId="11" xfId="0" applyFont="1" applyBorder="1" applyAlignment="1">
      <alignment horizontal="center" vertical="center"/>
    </xf>
    <xf numFmtId="0" fontId="34" fillId="0" borderId="12" xfId="0" applyFont="1" applyBorder="1" applyAlignment="1">
      <alignment horizontal="center" vertical="center"/>
    </xf>
    <xf numFmtId="0" fontId="34" fillId="0" borderId="120" xfId="0" applyFont="1" applyBorder="1" applyAlignment="1">
      <alignment horizontal="left" vertical="center"/>
    </xf>
    <xf numFmtId="0" fontId="34" fillId="0" borderId="121" xfId="0" applyFont="1" applyBorder="1" applyAlignment="1">
      <alignment horizontal="left" vertical="center"/>
    </xf>
    <xf numFmtId="0" fontId="34" fillId="0" borderId="122" xfId="0" applyFont="1" applyBorder="1" applyAlignment="1">
      <alignment horizontal="left" vertical="center"/>
    </xf>
    <xf numFmtId="0" fontId="34" fillId="0" borderId="39" xfId="0" applyFont="1" applyBorder="1" applyAlignment="1">
      <alignment horizontal="left" vertical="center"/>
    </xf>
    <xf numFmtId="0" fontId="34" fillId="0" borderId="80" xfId="0" applyFont="1" applyBorder="1" applyAlignment="1">
      <alignment horizontal="left" vertical="center"/>
    </xf>
    <xf numFmtId="0" fontId="34" fillId="0" borderId="38" xfId="0" applyFont="1" applyBorder="1" applyAlignment="1">
      <alignment horizontal="left" vertical="center"/>
    </xf>
    <xf numFmtId="0" fontId="34" fillId="0" borderId="13" xfId="0" applyFont="1" applyBorder="1" applyAlignment="1">
      <alignment horizontal="center"/>
    </xf>
    <xf numFmtId="0" fontId="34" fillId="0" borderId="14" xfId="0" applyFont="1" applyBorder="1" applyAlignment="1">
      <alignment horizontal="center"/>
    </xf>
    <xf numFmtId="0" fontId="34" fillId="0" borderId="15" xfId="0" applyFont="1" applyBorder="1" applyAlignment="1">
      <alignment horizontal="center"/>
    </xf>
    <xf numFmtId="0" fontId="34" fillId="0" borderId="123" xfId="0" applyFont="1" applyBorder="1" applyAlignment="1">
      <alignment horizontal="center" vertical="center"/>
    </xf>
    <xf numFmtId="0" fontId="34" fillId="2" borderId="63" xfId="0" applyFont="1" applyFill="1" applyBorder="1" applyAlignment="1">
      <alignment horizontal="left" vertical="center"/>
    </xf>
    <xf numFmtId="0" fontId="34" fillId="2" borderId="8" xfId="0" applyFont="1" applyFill="1" applyBorder="1" applyAlignment="1">
      <alignment horizontal="left" vertical="center"/>
    </xf>
    <xf numFmtId="0" fontId="34" fillId="2" borderId="3" xfId="0" applyFont="1" applyFill="1" applyBorder="1" applyAlignment="1">
      <alignment horizontal="left" vertical="center"/>
    </xf>
    <xf numFmtId="0" fontId="34" fillId="2" borderId="9" xfId="0" applyFont="1" applyFill="1" applyBorder="1" applyAlignment="1">
      <alignment horizontal="left" vertical="center"/>
    </xf>
    <xf numFmtId="0" fontId="34" fillId="0" borderId="55" xfId="0" applyFont="1" applyBorder="1" applyAlignment="1">
      <alignment horizontal="center"/>
    </xf>
    <xf numFmtId="0" fontId="34" fillId="0" borderId="117" xfId="0" applyFont="1" applyBorder="1" applyAlignment="1">
      <alignment horizontal="center"/>
    </xf>
    <xf numFmtId="0" fontId="34" fillId="0" borderId="56" xfId="0" applyFont="1" applyBorder="1" applyAlignment="1">
      <alignment horizontal="center"/>
    </xf>
    <xf numFmtId="0" fontId="34" fillId="0" borderId="116" xfId="0" applyFont="1" applyFill="1" applyBorder="1" applyAlignment="1">
      <alignment horizontal="center"/>
    </xf>
    <xf numFmtId="0" fontId="34" fillId="0" borderId="118" xfId="0" applyFont="1" applyFill="1" applyBorder="1" applyAlignment="1">
      <alignment horizontal="center"/>
    </xf>
    <xf numFmtId="0" fontId="34" fillId="0" borderId="119" xfId="0" applyFont="1" applyFill="1" applyBorder="1" applyAlignment="1">
      <alignment horizontal="center"/>
    </xf>
    <xf numFmtId="0" fontId="55" fillId="0" borderId="0" xfId="0" applyFont="1" applyAlignment="1">
      <alignment horizontal="left" vertical="top" wrapText="1"/>
    </xf>
    <xf numFmtId="0" fontId="34" fillId="0" borderId="0" xfId="0" applyFont="1" applyFill="1" applyBorder="1" applyAlignment="1">
      <alignment horizontal="left" vertical="center"/>
    </xf>
    <xf numFmtId="0" fontId="34" fillId="2" borderId="37" xfId="0" applyFont="1" applyFill="1" applyBorder="1" applyAlignment="1">
      <alignment horizontal="center" vertical="center"/>
    </xf>
    <xf numFmtId="0" fontId="45" fillId="0" borderId="0" xfId="0" applyFont="1" applyAlignment="1">
      <alignment horizontal="left" vertical="top" wrapText="1"/>
    </xf>
    <xf numFmtId="0" fontId="45" fillId="0" borderId="143" xfId="0" applyFont="1" applyBorder="1" applyAlignment="1">
      <alignment horizontal="center" vertical="center"/>
    </xf>
    <xf numFmtId="0" fontId="49" fillId="0" borderId="0" xfId="0" applyFont="1" applyAlignment="1">
      <alignment horizontal="center" vertical="center"/>
    </xf>
    <xf numFmtId="0" fontId="49" fillId="0" borderId="0" xfId="0" applyFont="1" applyBorder="1" applyAlignment="1">
      <alignment horizontal="center" vertical="center"/>
    </xf>
    <xf numFmtId="0" fontId="49" fillId="0" borderId="0" xfId="0" applyFont="1" applyAlignment="1">
      <alignment horizontal="center" vertical="center" shrinkToFit="1"/>
    </xf>
    <xf numFmtId="0" fontId="34" fillId="0" borderId="0" xfId="0" applyFont="1" applyAlignment="1">
      <alignment horizontal="center" vertical="center"/>
    </xf>
    <xf numFmtId="14" fontId="34" fillId="0" borderId="0" xfId="0" applyNumberFormat="1" applyFont="1" applyAlignment="1">
      <alignment horizontal="left" vertical="center" wrapText="1"/>
    </xf>
    <xf numFmtId="49" fontId="45" fillId="0" borderId="0" xfId="0" applyNumberFormat="1" applyFont="1" applyAlignment="1">
      <alignment horizontal="left" vertical="center"/>
    </xf>
    <xf numFmtId="0" fontId="45" fillId="0" borderId="0" xfId="0" applyFont="1" applyAlignment="1">
      <alignment horizontal="center" vertical="top" wrapText="1"/>
    </xf>
    <xf numFmtId="49" fontId="45" fillId="0" borderId="0" xfId="0" applyNumberFormat="1" applyFont="1" applyAlignment="1">
      <alignment horizontal="left" vertical="top" wrapText="1"/>
    </xf>
    <xf numFmtId="0" fontId="34" fillId="0" borderId="0" xfId="0" applyFont="1" applyBorder="1" applyAlignment="1">
      <alignment horizontal="center" vertical="center"/>
    </xf>
    <xf numFmtId="0" fontId="45" fillId="0" borderId="0" xfId="0" applyFont="1" applyAlignment="1">
      <alignment horizontal="center" vertical="center"/>
    </xf>
    <xf numFmtId="0" fontId="45" fillId="0" borderId="0" xfId="0" applyFont="1" applyAlignment="1">
      <alignment horizontal="left" vertical="center" wrapText="1"/>
    </xf>
    <xf numFmtId="0" fontId="45" fillId="0" borderId="0" xfId="0" applyFont="1" applyAlignment="1">
      <alignment horizontal="left" vertical="center"/>
    </xf>
    <xf numFmtId="0" fontId="63" fillId="0" borderId="0" xfId="0" applyFont="1" applyAlignment="1">
      <alignment horizontal="center" vertical="center"/>
    </xf>
    <xf numFmtId="0" fontId="49" fillId="0" borderId="0" xfId="0" applyNumberFormat="1" applyFont="1" applyAlignment="1">
      <alignment horizontal="right" vertical="center"/>
    </xf>
    <xf numFmtId="3" fontId="34" fillId="0" borderId="0" xfId="0" applyNumberFormat="1" applyFont="1" applyAlignment="1">
      <alignment horizontal="right" vertical="center" shrinkToFit="1"/>
    </xf>
    <xf numFmtId="14" fontId="34" fillId="0" borderId="0" xfId="0" applyNumberFormat="1" applyFont="1" applyAlignment="1">
      <alignment horizontal="left" vertical="top" wrapText="1"/>
    </xf>
    <xf numFmtId="0" fontId="34" fillId="0" borderId="0" xfId="0" applyFont="1" applyAlignment="1">
      <alignment horizontal="left" vertical="center" shrinkToFit="1"/>
    </xf>
    <xf numFmtId="0" fontId="34" fillId="0" borderId="0" xfId="0" applyFont="1" applyAlignment="1">
      <alignment horizontal="right" vertical="center"/>
    </xf>
    <xf numFmtId="0" fontId="60" fillId="0" borderId="2" xfId="0" applyFont="1" applyBorder="1" applyAlignment="1">
      <alignment horizontal="center" vertical="center"/>
    </xf>
    <xf numFmtId="0" fontId="60" fillId="0" borderId="0" xfId="0" applyFont="1" applyBorder="1" applyAlignment="1">
      <alignment horizontal="center" vertical="center"/>
    </xf>
    <xf numFmtId="0" fontId="34" fillId="0" borderId="1" xfId="0" applyFont="1" applyBorder="1" applyAlignment="1">
      <alignment horizontal="right" vertical="center"/>
    </xf>
    <xf numFmtId="0" fontId="34" fillId="0" borderId="0" xfId="0" applyFont="1" applyAlignment="1">
      <alignment shrinkToFit="1"/>
    </xf>
    <xf numFmtId="0" fontId="42" fillId="0" borderId="0" xfId="0" applyFont="1" applyAlignment="1">
      <alignment horizontal="left" vertical="center" shrinkToFit="1"/>
    </xf>
    <xf numFmtId="185" fontId="61" fillId="0" borderId="0" xfId="2" applyNumberFormat="1" applyFont="1" applyFill="1" applyBorder="1" applyAlignment="1">
      <alignment horizontal="left" vertical="center" shrinkToFit="1"/>
    </xf>
    <xf numFmtId="0" fontId="34" fillId="0" borderId="0" xfId="0" applyFont="1" applyAlignment="1">
      <alignment horizontal="left" vertical="center"/>
    </xf>
    <xf numFmtId="0" fontId="38" fillId="0" borderId="0" xfId="0" applyFont="1" applyAlignment="1">
      <alignment horizontal="right" vertical="center"/>
    </xf>
    <xf numFmtId="164" fontId="34" fillId="0" borderId="0" xfId="0" applyNumberFormat="1" applyFont="1" applyAlignment="1">
      <alignment horizontal="left" vertical="center"/>
    </xf>
    <xf numFmtId="0" fontId="38" fillId="0" borderId="143" xfId="0" applyFont="1" applyBorder="1" applyAlignment="1">
      <alignment horizontal="center" vertical="center" shrinkToFit="1"/>
    </xf>
    <xf numFmtId="0" fontId="34" fillId="0" borderId="0" xfId="0" applyFont="1" applyAlignment="1">
      <alignment horizontal="left" vertical="top" wrapText="1"/>
    </xf>
    <xf numFmtId="0" fontId="38" fillId="0" borderId="0" xfId="0" applyFont="1" applyAlignment="1">
      <alignment horizontal="center" vertical="center" shrinkToFit="1"/>
    </xf>
    <xf numFmtId="186" fontId="34" fillId="0" borderId="145" xfId="0" applyNumberFormat="1" applyFont="1" applyBorder="1" applyAlignment="1">
      <alignment horizontal="center" vertical="center"/>
    </xf>
    <xf numFmtId="0" fontId="34" fillId="0" borderId="145" xfId="0" applyFont="1" applyBorder="1" applyAlignment="1">
      <alignment horizontal="center" vertical="center"/>
    </xf>
    <xf numFmtId="0" fontId="34" fillId="0" borderId="0" xfId="2" applyFont="1" applyFill="1" applyAlignment="1">
      <alignment horizontal="right" vertical="center"/>
    </xf>
    <xf numFmtId="0" fontId="34" fillId="0" borderId="0" xfId="2" applyFont="1" applyFill="1" applyAlignment="1">
      <alignment horizontal="center" vertical="center"/>
    </xf>
    <xf numFmtId="0" fontId="35" fillId="0" borderId="0" xfId="2" applyFont="1" applyFill="1" applyBorder="1" applyAlignment="1">
      <alignment horizontal="center" vertical="center"/>
    </xf>
    <xf numFmtId="0" fontId="35" fillId="0" borderId="0" xfId="0" applyFont="1" applyBorder="1" applyAlignment="1">
      <alignment horizontal="center" vertical="center"/>
    </xf>
    <xf numFmtId="186" fontId="34" fillId="0" borderId="0" xfId="2" applyNumberFormat="1" applyFont="1" applyFill="1" applyAlignment="1">
      <alignment horizontal="center" vertical="center"/>
    </xf>
    <xf numFmtId="14" fontId="34" fillId="0" borderId="0" xfId="0" applyNumberFormat="1" applyFont="1" applyAlignment="1">
      <alignment horizontal="right"/>
    </xf>
    <xf numFmtId="0" fontId="38" fillId="0" borderId="101" xfId="2" applyFont="1" applyFill="1" applyBorder="1" applyAlignment="1">
      <alignment horizontal="center" vertical="center" shrinkToFit="1"/>
    </xf>
    <xf numFmtId="0" fontId="38" fillId="0" borderId="0" xfId="2" applyFont="1" applyFill="1" applyAlignment="1">
      <alignment horizontal="center" vertical="center" shrinkToFit="1"/>
    </xf>
    <xf numFmtId="0" fontId="40" fillId="0" borderId="101" xfId="0" applyFont="1" applyBorder="1" applyAlignment="1">
      <alignment horizontal="center"/>
    </xf>
    <xf numFmtId="0" fontId="38" fillId="0" borderId="0" xfId="0" applyFont="1" applyAlignment="1">
      <alignment horizontal="distributed" readingOrder="1"/>
    </xf>
    <xf numFmtId="0" fontId="41" fillId="0" borderId="0" xfId="2" applyFont="1" applyFill="1" applyBorder="1" applyAlignment="1">
      <alignment horizontal="center" vertical="center"/>
    </xf>
    <xf numFmtId="0" fontId="46" fillId="0" borderId="0" xfId="2" applyFont="1" applyFill="1" applyBorder="1" applyAlignment="1">
      <alignment horizontal="left" vertical="center" wrapText="1" shrinkToFit="1"/>
    </xf>
    <xf numFmtId="0" fontId="34" fillId="0" borderId="0" xfId="2" applyFont="1" applyFill="1" applyAlignment="1">
      <alignment horizontal="center" vertical="center" shrinkToFit="1"/>
    </xf>
    <xf numFmtId="0" fontId="34" fillId="0" borderId="137" xfId="0" applyFont="1" applyBorder="1" applyAlignment="1">
      <alignment horizontal="left"/>
    </xf>
    <xf numFmtId="0" fontId="34" fillId="0" borderId="145" xfId="0" applyFont="1" applyBorder="1" applyAlignment="1">
      <alignment horizontal="left"/>
    </xf>
    <xf numFmtId="0" fontId="34" fillId="0" borderId="0" xfId="0" applyFont="1" applyAlignment="1">
      <alignment horizontal="center"/>
    </xf>
    <xf numFmtId="0" fontId="39" fillId="0" borderId="0" xfId="2" applyFont="1" applyFill="1" applyAlignment="1">
      <alignment horizontal="left" vertical="center" wrapText="1"/>
    </xf>
    <xf numFmtId="185" fontId="35" fillId="0" borderId="101" xfId="2" applyNumberFormat="1" applyFont="1" applyFill="1" applyBorder="1" applyAlignment="1">
      <alignment horizontal="center" vertical="center"/>
    </xf>
    <xf numFmtId="179" fontId="35" fillId="0" borderId="101" xfId="0" applyNumberFormat="1" applyFont="1" applyBorder="1" applyAlignment="1">
      <alignment horizontal="center"/>
    </xf>
    <xf numFmtId="0" fontId="34" fillId="0" borderId="0" xfId="0" applyFont="1" applyAlignment="1">
      <alignment horizontal="right"/>
    </xf>
    <xf numFmtId="0" fontId="34" fillId="0" borderId="100" xfId="2" applyFont="1" applyFill="1" applyBorder="1" applyAlignment="1">
      <alignment horizontal="left" vertical="center"/>
    </xf>
    <xf numFmtId="0" fontId="42" fillId="0" borderId="101" xfId="2" applyFont="1" applyFill="1" applyBorder="1" applyAlignment="1">
      <alignment horizontal="center"/>
    </xf>
    <xf numFmtId="0" fontId="34" fillId="0" borderId="100" xfId="0" applyFont="1" applyBorder="1" applyAlignment="1">
      <alignment horizontal="left"/>
    </xf>
    <xf numFmtId="0" fontId="34" fillId="0" borderId="145" xfId="0" applyFont="1" applyBorder="1" applyAlignment="1">
      <alignment horizontal="center"/>
    </xf>
    <xf numFmtId="0" fontId="34" fillId="0" borderId="80" xfId="2" applyFont="1" applyFill="1" applyBorder="1" applyAlignment="1">
      <alignment horizontal="center" vertical="center"/>
    </xf>
    <xf numFmtId="0" fontId="34" fillId="0" borderId="38" xfId="2" applyFont="1" applyFill="1" applyBorder="1" applyAlignment="1">
      <alignment horizontal="center" vertical="center"/>
    </xf>
    <xf numFmtId="0" fontId="39" fillId="0" borderId="79" xfId="0" applyFont="1" applyFill="1" applyBorder="1" applyAlignment="1">
      <alignment horizontal="center" vertical="center" wrapText="1"/>
    </xf>
    <xf numFmtId="0" fontId="39" fillId="0" borderId="68" xfId="0" applyFont="1" applyFill="1" applyBorder="1" applyAlignment="1">
      <alignment horizontal="center" vertical="center" wrapText="1"/>
    </xf>
    <xf numFmtId="0" fontId="39" fillId="0" borderId="78" xfId="0" applyFont="1" applyBorder="1" applyAlignment="1">
      <alignment horizontal="center" vertical="center" wrapText="1"/>
    </xf>
    <xf numFmtId="0" fontId="39" fillId="0" borderId="34" xfId="0" applyFont="1" applyBorder="1" applyAlignment="1">
      <alignment horizontal="center" vertical="center"/>
    </xf>
    <xf numFmtId="0" fontId="34" fillId="0" borderId="145" xfId="2" applyFont="1" applyFill="1" applyBorder="1" applyAlignment="1">
      <alignment horizontal="right" vertical="center"/>
    </xf>
    <xf numFmtId="0" fontId="39" fillId="0" borderId="79" xfId="2" applyFont="1" applyFill="1" applyBorder="1" applyAlignment="1">
      <alignment horizontal="center" vertical="center" wrapText="1"/>
    </xf>
    <xf numFmtId="0" fontId="39" fillId="0" borderId="68" xfId="2" applyFont="1" applyFill="1" applyBorder="1" applyAlignment="1">
      <alignment horizontal="center" vertical="center" wrapText="1"/>
    </xf>
    <xf numFmtId="0" fontId="43" fillId="0" borderId="78" xfId="2" applyFont="1" applyFill="1" applyBorder="1" applyAlignment="1">
      <alignment horizontal="center" vertical="center" wrapText="1"/>
    </xf>
    <xf numFmtId="0" fontId="43" fillId="0" borderId="34" xfId="2" applyFont="1" applyFill="1" applyBorder="1" applyAlignment="1">
      <alignment horizontal="center" vertical="center"/>
    </xf>
    <xf numFmtId="0" fontId="39" fillId="0" borderId="85" xfId="2" applyFont="1" applyFill="1" applyBorder="1" applyAlignment="1">
      <alignment horizontal="center" vertical="center" wrapText="1"/>
    </xf>
    <xf numFmtId="0" fontId="39" fillId="0" borderId="75" xfId="2" applyFont="1" applyFill="1" applyBorder="1" applyAlignment="1">
      <alignment horizontal="center" vertical="center" wrapText="1"/>
    </xf>
    <xf numFmtId="0" fontId="39" fillId="0" borderId="76" xfId="2" applyFont="1" applyFill="1" applyBorder="1" applyAlignment="1">
      <alignment horizontal="center" vertical="center" wrapText="1"/>
    </xf>
    <xf numFmtId="0" fontId="39" fillId="0" borderId="73" xfId="2" applyFont="1" applyFill="1" applyBorder="1" applyAlignment="1">
      <alignment horizontal="center" vertical="center" wrapText="1"/>
    </xf>
    <xf numFmtId="0" fontId="34" fillId="0" borderId="92" xfId="2" applyFont="1" applyFill="1" applyBorder="1" applyAlignment="1">
      <alignment horizontal="right" vertical="center" shrinkToFit="1"/>
    </xf>
    <xf numFmtId="0" fontId="34" fillId="0" borderId="87" xfId="2" applyFont="1" applyFill="1" applyBorder="1" applyAlignment="1">
      <alignment horizontal="right" vertical="center" shrinkToFit="1"/>
    </xf>
    <xf numFmtId="0" fontId="34" fillId="0" borderId="21" xfId="2" applyFont="1" applyFill="1" applyBorder="1" applyAlignment="1">
      <alignment horizontal="right" vertical="center" shrinkToFit="1"/>
    </xf>
    <xf numFmtId="0" fontId="34" fillId="0" borderId="92" xfId="0" applyFont="1" applyBorder="1" applyAlignment="1">
      <alignment horizontal="left"/>
    </xf>
    <xf numFmtId="0" fontId="34" fillId="0" borderId="87" xfId="0" applyFont="1" applyBorder="1" applyAlignment="1">
      <alignment horizontal="left"/>
    </xf>
    <xf numFmtId="0" fontId="39" fillId="0" borderId="75" xfId="0" applyFont="1" applyFill="1" applyBorder="1" applyAlignment="1">
      <alignment horizontal="center" vertical="center" wrapText="1"/>
    </xf>
    <xf numFmtId="0" fontId="39" fillId="0" borderId="76" xfId="0" applyFont="1" applyFill="1" applyBorder="1" applyAlignment="1">
      <alignment horizontal="center" vertical="center" wrapText="1"/>
    </xf>
    <xf numFmtId="0" fontId="39" fillId="0" borderId="73" xfId="0" applyFont="1" applyFill="1" applyBorder="1" applyAlignment="1">
      <alignment horizontal="center" vertical="center" wrapText="1"/>
    </xf>
    <xf numFmtId="0" fontId="34" fillId="0" borderId="87" xfId="2" applyNumberFormat="1" applyFont="1" applyFill="1" applyBorder="1" applyAlignment="1">
      <alignment horizontal="left" vertical="center" wrapText="1"/>
    </xf>
    <xf numFmtId="0" fontId="34" fillId="0" borderId="21" xfId="2" applyNumberFormat="1" applyFont="1" applyFill="1" applyBorder="1" applyAlignment="1">
      <alignment horizontal="left" vertical="center" wrapText="1"/>
    </xf>
    <xf numFmtId="0" fontId="34" fillId="0" borderId="87" xfId="2" applyNumberFormat="1" applyFont="1" applyFill="1" applyBorder="1" applyAlignment="1">
      <alignment horizontal="right" vertical="center"/>
    </xf>
    <xf numFmtId="0" fontId="34" fillId="0" borderId="21" xfId="2" applyNumberFormat="1" applyFont="1" applyFill="1" applyBorder="1" applyAlignment="1">
      <alignment horizontal="right" vertical="center"/>
    </xf>
    <xf numFmtId="0" fontId="34" fillId="0" borderId="92" xfId="0" applyFont="1" applyBorder="1" applyAlignment="1">
      <alignment horizontal="right"/>
    </xf>
    <xf numFmtId="0" fontId="34" fillId="0" borderId="87" xfId="0" applyFont="1" applyBorder="1" applyAlignment="1">
      <alignment horizontal="right"/>
    </xf>
    <xf numFmtId="0" fontId="34" fillId="0" borderId="21" xfId="0" applyFont="1" applyBorder="1" applyAlignment="1">
      <alignment horizontal="right"/>
    </xf>
    <xf numFmtId="0" fontId="34" fillId="0" borderId="92" xfId="0" applyFont="1" applyBorder="1" applyAlignment="1">
      <alignment horizontal="center"/>
    </xf>
    <xf numFmtId="0" fontId="34" fillId="0" borderId="87" xfId="0" applyFont="1" applyBorder="1" applyAlignment="1">
      <alignment horizontal="center"/>
    </xf>
    <xf numFmtId="0" fontId="34" fillId="0" borderId="21" xfId="0" applyFont="1" applyBorder="1" applyAlignment="1">
      <alignment horizontal="center"/>
    </xf>
    <xf numFmtId="0" fontId="39" fillId="0" borderId="85" xfId="0" applyFont="1" applyFill="1" applyBorder="1" applyAlignment="1">
      <alignment horizontal="center" vertical="center" wrapText="1"/>
    </xf>
    <xf numFmtId="0" fontId="34" fillId="0" borderId="92" xfId="2" applyNumberFormat="1" applyFont="1" applyFill="1" applyBorder="1" applyAlignment="1">
      <alignment horizontal="left" vertical="center"/>
    </xf>
    <xf numFmtId="0" fontId="34" fillId="0" borderId="87" xfId="2" applyNumberFormat="1" applyFont="1" applyFill="1" applyBorder="1" applyAlignment="1">
      <alignment horizontal="left" vertical="center"/>
    </xf>
    <xf numFmtId="0" fontId="34" fillId="0" borderId="21" xfId="2" applyNumberFormat="1" applyFont="1" applyFill="1" applyBorder="1" applyAlignment="1">
      <alignment horizontal="left" vertical="center"/>
    </xf>
    <xf numFmtId="0" fontId="34" fillId="0" borderId="86" xfId="2" applyFont="1" applyFill="1" applyBorder="1" applyAlignment="1">
      <alignment horizontal="center" vertical="center"/>
    </xf>
    <xf numFmtId="0" fontId="34" fillId="0" borderId="80" xfId="0" applyFont="1" applyBorder="1" applyAlignment="1">
      <alignment horizontal="center"/>
    </xf>
    <xf numFmtId="0" fontId="34" fillId="0" borderId="86" xfId="0" applyFont="1" applyBorder="1" applyAlignment="1">
      <alignment horizontal="center"/>
    </xf>
    <xf numFmtId="0" fontId="34" fillId="0" borderId="92" xfId="2" applyNumberFormat="1" applyFont="1" applyFill="1" applyBorder="1" applyAlignment="1">
      <alignment horizontal="right" vertical="center"/>
    </xf>
    <xf numFmtId="0" fontId="34" fillId="0" borderId="92" xfId="2" applyFont="1" applyFill="1" applyBorder="1" applyAlignment="1">
      <alignment horizontal="right" vertical="center"/>
    </xf>
    <xf numFmtId="0" fontId="34" fillId="0" borderId="87" xfId="2" applyFont="1" applyFill="1" applyBorder="1" applyAlignment="1">
      <alignment horizontal="right" vertical="center"/>
    </xf>
    <xf numFmtId="0" fontId="34" fillId="0" borderId="21" xfId="2" applyFont="1" applyFill="1" applyBorder="1" applyAlignment="1">
      <alignment horizontal="right" vertical="center"/>
    </xf>
    <xf numFmtId="0" fontId="34" fillId="0" borderId="90" xfId="2" applyFont="1" applyFill="1" applyBorder="1" applyAlignment="1">
      <alignment horizontal="right" vertical="center"/>
    </xf>
    <xf numFmtId="0" fontId="34" fillId="0" borderId="89" xfId="2" applyFont="1" applyFill="1" applyBorder="1" applyAlignment="1">
      <alignment horizontal="right" vertical="center"/>
    </xf>
    <xf numFmtId="0" fontId="34" fillId="0" borderId="17" xfId="2" applyFont="1" applyFill="1" applyBorder="1" applyAlignment="1">
      <alignment horizontal="right" vertical="center"/>
    </xf>
    <xf numFmtId="0" fontId="34" fillId="0" borderId="90" xfId="0" applyFont="1" applyBorder="1" applyAlignment="1">
      <alignment horizontal="right"/>
    </xf>
    <xf numFmtId="0" fontId="34" fillId="0" borderId="89" xfId="0" applyFont="1" applyBorder="1" applyAlignment="1">
      <alignment horizontal="right"/>
    </xf>
    <xf numFmtId="0" fontId="34" fillId="0" borderId="17" xfId="0" applyFont="1" applyBorder="1" applyAlignment="1">
      <alignment horizontal="right"/>
    </xf>
    <xf numFmtId="49" fontId="34" fillId="0" borderId="0" xfId="0" applyNumberFormat="1" applyFont="1" applyAlignment="1">
      <alignment horizontal="left" vertical="center"/>
    </xf>
    <xf numFmtId="0" fontId="39" fillId="0" borderId="0" xfId="0" applyFont="1" applyAlignment="1">
      <alignment horizontal="left" vertical="top" wrapText="1"/>
    </xf>
    <xf numFmtId="0" fontId="61" fillId="0" borderId="0" xfId="0" applyFont="1" applyAlignment="1">
      <alignment shrinkToFit="1"/>
    </xf>
    <xf numFmtId="0" fontId="34" fillId="0" borderId="37" xfId="0" applyFont="1" applyBorder="1" applyAlignment="1">
      <alignment horizontal="left" vertical="top" wrapText="1"/>
    </xf>
    <xf numFmtId="0" fontId="34" fillId="0" borderId="134" xfId="0" applyFont="1" applyBorder="1" applyAlignment="1">
      <alignment horizontal="left" vertical="center" wrapText="1"/>
    </xf>
    <xf numFmtId="0" fontId="34" fillId="0" borderId="123" xfId="0" applyFont="1" applyBorder="1" applyAlignment="1">
      <alignment horizontal="left" vertical="center" wrapText="1"/>
    </xf>
    <xf numFmtId="0" fontId="34" fillId="0" borderId="124" xfId="0" applyFont="1" applyBorder="1" applyAlignment="1">
      <alignment horizontal="left" vertical="center" wrapText="1"/>
    </xf>
    <xf numFmtId="0" fontId="34" fillId="0" borderId="135" xfId="0" applyFont="1" applyBorder="1" applyAlignment="1">
      <alignment horizontal="left" vertical="center" wrapText="1"/>
    </xf>
    <xf numFmtId="0" fontId="34" fillId="0" borderId="0" xfId="0" applyFont="1" applyBorder="1" applyAlignment="1">
      <alignment horizontal="left" vertical="center" wrapText="1"/>
    </xf>
    <xf numFmtId="0" fontId="34" fillId="0" borderId="30" xfId="0" applyFont="1" applyBorder="1" applyAlignment="1">
      <alignment horizontal="left" vertical="center" wrapText="1"/>
    </xf>
    <xf numFmtId="0" fontId="34" fillId="0" borderId="8" xfId="0" applyFont="1" applyBorder="1" applyAlignment="1">
      <alignment horizontal="left" vertical="center"/>
    </xf>
    <xf numFmtId="0" fontId="34" fillId="0" borderId="3" xfId="0" applyFont="1" applyBorder="1" applyAlignment="1">
      <alignment horizontal="left" vertical="center"/>
    </xf>
    <xf numFmtId="0" fontId="34" fillId="0" borderId="9" xfId="0" applyFont="1" applyBorder="1" applyAlignment="1">
      <alignment horizontal="left" vertical="center"/>
    </xf>
    <xf numFmtId="164" fontId="34" fillId="0" borderId="145" xfId="0" applyNumberFormat="1" applyFont="1" applyBorder="1" applyAlignment="1">
      <alignment horizontal="center" vertical="center"/>
    </xf>
    <xf numFmtId="3" fontId="45" fillId="0" borderId="0" xfId="0" applyNumberFormat="1" applyFont="1" applyAlignment="1">
      <alignment horizontal="center" vertical="top" wrapText="1"/>
    </xf>
    <xf numFmtId="0" fontId="59" fillId="0" borderId="0" xfId="0" applyFont="1" applyAlignment="1">
      <alignment horizontal="center" vertical="center"/>
    </xf>
    <xf numFmtId="0" fontId="34" fillId="0" borderId="0" xfId="0" applyFont="1" applyAlignment="1">
      <alignment horizontal="left" vertical="center" wrapText="1"/>
    </xf>
    <xf numFmtId="0" fontId="38" fillId="0" borderId="143" xfId="0" applyFont="1" applyBorder="1" applyAlignment="1">
      <alignment horizontal="center" vertical="center"/>
    </xf>
    <xf numFmtId="0" fontId="34" fillId="0" borderId="134" xfId="0" applyFont="1" applyBorder="1" applyAlignment="1">
      <alignment horizontal="center" vertical="center"/>
    </xf>
    <xf numFmtId="0" fontId="34" fillId="0" borderId="124" xfId="0" applyFont="1" applyBorder="1" applyAlignment="1">
      <alignment horizontal="center" vertical="center"/>
    </xf>
    <xf numFmtId="0" fontId="34" fillId="0" borderId="8" xfId="0" applyFont="1" applyBorder="1" applyAlignment="1">
      <alignment horizontal="center" vertical="center"/>
    </xf>
    <xf numFmtId="0" fontId="34" fillId="0" borderId="3" xfId="0" applyFont="1" applyBorder="1" applyAlignment="1">
      <alignment horizontal="center" vertical="center"/>
    </xf>
    <xf numFmtId="0" fontId="34" fillId="0" borderId="9" xfId="0" applyFont="1" applyBorder="1" applyAlignment="1">
      <alignment horizontal="center" vertical="center"/>
    </xf>
    <xf numFmtId="0" fontId="34" fillId="0" borderId="123" xfId="0" applyFont="1" applyBorder="1" applyAlignment="1">
      <alignment horizontal="right" vertical="top" wrapText="1"/>
    </xf>
    <xf numFmtId="0" fontId="34" fillId="0" borderId="124" xfId="0" applyFont="1" applyBorder="1" applyAlignment="1">
      <alignment horizontal="right" vertical="top" wrapText="1"/>
    </xf>
    <xf numFmtId="0" fontId="34" fillId="0" borderId="3" xfId="0" applyFont="1" applyBorder="1" applyAlignment="1">
      <alignment horizontal="right" vertical="top" wrapText="1"/>
    </xf>
    <xf numFmtId="0" fontId="34" fillId="0" borderId="9" xfId="0" applyFont="1" applyBorder="1" applyAlignment="1">
      <alignment horizontal="right" vertical="top" wrapText="1"/>
    </xf>
    <xf numFmtId="0" fontId="38" fillId="0" borderId="0" xfId="0" applyFont="1" applyAlignment="1">
      <alignment horizontal="left" vertical="center" shrinkToFit="1"/>
    </xf>
    <xf numFmtId="0" fontId="34" fillId="0" borderId="135" xfId="0" applyFont="1" applyBorder="1" applyAlignment="1">
      <alignment horizontal="center" vertical="center"/>
    </xf>
    <xf numFmtId="0" fontId="34" fillId="0" borderId="30" xfId="0" applyFont="1" applyBorder="1" applyAlignment="1">
      <alignment horizontal="center" vertical="center"/>
    </xf>
    <xf numFmtId="0" fontId="34" fillId="0" borderId="37" xfId="0" applyFont="1" applyBorder="1" applyAlignment="1">
      <alignment horizontal="center" vertical="center"/>
    </xf>
    <xf numFmtId="49" fontId="34" fillId="0" borderId="37" xfId="0" applyNumberFormat="1" applyFont="1" applyBorder="1" applyAlignment="1">
      <alignment horizontal="left" vertical="top" wrapText="1"/>
    </xf>
    <xf numFmtId="0" fontId="34" fillId="0" borderId="0" xfId="0" applyFont="1" applyAlignment="1">
      <alignment horizontal="left" vertical="top"/>
    </xf>
    <xf numFmtId="3" fontId="38" fillId="0" borderId="0" xfId="0" applyNumberFormat="1" applyFont="1" applyAlignment="1">
      <alignment horizontal="center" vertical="top"/>
    </xf>
    <xf numFmtId="0" fontId="62" fillId="0" borderId="0" xfId="0" applyFont="1" applyAlignment="1">
      <alignment horizontal="left" vertical="top" wrapText="1"/>
    </xf>
    <xf numFmtId="0" fontId="62" fillId="0" borderId="0" xfId="0" applyFont="1" applyAlignment="1">
      <alignment horizontal="left" vertical="top"/>
    </xf>
    <xf numFmtId="1" fontId="34" fillId="12" borderId="0" xfId="5" applyNumberFormat="1" applyFont="1" applyFill="1" applyBorder="1" applyAlignment="1" applyProtection="1">
      <alignment horizontal="left"/>
      <protection locked="0"/>
    </xf>
    <xf numFmtId="164" fontId="34" fillId="12" borderId="0" xfId="5" applyNumberFormat="1" applyFont="1" applyFill="1" applyBorder="1" applyAlignment="1" applyProtection="1">
      <alignment horizontal="left"/>
      <protection locked="0"/>
    </xf>
    <xf numFmtId="165" fontId="34" fillId="12" borderId="0" xfId="5" applyNumberFormat="1" applyFont="1" applyFill="1" applyBorder="1" applyAlignment="1" applyProtection="1">
      <alignment horizontal="left"/>
      <protection locked="0"/>
    </xf>
    <xf numFmtId="0" fontId="34" fillId="11" borderId="0" xfId="5" applyFont="1" applyFill="1" applyBorder="1" applyAlignment="1" applyProtection="1">
      <alignment horizontal="left"/>
    </xf>
    <xf numFmtId="0" fontId="34" fillId="11" borderId="0" xfId="5" applyFont="1" applyFill="1" applyAlignment="1" applyProtection="1">
      <alignment horizontal="center"/>
    </xf>
    <xf numFmtId="0" fontId="34" fillId="12" borderId="143" xfId="5" applyFont="1" applyFill="1" applyBorder="1" applyAlignment="1" applyProtection="1">
      <alignment horizontal="center"/>
      <protection locked="0"/>
    </xf>
    <xf numFmtId="0" fontId="38" fillId="11" borderId="129" xfId="5" applyFont="1" applyFill="1" applyBorder="1" applyAlignment="1" applyProtection="1">
      <alignment horizontal="center" shrinkToFit="1"/>
    </xf>
    <xf numFmtId="0" fontId="38" fillId="11" borderId="138" xfId="5" applyFont="1" applyFill="1" applyBorder="1" applyAlignment="1" applyProtection="1">
      <alignment horizontal="center" shrinkToFit="1"/>
    </xf>
    <xf numFmtId="0" fontId="38" fillId="11" borderId="26" xfId="5" applyFont="1" applyFill="1" applyBorder="1" applyAlignment="1" applyProtection="1">
      <alignment horizontal="center" shrinkToFit="1"/>
    </xf>
    <xf numFmtId="37" fontId="34" fillId="12" borderId="143" xfId="5" applyNumberFormat="1" applyFont="1" applyFill="1" applyBorder="1" applyAlignment="1" applyProtection="1">
      <alignment horizontal="left" vertical="center"/>
      <protection locked="0"/>
    </xf>
    <xf numFmtId="37" fontId="34" fillId="12" borderId="142" xfId="5" applyNumberFormat="1" applyFont="1" applyFill="1" applyBorder="1" applyAlignment="1" applyProtection="1">
      <alignment horizontal="left" vertical="center"/>
      <protection locked="0"/>
    </xf>
    <xf numFmtId="0" fontId="38" fillId="13" borderId="143" xfId="5" applyFont="1" applyFill="1" applyBorder="1" applyAlignment="1" applyProtection="1">
      <alignment horizontal="center" vertical="center" shrinkToFit="1"/>
    </xf>
    <xf numFmtId="0" fontId="38" fillId="13" borderId="124" xfId="5" applyFont="1" applyFill="1" applyBorder="1" applyAlignment="1" applyProtection="1">
      <alignment horizontal="center" vertical="center" shrinkToFit="1"/>
    </xf>
    <xf numFmtId="0" fontId="38" fillId="13" borderId="145" xfId="5" applyFont="1" applyFill="1" applyBorder="1" applyAlignment="1" applyProtection="1">
      <alignment horizontal="center" vertical="center" shrinkToFit="1"/>
    </xf>
    <xf numFmtId="0" fontId="38" fillId="13" borderId="9" xfId="5" applyFont="1" applyFill="1" applyBorder="1" applyAlignment="1" applyProtection="1">
      <alignment horizontal="center" vertical="center" shrinkToFit="1"/>
    </xf>
    <xf numFmtId="0" fontId="34" fillId="11" borderId="143" xfId="5" applyFont="1" applyFill="1" applyBorder="1" applyAlignment="1" applyProtection="1">
      <alignment horizontal="center" vertical="center" shrinkToFit="1"/>
    </xf>
    <xf numFmtId="0" fontId="34" fillId="11" borderId="124" xfId="5" applyFont="1" applyFill="1" applyBorder="1" applyAlignment="1" applyProtection="1">
      <alignment horizontal="center" vertical="center" shrinkToFit="1"/>
    </xf>
    <xf numFmtId="0" fontId="34" fillId="11" borderId="0" xfId="5" applyFont="1" applyFill="1" applyBorder="1" applyAlignment="1" applyProtection="1">
      <alignment horizontal="center" vertical="center"/>
    </xf>
    <xf numFmtId="0" fontId="34" fillId="11" borderId="141" xfId="5" applyFont="1" applyFill="1" applyBorder="1" applyAlignment="1" applyProtection="1">
      <alignment horizontal="center" vertical="center"/>
    </xf>
    <xf numFmtId="0" fontId="34" fillId="11" borderId="129" xfId="5" applyFont="1" applyFill="1" applyBorder="1" applyAlignment="1" applyProtection="1">
      <alignment horizontal="center"/>
    </xf>
    <xf numFmtId="0" fontId="34" fillId="11" borderId="149" xfId="5" applyFont="1" applyFill="1" applyBorder="1" applyAlignment="1" applyProtection="1">
      <alignment horizontal="center"/>
    </xf>
    <xf numFmtId="0" fontId="56" fillId="15" borderId="0" xfId="5" applyFont="1" applyFill="1" applyAlignment="1" applyProtection="1">
      <alignment horizontal="center" vertical="center" shrinkToFit="1"/>
      <protection locked="0"/>
    </xf>
    <xf numFmtId="0" fontId="46" fillId="0" borderId="0" xfId="5" applyFont="1" applyAlignment="1" applyProtection="1">
      <alignment horizontal="left" wrapText="1"/>
    </xf>
    <xf numFmtId="0" fontId="34" fillId="11" borderId="0" xfId="5" applyFont="1" applyFill="1" applyAlignment="1" applyProtection="1">
      <alignment horizontal="left"/>
    </xf>
    <xf numFmtId="0" fontId="34" fillId="12" borderId="0" xfId="5" applyFont="1" applyFill="1" applyBorder="1" applyAlignment="1" applyProtection="1">
      <alignment horizontal="left" shrinkToFit="1"/>
      <protection locked="0"/>
    </xf>
    <xf numFmtId="0" fontId="43" fillId="12" borderId="0" xfId="5" applyFont="1" applyFill="1" applyBorder="1" applyAlignment="1" applyProtection="1">
      <alignment horizontal="left" wrapText="1"/>
      <protection locked="0"/>
    </xf>
    <xf numFmtId="0" fontId="36" fillId="0" borderId="0" xfId="2" applyFont="1" applyBorder="1" applyAlignment="1">
      <alignment horizontal="left"/>
    </xf>
    <xf numFmtId="0" fontId="36" fillId="0" borderId="0" xfId="2" applyFont="1" applyAlignment="1">
      <alignment horizontal="center" shrinkToFit="1"/>
    </xf>
    <xf numFmtId="0" fontId="48" fillId="0" borderId="70" xfId="2" applyFont="1" applyBorder="1" applyAlignment="1">
      <alignment horizontal="center" vertical="center" wrapText="1"/>
    </xf>
    <xf numFmtId="0" fontId="48" fillId="0" borderId="67" xfId="2" applyFont="1" applyBorder="1" applyAlignment="1">
      <alignment horizontal="center" vertical="center"/>
    </xf>
    <xf numFmtId="165" fontId="45" fillId="0" borderId="3" xfId="2" applyNumberFormat="1" applyFont="1" applyBorder="1" applyAlignment="1">
      <alignment horizontal="left"/>
    </xf>
    <xf numFmtId="0" fontId="45" fillId="0" borderId="75" xfId="2" applyFont="1" applyBorder="1" applyAlignment="1">
      <alignment horizontal="center" vertical="center" shrinkToFit="1"/>
    </xf>
    <xf numFmtId="0" fontId="45" fillId="0" borderId="74" xfId="2" applyFont="1" applyBorder="1" applyAlignment="1">
      <alignment horizontal="center" vertical="center" shrinkToFit="1"/>
    </xf>
    <xf numFmtId="0" fontId="45" fillId="0" borderId="73" xfId="2" applyFont="1" applyBorder="1" applyAlignment="1">
      <alignment horizontal="center" vertical="center" shrinkToFit="1"/>
    </xf>
    <xf numFmtId="0" fontId="43" fillId="0" borderId="77" xfId="2" applyFont="1" applyBorder="1" applyAlignment="1">
      <alignment horizontal="center" vertical="center" shrinkToFit="1"/>
    </xf>
    <xf numFmtId="0" fontId="43" fillId="0" borderId="76" xfId="2" applyFont="1" applyBorder="1" applyAlignment="1">
      <alignment horizontal="center" vertical="center" shrinkToFit="1"/>
    </xf>
    <xf numFmtId="0" fontId="45" fillId="0" borderId="42" xfId="2" applyFont="1" applyBorder="1" applyAlignment="1">
      <alignment horizontal="center" vertical="center"/>
    </xf>
    <xf numFmtId="0" fontId="45" fillId="0" borderId="34" xfId="2" applyFont="1" applyBorder="1" applyAlignment="1">
      <alignment horizontal="center" vertical="center"/>
    </xf>
    <xf numFmtId="0" fontId="46" fillId="0" borderId="80" xfId="2" applyFont="1" applyBorder="1" applyAlignment="1">
      <alignment horizontal="center"/>
    </xf>
    <xf numFmtId="0" fontId="35" fillId="0" borderId="3" xfId="2" applyFont="1" applyBorder="1" applyAlignment="1">
      <alignment horizontal="center" shrinkToFit="1"/>
    </xf>
    <xf numFmtId="0" fontId="45" fillId="0" borderId="39" xfId="2" applyFont="1" applyBorder="1" applyAlignment="1">
      <alignment horizontal="center" vertical="center" shrinkToFit="1"/>
    </xf>
    <xf numFmtId="0" fontId="45" fillId="0" borderId="80" xfId="2" applyFont="1" applyBorder="1" applyAlignment="1">
      <alignment horizontal="center" vertical="center" shrinkToFit="1"/>
    </xf>
    <xf numFmtId="0" fontId="45" fillId="0" borderId="69" xfId="2" applyFont="1" applyBorder="1" applyAlignment="1">
      <alignment horizontal="center" vertical="center" shrinkToFit="1"/>
    </xf>
    <xf numFmtId="170" fontId="45" fillId="0" borderId="79" xfId="2" applyNumberFormat="1" applyFont="1" applyBorder="1" applyAlignment="1">
      <alignment horizontal="center" vertical="center"/>
    </xf>
    <xf numFmtId="170" fontId="45" fillId="0" borderId="72" xfId="2" applyNumberFormat="1" applyFont="1" applyBorder="1" applyAlignment="1">
      <alignment horizontal="center" vertical="center"/>
    </xf>
    <xf numFmtId="170" fontId="45" fillId="0" borderId="68" xfId="2" applyNumberFormat="1" applyFont="1" applyBorder="1" applyAlignment="1">
      <alignment horizontal="center" vertical="center"/>
    </xf>
    <xf numFmtId="0" fontId="45" fillId="0" borderId="78" xfId="2" applyFont="1" applyBorder="1" applyAlignment="1">
      <alignment horizontal="center" vertical="center" shrinkToFit="1"/>
    </xf>
    <xf numFmtId="0" fontId="45" fillId="0" borderId="71" xfId="2" applyFont="1" applyBorder="1" applyAlignment="1">
      <alignment horizontal="center" vertical="center" shrinkToFit="1"/>
    </xf>
    <xf numFmtId="0" fontId="45" fillId="0" borderId="34" xfId="2" applyFont="1" applyBorder="1" applyAlignment="1">
      <alignment horizontal="center" vertical="center" shrinkToFit="1"/>
    </xf>
    <xf numFmtId="0" fontId="45" fillId="0" borderId="78" xfId="2" applyFont="1" applyBorder="1" applyAlignment="1">
      <alignment horizontal="center" vertical="center" wrapText="1" shrinkToFit="1"/>
    </xf>
    <xf numFmtId="0" fontId="45" fillId="0" borderId="71" xfId="2" applyFont="1" applyBorder="1" applyAlignment="1">
      <alignment horizontal="center" vertical="center" wrapText="1" shrinkToFit="1"/>
    </xf>
    <xf numFmtId="0" fontId="45" fillId="0" borderId="34" xfId="2" applyFont="1" applyBorder="1" applyAlignment="1">
      <alignment horizontal="center" vertical="center" wrapText="1" shrinkToFit="1"/>
    </xf>
    <xf numFmtId="3" fontId="47" fillId="0" borderId="37" xfId="2" applyNumberFormat="1" applyFont="1" applyBorder="1" applyAlignment="1">
      <alignment horizontal="center" vertical="center" wrapText="1"/>
    </xf>
    <xf numFmtId="170" fontId="45" fillId="0" borderId="78" xfId="2" applyNumberFormat="1" applyFont="1" applyBorder="1" applyAlignment="1">
      <alignment horizontal="center" vertical="center" wrapText="1"/>
    </xf>
    <xf numFmtId="170" fontId="45" fillId="0" borderId="71" xfId="2" applyNumberFormat="1" applyFont="1" applyBorder="1" applyAlignment="1">
      <alignment horizontal="center" vertical="center"/>
    </xf>
    <xf numFmtId="170" fontId="45" fillId="0" borderId="34" xfId="2" applyNumberFormat="1" applyFont="1" applyBorder="1" applyAlignment="1">
      <alignment horizontal="center" vertical="center"/>
    </xf>
    <xf numFmtId="0" fontId="45" fillId="0" borderId="75" xfId="2" applyFont="1" applyBorder="1" applyAlignment="1">
      <alignment horizontal="center" vertical="center"/>
    </xf>
    <xf numFmtId="0" fontId="45" fillId="0" borderId="74" xfId="2" applyFont="1" applyBorder="1" applyAlignment="1">
      <alignment horizontal="center" vertical="center"/>
    </xf>
    <xf numFmtId="0" fontId="45" fillId="0" borderId="76" xfId="2" applyFont="1" applyBorder="1" applyAlignment="1">
      <alignment horizontal="center" vertical="center"/>
    </xf>
    <xf numFmtId="166" fontId="45" fillId="0" borderId="42" xfId="2" applyNumberFormat="1" applyFont="1" applyBorder="1" applyAlignment="1">
      <alignment horizontal="center" vertical="center" wrapText="1" shrinkToFit="1"/>
    </xf>
    <xf numFmtId="166" fontId="45" fillId="0" borderId="34" xfId="2" applyNumberFormat="1" applyFont="1" applyBorder="1" applyAlignment="1">
      <alignment horizontal="center" vertical="center" shrinkToFit="1"/>
    </xf>
    <xf numFmtId="166" fontId="45" fillId="0" borderId="124" xfId="2" applyNumberFormat="1" applyFont="1" applyBorder="1" applyAlignment="1">
      <alignment horizontal="center" vertical="center" wrapText="1" shrinkToFit="1"/>
    </xf>
    <xf numFmtId="166" fontId="45" fillId="0" borderId="9" xfId="2" applyNumberFormat="1" applyFont="1" applyBorder="1" applyAlignment="1">
      <alignment horizontal="center" vertical="center" shrinkToFit="1"/>
    </xf>
    <xf numFmtId="0" fontId="48" fillId="0" borderId="42" xfId="2" applyFont="1" applyBorder="1" applyAlignment="1">
      <alignment horizontal="center" vertical="center" wrapText="1" shrinkToFit="1"/>
    </xf>
    <xf numFmtId="0" fontId="48" fillId="0" borderId="34" xfId="2" applyFont="1" applyBorder="1" applyAlignment="1">
      <alignment horizontal="center" vertical="center" shrinkToFit="1"/>
    </xf>
    <xf numFmtId="0" fontId="24" fillId="0" borderId="126" xfId="2" applyFont="1" applyBorder="1" applyAlignment="1">
      <alignment horizontal="center" vertical="top" wrapText="1"/>
    </xf>
    <xf numFmtId="0" fontId="24" fillId="0" borderId="127" xfId="2" applyFont="1" applyBorder="1" applyAlignment="1">
      <alignment horizontal="center" vertical="top" wrapText="1"/>
    </xf>
    <xf numFmtId="0" fontId="24" fillId="0" borderId="105" xfId="2" applyFont="1" applyBorder="1" applyAlignment="1">
      <alignment horizontal="center" vertical="top" wrapText="1"/>
    </xf>
    <xf numFmtId="0" fontId="7" fillId="0" borderId="0" xfId="2" applyFont="1" applyAlignment="1">
      <alignment horizontal="left" vertical="top" wrapText="1"/>
    </xf>
    <xf numFmtId="0" fontId="20" fillId="0" borderId="78" xfId="2" applyFont="1" applyBorder="1" applyAlignment="1">
      <alignment horizontal="left" vertical="top" wrapText="1"/>
    </xf>
    <xf numFmtId="0" fontId="20" fillId="0" borderId="71" xfId="2" applyFont="1" applyBorder="1" applyAlignment="1">
      <alignment horizontal="left" vertical="top" wrapText="1"/>
    </xf>
    <xf numFmtId="0" fontId="20" fillId="0" borderId="131" xfId="2" applyFont="1" applyBorder="1" applyAlignment="1">
      <alignment horizontal="left" vertical="top" wrapText="1"/>
    </xf>
    <xf numFmtId="0" fontId="8" fillId="0" borderId="125" xfId="2" applyFont="1" applyBorder="1" applyAlignment="1">
      <alignment horizontal="left" vertical="top"/>
    </xf>
    <xf numFmtId="0" fontId="8" fillId="0" borderId="130" xfId="2" applyFont="1" applyBorder="1" applyAlignment="1">
      <alignment horizontal="left" vertical="top"/>
    </xf>
    <xf numFmtId="0" fontId="8" fillId="0" borderId="132" xfId="2" applyFont="1" applyBorder="1" applyAlignment="1">
      <alignment horizontal="left" vertical="top"/>
    </xf>
    <xf numFmtId="181" fontId="27" fillId="6" borderId="45" xfId="3" applyNumberFormat="1" applyFont="1" applyFill="1" applyBorder="1" applyAlignment="1">
      <alignment horizontal="center" vertical="center" wrapText="1"/>
    </xf>
    <xf numFmtId="181" fontId="27" fillId="6" borderId="44" xfId="3" applyNumberFormat="1" applyFont="1" applyFill="1" applyBorder="1" applyAlignment="1">
      <alignment horizontal="center" vertical="center" wrapText="1"/>
    </xf>
    <xf numFmtId="0" fontId="29" fillId="0" borderId="101" xfId="2" applyFont="1" applyBorder="1" applyAlignment="1">
      <alignment horizontal="center"/>
    </xf>
    <xf numFmtId="0" fontId="20" fillId="0" borderId="85" xfId="2" applyFont="1" applyFill="1" applyBorder="1" applyAlignment="1">
      <alignment horizontal="center" vertical="center" wrapText="1"/>
    </xf>
    <xf numFmtId="0" fontId="20" fillId="0" borderId="75" xfId="2" applyFont="1" applyFill="1" applyBorder="1" applyAlignment="1">
      <alignment horizontal="center" vertical="center" wrapText="1"/>
    </xf>
    <xf numFmtId="0" fontId="20" fillId="0" borderId="76" xfId="2" applyFont="1" applyFill="1" applyBorder="1" applyAlignment="1">
      <alignment horizontal="center" vertical="center" wrapText="1"/>
    </xf>
    <xf numFmtId="0" fontId="20" fillId="0" borderId="73" xfId="2" applyFont="1" applyFill="1" applyBorder="1" applyAlignment="1">
      <alignment horizontal="center" vertical="center" wrapText="1"/>
    </xf>
    <xf numFmtId="0" fontId="20" fillId="0" borderId="79" xfId="2" applyFont="1" applyFill="1" applyBorder="1" applyAlignment="1">
      <alignment horizontal="center" vertical="center" wrapText="1"/>
    </xf>
    <xf numFmtId="0" fontId="20" fillId="0" borderId="68" xfId="2" applyFont="1" applyFill="1" applyBorder="1" applyAlignment="1">
      <alignment horizontal="center" vertical="center" wrapText="1"/>
    </xf>
    <xf numFmtId="0" fontId="25" fillId="0" borderId="78" xfId="2" applyFont="1" applyBorder="1" applyAlignment="1">
      <alignment horizontal="center" vertical="center" wrapText="1"/>
    </xf>
    <xf numFmtId="0" fontId="25" fillId="0" borderId="34" xfId="2" applyFont="1" applyBorder="1" applyAlignment="1">
      <alignment horizontal="center" vertical="center"/>
    </xf>
    <xf numFmtId="0" fontId="50" fillId="0" borderId="0" xfId="2" applyFont="1" applyAlignment="1">
      <alignment horizontal="center" vertical="top"/>
    </xf>
    <xf numFmtId="0" fontId="34" fillId="0" borderId="80" xfId="2" applyNumberFormat="1" applyFont="1" applyBorder="1" applyAlignment="1">
      <alignment horizontal="center" vertical="center"/>
    </xf>
    <xf numFmtId="38" fontId="38" fillId="0" borderId="105" xfId="3" applyFont="1" applyBorder="1" applyAlignment="1">
      <alignment horizontal="center" shrinkToFit="1"/>
    </xf>
    <xf numFmtId="38" fontId="38" fillId="0" borderId="101" xfId="3" applyFont="1" applyBorder="1" applyAlignment="1">
      <alignment horizontal="center" shrinkToFit="1"/>
    </xf>
    <xf numFmtId="38" fontId="38" fillId="0" borderId="104" xfId="3" applyFont="1" applyBorder="1" applyAlignment="1">
      <alignment horizontal="center" shrinkToFit="1"/>
    </xf>
    <xf numFmtId="177" fontId="38" fillId="0" borderId="103" xfId="3" applyNumberFormat="1" applyFont="1" applyBorder="1" applyAlignment="1">
      <alignment horizontal="center"/>
    </xf>
    <xf numFmtId="177" fontId="38" fillId="0" borderId="102" xfId="3" applyNumberFormat="1" applyFont="1" applyBorder="1" applyAlignment="1">
      <alignment horizontal="center"/>
    </xf>
    <xf numFmtId="0" fontId="34" fillId="0" borderId="0" xfId="2" applyNumberFormat="1" applyFont="1" applyBorder="1" applyAlignment="1">
      <alignment horizontal="center" vertical="center" shrinkToFit="1"/>
    </xf>
    <xf numFmtId="0" fontId="34" fillId="0" borderId="0" xfId="2" applyNumberFormat="1" applyFont="1" applyBorder="1" applyAlignment="1">
      <alignment horizontal="center" vertical="center"/>
    </xf>
    <xf numFmtId="178" fontId="6" fillId="0" borderId="0" xfId="0" applyNumberFormat="1" applyFont="1"/>
    <xf numFmtId="0" fontId="6" fillId="0" borderId="42" xfId="0" applyFont="1" applyBorder="1" applyAlignment="1">
      <alignment horizontal="center" vertical="center"/>
    </xf>
    <xf numFmtId="0" fontId="6" fillId="0" borderId="34" xfId="0" applyFont="1" applyBorder="1" applyAlignment="1">
      <alignment horizontal="center" vertical="center"/>
    </xf>
    <xf numFmtId="0" fontId="6" fillId="0" borderId="41" xfId="0" applyFont="1" applyBorder="1" applyAlignment="1">
      <alignment horizontal="center" vertical="center"/>
    </xf>
    <xf numFmtId="0" fontId="6" fillId="0" borderId="36" xfId="0" applyFont="1" applyBorder="1" applyAlignment="1">
      <alignment horizontal="center" vertical="center"/>
    </xf>
    <xf numFmtId="0" fontId="6" fillId="0" borderId="40" xfId="0" applyFont="1" applyBorder="1" applyAlignment="1">
      <alignment horizontal="center" wrapText="1"/>
    </xf>
    <xf numFmtId="0" fontId="6" fillId="0" borderId="35" xfId="0" applyFont="1" applyBorder="1" applyAlignment="1">
      <alignment horizontal="center"/>
    </xf>
    <xf numFmtId="0" fontId="6" fillId="0" borderId="39" xfId="0" applyFont="1" applyBorder="1" applyAlignment="1">
      <alignment horizontal="center" shrinkToFit="1"/>
    </xf>
    <xf numFmtId="0" fontId="6" fillId="0" borderId="38" xfId="0" applyFont="1" applyBorder="1" applyAlignment="1">
      <alignment horizontal="center" shrinkToFit="1"/>
    </xf>
    <xf numFmtId="164" fontId="8" fillId="0" borderId="0" xfId="2" applyNumberFormat="1" applyFont="1" applyAlignment="1">
      <alignment horizontal="center" vertical="center"/>
    </xf>
    <xf numFmtId="0" fontId="8" fillId="0" borderId="42" xfId="2" applyFont="1" applyBorder="1" applyAlignment="1">
      <alignment horizontal="center" vertical="center"/>
    </xf>
    <xf numFmtId="0" fontId="8" fillId="0" borderId="34" xfId="2" applyFont="1" applyBorder="1" applyAlignment="1">
      <alignment horizontal="center" vertical="center"/>
    </xf>
    <xf numFmtId="0" fontId="8" fillId="0" borderId="42" xfId="2" applyFont="1" applyBorder="1" applyAlignment="1">
      <alignment horizontal="center" vertical="center" shrinkToFit="1"/>
    </xf>
    <xf numFmtId="0" fontId="8" fillId="0" borderId="34" xfId="2" applyFont="1" applyBorder="1" applyAlignment="1">
      <alignment horizontal="center" vertical="center" shrinkToFit="1"/>
    </xf>
    <xf numFmtId="0" fontId="8" fillId="0" borderId="41" xfId="2" applyFont="1" applyBorder="1" applyAlignment="1">
      <alignment horizontal="center" vertical="center" shrinkToFit="1"/>
    </xf>
    <xf numFmtId="0" fontId="8" fillId="0" borderId="36" xfId="2" applyFont="1" applyBorder="1" applyAlignment="1">
      <alignment horizontal="center" vertical="center" shrinkToFit="1"/>
    </xf>
    <xf numFmtId="0" fontId="31" fillId="0" borderId="40" xfId="2" applyFont="1" applyBorder="1" applyAlignment="1">
      <alignment horizontal="center" vertical="center" wrapText="1"/>
    </xf>
    <xf numFmtId="0" fontId="31" fillId="0" borderId="35" xfId="2" applyFont="1" applyBorder="1" applyAlignment="1">
      <alignment horizontal="center" vertical="center" wrapText="1"/>
    </xf>
    <xf numFmtId="0" fontId="8" fillId="0" borderId="39" xfId="2" applyFont="1" applyBorder="1" applyAlignment="1">
      <alignment horizontal="center" vertical="center" shrinkToFit="1"/>
    </xf>
    <xf numFmtId="0" fontId="8" fillId="0" borderId="38" xfId="2" applyFont="1" applyBorder="1" applyAlignment="1">
      <alignment horizontal="center" vertical="center" shrinkToFit="1"/>
    </xf>
    <xf numFmtId="49" fontId="34" fillId="0" borderId="0" xfId="0" applyNumberFormat="1" applyFont="1" applyAlignment="1">
      <alignment vertical="center" shrinkToFit="1"/>
    </xf>
  </cellXfs>
  <cellStyles count="7">
    <cellStyle name="Comma [0]" xfId="1" builtinId="6"/>
    <cellStyle name="Normal" xfId="0" builtinId="0"/>
    <cellStyle name="パーセント 2" xfId="4"/>
    <cellStyle name="桁区切り 2" xfId="3"/>
    <cellStyle name="標準 2" xfId="2"/>
    <cellStyle name="標準 3" xfId="5"/>
    <cellStyle name="標準 4" xfId="6"/>
  </cellStyles>
  <dxfs count="7">
    <dxf>
      <fill>
        <patternFill>
          <bgColor theme="9" tint="0.39994506668294322"/>
        </patternFill>
      </fill>
    </dxf>
    <dxf>
      <fill>
        <patternFill>
          <bgColor theme="8" tint="0.39994506668294322"/>
        </patternFill>
      </fill>
    </dxf>
    <dxf>
      <fill>
        <patternFill>
          <bgColor theme="8" tint="0.59996337778862885"/>
        </patternFill>
      </fill>
    </dxf>
    <dxf>
      <fill>
        <patternFill>
          <bgColor theme="8" tint="0.59996337778862885"/>
        </patternFill>
      </fill>
    </dxf>
    <dxf>
      <font>
        <condense val="0"/>
        <extend val="0"/>
        <color indexed="10"/>
      </font>
    </dxf>
    <dxf>
      <font>
        <condense val="0"/>
        <extend val="0"/>
        <color indexed="10"/>
      </font>
    </dxf>
    <dxf>
      <font>
        <condense val="0"/>
        <extend val="0"/>
        <color indexed="10"/>
      </font>
    </dxf>
  </dxfs>
  <tableStyles count="0" defaultTableStyle="TableStyleMedium2" defaultPivotStyle="PivotStyleMedium9"/>
  <colors>
    <mruColors>
      <color rgb="FFFCD5B4"/>
      <color rgb="FFFAAC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1</xdr:row>
      <xdr:rowOff>57150</xdr:rowOff>
    </xdr:from>
    <xdr:to>
      <xdr:col>3</xdr:col>
      <xdr:colOff>0</xdr:colOff>
      <xdr:row>3</xdr:row>
      <xdr:rowOff>43228</xdr:rowOff>
    </xdr:to>
    <xdr:pic>
      <xdr:nvPicPr>
        <xdr:cNvPr id="3" name="Picture 5" descr="A3_2 シンボルマーク・ロゴ_基本形_欧文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238125"/>
          <a:ext cx="1752600" cy="367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57151</xdr:colOff>
      <xdr:row>0</xdr:row>
      <xdr:rowOff>32972</xdr:rowOff>
    </xdr:from>
    <xdr:to>
      <xdr:col>2</xdr:col>
      <xdr:colOff>342901</xdr:colOff>
      <xdr:row>1</xdr:row>
      <xdr:rowOff>209550</xdr:rowOff>
    </xdr:to>
    <xdr:pic>
      <xdr:nvPicPr>
        <xdr:cNvPr id="3" name="Picture 5" descr="A3_2 シンボルマーク・ロゴ_基本形_欧文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1" y="32972"/>
          <a:ext cx="1752600" cy="367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57151</xdr:colOff>
      <xdr:row>0</xdr:row>
      <xdr:rowOff>32972</xdr:rowOff>
    </xdr:from>
    <xdr:to>
      <xdr:col>2</xdr:col>
      <xdr:colOff>247651</xdr:colOff>
      <xdr:row>1</xdr:row>
      <xdr:rowOff>209550</xdr:rowOff>
    </xdr:to>
    <xdr:pic>
      <xdr:nvPicPr>
        <xdr:cNvPr id="2" name="Picture 5" descr="A3_2 シンボルマーク・ロゴ_基本形_欧文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1" y="32972"/>
          <a:ext cx="1752600" cy="367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57151</xdr:colOff>
      <xdr:row>0</xdr:row>
      <xdr:rowOff>32972</xdr:rowOff>
    </xdr:from>
    <xdr:to>
      <xdr:col>2</xdr:col>
      <xdr:colOff>200026</xdr:colOff>
      <xdr:row>1</xdr:row>
      <xdr:rowOff>209550</xdr:rowOff>
    </xdr:to>
    <xdr:pic>
      <xdr:nvPicPr>
        <xdr:cNvPr id="2" name="Picture 5" descr="A3_2 シンボルマーク・ロゴ_基本形_欧文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1" y="32972"/>
          <a:ext cx="1752600" cy="367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42875" cy="66675"/>
    <xdr:sp macro="" textlink="">
      <xdr:nvSpPr>
        <xdr:cNvPr id="2" name="HideTemplatePointer"/>
        <xdr:cNvSpPr>
          <a:spLocks noChangeArrowheads="1"/>
        </xdr:cNvSpPr>
      </xdr:nvSpPr>
      <xdr:spPr bwMode="auto">
        <a:xfrm>
          <a:off x="0" y="0"/>
          <a:ext cx="142875" cy="666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fPrintsWithSheet="0"/>
  </xdr:oneCellAnchor>
  <xdr:oneCellAnchor>
    <xdr:from>
      <xdr:col>1</xdr:col>
      <xdr:colOff>28575</xdr:colOff>
      <xdr:row>2</xdr:row>
      <xdr:rowOff>47625</xdr:rowOff>
    </xdr:from>
    <xdr:ext cx="314325" cy="304800"/>
    <xdr:pic>
      <xdr:nvPicPr>
        <xdr:cNvPr id="3" name="Ảnh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8175" y="428625"/>
          <a:ext cx="3143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twoCellAnchor>
    <xdr:from>
      <xdr:col>12</xdr:col>
      <xdr:colOff>28574</xdr:colOff>
      <xdr:row>21</xdr:row>
      <xdr:rowOff>28575</xdr:rowOff>
    </xdr:from>
    <xdr:to>
      <xdr:col>16</xdr:col>
      <xdr:colOff>514350</xdr:colOff>
      <xdr:row>23</xdr:row>
      <xdr:rowOff>1</xdr:rowOff>
    </xdr:to>
    <xdr:sp macro="" textlink="">
      <xdr:nvSpPr>
        <xdr:cNvPr id="3" name="テキスト ボックス 2"/>
        <xdr:cNvSpPr txBox="1"/>
      </xdr:nvSpPr>
      <xdr:spPr>
        <a:xfrm>
          <a:off x="7286624" y="4705350"/>
          <a:ext cx="3228976"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altLang="ja-JP" sz="1200" b="1">
              <a:effectLst/>
              <a:latin typeface="Arial" panose="020B0604020202020204" pitchFamily="34" charset="0"/>
              <a:cs typeface="Arial" panose="020B0604020202020204" pitchFamily="34" charset="0"/>
            </a:rPr>
            <a:t>Remainder of page intentionally left blank.</a:t>
          </a:r>
        </a:p>
      </xdr:txBody>
    </xdr:sp>
    <xdr:clientData/>
  </xdr:twoCellAnchor>
  <xdr:twoCellAnchor>
    <xdr:from>
      <xdr:col>3</xdr:col>
      <xdr:colOff>1381126</xdr:colOff>
      <xdr:row>16</xdr:row>
      <xdr:rowOff>85725</xdr:rowOff>
    </xdr:from>
    <xdr:to>
      <xdr:col>10</xdr:col>
      <xdr:colOff>361950</xdr:colOff>
      <xdr:row>18</xdr:row>
      <xdr:rowOff>57151</xdr:rowOff>
    </xdr:to>
    <xdr:sp macro="" textlink="">
      <xdr:nvSpPr>
        <xdr:cNvPr id="5" name="テキスト ボックス 4"/>
        <xdr:cNvSpPr txBox="1"/>
      </xdr:nvSpPr>
      <xdr:spPr>
        <a:xfrm>
          <a:off x="2019301" y="3724275"/>
          <a:ext cx="4524374"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altLang="ja-JP" sz="1200" b="1">
              <a:effectLst/>
              <a:latin typeface="Arial" panose="020B0604020202020204" pitchFamily="34" charset="0"/>
              <a:cs typeface="Arial" panose="020B0604020202020204" pitchFamily="34" charset="0"/>
            </a:rPr>
            <a:t>Remainder of page intentionally left blank.</a:t>
          </a:r>
        </a:p>
      </xdr:txBody>
    </xdr:sp>
    <xdr:clientData/>
  </xdr:twoCellAnchor>
  <xdr:twoCellAnchor>
    <xdr:from>
      <xdr:col>13</xdr:col>
      <xdr:colOff>0</xdr:colOff>
      <xdr:row>5</xdr:row>
      <xdr:rowOff>0</xdr:rowOff>
    </xdr:from>
    <xdr:to>
      <xdr:col>17</xdr:col>
      <xdr:colOff>558512</xdr:colOff>
      <xdr:row>10</xdr:row>
      <xdr:rowOff>9525</xdr:rowOff>
    </xdr:to>
    <xdr:sp macro="" textlink="">
      <xdr:nvSpPr>
        <xdr:cNvPr id="7" name="テキスト ボックス 6"/>
        <xdr:cNvSpPr txBox="1"/>
      </xdr:nvSpPr>
      <xdr:spPr>
        <a:xfrm>
          <a:off x="7943850" y="1323975"/>
          <a:ext cx="3301712" cy="1057275"/>
        </a:xfrm>
        <a:prstGeom prst="rect">
          <a:avLst/>
        </a:prstGeom>
        <a:solidFill>
          <a:schemeClr val="accent6">
            <a:lumMod val="40000"/>
            <a:lumOff val="60000"/>
          </a:schemeClr>
        </a:solidFill>
        <a:ln w="6350"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en-US" altLang="ja-JP" sz="1000">
              <a:solidFill>
                <a:srgbClr val="FF0000"/>
              </a:solidFill>
              <a:latin typeface="Arial" panose="020B0604020202020204" pitchFamily="34" charset="0"/>
              <a:cs typeface="Arial" panose="020B0604020202020204" pitchFamily="34" charset="0"/>
            </a:rPr>
            <a:t>At Billing for instruments (No.1</a:t>
          </a:r>
          <a:r>
            <a:rPr kumimoji="1" lang="ja-JP" altLang="en-US" sz="1000">
              <a:solidFill>
                <a:srgbClr val="FF0000"/>
              </a:solidFill>
              <a:latin typeface="Arial" panose="020B0604020202020204" pitchFamily="34" charset="0"/>
              <a:cs typeface="Arial" panose="020B0604020202020204" pitchFamily="34" charset="0"/>
            </a:rPr>
            <a:t>～</a:t>
          </a:r>
          <a:r>
            <a:rPr kumimoji="1" lang="en-US" altLang="ja-JP" sz="1000">
              <a:solidFill>
                <a:srgbClr val="FF0000"/>
              </a:solidFill>
              <a:latin typeface="Arial" panose="020B0604020202020204" pitchFamily="34" charset="0"/>
              <a:cs typeface="Arial" panose="020B0604020202020204" pitchFamily="34" charset="0"/>
            </a:rPr>
            <a:t>24 ) relating to measurement in flew gas , Instruments depreciation is Taking out quantities×Taking out of days, and Consumable goods cost is to Taking out quantities × Used days.</a:t>
          </a:r>
          <a:endParaRPr kumimoji="1" lang="ja-JP" altLang="en-US" sz="100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118628</xdr:colOff>
      <xdr:row>2</xdr:row>
      <xdr:rowOff>21647</xdr:rowOff>
    </xdr:from>
    <xdr:to>
      <xdr:col>11</xdr:col>
      <xdr:colOff>34636</xdr:colOff>
      <xdr:row>7</xdr:row>
      <xdr:rowOff>190500</xdr:rowOff>
    </xdr:to>
    <xdr:sp macro="" textlink="">
      <xdr:nvSpPr>
        <xdr:cNvPr id="2" name="テキスト ボックス 1"/>
        <xdr:cNvSpPr txBox="1"/>
      </xdr:nvSpPr>
      <xdr:spPr>
        <a:xfrm>
          <a:off x="5764355" y="307397"/>
          <a:ext cx="4020417" cy="1207944"/>
        </a:xfrm>
        <a:prstGeom prst="rect">
          <a:avLst/>
        </a:prstGeom>
        <a:solidFill>
          <a:schemeClr val="accent6">
            <a:lumMod val="40000"/>
            <a:lumOff val="60000"/>
          </a:schemeClr>
        </a:solidFill>
        <a:ln w="6350"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en-US" altLang="ja-JP" sz="1000">
              <a:solidFill>
                <a:srgbClr val="FF0000"/>
              </a:solidFill>
              <a:latin typeface="Arial" panose="020B0604020202020204" pitchFamily="34" charset="0"/>
              <a:cs typeface="Arial" panose="020B0604020202020204" pitchFamily="34" charset="0"/>
            </a:rPr>
            <a:t>At Billing for instruments (No.1</a:t>
          </a:r>
          <a:r>
            <a:rPr kumimoji="1" lang="ja-JP" altLang="en-US" sz="1000">
              <a:solidFill>
                <a:srgbClr val="FF0000"/>
              </a:solidFill>
              <a:latin typeface="Arial" panose="020B0604020202020204" pitchFamily="34" charset="0"/>
              <a:cs typeface="Arial" panose="020B0604020202020204" pitchFamily="34" charset="0"/>
            </a:rPr>
            <a:t>～</a:t>
          </a:r>
          <a:r>
            <a:rPr kumimoji="1" lang="en-US" altLang="ja-JP" sz="1000">
              <a:solidFill>
                <a:srgbClr val="FF0000"/>
              </a:solidFill>
              <a:latin typeface="Arial" panose="020B0604020202020204" pitchFamily="34" charset="0"/>
              <a:cs typeface="Arial" panose="020B0604020202020204" pitchFamily="34" charset="0"/>
            </a:rPr>
            <a:t>24 ) relating to measurement in flew gas , Instruments depreciation is Taking out quantities×Taking out days, and Consumable goods cost is to Taking out quantities × Used days.</a:t>
          </a:r>
          <a:endParaRPr kumimoji="1" lang="ja-JP" altLang="en-US" sz="1000">
            <a:solidFill>
              <a:srgbClr val="FF0000"/>
            </a:solidFill>
            <a:latin typeface="Arial" panose="020B0604020202020204" pitchFamily="34" charset="0"/>
            <a:cs typeface="Arial" panose="020B0604020202020204" pitchFamily="34" charset="0"/>
          </a:endParaRPr>
        </a:p>
      </xdr:txBody>
    </xdr:sp>
    <xdr:clientData/>
  </xdr:twoCellAnchor>
  <xdr:twoCellAnchor>
    <xdr:from>
      <xdr:col>5</xdr:col>
      <xdr:colOff>76200</xdr:colOff>
      <xdr:row>28</xdr:row>
      <xdr:rowOff>142875</xdr:rowOff>
    </xdr:from>
    <xdr:to>
      <xdr:col>10</xdr:col>
      <xdr:colOff>17319</xdr:colOff>
      <xdr:row>32</xdr:row>
      <xdr:rowOff>181841</xdr:rowOff>
    </xdr:to>
    <xdr:sp macro="" textlink="">
      <xdr:nvSpPr>
        <xdr:cNvPr id="3" name="テキスト ボックス 2"/>
        <xdr:cNvSpPr txBox="1"/>
      </xdr:nvSpPr>
      <xdr:spPr>
        <a:xfrm>
          <a:off x="5721927" y="5831898"/>
          <a:ext cx="3361460" cy="870238"/>
        </a:xfrm>
        <a:prstGeom prst="rect">
          <a:avLst/>
        </a:prstGeom>
        <a:solidFill>
          <a:schemeClr val="accent5">
            <a:lumMod val="60000"/>
            <a:lumOff val="40000"/>
          </a:schemeClr>
        </a:solidFill>
        <a:ln w="6350"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en-US" altLang="ja-JP" sz="1000">
              <a:solidFill>
                <a:srgbClr val="FF0000"/>
              </a:solidFill>
              <a:latin typeface="Arial" panose="020B0604020202020204" pitchFamily="34" charset="0"/>
              <a:cs typeface="Arial" panose="020B0604020202020204" pitchFamily="34" charset="0"/>
            </a:rPr>
            <a:t>Standard gas should be regarded as consumables , and it should be charged . However, it will be charged</a:t>
          </a:r>
          <a:r>
            <a:rPr kumimoji="1" lang="en-US" altLang="ja-JP" sz="1000" baseline="0">
              <a:solidFill>
                <a:srgbClr val="FF0000"/>
              </a:solidFill>
              <a:latin typeface="Arial" panose="020B0604020202020204" pitchFamily="34" charset="0"/>
              <a:cs typeface="Arial" panose="020B0604020202020204" pitchFamily="34" charset="0"/>
            </a:rPr>
            <a:t> </a:t>
          </a:r>
          <a:r>
            <a:rPr kumimoji="1" lang="en-US" altLang="ja-JP" sz="1000">
              <a:solidFill>
                <a:srgbClr val="FF0000"/>
              </a:solidFill>
              <a:latin typeface="Arial" panose="020B0604020202020204" pitchFamily="34" charset="0"/>
              <a:cs typeface="Arial" panose="020B0604020202020204" pitchFamily="34" charset="0"/>
            </a:rPr>
            <a:t>on</a:t>
          </a:r>
          <a:r>
            <a:rPr kumimoji="1" lang="en-US" altLang="ja-JP" sz="1000" baseline="0">
              <a:solidFill>
                <a:srgbClr val="FF0000"/>
              </a:solidFill>
              <a:latin typeface="Arial" panose="020B0604020202020204" pitchFamily="34" charset="0"/>
              <a:cs typeface="Arial" panose="020B0604020202020204" pitchFamily="34" charset="0"/>
            </a:rPr>
            <a:t> weekly basis, </a:t>
          </a:r>
          <a:r>
            <a:rPr kumimoji="1" lang="en-US" altLang="ja-JP" sz="1000">
              <a:solidFill>
                <a:srgbClr val="FF0000"/>
              </a:solidFill>
              <a:latin typeface="Arial" panose="020B0604020202020204" pitchFamily="34" charset="0"/>
              <a:cs typeface="Arial" panose="020B0604020202020204" pitchFamily="34" charset="0"/>
            </a:rPr>
            <a:t>for example, if  taking out days are 10 days, it will be charged as two weeks.</a:t>
          </a:r>
          <a:endParaRPr kumimoji="1" lang="ja-JP" altLang="en-US" sz="1000">
            <a:solidFill>
              <a:srgbClr val="FF0000"/>
            </a:solidFill>
            <a:latin typeface="Arial" panose="020B0604020202020204" pitchFamily="34" charset="0"/>
            <a:cs typeface="Arial" panose="020B0604020202020204" pitchFamily="34" charset="0"/>
          </a:endParaRPr>
        </a:p>
      </xdr:txBody>
    </xdr:sp>
    <xdr:clientData/>
  </xdr:twoCellAnchor>
  <xdr:twoCellAnchor>
    <xdr:from>
      <xdr:col>5</xdr:col>
      <xdr:colOff>123824</xdr:colOff>
      <xdr:row>42</xdr:row>
      <xdr:rowOff>66676</xdr:rowOff>
    </xdr:from>
    <xdr:to>
      <xdr:col>10</xdr:col>
      <xdr:colOff>0</xdr:colOff>
      <xdr:row>45</xdr:row>
      <xdr:rowOff>161926</xdr:rowOff>
    </xdr:to>
    <xdr:sp macro="" textlink="">
      <xdr:nvSpPr>
        <xdr:cNvPr id="4" name="テキスト ボックス 3"/>
        <xdr:cNvSpPr txBox="1"/>
      </xdr:nvSpPr>
      <xdr:spPr>
        <a:xfrm>
          <a:off x="5769551" y="8665153"/>
          <a:ext cx="3296517" cy="718705"/>
        </a:xfrm>
        <a:prstGeom prst="rect">
          <a:avLst/>
        </a:prstGeom>
        <a:solidFill>
          <a:schemeClr val="accent3">
            <a:lumMod val="40000"/>
            <a:lumOff val="60000"/>
          </a:schemeClr>
        </a:solidFill>
        <a:ln w="6350"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en-US" altLang="ja-JP" sz="1000">
              <a:solidFill>
                <a:srgbClr val="FF0000"/>
              </a:solidFill>
              <a:latin typeface="Arial" panose="020B0604020202020204" pitchFamily="34" charset="0"/>
              <a:cs typeface="Arial" panose="020B0604020202020204" pitchFamily="34" charset="0"/>
            </a:rPr>
            <a:t>Gas mask canisters include the depreciation of</a:t>
          </a:r>
          <a:r>
            <a:rPr kumimoji="1" lang="en-US" altLang="ja-JP" sz="1000" baseline="0">
              <a:solidFill>
                <a:srgbClr val="FF0000"/>
              </a:solidFill>
              <a:latin typeface="Arial" panose="020B0604020202020204" pitchFamily="34" charset="0"/>
              <a:cs typeface="Arial" panose="020B0604020202020204" pitchFamily="34" charset="0"/>
            </a:rPr>
            <a:t> </a:t>
          </a:r>
          <a:r>
            <a:rPr kumimoji="1" lang="en-US" altLang="ja-JP" sz="1000">
              <a:solidFill>
                <a:srgbClr val="FF0000"/>
              </a:solidFill>
              <a:latin typeface="Arial" panose="020B0604020202020204" pitchFamily="34" charset="0"/>
              <a:cs typeface="Arial" panose="020B0604020202020204" pitchFamily="34" charset="0"/>
            </a:rPr>
            <a:t>body.</a:t>
          </a:r>
          <a:endParaRPr kumimoji="1" lang="ja-JP" altLang="en-US" sz="100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10</xdr:col>
      <xdr:colOff>0</xdr:colOff>
      <xdr:row>16</xdr:row>
      <xdr:rowOff>0</xdr:rowOff>
    </xdr:from>
    <xdr:to>
      <xdr:col>14</xdr:col>
      <xdr:colOff>485776</xdr:colOff>
      <xdr:row>17</xdr:row>
      <xdr:rowOff>180976</xdr:rowOff>
    </xdr:to>
    <xdr:sp macro="" textlink="">
      <xdr:nvSpPr>
        <xdr:cNvPr id="6" name="テキスト ボックス 5"/>
        <xdr:cNvSpPr txBox="1"/>
      </xdr:nvSpPr>
      <xdr:spPr>
        <a:xfrm>
          <a:off x="7391400" y="3600450"/>
          <a:ext cx="3228976"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altLang="ja-JP" sz="1200" b="1">
              <a:effectLst/>
              <a:latin typeface="Arial" panose="020B0604020202020204" pitchFamily="34" charset="0"/>
              <a:cs typeface="Arial" panose="020B0604020202020204" pitchFamily="34" charset="0"/>
            </a:rPr>
            <a:t>Remainder of page intentionally left blank.</a:t>
          </a:r>
        </a:p>
      </xdr:txBody>
    </xdr:sp>
    <xdr:clientData/>
  </xdr:twoCellAnchor>
  <xdr:twoCellAnchor>
    <xdr:from>
      <xdr:col>3</xdr:col>
      <xdr:colOff>1304924</xdr:colOff>
      <xdr:row>6</xdr:row>
      <xdr:rowOff>66675</xdr:rowOff>
    </xdr:from>
    <xdr:to>
      <xdr:col>8</xdr:col>
      <xdr:colOff>619124</xdr:colOff>
      <xdr:row>8</xdr:row>
      <xdr:rowOff>38101</xdr:rowOff>
    </xdr:to>
    <xdr:sp macro="" textlink="">
      <xdr:nvSpPr>
        <xdr:cNvPr id="8" name="テキスト ボックス 7"/>
        <xdr:cNvSpPr txBox="1"/>
      </xdr:nvSpPr>
      <xdr:spPr>
        <a:xfrm>
          <a:off x="1943099" y="1581150"/>
          <a:ext cx="4219575"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altLang="ja-JP" sz="1200" b="1">
              <a:effectLst/>
              <a:latin typeface="Arial" panose="020B0604020202020204" pitchFamily="34" charset="0"/>
              <a:cs typeface="Arial" panose="020B0604020202020204" pitchFamily="34" charset="0"/>
            </a:rPr>
            <a:t>Remainder of page intentionally left blank.</a:t>
          </a:r>
        </a:p>
      </xdr:txBody>
    </xdr:sp>
    <xdr:clientData/>
  </xdr:twoCellAnchor>
  <xdr:twoCellAnchor>
    <xdr:from>
      <xdr:col>9</xdr:col>
      <xdr:colOff>200025</xdr:colOff>
      <xdr:row>5</xdr:row>
      <xdr:rowOff>200025</xdr:rowOff>
    </xdr:from>
    <xdr:to>
      <xdr:col>14</xdr:col>
      <xdr:colOff>608735</xdr:colOff>
      <xdr:row>10</xdr:row>
      <xdr:rowOff>22513</xdr:rowOff>
    </xdr:to>
    <xdr:sp macro="" textlink="">
      <xdr:nvSpPr>
        <xdr:cNvPr id="10" name="テキスト ボックス 9"/>
        <xdr:cNvSpPr txBox="1"/>
      </xdr:nvSpPr>
      <xdr:spPr>
        <a:xfrm>
          <a:off x="7381875" y="1495425"/>
          <a:ext cx="3361460" cy="870238"/>
        </a:xfrm>
        <a:prstGeom prst="rect">
          <a:avLst/>
        </a:prstGeom>
        <a:solidFill>
          <a:schemeClr val="accent5">
            <a:lumMod val="60000"/>
            <a:lumOff val="40000"/>
          </a:schemeClr>
        </a:solidFill>
        <a:ln w="6350"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en-US" altLang="ja-JP" sz="1000">
              <a:solidFill>
                <a:srgbClr val="FF0000"/>
              </a:solidFill>
              <a:latin typeface="Arial" panose="020B0604020202020204" pitchFamily="34" charset="0"/>
              <a:cs typeface="Arial" panose="020B0604020202020204" pitchFamily="34" charset="0"/>
            </a:rPr>
            <a:t>Standard gas should be regarded as consumables , and it should be charged . However, it will be charged</a:t>
          </a:r>
          <a:r>
            <a:rPr kumimoji="1" lang="en-US" altLang="ja-JP" sz="1000" baseline="0">
              <a:solidFill>
                <a:srgbClr val="FF0000"/>
              </a:solidFill>
              <a:latin typeface="Arial" panose="020B0604020202020204" pitchFamily="34" charset="0"/>
              <a:cs typeface="Arial" panose="020B0604020202020204" pitchFamily="34" charset="0"/>
            </a:rPr>
            <a:t> </a:t>
          </a:r>
          <a:r>
            <a:rPr kumimoji="1" lang="en-US" altLang="ja-JP" sz="1000">
              <a:solidFill>
                <a:srgbClr val="FF0000"/>
              </a:solidFill>
              <a:latin typeface="Arial" panose="020B0604020202020204" pitchFamily="34" charset="0"/>
              <a:cs typeface="Arial" panose="020B0604020202020204" pitchFamily="34" charset="0"/>
            </a:rPr>
            <a:t>on</a:t>
          </a:r>
          <a:r>
            <a:rPr kumimoji="1" lang="en-US" altLang="ja-JP" sz="1000" baseline="0">
              <a:solidFill>
                <a:srgbClr val="FF0000"/>
              </a:solidFill>
              <a:latin typeface="Arial" panose="020B0604020202020204" pitchFamily="34" charset="0"/>
              <a:cs typeface="Arial" panose="020B0604020202020204" pitchFamily="34" charset="0"/>
            </a:rPr>
            <a:t> weekly basis, </a:t>
          </a:r>
          <a:r>
            <a:rPr kumimoji="1" lang="en-US" altLang="ja-JP" sz="1000">
              <a:solidFill>
                <a:srgbClr val="FF0000"/>
              </a:solidFill>
              <a:latin typeface="Arial" panose="020B0604020202020204" pitchFamily="34" charset="0"/>
              <a:cs typeface="Arial" panose="020B0604020202020204" pitchFamily="34" charset="0"/>
            </a:rPr>
            <a:t>for example, if  taking out of days are 10 days, it will be charged as two weeks.</a:t>
          </a:r>
          <a:endParaRPr kumimoji="1" lang="ja-JP" altLang="en-US" sz="1000">
            <a:solidFill>
              <a:srgbClr val="FF0000"/>
            </a:solidFill>
            <a:latin typeface="Arial" panose="020B0604020202020204" pitchFamily="34" charset="0"/>
            <a:cs typeface="Arial" panose="020B0604020202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Ka171\my%20documents\My%20Documents\5&#37329;&#23646;&#12481;&#12540;&#12512;\4&#28711;&#27827;&#35226;\&#37326;&#24115;&#65292;&#20381;&#38972;&#34920;&#12394;&#12393;\MSOffice\Template\&#19968;&#33324;\&#26908;&#37327;&#32218;.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A153\&#24179;&#25104;11&#24180;&#24230;\&#24746;&#33261;\&#12381;&#12398;&#20182;\&#24746;&#3326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g.takai\My%20Documents\takai\28&#26399;&#12288;2009.9.1&#65374;2010.8.31\28&#26399;&#12518;&#12540;&#12470;&#12540;\K09G008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A153\&#24179;&#25104;11&#24180;&#24230;\&#24746;&#33261;&#38306;&#20418;\&#26481;&#21644;&#31185;&#2339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DELL\Documents\Company%20Job\Denka\Quotation%20Denka%20(Vietnames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x 10"/>
      <sheetName val="SOx 50"/>
      <sheetName val="Zn NEDA"/>
      <sheetName val="PDS"/>
      <sheetName val="HCl"/>
      <sheetName val="Cl2"/>
    </sheetNames>
    <sheetDataSet>
      <sheetData sheetId="0">
        <row r="9">
          <cell r="F9">
            <v>0</v>
          </cell>
          <cell r="H9">
            <v>0</v>
          </cell>
        </row>
        <row r="10">
          <cell r="F10">
            <v>5</v>
          </cell>
          <cell r="H10">
            <v>0.192</v>
          </cell>
        </row>
        <row r="11">
          <cell r="F11">
            <v>10</v>
          </cell>
          <cell r="H11">
            <v>0.378</v>
          </cell>
        </row>
        <row r="12">
          <cell r="C12">
            <v>1.024</v>
          </cell>
          <cell r="F12">
            <v>15</v>
          </cell>
          <cell r="H12">
            <v>0.56799999999999995</v>
          </cell>
        </row>
        <row r="13">
          <cell r="F13">
            <v>20</v>
          </cell>
          <cell r="H13">
            <v>0.72</v>
          </cell>
        </row>
      </sheetData>
      <sheetData sheetId="1">
        <row r="9">
          <cell r="F9">
            <v>0</v>
          </cell>
          <cell r="H9">
            <v>4.0000000000000001E-3</v>
          </cell>
        </row>
        <row r="10">
          <cell r="F10">
            <v>5</v>
          </cell>
          <cell r="H10">
            <v>0.14599999999999999</v>
          </cell>
        </row>
        <row r="11">
          <cell r="F11">
            <v>10</v>
          </cell>
          <cell r="H11">
            <v>0.32800000000000001</v>
          </cell>
        </row>
        <row r="12">
          <cell r="C12">
            <v>1.036</v>
          </cell>
          <cell r="F12">
            <v>15</v>
          </cell>
          <cell r="H12">
            <v>0.50900000000000001</v>
          </cell>
        </row>
        <row r="13">
          <cell r="F13">
            <v>20</v>
          </cell>
          <cell r="H13">
            <v>0.64700000000000002</v>
          </cell>
        </row>
      </sheetData>
      <sheetData sheetId="2">
        <row r="9">
          <cell r="F9">
            <v>0</v>
          </cell>
          <cell r="H9">
            <v>5.0000000000000001E-3</v>
          </cell>
        </row>
        <row r="10">
          <cell r="F10">
            <v>10</v>
          </cell>
          <cell r="H10">
            <v>0.16600000000000001</v>
          </cell>
        </row>
        <row r="11">
          <cell r="F11">
            <v>20</v>
          </cell>
          <cell r="H11">
            <v>0.32700000000000001</v>
          </cell>
        </row>
        <row r="12">
          <cell r="F12">
            <v>30</v>
          </cell>
          <cell r="H12">
            <v>0.50700000000000001</v>
          </cell>
        </row>
        <row r="13">
          <cell r="F13">
            <v>40</v>
          </cell>
          <cell r="H13">
            <v>0.66200000000000003</v>
          </cell>
        </row>
        <row r="14">
          <cell r="F14">
            <v>50</v>
          </cell>
          <cell r="H14">
            <v>0.82499999999999996</v>
          </cell>
        </row>
      </sheetData>
      <sheetData sheetId="3">
        <row r="9">
          <cell r="F9">
            <v>0</v>
          </cell>
          <cell r="H9">
            <v>0</v>
          </cell>
        </row>
        <row r="10">
          <cell r="F10">
            <v>5</v>
          </cell>
          <cell r="H10">
            <v>0.155</v>
          </cell>
        </row>
        <row r="11">
          <cell r="F11">
            <v>10</v>
          </cell>
          <cell r="H11">
            <v>0.27</v>
          </cell>
        </row>
        <row r="12">
          <cell r="F12">
            <v>15</v>
          </cell>
          <cell r="H12">
            <v>0.40200000000000002</v>
          </cell>
        </row>
        <row r="13">
          <cell r="F13">
            <v>20</v>
          </cell>
          <cell r="H13">
            <v>0.54300000000000004</v>
          </cell>
        </row>
        <row r="14">
          <cell r="F14">
            <v>25</v>
          </cell>
          <cell r="H14">
            <v>0.69599999999999995</v>
          </cell>
        </row>
      </sheetData>
      <sheetData sheetId="4">
        <row r="9">
          <cell r="F9">
            <v>0</v>
          </cell>
          <cell r="H9">
            <v>0</v>
          </cell>
        </row>
        <row r="10">
          <cell r="F10">
            <v>1</v>
          </cell>
          <cell r="H10">
            <v>8.7999999999999995E-2</v>
          </cell>
        </row>
        <row r="11">
          <cell r="F11">
            <v>2</v>
          </cell>
          <cell r="H11">
            <v>0.17100000000000001</v>
          </cell>
        </row>
        <row r="12">
          <cell r="F12">
            <v>3</v>
          </cell>
          <cell r="H12">
            <v>0.25900000000000001</v>
          </cell>
        </row>
        <row r="13">
          <cell r="F13">
            <v>4</v>
          </cell>
          <cell r="H13">
            <v>0.33600000000000002</v>
          </cell>
        </row>
        <row r="14">
          <cell r="F14">
            <v>5</v>
          </cell>
          <cell r="H14">
            <v>0.42499999999999999</v>
          </cell>
        </row>
      </sheetData>
      <sheetData sheetId="5">
        <row r="9">
          <cell r="F9">
            <v>0</v>
          </cell>
          <cell r="H9">
            <v>8.9999999999999993E-3</v>
          </cell>
        </row>
        <row r="10">
          <cell r="F10">
            <v>0.5</v>
          </cell>
          <cell r="H10">
            <v>7.8E-2</v>
          </cell>
        </row>
        <row r="11">
          <cell r="F11">
            <v>1</v>
          </cell>
          <cell r="H11">
            <v>0.14899999999999999</v>
          </cell>
        </row>
        <row r="12">
          <cell r="F12">
            <v>2</v>
          </cell>
          <cell r="H12">
            <v>0.28399999999999997</v>
          </cell>
        </row>
        <row r="13">
          <cell r="F13">
            <v>3</v>
          </cell>
          <cell r="H13">
            <v>0.42399999999999999</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証明"/>
      <sheetName val="一覧 "/>
      <sheetName val="一覧  (2)"/>
      <sheetName val="流速結果"/>
      <sheetName val="流速"/>
      <sheetName val="採取表"/>
      <sheetName val="NH3"/>
      <sheetName val="データNo.1用"/>
      <sheetName val="ｱﾙﾃﾞﾋﾄﾞ類計算No.1用"/>
      <sheetName val="データNo.2用"/>
      <sheetName val="ｱﾙﾃﾞﾋﾄﾞ類計算No.2用"/>
      <sheetName val="採取表（臭気用）"/>
      <sheetName val="臭気（排出口）"/>
    </sheetNames>
    <sheetDataSet>
      <sheetData sheetId="0"/>
      <sheetData sheetId="1" refreshError="1"/>
      <sheetData sheetId="2" refreshError="1"/>
      <sheetData sheetId="3" refreshError="1"/>
      <sheetData sheetId="4"/>
      <sheetData sheetId="5"/>
      <sheetData sheetId="6" refreshError="1">
        <row r="9">
          <cell r="F9">
            <v>0</v>
          </cell>
          <cell r="H9">
            <v>0</v>
          </cell>
        </row>
        <row r="10">
          <cell r="F10">
            <v>2</v>
          </cell>
          <cell r="H10">
            <v>8.6999999999999994E-2</v>
          </cell>
        </row>
        <row r="11">
          <cell r="F11">
            <v>4</v>
          </cell>
          <cell r="H11">
            <v>0.17699999999999999</v>
          </cell>
        </row>
        <row r="12">
          <cell r="F12">
            <v>6</v>
          </cell>
          <cell r="H12">
            <v>0.26600000000000001</v>
          </cell>
        </row>
        <row r="13">
          <cell r="F13">
            <v>8</v>
          </cell>
          <cell r="H13">
            <v>0.36099999999999999</v>
          </cell>
        </row>
        <row r="14">
          <cell r="F14">
            <v>10</v>
          </cell>
          <cell r="H14">
            <v>0.44700000000000001</v>
          </cell>
        </row>
      </sheetData>
      <sheetData sheetId="7"/>
      <sheetData sheetId="8" refreshError="1"/>
      <sheetData sheetId="9"/>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メッセージ"/>
      <sheetName val="変更履歴"/>
      <sheetName val="入力用"/>
      <sheetName val="依頼書"/>
      <sheetName val="受注票"/>
      <sheetName val="見積書"/>
      <sheetName val="PCB"/>
      <sheetName val="特計シート"/>
      <sheetName val="基礎情報入力シート"/>
      <sheetName val="受注予算書（入力用）"/>
      <sheetName val="分析費（入力用）"/>
      <sheetName val="分析原価別表シート"/>
      <sheetName val="分析一覧"/>
      <sheetName val="システム反映"/>
      <sheetName val="社内依頼"/>
      <sheetName val="分析依頼"/>
      <sheetName val="初期(事)"/>
      <sheetName val="初期(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証明"/>
      <sheetName val="Sheet1"/>
    </sheet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Service Contraction"/>
      <sheetName val="2.Quotation Service Order"/>
      <sheetName val="3.Detail Quotation"/>
      <sheetName val="4.Handing Over"/>
      <sheetName val="5.Request for Payment"/>
      <sheetName val="6.Invoice"/>
      <sheetName val="7. Process Sheet"/>
      <sheetName val="8.Allowance and Others"/>
      <sheetName val="9.Instrument Breakdown Sheet"/>
      <sheetName val="10.Equipment depreciation table"/>
      <sheetName val="11.Consumbles Breakudown Sheet"/>
      <sheetName val="Balance sheet"/>
    </sheetNames>
    <sheetDataSet>
      <sheetData sheetId="0">
        <row r="17">
          <cell r="P17" t="str">
            <v>DENKA ADVANCED MATERIALS VIETNAM CO.,LTD.</v>
          </cell>
        </row>
        <row r="20">
          <cell r="P20" t="str">
            <v>Plot D-5, Thang Long Industrial Park ⅡYen my District, Hung Yen Province, Vietnam</v>
          </cell>
        </row>
        <row r="49">
          <cell r="R49" t="str">
            <v>PT Inspection for container welding lines</v>
          </cell>
        </row>
      </sheetData>
      <sheetData sheetId="1">
        <row r="13">
          <cell r="N13">
            <v>42843</v>
          </cell>
        </row>
        <row r="14">
          <cell r="N14" t="str">
            <v>QCTVN201704-01</v>
          </cell>
        </row>
        <row r="23">
          <cell r="A23" t="str">
            <v>Kính gửi quý công ty, chúng tôi xin gửi báo giá như sau:</v>
          </cell>
        </row>
        <row r="25">
          <cell r="B25" t="str">
            <v>Kiểm tra PT mối hàn của thùng chứa</v>
          </cell>
        </row>
      </sheetData>
      <sheetData sheetId="2">
        <row r="19">
          <cell r="J19">
            <v>86000000</v>
          </cell>
        </row>
        <row r="26">
          <cell r="J26">
            <v>17600000</v>
          </cell>
        </row>
        <row r="50">
          <cell r="J50">
            <v>103600000</v>
          </cell>
        </row>
        <row r="52">
          <cell r="J52">
            <v>103600000</v>
          </cell>
        </row>
      </sheetData>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F164"/>
  <sheetViews>
    <sheetView topLeftCell="A93" zoomScaleNormal="100" workbookViewId="0">
      <selection activeCell="E50" sqref="E50"/>
    </sheetView>
  </sheetViews>
  <sheetFormatPr defaultColWidth="9" defaultRowHeight="15"/>
  <cols>
    <col min="1" max="3" width="9" style="486"/>
    <col min="4" max="4" width="10.5703125" style="486" bestFit="1" customWidth="1"/>
    <col min="5" max="5" width="9.5703125" style="486" bestFit="1" customWidth="1"/>
    <col min="6" max="6" width="9.7109375" style="486" bestFit="1" customWidth="1"/>
    <col min="7" max="7" width="9" style="486"/>
    <col min="8" max="8" width="10.42578125" style="486" bestFit="1" customWidth="1"/>
    <col min="9" max="13" width="9" style="486"/>
    <col min="14" max="14" width="9.140625" style="486" bestFit="1" customWidth="1"/>
    <col min="15" max="15" width="10.5703125" style="486" bestFit="1" customWidth="1"/>
    <col min="16" max="16" width="10.42578125" style="486" customWidth="1"/>
    <col min="17" max="17" width="16.5703125" style="486" bestFit="1" customWidth="1"/>
    <col min="18" max="16384" width="9" style="486"/>
  </cols>
  <sheetData>
    <row r="1" spans="1:21">
      <c r="A1" s="486" t="s">
        <v>340</v>
      </c>
      <c r="F1" s="685" t="s">
        <v>341</v>
      </c>
      <c r="G1" s="685"/>
      <c r="H1" s="685"/>
      <c r="I1" s="685"/>
      <c r="J1" s="685"/>
      <c r="K1" s="492"/>
    </row>
    <row r="2" spans="1:21">
      <c r="F2" s="690" t="s">
        <v>646</v>
      </c>
      <c r="G2" s="690"/>
      <c r="H2" s="690"/>
      <c r="I2" s="690"/>
      <c r="J2" s="690"/>
      <c r="K2" s="573"/>
    </row>
    <row r="5" spans="1:21" ht="26.25">
      <c r="A5" s="694" t="s">
        <v>342</v>
      </c>
      <c r="B5" s="694"/>
      <c r="C5" s="694"/>
      <c r="D5" s="694"/>
      <c r="E5" s="694"/>
      <c r="F5" s="694"/>
      <c r="G5" s="694"/>
      <c r="H5" s="694"/>
      <c r="I5" s="694"/>
      <c r="J5" s="694"/>
      <c r="K5" s="574"/>
    </row>
    <row r="6" spans="1:21" ht="26.25">
      <c r="A6" s="694"/>
      <c r="B6" s="694"/>
      <c r="C6" s="694"/>
      <c r="D6" s="694"/>
      <c r="E6" s="694"/>
      <c r="F6" s="694"/>
      <c r="G6" s="694"/>
      <c r="H6" s="694"/>
      <c r="I6" s="694"/>
      <c r="J6" s="694"/>
      <c r="K6" s="574"/>
    </row>
    <row r="7" spans="1:21" s="498" customFormat="1" ht="30">
      <c r="A7" s="575"/>
      <c r="B7" s="575"/>
      <c r="C7" s="695" t="s">
        <v>343</v>
      </c>
      <c r="D7" s="695"/>
      <c r="E7" s="652" t="str">
        <f>"CCTVN - "&amp;Q7&amp;"-"&amp;S7&amp;U7&amp;"-"&amp;O7</f>
        <v>CCTVN - DAV-201704-01</v>
      </c>
      <c r="F7" s="652"/>
      <c r="G7" s="652"/>
      <c r="H7" s="652"/>
      <c r="I7" s="652"/>
      <c r="J7" s="652"/>
      <c r="K7" s="576"/>
      <c r="N7" s="577" t="s">
        <v>598</v>
      </c>
      <c r="O7" s="578" t="s">
        <v>300</v>
      </c>
      <c r="P7" s="579" t="s">
        <v>599</v>
      </c>
      <c r="Q7" s="580" t="s">
        <v>337</v>
      </c>
      <c r="R7" s="577" t="s">
        <v>600</v>
      </c>
      <c r="S7" s="580">
        <v>2017</v>
      </c>
      <c r="T7" s="577" t="s">
        <v>601</v>
      </c>
      <c r="U7" s="581" t="s">
        <v>324</v>
      </c>
    </row>
    <row r="8" spans="1:21" s="498" customFormat="1">
      <c r="A8" s="575"/>
      <c r="B8" s="575"/>
      <c r="C8" s="582"/>
      <c r="D8" s="582"/>
      <c r="E8" s="583"/>
      <c r="F8" s="583"/>
      <c r="G8" s="583"/>
      <c r="H8" s="583"/>
      <c r="I8" s="583"/>
      <c r="J8" s="583"/>
      <c r="K8" s="576"/>
      <c r="N8" s="577"/>
      <c r="O8" s="578"/>
      <c r="P8" s="579"/>
      <c r="Q8" s="580"/>
      <c r="R8" s="577"/>
      <c r="S8" s="580"/>
      <c r="T8" s="577"/>
      <c r="U8" s="581"/>
    </row>
    <row r="9" spans="1:21" ht="14.25" customHeight="1">
      <c r="A9" s="689" t="s">
        <v>344</v>
      </c>
      <c r="B9" s="689"/>
      <c r="C9" s="689"/>
      <c r="D9" s="689"/>
      <c r="E9" s="689"/>
      <c r="F9" s="689"/>
      <c r="G9" s="689"/>
      <c r="H9" s="689"/>
      <c r="I9" s="689"/>
      <c r="J9" s="689"/>
    </row>
    <row r="10" spans="1:21" ht="14.25" customHeight="1">
      <c r="A10" s="689"/>
      <c r="B10" s="689"/>
      <c r="C10" s="689"/>
      <c r="D10" s="689"/>
      <c r="E10" s="689"/>
      <c r="F10" s="689"/>
      <c r="G10" s="689"/>
      <c r="H10" s="689"/>
      <c r="I10" s="689"/>
      <c r="J10" s="689"/>
    </row>
    <row r="11" spans="1:21" ht="14.25" customHeight="1">
      <c r="A11" s="689"/>
      <c r="B11" s="689"/>
      <c r="C11" s="689"/>
      <c r="D11" s="689"/>
      <c r="E11" s="689"/>
      <c r="F11" s="689"/>
      <c r="G11" s="689"/>
      <c r="H11" s="689"/>
      <c r="I11" s="689"/>
      <c r="J11" s="689"/>
    </row>
    <row r="12" spans="1:21" ht="14.25" customHeight="1">
      <c r="A12" s="689"/>
      <c r="B12" s="689"/>
      <c r="C12" s="689"/>
      <c r="D12" s="689"/>
      <c r="E12" s="689"/>
      <c r="F12" s="689"/>
      <c r="G12" s="689"/>
      <c r="H12" s="689"/>
      <c r="I12" s="689"/>
      <c r="J12" s="689"/>
    </row>
    <row r="13" spans="1:21" ht="14.25" customHeight="1">
      <c r="A13" s="584"/>
      <c r="B13" s="584"/>
      <c r="C13" s="584"/>
      <c r="D13" s="584"/>
      <c r="E13" s="584"/>
      <c r="F13" s="584"/>
      <c r="G13" s="584"/>
      <c r="H13" s="584"/>
      <c r="I13" s="584"/>
      <c r="J13" s="584"/>
    </row>
    <row r="14" spans="1:21">
      <c r="A14" s="585" t="s">
        <v>345</v>
      </c>
      <c r="B14" s="586"/>
      <c r="C14" s="586"/>
      <c r="D14" s="586"/>
      <c r="E14" s="586"/>
      <c r="F14" s="586"/>
      <c r="G14" s="586"/>
      <c r="H14" s="586"/>
      <c r="I14" s="586"/>
      <c r="J14" s="586"/>
    </row>
    <row r="15" spans="1:21">
      <c r="A15" s="587" t="s">
        <v>346</v>
      </c>
      <c r="B15" s="588"/>
      <c r="C15" s="588"/>
      <c r="D15" s="589"/>
      <c r="E15" s="589"/>
      <c r="F15" s="586"/>
      <c r="G15" s="586"/>
      <c r="H15" s="586"/>
      <c r="I15" s="586"/>
      <c r="J15" s="586"/>
      <c r="N15" s="486" t="s">
        <v>602</v>
      </c>
      <c r="P15" s="581" t="s">
        <v>325</v>
      </c>
    </row>
    <row r="16" spans="1:21">
      <c r="A16" s="587"/>
      <c r="B16" s="588"/>
      <c r="C16" s="588"/>
      <c r="D16" s="589"/>
      <c r="E16" s="589"/>
      <c r="F16" s="586"/>
      <c r="G16" s="586"/>
      <c r="H16" s="586"/>
      <c r="I16" s="586"/>
      <c r="J16" s="586"/>
      <c r="P16" s="581"/>
    </row>
    <row r="17" spans="1:18">
      <c r="A17" s="590" t="s">
        <v>347</v>
      </c>
      <c r="B17" s="586"/>
      <c r="C17" s="591" t="s">
        <v>579</v>
      </c>
      <c r="D17" s="592" t="s">
        <v>348</v>
      </c>
      <c r="E17" s="586"/>
      <c r="F17" s="586"/>
      <c r="G17" s="586"/>
      <c r="H17" s="586"/>
      <c r="I17" s="586"/>
      <c r="J17" s="586"/>
      <c r="N17" s="486" t="s">
        <v>1</v>
      </c>
      <c r="P17" s="486" t="s">
        <v>335</v>
      </c>
    </row>
    <row r="18" spans="1:18">
      <c r="A18" s="585" t="s">
        <v>355</v>
      </c>
      <c r="B18" s="586"/>
      <c r="C18" s="591" t="s">
        <v>579</v>
      </c>
      <c r="D18" s="586" t="s">
        <v>349</v>
      </c>
      <c r="E18" s="586"/>
      <c r="F18" s="586"/>
      <c r="G18" s="586"/>
      <c r="H18" s="586"/>
      <c r="I18" s="586"/>
      <c r="J18" s="586"/>
      <c r="N18" s="491" t="s">
        <v>2</v>
      </c>
      <c r="P18" s="486" t="s">
        <v>603</v>
      </c>
    </row>
    <row r="19" spans="1:18">
      <c r="A19" s="586" t="s">
        <v>356</v>
      </c>
      <c r="B19" s="586"/>
      <c r="C19" s="591" t="s">
        <v>579</v>
      </c>
      <c r="D19" s="586" t="s">
        <v>350</v>
      </c>
      <c r="E19" s="586"/>
      <c r="F19" s="586"/>
      <c r="G19" s="586"/>
      <c r="H19" s="586"/>
      <c r="I19" s="586"/>
      <c r="J19" s="586"/>
      <c r="N19" s="486" t="s">
        <v>3</v>
      </c>
      <c r="P19" s="486" t="s">
        <v>336</v>
      </c>
    </row>
    <row r="20" spans="1:18" ht="14.25" customHeight="1">
      <c r="A20" s="586" t="s">
        <v>357</v>
      </c>
      <c r="B20" s="586"/>
      <c r="C20" s="591" t="s">
        <v>579</v>
      </c>
      <c r="D20" s="680" t="s">
        <v>407</v>
      </c>
      <c r="E20" s="680"/>
      <c r="F20" s="680"/>
      <c r="G20" s="680"/>
      <c r="H20" s="680"/>
      <c r="I20" s="680"/>
      <c r="J20" s="680"/>
      <c r="K20" s="540"/>
      <c r="L20" s="500"/>
      <c r="N20" s="486" t="s">
        <v>4</v>
      </c>
      <c r="P20" s="486" t="s">
        <v>339</v>
      </c>
    </row>
    <row r="21" spans="1:18">
      <c r="A21" s="586"/>
      <c r="B21" s="586"/>
      <c r="C21" s="591"/>
      <c r="D21" s="680"/>
      <c r="E21" s="680"/>
      <c r="F21" s="680"/>
      <c r="G21" s="680"/>
      <c r="H21" s="680"/>
      <c r="I21" s="680"/>
      <c r="J21" s="680"/>
      <c r="K21" s="540"/>
      <c r="L21" s="500"/>
    </row>
    <row r="22" spans="1:18">
      <c r="A22" s="586" t="s">
        <v>358</v>
      </c>
      <c r="B22" s="586"/>
      <c r="C22" s="591" t="s">
        <v>579</v>
      </c>
      <c r="D22" s="585" t="s">
        <v>636</v>
      </c>
      <c r="E22" s="586"/>
      <c r="F22" s="586"/>
      <c r="G22" s="586"/>
      <c r="H22" s="586"/>
      <c r="I22" s="586"/>
      <c r="J22" s="586"/>
      <c r="N22" s="486" t="s">
        <v>604</v>
      </c>
      <c r="P22" s="491" t="s">
        <v>338</v>
      </c>
    </row>
    <row r="23" spans="1:18">
      <c r="A23" s="586" t="s">
        <v>359</v>
      </c>
      <c r="B23" s="586"/>
      <c r="C23" s="591" t="s">
        <v>579</v>
      </c>
      <c r="D23" s="585" t="str">
        <f t="shared" ref="D23:D24" si="0">P23</f>
        <v>+84-221-3974-806</v>
      </c>
      <c r="E23" s="586"/>
      <c r="F23" s="586"/>
      <c r="G23" s="586"/>
      <c r="H23" s="586"/>
      <c r="I23" s="586"/>
      <c r="J23" s="586"/>
      <c r="N23" s="486" t="s">
        <v>5</v>
      </c>
      <c r="P23" s="491" t="s">
        <v>637</v>
      </c>
    </row>
    <row r="24" spans="1:18">
      <c r="A24" s="586" t="s">
        <v>360</v>
      </c>
      <c r="B24" s="586"/>
      <c r="C24" s="591" t="s">
        <v>579</v>
      </c>
      <c r="D24" s="586" t="str">
        <f t="shared" si="0"/>
        <v>0900870366</v>
      </c>
      <c r="E24" s="586"/>
      <c r="F24" s="586"/>
      <c r="G24" s="586"/>
      <c r="H24" s="586"/>
      <c r="I24" s="586"/>
      <c r="J24" s="586"/>
      <c r="N24" s="486" t="s">
        <v>6</v>
      </c>
      <c r="P24" s="491" t="s">
        <v>333</v>
      </c>
    </row>
    <row r="25" spans="1:18">
      <c r="A25" s="592" t="s">
        <v>352</v>
      </c>
      <c r="B25" s="592"/>
      <c r="C25" s="592"/>
      <c r="D25" s="586"/>
      <c r="E25" s="586"/>
      <c r="F25" s="586"/>
      <c r="G25" s="586"/>
      <c r="H25" s="586"/>
      <c r="I25" s="586"/>
      <c r="J25" s="586"/>
    </row>
    <row r="26" spans="1:18">
      <c r="A26" s="586"/>
      <c r="B26" s="586"/>
      <c r="C26" s="586"/>
      <c r="D26" s="586"/>
      <c r="E26" s="586"/>
      <c r="F26" s="586"/>
      <c r="G26" s="586"/>
      <c r="H26" s="586"/>
      <c r="I26" s="586"/>
      <c r="J26" s="586"/>
    </row>
    <row r="27" spans="1:18" ht="14.25" customHeight="1">
      <c r="A27" s="590" t="s">
        <v>353</v>
      </c>
      <c r="B27" s="586"/>
      <c r="C27" s="591" t="s">
        <v>579</v>
      </c>
      <c r="D27" s="592" t="s">
        <v>340</v>
      </c>
      <c r="E27" s="586"/>
      <c r="F27" s="586"/>
      <c r="G27" s="586"/>
      <c r="H27" s="586"/>
      <c r="I27" s="586"/>
      <c r="J27" s="586"/>
    </row>
    <row r="28" spans="1:18">
      <c r="A28" s="585" t="s">
        <v>355</v>
      </c>
      <c r="B28" s="586"/>
      <c r="C28" s="591" t="s">
        <v>579</v>
      </c>
      <c r="D28" s="586" t="s">
        <v>354</v>
      </c>
      <c r="E28" s="586"/>
      <c r="F28" s="586"/>
      <c r="G28" s="586"/>
      <c r="H28" s="586"/>
      <c r="I28" s="586"/>
      <c r="J28" s="586"/>
    </row>
    <row r="29" spans="1:18">
      <c r="A29" s="586" t="s">
        <v>356</v>
      </c>
      <c r="B29" s="586"/>
      <c r="C29" s="591" t="s">
        <v>579</v>
      </c>
      <c r="D29" s="586" t="s">
        <v>350</v>
      </c>
      <c r="E29" s="586"/>
      <c r="F29" s="586"/>
      <c r="G29" s="586"/>
      <c r="H29" s="586"/>
      <c r="I29" s="586"/>
      <c r="J29" s="586"/>
    </row>
    <row r="30" spans="1:18">
      <c r="A30" s="586" t="s">
        <v>357</v>
      </c>
      <c r="B30" s="586"/>
      <c r="C30" s="591" t="s">
        <v>579</v>
      </c>
      <c r="D30" s="680" t="s">
        <v>361</v>
      </c>
      <c r="E30" s="680"/>
      <c r="F30" s="680"/>
      <c r="G30" s="680"/>
      <c r="H30" s="680"/>
      <c r="I30" s="680"/>
      <c r="J30" s="680"/>
      <c r="N30" s="486" t="s">
        <v>13</v>
      </c>
    </row>
    <row r="31" spans="1:18" ht="15.75" thickBot="1">
      <c r="A31" s="586"/>
      <c r="B31" s="586"/>
      <c r="C31" s="591"/>
      <c r="D31" s="680"/>
      <c r="E31" s="680"/>
      <c r="F31" s="680"/>
      <c r="G31" s="680"/>
      <c r="H31" s="680"/>
      <c r="I31" s="680"/>
      <c r="J31" s="680"/>
      <c r="N31" s="593" t="s">
        <v>9</v>
      </c>
      <c r="O31" s="593" t="s">
        <v>10</v>
      </c>
      <c r="P31" s="594" t="s">
        <v>11</v>
      </c>
      <c r="Q31" s="595" t="s">
        <v>63</v>
      </c>
      <c r="R31" s="596"/>
    </row>
    <row r="32" spans="1:18" ht="15.75" thickTop="1">
      <c r="A32" s="586" t="s">
        <v>358</v>
      </c>
      <c r="B32" s="586"/>
      <c r="C32" s="591" t="s">
        <v>579</v>
      </c>
      <c r="D32" s="585" t="s">
        <v>7</v>
      </c>
      <c r="E32" s="586"/>
      <c r="F32" s="586"/>
      <c r="G32" s="586"/>
      <c r="H32" s="586"/>
      <c r="I32" s="586"/>
      <c r="J32" s="586"/>
      <c r="N32" s="597">
        <v>1</v>
      </c>
      <c r="O32" s="598" t="s">
        <v>57</v>
      </c>
      <c r="P32" s="599">
        <v>10065701</v>
      </c>
      <c r="Q32" s="600" t="s">
        <v>187</v>
      </c>
    </row>
    <row r="33" spans="1:32">
      <c r="A33" s="586" t="s">
        <v>5</v>
      </c>
      <c r="B33" s="586"/>
      <c r="C33" s="591" t="s">
        <v>579</v>
      </c>
      <c r="D33" s="585" t="s">
        <v>8</v>
      </c>
      <c r="E33" s="586"/>
      <c r="F33" s="586"/>
      <c r="G33" s="586"/>
      <c r="H33" s="586"/>
      <c r="I33" s="586"/>
      <c r="J33" s="586"/>
      <c r="N33" s="601">
        <v>2</v>
      </c>
      <c r="O33" s="602" t="s">
        <v>58</v>
      </c>
      <c r="P33" s="603">
        <v>10065702</v>
      </c>
      <c r="Q33" s="604" t="s">
        <v>61</v>
      </c>
    </row>
    <row r="34" spans="1:32">
      <c r="A34" s="586" t="s">
        <v>360</v>
      </c>
      <c r="B34" s="586"/>
      <c r="C34" s="591" t="s">
        <v>579</v>
      </c>
      <c r="D34" s="687" t="s">
        <v>186</v>
      </c>
      <c r="E34" s="687"/>
      <c r="F34" s="586"/>
      <c r="G34" s="586"/>
      <c r="H34" s="586"/>
      <c r="I34" s="586"/>
      <c r="J34" s="586"/>
      <c r="N34" s="605">
        <v>3</v>
      </c>
      <c r="O34" s="606" t="s">
        <v>59</v>
      </c>
      <c r="P34" s="607">
        <v>10065703</v>
      </c>
      <c r="Q34" s="608" t="s">
        <v>62</v>
      </c>
    </row>
    <row r="35" spans="1:32">
      <c r="A35" s="586" t="s">
        <v>362</v>
      </c>
      <c r="B35" s="586"/>
      <c r="C35" s="586"/>
      <c r="D35" s="586" t="s">
        <v>340</v>
      </c>
      <c r="E35" s="586"/>
      <c r="F35" s="586"/>
      <c r="G35" s="586"/>
      <c r="H35" s="586"/>
      <c r="I35" s="586"/>
      <c r="J35" s="586"/>
      <c r="K35" s="540"/>
      <c r="L35" s="500"/>
    </row>
    <row r="36" spans="1:32">
      <c r="A36" s="586" t="s">
        <v>363</v>
      </c>
      <c r="B36" s="586"/>
      <c r="C36" s="586"/>
      <c r="D36" s="609">
        <f>IF(O41="","",VLOOKUP(O41,N32:P34,3,TRUE))</f>
        <v>10065702</v>
      </c>
      <c r="E36" s="609" t="s">
        <v>574</v>
      </c>
      <c r="F36" s="586"/>
      <c r="G36" s="586"/>
      <c r="H36" s="586"/>
      <c r="I36" s="586"/>
      <c r="J36" s="586"/>
      <c r="K36" s="540"/>
      <c r="L36" s="500"/>
    </row>
    <row r="37" spans="1:32">
      <c r="A37" s="586" t="s">
        <v>364</v>
      </c>
      <c r="B37" s="586"/>
      <c r="C37" s="586"/>
      <c r="D37" s="586" t="s">
        <v>605</v>
      </c>
      <c r="E37" s="586"/>
      <c r="F37" s="586"/>
      <c r="G37" s="586"/>
      <c r="H37" s="586"/>
      <c r="I37" s="586"/>
      <c r="J37" s="586"/>
    </row>
    <row r="38" spans="1:32">
      <c r="A38" s="592" t="s">
        <v>365</v>
      </c>
      <c r="B38" s="586"/>
      <c r="C38" s="586"/>
      <c r="D38" s="586"/>
      <c r="E38" s="586"/>
      <c r="F38" s="586"/>
      <c r="G38" s="586"/>
      <c r="H38" s="586"/>
      <c r="I38" s="586"/>
      <c r="J38" s="586"/>
    </row>
    <row r="39" spans="1:32">
      <c r="A39" s="586"/>
      <c r="B39" s="586"/>
      <c r="C39" s="586"/>
      <c r="D39" s="586"/>
      <c r="E39" s="586"/>
      <c r="F39" s="586"/>
      <c r="G39" s="586"/>
      <c r="H39" s="586"/>
      <c r="I39" s="586"/>
      <c r="J39" s="586"/>
    </row>
    <row r="40" spans="1:32">
      <c r="A40" s="586" t="s">
        <v>366</v>
      </c>
      <c r="B40" s="586"/>
      <c r="C40" s="586"/>
      <c r="D40" s="586"/>
      <c r="E40" s="586"/>
      <c r="F40" s="586"/>
      <c r="G40" s="586"/>
      <c r="H40" s="586"/>
      <c r="I40" s="586"/>
      <c r="J40" s="586"/>
      <c r="N40" s="486" t="s">
        <v>14</v>
      </c>
    </row>
    <row r="41" spans="1:32">
      <c r="A41" s="586"/>
      <c r="B41" s="586"/>
      <c r="C41" s="586"/>
      <c r="D41" s="586"/>
      <c r="E41" s="586"/>
      <c r="F41" s="586"/>
      <c r="G41" s="586"/>
      <c r="H41" s="586"/>
      <c r="I41" s="586"/>
      <c r="J41" s="586"/>
      <c r="N41" s="486" t="s">
        <v>12</v>
      </c>
      <c r="O41" s="486">
        <v>2</v>
      </c>
    </row>
    <row r="42" spans="1:32">
      <c r="A42" s="610" t="s">
        <v>367</v>
      </c>
      <c r="B42" s="611"/>
      <c r="C42" s="586"/>
      <c r="D42" s="586"/>
      <c r="E42" s="586"/>
      <c r="F42" s="586"/>
      <c r="G42" s="586"/>
      <c r="H42" s="586"/>
      <c r="I42" s="586"/>
      <c r="J42" s="586"/>
    </row>
    <row r="43" spans="1:32">
      <c r="A43" s="586"/>
      <c r="B43" s="586"/>
      <c r="C43" s="586"/>
      <c r="D43" s="586"/>
      <c r="E43" s="586"/>
      <c r="F43" s="586"/>
      <c r="G43" s="586"/>
      <c r="H43" s="586"/>
      <c r="I43" s="586"/>
      <c r="J43" s="586"/>
    </row>
    <row r="44" spans="1:32">
      <c r="A44" s="612" t="s">
        <v>606</v>
      </c>
      <c r="B44" s="609" t="s">
        <v>368</v>
      </c>
      <c r="C44" s="613"/>
      <c r="D44" s="613"/>
      <c r="E44" s="613"/>
      <c r="F44" s="613"/>
      <c r="G44" s="613"/>
      <c r="H44" s="613"/>
      <c r="I44" s="613"/>
      <c r="J44" s="613"/>
      <c r="N44" s="486" t="s">
        <v>15</v>
      </c>
    </row>
    <row r="45" spans="1:32" ht="15.75" thickBot="1">
      <c r="A45" s="586"/>
      <c r="B45" s="586" t="s">
        <v>369</v>
      </c>
      <c r="C45" s="586"/>
      <c r="D45" s="591" t="s">
        <v>579</v>
      </c>
      <c r="E45" s="653" t="s">
        <v>370</v>
      </c>
      <c r="F45" s="653"/>
      <c r="G45" s="653"/>
      <c r="H45" s="653"/>
      <c r="I45" s="653"/>
      <c r="J45" s="653"/>
      <c r="N45" s="593" t="s">
        <v>9</v>
      </c>
      <c r="O45" s="654" t="s">
        <v>16</v>
      </c>
      <c r="P45" s="655"/>
      <c r="Q45" s="655"/>
      <c r="R45" s="656"/>
      <c r="S45" s="654" t="s">
        <v>67</v>
      </c>
      <c r="T45" s="655"/>
      <c r="U45" s="655"/>
      <c r="V45" s="655"/>
      <c r="W45" s="655"/>
      <c r="X45" s="655"/>
      <c r="Y45" s="655"/>
      <c r="Z45" s="655"/>
      <c r="AA45" s="655"/>
      <c r="AB45" s="655"/>
      <c r="AC45" s="655"/>
      <c r="AD45" s="655"/>
      <c r="AE45" s="655"/>
      <c r="AF45" s="656"/>
    </row>
    <row r="46" spans="1:32" ht="15.75" thickTop="1">
      <c r="A46" s="586"/>
      <c r="B46" s="586" t="s">
        <v>371</v>
      </c>
      <c r="C46" s="586"/>
      <c r="D46" s="591" t="s">
        <v>579</v>
      </c>
      <c r="E46" s="653" t="s">
        <v>348</v>
      </c>
      <c r="F46" s="653"/>
      <c r="G46" s="653"/>
      <c r="H46" s="653"/>
      <c r="I46" s="653"/>
      <c r="J46" s="653"/>
      <c r="N46" s="597">
        <v>1</v>
      </c>
      <c r="O46" s="663" t="s">
        <v>52</v>
      </c>
      <c r="P46" s="664"/>
      <c r="Q46" s="664"/>
      <c r="R46" s="665"/>
      <c r="S46" s="657" t="s">
        <v>296</v>
      </c>
      <c r="T46" s="658"/>
      <c r="U46" s="658"/>
      <c r="V46" s="658"/>
      <c r="W46" s="658"/>
      <c r="X46" s="658"/>
      <c r="Y46" s="658"/>
      <c r="Z46" s="658"/>
      <c r="AA46" s="658"/>
      <c r="AB46" s="658"/>
      <c r="AC46" s="658"/>
      <c r="AD46" s="658"/>
      <c r="AE46" s="658"/>
      <c r="AF46" s="659"/>
    </row>
    <row r="47" spans="1:32">
      <c r="A47" s="586"/>
      <c r="B47" s="586" t="s">
        <v>372</v>
      </c>
      <c r="C47" s="586"/>
      <c r="D47" s="591" t="s">
        <v>579</v>
      </c>
      <c r="E47" s="609" t="s">
        <v>373</v>
      </c>
      <c r="F47" s="613"/>
      <c r="G47" s="613"/>
      <c r="H47" s="613"/>
      <c r="I47" s="613"/>
      <c r="J47" s="542"/>
      <c r="N47" s="601">
        <v>2</v>
      </c>
      <c r="O47" s="671" t="s">
        <v>53</v>
      </c>
      <c r="P47" s="672"/>
      <c r="Q47" s="672"/>
      <c r="R47" s="673"/>
      <c r="S47" s="660" t="s">
        <v>297</v>
      </c>
      <c r="T47" s="661"/>
      <c r="U47" s="661"/>
      <c r="V47" s="661"/>
      <c r="W47" s="661"/>
      <c r="X47" s="661"/>
      <c r="Y47" s="661"/>
      <c r="Z47" s="661"/>
      <c r="AA47" s="661"/>
      <c r="AB47" s="661"/>
      <c r="AC47" s="661"/>
      <c r="AD47" s="661"/>
      <c r="AE47" s="661"/>
      <c r="AF47" s="662"/>
    </row>
    <row r="48" spans="1:32">
      <c r="A48" s="586"/>
      <c r="B48" s="586" t="s">
        <v>374</v>
      </c>
      <c r="C48" s="586"/>
      <c r="D48" s="591" t="s">
        <v>579</v>
      </c>
      <c r="E48" s="614" t="s">
        <v>375</v>
      </c>
      <c r="F48" s="615" t="s">
        <v>377</v>
      </c>
      <c r="G48" s="616" t="s">
        <v>376</v>
      </c>
      <c r="H48" s="617" t="s">
        <v>647</v>
      </c>
      <c r="I48" s="618"/>
      <c r="J48" s="619"/>
      <c r="M48" s="503"/>
      <c r="N48" s="605">
        <v>3</v>
      </c>
      <c r="O48" s="674" t="s">
        <v>54</v>
      </c>
      <c r="P48" s="675"/>
      <c r="Q48" s="675"/>
      <c r="R48" s="676"/>
      <c r="S48" s="660" t="s">
        <v>298</v>
      </c>
      <c r="T48" s="661"/>
      <c r="U48" s="661"/>
      <c r="V48" s="661"/>
      <c r="W48" s="661"/>
      <c r="X48" s="661"/>
      <c r="Y48" s="661"/>
      <c r="Z48" s="661"/>
      <c r="AA48" s="661"/>
      <c r="AB48" s="661"/>
      <c r="AC48" s="661"/>
      <c r="AD48" s="661"/>
      <c r="AE48" s="661"/>
      <c r="AF48" s="662"/>
    </row>
    <row r="49" spans="1:22">
      <c r="A49" s="586"/>
      <c r="B49" s="586" t="s">
        <v>379</v>
      </c>
      <c r="C49" s="586"/>
      <c r="D49" s="591" t="s">
        <v>579</v>
      </c>
      <c r="E49" s="620" t="s">
        <v>648</v>
      </c>
      <c r="F49" s="621"/>
      <c r="G49" s="621"/>
      <c r="H49" s="616"/>
      <c r="I49" s="621"/>
      <c r="J49" s="622"/>
      <c r="K49" s="548"/>
    </row>
    <row r="50" spans="1:22">
      <c r="A50" s="586"/>
      <c r="B50" s="542"/>
      <c r="C50" s="542"/>
      <c r="D50" s="542"/>
      <c r="E50" s="542"/>
      <c r="F50" s="542"/>
      <c r="G50" s="542"/>
      <c r="H50" s="542"/>
      <c r="I50" s="542"/>
      <c r="J50" s="542"/>
      <c r="K50" s="548"/>
      <c r="N50" s="486" t="s">
        <v>49</v>
      </c>
      <c r="Q50" s="543" t="s">
        <v>579</v>
      </c>
      <c r="R50" s="486" t="s">
        <v>326</v>
      </c>
    </row>
    <row r="51" spans="1:22">
      <c r="A51" s="612" t="s">
        <v>607</v>
      </c>
      <c r="B51" s="692" t="s">
        <v>380</v>
      </c>
      <c r="C51" s="692"/>
      <c r="D51" s="692"/>
      <c r="E51" s="692"/>
      <c r="F51" s="692"/>
      <c r="G51" s="692"/>
      <c r="H51" s="692"/>
      <c r="I51" s="692"/>
      <c r="J51" s="692"/>
      <c r="K51" s="540"/>
      <c r="N51" s="486" t="s">
        <v>55</v>
      </c>
      <c r="Q51" s="543" t="s">
        <v>579</v>
      </c>
      <c r="R51" s="486" t="s">
        <v>72</v>
      </c>
    </row>
    <row r="52" spans="1:22">
      <c r="A52" s="586"/>
      <c r="B52" s="692"/>
      <c r="C52" s="692"/>
      <c r="D52" s="692"/>
      <c r="E52" s="692"/>
      <c r="F52" s="692"/>
      <c r="G52" s="692"/>
      <c r="H52" s="692"/>
      <c r="I52" s="692"/>
      <c r="J52" s="692"/>
      <c r="K52" s="540"/>
      <c r="N52" s="486" t="s">
        <v>50</v>
      </c>
      <c r="Q52" s="543" t="s">
        <v>579</v>
      </c>
      <c r="R52" s="486" t="s">
        <v>327</v>
      </c>
    </row>
    <row r="53" spans="1:22">
      <c r="A53" s="586"/>
      <c r="B53" s="651" t="s">
        <v>381</v>
      </c>
      <c r="C53" s="651"/>
      <c r="D53" s="623" t="str">
        <f>'2.Quotation Service Order'!N14</f>
        <v>QCTVN201704-01</v>
      </c>
      <c r="E53" s="613"/>
      <c r="F53" s="613"/>
      <c r="G53" s="613"/>
      <c r="H53" s="613"/>
      <c r="I53" s="613"/>
      <c r="J53" s="613"/>
      <c r="K53" s="540"/>
      <c r="N53" s="486" t="s">
        <v>51</v>
      </c>
      <c r="Q53" s="543" t="s">
        <v>579</v>
      </c>
      <c r="R53" s="486" t="s">
        <v>301</v>
      </c>
    </row>
    <row r="54" spans="1:22">
      <c r="A54" s="586"/>
      <c r="B54" s="688"/>
      <c r="C54" s="688"/>
      <c r="D54" s="542"/>
      <c r="E54" s="542"/>
      <c r="F54" s="542"/>
      <c r="G54" s="542"/>
      <c r="H54" s="542"/>
      <c r="I54" s="542"/>
      <c r="J54" s="542"/>
      <c r="K54" s="540"/>
      <c r="Q54" s="543"/>
    </row>
    <row r="55" spans="1:22">
      <c r="A55" s="610" t="s">
        <v>639</v>
      </c>
      <c r="B55" s="586"/>
      <c r="C55" s="591"/>
      <c r="D55" s="586"/>
      <c r="E55" s="586"/>
      <c r="F55" s="586"/>
      <c r="G55" s="586"/>
      <c r="H55" s="586"/>
      <c r="I55" s="586"/>
      <c r="J55" s="586"/>
      <c r="K55" s="540"/>
      <c r="Q55" s="543"/>
    </row>
    <row r="56" spans="1:22">
      <c r="A56" s="612" t="s">
        <v>608</v>
      </c>
      <c r="B56" s="511" t="s">
        <v>568</v>
      </c>
      <c r="C56" s="624"/>
      <c r="D56" s="512"/>
      <c r="E56" s="513"/>
      <c r="F56" s="513"/>
      <c r="G56" s="586"/>
      <c r="H56" s="586"/>
      <c r="I56" s="586"/>
      <c r="J56" s="586"/>
      <c r="K56" s="540"/>
    </row>
    <row r="57" spans="1:22" ht="14.25" customHeight="1">
      <c r="A57" s="612"/>
      <c r="B57" s="514" t="s">
        <v>382</v>
      </c>
      <c r="C57" s="513"/>
      <c r="D57" s="513"/>
      <c r="E57" s="513"/>
      <c r="F57" s="513"/>
      <c r="G57" s="513"/>
      <c r="H57" s="513"/>
      <c r="I57" s="513"/>
      <c r="J57" s="513"/>
      <c r="K57" s="540"/>
      <c r="N57" s="677" t="s">
        <v>295</v>
      </c>
      <c r="O57" s="677"/>
      <c r="P57" s="677"/>
      <c r="Q57" s="677"/>
      <c r="R57" s="677"/>
      <c r="S57" s="677"/>
      <c r="T57" s="677"/>
      <c r="U57" s="677"/>
      <c r="V57" s="677"/>
    </row>
    <row r="58" spans="1:22">
      <c r="A58" s="612"/>
      <c r="B58" s="514"/>
      <c r="C58" s="513"/>
      <c r="D58" s="513"/>
      <c r="E58" s="513"/>
      <c r="F58" s="513"/>
      <c r="G58" s="513"/>
      <c r="H58" s="513"/>
      <c r="I58" s="513"/>
      <c r="J58" s="513"/>
      <c r="K58" s="540"/>
      <c r="N58" s="677"/>
      <c r="O58" s="677"/>
      <c r="P58" s="677"/>
      <c r="Q58" s="677"/>
      <c r="R58" s="677"/>
      <c r="S58" s="677"/>
      <c r="T58" s="677"/>
      <c r="U58" s="677"/>
      <c r="V58" s="677"/>
    </row>
    <row r="59" spans="1:22">
      <c r="A59" s="586"/>
      <c r="B59" s="511"/>
      <c r="C59" s="513"/>
      <c r="D59" s="513"/>
      <c r="E59" s="513"/>
      <c r="F59" s="513"/>
      <c r="G59" s="513"/>
      <c r="H59" s="513"/>
      <c r="I59" s="513"/>
      <c r="J59" s="625"/>
      <c r="K59" s="540"/>
      <c r="N59" s="626" t="s">
        <v>73</v>
      </c>
    </row>
    <row r="60" spans="1:22">
      <c r="A60" s="612" t="s">
        <v>609</v>
      </c>
      <c r="B60" s="680" t="s">
        <v>383</v>
      </c>
      <c r="C60" s="680"/>
      <c r="D60" s="680"/>
      <c r="E60" s="680"/>
      <c r="F60" s="680"/>
      <c r="G60" s="680"/>
      <c r="H60" s="680"/>
      <c r="I60" s="680"/>
      <c r="J60" s="680"/>
      <c r="K60" s="548"/>
      <c r="N60" s="486" t="s">
        <v>610</v>
      </c>
      <c r="O60" s="578" t="s">
        <v>300</v>
      </c>
      <c r="P60" s="577" t="s">
        <v>600</v>
      </c>
      <c r="Q60" s="580">
        <v>2016</v>
      </c>
      <c r="R60" s="577" t="s">
        <v>601</v>
      </c>
      <c r="S60" s="581" t="s">
        <v>314</v>
      </c>
    </row>
    <row r="61" spans="1:22">
      <c r="A61" s="586"/>
      <c r="B61" s="689" t="s">
        <v>384</v>
      </c>
      <c r="C61" s="689"/>
      <c r="D61" s="689"/>
      <c r="E61" s="689"/>
      <c r="F61" s="689"/>
      <c r="G61" s="689"/>
      <c r="H61" s="689"/>
      <c r="I61" s="689"/>
      <c r="J61" s="689"/>
      <c r="K61" s="540"/>
    </row>
    <row r="62" spans="1:22">
      <c r="A62" s="612"/>
      <c r="B62" s="689"/>
      <c r="C62" s="689"/>
      <c r="D62" s="689"/>
      <c r="E62" s="689"/>
      <c r="F62" s="689"/>
      <c r="G62" s="689"/>
      <c r="H62" s="689"/>
      <c r="I62" s="689"/>
      <c r="J62" s="689"/>
    </row>
    <row r="63" spans="1:22">
      <c r="A63" s="586"/>
      <c r="B63" s="689"/>
      <c r="C63" s="689"/>
      <c r="D63" s="689"/>
      <c r="E63" s="689"/>
      <c r="F63" s="689"/>
      <c r="G63" s="689"/>
      <c r="H63" s="689"/>
      <c r="I63" s="689"/>
      <c r="J63" s="689"/>
      <c r="O63" s="577"/>
    </row>
    <row r="64" spans="1:22" ht="14.25" customHeight="1">
      <c r="A64" s="612" t="s">
        <v>611</v>
      </c>
      <c r="B64" s="686" t="s">
        <v>385</v>
      </c>
      <c r="C64" s="686"/>
      <c r="D64" s="686"/>
      <c r="E64" s="686"/>
      <c r="F64" s="686"/>
      <c r="G64" s="686"/>
      <c r="H64" s="686"/>
      <c r="I64" s="686"/>
      <c r="J64" s="686"/>
      <c r="N64" s="486" t="s">
        <v>56</v>
      </c>
      <c r="O64" s="627" t="e">
        <f>TEXT(#REF!,"#,###")</f>
        <v>#REF!</v>
      </c>
      <c r="P64" s="486" t="str">
        <f>E36</f>
        <v>VNĐ</v>
      </c>
    </row>
    <row r="65" spans="1:17">
      <c r="A65" s="586"/>
      <c r="B65" s="686"/>
      <c r="C65" s="686"/>
      <c r="D65" s="686"/>
      <c r="E65" s="686"/>
      <c r="F65" s="686"/>
      <c r="G65" s="686"/>
      <c r="H65" s="686"/>
      <c r="I65" s="686"/>
      <c r="J65" s="686"/>
      <c r="O65" s="628"/>
    </row>
    <row r="66" spans="1:17">
      <c r="A66" s="586"/>
      <c r="B66" s="629"/>
      <c r="C66" s="629"/>
      <c r="D66" s="629"/>
      <c r="E66" s="629"/>
      <c r="F66" s="629"/>
      <c r="G66" s="629"/>
      <c r="H66" s="629"/>
      <c r="I66" s="629"/>
      <c r="J66" s="629"/>
      <c r="O66" s="628"/>
    </row>
    <row r="67" spans="1:17">
      <c r="A67" s="610" t="s">
        <v>640</v>
      </c>
      <c r="B67" s="586"/>
      <c r="C67" s="586"/>
      <c r="D67" s="586"/>
      <c r="E67" s="586"/>
      <c r="F67" s="586"/>
      <c r="G67" s="586"/>
      <c r="H67" s="586"/>
      <c r="I67" s="586"/>
      <c r="J67" s="586"/>
      <c r="O67" s="628"/>
    </row>
    <row r="68" spans="1:17">
      <c r="A68" s="586"/>
      <c r="B68" s="586"/>
      <c r="C68" s="586"/>
      <c r="D68" s="586"/>
      <c r="E68" s="586"/>
      <c r="F68" s="586"/>
      <c r="G68" s="586"/>
      <c r="H68" s="586"/>
      <c r="I68" s="586"/>
      <c r="J68" s="586"/>
      <c r="N68" s="486" t="s">
        <v>320</v>
      </c>
      <c r="O68" s="517" t="s">
        <v>334</v>
      </c>
      <c r="Q68" s="517" t="s">
        <v>316</v>
      </c>
    </row>
    <row r="69" spans="1:17">
      <c r="A69" s="630" t="s">
        <v>386</v>
      </c>
      <c r="B69" s="586"/>
      <c r="C69" s="586"/>
      <c r="D69" s="586"/>
      <c r="E69" s="586"/>
      <c r="F69" s="586"/>
      <c r="G69" s="586"/>
      <c r="H69" s="586"/>
      <c r="I69" s="586"/>
      <c r="J69" s="586"/>
      <c r="O69" s="517" t="s">
        <v>317</v>
      </c>
      <c r="Q69" s="517" t="s">
        <v>318</v>
      </c>
    </row>
    <row r="70" spans="1:17" ht="14.25" customHeight="1">
      <c r="A70" s="586"/>
      <c r="B70" s="586"/>
      <c r="C70" s="586"/>
      <c r="D70" s="586"/>
      <c r="E70" s="586"/>
      <c r="F70" s="586"/>
      <c r="G70" s="586"/>
      <c r="H70" s="586"/>
      <c r="I70" s="586"/>
      <c r="J70" s="586"/>
      <c r="O70" s="517"/>
      <c r="Q70" s="517" t="s">
        <v>319</v>
      </c>
    </row>
    <row r="71" spans="1:17">
      <c r="A71" s="612" t="s">
        <v>612</v>
      </c>
      <c r="B71" s="680" t="s">
        <v>408</v>
      </c>
      <c r="C71" s="680"/>
      <c r="D71" s="680"/>
      <c r="E71" s="680"/>
      <c r="F71" s="680"/>
      <c r="G71" s="680"/>
      <c r="H71" s="680"/>
      <c r="I71" s="680"/>
      <c r="J71" s="680"/>
      <c r="O71" s="517"/>
      <c r="Q71" s="517"/>
    </row>
    <row r="72" spans="1:17">
      <c r="A72" s="586"/>
      <c r="B72" s="680"/>
      <c r="C72" s="680"/>
      <c r="D72" s="680"/>
      <c r="E72" s="680"/>
      <c r="F72" s="680"/>
      <c r="G72" s="680"/>
      <c r="H72" s="680"/>
      <c r="I72" s="680"/>
      <c r="J72" s="680"/>
      <c r="O72" s="517"/>
      <c r="Q72" s="517"/>
    </row>
    <row r="73" spans="1:17">
      <c r="A73" s="586"/>
      <c r="B73" s="680"/>
      <c r="C73" s="680"/>
      <c r="D73" s="680"/>
      <c r="E73" s="680"/>
      <c r="F73" s="680"/>
      <c r="G73" s="680"/>
      <c r="H73" s="680"/>
      <c r="I73" s="680"/>
      <c r="J73" s="680"/>
      <c r="O73" s="519"/>
      <c r="Q73" s="517"/>
    </row>
    <row r="74" spans="1:17">
      <c r="A74" s="612" t="s">
        <v>613</v>
      </c>
      <c r="B74" s="680" t="s">
        <v>387</v>
      </c>
      <c r="C74" s="680"/>
      <c r="D74" s="680"/>
      <c r="E74" s="680"/>
      <c r="F74" s="680"/>
      <c r="G74" s="680"/>
      <c r="H74" s="680"/>
      <c r="I74" s="680"/>
      <c r="J74" s="680"/>
      <c r="O74" s="519"/>
      <c r="Q74" s="517"/>
    </row>
    <row r="75" spans="1:17">
      <c r="A75" s="586"/>
      <c r="B75" s="680"/>
      <c r="C75" s="680"/>
      <c r="D75" s="680"/>
      <c r="E75" s="680"/>
      <c r="F75" s="680"/>
      <c r="G75" s="680"/>
      <c r="H75" s="680"/>
      <c r="I75" s="680"/>
      <c r="J75" s="680"/>
      <c r="O75" s="519"/>
      <c r="Q75" s="517"/>
    </row>
    <row r="76" spans="1:17" ht="14.25" customHeight="1">
      <c r="A76" s="586"/>
      <c r="B76" s="586"/>
      <c r="C76" s="586"/>
      <c r="D76" s="586"/>
      <c r="E76" s="586"/>
      <c r="F76" s="586"/>
      <c r="G76" s="586"/>
      <c r="H76" s="586"/>
      <c r="I76" s="586"/>
      <c r="J76" s="586"/>
      <c r="O76" s="519"/>
      <c r="Q76" s="517"/>
    </row>
    <row r="77" spans="1:17" ht="14.25" customHeight="1">
      <c r="A77" s="610" t="s">
        <v>641</v>
      </c>
      <c r="B77" s="586"/>
      <c r="C77" s="586"/>
      <c r="D77" s="586"/>
      <c r="E77" s="586"/>
      <c r="F77" s="586"/>
      <c r="G77" s="586"/>
      <c r="H77" s="586"/>
      <c r="I77" s="586"/>
      <c r="J77" s="586"/>
      <c r="O77" s="519"/>
      <c r="Q77" s="517"/>
    </row>
    <row r="78" spans="1:17" ht="14.25" customHeight="1">
      <c r="A78" s="586"/>
      <c r="B78" s="586"/>
      <c r="C78" s="586"/>
      <c r="D78" s="586"/>
      <c r="E78" s="586"/>
      <c r="F78" s="586"/>
      <c r="G78" s="586"/>
      <c r="H78" s="586"/>
      <c r="I78" s="586"/>
      <c r="J78" s="586"/>
      <c r="O78" s="519"/>
      <c r="Q78" s="517"/>
    </row>
    <row r="79" spans="1:17" ht="14.25" customHeight="1">
      <c r="A79" s="612" t="s">
        <v>614</v>
      </c>
      <c r="B79" s="680" t="s">
        <v>388</v>
      </c>
      <c r="C79" s="680"/>
      <c r="D79" s="680"/>
      <c r="E79" s="680"/>
      <c r="F79" s="680"/>
      <c r="G79" s="680"/>
      <c r="H79" s="680"/>
      <c r="I79" s="680"/>
      <c r="J79" s="680"/>
      <c r="O79" s="519"/>
      <c r="Q79" s="517"/>
    </row>
    <row r="80" spans="1:17">
      <c r="A80" s="609"/>
      <c r="B80" s="680"/>
      <c r="C80" s="680"/>
      <c r="D80" s="680"/>
      <c r="E80" s="680"/>
      <c r="F80" s="680"/>
      <c r="G80" s="680"/>
      <c r="H80" s="680"/>
      <c r="I80" s="680"/>
      <c r="J80" s="680"/>
      <c r="O80" s="519"/>
      <c r="Q80" s="517"/>
    </row>
    <row r="81" spans="1:24">
      <c r="A81" s="609"/>
      <c r="B81" s="680"/>
      <c r="C81" s="680"/>
      <c r="D81" s="680"/>
      <c r="E81" s="680"/>
      <c r="F81" s="680"/>
      <c r="G81" s="680"/>
      <c r="H81" s="680"/>
      <c r="I81" s="680"/>
      <c r="J81" s="680"/>
      <c r="N81" s="679" t="s">
        <v>64</v>
      </c>
      <c r="O81" s="631">
        <v>1</v>
      </c>
      <c r="P81" s="631" t="s">
        <v>68</v>
      </c>
      <c r="Q81" s="667" t="s">
        <v>66</v>
      </c>
      <c r="R81" s="667"/>
      <c r="S81" s="667"/>
      <c r="T81" s="667"/>
      <c r="U81" s="667" t="s">
        <v>154</v>
      </c>
      <c r="V81" s="667"/>
      <c r="W81" s="667"/>
      <c r="X81" s="667"/>
    </row>
    <row r="82" spans="1:24">
      <c r="A82" s="609"/>
      <c r="B82" s="680"/>
      <c r="C82" s="680"/>
      <c r="D82" s="680"/>
      <c r="E82" s="680"/>
      <c r="F82" s="680"/>
      <c r="G82" s="680"/>
      <c r="H82" s="680"/>
      <c r="I82" s="680"/>
      <c r="J82" s="680"/>
      <c r="N82" s="679"/>
      <c r="O82" s="632">
        <v>2</v>
      </c>
      <c r="P82" s="633" t="s">
        <v>69</v>
      </c>
      <c r="Q82" s="668" t="s">
        <v>70</v>
      </c>
      <c r="R82" s="669"/>
      <c r="S82" s="669"/>
      <c r="T82" s="670"/>
      <c r="U82" s="668" t="s">
        <v>71</v>
      </c>
      <c r="V82" s="669"/>
      <c r="W82" s="669"/>
      <c r="X82" s="670"/>
    </row>
    <row r="83" spans="1:24">
      <c r="A83" s="610" t="s">
        <v>642</v>
      </c>
      <c r="B83" s="586"/>
      <c r="C83" s="586"/>
      <c r="D83" s="586"/>
      <c r="E83" s="586"/>
      <c r="F83" s="586"/>
      <c r="G83" s="586"/>
      <c r="H83" s="586"/>
      <c r="I83" s="586"/>
      <c r="J83" s="586"/>
      <c r="N83" s="634" t="s">
        <v>65</v>
      </c>
      <c r="O83" s="635">
        <v>1</v>
      </c>
      <c r="P83" s="660" t="str">
        <f>IF(O83="","",VLOOKUP(O83,O81:Q82,3,TRUE))</f>
        <v>This Price is 10% VAT applicable.</v>
      </c>
      <c r="Q83" s="661"/>
      <c r="R83" s="661"/>
      <c r="S83" s="661"/>
      <c r="T83" s="662"/>
    </row>
    <row r="84" spans="1:24">
      <c r="A84" s="586"/>
      <c r="B84" s="586"/>
      <c r="C84" s="586"/>
      <c r="D84" s="586"/>
      <c r="E84" s="586"/>
      <c r="F84" s="586"/>
      <c r="G84" s="586"/>
      <c r="H84" s="586"/>
      <c r="I84" s="586"/>
      <c r="J84" s="586"/>
      <c r="P84" s="666"/>
      <c r="Q84" s="666"/>
      <c r="R84" s="666"/>
      <c r="S84" s="666"/>
      <c r="T84" s="666"/>
    </row>
    <row r="85" spans="1:24">
      <c r="A85" s="592" t="s">
        <v>389</v>
      </c>
      <c r="B85" s="586"/>
      <c r="C85" s="586"/>
      <c r="D85" s="586"/>
      <c r="E85" s="586"/>
      <c r="F85" s="586"/>
      <c r="G85" s="586"/>
      <c r="H85" s="586"/>
      <c r="I85" s="586"/>
      <c r="J85" s="586"/>
      <c r="N85" s="636"/>
      <c r="O85" s="636"/>
      <c r="P85" s="636"/>
      <c r="Q85" s="636"/>
      <c r="R85" s="636"/>
      <c r="S85" s="636"/>
      <c r="T85" s="636"/>
    </row>
    <row r="86" spans="1:24">
      <c r="A86" s="586"/>
      <c r="B86" s="586"/>
      <c r="C86" s="586"/>
      <c r="D86" s="586"/>
      <c r="E86" s="586"/>
      <c r="F86" s="586"/>
      <c r="G86" s="586"/>
      <c r="H86" s="586"/>
      <c r="I86" s="586"/>
      <c r="J86" s="586"/>
      <c r="M86" s="486" t="s">
        <v>273</v>
      </c>
      <c r="N86" s="636"/>
      <c r="O86" s="636"/>
      <c r="P86" s="636"/>
      <c r="Q86" s="636"/>
      <c r="R86" s="636"/>
      <c r="S86" s="636"/>
      <c r="T86" s="636"/>
    </row>
    <row r="87" spans="1:24">
      <c r="A87" s="586" t="s">
        <v>615</v>
      </c>
      <c r="B87" s="586"/>
      <c r="C87" s="586"/>
      <c r="D87" s="586"/>
      <c r="E87" s="586"/>
      <c r="F87" s="586"/>
      <c r="G87" s="586"/>
      <c r="H87" s="586"/>
      <c r="I87" s="586"/>
      <c r="J87" s="586"/>
      <c r="M87" s="486" t="s">
        <v>184</v>
      </c>
      <c r="N87" s="636"/>
      <c r="O87" s="636"/>
      <c r="P87" s="637"/>
      <c r="Q87" s="636"/>
      <c r="R87" s="636"/>
      <c r="S87" s="636"/>
      <c r="T87" s="636"/>
    </row>
    <row r="88" spans="1:24">
      <c r="A88" s="586" t="s">
        <v>72</v>
      </c>
      <c r="B88" s="680" t="s">
        <v>390</v>
      </c>
      <c r="C88" s="680"/>
      <c r="D88" s="680"/>
      <c r="E88" s="680"/>
      <c r="F88" s="680"/>
      <c r="G88" s="680"/>
      <c r="H88" s="680"/>
      <c r="I88" s="680"/>
      <c r="J88" s="680"/>
      <c r="N88" s="638"/>
      <c r="O88" s="636"/>
      <c r="P88" s="636"/>
      <c r="Q88" s="636"/>
      <c r="R88" s="636"/>
      <c r="S88" s="636"/>
      <c r="T88" s="636"/>
    </row>
    <row r="89" spans="1:24">
      <c r="A89" s="586" t="s">
        <v>72</v>
      </c>
      <c r="B89" s="586" t="s">
        <v>391</v>
      </c>
      <c r="C89" s="586"/>
      <c r="D89" s="586"/>
      <c r="E89" s="586"/>
      <c r="F89" s="586"/>
      <c r="G89" s="586"/>
      <c r="H89" s="586"/>
      <c r="I89" s="586"/>
      <c r="J89" s="586"/>
      <c r="N89" s="638"/>
      <c r="O89" s="636"/>
      <c r="P89" s="678"/>
      <c r="Q89" s="678"/>
      <c r="R89" s="678"/>
      <c r="S89" s="678"/>
      <c r="T89" s="678"/>
    </row>
    <row r="90" spans="1:24">
      <c r="A90" s="586" t="s">
        <v>72</v>
      </c>
      <c r="B90" s="680" t="s">
        <v>392</v>
      </c>
      <c r="C90" s="680"/>
      <c r="D90" s="680"/>
      <c r="E90" s="680"/>
      <c r="F90" s="680"/>
      <c r="G90" s="680"/>
      <c r="H90" s="680"/>
      <c r="I90" s="680"/>
      <c r="J90" s="680"/>
    </row>
    <row r="91" spans="1:24">
      <c r="A91" s="586"/>
      <c r="B91" s="680"/>
      <c r="C91" s="680"/>
      <c r="D91" s="680"/>
      <c r="E91" s="680"/>
      <c r="F91" s="680"/>
      <c r="G91" s="680"/>
      <c r="H91" s="680"/>
      <c r="I91" s="680"/>
      <c r="J91" s="680"/>
    </row>
    <row r="92" spans="1:24">
      <c r="A92" s="586"/>
      <c r="B92" s="680"/>
      <c r="C92" s="680"/>
      <c r="D92" s="680"/>
      <c r="E92" s="680"/>
      <c r="F92" s="680"/>
      <c r="G92" s="680"/>
      <c r="H92" s="680"/>
      <c r="I92" s="680"/>
      <c r="J92" s="680"/>
    </row>
    <row r="93" spans="1:24" ht="14.25" customHeight="1">
      <c r="A93" s="586"/>
      <c r="B93" s="680"/>
      <c r="C93" s="680"/>
      <c r="D93" s="680"/>
      <c r="E93" s="680"/>
      <c r="F93" s="680"/>
      <c r="G93" s="680"/>
      <c r="H93" s="680"/>
      <c r="I93" s="680"/>
      <c r="J93" s="680"/>
    </row>
    <row r="94" spans="1:24">
      <c r="A94" s="586" t="s">
        <v>616</v>
      </c>
      <c r="B94" s="586"/>
      <c r="C94" s="586"/>
      <c r="D94" s="586"/>
      <c r="E94" s="586"/>
      <c r="F94" s="586"/>
      <c r="G94" s="586"/>
      <c r="H94" s="586"/>
      <c r="I94" s="586"/>
      <c r="J94" s="586"/>
    </row>
    <row r="95" spans="1:24">
      <c r="A95" s="586" t="s">
        <v>72</v>
      </c>
      <c r="B95" s="680" t="s">
        <v>393</v>
      </c>
      <c r="C95" s="680"/>
      <c r="D95" s="680"/>
      <c r="E95" s="680"/>
      <c r="F95" s="680"/>
      <c r="G95" s="680"/>
      <c r="H95" s="680"/>
      <c r="I95" s="680"/>
      <c r="J95" s="680"/>
    </row>
    <row r="96" spans="1:24">
      <c r="A96" s="586" t="s">
        <v>72</v>
      </c>
      <c r="B96" s="680" t="s">
        <v>394</v>
      </c>
      <c r="C96" s="680"/>
      <c r="D96" s="680"/>
      <c r="E96" s="680"/>
      <c r="F96" s="680"/>
      <c r="G96" s="680"/>
      <c r="H96" s="680"/>
      <c r="I96" s="680"/>
      <c r="J96" s="680"/>
    </row>
    <row r="97" spans="1:10">
      <c r="A97" s="586" t="s">
        <v>72</v>
      </c>
      <c r="B97" s="680" t="s">
        <v>392</v>
      </c>
      <c r="C97" s="680"/>
      <c r="D97" s="680"/>
      <c r="E97" s="680"/>
      <c r="F97" s="680"/>
      <c r="G97" s="680"/>
      <c r="H97" s="680"/>
      <c r="I97" s="680"/>
      <c r="J97" s="680"/>
    </row>
    <row r="98" spans="1:10">
      <c r="A98" s="586"/>
      <c r="B98" s="680"/>
      <c r="C98" s="680"/>
      <c r="D98" s="680"/>
      <c r="E98" s="680"/>
      <c r="F98" s="680"/>
      <c r="G98" s="680"/>
      <c r="H98" s="680"/>
      <c r="I98" s="680"/>
      <c r="J98" s="680"/>
    </row>
    <row r="99" spans="1:10">
      <c r="A99" s="586"/>
      <c r="B99" s="680"/>
      <c r="C99" s="680"/>
      <c r="D99" s="680"/>
      <c r="E99" s="680"/>
      <c r="F99" s="680"/>
      <c r="G99" s="680"/>
      <c r="H99" s="680"/>
      <c r="I99" s="680"/>
      <c r="J99" s="680"/>
    </row>
    <row r="100" spans="1:10">
      <c r="A100" s="586"/>
      <c r="B100" s="586"/>
      <c r="C100" s="586"/>
      <c r="D100" s="586"/>
      <c r="E100" s="586"/>
      <c r="F100" s="586"/>
      <c r="G100" s="586"/>
      <c r="H100" s="586"/>
      <c r="I100" s="586"/>
      <c r="J100" s="586"/>
    </row>
    <row r="101" spans="1:10">
      <c r="A101" s="610" t="s">
        <v>643</v>
      </c>
      <c r="B101" s="586"/>
      <c r="C101" s="586"/>
      <c r="D101" s="586"/>
      <c r="E101" s="586"/>
      <c r="F101" s="586"/>
      <c r="G101" s="586"/>
      <c r="H101" s="586"/>
      <c r="I101" s="586"/>
      <c r="J101" s="586"/>
    </row>
    <row r="102" spans="1:10">
      <c r="A102" s="586"/>
      <c r="B102" s="586"/>
      <c r="C102" s="586"/>
      <c r="D102" s="586"/>
      <c r="E102" s="586"/>
      <c r="F102" s="586"/>
      <c r="G102" s="586"/>
      <c r="H102" s="586"/>
      <c r="I102" s="586"/>
      <c r="J102" s="586"/>
    </row>
    <row r="103" spans="1:10">
      <c r="A103" s="612" t="s">
        <v>617</v>
      </c>
      <c r="B103" s="680" t="s">
        <v>395</v>
      </c>
      <c r="C103" s="680"/>
      <c r="D103" s="680"/>
      <c r="E103" s="680"/>
      <c r="F103" s="680"/>
      <c r="G103" s="680"/>
      <c r="H103" s="680"/>
      <c r="I103" s="680"/>
      <c r="J103" s="680"/>
    </row>
    <row r="104" spans="1:10" ht="14.25" customHeight="1">
      <c r="A104" s="612" t="s">
        <v>618</v>
      </c>
      <c r="B104" s="680" t="s">
        <v>396</v>
      </c>
      <c r="C104" s="680"/>
      <c r="D104" s="680"/>
      <c r="E104" s="680"/>
      <c r="F104" s="680"/>
      <c r="G104" s="680"/>
      <c r="H104" s="680"/>
      <c r="I104" s="680"/>
      <c r="J104" s="680"/>
    </row>
    <row r="105" spans="1:10">
      <c r="A105" s="586"/>
      <c r="B105" s="586"/>
      <c r="C105" s="586"/>
      <c r="D105" s="586"/>
      <c r="E105" s="586"/>
      <c r="F105" s="586"/>
      <c r="G105" s="586"/>
      <c r="H105" s="586"/>
      <c r="I105" s="586"/>
      <c r="J105" s="586"/>
    </row>
    <row r="106" spans="1:10" ht="13.5" customHeight="1">
      <c r="A106" s="610" t="s">
        <v>644</v>
      </c>
      <c r="B106" s="586"/>
      <c r="C106" s="586"/>
      <c r="D106" s="586"/>
      <c r="E106" s="586"/>
      <c r="F106" s="586"/>
      <c r="G106" s="586"/>
      <c r="H106" s="586"/>
      <c r="I106" s="586"/>
      <c r="J106" s="586"/>
    </row>
    <row r="107" spans="1:10" ht="14.25" customHeight="1">
      <c r="A107" s="586"/>
      <c r="B107" s="586"/>
      <c r="C107" s="586"/>
      <c r="D107" s="586"/>
      <c r="E107" s="586"/>
      <c r="F107" s="586"/>
      <c r="G107" s="586"/>
      <c r="H107" s="586"/>
      <c r="I107" s="586"/>
      <c r="J107" s="586"/>
    </row>
    <row r="108" spans="1:10" ht="13.5" customHeight="1">
      <c r="A108" s="586" t="s">
        <v>397</v>
      </c>
      <c r="B108" s="586"/>
      <c r="C108" s="586"/>
      <c r="D108" s="586"/>
      <c r="E108" s="586"/>
      <c r="F108" s="586"/>
      <c r="G108" s="586"/>
      <c r="H108" s="586"/>
      <c r="I108" s="586"/>
      <c r="J108" s="586"/>
    </row>
    <row r="109" spans="1:10">
      <c r="A109" s="586"/>
      <c r="B109" s="586"/>
      <c r="C109" s="586"/>
      <c r="D109" s="586"/>
      <c r="E109" s="586"/>
      <c r="F109" s="586"/>
      <c r="G109" s="586"/>
      <c r="H109" s="586"/>
      <c r="I109" s="586"/>
      <c r="J109" s="586"/>
    </row>
    <row r="110" spans="1:10">
      <c r="A110" s="592" t="s">
        <v>619</v>
      </c>
      <c r="B110" s="592" t="s">
        <v>348</v>
      </c>
      <c r="C110" s="586"/>
      <c r="D110" s="586"/>
      <c r="E110" s="586"/>
      <c r="F110" s="586"/>
      <c r="G110" s="586"/>
      <c r="H110" s="586"/>
      <c r="I110" s="586"/>
      <c r="J110" s="586"/>
    </row>
    <row r="111" spans="1:10" ht="15" customHeight="1">
      <c r="A111" s="691" t="s">
        <v>620</v>
      </c>
      <c r="B111" s="691"/>
      <c r="C111" s="586" t="s">
        <v>349</v>
      </c>
      <c r="D111" s="586"/>
      <c r="E111" s="586"/>
      <c r="F111" s="585" t="str">
        <f>P22</f>
        <v>+84-221-3974-805</v>
      </c>
      <c r="G111" s="586"/>
      <c r="H111" s="586"/>
      <c r="I111" s="586"/>
      <c r="J111" s="586"/>
    </row>
    <row r="112" spans="1:10">
      <c r="A112" s="586"/>
      <c r="B112" s="586"/>
      <c r="C112" s="586"/>
      <c r="D112" s="586"/>
      <c r="E112" s="586"/>
      <c r="F112" s="586"/>
      <c r="G112" s="586"/>
      <c r="H112" s="586"/>
      <c r="I112" s="586"/>
      <c r="J112" s="586"/>
    </row>
    <row r="113" spans="1:17">
      <c r="A113" s="592" t="s">
        <v>621</v>
      </c>
      <c r="B113" s="592" t="s">
        <v>0</v>
      </c>
      <c r="C113" s="586"/>
      <c r="D113" s="586"/>
      <c r="E113" s="586"/>
      <c r="F113" s="586"/>
      <c r="G113" s="586"/>
      <c r="H113" s="586"/>
      <c r="I113" s="586"/>
      <c r="J113" s="616"/>
    </row>
    <row r="114" spans="1:17" ht="14.25" customHeight="1">
      <c r="A114" s="691" t="s">
        <v>622</v>
      </c>
      <c r="B114" s="691"/>
      <c r="C114" s="586" t="str">
        <f>D28</f>
        <v>Ông MASAMI OUE</v>
      </c>
      <c r="D114" s="586"/>
      <c r="E114" s="586"/>
      <c r="F114" s="585" t="str">
        <f>D32</f>
        <v>+84-8-5410-9111</v>
      </c>
      <c r="G114" s="586"/>
      <c r="H114" s="586"/>
      <c r="I114" s="586"/>
      <c r="J114" s="586"/>
    </row>
    <row r="115" spans="1:17">
      <c r="A115" s="586"/>
      <c r="B115" s="586"/>
      <c r="C115" s="586"/>
      <c r="D115" s="586"/>
      <c r="E115" s="586"/>
      <c r="F115" s="586"/>
      <c r="G115" s="586"/>
      <c r="H115" s="586"/>
      <c r="I115" s="586"/>
      <c r="J115" s="586"/>
    </row>
    <row r="116" spans="1:17">
      <c r="A116" s="586"/>
      <c r="B116" s="586"/>
      <c r="C116" s="586"/>
      <c r="D116" s="586"/>
      <c r="E116" s="586"/>
      <c r="F116" s="586"/>
      <c r="G116" s="586"/>
      <c r="H116" s="586"/>
      <c r="I116" s="586"/>
      <c r="J116" s="586"/>
    </row>
    <row r="117" spans="1:17">
      <c r="A117" s="586"/>
      <c r="B117" s="586"/>
      <c r="C117" s="586"/>
      <c r="D117" s="586"/>
      <c r="E117" s="586"/>
      <c r="F117" s="586"/>
      <c r="G117" s="586"/>
      <c r="H117" s="586"/>
      <c r="I117" s="586"/>
      <c r="J117" s="586"/>
    </row>
    <row r="118" spans="1:17">
      <c r="A118" s="610" t="s">
        <v>645</v>
      </c>
      <c r="B118" s="586"/>
      <c r="C118" s="586"/>
      <c r="D118" s="586"/>
      <c r="E118" s="586"/>
      <c r="F118" s="586"/>
      <c r="G118" s="586"/>
      <c r="H118" s="586"/>
      <c r="I118" s="586"/>
      <c r="J118" s="586"/>
      <c r="N118" s="640" t="s">
        <v>623</v>
      </c>
      <c r="Q118" s="486" t="s">
        <v>74</v>
      </c>
    </row>
    <row r="119" spans="1:17">
      <c r="A119" s="586"/>
      <c r="B119" s="586"/>
      <c r="C119" s="586"/>
      <c r="D119" s="586"/>
      <c r="E119" s="586"/>
      <c r="F119" s="586"/>
      <c r="G119" s="586"/>
      <c r="H119" s="586"/>
      <c r="I119" s="586"/>
      <c r="J119" s="586"/>
    </row>
    <row r="120" spans="1:17">
      <c r="A120" s="612" t="s">
        <v>624</v>
      </c>
      <c r="B120" s="680" t="s">
        <v>398</v>
      </c>
      <c r="C120" s="680"/>
      <c r="D120" s="680"/>
      <c r="E120" s="680"/>
      <c r="F120" s="680"/>
      <c r="G120" s="680"/>
      <c r="H120" s="680"/>
      <c r="I120" s="680"/>
      <c r="J120" s="680"/>
    </row>
    <row r="121" spans="1:17">
      <c r="A121" s="586"/>
      <c r="B121" s="680"/>
      <c r="C121" s="680"/>
      <c r="D121" s="680"/>
      <c r="E121" s="680"/>
      <c r="F121" s="680"/>
      <c r="G121" s="680"/>
      <c r="H121" s="680"/>
      <c r="I121" s="680"/>
      <c r="J121" s="680"/>
    </row>
    <row r="122" spans="1:17">
      <c r="A122" s="586"/>
      <c r="B122" s="680"/>
      <c r="C122" s="680"/>
      <c r="D122" s="680"/>
      <c r="E122" s="680"/>
      <c r="F122" s="680"/>
      <c r="G122" s="680"/>
      <c r="H122" s="680"/>
      <c r="I122" s="680"/>
      <c r="J122" s="680"/>
    </row>
    <row r="123" spans="1:17">
      <c r="A123" s="586"/>
      <c r="B123" s="542"/>
      <c r="C123" s="542"/>
      <c r="D123" s="542"/>
      <c r="E123" s="542"/>
      <c r="F123" s="542"/>
      <c r="G123" s="542"/>
      <c r="H123" s="542"/>
      <c r="I123" s="542"/>
      <c r="J123" s="542"/>
    </row>
    <row r="124" spans="1:17">
      <c r="A124" s="612" t="s">
        <v>625</v>
      </c>
      <c r="B124" s="680" t="s">
        <v>399</v>
      </c>
      <c r="C124" s="680"/>
      <c r="D124" s="680"/>
      <c r="E124" s="680"/>
      <c r="F124" s="680"/>
      <c r="G124" s="680"/>
      <c r="H124" s="680"/>
      <c r="I124" s="680"/>
      <c r="J124" s="680"/>
      <c r="N124" s="486" t="s">
        <v>626</v>
      </c>
      <c r="O124" s="486" t="s">
        <v>185</v>
      </c>
    </row>
    <row r="125" spans="1:17">
      <c r="A125" s="609"/>
      <c r="B125" s="680"/>
      <c r="C125" s="680"/>
      <c r="D125" s="680"/>
      <c r="E125" s="680"/>
      <c r="F125" s="680"/>
      <c r="G125" s="680"/>
      <c r="H125" s="680"/>
      <c r="I125" s="680"/>
      <c r="J125" s="680"/>
      <c r="O125" s="491" t="s">
        <v>76</v>
      </c>
    </row>
    <row r="126" spans="1:17">
      <c r="A126" s="586"/>
      <c r="B126" s="639"/>
      <c r="C126" s="639"/>
      <c r="D126" s="639"/>
      <c r="E126" s="639"/>
      <c r="F126" s="639"/>
      <c r="G126" s="639"/>
      <c r="H126" s="639"/>
      <c r="I126" s="639"/>
      <c r="J126" s="639"/>
    </row>
    <row r="127" spans="1:17">
      <c r="A127" s="612" t="s">
        <v>627</v>
      </c>
      <c r="B127" s="680" t="s">
        <v>400</v>
      </c>
      <c r="C127" s="680"/>
      <c r="D127" s="680"/>
      <c r="E127" s="680"/>
      <c r="F127" s="680"/>
      <c r="G127" s="680"/>
      <c r="H127" s="680"/>
      <c r="I127" s="680"/>
      <c r="J127" s="680"/>
    </row>
    <row r="128" spans="1:17">
      <c r="A128" s="586"/>
      <c r="B128" s="680"/>
      <c r="C128" s="680"/>
      <c r="D128" s="680"/>
      <c r="E128" s="680"/>
      <c r="F128" s="680"/>
      <c r="G128" s="680"/>
      <c r="H128" s="680"/>
      <c r="I128" s="680"/>
      <c r="J128" s="680"/>
      <c r="N128" s="486" t="s">
        <v>628</v>
      </c>
      <c r="O128" s="486" t="s">
        <v>75</v>
      </c>
    </row>
    <row r="129" spans="1:10">
      <c r="A129" s="586"/>
      <c r="B129" s="680"/>
      <c r="C129" s="680"/>
      <c r="D129" s="680"/>
      <c r="E129" s="680"/>
      <c r="F129" s="680"/>
      <c r="G129" s="680"/>
      <c r="H129" s="680"/>
      <c r="I129" s="680"/>
      <c r="J129" s="680"/>
    </row>
    <row r="130" spans="1:10">
      <c r="A130" s="586"/>
      <c r="B130" s="680"/>
      <c r="C130" s="680"/>
      <c r="D130" s="680"/>
      <c r="E130" s="680"/>
      <c r="F130" s="680"/>
      <c r="G130" s="680"/>
      <c r="H130" s="680"/>
      <c r="I130" s="680"/>
      <c r="J130" s="680"/>
    </row>
    <row r="131" spans="1:10">
      <c r="A131" s="586"/>
      <c r="B131" s="586"/>
      <c r="C131" s="586"/>
      <c r="D131" s="586"/>
      <c r="E131" s="586"/>
      <c r="F131" s="586"/>
      <c r="G131" s="586"/>
      <c r="H131" s="586"/>
      <c r="I131" s="586"/>
      <c r="J131" s="586"/>
    </row>
    <row r="132" spans="1:10">
      <c r="A132" s="610" t="s">
        <v>401</v>
      </c>
      <c r="B132" s="586"/>
      <c r="C132" s="586"/>
      <c r="D132" s="586"/>
      <c r="E132" s="586"/>
      <c r="F132" s="586"/>
      <c r="G132" s="586"/>
      <c r="H132" s="586"/>
      <c r="I132" s="586"/>
      <c r="J132" s="586"/>
    </row>
    <row r="133" spans="1:10">
      <c r="A133" s="586"/>
      <c r="B133" s="586"/>
      <c r="C133" s="586"/>
      <c r="D133" s="586"/>
      <c r="E133" s="586"/>
      <c r="F133" s="586"/>
      <c r="G133" s="586"/>
      <c r="H133" s="586"/>
      <c r="I133" s="586"/>
      <c r="J133" s="586"/>
    </row>
    <row r="134" spans="1:10">
      <c r="A134" s="612" t="s">
        <v>629</v>
      </c>
      <c r="B134" s="692" t="s">
        <v>402</v>
      </c>
      <c r="C134" s="693"/>
      <c r="D134" s="693"/>
      <c r="E134" s="693"/>
      <c r="F134" s="693"/>
      <c r="G134" s="693"/>
      <c r="H134" s="693"/>
      <c r="I134" s="693"/>
      <c r="J134" s="693"/>
    </row>
    <row r="135" spans="1:10">
      <c r="A135" s="586"/>
      <c r="B135" s="693"/>
      <c r="C135" s="693"/>
      <c r="D135" s="693"/>
      <c r="E135" s="693"/>
      <c r="F135" s="693"/>
      <c r="G135" s="693"/>
      <c r="H135" s="693"/>
      <c r="I135" s="693"/>
      <c r="J135" s="693"/>
    </row>
    <row r="136" spans="1:10" ht="14.25" customHeight="1">
      <c r="A136" s="586"/>
      <c r="B136" s="693"/>
      <c r="C136" s="693"/>
      <c r="D136" s="693"/>
      <c r="E136" s="693"/>
      <c r="F136" s="693"/>
      <c r="G136" s="693"/>
      <c r="H136" s="693"/>
      <c r="I136" s="693"/>
      <c r="J136" s="693"/>
    </row>
    <row r="137" spans="1:10">
      <c r="A137" s="586"/>
      <c r="B137" s="586"/>
      <c r="C137" s="586"/>
      <c r="D137" s="586"/>
      <c r="E137" s="586"/>
      <c r="F137" s="586"/>
      <c r="G137" s="586"/>
      <c r="H137" s="586"/>
      <c r="I137" s="586"/>
      <c r="J137" s="586"/>
    </row>
    <row r="138" spans="1:10" ht="14.25" customHeight="1">
      <c r="A138" s="612" t="s">
        <v>630</v>
      </c>
      <c r="B138" s="680" t="s">
        <v>403</v>
      </c>
      <c r="C138" s="680"/>
      <c r="D138" s="680"/>
      <c r="E138" s="680"/>
      <c r="F138" s="680"/>
      <c r="G138" s="680"/>
      <c r="H138" s="680"/>
      <c r="I138" s="680"/>
      <c r="J138" s="680"/>
    </row>
    <row r="139" spans="1:10">
      <c r="A139" s="609"/>
      <c r="B139" s="680"/>
      <c r="C139" s="680"/>
      <c r="D139" s="680"/>
      <c r="E139" s="680"/>
      <c r="F139" s="680"/>
      <c r="G139" s="680"/>
      <c r="H139" s="680"/>
      <c r="I139" s="680"/>
      <c r="J139" s="680"/>
    </row>
    <row r="140" spans="1:10">
      <c r="A140" s="609"/>
      <c r="B140" s="680"/>
      <c r="C140" s="680"/>
      <c r="D140" s="680"/>
      <c r="E140" s="680"/>
      <c r="F140" s="680"/>
      <c r="G140" s="680"/>
      <c r="H140" s="680"/>
      <c r="I140" s="680"/>
      <c r="J140" s="680"/>
    </row>
    <row r="141" spans="1:10">
      <c r="A141" s="609"/>
      <c r="B141" s="680" t="s">
        <v>404</v>
      </c>
      <c r="C141" s="680"/>
      <c r="D141" s="680"/>
      <c r="E141" s="680"/>
      <c r="F141" s="680"/>
      <c r="G141" s="680"/>
      <c r="H141" s="680"/>
      <c r="I141" s="680"/>
      <c r="J141" s="680"/>
    </row>
    <row r="142" spans="1:10">
      <c r="A142" s="609"/>
      <c r="B142" s="680"/>
      <c r="C142" s="680"/>
      <c r="D142" s="680"/>
      <c r="E142" s="680"/>
      <c r="F142" s="680"/>
      <c r="G142" s="680"/>
      <c r="H142" s="680"/>
      <c r="I142" s="680"/>
      <c r="J142" s="680"/>
    </row>
    <row r="143" spans="1:10">
      <c r="A143" s="609"/>
      <c r="B143" s="613"/>
      <c r="C143" s="613"/>
      <c r="D143" s="613"/>
      <c r="E143" s="613"/>
      <c r="F143" s="613"/>
      <c r="G143" s="613"/>
      <c r="H143" s="613"/>
      <c r="I143" s="613"/>
      <c r="J143" s="613"/>
    </row>
    <row r="144" spans="1:10">
      <c r="A144" s="682" t="s">
        <v>405</v>
      </c>
      <c r="B144" s="682"/>
      <c r="C144" s="682"/>
      <c r="D144" s="682"/>
      <c r="E144" s="586"/>
      <c r="F144" s="586"/>
      <c r="G144" s="682" t="s">
        <v>406</v>
      </c>
      <c r="H144" s="682"/>
      <c r="I144" s="682"/>
      <c r="J144" s="682"/>
    </row>
    <row r="145" spans="1:10">
      <c r="A145" s="684" t="s">
        <v>348</v>
      </c>
      <c r="B145" s="684"/>
      <c r="C145" s="684"/>
      <c r="D145" s="684"/>
      <c r="E145" s="586"/>
      <c r="F145" s="641"/>
      <c r="G145" s="684" t="str">
        <f>D27</f>
        <v>CÔNG TY TNHH CHUGAI TECHNOS VIỆT NAM</v>
      </c>
      <c r="H145" s="684"/>
      <c r="I145" s="684"/>
      <c r="J145" s="684"/>
    </row>
    <row r="146" spans="1:10">
      <c r="A146" s="591"/>
      <c r="B146" s="642"/>
      <c r="C146" s="642"/>
      <c r="D146" s="642"/>
      <c r="E146" s="586"/>
      <c r="F146" s="643"/>
      <c r="G146" s="642"/>
      <c r="H146" s="642"/>
      <c r="I146" s="642"/>
      <c r="J146" s="642"/>
    </row>
    <row r="147" spans="1:10">
      <c r="A147" s="586"/>
      <c r="B147" s="642"/>
      <c r="C147" s="642"/>
      <c r="D147" s="642"/>
      <c r="E147" s="586"/>
      <c r="F147" s="642"/>
      <c r="G147" s="642"/>
      <c r="H147" s="642"/>
      <c r="I147" s="642"/>
      <c r="J147" s="586"/>
    </row>
    <row r="148" spans="1:10">
      <c r="A148" s="586"/>
      <c r="B148" s="586"/>
      <c r="C148" s="586"/>
      <c r="D148" s="586"/>
      <c r="E148" s="586"/>
      <c r="F148" s="586"/>
      <c r="G148" s="586"/>
      <c r="H148" s="586"/>
      <c r="I148" s="586"/>
      <c r="J148" s="586"/>
    </row>
    <row r="149" spans="1:10">
      <c r="A149" s="586"/>
      <c r="B149" s="586"/>
      <c r="C149" s="586"/>
      <c r="D149" s="586"/>
      <c r="E149" s="586"/>
      <c r="F149" s="586"/>
      <c r="G149" s="586"/>
      <c r="H149" s="586"/>
      <c r="I149" s="586"/>
      <c r="J149" s="586"/>
    </row>
    <row r="150" spans="1:10">
      <c r="A150" s="644"/>
      <c r="B150" s="644"/>
      <c r="C150" s="644"/>
      <c r="D150" s="644"/>
      <c r="E150" s="586"/>
      <c r="F150" s="586"/>
      <c r="G150" s="644"/>
      <c r="H150" s="644"/>
      <c r="I150" s="644"/>
      <c r="J150" s="644"/>
    </row>
    <row r="151" spans="1:10">
      <c r="A151" s="681" t="str">
        <f>D18</f>
        <v>Ông YOSHIO SASAKI</v>
      </c>
      <c r="B151" s="681"/>
      <c r="C151" s="681"/>
      <c r="D151" s="681"/>
      <c r="E151" s="586"/>
      <c r="F151" s="586"/>
      <c r="G151" s="681" t="str">
        <f>D28</f>
        <v>Ông MASAMI OUE</v>
      </c>
      <c r="H151" s="681"/>
      <c r="I151" s="681"/>
      <c r="J151" s="681"/>
    </row>
    <row r="152" spans="1:10">
      <c r="A152" s="642"/>
      <c r="B152" s="642"/>
      <c r="C152" s="642"/>
      <c r="D152" s="642"/>
      <c r="E152" s="642"/>
      <c r="F152" s="642"/>
      <c r="G152" s="642"/>
      <c r="H152" s="642"/>
      <c r="I152" s="642"/>
      <c r="J152" s="642"/>
    </row>
    <row r="153" spans="1:10">
      <c r="A153" s="642"/>
      <c r="B153" s="683"/>
      <c r="C153" s="683"/>
      <c r="D153" s="683"/>
      <c r="E153" s="642"/>
      <c r="F153" s="642"/>
      <c r="G153" s="683"/>
      <c r="H153" s="683"/>
      <c r="I153" s="683"/>
      <c r="J153" s="642"/>
    </row>
    <row r="154" spans="1:10" ht="14.25" customHeight="1">
      <c r="A154" s="642"/>
      <c r="B154" s="642"/>
      <c r="C154" s="642"/>
      <c r="D154" s="642"/>
      <c r="E154" s="642"/>
      <c r="F154" s="642"/>
      <c r="G154" s="642"/>
      <c r="H154" s="642"/>
      <c r="I154" s="642"/>
      <c r="J154" s="642"/>
    </row>
    <row r="155" spans="1:10">
      <c r="A155" s="586"/>
      <c r="B155" s="586"/>
      <c r="C155" s="586"/>
      <c r="D155" s="586"/>
      <c r="E155" s="586"/>
      <c r="F155" s="586"/>
      <c r="G155" s="586"/>
      <c r="H155" s="586"/>
      <c r="I155" s="586"/>
      <c r="J155" s="586"/>
    </row>
    <row r="156" spans="1:10">
      <c r="A156" s="586"/>
      <c r="B156" s="586"/>
      <c r="C156" s="586"/>
      <c r="D156" s="586"/>
      <c r="E156" s="586"/>
      <c r="F156" s="586"/>
      <c r="G156" s="586"/>
      <c r="H156" s="586"/>
      <c r="I156" s="586"/>
      <c r="J156" s="586"/>
    </row>
    <row r="157" spans="1:10">
      <c r="A157" s="586"/>
      <c r="B157" s="586"/>
      <c r="C157" s="586"/>
      <c r="D157" s="586"/>
      <c r="E157" s="586"/>
      <c r="F157" s="586"/>
      <c r="G157" s="586"/>
      <c r="H157" s="586"/>
      <c r="I157" s="586"/>
      <c r="J157" s="586"/>
    </row>
    <row r="158" spans="1:10">
      <c r="A158" s="586"/>
      <c r="B158" s="586"/>
      <c r="C158" s="586"/>
      <c r="D158" s="586"/>
      <c r="E158" s="586"/>
      <c r="F158" s="586"/>
      <c r="G158" s="586"/>
      <c r="H158" s="586"/>
      <c r="I158" s="586"/>
      <c r="J158" s="586"/>
    </row>
    <row r="159" spans="1:10">
      <c r="A159" s="586"/>
      <c r="B159" s="586"/>
      <c r="C159" s="586"/>
      <c r="D159" s="586"/>
      <c r="E159" s="586"/>
      <c r="F159" s="586"/>
      <c r="G159" s="586"/>
      <c r="H159" s="586"/>
      <c r="I159" s="586"/>
      <c r="J159" s="586"/>
    </row>
    <row r="160" spans="1:10">
      <c r="A160" s="586"/>
      <c r="B160" s="586"/>
      <c r="C160" s="586"/>
      <c r="D160" s="586"/>
      <c r="E160" s="586"/>
      <c r="F160" s="586"/>
      <c r="G160" s="586"/>
      <c r="H160" s="586"/>
      <c r="I160" s="586"/>
      <c r="J160" s="586"/>
    </row>
    <row r="161" spans="1:10">
      <c r="A161" s="586"/>
      <c r="B161" s="586"/>
      <c r="C161" s="586"/>
      <c r="D161" s="586"/>
      <c r="E161" s="586"/>
      <c r="F161" s="586"/>
      <c r="G161" s="586"/>
      <c r="H161" s="586"/>
      <c r="I161" s="586"/>
      <c r="J161" s="586"/>
    </row>
    <row r="162" spans="1:10">
      <c r="A162" s="586"/>
      <c r="B162" s="586"/>
      <c r="C162" s="586"/>
      <c r="D162" s="586"/>
      <c r="E162" s="586"/>
      <c r="F162" s="586"/>
      <c r="G162" s="586"/>
      <c r="H162" s="586"/>
      <c r="I162" s="586"/>
      <c r="J162" s="586"/>
    </row>
    <row r="163" spans="1:10">
      <c r="A163" s="586"/>
      <c r="B163" s="586"/>
      <c r="C163" s="586"/>
      <c r="D163" s="586"/>
      <c r="E163" s="586"/>
      <c r="F163" s="586"/>
      <c r="G163" s="586"/>
      <c r="H163" s="586"/>
      <c r="I163" s="586"/>
      <c r="J163" s="586"/>
    </row>
    <row r="164" spans="1:10">
      <c r="A164" s="586"/>
      <c r="B164" s="586"/>
      <c r="C164" s="586"/>
      <c r="D164" s="586"/>
      <c r="E164" s="586"/>
      <c r="F164" s="586"/>
      <c r="G164" s="586"/>
      <c r="H164" s="586"/>
      <c r="I164" s="586"/>
      <c r="J164" s="586"/>
    </row>
  </sheetData>
  <mergeCells count="61">
    <mergeCell ref="F2:J2"/>
    <mergeCell ref="D20:J21"/>
    <mergeCell ref="A111:B111"/>
    <mergeCell ref="A114:B114"/>
    <mergeCell ref="B138:J140"/>
    <mergeCell ref="B134:J136"/>
    <mergeCell ref="B51:J52"/>
    <mergeCell ref="B79:J82"/>
    <mergeCell ref="B63:J63"/>
    <mergeCell ref="B71:J73"/>
    <mergeCell ref="B74:J75"/>
    <mergeCell ref="E45:J45"/>
    <mergeCell ref="D30:J31"/>
    <mergeCell ref="A9:J12"/>
    <mergeCell ref="A5:J6"/>
    <mergeCell ref="C7:D7"/>
    <mergeCell ref="F1:J1"/>
    <mergeCell ref="B64:J65"/>
    <mergeCell ref="B60:J60"/>
    <mergeCell ref="D34:E34"/>
    <mergeCell ref="B127:J130"/>
    <mergeCell ref="B104:J104"/>
    <mergeCell ref="B120:J122"/>
    <mergeCell ref="B96:J96"/>
    <mergeCell ref="B54:C54"/>
    <mergeCell ref="B97:J99"/>
    <mergeCell ref="B103:J103"/>
    <mergeCell ref="B61:J62"/>
    <mergeCell ref="B124:J125"/>
    <mergeCell ref="B95:J95"/>
    <mergeCell ref="B88:J88"/>
    <mergeCell ref="B90:J93"/>
    <mergeCell ref="B153:D153"/>
    <mergeCell ref="G153:I153"/>
    <mergeCell ref="A145:D145"/>
    <mergeCell ref="G144:J144"/>
    <mergeCell ref="G145:J145"/>
    <mergeCell ref="P89:T89"/>
    <mergeCell ref="N81:N82"/>
    <mergeCell ref="B141:J142"/>
    <mergeCell ref="G151:J151"/>
    <mergeCell ref="A151:D151"/>
    <mergeCell ref="A144:D144"/>
    <mergeCell ref="P84:T84"/>
    <mergeCell ref="U81:X81"/>
    <mergeCell ref="U82:X82"/>
    <mergeCell ref="O47:R47"/>
    <mergeCell ref="O48:R48"/>
    <mergeCell ref="N57:V58"/>
    <mergeCell ref="S48:AF48"/>
    <mergeCell ref="Q81:T81"/>
    <mergeCell ref="P83:T83"/>
    <mergeCell ref="Q82:T82"/>
    <mergeCell ref="B53:C53"/>
    <mergeCell ref="E7:J7"/>
    <mergeCell ref="E46:J46"/>
    <mergeCell ref="S45:AF45"/>
    <mergeCell ref="S46:AF46"/>
    <mergeCell ref="S47:AF47"/>
    <mergeCell ref="O45:R45"/>
    <mergeCell ref="O46:R46"/>
  </mergeCells>
  <phoneticPr fontId="4"/>
  <printOptions horizontalCentered="1"/>
  <pageMargins left="0.59055118110236227" right="0.23622047244094491" top="0.35433070866141736" bottom="0.43307086614173229" header="0.11811023622047245" footer="0.19685039370078741"/>
  <pageSetup paperSize="9" scale="91" orientation="portrait" r:id="rId1"/>
  <headerFooter>
    <oddFooter>&amp;CPage&amp;"Arial,標準"&amp;P/&amp;N</oddFooter>
  </headerFooter>
  <rowBreaks count="1" manualBreakCount="1">
    <brk id="117"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N54"/>
  <sheetViews>
    <sheetView topLeftCell="A29" zoomScaleNormal="100" zoomScaleSheetLayoutView="85" workbookViewId="0">
      <selection activeCell="I23" sqref="I23"/>
    </sheetView>
  </sheetViews>
  <sheetFormatPr defaultColWidth="9" defaultRowHeight="15"/>
  <cols>
    <col min="1" max="1" width="10.42578125" style="486" customWidth="1"/>
    <col min="2" max="4" width="9" style="486"/>
    <col min="5" max="5" width="9.42578125" style="486" bestFit="1" customWidth="1"/>
    <col min="6" max="6" width="9" style="486"/>
    <col min="7" max="7" width="9.42578125" style="486" bestFit="1" customWidth="1"/>
    <col min="8" max="8" width="9" style="486"/>
    <col min="9" max="10" width="9.42578125" style="486" bestFit="1" customWidth="1"/>
    <col min="11" max="12" width="9" style="486"/>
    <col min="13" max="13" width="9.85546875" style="486" bestFit="1" customWidth="1"/>
    <col min="14" max="14" width="10.42578125" style="486" bestFit="1" customWidth="1"/>
    <col min="15" max="16384" width="9" style="486"/>
  </cols>
  <sheetData>
    <row r="2" spans="1:14" ht="18.75">
      <c r="D2" s="507" t="s">
        <v>409</v>
      </c>
      <c r="E2" s="507"/>
      <c r="F2" s="507"/>
      <c r="G2" s="507"/>
      <c r="H2" s="507"/>
      <c r="I2" s="507"/>
      <c r="J2" s="507"/>
    </row>
    <row r="3" spans="1:14" ht="14.25" customHeight="1">
      <c r="E3" s="680" t="s">
        <v>410</v>
      </c>
      <c r="F3" s="680"/>
      <c r="G3" s="680"/>
      <c r="H3" s="680"/>
      <c r="I3" s="680"/>
      <c r="J3" s="680"/>
    </row>
    <row r="4" spans="1:14">
      <c r="E4" s="680"/>
      <c r="F4" s="680"/>
      <c r="G4" s="680"/>
      <c r="H4" s="680"/>
      <c r="I4" s="680"/>
      <c r="J4" s="680"/>
    </row>
    <row r="6" spans="1:14">
      <c r="E6" s="699" t="s">
        <v>411</v>
      </c>
      <c r="F6" s="699"/>
      <c r="G6" s="699"/>
      <c r="H6" s="699"/>
      <c r="I6" s="699"/>
      <c r="J6" s="699"/>
    </row>
    <row r="8" spans="1:14" ht="15.75" thickBot="1">
      <c r="A8" s="487"/>
      <c r="B8" s="487"/>
      <c r="C8" s="487"/>
      <c r="D8" s="487"/>
      <c r="E8" s="487"/>
      <c r="F8" s="702" t="s">
        <v>412</v>
      </c>
      <c r="G8" s="702"/>
      <c r="H8" s="703" t="s">
        <v>286</v>
      </c>
      <c r="I8" s="703"/>
      <c r="J8" s="703"/>
    </row>
    <row r="9" spans="1:14" ht="15" customHeight="1" thickTop="1">
      <c r="A9" s="700" t="s">
        <v>413</v>
      </c>
      <c r="B9" s="700"/>
      <c r="C9" s="700"/>
      <c r="D9" s="700"/>
      <c r="E9" s="700"/>
      <c r="F9" s="700"/>
      <c r="G9" s="700"/>
      <c r="H9" s="700"/>
      <c r="I9" s="700"/>
      <c r="J9" s="700"/>
    </row>
    <row r="10" spans="1:14" ht="14.25" customHeight="1">
      <c r="A10" s="701"/>
      <c r="B10" s="701"/>
      <c r="C10" s="701"/>
      <c r="D10" s="701"/>
      <c r="E10" s="701"/>
      <c r="F10" s="701"/>
      <c r="G10" s="701"/>
      <c r="H10" s="701"/>
      <c r="I10" s="701"/>
      <c r="J10" s="701"/>
    </row>
    <row r="11" spans="1:14" ht="14.25" customHeight="1">
      <c r="A11" s="701"/>
      <c r="B11" s="701"/>
      <c r="C11" s="701"/>
      <c r="D11" s="701"/>
      <c r="E11" s="701"/>
      <c r="F11" s="701"/>
      <c r="G11" s="701"/>
      <c r="H11" s="701"/>
      <c r="I11" s="701"/>
      <c r="J11" s="701"/>
    </row>
    <row r="13" spans="1:14">
      <c r="A13" s="486" t="s">
        <v>414</v>
      </c>
      <c r="B13" s="708" t="s">
        <v>415</v>
      </c>
      <c r="C13" s="708"/>
      <c r="D13" s="708"/>
      <c r="L13" s="486" t="s">
        <v>416</v>
      </c>
      <c r="N13" s="488">
        <v>42843</v>
      </c>
    </row>
    <row r="14" spans="1:14">
      <c r="A14" s="489" t="s">
        <v>417</v>
      </c>
      <c r="B14" s="486" t="str">
        <f>N14</f>
        <v>QCTVN201704-01</v>
      </c>
      <c r="L14" s="486" t="s">
        <v>418</v>
      </c>
      <c r="N14" s="486" t="s">
        <v>328</v>
      </c>
    </row>
    <row r="16" spans="1:14">
      <c r="A16" s="490" t="s">
        <v>419</v>
      </c>
      <c r="B16" s="486" t="s">
        <v>348</v>
      </c>
      <c r="L16" s="486" t="s">
        <v>420</v>
      </c>
      <c r="N16" s="486" t="str">
        <f>'[5]1.Service Contraction'!P17</f>
        <v>DENKA ADVANCED MATERIALS VIETNAM CO.,LTD.</v>
      </c>
    </row>
    <row r="18" spans="1:14">
      <c r="A18" s="490" t="s">
        <v>421</v>
      </c>
      <c r="B18" s="486" t="s">
        <v>447</v>
      </c>
      <c r="L18" s="486" t="s">
        <v>422</v>
      </c>
      <c r="N18" s="486" t="str">
        <f>'[5]1.Service Contraction'!P20</f>
        <v>Plot D-5, Thang Long Industrial Park ⅡYen my District, Hung Yen Province, Vietnam</v>
      </c>
    </row>
    <row r="20" spans="1:14">
      <c r="A20" s="490" t="s">
        <v>423</v>
      </c>
      <c r="B20" s="491" t="s">
        <v>636</v>
      </c>
      <c r="L20" s="486" t="s">
        <v>424</v>
      </c>
      <c r="N20" s="491" t="s">
        <v>634</v>
      </c>
    </row>
    <row r="21" spans="1:14">
      <c r="A21" s="490" t="s">
        <v>425</v>
      </c>
      <c r="B21" s="491" t="s">
        <v>637</v>
      </c>
      <c r="L21" s="486" t="s">
        <v>425</v>
      </c>
      <c r="N21" s="491" t="s">
        <v>635</v>
      </c>
    </row>
    <row r="23" spans="1:14">
      <c r="A23" s="486" t="s">
        <v>426</v>
      </c>
    </row>
    <row r="25" spans="1:14" ht="22.5" customHeight="1">
      <c r="A25" s="489" t="s">
        <v>427</v>
      </c>
      <c r="B25" s="704" t="s">
        <v>370</v>
      </c>
      <c r="C25" s="704"/>
      <c r="D25" s="704"/>
      <c r="E25" s="704"/>
      <c r="F25" s="704"/>
      <c r="G25" s="538" t="s">
        <v>428</v>
      </c>
      <c r="H25" s="705">
        <f>'[5]3.Detail Quotation'!J52</f>
        <v>103600000</v>
      </c>
      <c r="I25" s="705"/>
      <c r="J25" s="544"/>
      <c r="M25" s="486" t="str">
        <f>'[5]1.Service Contraction'!R49</f>
        <v>PT Inspection for container welding lines</v>
      </c>
    </row>
    <row r="26" spans="1:14">
      <c r="B26" s="492">
        <v>1</v>
      </c>
      <c r="C26" s="486" t="s">
        <v>429</v>
      </c>
      <c r="G26" s="696">
        <f>'[5]3.Detail Quotation'!J19</f>
        <v>86000000</v>
      </c>
      <c r="H26" s="696"/>
    </row>
    <row r="27" spans="1:14">
      <c r="B27" s="492">
        <v>2</v>
      </c>
      <c r="C27" s="486" t="s">
        <v>430</v>
      </c>
      <c r="G27" s="696">
        <f>'[5]3.Detail Quotation'!J26</f>
        <v>17600000</v>
      </c>
      <c r="H27" s="696"/>
    </row>
    <row r="28" spans="1:14">
      <c r="B28" s="492"/>
      <c r="D28" s="707" t="s">
        <v>431</v>
      </c>
      <c r="E28" s="707"/>
      <c r="F28" s="707"/>
      <c r="G28" s="696">
        <f>'[5]3.Detail Quotation'!J50</f>
        <v>103600000</v>
      </c>
      <c r="H28" s="696"/>
    </row>
    <row r="29" spans="1:14">
      <c r="B29" s="492"/>
      <c r="E29" s="545"/>
      <c r="F29" s="545"/>
      <c r="G29" s="696" t="s">
        <v>432</v>
      </c>
      <c r="H29" s="696"/>
    </row>
    <row r="30" spans="1:14" ht="15.75">
      <c r="C30" s="493" t="s">
        <v>433</v>
      </c>
      <c r="G30" s="494"/>
    </row>
    <row r="31" spans="1:14" ht="15.75">
      <c r="C31" s="495"/>
      <c r="G31" s="494"/>
    </row>
    <row r="32" spans="1:14">
      <c r="A32" s="486" t="s">
        <v>434</v>
      </c>
    </row>
    <row r="33" spans="1:14">
      <c r="A33" s="486" t="s">
        <v>435</v>
      </c>
      <c r="B33" s="706" t="s">
        <v>436</v>
      </c>
      <c r="C33" s="706"/>
      <c r="D33" s="496" t="s">
        <v>437</v>
      </c>
    </row>
    <row r="34" spans="1:14">
      <c r="A34" s="486" t="s">
        <v>435</v>
      </c>
      <c r="B34" s="486" t="s">
        <v>438</v>
      </c>
      <c r="D34" s="551" t="s">
        <v>375</v>
      </c>
      <c r="E34" s="552">
        <v>42849</v>
      </c>
      <c r="F34" s="497" t="s">
        <v>376</v>
      </c>
      <c r="G34" s="939" t="s">
        <v>649</v>
      </c>
      <c r="I34" s="498">
        <v>18</v>
      </c>
      <c r="J34" s="486" t="s">
        <v>379</v>
      </c>
    </row>
    <row r="35" spans="1:14">
      <c r="A35" s="486" t="s">
        <v>435</v>
      </c>
      <c r="B35" s="486" t="s">
        <v>439</v>
      </c>
      <c r="D35" s="697" t="s">
        <v>440</v>
      </c>
      <c r="E35" s="697"/>
      <c r="F35" s="697"/>
      <c r="G35" s="697"/>
      <c r="H35" s="697"/>
      <c r="I35" s="697"/>
      <c r="J35" s="697"/>
    </row>
    <row r="36" spans="1:14" ht="14.25" customHeight="1">
      <c r="D36" s="697"/>
      <c r="E36" s="697"/>
      <c r="F36" s="697"/>
      <c r="G36" s="697"/>
      <c r="H36" s="697"/>
      <c r="I36" s="697"/>
      <c r="J36" s="697"/>
    </row>
    <row r="37" spans="1:14">
      <c r="D37" s="697"/>
      <c r="E37" s="697"/>
      <c r="F37" s="697"/>
      <c r="G37" s="697"/>
      <c r="H37" s="697"/>
      <c r="I37" s="697"/>
      <c r="J37" s="697"/>
    </row>
    <row r="38" spans="1:14" ht="14.25" customHeight="1">
      <c r="A38" s="486" t="s">
        <v>435</v>
      </c>
      <c r="B38" s="486" t="s">
        <v>441</v>
      </c>
      <c r="C38" s="489"/>
      <c r="D38" s="499" t="s">
        <v>393</v>
      </c>
      <c r="E38" s="499"/>
      <c r="F38" s="499"/>
      <c r="G38" s="499"/>
      <c r="H38" s="499"/>
      <c r="I38" s="499"/>
      <c r="J38" s="499"/>
    </row>
    <row r="39" spans="1:14" ht="14.25" customHeight="1">
      <c r="A39" s="486" t="s">
        <v>435</v>
      </c>
      <c r="B39" s="698" t="s">
        <v>442</v>
      </c>
      <c r="C39" s="698"/>
      <c r="D39" s="697" t="s">
        <v>443</v>
      </c>
      <c r="E39" s="697"/>
      <c r="F39" s="697"/>
      <c r="G39" s="697"/>
      <c r="H39" s="697"/>
      <c r="I39" s="697"/>
      <c r="J39" s="697"/>
    </row>
    <row r="40" spans="1:14" ht="14.25" customHeight="1">
      <c r="A40" s="486" t="s">
        <v>435</v>
      </c>
      <c r="B40" s="486" t="s">
        <v>444</v>
      </c>
      <c r="C40" s="500"/>
      <c r="D40" s="710" t="s">
        <v>445</v>
      </c>
      <c r="E40" s="710"/>
      <c r="F40" s="710"/>
      <c r="G40" s="710"/>
      <c r="H40" s="710"/>
      <c r="I40" s="710"/>
      <c r="J40" s="710"/>
    </row>
    <row r="41" spans="1:14">
      <c r="C41" s="500"/>
      <c r="D41" s="710"/>
      <c r="E41" s="710"/>
      <c r="F41" s="710"/>
      <c r="G41" s="710"/>
      <c r="H41" s="710"/>
      <c r="I41" s="710"/>
      <c r="J41" s="710"/>
    </row>
    <row r="42" spans="1:14">
      <c r="C42" s="500"/>
      <c r="D42" s="710"/>
      <c r="E42" s="710"/>
      <c r="F42" s="710"/>
      <c r="G42" s="710"/>
      <c r="H42" s="710"/>
      <c r="I42" s="710"/>
      <c r="J42" s="710"/>
    </row>
    <row r="43" spans="1:14">
      <c r="C43" s="500"/>
      <c r="D43" s="540"/>
      <c r="E43" s="540"/>
      <c r="F43" s="540"/>
      <c r="G43" s="540"/>
      <c r="H43" s="540"/>
      <c r="I43" s="540"/>
      <c r="J43" s="540"/>
    </row>
    <row r="44" spans="1:14">
      <c r="A44" s="711" t="s">
        <v>348</v>
      </c>
      <c r="B44" s="711"/>
      <c r="C44" s="711"/>
      <c r="D44" s="711"/>
      <c r="E44" s="541"/>
      <c r="G44" s="711" t="str">
        <f>D2</f>
        <v xml:space="preserve"> CÔNG TY TNHH CHUGAI TECHNOS VIỆT NAM </v>
      </c>
      <c r="H44" s="711"/>
      <c r="I44" s="711"/>
      <c r="J44" s="711"/>
      <c r="K44" s="501"/>
    </row>
    <row r="45" spans="1:14">
      <c r="A45" s="502"/>
      <c r="B45" s="502"/>
      <c r="C45" s="502"/>
      <c r="D45" s="502"/>
      <c r="E45" s="502"/>
      <c r="G45" s="541"/>
      <c r="H45" s="541"/>
      <c r="I45" s="541"/>
      <c r="J45" s="541"/>
      <c r="K45" s="501"/>
    </row>
    <row r="46" spans="1:14">
      <c r="A46" s="543" t="s">
        <v>414</v>
      </c>
      <c r="B46" s="712">
        <f>N13</f>
        <v>42843</v>
      </c>
      <c r="C46" s="712"/>
      <c r="D46" s="712"/>
      <c r="E46" s="505"/>
      <c r="G46" s="543" t="s">
        <v>414</v>
      </c>
      <c r="H46" s="712">
        <f>N13</f>
        <v>42843</v>
      </c>
      <c r="I46" s="712"/>
      <c r="J46" s="712"/>
      <c r="K46" s="503"/>
      <c r="N46" s="504"/>
    </row>
    <row r="53" spans="1:11" ht="14.25" customHeight="1">
      <c r="A53" s="713"/>
      <c r="B53" s="709" t="s">
        <v>446</v>
      </c>
      <c r="C53" s="709"/>
      <c r="D53" s="709"/>
      <c r="E53" s="503"/>
      <c r="G53" s="713"/>
      <c r="H53" s="709" t="s">
        <v>446</v>
      </c>
      <c r="I53" s="709"/>
      <c r="J53" s="709"/>
      <c r="K53" s="503"/>
    </row>
    <row r="54" spans="1:11">
      <c r="A54" s="713"/>
      <c r="B54" s="709"/>
      <c r="C54" s="709"/>
      <c r="D54" s="709"/>
      <c r="E54" s="506"/>
      <c r="G54" s="713"/>
      <c r="H54" s="709"/>
      <c r="I54" s="709"/>
      <c r="J54" s="709"/>
    </row>
  </sheetData>
  <mergeCells count="28">
    <mergeCell ref="B54:D54"/>
    <mergeCell ref="H54:J54"/>
    <mergeCell ref="D40:J42"/>
    <mergeCell ref="A44:D44"/>
    <mergeCell ref="G44:J44"/>
    <mergeCell ref="B46:D46"/>
    <mergeCell ref="H46:J46"/>
    <mergeCell ref="A53:A54"/>
    <mergeCell ref="G53:G54"/>
    <mergeCell ref="B53:D53"/>
    <mergeCell ref="H53:J53"/>
    <mergeCell ref="B25:F25"/>
    <mergeCell ref="H25:I25"/>
    <mergeCell ref="B33:C33"/>
    <mergeCell ref="D28:F28"/>
    <mergeCell ref="B13:D13"/>
    <mergeCell ref="G26:H26"/>
    <mergeCell ref="G27:H27"/>
    <mergeCell ref="E3:J4"/>
    <mergeCell ref="E6:J6"/>
    <mergeCell ref="A9:J11"/>
    <mergeCell ref="F8:G8"/>
    <mergeCell ref="H8:J8"/>
    <mergeCell ref="G28:H28"/>
    <mergeCell ref="G29:H29"/>
    <mergeCell ref="D35:J37"/>
    <mergeCell ref="B39:C39"/>
    <mergeCell ref="D39:J39"/>
  </mergeCells>
  <phoneticPr fontId="4"/>
  <conditionalFormatting sqref="H25:I25">
    <cfRule type="cellIs" dxfId="6" priority="1" stopIfTrue="1" operator="notEqual">
      <formula>$J$53</formula>
    </cfRule>
  </conditionalFormatting>
  <printOptions horizontalCentered="1"/>
  <pageMargins left="0.59055118110236227" right="0.23622047244094491" top="0.35433070866141736" bottom="3.937007874015748E-2" header="0.11811023622047245" footer="0.11811023622047245"/>
  <pageSetup paperSize="9" orientation="portrait" r:id="rId1"/>
  <headerFooter>
    <oddFooter>&amp;C&amp;P/&amp;N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S52"/>
  <sheetViews>
    <sheetView topLeftCell="A45" zoomScale="98" zoomScaleNormal="98" workbookViewId="0">
      <selection activeCell="I15" sqref="I15"/>
    </sheetView>
  </sheetViews>
  <sheetFormatPr defaultColWidth="9" defaultRowHeight="15"/>
  <cols>
    <col min="1" max="1" width="3.5703125" style="146" customWidth="1"/>
    <col min="2" max="2" width="10.85546875" style="146" customWidth="1"/>
    <col min="3" max="3" width="4" style="146" customWidth="1"/>
    <col min="4" max="4" width="8.42578125" style="146" customWidth="1"/>
    <col min="5" max="5" width="19" style="146" customWidth="1"/>
    <col min="6" max="6" width="10.7109375" style="146" customWidth="1"/>
    <col min="7" max="7" width="8.28515625" style="146" customWidth="1"/>
    <col min="8" max="8" width="9" style="146"/>
    <col min="9" max="9" width="11.5703125" style="146" customWidth="1"/>
    <col min="10" max="10" width="15.5703125" style="146" customWidth="1"/>
    <col min="11" max="12" width="1.5703125" style="146" customWidth="1"/>
    <col min="13" max="15" width="11.5703125" style="146" customWidth="1"/>
    <col min="16" max="24" width="9" style="146"/>
    <col min="25" max="25" width="3.5703125" style="147" customWidth="1"/>
    <col min="26" max="26" width="8.42578125" style="147" customWidth="1"/>
    <col min="27" max="27" width="4" style="147" customWidth="1"/>
    <col min="28" max="28" width="5.5703125" style="147" customWidth="1"/>
    <col min="29" max="29" width="19" style="147" customWidth="1"/>
    <col min="30" max="30" width="6.7109375" style="147" customWidth="1"/>
    <col min="31" max="31" width="7.5703125" style="147" customWidth="1"/>
    <col min="32" max="32" width="9" style="147"/>
    <col min="33" max="33" width="11.5703125" style="147" customWidth="1"/>
    <col min="34" max="34" width="15.5703125" style="147" customWidth="1"/>
    <col min="35" max="35" width="1.5703125" style="147" customWidth="1"/>
    <col min="36" max="36" width="5.140625" style="147" customWidth="1"/>
    <col min="37" max="45" width="9" style="147"/>
    <col min="46" max="16384" width="9" style="146"/>
  </cols>
  <sheetData>
    <row r="1" spans="2:45" ht="6" customHeight="1"/>
    <row r="2" spans="2:45" ht="25.5" customHeight="1">
      <c r="B2" s="716" t="s">
        <v>448</v>
      </c>
      <c r="C2" s="716"/>
      <c r="D2" s="716"/>
      <c r="E2" s="716"/>
      <c r="F2" s="716"/>
      <c r="G2" s="716"/>
      <c r="H2" s="716"/>
      <c r="I2" s="716"/>
      <c r="J2" s="716"/>
      <c r="Z2" s="717" t="s">
        <v>449</v>
      </c>
      <c r="AA2" s="717"/>
      <c r="AB2" s="717"/>
      <c r="AC2" s="717"/>
      <c r="AD2" s="717"/>
      <c r="AE2" s="717"/>
      <c r="AF2" s="717"/>
      <c r="AG2" s="717"/>
      <c r="AH2" s="717"/>
    </row>
    <row r="3" spans="2:45">
      <c r="G3" s="714" t="s">
        <v>450</v>
      </c>
      <c r="H3" s="714"/>
      <c r="I3" s="718">
        <f>'[5]2.Quotation Service Order'!N13</f>
        <v>42843</v>
      </c>
      <c r="J3" s="718"/>
      <c r="AG3" s="719">
        <f ca="1">TODAY()</f>
        <v>42870</v>
      </c>
      <c r="AH3" s="719"/>
    </row>
    <row r="4" spans="2:45">
      <c r="G4" s="714" t="s">
        <v>638</v>
      </c>
      <c r="H4" s="714"/>
      <c r="I4" s="715" t="str">
        <f>'[5]2.Quotation Service Order'!N14</f>
        <v>QCTVN201704-01</v>
      </c>
      <c r="J4" s="715"/>
    </row>
    <row r="5" spans="2:45" s="148" customFormat="1" ht="22.5" thickBot="1">
      <c r="B5" s="720" t="s">
        <v>348</v>
      </c>
      <c r="C5" s="720"/>
      <c r="D5" s="720"/>
      <c r="E5" s="720"/>
      <c r="G5" s="721" t="s">
        <v>340</v>
      </c>
      <c r="H5" s="721"/>
      <c r="I5" s="721"/>
      <c r="J5" s="721"/>
      <c r="P5" s="149"/>
      <c r="Y5" s="150"/>
      <c r="Z5" s="722" t="s">
        <v>451</v>
      </c>
      <c r="AA5" s="722"/>
      <c r="AB5" s="722"/>
      <c r="AC5" s="722"/>
      <c r="AD5" s="150"/>
      <c r="AE5" s="150"/>
      <c r="AF5" s="723" t="s">
        <v>45</v>
      </c>
      <c r="AG5" s="723"/>
      <c r="AH5" s="723"/>
      <c r="AI5" s="150"/>
      <c r="AJ5" s="150"/>
      <c r="AK5" s="151" t="s">
        <v>45</v>
      </c>
      <c r="AL5" s="150"/>
      <c r="AM5" s="150"/>
      <c r="AN5" s="150"/>
      <c r="AO5" s="150"/>
      <c r="AP5" s="150"/>
      <c r="AQ5" s="150"/>
      <c r="AR5" s="150"/>
      <c r="AS5" s="150"/>
    </row>
    <row r="6" spans="2:45" ht="14.25" customHeight="1">
      <c r="B6" s="724" t="s">
        <v>427</v>
      </c>
      <c r="C6" s="725" t="str">
        <f>'[5]2.Quotation Service Order'!B25</f>
        <v>Kiểm tra PT mối hàn của thùng chứa</v>
      </c>
      <c r="D6" s="725"/>
      <c r="E6" s="725"/>
      <c r="F6" s="725"/>
      <c r="G6" s="726" t="str">
        <f>J12</f>
        <v>Ông Masami Oue</v>
      </c>
      <c r="H6" s="726"/>
      <c r="I6" s="726"/>
      <c r="J6" s="726"/>
      <c r="K6" s="152"/>
      <c r="L6" s="152"/>
      <c r="M6" s="152"/>
      <c r="N6" s="152"/>
      <c r="AA6" s="727" t="s">
        <v>452</v>
      </c>
      <c r="AB6" s="727"/>
      <c r="AC6" s="727"/>
      <c r="AE6" s="729" t="s">
        <v>453</v>
      </c>
      <c r="AF6" s="729"/>
      <c r="AG6" s="729"/>
      <c r="AH6" s="729"/>
      <c r="AI6" s="153"/>
    </row>
    <row r="7" spans="2:45">
      <c r="B7" s="724"/>
      <c r="C7" s="725"/>
      <c r="D7" s="725"/>
      <c r="E7" s="725"/>
      <c r="F7" s="725"/>
      <c r="H7" s="730" t="s">
        <v>454</v>
      </c>
      <c r="I7" s="730"/>
      <c r="J7" s="730"/>
      <c r="Z7" s="553" t="s">
        <v>455</v>
      </c>
      <c r="AA7" s="728"/>
      <c r="AB7" s="728"/>
      <c r="AC7" s="728"/>
    </row>
    <row r="8" spans="2:45" ht="15" customHeight="1">
      <c r="B8" s="149" t="str">
        <f>'[5]2.Quotation Service Order'!A23</f>
        <v>Kính gửi quý công ty, chúng tôi xin gửi báo giá như sau:</v>
      </c>
      <c r="H8" s="730"/>
      <c r="I8" s="730"/>
      <c r="J8" s="730"/>
      <c r="M8" s="469" t="s">
        <v>315</v>
      </c>
      <c r="N8" s="470">
        <v>23000</v>
      </c>
      <c r="Z8" s="154" t="s">
        <v>456</v>
      </c>
      <c r="AF8" s="151" t="s">
        <v>264</v>
      </c>
      <c r="AG8" s="155"/>
      <c r="AH8" s="155"/>
    </row>
    <row r="9" spans="2:45">
      <c r="H9" s="730"/>
      <c r="I9" s="730"/>
      <c r="J9" s="730"/>
      <c r="AE9" s="155"/>
      <c r="AF9" s="156" t="s">
        <v>265</v>
      </c>
      <c r="AG9" s="155"/>
      <c r="AH9" s="155"/>
    </row>
    <row r="10" spans="2:45" ht="24" thickBot="1">
      <c r="B10" s="731">
        <f>J52</f>
        <v>103600000</v>
      </c>
      <c r="C10" s="731"/>
      <c r="D10" s="731"/>
      <c r="E10" s="731"/>
      <c r="F10" s="715" t="s">
        <v>457</v>
      </c>
      <c r="G10" s="715"/>
      <c r="H10" s="715"/>
      <c r="I10" s="715"/>
      <c r="J10" s="715"/>
      <c r="P10" s="157" t="s">
        <v>458</v>
      </c>
      <c r="Q10" s="157"/>
      <c r="R10" s="158"/>
      <c r="S10" s="158"/>
      <c r="T10" s="158"/>
      <c r="U10" s="158"/>
      <c r="V10" s="158"/>
      <c r="W10" s="158"/>
      <c r="Z10" s="732">
        <f>AH52</f>
        <v>2988700</v>
      </c>
      <c r="AA10" s="732"/>
      <c r="AB10" s="732"/>
      <c r="AC10" s="732"/>
      <c r="AE10" s="733" t="s">
        <v>266</v>
      </c>
      <c r="AF10" s="733"/>
      <c r="AG10" s="733"/>
      <c r="AH10" s="733"/>
    </row>
    <row r="11" spans="2:45" ht="15.75" thickBot="1">
      <c r="B11" s="159" t="s">
        <v>459</v>
      </c>
      <c r="C11" s="734" t="s">
        <v>373</v>
      </c>
      <c r="D11" s="734"/>
      <c r="E11" s="734"/>
      <c r="P11" s="160"/>
      <c r="Q11" s="160"/>
      <c r="R11" s="160"/>
      <c r="S11" s="160"/>
      <c r="T11" s="160"/>
      <c r="U11" s="160"/>
      <c r="V11" s="735" t="s">
        <v>460</v>
      </c>
      <c r="W11" s="735"/>
      <c r="Z11" s="161" t="s">
        <v>461</v>
      </c>
      <c r="AA11" s="736" t="s">
        <v>462</v>
      </c>
      <c r="AB11" s="736"/>
      <c r="AC11" s="736"/>
    </row>
    <row r="12" spans="2:45" ht="14.25" customHeight="1">
      <c r="B12" s="159" t="s">
        <v>436</v>
      </c>
      <c r="C12" s="162" t="s">
        <v>437</v>
      </c>
      <c r="D12" s="162"/>
      <c r="E12" s="162"/>
      <c r="G12" s="744" t="s">
        <v>463</v>
      </c>
      <c r="H12" s="744"/>
      <c r="I12" s="744"/>
      <c r="J12" s="554" t="s">
        <v>464</v>
      </c>
      <c r="P12" s="745" t="s">
        <v>137</v>
      </c>
      <c r="Q12" s="747" t="s">
        <v>138</v>
      </c>
      <c r="R12" s="749" t="s">
        <v>129</v>
      </c>
      <c r="S12" s="749"/>
      <c r="T12" s="750" t="s">
        <v>465</v>
      </c>
      <c r="U12" s="751"/>
      <c r="V12" s="750" t="s">
        <v>132</v>
      </c>
      <c r="W12" s="752"/>
      <c r="Z12" s="161" t="s">
        <v>466</v>
      </c>
      <c r="AA12" s="163"/>
      <c r="AB12" s="163"/>
      <c r="AC12" s="163"/>
      <c r="AE12" s="737" t="s">
        <v>467</v>
      </c>
      <c r="AF12" s="737"/>
      <c r="AG12" s="737"/>
      <c r="AH12" s="737"/>
    </row>
    <row r="13" spans="2:45">
      <c r="B13" s="555"/>
      <c r="C13" s="555"/>
      <c r="D13" s="555"/>
      <c r="E13" s="555"/>
      <c r="F13" s="556"/>
      <c r="G13" s="556"/>
      <c r="H13" s="556"/>
      <c r="I13" s="557"/>
      <c r="J13" s="557"/>
      <c r="K13" s="164"/>
      <c r="L13" s="164"/>
      <c r="M13" s="164"/>
      <c r="N13" s="164"/>
      <c r="P13" s="746"/>
      <c r="Q13" s="748"/>
      <c r="R13" s="558" t="s">
        <v>108</v>
      </c>
      <c r="S13" s="559" t="s">
        <v>131</v>
      </c>
      <c r="T13" s="558" t="s">
        <v>108</v>
      </c>
      <c r="U13" s="559" t="s">
        <v>131</v>
      </c>
      <c r="V13" s="558" t="s">
        <v>108</v>
      </c>
      <c r="W13" s="559" t="s">
        <v>131</v>
      </c>
      <c r="Z13" s="560"/>
      <c r="AA13" s="560"/>
      <c r="AB13" s="560"/>
      <c r="AC13" s="560"/>
      <c r="AD13" s="561"/>
      <c r="AE13" s="561"/>
      <c r="AF13" s="561"/>
      <c r="AG13" s="553"/>
      <c r="AH13" s="553"/>
      <c r="AI13" s="165"/>
    </row>
    <row r="14" spans="2:45" ht="15.75" customHeight="1">
      <c r="B14" s="166" t="s">
        <v>468</v>
      </c>
      <c r="C14" s="167"/>
      <c r="D14" s="167"/>
      <c r="E14" s="738" t="s">
        <v>469</v>
      </c>
      <c r="F14" s="739"/>
      <c r="G14" s="562" t="s">
        <v>470</v>
      </c>
      <c r="H14" s="563" t="s">
        <v>471</v>
      </c>
      <c r="I14" s="471" t="s">
        <v>472</v>
      </c>
      <c r="J14" s="169" t="s">
        <v>473</v>
      </c>
      <c r="K14" s="164"/>
      <c r="L14" s="164"/>
      <c r="M14" s="168" t="s">
        <v>177</v>
      </c>
      <c r="N14" s="169" t="s">
        <v>178</v>
      </c>
      <c r="P14" s="170">
        <v>35000</v>
      </c>
      <c r="Q14" s="564">
        <f>P14/22/8</f>
        <v>198.86363636363637</v>
      </c>
      <c r="R14" s="564">
        <f>Q14*1.5</f>
        <v>298.29545454545456</v>
      </c>
      <c r="S14" s="564">
        <f>Q14*1.5+Q14*0.3+Q14*0.2</f>
        <v>397.72727272727275</v>
      </c>
      <c r="T14" s="564">
        <f>Q14*2</f>
        <v>397.72727272727275</v>
      </c>
      <c r="U14" s="564">
        <f>Q14*2+Q14*0.3+Q14*2*0.2</f>
        <v>536.93181818181824</v>
      </c>
      <c r="V14" s="564">
        <f>Q14*3</f>
        <v>596.59090909090912</v>
      </c>
      <c r="W14" s="171">
        <f>Q14*3+Q14*0.3+Q14*3*0.2</f>
        <v>775.56818181818187</v>
      </c>
      <c r="Z14" s="172" t="s">
        <v>474</v>
      </c>
      <c r="AA14" s="173" t="s">
        <v>475</v>
      </c>
      <c r="AB14" s="173"/>
      <c r="AC14" s="173"/>
      <c r="AD14" s="173"/>
      <c r="AE14" s="565" t="s">
        <v>476</v>
      </c>
      <c r="AF14" s="566" t="s">
        <v>477</v>
      </c>
      <c r="AG14" s="174" t="s">
        <v>478</v>
      </c>
      <c r="AH14" s="173" t="s">
        <v>479</v>
      </c>
      <c r="AI14" s="165"/>
    </row>
    <row r="15" spans="2:45" ht="15.75" customHeight="1" thickBot="1">
      <c r="B15" s="175" t="s">
        <v>332</v>
      </c>
      <c r="C15" s="176" t="s">
        <v>429</v>
      </c>
      <c r="D15" s="162"/>
      <c r="E15" s="177"/>
      <c r="F15" s="177"/>
      <c r="G15" s="178">
        <v>1</v>
      </c>
      <c r="H15" s="179" t="s">
        <v>471</v>
      </c>
      <c r="I15" s="472">
        <v>86000000</v>
      </c>
      <c r="J15" s="480">
        <f t="shared" ref="J15" si="0">IF(COUNT(G15:I15)=0,"",G15*I15)</f>
        <v>86000000</v>
      </c>
      <c r="K15" s="164"/>
      <c r="L15" s="164"/>
      <c r="M15" s="180"/>
      <c r="N15" s="243"/>
      <c r="P15" s="170">
        <v>45000</v>
      </c>
      <c r="Q15" s="564">
        <f>P15/22/8</f>
        <v>255.68181818181819</v>
      </c>
      <c r="R15" s="564">
        <f>Q15*1.5</f>
        <v>383.52272727272725</v>
      </c>
      <c r="S15" s="564">
        <f t="shared" ref="S15:S17" si="1">Q15*1.5+Q15*0.3+Q15*0.2</f>
        <v>511.36363636363632</v>
      </c>
      <c r="T15" s="564">
        <f>Q15*2</f>
        <v>511.36363636363637</v>
      </c>
      <c r="U15" s="564">
        <f t="shared" ref="U15:U17" si="2">Q15*2+Q15*0.3+Q15*2*0.2</f>
        <v>690.34090909090912</v>
      </c>
      <c r="V15" s="564">
        <f>Q15*3</f>
        <v>767.0454545454545</v>
      </c>
      <c r="W15" s="171">
        <f t="shared" ref="W15:W17" si="3">Q15*3+Q15*0.3+Q15*3*0.2</f>
        <v>997.15909090909088</v>
      </c>
      <c r="Z15" s="181" t="s">
        <v>480</v>
      </c>
      <c r="AA15" s="182"/>
      <c r="AB15" s="183"/>
      <c r="AC15" s="184"/>
      <c r="AD15" s="184"/>
      <c r="AE15" s="185"/>
      <c r="AF15" s="186"/>
      <c r="AG15" s="187"/>
      <c r="AH15" s="188"/>
      <c r="AI15" s="165"/>
      <c r="AK15" s="189" t="s">
        <v>481</v>
      </c>
      <c r="AL15" s="189"/>
    </row>
    <row r="16" spans="2:45" ht="15.75" customHeight="1">
      <c r="B16" s="190"/>
      <c r="C16" s="536" t="s">
        <v>482</v>
      </c>
      <c r="D16" s="450" t="s">
        <v>483</v>
      </c>
      <c r="E16" s="450"/>
      <c r="F16" s="454"/>
      <c r="G16" s="191"/>
      <c r="H16" s="227"/>
      <c r="I16" s="472" t="str">
        <f t="shared" ref="I16:I23" si="4">IF(COUNT(G16)=0,"",M16*$N$8)</f>
        <v/>
      </c>
      <c r="J16" s="480" t="str">
        <f>IF(COUNT(G16:I16)=0,"",G16*I16)</f>
        <v/>
      </c>
      <c r="K16" s="164"/>
      <c r="L16" s="164"/>
      <c r="M16" s="242"/>
      <c r="N16" s="243"/>
      <c r="P16" s="170">
        <v>100000</v>
      </c>
      <c r="Q16" s="564">
        <f>P16/22/8</f>
        <v>568.18181818181813</v>
      </c>
      <c r="R16" s="564">
        <f>Q16*1.5</f>
        <v>852.27272727272725</v>
      </c>
      <c r="S16" s="564">
        <f t="shared" si="1"/>
        <v>1136.3636363636365</v>
      </c>
      <c r="T16" s="564">
        <f>Q16*2</f>
        <v>1136.3636363636363</v>
      </c>
      <c r="U16" s="564">
        <f t="shared" si="2"/>
        <v>1534.090909090909</v>
      </c>
      <c r="V16" s="564">
        <f>Q16*3</f>
        <v>1704.5454545454545</v>
      </c>
      <c r="W16" s="171">
        <f t="shared" si="3"/>
        <v>2215.909090909091</v>
      </c>
      <c r="X16" s="199"/>
      <c r="Z16" s="193"/>
      <c r="AA16" s="194" t="s">
        <v>484</v>
      </c>
      <c r="AB16" s="200" t="s">
        <v>485</v>
      </c>
      <c r="AC16" s="547"/>
      <c r="AD16" s="547"/>
      <c r="AE16" s="195">
        <v>6</v>
      </c>
      <c r="AF16" s="195" t="s">
        <v>486</v>
      </c>
      <c r="AG16" s="196">
        <v>25000</v>
      </c>
      <c r="AH16" s="197">
        <f t="shared" ref="AH16:AH23" si="5">IF(COUNT(AE16:AG16)=0,"",AE16*AG16)</f>
        <v>150000</v>
      </c>
      <c r="AI16" s="165"/>
      <c r="AK16" s="740" t="s">
        <v>487</v>
      </c>
      <c r="AL16" s="742" t="s">
        <v>488</v>
      </c>
      <c r="AM16" s="771" t="s">
        <v>489</v>
      </c>
      <c r="AN16" s="771"/>
      <c r="AO16" s="758" t="s">
        <v>490</v>
      </c>
      <c r="AP16" s="759"/>
      <c r="AQ16" s="758" t="s">
        <v>491</v>
      </c>
      <c r="AR16" s="760"/>
      <c r="AS16" s="201"/>
    </row>
    <row r="17" spans="2:45" ht="32.25" customHeight="1" thickBot="1">
      <c r="B17" s="190"/>
      <c r="C17" s="536" t="s">
        <v>330</v>
      </c>
      <c r="D17" s="761" t="s">
        <v>633</v>
      </c>
      <c r="E17" s="761"/>
      <c r="F17" s="762"/>
      <c r="G17" s="191"/>
      <c r="H17" s="227"/>
      <c r="I17" s="472" t="str">
        <f t="shared" si="4"/>
        <v/>
      </c>
      <c r="J17" s="480" t="str">
        <f t="shared" ref="J17:J49" si="6">IF(COUNT(G17:I17)=0,"",G17*I17)</f>
        <v/>
      </c>
      <c r="K17" s="164"/>
      <c r="L17" s="164"/>
      <c r="M17" s="242"/>
      <c r="N17" s="243"/>
      <c r="P17" s="202">
        <v>120000</v>
      </c>
      <c r="Q17" s="203">
        <f>P17/22/8</f>
        <v>681.81818181818187</v>
      </c>
      <c r="R17" s="203">
        <f>Q17*1.5</f>
        <v>1022.7272727272727</v>
      </c>
      <c r="S17" s="203">
        <f t="shared" si="1"/>
        <v>1363.6363636363635</v>
      </c>
      <c r="T17" s="203">
        <f>Q17*2</f>
        <v>1363.6363636363637</v>
      </c>
      <c r="U17" s="203">
        <f t="shared" si="2"/>
        <v>1840.909090909091</v>
      </c>
      <c r="V17" s="203">
        <f>Q17*3</f>
        <v>2045.4545454545455</v>
      </c>
      <c r="W17" s="204">
        <f t="shared" si="3"/>
        <v>2659.090909090909</v>
      </c>
      <c r="X17" s="205"/>
      <c r="Z17" s="193"/>
      <c r="AA17" s="194" t="s">
        <v>492</v>
      </c>
      <c r="AB17" s="200" t="s">
        <v>493</v>
      </c>
      <c r="AC17" s="547"/>
      <c r="AD17" s="547"/>
      <c r="AE17" s="195">
        <v>4</v>
      </c>
      <c r="AF17" s="195" t="s">
        <v>486</v>
      </c>
      <c r="AG17" s="196">
        <v>25000</v>
      </c>
      <c r="AH17" s="197">
        <f t="shared" si="5"/>
        <v>100000</v>
      </c>
      <c r="AI17" s="165"/>
      <c r="AK17" s="741"/>
      <c r="AL17" s="743"/>
      <c r="AM17" s="567" t="s">
        <v>494</v>
      </c>
      <c r="AN17" s="568" t="s">
        <v>495</v>
      </c>
      <c r="AO17" s="567" t="s">
        <v>494</v>
      </c>
      <c r="AP17" s="568" t="s">
        <v>495</v>
      </c>
      <c r="AQ17" s="567" t="s">
        <v>494</v>
      </c>
      <c r="AR17" s="206" t="s">
        <v>495</v>
      </c>
      <c r="AS17" s="207"/>
    </row>
    <row r="18" spans="2:45" ht="15.75" customHeight="1">
      <c r="B18" s="190"/>
      <c r="C18" s="536" t="s">
        <v>299</v>
      </c>
      <c r="D18" s="534" t="s">
        <v>496</v>
      </c>
      <c r="E18" s="534"/>
      <c r="F18" s="454"/>
      <c r="G18" s="191"/>
      <c r="H18" s="227"/>
      <c r="I18" s="472" t="str">
        <f t="shared" si="4"/>
        <v/>
      </c>
      <c r="J18" s="480" t="str">
        <f t="shared" si="6"/>
        <v/>
      </c>
      <c r="K18" s="164"/>
      <c r="L18" s="164"/>
      <c r="M18" s="242"/>
      <c r="N18" s="243"/>
      <c r="P18" s="208" t="s">
        <v>497</v>
      </c>
      <c r="Q18" s="208"/>
      <c r="R18" s="208"/>
      <c r="S18" s="208"/>
      <c r="T18" s="208"/>
      <c r="U18" s="208"/>
      <c r="V18" s="208"/>
      <c r="W18" s="208"/>
      <c r="X18" s="209"/>
      <c r="Z18" s="193"/>
      <c r="AA18" s="210" t="s">
        <v>498</v>
      </c>
      <c r="AB18" s="200" t="s">
        <v>499</v>
      </c>
      <c r="AC18" s="200"/>
      <c r="AD18" s="211"/>
      <c r="AE18" s="195">
        <v>2</v>
      </c>
      <c r="AF18" s="195" t="s">
        <v>486</v>
      </c>
      <c r="AG18" s="196">
        <v>25000</v>
      </c>
      <c r="AH18" s="197">
        <f t="shared" si="5"/>
        <v>50000</v>
      </c>
      <c r="AI18" s="165"/>
      <c r="AK18" s="212">
        <v>30000</v>
      </c>
      <c r="AL18" s="569">
        <f>AK18/22/8</f>
        <v>170.45454545454547</v>
      </c>
      <c r="AM18" s="569">
        <f>AL18*1.5</f>
        <v>255.68181818181819</v>
      </c>
      <c r="AN18" s="569">
        <f>AL18*1.5*1.3+AL18*0.2</f>
        <v>366.47727272727275</v>
      </c>
      <c r="AO18" s="569">
        <f>AL18*2</f>
        <v>340.90909090909093</v>
      </c>
      <c r="AP18" s="569">
        <f>AL18*2*1.3+AL18*2*0.2</f>
        <v>511.36363636363643</v>
      </c>
      <c r="AQ18" s="569">
        <f>AL18*3</f>
        <v>511.36363636363637</v>
      </c>
      <c r="AR18" s="213">
        <f>AL18*3*1.3+AL18*3*0.2</f>
        <v>767.0454545454545</v>
      </c>
      <c r="AS18" s="214"/>
    </row>
    <row r="19" spans="2:45" ht="15.75" customHeight="1">
      <c r="B19" s="190"/>
      <c r="C19" s="536"/>
      <c r="D19" s="763" t="s">
        <v>500</v>
      </c>
      <c r="E19" s="763"/>
      <c r="F19" s="764"/>
      <c r="G19" s="191"/>
      <c r="H19" s="227"/>
      <c r="I19" s="472" t="str">
        <f t="shared" si="4"/>
        <v/>
      </c>
      <c r="J19" s="537">
        <f>J15</f>
        <v>86000000</v>
      </c>
      <c r="K19" s="164"/>
      <c r="L19" s="164"/>
      <c r="M19" s="242"/>
      <c r="N19" s="243"/>
      <c r="P19" s="208" t="s">
        <v>134</v>
      </c>
      <c r="Q19" s="208"/>
      <c r="R19" s="208"/>
      <c r="S19" s="208"/>
      <c r="T19" s="208"/>
      <c r="U19" s="208"/>
      <c r="V19" s="208"/>
      <c r="W19" s="208"/>
      <c r="X19" s="209"/>
      <c r="Z19" s="193"/>
      <c r="AA19" s="210" t="s">
        <v>501</v>
      </c>
      <c r="AB19" s="200" t="s">
        <v>502</v>
      </c>
      <c r="AC19" s="200"/>
      <c r="AD19" s="211"/>
      <c r="AE19" s="195"/>
      <c r="AF19" s="195"/>
      <c r="AG19" s="215"/>
      <c r="AH19" s="197"/>
      <c r="AI19" s="165"/>
      <c r="AK19" s="212">
        <v>50000</v>
      </c>
      <c r="AL19" s="569">
        <f t="shared" ref="AL19:AL22" si="7">AK19/22/8</f>
        <v>284.09090909090907</v>
      </c>
      <c r="AM19" s="569">
        <f t="shared" ref="AM19:AM22" si="8">AL19*1.5</f>
        <v>426.13636363636363</v>
      </c>
      <c r="AN19" s="569">
        <f t="shared" ref="AN19:AN22" si="9">AL19*1.5*1.3+AL19*0.2</f>
        <v>610.7954545454545</v>
      </c>
      <c r="AO19" s="569">
        <f t="shared" ref="AO19:AO22" si="10">AL19*2</f>
        <v>568.18181818181813</v>
      </c>
      <c r="AP19" s="569">
        <f t="shared" ref="AP19:AP22" si="11">AL19*2*1.3+AL19*2*0.2</f>
        <v>852.27272727272725</v>
      </c>
      <c r="AQ19" s="569">
        <f t="shared" ref="AQ19:AQ22" si="12">AL19*3</f>
        <v>852.27272727272725</v>
      </c>
      <c r="AR19" s="213">
        <f t="shared" ref="AR19:AR22" si="13">AL19*3*1.3+AL19*3*0.2</f>
        <v>1278.409090909091</v>
      </c>
      <c r="AS19" s="214"/>
    </row>
    <row r="20" spans="2:45" ht="15.75" customHeight="1">
      <c r="B20" s="190"/>
      <c r="C20" s="570"/>
      <c r="D20" s="450"/>
      <c r="E20" s="450"/>
      <c r="F20" s="454"/>
      <c r="G20" s="191"/>
      <c r="H20" s="227"/>
      <c r="I20" s="472" t="str">
        <f t="shared" si="4"/>
        <v/>
      </c>
      <c r="J20" s="480" t="str">
        <f t="shared" si="6"/>
        <v/>
      </c>
      <c r="K20" s="164"/>
      <c r="L20" s="164"/>
      <c r="M20" s="242"/>
      <c r="N20" s="243"/>
      <c r="P20" s="217"/>
      <c r="Q20" s="217"/>
      <c r="R20" s="217"/>
      <c r="S20" s="217"/>
      <c r="T20" s="217"/>
      <c r="U20" s="217"/>
      <c r="V20" s="217"/>
      <c r="W20" s="217"/>
      <c r="X20" s="217"/>
      <c r="Z20" s="193"/>
      <c r="AA20" s="218"/>
      <c r="AB20" s="200" t="s">
        <v>503</v>
      </c>
      <c r="AC20" s="200"/>
      <c r="AD20" s="211"/>
      <c r="AE20" s="195">
        <v>24</v>
      </c>
      <c r="AF20" s="195" t="s">
        <v>486</v>
      </c>
      <c r="AG20" s="196">
        <v>26000</v>
      </c>
      <c r="AH20" s="219">
        <f t="shared" si="5"/>
        <v>624000</v>
      </c>
      <c r="AI20" s="165"/>
      <c r="AK20" s="220">
        <v>70000</v>
      </c>
      <c r="AL20" s="571">
        <f t="shared" si="7"/>
        <v>397.72727272727275</v>
      </c>
      <c r="AM20" s="571">
        <f t="shared" si="8"/>
        <v>596.59090909090912</v>
      </c>
      <c r="AN20" s="571">
        <f t="shared" si="9"/>
        <v>855.11363636363649</v>
      </c>
      <c r="AO20" s="571">
        <f t="shared" si="10"/>
        <v>795.4545454545455</v>
      </c>
      <c r="AP20" s="571">
        <f t="shared" si="11"/>
        <v>1193.1818181818185</v>
      </c>
      <c r="AQ20" s="571">
        <f t="shared" si="12"/>
        <v>1193.1818181818182</v>
      </c>
      <c r="AR20" s="221">
        <f t="shared" si="13"/>
        <v>1789.7727272727275</v>
      </c>
      <c r="AS20" s="214"/>
    </row>
    <row r="21" spans="2:45" ht="15.75" customHeight="1">
      <c r="B21" s="190" t="s">
        <v>331</v>
      </c>
      <c r="C21" s="230" t="s">
        <v>504</v>
      </c>
      <c r="D21" s="251"/>
      <c r="E21" s="251"/>
      <c r="F21" s="392"/>
      <c r="G21" s="191">
        <v>1</v>
      </c>
      <c r="H21" s="227" t="s">
        <v>471</v>
      </c>
      <c r="I21" s="472">
        <v>17600000</v>
      </c>
      <c r="J21" s="480">
        <f>I21</f>
        <v>17600000</v>
      </c>
      <c r="K21" s="164"/>
      <c r="L21" s="164"/>
      <c r="M21" s="391"/>
      <c r="N21" s="480"/>
      <c r="P21" s="217"/>
      <c r="Q21" s="217"/>
      <c r="R21" s="217"/>
      <c r="S21" s="217"/>
      <c r="T21" s="217"/>
      <c r="U21" s="217"/>
      <c r="V21" s="217"/>
      <c r="W21" s="217"/>
      <c r="X21" s="217"/>
      <c r="Z21" s="193"/>
      <c r="AA21" s="218"/>
      <c r="AB21" s="200" t="s">
        <v>505</v>
      </c>
      <c r="AC21" s="200"/>
      <c r="AD21" s="211"/>
      <c r="AE21" s="195">
        <v>9</v>
      </c>
      <c r="AF21" s="195" t="s">
        <v>506</v>
      </c>
      <c r="AG21" s="222">
        <v>4000</v>
      </c>
      <c r="AH21" s="219">
        <f t="shared" si="5"/>
        <v>36000</v>
      </c>
      <c r="AI21" s="165"/>
      <c r="AK21" s="212">
        <v>100000</v>
      </c>
      <c r="AL21" s="569">
        <f t="shared" si="7"/>
        <v>568.18181818181813</v>
      </c>
      <c r="AM21" s="569">
        <f t="shared" si="8"/>
        <v>852.27272727272725</v>
      </c>
      <c r="AN21" s="569">
        <f t="shared" si="9"/>
        <v>1221.590909090909</v>
      </c>
      <c r="AO21" s="569">
        <f t="shared" si="10"/>
        <v>1136.3636363636363</v>
      </c>
      <c r="AP21" s="569">
        <f t="shared" si="11"/>
        <v>1704.5454545454545</v>
      </c>
      <c r="AQ21" s="569">
        <f t="shared" si="12"/>
        <v>1704.5454545454545</v>
      </c>
      <c r="AR21" s="213">
        <f t="shared" si="13"/>
        <v>2556.818181818182</v>
      </c>
      <c r="AS21" s="214"/>
    </row>
    <row r="22" spans="2:45" ht="15.75" customHeight="1" thickBot="1">
      <c r="B22" s="190"/>
      <c r="C22" s="216" t="s">
        <v>329</v>
      </c>
      <c r="D22" s="231" t="s">
        <v>507</v>
      </c>
      <c r="E22" s="231"/>
      <c r="F22" s="232"/>
      <c r="G22" s="198"/>
      <c r="H22" s="227"/>
      <c r="I22" s="472" t="str">
        <f t="shared" si="4"/>
        <v/>
      </c>
      <c r="J22" s="480" t="str">
        <f t="shared" si="6"/>
        <v/>
      </c>
      <c r="K22" s="164"/>
      <c r="L22" s="164"/>
      <c r="M22" s="242"/>
      <c r="N22" s="243"/>
      <c r="P22" s="217"/>
      <c r="Q22" s="217"/>
      <c r="R22" s="217"/>
      <c r="S22" s="217"/>
      <c r="T22" s="217"/>
      <c r="U22" s="217"/>
      <c r="V22" s="217"/>
      <c r="W22" s="217"/>
      <c r="X22" s="217"/>
      <c r="Z22" s="193"/>
      <c r="AA22" s="218"/>
      <c r="AB22" s="200" t="s">
        <v>508</v>
      </c>
      <c r="AC22" s="200"/>
      <c r="AD22" s="211"/>
      <c r="AE22" s="195">
        <v>8</v>
      </c>
      <c r="AF22" s="195" t="s">
        <v>486</v>
      </c>
      <c r="AG22" s="196">
        <v>40000</v>
      </c>
      <c r="AH22" s="219">
        <f t="shared" si="5"/>
        <v>320000</v>
      </c>
      <c r="AI22" s="165"/>
      <c r="AK22" s="223">
        <v>120000</v>
      </c>
      <c r="AL22" s="224">
        <f t="shared" si="7"/>
        <v>681.81818181818187</v>
      </c>
      <c r="AM22" s="224">
        <f t="shared" si="8"/>
        <v>1022.7272727272727</v>
      </c>
      <c r="AN22" s="224">
        <f t="shared" si="9"/>
        <v>1465.909090909091</v>
      </c>
      <c r="AO22" s="224">
        <f t="shared" si="10"/>
        <v>1363.6363636363637</v>
      </c>
      <c r="AP22" s="224">
        <f t="shared" si="11"/>
        <v>2045.4545454545457</v>
      </c>
      <c r="AQ22" s="224">
        <f t="shared" si="12"/>
        <v>2045.4545454545455</v>
      </c>
      <c r="AR22" s="225">
        <f t="shared" si="13"/>
        <v>3068.181818181818</v>
      </c>
      <c r="AS22" s="214"/>
    </row>
    <row r="23" spans="2:45" ht="15.75" customHeight="1">
      <c r="B23" s="190"/>
      <c r="C23" s="216" t="s">
        <v>330</v>
      </c>
      <c r="D23" s="231" t="s">
        <v>509</v>
      </c>
      <c r="E23" s="231"/>
      <c r="F23" s="232"/>
      <c r="G23" s="191"/>
      <c r="H23" s="227"/>
      <c r="I23" s="472" t="str">
        <f t="shared" si="4"/>
        <v/>
      </c>
      <c r="J23" s="480" t="str">
        <f t="shared" si="6"/>
        <v/>
      </c>
      <c r="K23" s="164"/>
      <c r="L23" s="164"/>
      <c r="M23" s="242"/>
      <c r="N23" s="243"/>
      <c r="P23" s="217"/>
      <c r="Q23" s="217"/>
      <c r="R23" s="217"/>
      <c r="S23" s="217"/>
      <c r="T23" s="217"/>
      <c r="U23" s="217"/>
      <c r="V23" s="217"/>
      <c r="W23" s="217"/>
      <c r="X23" s="217"/>
      <c r="Z23" s="193"/>
      <c r="AA23" s="218"/>
      <c r="AB23" s="200" t="s">
        <v>510</v>
      </c>
      <c r="AC23" s="200"/>
      <c r="AD23" s="211"/>
      <c r="AE23" s="195">
        <v>3</v>
      </c>
      <c r="AF23" s="195" t="s">
        <v>506</v>
      </c>
      <c r="AG23" s="196">
        <v>6250</v>
      </c>
      <c r="AH23" s="219">
        <f t="shared" si="5"/>
        <v>18750</v>
      </c>
      <c r="AI23" s="165"/>
      <c r="AK23" s="214" t="s">
        <v>511</v>
      </c>
      <c r="AL23" s="214"/>
      <c r="AM23" s="214"/>
      <c r="AN23" s="214"/>
      <c r="AO23" s="214"/>
      <c r="AP23" s="214"/>
      <c r="AQ23" s="214"/>
      <c r="AR23" s="214"/>
      <c r="AS23" s="214"/>
    </row>
    <row r="24" spans="2:45" ht="15.75" customHeight="1">
      <c r="B24" s="190"/>
      <c r="C24" s="216" t="s">
        <v>299</v>
      </c>
      <c r="D24" s="231" t="s">
        <v>512</v>
      </c>
      <c r="E24" s="231"/>
      <c r="F24" s="232"/>
      <c r="G24" s="198"/>
      <c r="H24" s="227"/>
      <c r="I24" s="472"/>
      <c r="J24" s="480"/>
      <c r="K24" s="164"/>
      <c r="L24" s="164"/>
      <c r="M24" s="242"/>
      <c r="N24" s="243"/>
      <c r="P24" s="217"/>
      <c r="Q24" s="217"/>
      <c r="R24" s="217"/>
      <c r="S24" s="217"/>
      <c r="T24" s="217"/>
      <c r="U24" s="217"/>
      <c r="V24" s="217"/>
      <c r="W24" s="217"/>
      <c r="X24" s="217"/>
      <c r="Z24" s="193"/>
      <c r="AA24" s="765" t="s">
        <v>513</v>
      </c>
      <c r="AB24" s="766"/>
      <c r="AC24" s="766"/>
      <c r="AD24" s="767"/>
      <c r="AE24" s="195"/>
      <c r="AF24" s="195"/>
      <c r="AG24" s="228"/>
      <c r="AH24" s="197">
        <f>SUM(AH16:AH23)</f>
        <v>1298750</v>
      </c>
      <c r="AI24" s="165"/>
      <c r="AK24" s="214" t="s">
        <v>514</v>
      </c>
      <c r="AL24" s="214"/>
      <c r="AM24" s="214"/>
      <c r="AN24" s="214"/>
      <c r="AO24" s="214"/>
      <c r="AP24" s="214"/>
      <c r="AQ24" s="214"/>
      <c r="AR24" s="214"/>
      <c r="AS24" s="214"/>
    </row>
    <row r="25" spans="2:45" ht="15.75" customHeight="1">
      <c r="B25" s="190"/>
      <c r="C25" s="216" t="s">
        <v>136</v>
      </c>
      <c r="D25" s="231" t="s">
        <v>515</v>
      </c>
      <c r="E25" s="231"/>
      <c r="F25" s="232"/>
      <c r="G25" s="191"/>
      <c r="H25" s="227"/>
      <c r="I25" s="472"/>
      <c r="J25" s="480"/>
      <c r="K25" s="164"/>
      <c r="L25" s="164"/>
      <c r="M25" s="242"/>
      <c r="N25" s="243" t="str">
        <f t="shared" ref="N25:N28" si="14">IF(COUNT(G25)=0,"",G25*M25)</f>
        <v/>
      </c>
      <c r="P25" s="164"/>
      <c r="Q25" s="164"/>
      <c r="R25" s="164"/>
      <c r="S25" s="164"/>
      <c r="T25" s="164"/>
      <c r="U25" s="164"/>
      <c r="V25" s="164"/>
      <c r="W25" s="164"/>
      <c r="X25" s="164"/>
      <c r="Z25" s="193"/>
      <c r="AA25" s="768"/>
      <c r="AB25" s="769"/>
      <c r="AC25" s="769"/>
      <c r="AD25" s="770"/>
      <c r="AE25" s="195"/>
      <c r="AF25" s="195"/>
      <c r="AG25" s="229"/>
      <c r="AH25" s="197"/>
      <c r="AI25" s="165"/>
    </row>
    <row r="26" spans="2:45" ht="15.75" customHeight="1">
      <c r="B26" s="190"/>
      <c r="C26" s="216"/>
      <c r="D26" s="763" t="s">
        <v>500</v>
      </c>
      <c r="E26" s="763"/>
      <c r="F26" s="764"/>
      <c r="G26" s="191"/>
      <c r="H26" s="227"/>
      <c r="I26" s="472"/>
      <c r="J26" s="537">
        <f>J21</f>
        <v>17600000</v>
      </c>
      <c r="K26" s="164"/>
      <c r="L26" s="164"/>
      <c r="M26" s="242"/>
      <c r="N26" s="243" t="str">
        <f t="shared" si="14"/>
        <v/>
      </c>
      <c r="Z26" s="193" t="s">
        <v>516</v>
      </c>
      <c r="AA26" s="218"/>
      <c r="AB26" s="200"/>
      <c r="AC26" s="200"/>
      <c r="AD26" s="211"/>
      <c r="AE26" s="195"/>
      <c r="AF26" s="195"/>
      <c r="AG26" s="229"/>
      <c r="AH26" s="197"/>
      <c r="AI26" s="165"/>
    </row>
    <row r="27" spans="2:45" ht="15.75" customHeight="1">
      <c r="B27" s="190"/>
      <c r="C27" s="216"/>
      <c r="D27" s="231"/>
      <c r="E27" s="231"/>
      <c r="F27" s="232"/>
      <c r="G27" s="191"/>
      <c r="H27" s="227"/>
      <c r="I27" s="472"/>
      <c r="J27" s="480"/>
      <c r="K27" s="164"/>
      <c r="L27" s="164"/>
      <c r="M27" s="242"/>
      <c r="N27" s="243" t="str">
        <f t="shared" si="14"/>
        <v/>
      </c>
      <c r="Z27" s="193"/>
      <c r="AA27" s="210" t="s">
        <v>517</v>
      </c>
      <c r="AB27" s="200" t="s">
        <v>518</v>
      </c>
      <c r="AC27" s="200"/>
      <c r="AD27" s="211"/>
      <c r="AE27" s="195" t="s">
        <v>519</v>
      </c>
      <c r="AF27" s="195" t="s">
        <v>520</v>
      </c>
      <c r="AG27" s="229"/>
      <c r="AH27" s="197">
        <v>238000</v>
      </c>
      <c r="AI27" s="165"/>
    </row>
    <row r="28" spans="2:45" ht="15.75" customHeight="1">
      <c r="B28" s="190"/>
      <c r="C28" s="216"/>
      <c r="D28" s="231"/>
      <c r="E28" s="231"/>
      <c r="F28" s="232"/>
      <c r="G28" s="191"/>
      <c r="H28" s="227"/>
      <c r="I28" s="472"/>
      <c r="J28" s="480"/>
      <c r="K28" s="164"/>
      <c r="L28" s="164"/>
      <c r="M28" s="242"/>
      <c r="N28" s="243" t="str">
        <f t="shared" si="14"/>
        <v/>
      </c>
      <c r="P28" s="233" t="s">
        <v>521</v>
      </c>
      <c r="Z28" s="193"/>
      <c r="AA28" s="210" t="s">
        <v>484</v>
      </c>
      <c r="AB28" s="200" t="s">
        <v>522</v>
      </c>
      <c r="AC28" s="200"/>
      <c r="AD28" s="211"/>
      <c r="AE28" s="195">
        <v>32</v>
      </c>
      <c r="AF28" s="195" t="s">
        <v>523</v>
      </c>
      <c r="AG28" s="229">
        <v>6500</v>
      </c>
      <c r="AH28" s="197">
        <f t="shared" ref="AH28:AH29" si="15">IF(COUNT(AE28:AG28)=0,"",AE28*AG28)</f>
        <v>208000</v>
      </c>
      <c r="AI28" s="165"/>
      <c r="AK28" s="234" t="s">
        <v>524</v>
      </c>
    </row>
    <row r="29" spans="2:45" ht="15.75" customHeight="1">
      <c r="B29" s="190"/>
      <c r="C29" s="753"/>
      <c r="D29" s="754"/>
      <c r="E29" s="754"/>
      <c r="F29" s="755"/>
      <c r="G29" s="191"/>
      <c r="H29" s="227"/>
      <c r="I29" s="472"/>
      <c r="J29" s="480"/>
      <c r="K29" s="164"/>
      <c r="L29" s="164"/>
      <c r="M29" s="242"/>
      <c r="N29" s="480"/>
      <c r="P29" s="233" t="s">
        <v>525</v>
      </c>
      <c r="Z29" s="193"/>
      <c r="AA29" s="210" t="s">
        <v>492</v>
      </c>
      <c r="AB29" s="200" t="s">
        <v>526</v>
      </c>
      <c r="AC29" s="200" t="s">
        <v>527</v>
      </c>
      <c r="AD29" s="211"/>
      <c r="AE29" s="195">
        <v>32</v>
      </c>
      <c r="AF29" s="195" t="s">
        <v>486</v>
      </c>
      <c r="AG29" s="229">
        <v>4000</v>
      </c>
      <c r="AH29" s="197">
        <f t="shared" si="15"/>
        <v>128000</v>
      </c>
      <c r="AI29" s="165"/>
      <c r="AK29" s="234" t="s">
        <v>528</v>
      </c>
    </row>
    <row r="30" spans="2:45" ht="15.75" customHeight="1">
      <c r="B30" s="190"/>
      <c r="C30" s="216"/>
      <c r="D30" s="404"/>
      <c r="E30" s="404"/>
      <c r="F30" s="405"/>
      <c r="G30" s="198"/>
      <c r="H30" s="227"/>
      <c r="I30" s="472"/>
      <c r="J30" s="480"/>
      <c r="K30" s="164"/>
      <c r="L30" s="164"/>
      <c r="M30" s="242"/>
      <c r="N30" s="243" t="str">
        <f>IF(COUNT(G30)=0,"",G30*M30)</f>
        <v/>
      </c>
      <c r="P30" s="233"/>
      <c r="Z30" s="193"/>
      <c r="AA30" s="210" t="s">
        <v>498</v>
      </c>
      <c r="AB30" s="200" t="s">
        <v>529</v>
      </c>
      <c r="AC30" s="200"/>
      <c r="AD30" s="211"/>
      <c r="AE30" s="195" t="s">
        <v>519</v>
      </c>
      <c r="AF30" s="195" t="s">
        <v>520</v>
      </c>
      <c r="AG30" s="229"/>
      <c r="AH30" s="197">
        <v>120000</v>
      </c>
      <c r="AI30" s="165"/>
    </row>
    <row r="31" spans="2:45" ht="15.75" customHeight="1">
      <c r="B31" s="190"/>
      <c r="C31" s="449"/>
      <c r="D31" s="450"/>
      <c r="E31" s="534"/>
      <c r="F31" s="535"/>
      <c r="G31" s="451"/>
      <c r="H31" s="452"/>
      <c r="I31" s="472"/>
      <c r="J31" s="480"/>
      <c r="K31" s="164"/>
      <c r="L31" s="164"/>
      <c r="M31" s="453"/>
      <c r="N31" s="243" t="str">
        <f>IF(COUNT(G31)=0,"",G31*M31)</f>
        <v/>
      </c>
      <c r="Z31" s="193"/>
      <c r="AA31" s="210" t="s">
        <v>501</v>
      </c>
      <c r="AB31" s="200" t="s">
        <v>530</v>
      </c>
      <c r="AC31" s="200"/>
      <c r="AD31" s="211"/>
      <c r="AE31" s="195" t="s">
        <v>519</v>
      </c>
      <c r="AF31" s="195" t="s">
        <v>520</v>
      </c>
      <c r="AG31" s="229"/>
      <c r="AH31" s="197">
        <v>0</v>
      </c>
      <c r="AI31" s="165"/>
    </row>
    <row r="32" spans="2:45" ht="15.75" customHeight="1">
      <c r="B32" s="190"/>
      <c r="C32" s="449"/>
      <c r="D32" s="450"/>
      <c r="E32" s="450"/>
      <c r="F32" s="454"/>
      <c r="G32" s="474"/>
      <c r="H32" s="484"/>
      <c r="I32" s="472"/>
      <c r="J32" s="480"/>
      <c r="K32" s="164"/>
      <c r="L32" s="164"/>
      <c r="M32" s="475"/>
      <c r="N32" s="243" t="str">
        <f>IF(COUNT(G32)=0,"",G32*M32)</f>
        <v/>
      </c>
      <c r="Z32" s="193"/>
      <c r="AA32" s="210" t="s">
        <v>531</v>
      </c>
      <c r="AB32" s="200" t="s">
        <v>532</v>
      </c>
      <c r="AC32" s="200"/>
      <c r="AD32" s="211"/>
      <c r="AE32" s="195" t="s">
        <v>519</v>
      </c>
      <c r="AF32" s="195" t="s">
        <v>520</v>
      </c>
      <c r="AG32" s="229"/>
      <c r="AH32" s="197">
        <v>0</v>
      </c>
      <c r="AI32" s="165"/>
    </row>
    <row r="33" spans="2:37" s="147" customFormat="1" ht="15.75" customHeight="1">
      <c r="B33" s="190"/>
      <c r="C33" s="753"/>
      <c r="D33" s="754"/>
      <c r="E33" s="754"/>
      <c r="F33" s="755"/>
      <c r="G33" s="468"/>
      <c r="H33" s="467"/>
      <c r="I33" s="472"/>
      <c r="J33" s="480"/>
      <c r="K33" s="164"/>
      <c r="L33" s="164"/>
      <c r="M33" s="476"/>
      <c r="N33" s="243"/>
      <c r="O33" s="146"/>
      <c r="P33" s="233" t="s">
        <v>533</v>
      </c>
      <c r="Q33" s="146"/>
      <c r="R33" s="146"/>
      <c r="S33" s="146"/>
      <c r="T33" s="146"/>
      <c r="U33" s="146"/>
      <c r="V33" s="146"/>
      <c r="W33" s="146"/>
      <c r="X33" s="146"/>
      <c r="Z33" s="193"/>
      <c r="AA33" s="210" t="s">
        <v>534</v>
      </c>
      <c r="AB33" s="200" t="s">
        <v>535</v>
      </c>
      <c r="AC33" s="200"/>
      <c r="AD33" s="211"/>
      <c r="AE33" s="195"/>
      <c r="AF33" s="195"/>
      <c r="AG33" s="229"/>
      <c r="AH33" s="197"/>
      <c r="AI33" s="165"/>
      <c r="AK33" s="234" t="s">
        <v>536</v>
      </c>
    </row>
    <row r="34" spans="2:37" s="147" customFormat="1" ht="15.75" customHeight="1">
      <c r="B34" s="190"/>
      <c r="C34" s="485"/>
      <c r="D34" s="251"/>
      <c r="E34" s="251"/>
      <c r="F34" s="392"/>
      <c r="G34" s="484"/>
      <c r="H34" s="484"/>
      <c r="I34" s="472" t="str">
        <f>IF(COUNT(G34)=0,"",M34*$N$8)</f>
        <v/>
      </c>
      <c r="J34" s="480"/>
      <c r="K34" s="164"/>
      <c r="L34" s="164"/>
      <c r="M34" s="477"/>
      <c r="N34" s="481"/>
      <c r="O34" s="146"/>
      <c r="P34" s="233"/>
      <c r="Q34" s="146"/>
      <c r="R34" s="146"/>
      <c r="S34" s="146"/>
      <c r="T34" s="146"/>
      <c r="U34" s="146"/>
      <c r="V34" s="146"/>
      <c r="W34" s="146"/>
      <c r="X34" s="146"/>
      <c r="Z34" s="193"/>
      <c r="AA34" s="218"/>
      <c r="AB34" s="200" t="s">
        <v>537</v>
      </c>
      <c r="AC34" s="200"/>
      <c r="AD34" s="211"/>
      <c r="AE34" s="195" t="s">
        <v>519</v>
      </c>
      <c r="AF34" s="195" t="s">
        <v>520</v>
      </c>
      <c r="AG34" s="229"/>
      <c r="AH34" s="197">
        <v>20000</v>
      </c>
      <c r="AI34" s="165"/>
    </row>
    <row r="35" spans="2:37" s="147" customFormat="1" ht="15.75" customHeight="1">
      <c r="B35" s="190"/>
      <c r="C35" s="455"/>
      <c r="D35" s="456"/>
      <c r="E35" s="456"/>
      <c r="F35" s="457"/>
      <c r="G35" s="458"/>
      <c r="H35" s="458"/>
      <c r="I35" s="483" t="str">
        <f>IF(COUNT(G35)=0,"",M35*$N$8)</f>
        <v/>
      </c>
      <c r="J35" s="480" t="str">
        <f t="shared" si="6"/>
        <v/>
      </c>
      <c r="K35" s="164"/>
      <c r="L35" s="164"/>
      <c r="M35" s="478"/>
      <c r="N35" s="243" t="str">
        <f>IF(COUNT(G35)=0,"",G35*M35)</f>
        <v/>
      </c>
      <c r="O35" s="146"/>
      <c r="P35" s="146"/>
      <c r="Q35" s="146"/>
      <c r="R35" s="146"/>
      <c r="S35" s="146"/>
      <c r="T35" s="146"/>
      <c r="U35" s="146"/>
      <c r="V35" s="146"/>
      <c r="W35" s="146"/>
      <c r="X35" s="146"/>
      <c r="Z35" s="193"/>
      <c r="AA35" s="218"/>
      <c r="AB35" s="200" t="s">
        <v>538</v>
      </c>
      <c r="AC35" s="200"/>
      <c r="AD35" s="211"/>
      <c r="AE35" s="195" t="s">
        <v>519</v>
      </c>
      <c r="AF35" s="195" t="s">
        <v>520</v>
      </c>
      <c r="AG35" s="229"/>
      <c r="AH35" s="197">
        <v>50000</v>
      </c>
      <c r="AI35" s="165"/>
    </row>
    <row r="36" spans="2:37" s="147" customFormat="1" ht="15.75" customHeight="1">
      <c r="B36" s="190"/>
      <c r="C36" s="772"/>
      <c r="D36" s="773"/>
      <c r="E36" s="773"/>
      <c r="F36" s="774"/>
      <c r="G36" s="468"/>
      <c r="H36" s="467"/>
      <c r="I36" s="472"/>
      <c r="J36" s="480"/>
      <c r="K36" s="164"/>
      <c r="L36" s="164"/>
      <c r="M36" s="476"/>
      <c r="N36" s="243"/>
      <c r="O36" s="146"/>
      <c r="P36" s="146"/>
      <c r="Q36" s="146"/>
      <c r="R36" s="146"/>
      <c r="S36" s="146"/>
      <c r="T36" s="146"/>
      <c r="U36" s="146"/>
      <c r="V36" s="146"/>
      <c r="W36" s="146"/>
      <c r="X36" s="146"/>
      <c r="Z36" s="193"/>
      <c r="AA36" s="218"/>
      <c r="AB36" s="200" t="s">
        <v>539</v>
      </c>
      <c r="AC36" s="200"/>
      <c r="AD36" s="211"/>
      <c r="AE36" s="195" t="s">
        <v>519</v>
      </c>
      <c r="AF36" s="195" t="s">
        <v>520</v>
      </c>
      <c r="AG36" s="229"/>
      <c r="AH36" s="197">
        <v>0</v>
      </c>
      <c r="AI36" s="165"/>
    </row>
    <row r="37" spans="2:37" s="147" customFormat="1" ht="15.75" customHeight="1">
      <c r="B37" s="448"/>
      <c r="C37" s="459"/>
      <c r="D37" s="460"/>
      <c r="E37" s="460"/>
      <c r="F37" s="461"/>
      <c r="G37" s="451"/>
      <c r="H37" s="452"/>
      <c r="I37" s="472"/>
      <c r="J37" s="480"/>
      <c r="K37" s="164"/>
      <c r="L37" s="164"/>
      <c r="M37" s="453"/>
      <c r="N37" s="243"/>
      <c r="O37" s="146"/>
      <c r="P37" s="146"/>
      <c r="Q37" s="146"/>
      <c r="R37" s="146"/>
      <c r="S37" s="146"/>
      <c r="T37" s="146"/>
      <c r="U37" s="146"/>
      <c r="V37" s="146"/>
      <c r="W37" s="146"/>
      <c r="X37" s="146"/>
      <c r="Z37" s="193"/>
      <c r="AA37" s="765" t="s">
        <v>513</v>
      </c>
      <c r="AB37" s="766"/>
      <c r="AC37" s="766"/>
      <c r="AD37" s="767"/>
      <c r="AE37" s="195"/>
      <c r="AF37" s="235"/>
      <c r="AG37" s="229"/>
      <c r="AH37" s="197">
        <f>SUM(AH27:AH36)</f>
        <v>764000</v>
      </c>
      <c r="AI37" s="165"/>
    </row>
    <row r="38" spans="2:37" s="147" customFormat="1" ht="15.75" customHeight="1">
      <c r="B38" s="448"/>
      <c r="C38" s="753"/>
      <c r="D38" s="754"/>
      <c r="E38" s="754"/>
      <c r="F38" s="755"/>
      <c r="G38" s="463"/>
      <c r="H38" s="452"/>
      <c r="I38" s="472"/>
      <c r="J38" s="480"/>
      <c r="K38" s="164"/>
      <c r="L38" s="164"/>
      <c r="M38" s="453"/>
      <c r="N38" s="481"/>
      <c r="O38" s="146"/>
      <c r="P38" s="146"/>
      <c r="Q38" s="146"/>
      <c r="R38" s="146"/>
      <c r="S38" s="146"/>
      <c r="T38" s="146"/>
      <c r="U38" s="146"/>
      <c r="V38" s="146"/>
      <c r="W38" s="146"/>
      <c r="X38" s="146"/>
      <c r="Z38" s="193"/>
      <c r="AA38" s="756"/>
      <c r="AB38" s="757"/>
      <c r="AC38" s="757"/>
      <c r="AD38" s="757"/>
      <c r="AE38" s="195"/>
      <c r="AF38" s="235"/>
      <c r="AG38" s="229"/>
      <c r="AH38" s="197" t="str">
        <f t="shared" ref="AH38:AH49" si="16">IF(COUNT(AE38:AG38)=0,"",AE38*AG38)</f>
        <v/>
      </c>
      <c r="AI38" s="165"/>
    </row>
    <row r="39" spans="2:37" s="147" customFormat="1" ht="15.75" customHeight="1">
      <c r="B39" s="448"/>
      <c r="C39" s="778"/>
      <c r="D39" s="763"/>
      <c r="E39" s="763"/>
      <c r="F39" s="764"/>
      <c r="G39" s="463"/>
      <c r="H39" s="452"/>
      <c r="I39" s="472" t="str">
        <f t="shared" ref="I39:I49" si="17">IF(COUNT(G39)=0,"",M39*$N$8)</f>
        <v/>
      </c>
      <c r="J39" s="480" t="str">
        <f t="shared" si="6"/>
        <v/>
      </c>
      <c r="K39" s="164"/>
      <c r="L39" s="164"/>
      <c r="M39" s="453"/>
      <c r="N39" s="243" t="str">
        <f t="shared" ref="N39:N49" si="18">IF(COUNT(G39)=0,"",G39*M39)</f>
        <v/>
      </c>
      <c r="O39" s="146"/>
      <c r="P39" s="146"/>
      <c r="Q39" s="146"/>
      <c r="R39" s="146"/>
      <c r="S39" s="146"/>
      <c r="T39" s="146"/>
      <c r="U39" s="146"/>
      <c r="V39" s="146"/>
      <c r="W39" s="146"/>
      <c r="X39" s="146"/>
      <c r="Z39" s="193" t="s">
        <v>540</v>
      </c>
      <c r="AA39" s="236"/>
      <c r="AB39" s="237"/>
      <c r="AC39" s="237"/>
      <c r="AD39" s="211"/>
      <c r="AE39" s="195"/>
      <c r="AF39" s="195"/>
      <c r="AG39" s="229"/>
      <c r="AH39" s="219" t="str">
        <f t="shared" si="16"/>
        <v/>
      </c>
      <c r="AI39" s="165"/>
    </row>
    <row r="40" spans="2:37" s="147" customFormat="1" ht="15.75" customHeight="1">
      <c r="B40" s="448"/>
      <c r="C40" s="449"/>
      <c r="D40" s="462"/>
      <c r="E40" s="450"/>
      <c r="F40" s="450"/>
      <c r="G40" s="463"/>
      <c r="H40" s="452"/>
      <c r="I40" s="472" t="str">
        <f t="shared" si="17"/>
        <v/>
      </c>
      <c r="J40" s="480" t="str">
        <f t="shared" si="6"/>
        <v/>
      </c>
      <c r="K40" s="164"/>
      <c r="L40" s="164"/>
      <c r="M40" s="453"/>
      <c r="N40" s="243" t="str">
        <f t="shared" si="18"/>
        <v/>
      </c>
      <c r="O40" s="146"/>
      <c r="P40" s="146"/>
      <c r="Q40" s="146"/>
      <c r="R40" s="146"/>
      <c r="S40" s="146"/>
      <c r="T40" s="146"/>
      <c r="U40" s="146"/>
      <c r="V40" s="146"/>
      <c r="W40" s="146"/>
      <c r="X40" s="146"/>
      <c r="Z40" s="193"/>
      <c r="AA40" s="210" t="s">
        <v>517</v>
      </c>
      <c r="AB40" s="238" t="s">
        <v>267</v>
      </c>
      <c r="AC40" s="200"/>
      <c r="AD40" s="200"/>
      <c r="AE40" s="195">
        <v>20</v>
      </c>
      <c r="AF40" s="195" t="s">
        <v>541</v>
      </c>
      <c r="AG40" s="229">
        <v>3000</v>
      </c>
      <c r="AH40" s="219">
        <f t="shared" si="16"/>
        <v>60000</v>
      </c>
      <c r="AI40" s="165"/>
    </row>
    <row r="41" spans="2:37" s="147" customFormat="1" ht="15.75" customHeight="1">
      <c r="B41" s="448"/>
      <c r="C41" s="449"/>
      <c r="D41" s="462"/>
      <c r="E41" s="450"/>
      <c r="F41" s="450"/>
      <c r="G41" s="463"/>
      <c r="H41" s="452"/>
      <c r="I41" s="472" t="str">
        <f t="shared" si="17"/>
        <v/>
      </c>
      <c r="J41" s="480" t="str">
        <f t="shared" si="6"/>
        <v/>
      </c>
      <c r="K41" s="164"/>
      <c r="L41" s="164"/>
      <c r="M41" s="453"/>
      <c r="N41" s="243" t="str">
        <f t="shared" si="18"/>
        <v/>
      </c>
      <c r="O41" s="146"/>
      <c r="P41" s="146"/>
      <c r="Q41" s="146"/>
      <c r="R41" s="146"/>
      <c r="S41" s="146"/>
      <c r="T41" s="146"/>
      <c r="U41" s="146"/>
      <c r="V41" s="146"/>
      <c r="W41" s="146"/>
      <c r="X41" s="146"/>
      <c r="Z41" s="193"/>
      <c r="AA41" s="210" t="s">
        <v>484</v>
      </c>
      <c r="AB41" s="238" t="s">
        <v>542</v>
      </c>
      <c r="AC41" s="200"/>
      <c r="AD41" s="200"/>
      <c r="AE41" s="195">
        <v>20</v>
      </c>
      <c r="AF41" s="195" t="s">
        <v>541</v>
      </c>
      <c r="AG41" s="229">
        <v>3000</v>
      </c>
      <c r="AH41" s="219">
        <f t="shared" si="16"/>
        <v>60000</v>
      </c>
      <c r="AI41" s="165"/>
    </row>
    <row r="42" spans="2:37" s="147" customFormat="1" ht="15.75" customHeight="1">
      <c r="B42" s="448"/>
      <c r="C42" s="449"/>
      <c r="D42" s="462"/>
      <c r="E42" s="450"/>
      <c r="F42" s="454"/>
      <c r="G42" s="451"/>
      <c r="H42" s="452"/>
      <c r="I42" s="472" t="str">
        <f t="shared" si="17"/>
        <v/>
      </c>
      <c r="J42" s="480" t="str">
        <f t="shared" si="6"/>
        <v/>
      </c>
      <c r="K42" s="164"/>
      <c r="L42" s="164"/>
      <c r="M42" s="453"/>
      <c r="N42" s="243" t="str">
        <f t="shared" si="18"/>
        <v/>
      </c>
      <c r="O42" s="146"/>
      <c r="P42" s="146"/>
      <c r="Q42" s="146"/>
      <c r="R42" s="146"/>
      <c r="S42" s="146"/>
      <c r="T42" s="146"/>
      <c r="U42" s="146"/>
      <c r="V42" s="146"/>
      <c r="W42" s="146"/>
      <c r="X42" s="146"/>
      <c r="Z42" s="193"/>
      <c r="AA42" s="210" t="s">
        <v>492</v>
      </c>
      <c r="AB42" s="238" t="s">
        <v>543</v>
      </c>
      <c r="AC42" s="200"/>
      <c r="AD42" s="211"/>
      <c r="AE42" s="195">
        <v>20</v>
      </c>
      <c r="AF42" s="195" t="s">
        <v>541</v>
      </c>
      <c r="AG42" s="229">
        <v>3000</v>
      </c>
      <c r="AH42" s="219">
        <f t="shared" si="16"/>
        <v>60000</v>
      </c>
      <c r="AI42" s="165"/>
    </row>
    <row r="43" spans="2:37" s="147" customFormat="1" ht="15.75" customHeight="1">
      <c r="B43" s="448"/>
      <c r="C43" s="449"/>
      <c r="D43" s="462"/>
      <c r="E43" s="450"/>
      <c r="F43" s="454"/>
      <c r="G43" s="451"/>
      <c r="H43" s="452"/>
      <c r="I43" s="472" t="str">
        <f t="shared" si="17"/>
        <v/>
      </c>
      <c r="J43" s="480" t="str">
        <f t="shared" si="6"/>
        <v/>
      </c>
      <c r="K43" s="164"/>
      <c r="L43" s="164"/>
      <c r="M43" s="453"/>
      <c r="N43" s="243" t="str">
        <f t="shared" si="18"/>
        <v/>
      </c>
      <c r="O43" s="146"/>
      <c r="P43" s="146"/>
      <c r="Q43" s="146"/>
      <c r="R43" s="146"/>
      <c r="S43" s="146"/>
      <c r="T43" s="146"/>
      <c r="U43" s="146"/>
      <c r="V43" s="146"/>
      <c r="W43" s="146"/>
      <c r="X43" s="146"/>
      <c r="Z43" s="193"/>
      <c r="AA43" s="210" t="s">
        <v>498</v>
      </c>
      <c r="AB43" s="238" t="s">
        <v>268</v>
      </c>
      <c r="AC43" s="200"/>
      <c r="AD43" s="211"/>
      <c r="AE43" s="195">
        <v>20</v>
      </c>
      <c r="AF43" s="195" t="s">
        <v>541</v>
      </c>
      <c r="AG43" s="229">
        <v>3000</v>
      </c>
      <c r="AH43" s="219">
        <f t="shared" si="16"/>
        <v>60000</v>
      </c>
      <c r="AI43" s="165"/>
    </row>
    <row r="44" spans="2:37" s="147" customFormat="1" ht="15.75" customHeight="1">
      <c r="B44" s="448"/>
      <c r="C44" s="449"/>
      <c r="D44" s="462"/>
      <c r="E44" s="450"/>
      <c r="F44" s="450"/>
      <c r="G44" s="463"/>
      <c r="H44" s="452"/>
      <c r="I44" s="472" t="str">
        <f t="shared" si="17"/>
        <v/>
      </c>
      <c r="J44" s="480" t="str">
        <f t="shared" si="6"/>
        <v/>
      </c>
      <c r="K44" s="164"/>
      <c r="L44" s="164"/>
      <c r="M44" s="453"/>
      <c r="N44" s="243" t="str">
        <f t="shared" si="18"/>
        <v/>
      </c>
      <c r="O44" s="146"/>
      <c r="P44" s="146"/>
      <c r="Q44" s="146"/>
      <c r="R44" s="146"/>
      <c r="S44" s="146"/>
      <c r="T44" s="146"/>
      <c r="U44" s="146"/>
      <c r="V44" s="146"/>
      <c r="W44" s="146"/>
      <c r="X44" s="146"/>
      <c r="Z44" s="193"/>
      <c r="AA44" s="210" t="s">
        <v>501</v>
      </c>
      <c r="AB44" s="238" t="s">
        <v>544</v>
      </c>
      <c r="AC44" s="200"/>
      <c r="AD44" s="211"/>
      <c r="AE44" s="195">
        <v>20</v>
      </c>
      <c r="AF44" s="195" t="s">
        <v>541</v>
      </c>
      <c r="AG44" s="229">
        <v>3000</v>
      </c>
      <c r="AH44" s="219">
        <f t="shared" si="16"/>
        <v>60000</v>
      </c>
      <c r="AI44" s="165"/>
    </row>
    <row r="45" spans="2:37" s="147" customFormat="1" ht="15.75" customHeight="1">
      <c r="B45" s="448"/>
      <c r="C45" s="464"/>
      <c r="D45" s="465"/>
      <c r="E45" s="466"/>
      <c r="F45" s="454"/>
      <c r="G45" s="467"/>
      <c r="H45" s="452"/>
      <c r="I45" s="472" t="str">
        <f t="shared" si="17"/>
        <v/>
      </c>
      <c r="J45" s="480" t="str">
        <f t="shared" si="6"/>
        <v/>
      </c>
      <c r="K45" s="164"/>
      <c r="L45" s="164"/>
      <c r="M45" s="453"/>
      <c r="N45" s="243" t="str">
        <f t="shared" si="18"/>
        <v/>
      </c>
      <c r="O45" s="146"/>
      <c r="P45" s="146"/>
      <c r="Q45" s="146"/>
      <c r="R45" s="146"/>
      <c r="S45" s="146"/>
      <c r="T45" s="146"/>
      <c r="U45" s="146"/>
      <c r="V45" s="146"/>
      <c r="W45" s="146"/>
      <c r="X45" s="146"/>
      <c r="Z45" s="193"/>
      <c r="AA45" s="765" t="s">
        <v>513</v>
      </c>
      <c r="AB45" s="766"/>
      <c r="AC45" s="766"/>
      <c r="AD45" s="767"/>
      <c r="AE45" s="195"/>
      <c r="AF45" s="235"/>
      <c r="AG45" s="229"/>
      <c r="AH45" s="219">
        <f>SUM(AH40:AH44)</f>
        <v>300000</v>
      </c>
      <c r="AI45" s="165"/>
    </row>
    <row r="46" spans="2:37" s="147" customFormat="1" ht="15.75" customHeight="1">
      <c r="B46" s="448"/>
      <c r="C46" s="449"/>
      <c r="D46" s="462"/>
      <c r="E46" s="450"/>
      <c r="F46" s="454"/>
      <c r="G46" s="451"/>
      <c r="H46" s="452"/>
      <c r="I46" s="472" t="str">
        <f t="shared" si="17"/>
        <v/>
      </c>
      <c r="J46" s="480" t="str">
        <f t="shared" si="6"/>
        <v/>
      </c>
      <c r="K46" s="164"/>
      <c r="L46" s="164"/>
      <c r="M46" s="453"/>
      <c r="N46" s="243" t="str">
        <f t="shared" si="18"/>
        <v/>
      </c>
      <c r="O46" s="146"/>
      <c r="P46" s="146"/>
      <c r="Q46" s="146"/>
      <c r="R46" s="146"/>
      <c r="S46" s="146"/>
      <c r="T46" s="146"/>
      <c r="U46" s="146"/>
      <c r="V46" s="146"/>
      <c r="W46" s="146"/>
      <c r="X46" s="146"/>
      <c r="Z46" s="193"/>
      <c r="AA46" s="218"/>
      <c r="AB46" s="200"/>
      <c r="AC46" s="200"/>
      <c r="AD46" s="211"/>
      <c r="AE46" s="195"/>
      <c r="AF46" s="235"/>
      <c r="AG46" s="229"/>
      <c r="AH46" s="219"/>
      <c r="AI46" s="165"/>
    </row>
    <row r="47" spans="2:37" s="147" customFormat="1" ht="15.75" customHeight="1">
      <c r="B47" s="448"/>
      <c r="C47" s="449"/>
      <c r="D47" s="450"/>
      <c r="E47" s="450"/>
      <c r="F47" s="454"/>
      <c r="G47" s="463"/>
      <c r="H47" s="467"/>
      <c r="I47" s="472" t="str">
        <f t="shared" si="17"/>
        <v/>
      </c>
      <c r="J47" s="480" t="str">
        <f t="shared" si="6"/>
        <v/>
      </c>
      <c r="K47" s="164"/>
      <c r="L47" s="164"/>
      <c r="M47" s="453"/>
      <c r="N47" s="243" t="str">
        <f t="shared" si="18"/>
        <v/>
      </c>
      <c r="O47" s="146"/>
      <c r="P47" s="146"/>
      <c r="Q47" s="146"/>
      <c r="R47" s="146"/>
      <c r="S47" s="146"/>
      <c r="T47" s="146"/>
      <c r="U47" s="146"/>
      <c r="V47" s="146"/>
      <c r="W47" s="146"/>
      <c r="X47" s="146"/>
      <c r="Z47" s="193" t="s">
        <v>545</v>
      </c>
      <c r="AA47" s="218"/>
      <c r="AB47" s="200"/>
      <c r="AC47" s="200"/>
      <c r="AD47" s="211"/>
      <c r="AE47" s="240">
        <v>15</v>
      </c>
      <c r="AF47" s="195" t="s">
        <v>546</v>
      </c>
      <c r="AG47" s="229"/>
      <c r="AH47" s="219">
        <f>(AH24+AH37+AH45)*0.15</f>
        <v>354412.5</v>
      </c>
      <c r="AI47" s="165"/>
    </row>
    <row r="48" spans="2:37" s="147" customFormat="1" ht="15.75" customHeight="1">
      <c r="B48" s="190"/>
      <c r="C48" s="230"/>
      <c r="D48" s="231"/>
      <c r="E48" s="231"/>
      <c r="F48" s="232"/>
      <c r="G48" s="241"/>
      <c r="H48" s="226"/>
      <c r="I48" s="472" t="str">
        <f t="shared" si="17"/>
        <v/>
      </c>
      <c r="J48" s="480" t="str">
        <f t="shared" si="6"/>
        <v/>
      </c>
      <c r="K48" s="164"/>
      <c r="L48" s="164"/>
      <c r="M48" s="242"/>
      <c r="N48" s="243" t="str">
        <f t="shared" si="18"/>
        <v/>
      </c>
      <c r="O48" s="146"/>
      <c r="P48" s="146"/>
      <c r="Q48" s="146"/>
      <c r="R48" s="146"/>
      <c r="S48" s="146"/>
      <c r="T48" s="146"/>
      <c r="U48" s="146"/>
      <c r="V48" s="146"/>
      <c r="W48" s="146"/>
      <c r="X48" s="146"/>
      <c r="Z48" s="193"/>
      <c r="AA48" s="218"/>
      <c r="AB48" s="200"/>
      <c r="AC48" s="200"/>
      <c r="AD48" s="211"/>
      <c r="AE48" s="240"/>
      <c r="AF48" s="195"/>
      <c r="AG48" s="229"/>
      <c r="AH48" s="219"/>
      <c r="AI48" s="165"/>
    </row>
    <row r="49" spans="1:35" s="147" customFormat="1" ht="15.75" customHeight="1">
      <c r="A49" s="146"/>
      <c r="B49" s="190"/>
      <c r="C49" s="230"/>
      <c r="D49" s="231"/>
      <c r="E49" s="231"/>
      <c r="F49" s="232"/>
      <c r="G49" s="226"/>
      <c r="H49" s="239"/>
      <c r="I49" s="472" t="str">
        <f t="shared" si="17"/>
        <v/>
      </c>
      <c r="J49" s="480" t="str">
        <f t="shared" si="6"/>
        <v/>
      </c>
      <c r="K49" s="164"/>
      <c r="L49" s="164"/>
      <c r="M49" s="192"/>
      <c r="N49" s="243" t="str">
        <f t="shared" si="18"/>
        <v/>
      </c>
      <c r="O49" s="146"/>
      <c r="P49" s="146"/>
      <c r="Q49" s="146"/>
      <c r="R49" s="146"/>
      <c r="S49" s="146"/>
      <c r="T49" s="146"/>
      <c r="U49" s="146"/>
      <c r="V49" s="146"/>
      <c r="W49" s="146"/>
      <c r="X49" s="146"/>
      <c r="Z49" s="193"/>
      <c r="AA49" s="218"/>
      <c r="AB49" s="200"/>
      <c r="AC49" s="200"/>
      <c r="AD49" s="211"/>
      <c r="AE49" s="195"/>
      <c r="AF49" s="235"/>
      <c r="AG49" s="229"/>
      <c r="AH49" s="219" t="str">
        <f t="shared" si="16"/>
        <v/>
      </c>
      <c r="AI49" s="165"/>
    </row>
    <row r="50" spans="1:35" s="147" customFormat="1" ht="15.75" customHeight="1">
      <c r="A50" s="146"/>
      <c r="B50" s="244"/>
      <c r="C50" s="779" t="s">
        <v>500</v>
      </c>
      <c r="D50" s="780"/>
      <c r="E50" s="780"/>
      <c r="F50" s="781"/>
      <c r="G50" s="226"/>
      <c r="H50" s="239"/>
      <c r="I50" s="472"/>
      <c r="J50" s="480">
        <f>J19+J26</f>
        <v>103600000</v>
      </c>
      <c r="K50" s="164"/>
      <c r="L50" s="164"/>
      <c r="M50" s="192"/>
      <c r="N50" s="243">
        <f>N21+N29+N34+N38</f>
        <v>0</v>
      </c>
      <c r="O50" s="146"/>
      <c r="P50" s="146"/>
      <c r="Q50" s="146"/>
      <c r="R50" s="146"/>
      <c r="S50" s="146"/>
      <c r="T50" s="146"/>
      <c r="U50" s="146"/>
      <c r="V50" s="146"/>
      <c r="W50" s="146"/>
      <c r="X50" s="146"/>
      <c r="Z50" s="193"/>
      <c r="AA50" s="765" t="s">
        <v>547</v>
      </c>
      <c r="AB50" s="766"/>
      <c r="AC50" s="766"/>
      <c r="AD50" s="767"/>
      <c r="AE50" s="195"/>
      <c r="AF50" s="235"/>
      <c r="AG50" s="229"/>
      <c r="AH50" s="219">
        <f>ROUNDDOWN(AH24+AH37+AH45+AH47,-3)</f>
        <v>2717000</v>
      </c>
      <c r="AI50" s="165"/>
    </row>
    <row r="51" spans="1:35" s="147" customFormat="1" ht="15.75" customHeight="1">
      <c r="A51" s="146"/>
      <c r="B51" s="244"/>
      <c r="C51" s="782" t="s">
        <v>271</v>
      </c>
      <c r="D51" s="783"/>
      <c r="E51" s="783"/>
      <c r="F51" s="784"/>
      <c r="G51" s="245">
        <v>0</v>
      </c>
      <c r="H51" s="226" t="s">
        <v>270</v>
      </c>
      <c r="I51" s="473"/>
      <c r="J51" s="480">
        <f>J50*G51/100</f>
        <v>0</v>
      </c>
      <c r="K51" s="164"/>
      <c r="L51" s="164"/>
      <c r="M51" s="192"/>
      <c r="N51" s="481">
        <f>N50*R51/100</f>
        <v>0</v>
      </c>
      <c r="O51" s="146"/>
      <c r="P51" s="146"/>
      <c r="Q51" s="546" t="s">
        <v>139</v>
      </c>
      <c r="R51" s="146">
        <v>10</v>
      </c>
      <c r="S51" s="146" t="s">
        <v>140</v>
      </c>
      <c r="T51" s="146"/>
      <c r="U51" s="146"/>
      <c r="V51" s="146"/>
      <c r="W51" s="146"/>
      <c r="X51" s="146"/>
      <c r="Z51" s="193"/>
      <c r="AA51" s="785" t="s">
        <v>269</v>
      </c>
      <c r="AB51" s="786"/>
      <c r="AC51" s="786"/>
      <c r="AD51" s="787"/>
      <c r="AE51" s="246">
        <v>10</v>
      </c>
      <c r="AF51" s="195" t="s">
        <v>546</v>
      </c>
      <c r="AG51" s="229"/>
      <c r="AH51" s="219">
        <f>AH50*AE51%</f>
        <v>271700</v>
      </c>
      <c r="AI51" s="165"/>
    </row>
    <row r="52" spans="1:35" s="147" customFormat="1" ht="15.75" customHeight="1">
      <c r="A52" s="164"/>
      <c r="B52" s="738" t="s">
        <v>548</v>
      </c>
      <c r="C52" s="738"/>
      <c r="D52" s="738"/>
      <c r="E52" s="738"/>
      <c r="F52" s="738"/>
      <c r="G52" s="738"/>
      <c r="H52" s="738"/>
      <c r="I52" s="775"/>
      <c r="J52" s="479">
        <f>J50+J51</f>
        <v>103600000</v>
      </c>
      <c r="K52" s="164"/>
      <c r="L52" s="164"/>
      <c r="M52" s="164"/>
      <c r="N52" s="482">
        <f>N50+N51</f>
        <v>0</v>
      </c>
      <c r="O52" s="146"/>
      <c r="P52" s="146"/>
      <c r="Q52" s="247" t="s">
        <v>141</v>
      </c>
      <c r="R52" s="146"/>
      <c r="S52" s="146"/>
      <c r="T52" s="146"/>
      <c r="U52" s="146"/>
      <c r="V52" s="146"/>
      <c r="W52" s="146"/>
      <c r="X52" s="146"/>
      <c r="Y52" s="165"/>
      <c r="Z52" s="776" t="s">
        <v>549</v>
      </c>
      <c r="AA52" s="776"/>
      <c r="AB52" s="776"/>
      <c r="AC52" s="776"/>
      <c r="AD52" s="776"/>
      <c r="AE52" s="776"/>
      <c r="AF52" s="776"/>
      <c r="AG52" s="777"/>
      <c r="AH52" s="248">
        <f>AH50+AH51</f>
        <v>2988700</v>
      </c>
      <c r="AI52" s="165"/>
    </row>
  </sheetData>
  <mergeCells count="57">
    <mergeCell ref="B52:I52"/>
    <mergeCell ref="Z52:AG52"/>
    <mergeCell ref="C39:F39"/>
    <mergeCell ref="AA45:AD45"/>
    <mergeCell ref="C50:F50"/>
    <mergeCell ref="AA50:AD50"/>
    <mergeCell ref="C51:F51"/>
    <mergeCell ref="AA51:AD51"/>
    <mergeCell ref="C38:F38"/>
    <mergeCell ref="AA38:AD38"/>
    <mergeCell ref="AO16:AP16"/>
    <mergeCell ref="AQ16:AR16"/>
    <mergeCell ref="D17:F17"/>
    <mergeCell ref="D19:F19"/>
    <mergeCell ref="AA24:AD24"/>
    <mergeCell ref="AA25:AD25"/>
    <mergeCell ref="AM16:AN16"/>
    <mergeCell ref="D26:F26"/>
    <mergeCell ref="C29:F29"/>
    <mergeCell ref="C33:F33"/>
    <mergeCell ref="C36:F36"/>
    <mergeCell ref="AA37:AD37"/>
    <mergeCell ref="AE12:AF12"/>
    <mergeCell ref="AG12:AH12"/>
    <mergeCell ref="E14:F14"/>
    <mergeCell ref="AK16:AK17"/>
    <mergeCell ref="AL16:AL17"/>
    <mergeCell ref="G12:I12"/>
    <mergeCell ref="P12:P13"/>
    <mergeCell ref="Q12:Q13"/>
    <mergeCell ref="R12:S12"/>
    <mergeCell ref="T12:U12"/>
    <mergeCell ref="V12:W12"/>
    <mergeCell ref="B10:E10"/>
    <mergeCell ref="F10:J10"/>
    <mergeCell ref="Z10:AC10"/>
    <mergeCell ref="AE10:AH10"/>
    <mergeCell ref="C11:E11"/>
    <mergeCell ref="V11:W11"/>
    <mergeCell ref="AA11:AC11"/>
    <mergeCell ref="B5:E5"/>
    <mergeCell ref="G5:J5"/>
    <mergeCell ref="Z5:AC5"/>
    <mergeCell ref="AF5:AH5"/>
    <mergeCell ref="B6:B7"/>
    <mergeCell ref="C6:F7"/>
    <mergeCell ref="G6:J6"/>
    <mergeCell ref="AA6:AC7"/>
    <mergeCell ref="AE6:AH6"/>
    <mergeCell ref="H7:J9"/>
    <mergeCell ref="G4:H4"/>
    <mergeCell ref="I4:J4"/>
    <mergeCell ref="B2:J2"/>
    <mergeCell ref="Z2:AH2"/>
    <mergeCell ref="G3:H3"/>
    <mergeCell ref="I3:J3"/>
    <mergeCell ref="AG3:AH3"/>
  </mergeCells>
  <conditionalFormatting sqref="B10:E10">
    <cfRule type="cellIs" dxfId="5" priority="2" stopIfTrue="1" operator="notEqual">
      <formula>$J$52</formula>
    </cfRule>
  </conditionalFormatting>
  <conditionalFormatting sqref="Z10:AC10">
    <cfRule type="cellIs" dxfId="4" priority="1" stopIfTrue="1" operator="notEqual">
      <formula>$J$52</formula>
    </cfRule>
  </conditionalFormatting>
  <pageMargins left="0.78740157480314965" right="0.19685039370078741" top="0.78740157480314965" bottom="0.39370078740157483" header="0.51181102362204722" footer="0.19685039370078741"/>
  <pageSetup paperSize="9" scale="91" orientation="portrait" r:id="rId1"/>
  <headerFooter alignWithMargins="0">
    <oddHeader>&amp;R&amp;G</oddHeader>
    <oddFooter>&amp;RAttachment-&amp;P</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P55"/>
  <sheetViews>
    <sheetView view="pageBreakPreview" topLeftCell="A15" zoomScaleNormal="100" zoomScaleSheetLayoutView="100" workbookViewId="0">
      <selection activeCell="D35" sqref="D35:J35"/>
    </sheetView>
  </sheetViews>
  <sheetFormatPr defaultColWidth="9" defaultRowHeight="15"/>
  <cols>
    <col min="1" max="1" width="10.5703125" style="486" customWidth="1"/>
    <col min="2" max="2" width="10.140625" style="486" bestFit="1" customWidth="1"/>
    <col min="3" max="4" width="9" style="486"/>
    <col min="5" max="5" width="9.140625" style="486" bestFit="1" customWidth="1"/>
    <col min="6" max="6" width="9" style="486"/>
    <col min="7" max="7" width="10.85546875" style="486" customWidth="1"/>
    <col min="8" max="8" width="9" style="486"/>
    <col min="9" max="9" width="19.5703125" style="486" customWidth="1"/>
    <col min="10" max="10" width="0.28515625" style="486" customWidth="1"/>
    <col min="11" max="13" width="9" style="486"/>
    <col min="14" max="14" width="10.140625" style="486" bestFit="1" customWidth="1"/>
    <col min="15" max="16" width="10.42578125" style="486" bestFit="1" customWidth="1"/>
    <col min="17" max="16384" width="9" style="486"/>
  </cols>
  <sheetData>
    <row r="2" spans="1:16" ht="18.75">
      <c r="C2" s="803" t="s">
        <v>550</v>
      </c>
      <c r="D2" s="803"/>
      <c r="E2" s="803"/>
      <c r="F2" s="803"/>
      <c r="G2" s="803"/>
      <c r="H2" s="803"/>
      <c r="I2" s="803"/>
      <c r="J2" s="803"/>
      <c r="K2" s="507"/>
      <c r="L2" s="507"/>
    </row>
    <row r="3" spans="1:16" ht="14.25" customHeight="1">
      <c r="E3" s="789" t="s">
        <v>454</v>
      </c>
      <c r="F3" s="789"/>
      <c r="G3" s="789"/>
      <c r="H3" s="789"/>
      <c r="I3" s="789"/>
      <c r="J3" s="789"/>
      <c r="K3" s="500"/>
      <c r="L3" s="500"/>
    </row>
    <row r="4" spans="1:16">
      <c r="E4" s="789"/>
      <c r="F4" s="789"/>
      <c r="G4" s="789"/>
      <c r="H4" s="789"/>
      <c r="I4" s="789"/>
      <c r="J4" s="789"/>
      <c r="K4" s="500"/>
      <c r="L4" s="500"/>
    </row>
    <row r="6" spans="1:16">
      <c r="E6" s="699" t="s">
        <v>411</v>
      </c>
      <c r="F6" s="699"/>
      <c r="G6" s="699"/>
      <c r="H6" s="699"/>
      <c r="I6" s="699"/>
      <c r="J6" s="699"/>
    </row>
    <row r="8" spans="1:16" ht="15.75" thickBot="1">
      <c r="A8" s="487"/>
      <c r="B8" s="487"/>
      <c r="C8" s="487"/>
      <c r="D8" s="487"/>
      <c r="E8" s="487"/>
      <c r="F8" s="702" t="s">
        <v>412</v>
      </c>
      <c r="G8" s="702"/>
      <c r="H8" s="790" t="s">
        <v>286</v>
      </c>
      <c r="I8" s="790"/>
      <c r="J8" s="790"/>
      <c r="K8" s="503"/>
      <c r="L8" s="503"/>
    </row>
    <row r="9" spans="1:16" ht="15" customHeight="1" thickTop="1">
      <c r="A9" s="700" t="s">
        <v>551</v>
      </c>
      <c r="B9" s="700"/>
      <c r="C9" s="700"/>
      <c r="D9" s="700"/>
      <c r="E9" s="700"/>
      <c r="F9" s="700"/>
      <c r="G9" s="700"/>
      <c r="H9" s="700"/>
      <c r="I9" s="700"/>
      <c r="J9" s="700"/>
      <c r="K9" s="508"/>
      <c r="L9" s="508"/>
    </row>
    <row r="10" spans="1:16" ht="14.25" customHeight="1">
      <c r="A10" s="701"/>
      <c r="B10" s="701"/>
      <c r="C10" s="701"/>
      <c r="D10" s="701"/>
      <c r="E10" s="701"/>
      <c r="F10" s="701"/>
      <c r="G10" s="701"/>
      <c r="H10" s="701"/>
      <c r="I10" s="701"/>
      <c r="J10" s="701"/>
      <c r="K10" s="509"/>
      <c r="L10" s="509"/>
    </row>
    <row r="11" spans="1:16" ht="14.25" customHeight="1">
      <c r="A11" s="701"/>
      <c r="B11" s="701"/>
      <c r="C11" s="701"/>
      <c r="D11" s="701"/>
      <c r="E11" s="701"/>
      <c r="F11" s="701"/>
      <c r="G11" s="701"/>
      <c r="H11" s="701"/>
      <c r="I11" s="701"/>
      <c r="J11" s="701"/>
      <c r="K11" s="509"/>
      <c r="L11" s="509"/>
    </row>
    <row r="13" spans="1:16">
      <c r="A13" s="486" t="s">
        <v>414</v>
      </c>
      <c r="B13" s="788" t="s">
        <v>647</v>
      </c>
      <c r="C13" s="788"/>
      <c r="D13" s="488"/>
      <c r="L13" s="543" t="s">
        <v>416</v>
      </c>
      <c r="N13" s="488">
        <v>42858</v>
      </c>
      <c r="P13" s="488"/>
    </row>
    <row r="15" spans="1:16">
      <c r="A15" s="490" t="s">
        <v>554</v>
      </c>
      <c r="B15" s="510" t="s">
        <v>348</v>
      </c>
    </row>
    <row r="17" spans="1:16">
      <c r="A17" s="490" t="s">
        <v>351</v>
      </c>
      <c r="B17" s="804" t="s">
        <v>555</v>
      </c>
      <c r="C17" s="706"/>
      <c r="D17" s="706"/>
      <c r="E17" s="706"/>
      <c r="F17" s="706"/>
      <c r="G17" s="706"/>
      <c r="H17" s="706"/>
      <c r="I17" s="706"/>
      <c r="J17" s="706"/>
    </row>
    <row r="18" spans="1:16">
      <c r="B18" s="706"/>
      <c r="C18" s="706"/>
      <c r="D18" s="706"/>
      <c r="E18" s="706"/>
      <c r="F18" s="706"/>
      <c r="G18" s="706"/>
      <c r="H18" s="706"/>
      <c r="I18" s="706"/>
      <c r="J18" s="706"/>
    </row>
    <row r="19" spans="1:16">
      <c r="A19" s="490" t="s">
        <v>423</v>
      </c>
      <c r="B19" s="491" t="s">
        <v>636</v>
      </c>
      <c r="P19" s="491"/>
    </row>
    <row r="20" spans="1:16">
      <c r="A20" s="490" t="s">
        <v>425</v>
      </c>
      <c r="B20" s="491" t="s">
        <v>637</v>
      </c>
      <c r="P20" s="491"/>
    </row>
    <row r="22" spans="1:16">
      <c r="A22" s="510" t="s">
        <v>553</v>
      </c>
    </row>
    <row r="23" spans="1:16">
      <c r="A23" s="486" t="s">
        <v>552</v>
      </c>
    </row>
    <row r="24" spans="1:16">
      <c r="A24" s="486" t="s">
        <v>556</v>
      </c>
      <c r="B24" s="510"/>
      <c r="I24" s="494"/>
      <c r="J24" s="544"/>
    </row>
    <row r="25" spans="1:16">
      <c r="A25" s="486" t="s">
        <v>557</v>
      </c>
      <c r="B25" s="492"/>
      <c r="G25" s="494"/>
    </row>
    <row r="26" spans="1:16">
      <c r="A26" s="486" t="s">
        <v>558</v>
      </c>
      <c r="B26" s="492"/>
      <c r="G26" s="494"/>
    </row>
    <row r="27" spans="1:16">
      <c r="B27" s="492"/>
      <c r="G27" s="494"/>
    </row>
    <row r="28" spans="1:16">
      <c r="A28" s="510" t="s">
        <v>441</v>
      </c>
      <c r="B28" s="492"/>
      <c r="G28" s="494"/>
    </row>
    <row r="29" spans="1:16">
      <c r="A29" s="806" t="s">
        <v>559</v>
      </c>
      <c r="B29" s="666"/>
      <c r="C29" s="807"/>
      <c r="D29" s="792" t="str">
        <f>'2.Quotation Service Order'!B25</f>
        <v>Kiểm tra PT mối hàn của thùng chứa</v>
      </c>
      <c r="E29" s="793"/>
      <c r="F29" s="793"/>
      <c r="G29" s="793"/>
      <c r="H29" s="793"/>
      <c r="I29" s="793"/>
      <c r="J29" s="794"/>
      <c r="L29" s="486" t="s">
        <v>152</v>
      </c>
    </row>
    <row r="30" spans="1:16">
      <c r="A30" s="816"/>
      <c r="B30" s="690"/>
      <c r="C30" s="817"/>
      <c r="D30" s="795"/>
      <c r="E30" s="796"/>
      <c r="F30" s="796"/>
      <c r="G30" s="796"/>
      <c r="H30" s="796"/>
      <c r="I30" s="796"/>
      <c r="J30" s="797"/>
    </row>
    <row r="31" spans="1:16">
      <c r="A31" s="808"/>
      <c r="B31" s="809"/>
      <c r="C31" s="810"/>
      <c r="D31" s="798" t="s">
        <v>560</v>
      </c>
      <c r="E31" s="799"/>
      <c r="F31" s="799"/>
      <c r="G31" s="799"/>
      <c r="H31" s="799"/>
      <c r="I31" s="799"/>
      <c r="J31" s="800"/>
      <c r="L31" s="543" t="s">
        <v>631</v>
      </c>
      <c r="M31" s="544">
        <v>2</v>
      </c>
      <c r="N31" s="543" t="s">
        <v>632</v>
      </c>
      <c r="O31" s="544">
        <v>4</v>
      </c>
    </row>
    <row r="33" spans="1:15" ht="14.25" customHeight="1">
      <c r="A33" s="510" t="s">
        <v>561</v>
      </c>
      <c r="C33" s="500"/>
      <c r="D33" s="500"/>
      <c r="E33" s="500"/>
      <c r="F33" s="500"/>
      <c r="G33" s="500"/>
      <c r="H33" s="500"/>
      <c r="I33" s="500"/>
      <c r="J33" s="500"/>
      <c r="K33" s="500"/>
      <c r="L33" s="500"/>
    </row>
    <row r="34" spans="1:15">
      <c r="A34" s="818" t="s">
        <v>562</v>
      </c>
      <c r="B34" s="818"/>
      <c r="C34" s="818"/>
      <c r="D34" s="819" t="s">
        <v>647</v>
      </c>
      <c r="E34" s="819"/>
      <c r="F34" s="819"/>
      <c r="G34" s="819"/>
      <c r="H34" s="819"/>
      <c r="I34" s="819"/>
      <c r="J34" s="819"/>
      <c r="K34" s="500"/>
      <c r="L34" s="685" t="s">
        <v>153</v>
      </c>
      <c r="M34" s="685"/>
      <c r="N34" s="685"/>
      <c r="O34" s="488"/>
    </row>
    <row r="35" spans="1:15">
      <c r="A35" s="818" t="s">
        <v>371</v>
      </c>
      <c r="B35" s="818"/>
      <c r="C35" s="818"/>
      <c r="D35" s="791" t="str">
        <f>'1.Service Contraction'!E46</f>
        <v>CÔNG TY TNHH VẬT LIỆU MỚI DENKA VIỆT NAM</v>
      </c>
      <c r="E35" s="791"/>
      <c r="F35" s="791"/>
      <c r="G35" s="791"/>
      <c r="H35" s="791"/>
      <c r="I35" s="791"/>
      <c r="J35" s="791"/>
      <c r="K35" s="500"/>
      <c r="L35" s="500"/>
    </row>
    <row r="36" spans="1:15">
      <c r="A36" s="818" t="s">
        <v>372</v>
      </c>
      <c r="B36" s="818"/>
      <c r="C36" s="818"/>
      <c r="D36" s="791" t="str">
        <f>'1.Service Contraction'!E47</f>
        <v>Việt Nam</v>
      </c>
      <c r="E36" s="791"/>
      <c r="F36" s="791"/>
      <c r="G36" s="791"/>
      <c r="H36" s="791"/>
      <c r="I36" s="791"/>
      <c r="J36" s="791"/>
      <c r="K36" s="500"/>
      <c r="L36" s="500"/>
    </row>
    <row r="37" spans="1:15">
      <c r="A37" s="806" t="s">
        <v>563</v>
      </c>
      <c r="B37" s="666"/>
      <c r="C37" s="807"/>
      <c r="D37" s="645" t="s">
        <v>564</v>
      </c>
      <c r="E37" s="646" t="s">
        <v>565</v>
      </c>
      <c r="F37" s="646"/>
      <c r="G37" s="647"/>
      <c r="H37" s="811" t="str">
        <f>'1.Service Contraction'!E7</f>
        <v>CCTVN - DAV-201704-01</v>
      </c>
      <c r="I37" s="811"/>
      <c r="J37" s="812"/>
      <c r="K37" s="500"/>
      <c r="L37" s="500"/>
    </row>
    <row r="38" spans="1:15">
      <c r="A38" s="808"/>
      <c r="B38" s="809"/>
      <c r="C38" s="810"/>
      <c r="D38" s="648"/>
      <c r="E38" s="649" t="s">
        <v>566</v>
      </c>
      <c r="F38" s="649"/>
      <c r="G38" s="648"/>
      <c r="H38" s="813" t="str">
        <f>'2.Quotation Service Order'!B14</f>
        <v>QCTVN201704-01</v>
      </c>
      <c r="I38" s="813"/>
      <c r="J38" s="814"/>
      <c r="K38" s="500"/>
      <c r="L38" s="500"/>
    </row>
    <row r="40" spans="1:15">
      <c r="A40" s="511" t="s">
        <v>567</v>
      </c>
      <c r="B40" s="624"/>
      <c r="C40" s="512" t="s">
        <v>568</v>
      </c>
      <c r="D40" s="513"/>
      <c r="E40" s="513"/>
    </row>
    <row r="41" spans="1:15">
      <c r="A41" s="514"/>
      <c r="B41" s="513"/>
      <c r="C41" s="513"/>
      <c r="D41" s="513"/>
      <c r="E41" s="513"/>
    </row>
    <row r="42" spans="1:15" ht="15" customHeight="1">
      <c r="A42" s="514" t="s">
        <v>569</v>
      </c>
      <c r="B42" s="513"/>
      <c r="C42" s="802" t="s">
        <v>568</v>
      </c>
      <c r="D42" s="802"/>
      <c r="E42" s="513"/>
    </row>
    <row r="43" spans="1:15">
      <c r="A43" s="514"/>
      <c r="B43" s="513"/>
      <c r="C43" s="802"/>
      <c r="D43" s="802"/>
      <c r="E43" s="513"/>
    </row>
    <row r="44" spans="1:15">
      <c r="A44" s="511" t="s">
        <v>433</v>
      </c>
      <c r="B44" s="513"/>
      <c r="C44" s="513"/>
      <c r="D44" s="513"/>
      <c r="E44" s="513"/>
    </row>
    <row r="45" spans="1:15">
      <c r="C45" s="545"/>
      <c r="D45" s="545"/>
      <c r="E45" s="650"/>
    </row>
    <row r="47" spans="1:15">
      <c r="A47" s="815" t="str">
        <f>'1.Service Contraction'!D17</f>
        <v>CÔNG TY TNHH VẬT LIỆU MỚI DENKA VIỆT NAM</v>
      </c>
      <c r="B47" s="815"/>
      <c r="C47" s="815"/>
      <c r="D47" s="815"/>
      <c r="F47" s="711" t="str">
        <f>C2</f>
        <v xml:space="preserve">          CÔNG TY TNHH CHUGAI TECHNOS VIỆT NAM</v>
      </c>
      <c r="G47" s="711"/>
      <c r="H47" s="711"/>
      <c r="I47" s="711"/>
      <c r="J47" s="501"/>
    </row>
    <row r="48" spans="1:15">
      <c r="A48" s="502"/>
      <c r="B48" s="502"/>
      <c r="C48" s="502"/>
      <c r="D48" s="502"/>
      <c r="F48" s="541"/>
      <c r="G48" s="541"/>
      <c r="H48" s="541"/>
      <c r="I48" s="541"/>
      <c r="J48" s="501"/>
    </row>
    <row r="49" spans="1:10">
      <c r="A49" s="543" t="s">
        <v>414</v>
      </c>
      <c r="B49" s="801" t="str">
        <f>B13</f>
        <v>11/05/2017</v>
      </c>
      <c r="C49" s="801"/>
      <c r="D49" s="801"/>
      <c r="F49" s="543" t="s">
        <v>414</v>
      </c>
      <c r="G49" s="801" t="str">
        <f>B13</f>
        <v>11/05/2017</v>
      </c>
      <c r="H49" s="801"/>
      <c r="I49" s="801"/>
      <c r="J49" s="503"/>
    </row>
    <row r="55" spans="1:10">
      <c r="A55" s="805" t="s">
        <v>446</v>
      </c>
      <c r="B55" s="805"/>
      <c r="C55" s="805"/>
      <c r="D55" s="805"/>
      <c r="F55" s="805" t="s">
        <v>446</v>
      </c>
      <c r="G55" s="805"/>
      <c r="H55" s="805"/>
      <c r="I55" s="805"/>
    </row>
  </sheetData>
  <mergeCells count="29">
    <mergeCell ref="C2:J2"/>
    <mergeCell ref="B17:J18"/>
    <mergeCell ref="A55:D55"/>
    <mergeCell ref="F55:I55"/>
    <mergeCell ref="L34:N34"/>
    <mergeCell ref="A37:C38"/>
    <mergeCell ref="H37:J37"/>
    <mergeCell ref="H38:J38"/>
    <mergeCell ref="A47:D47"/>
    <mergeCell ref="F47:I47"/>
    <mergeCell ref="A29:C31"/>
    <mergeCell ref="A34:C34"/>
    <mergeCell ref="A35:C35"/>
    <mergeCell ref="A36:C36"/>
    <mergeCell ref="D34:J34"/>
    <mergeCell ref="D35:J35"/>
    <mergeCell ref="D36:J36"/>
    <mergeCell ref="D29:J30"/>
    <mergeCell ref="D31:J31"/>
    <mergeCell ref="G49:I49"/>
    <mergeCell ref="B49:D49"/>
    <mergeCell ref="C42:D42"/>
    <mergeCell ref="C43:D43"/>
    <mergeCell ref="B13:C13"/>
    <mergeCell ref="E3:J4"/>
    <mergeCell ref="E6:J6"/>
    <mergeCell ref="A9:J11"/>
    <mergeCell ref="F8:G8"/>
    <mergeCell ref="H8:J8"/>
  </mergeCells>
  <phoneticPr fontId="4"/>
  <printOptions horizontalCentered="1"/>
  <pageMargins left="0.59055118110236227" right="0.23622047244094491" top="0.35433070866141736" bottom="3.937007874015748E-2" header="0.11811023622047245" footer="0.11811023622047245"/>
  <pageSetup paperSize="9" scale="98"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P55"/>
  <sheetViews>
    <sheetView tabSelected="1" view="pageBreakPreview" topLeftCell="A3" zoomScale="85" zoomScaleNormal="100" zoomScaleSheetLayoutView="85" workbookViewId="0">
      <selection activeCell="B14" sqref="B14"/>
    </sheetView>
  </sheetViews>
  <sheetFormatPr defaultColWidth="9" defaultRowHeight="15"/>
  <cols>
    <col min="1" max="1" width="10.5703125" style="486" customWidth="1"/>
    <col min="2" max="2" width="10.85546875" style="486" customWidth="1"/>
    <col min="3" max="3" width="9" style="486"/>
    <col min="4" max="4" width="9.42578125" style="486" bestFit="1" customWidth="1"/>
    <col min="5" max="6" width="9" style="486"/>
    <col min="7" max="7" width="9.42578125" style="486" bestFit="1" customWidth="1"/>
    <col min="8" max="9" width="9" style="486"/>
    <col min="10" max="10" width="9.42578125" style="486" bestFit="1" customWidth="1"/>
    <col min="11" max="13" width="9" style="486"/>
    <col min="14" max="14" width="10.140625" style="486" bestFit="1" customWidth="1"/>
    <col min="15" max="16" width="10.42578125" style="486" bestFit="1" customWidth="1"/>
    <col min="17" max="16384" width="9" style="486"/>
  </cols>
  <sheetData>
    <row r="2" spans="1:16" ht="18.75">
      <c r="C2" s="803" t="s">
        <v>570</v>
      </c>
      <c r="D2" s="803"/>
      <c r="E2" s="803"/>
      <c r="F2" s="803"/>
      <c r="G2" s="803"/>
      <c r="H2" s="803"/>
      <c r="I2" s="803"/>
      <c r="J2" s="803"/>
      <c r="K2" s="507"/>
      <c r="L2" s="507"/>
    </row>
    <row r="3" spans="1:16" ht="14.25" customHeight="1">
      <c r="E3" s="680" t="s">
        <v>454</v>
      </c>
      <c r="F3" s="680"/>
      <c r="G3" s="680"/>
      <c r="H3" s="680"/>
      <c r="I3" s="680"/>
      <c r="J3" s="680"/>
      <c r="K3" s="500"/>
      <c r="L3" s="500"/>
    </row>
    <row r="4" spans="1:16">
      <c r="E4" s="680"/>
      <c r="F4" s="680"/>
      <c r="G4" s="680"/>
      <c r="H4" s="680"/>
      <c r="I4" s="680"/>
      <c r="J4" s="680"/>
      <c r="K4" s="500"/>
      <c r="L4" s="500"/>
    </row>
    <row r="6" spans="1:16">
      <c r="E6" s="699" t="s">
        <v>411</v>
      </c>
      <c r="F6" s="699"/>
      <c r="G6" s="699"/>
      <c r="H6" s="699"/>
      <c r="I6" s="699"/>
      <c r="J6" s="699"/>
    </row>
    <row r="8" spans="1:16" ht="15.75" thickBot="1">
      <c r="A8" s="487"/>
      <c r="B8" s="487"/>
      <c r="C8" s="487"/>
      <c r="D8" s="487"/>
      <c r="E8" s="487"/>
      <c r="F8" s="702" t="s">
        <v>412</v>
      </c>
      <c r="G8" s="702"/>
      <c r="H8" s="790" t="s">
        <v>286</v>
      </c>
      <c r="I8" s="790"/>
      <c r="J8" s="790"/>
      <c r="K8" s="503"/>
      <c r="L8" s="503"/>
    </row>
    <row r="9" spans="1:16" ht="15" customHeight="1" thickTop="1">
      <c r="A9" s="700" t="s">
        <v>571</v>
      </c>
      <c r="B9" s="700"/>
      <c r="C9" s="700"/>
      <c r="D9" s="700"/>
      <c r="E9" s="700"/>
      <c r="F9" s="700"/>
      <c r="G9" s="700"/>
      <c r="H9" s="700"/>
      <c r="I9" s="700"/>
      <c r="J9" s="700"/>
      <c r="K9" s="508"/>
      <c r="L9" s="508"/>
    </row>
    <row r="10" spans="1:16" ht="14.25" customHeight="1">
      <c r="A10" s="701"/>
      <c r="B10" s="701"/>
      <c r="C10" s="701"/>
      <c r="D10" s="701"/>
      <c r="E10" s="701"/>
      <c r="F10" s="701"/>
      <c r="G10" s="701"/>
      <c r="H10" s="701"/>
      <c r="I10" s="701"/>
      <c r="J10" s="701"/>
      <c r="K10" s="509"/>
      <c r="L10" s="509"/>
    </row>
    <row r="11" spans="1:16" ht="14.25" customHeight="1">
      <c r="A11" s="701"/>
      <c r="B11" s="701"/>
      <c r="C11" s="701"/>
      <c r="D11" s="701"/>
      <c r="E11" s="701"/>
      <c r="F11" s="701"/>
      <c r="G11" s="701"/>
      <c r="H11" s="701"/>
      <c r="I11" s="701"/>
      <c r="J11" s="701"/>
      <c r="K11" s="509"/>
      <c r="L11" s="509"/>
    </row>
    <row r="13" spans="1:16">
      <c r="A13" s="486" t="s">
        <v>414</v>
      </c>
      <c r="B13" s="788" t="s">
        <v>647</v>
      </c>
      <c r="C13" s="788"/>
      <c r="D13" s="488"/>
      <c r="L13" s="543" t="s">
        <v>416</v>
      </c>
      <c r="N13" s="488">
        <v>42858</v>
      </c>
      <c r="P13" s="488"/>
    </row>
    <row r="15" spans="1:16">
      <c r="A15" s="490" t="s">
        <v>554</v>
      </c>
      <c r="B15" s="510" t="s">
        <v>348</v>
      </c>
    </row>
    <row r="17" spans="1:16">
      <c r="A17" s="490" t="s">
        <v>351</v>
      </c>
      <c r="B17" s="804" t="s">
        <v>555</v>
      </c>
      <c r="C17" s="706"/>
      <c r="D17" s="706"/>
      <c r="E17" s="706"/>
      <c r="F17" s="706"/>
      <c r="G17" s="706"/>
      <c r="H17" s="706"/>
      <c r="I17" s="706"/>
      <c r="J17" s="706"/>
    </row>
    <row r="18" spans="1:16">
      <c r="B18" s="706"/>
      <c r="C18" s="706"/>
      <c r="D18" s="706"/>
      <c r="E18" s="706"/>
      <c r="F18" s="706"/>
      <c r="G18" s="706"/>
      <c r="H18" s="706"/>
      <c r="I18" s="706"/>
      <c r="J18" s="706"/>
    </row>
    <row r="19" spans="1:16">
      <c r="A19" s="490" t="s">
        <v>423</v>
      </c>
      <c r="B19" s="491" t="s">
        <v>636</v>
      </c>
      <c r="P19" s="491"/>
    </row>
    <row r="20" spans="1:16">
      <c r="A20" s="490" t="s">
        <v>425</v>
      </c>
      <c r="B20" s="491" t="s">
        <v>637</v>
      </c>
      <c r="P20" s="491"/>
    </row>
    <row r="22" spans="1:16">
      <c r="A22" s="486" t="s">
        <v>553</v>
      </c>
    </row>
    <row r="23" spans="1:16" ht="14.25" customHeight="1">
      <c r="A23" s="710" t="s">
        <v>572</v>
      </c>
      <c r="B23" s="710"/>
      <c r="C23" s="710"/>
      <c r="D23" s="710"/>
      <c r="E23" s="710"/>
      <c r="F23" s="710"/>
      <c r="G23" s="710"/>
      <c r="H23" s="710"/>
      <c r="I23" s="710"/>
      <c r="J23" s="710"/>
      <c r="K23" s="486" t="s">
        <v>572</v>
      </c>
    </row>
    <row r="24" spans="1:16" ht="15" customHeight="1">
      <c r="A24" s="710"/>
      <c r="B24" s="710"/>
      <c r="C24" s="710"/>
      <c r="D24" s="710"/>
      <c r="E24" s="710"/>
      <c r="F24" s="710"/>
      <c r="G24" s="710"/>
      <c r="H24" s="710"/>
      <c r="I24" s="710"/>
      <c r="J24" s="710"/>
    </row>
    <row r="25" spans="1:16">
      <c r="A25" s="710"/>
      <c r="B25" s="710"/>
      <c r="C25" s="710"/>
      <c r="D25" s="710"/>
      <c r="E25" s="710"/>
      <c r="F25" s="710"/>
      <c r="G25" s="710"/>
      <c r="H25" s="710"/>
      <c r="I25" s="710"/>
      <c r="J25" s="710"/>
    </row>
    <row r="26" spans="1:16">
      <c r="A26" s="500"/>
      <c r="B26" s="500"/>
      <c r="C26" s="500"/>
      <c r="D26" s="500"/>
      <c r="E26" s="500"/>
      <c r="F26" s="500"/>
      <c r="G26" s="500"/>
      <c r="H26" s="500"/>
      <c r="I26" s="500"/>
      <c r="J26" s="500"/>
    </row>
    <row r="27" spans="1:16">
      <c r="A27" s="511" t="s">
        <v>568</v>
      </c>
      <c r="B27" s="511"/>
      <c r="C27" s="512"/>
      <c r="D27" s="513"/>
      <c r="E27" s="513"/>
      <c r="G27" s="500"/>
      <c r="H27" s="500"/>
      <c r="I27" s="500"/>
      <c r="J27" s="500"/>
    </row>
    <row r="28" spans="1:16">
      <c r="A28" s="514"/>
      <c r="B28" s="513"/>
      <c r="C28" s="513"/>
      <c r="D28" s="513"/>
      <c r="E28" s="513"/>
      <c r="G28" s="500"/>
      <c r="H28" s="500"/>
      <c r="I28" s="500"/>
      <c r="J28" s="500"/>
    </row>
    <row r="29" spans="1:16">
      <c r="A29" s="514" t="s">
        <v>573</v>
      </c>
      <c r="B29" s="513"/>
      <c r="C29" s="802">
        <v>103600000</v>
      </c>
      <c r="D29" s="802"/>
      <c r="E29" s="513" t="s">
        <v>574</v>
      </c>
      <c r="G29" s="500"/>
      <c r="H29" s="500"/>
      <c r="I29" s="500"/>
      <c r="J29" s="500"/>
    </row>
    <row r="30" spans="1:16">
      <c r="A30" s="514"/>
      <c r="B30" s="513"/>
      <c r="C30" s="802"/>
      <c r="D30" s="802"/>
      <c r="E30" s="513"/>
      <c r="G30" s="500"/>
      <c r="H30" s="500"/>
      <c r="I30" s="500"/>
      <c r="J30" s="500"/>
    </row>
    <row r="31" spans="1:16">
      <c r="A31" s="511"/>
      <c r="B31" s="513"/>
      <c r="C31" s="513"/>
      <c r="D31" s="513"/>
      <c r="E31" s="513"/>
      <c r="G31" s="500"/>
      <c r="H31" s="500"/>
      <c r="I31" s="500"/>
      <c r="J31" s="500"/>
    </row>
    <row r="32" spans="1:16">
      <c r="A32" s="155"/>
      <c r="B32" s="500"/>
      <c r="C32" s="500"/>
      <c r="D32" s="515"/>
      <c r="E32" s="515"/>
      <c r="F32" s="500"/>
      <c r="G32" s="500"/>
      <c r="H32" s="500"/>
      <c r="I32" s="500"/>
      <c r="J32" s="500"/>
    </row>
    <row r="33" spans="1:16" ht="14.25" customHeight="1">
      <c r="A33" s="155" t="s">
        <v>578</v>
      </c>
      <c r="B33" s="500"/>
      <c r="C33" s="821">
        <f>C29+C30</f>
        <v>103600000</v>
      </c>
      <c r="D33" s="821"/>
      <c r="E33" s="516" t="s">
        <v>574</v>
      </c>
      <c r="F33" s="500"/>
      <c r="G33" s="500"/>
      <c r="H33" s="500"/>
      <c r="I33" s="500"/>
      <c r="J33" s="500"/>
    </row>
    <row r="34" spans="1:16">
      <c r="A34" s="155"/>
      <c r="B34" s="500"/>
      <c r="C34" s="500"/>
      <c r="D34" s="500"/>
      <c r="E34" s="500"/>
      <c r="F34" s="500"/>
      <c r="G34" s="500"/>
      <c r="H34" s="500"/>
      <c r="I34" s="500"/>
      <c r="J34" s="500"/>
    </row>
    <row r="35" spans="1:16">
      <c r="A35" s="514"/>
      <c r="B35" s="500"/>
      <c r="C35" s="500"/>
      <c r="D35" s="500"/>
      <c r="E35" s="500"/>
      <c r="F35" s="500"/>
      <c r="G35" s="500"/>
      <c r="H35" s="500"/>
      <c r="I35" s="500"/>
      <c r="J35" s="500"/>
    </row>
    <row r="36" spans="1:16">
      <c r="A36" s="155"/>
      <c r="B36" s="500"/>
      <c r="C36" s="500"/>
      <c r="D36" s="500"/>
      <c r="E36" s="500"/>
      <c r="F36" s="500"/>
      <c r="G36" s="500"/>
      <c r="H36" s="500"/>
      <c r="I36" s="500"/>
      <c r="J36" s="500"/>
      <c r="M36" s="486" t="s">
        <v>288</v>
      </c>
      <c r="N36" s="517" t="s">
        <v>287</v>
      </c>
      <c r="P36" s="517" t="s">
        <v>60</v>
      </c>
    </row>
    <row r="37" spans="1:16">
      <c r="A37" s="822" t="s">
        <v>575</v>
      </c>
      <c r="B37" s="823"/>
      <c r="C37" s="823"/>
      <c r="D37" s="823"/>
      <c r="E37" s="823"/>
      <c r="F37" s="823"/>
      <c r="G37" s="823"/>
      <c r="H37" s="823"/>
      <c r="I37" s="823"/>
      <c r="J37" s="823"/>
      <c r="N37" s="517" t="s">
        <v>289</v>
      </c>
      <c r="P37" s="517"/>
    </row>
    <row r="38" spans="1:16">
      <c r="A38" s="823"/>
      <c r="B38" s="823"/>
      <c r="C38" s="823"/>
      <c r="D38" s="823"/>
      <c r="E38" s="823"/>
      <c r="F38" s="823"/>
      <c r="G38" s="823"/>
      <c r="H38" s="823"/>
      <c r="I38" s="823"/>
      <c r="J38" s="823"/>
      <c r="N38" s="517"/>
      <c r="P38" s="517"/>
    </row>
    <row r="39" spans="1:16">
      <c r="A39" s="486" t="s">
        <v>362</v>
      </c>
      <c r="B39" s="500"/>
      <c r="C39" s="518" t="s">
        <v>579</v>
      </c>
      <c r="D39" s="516" t="str">
        <f>'1.Service Contraction'!D35</f>
        <v>CÔNG TY TNHH CHUGAI TECHNOS VIỆT NAM</v>
      </c>
      <c r="E39" s="500"/>
      <c r="F39" s="500"/>
      <c r="G39" s="500"/>
      <c r="H39" s="500"/>
      <c r="I39" s="500"/>
      <c r="J39" s="500"/>
      <c r="N39" s="519"/>
      <c r="P39" s="517"/>
    </row>
    <row r="40" spans="1:16">
      <c r="A40" s="486" t="s">
        <v>363</v>
      </c>
      <c r="B40" s="500"/>
      <c r="C40" s="518" t="s">
        <v>579</v>
      </c>
      <c r="D40" s="820">
        <f>'1.Service Contraction'!D36</f>
        <v>10065702</v>
      </c>
      <c r="E40" s="820"/>
      <c r="F40" s="500" t="s">
        <v>574</v>
      </c>
      <c r="G40" s="500"/>
      <c r="H40" s="500"/>
      <c r="I40" s="500"/>
      <c r="J40" s="500"/>
    </row>
    <row r="41" spans="1:16">
      <c r="A41" s="486" t="s">
        <v>364</v>
      </c>
      <c r="C41" s="518" t="s">
        <v>579</v>
      </c>
      <c r="D41" s="486" t="str">
        <f>'1.Service Contraction'!D37</f>
        <v>Sumitomo Mitsui Banking Corporation － Ho Chi Minh Branch</v>
      </c>
    </row>
    <row r="44" spans="1:16">
      <c r="A44" s="520"/>
      <c r="B44" s="520"/>
      <c r="C44" s="520"/>
      <c r="D44" s="520"/>
      <c r="F44" s="520" t="s">
        <v>577</v>
      </c>
      <c r="G44" s="520"/>
      <c r="H44" s="520"/>
      <c r="I44" s="520"/>
      <c r="J44" s="501"/>
    </row>
    <row r="45" spans="1:16">
      <c r="A45" s="521"/>
      <c r="B45" s="521"/>
      <c r="C45" s="521"/>
      <c r="D45" s="521"/>
      <c r="F45" s="521" t="s">
        <v>576</v>
      </c>
      <c r="G45" s="521"/>
      <c r="H45" s="521"/>
      <c r="I45" s="521"/>
      <c r="J45" s="501"/>
    </row>
    <row r="46" spans="1:16">
      <c r="F46" s="503"/>
      <c r="G46" s="503"/>
      <c r="H46" s="503"/>
      <c r="I46" s="503"/>
    </row>
    <row r="47" spans="1:16">
      <c r="A47" s="510"/>
      <c r="F47" s="711" t="str">
        <f>D39</f>
        <v>CÔNG TY TNHH CHUGAI TECHNOS VIỆT NAM</v>
      </c>
      <c r="G47" s="711"/>
      <c r="H47" s="711"/>
      <c r="I47" s="711"/>
      <c r="J47" s="711"/>
    </row>
    <row r="48" spans="1:16">
      <c r="F48" s="503"/>
      <c r="G48" s="503"/>
      <c r="H48" s="503"/>
      <c r="I48" s="503"/>
    </row>
    <row r="49" spans="1:10">
      <c r="F49" s="503"/>
      <c r="G49" s="503"/>
      <c r="H49" s="503"/>
      <c r="I49" s="503"/>
    </row>
    <row r="50" spans="1:10">
      <c r="F50" s="503"/>
      <c r="G50" s="503"/>
      <c r="H50" s="503"/>
      <c r="I50" s="503"/>
    </row>
    <row r="51" spans="1:10">
      <c r="F51" s="503"/>
      <c r="G51" s="503"/>
      <c r="H51" s="503"/>
      <c r="I51" s="503"/>
    </row>
    <row r="55" spans="1:10">
      <c r="A55" s="520"/>
      <c r="B55" s="520"/>
      <c r="C55" s="520"/>
      <c r="D55" s="520"/>
      <c r="F55" s="805" t="str">
        <f>'1.Service Contraction'!D28</f>
        <v>Ông MASAMI OUE</v>
      </c>
      <c r="G55" s="805"/>
      <c r="H55" s="805"/>
      <c r="I55" s="805"/>
      <c r="J55" s="805"/>
    </row>
  </sheetData>
  <mergeCells count="16">
    <mergeCell ref="D40:E40"/>
    <mergeCell ref="B13:C13"/>
    <mergeCell ref="H8:J8"/>
    <mergeCell ref="F8:G8"/>
    <mergeCell ref="F55:J55"/>
    <mergeCell ref="C29:D29"/>
    <mergeCell ref="C30:D30"/>
    <mergeCell ref="C33:D33"/>
    <mergeCell ref="F47:J47"/>
    <mergeCell ref="B17:J18"/>
    <mergeCell ref="A37:J38"/>
    <mergeCell ref="E3:J4"/>
    <mergeCell ref="E6:J6"/>
    <mergeCell ref="A9:J11"/>
    <mergeCell ref="A23:J25"/>
    <mergeCell ref="C2:J2"/>
  </mergeCells>
  <phoneticPr fontId="4"/>
  <printOptions horizontalCentered="1"/>
  <pageMargins left="0.59055118110236227" right="0.23622047244094491" top="0.35433070866141736" bottom="3.937007874015748E-2" header="0.11811023622047245" footer="0.11811023622047245"/>
  <pageSetup paperSize="9" scale="98"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autoPageBreaks="0" fitToPage="1"/>
  </sheetPr>
  <dimension ref="A1:I49"/>
  <sheetViews>
    <sheetView showGridLines="0" zoomScaleNormal="100" workbookViewId="0">
      <selection activeCell="F35" sqref="F35:I35"/>
    </sheetView>
  </sheetViews>
  <sheetFormatPr defaultColWidth="9" defaultRowHeight="15.75"/>
  <cols>
    <col min="1" max="1" width="1.42578125" style="411" customWidth="1"/>
    <col min="2" max="2" width="10.140625" style="411" customWidth="1"/>
    <col min="3" max="4" width="11.28515625" style="411" customWidth="1"/>
    <col min="5" max="5" width="8.85546875" style="411" customWidth="1"/>
    <col min="6" max="6" width="11.28515625" style="411" customWidth="1"/>
    <col min="7" max="7" width="8.85546875" style="411" customWidth="1"/>
    <col min="8" max="9" width="13.5703125" style="411" customWidth="1"/>
    <col min="10" max="10" width="4.140625" style="411" customWidth="1"/>
    <col min="11" max="16384" width="9" style="411"/>
  </cols>
  <sheetData>
    <row r="1" spans="1:9" ht="2.1" customHeight="1"/>
    <row r="2" spans="1:9" ht="6" customHeight="1"/>
    <row r="3" spans="1:9" ht="29.25" customHeight="1">
      <c r="B3" s="845" t="s">
        <v>580</v>
      </c>
      <c r="C3" s="845"/>
      <c r="D3" s="845"/>
      <c r="E3" s="845"/>
      <c r="F3" s="845"/>
      <c r="G3" s="845"/>
      <c r="H3" s="412"/>
      <c r="I3" s="412" t="s">
        <v>581</v>
      </c>
    </row>
    <row r="4" spans="1:9" ht="12" customHeight="1">
      <c r="B4" s="413"/>
      <c r="C4" s="413"/>
      <c r="D4" s="413"/>
      <c r="E4" s="413"/>
      <c r="F4" s="413"/>
      <c r="G4" s="413"/>
      <c r="H4" s="539" t="s">
        <v>582</v>
      </c>
      <c r="I4" s="572" t="s">
        <v>378</v>
      </c>
    </row>
    <row r="5" spans="1:9" ht="21.75" customHeight="1">
      <c r="A5" s="414"/>
      <c r="B5" s="846" t="s">
        <v>597</v>
      </c>
      <c r="C5" s="846"/>
      <c r="D5" s="846"/>
      <c r="E5" s="846"/>
      <c r="F5" s="846"/>
      <c r="G5" s="413"/>
      <c r="H5" s="413"/>
      <c r="I5" s="413"/>
    </row>
    <row r="6" spans="1:9" ht="20.25" customHeight="1">
      <c r="A6" s="414"/>
      <c r="B6" s="846"/>
      <c r="C6" s="846"/>
      <c r="D6" s="846"/>
      <c r="E6" s="846"/>
      <c r="F6" s="846"/>
      <c r="G6" s="415"/>
      <c r="H6" s="415"/>
      <c r="I6" s="415"/>
    </row>
    <row r="7" spans="1:9" ht="14.1" customHeight="1">
      <c r="F7" s="415"/>
      <c r="G7" s="415"/>
      <c r="H7" s="415"/>
      <c r="I7" s="415"/>
    </row>
    <row r="8" spans="1:9" ht="14.1" customHeight="1">
      <c r="A8" s="416"/>
      <c r="B8" s="847" t="s">
        <v>583</v>
      </c>
      <c r="C8" s="847"/>
      <c r="D8" s="847"/>
      <c r="E8" s="847"/>
      <c r="F8" s="415"/>
      <c r="G8" s="415"/>
      <c r="H8" s="415"/>
      <c r="I8" s="415"/>
    </row>
    <row r="9" spans="1:9" ht="14.1" customHeight="1">
      <c r="B9" s="415"/>
      <c r="C9" s="415"/>
      <c r="D9" s="415"/>
      <c r="E9" s="415"/>
      <c r="F9" s="415"/>
      <c r="G9" s="415"/>
      <c r="H9" s="415"/>
      <c r="I9" s="415"/>
    </row>
    <row r="10" spans="1:9" ht="14.1" customHeight="1">
      <c r="B10" s="415"/>
      <c r="C10" s="415"/>
      <c r="D10" s="415"/>
      <c r="E10" s="415"/>
      <c r="F10" s="415"/>
      <c r="G10" s="549"/>
      <c r="H10" s="415"/>
      <c r="I10" s="415"/>
    </row>
    <row r="11" spans="1:9" ht="14.1" customHeight="1">
      <c r="B11" s="417" t="s">
        <v>584</v>
      </c>
      <c r="C11" s="418"/>
      <c r="D11" s="418"/>
      <c r="E11" s="418"/>
      <c r="F11" s="415"/>
      <c r="G11" s="415"/>
      <c r="H11" s="415"/>
      <c r="I11" s="415"/>
    </row>
    <row r="12" spans="1:9" ht="14.1" customHeight="1">
      <c r="B12" s="848" t="s">
        <v>585</v>
      </c>
      <c r="C12" s="848"/>
      <c r="D12" s="848"/>
      <c r="E12" s="848"/>
      <c r="F12" s="827" t="s">
        <v>587</v>
      </c>
      <c r="G12" s="827"/>
      <c r="H12" s="824" t="str">
        <f>'1.Service Contraction'!E7</f>
        <v>CCTVN - DAV-201704-01</v>
      </c>
      <c r="I12" s="824"/>
    </row>
    <row r="13" spans="1:9" ht="14.1" customHeight="1">
      <c r="B13" s="849" t="s">
        <v>586</v>
      </c>
      <c r="C13" s="849"/>
      <c r="D13" s="849"/>
      <c r="E13" s="849"/>
      <c r="F13" s="827" t="s">
        <v>588</v>
      </c>
      <c r="G13" s="827"/>
      <c r="H13" s="825">
        <f>'4.Handing Over'!N13</f>
        <v>42858</v>
      </c>
      <c r="I13" s="825"/>
    </row>
    <row r="14" spans="1:9" ht="14.1" customHeight="1">
      <c r="B14" s="849"/>
      <c r="C14" s="849"/>
      <c r="D14" s="849"/>
      <c r="E14" s="849"/>
      <c r="F14" s="827" t="s">
        <v>589</v>
      </c>
      <c r="G14" s="827"/>
      <c r="H14" s="824" t="str">
        <f>H12</f>
        <v>CCTVN - DAV-201704-01</v>
      </c>
      <c r="I14" s="824"/>
    </row>
    <row r="15" spans="1:9" ht="14.1" customHeight="1">
      <c r="B15" s="849"/>
      <c r="C15" s="849"/>
      <c r="D15" s="849"/>
      <c r="E15" s="849"/>
      <c r="F15" s="827" t="s">
        <v>590</v>
      </c>
      <c r="G15" s="827"/>
      <c r="H15" s="826" t="str">
        <f>'1.Service Contraction'!P15</f>
        <v>18-Apr-17</v>
      </c>
      <c r="I15" s="826"/>
    </row>
    <row r="16" spans="1:9" ht="14.1" customHeight="1">
      <c r="B16" s="415"/>
      <c r="C16" s="415"/>
      <c r="D16" s="415"/>
      <c r="E16" s="415"/>
      <c r="F16" s="418"/>
      <c r="G16" s="419"/>
      <c r="H16" s="420"/>
    </row>
    <row r="17" spans="2:9" ht="14.1" customHeight="1">
      <c r="B17" s="417"/>
      <c r="C17" s="418"/>
      <c r="D17" s="418"/>
      <c r="E17" s="418"/>
      <c r="F17" s="418"/>
      <c r="G17" s="419"/>
      <c r="H17" s="420"/>
    </row>
    <row r="18" spans="2:9" ht="14.1" customHeight="1">
      <c r="B18" s="420"/>
      <c r="C18" s="418"/>
      <c r="D18" s="418"/>
      <c r="E18" s="418"/>
      <c r="F18" s="549"/>
      <c r="G18" s="421"/>
      <c r="H18" s="420"/>
    </row>
    <row r="19" spans="2:9" ht="14.1" customHeight="1">
      <c r="B19" s="422"/>
      <c r="C19" s="423"/>
      <c r="D19" s="424"/>
      <c r="E19" s="418"/>
      <c r="F19" s="415"/>
      <c r="G19" s="415"/>
      <c r="H19" s="415"/>
      <c r="I19" s="415"/>
    </row>
    <row r="20" spans="2:9" ht="14.1" customHeight="1">
      <c r="B20" s="415"/>
      <c r="C20" s="415"/>
      <c r="D20" s="415"/>
      <c r="E20" s="415"/>
      <c r="F20" s="415"/>
      <c r="G20" s="415"/>
      <c r="H20" s="415"/>
      <c r="I20" s="415"/>
    </row>
    <row r="21" spans="2:9" ht="18" customHeight="1">
      <c r="B21" s="835" t="s">
        <v>591</v>
      </c>
      <c r="C21" s="835"/>
      <c r="D21" s="835"/>
      <c r="E21" s="835"/>
      <c r="F21" s="835"/>
      <c r="G21" s="836"/>
      <c r="H21" s="425" t="s">
        <v>592</v>
      </c>
      <c r="I21" s="425" t="s">
        <v>593</v>
      </c>
    </row>
    <row r="22" spans="2:9" ht="18" customHeight="1">
      <c r="B22" s="837"/>
      <c r="C22" s="837"/>
      <c r="D22" s="837"/>
      <c r="E22" s="837"/>
      <c r="F22" s="837"/>
      <c r="G22" s="838"/>
      <c r="H22" s="425" t="s">
        <v>321</v>
      </c>
      <c r="I22" s="425" t="s">
        <v>322</v>
      </c>
    </row>
    <row r="23" spans="2:9" ht="20.100000000000001" customHeight="1">
      <c r="B23" s="443" t="s">
        <v>594</v>
      </c>
      <c r="C23" s="833" t="s">
        <v>370</v>
      </c>
      <c r="D23" s="833"/>
      <c r="E23" s="833"/>
      <c r="F23" s="833"/>
      <c r="G23" s="834"/>
      <c r="H23" s="445"/>
      <c r="I23" s="446"/>
    </row>
    <row r="24" spans="2:9" ht="20.100000000000001" customHeight="1">
      <c r="B24" s="444"/>
      <c r="C24" s="438" t="str">
        <f>'2.Quotation Service Order'!C26</f>
        <v>Chi phí nhân công</v>
      </c>
      <c r="D24" s="438"/>
      <c r="E24" s="438"/>
      <c r="F24" s="438"/>
      <c r="G24" s="439"/>
      <c r="H24" s="522">
        <f>'2.Quotation Service Order'!G26</f>
        <v>86000000</v>
      </c>
      <c r="I24" s="523">
        <v>1</v>
      </c>
    </row>
    <row r="25" spans="2:9" ht="20.100000000000001" customHeight="1">
      <c r="B25" s="444"/>
      <c r="C25" s="438" t="str">
        <f>'2.Quotation Service Order'!C27</f>
        <v xml:space="preserve">Chi phí </v>
      </c>
      <c r="D25" s="438"/>
      <c r="E25" s="438"/>
      <c r="F25" s="438"/>
      <c r="G25" s="439"/>
      <c r="H25" s="522">
        <f>'2.Quotation Service Order'!G27</f>
        <v>17600000</v>
      </c>
      <c r="I25" s="523">
        <v>1</v>
      </c>
    </row>
    <row r="26" spans="2:9" ht="20.100000000000001" customHeight="1">
      <c r="B26" s="444"/>
      <c r="C26" s="438"/>
      <c r="D26" s="438"/>
      <c r="E26" s="438"/>
      <c r="F26" s="438"/>
      <c r="G26" s="439"/>
      <c r="H26" s="522"/>
      <c r="I26" s="523"/>
    </row>
    <row r="27" spans="2:9" ht="20.100000000000001" customHeight="1">
      <c r="B27" s="444"/>
      <c r="C27" s="440"/>
      <c r="D27" s="441"/>
      <c r="E27" s="441"/>
      <c r="F27" s="441"/>
      <c r="G27" s="442"/>
      <c r="H27" s="445"/>
      <c r="I27" s="447"/>
    </row>
    <row r="28" spans="2:9" ht="20.100000000000001" customHeight="1">
      <c r="B28" s="444"/>
      <c r="C28" s="440"/>
      <c r="D28" s="441"/>
      <c r="E28" s="441"/>
      <c r="F28" s="441"/>
      <c r="G28" s="442"/>
      <c r="H28" s="445"/>
      <c r="I28" s="525" t="str">
        <f t="shared" ref="I28" si="0">IF(H28,H28*B28,"")</f>
        <v/>
      </c>
    </row>
    <row r="29" spans="2:9" ht="20.100000000000001" customHeight="1">
      <c r="B29" s="526"/>
      <c r="C29" s="527"/>
      <c r="D29" s="527"/>
      <c r="E29" s="527"/>
      <c r="F29" s="839" t="s">
        <v>595</v>
      </c>
      <c r="G29" s="840"/>
      <c r="H29" s="524" t="s">
        <v>323</v>
      </c>
      <c r="I29" s="528">
        <f>'2.Quotation Service Order'!G28</f>
        <v>103600000</v>
      </c>
    </row>
    <row r="30" spans="2:9" ht="20.100000000000001" customHeight="1" thickBot="1">
      <c r="B30" s="529"/>
      <c r="C30" s="431"/>
      <c r="D30" s="431"/>
      <c r="E30" s="431"/>
      <c r="F30" s="841" t="s">
        <v>290</v>
      </c>
      <c r="G30" s="842"/>
      <c r="H30" s="530" t="s">
        <v>58</v>
      </c>
      <c r="I30" s="531">
        <v>0</v>
      </c>
    </row>
    <row r="31" spans="2:9" ht="20.100000000000001" customHeight="1" thickBot="1">
      <c r="B31" s="415"/>
      <c r="C31" s="415"/>
      <c r="D31" s="415"/>
      <c r="E31" s="415"/>
      <c r="F31" s="843" t="s">
        <v>500</v>
      </c>
      <c r="G31" s="844"/>
      <c r="H31" s="533" t="s">
        <v>58</v>
      </c>
      <c r="I31" s="532">
        <f>I29+I30</f>
        <v>103600000</v>
      </c>
    </row>
    <row r="32" spans="2:9" ht="20.100000000000001" customHeight="1" thickBot="1">
      <c r="B32" s="415"/>
      <c r="C32" s="426"/>
      <c r="D32" s="426"/>
      <c r="E32" s="426"/>
      <c r="F32" s="830">
        <f>'1.Service Contraction'!B58</f>
        <v>0</v>
      </c>
      <c r="G32" s="831"/>
      <c r="H32" s="831"/>
      <c r="I32" s="832"/>
    </row>
    <row r="33" spans="2:9" ht="20.100000000000001" customHeight="1">
      <c r="B33" s="427"/>
      <c r="C33" s="415"/>
      <c r="D33" s="415"/>
      <c r="E33" s="415"/>
      <c r="F33" s="427"/>
      <c r="G33" s="415"/>
      <c r="H33" s="415"/>
      <c r="I33" s="415"/>
    </row>
    <row r="34" spans="2:9" ht="20.100000000000001" customHeight="1">
      <c r="B34" s="549"/>
      <c r="C34" s="550"/>
      <c r="D34" s="550"/>
      <c r="E34" s="415"/>
      <c r="F34" s="427"/>
      <c r="G34" s="415"/>
      <c r="H34" s="415"/>
      <c r="I34" s="415"/>
    </row>
    <row r="35" spans="2:9" ht="20.100000000000001" customHeight="1">
      <c r="B35" s="428"/>
      <c r="C35" s="415"/>
      <c r="D35" s="415"/>
      <c r="E35" s="415"/>
      <c r="F35" s="828" t="s">
        <v>340</v>
      </c>
      <c r="G35" s="828"/>
      <c r="H35" s="828"/>
      <c r="I35" s="828"/>
    </row>
    <row r="36" spans="2:9" ht="20.100000000000001" customHeight="1">
      <c r="B36" s="428"/>
      <c r="C36" s="415"/>
      <c r="D36" s="415"/>
      <c r="E36" s="415"/>
      <c r="F36" s="428"/>
      <c r="G36" s="415"/>
      <c r="H36" s="415"/>
      <c r="I36" s="429"/>
    </row>
    <row r="37" spans="2:9" ht="20.100000000000001" customHeight="1">
      <c r="B37" s="428"/>
      <c r="C37" s="415"/>
      <c r="D37" s="415"/>
      <c r="E37" s="415"/>
      <c r="F37" s="428"/>
      <c r="G37" s="415"/>
      <c r="H37" s="415"/>
      <c r="I37" s="429"/>
    </row>
    <row r="38" spans="2:9" ht="20.100000000000001" customHeight="1">
      <c r="B38" s="428"/>
      <c r="C38" s="415"/>
      <c r="D38" s="415"/>
      <c r="E38" s="415"/>
      <c r="F38" s="428"/>
      <c r="G38" s="415"/>
      <c r="H38" s="415"/>
      <c r="I38" s="429"/>
    </row>
    <row r="39" spans="2:9" ht="20.100000000000001" customHeight="1">
      <c r="B39" s="428"/>
      <c r="C39" s="415"/>
      <c r="D39" s="415"/>
      <c r="E39" s="415"/>
      <c r="F39" s="430"/>
      <c r="G39" s="431"/>
      <c r="H39" s="431"/>
      <c r="I39" s="432"/>
    </row>
    <row r="40" spans="2:9" ht="20.100000000000001" customHeight="1">
      <c r="B40" s="415"/>
      <c r="C40" s="415"/>
      <c r="D40" s="415"/>
      <c r="E40" s="415" t="s">
        <v>291</v>
      </c>
      <c r="F40" s="829" t="s">
        <v>596</v>
      </c>
      <c r="G40" s="829"/>
      <c r="H40" s="829"/>
      <c r="I40" s="829"/>
    </row>
    <row r="41" spans="2:9" ht="20.100000000000001" customHeight="1">
      <c r="B41" s="434"/>
      <c r="C41" s="429"/>
      <c r="D41" s="429"/>
      <c r="E41" s="429"/>
      <c r="F41" s="429"/>
      <c r="G41" s="429"/>
      <c r="H41" s="429"/>
      <c r="I41" s="433"/>
    </row>
    <row r="42" spans="2:9" ht="20.100000000000001" customHeight="1">
      <c r="B42" s="433"/>
      <c r="C42" s="433"/>
      <c r="D42" s="433"/>
      <c r="E42" s="435"/>
      <c r="F42" s="433"/>
      <c r="G42" s="433"/>
      <c r="H42" s="433"/>
      <c r="I42" s="436"/>
    </row>
    <row r="43" spans="2:9" ht="14.1" customHeight="1"/>
    <row r="44" spans="2:9" ht="12" customHeight="1">
      <c r="B44" s="437"/>
      <c r="C44" s="437"/>
      <c r="D44" s="437"/>
      <c r="E44" s="437"/>
      <c r="F44" s="437"/>
      <c r="G44" s="437"/>
      <c r="H44" s="437"/>
    </row>
    <row r="45" spans="2:9" ht="12" customHeight="1"/>
    <row r="46" spans="2:9" ht="12" customHeight="1"/>
    <row r="47" spans="2:9" ht="12" customHeight="1"/>
    <row r="48" spans="2:9" ht="12" customHeight="1"/>
    <row r="49" ht="30" customHeight="1"/>
  </sheetData>
  <mergeCells count="21">
    <mergeCell ref="B3:G3"/>
    <mergeCell ref="B5:F6"/>
    <mergeCell ref="B8:E8"/>
    <mergeCell ref="B12:E12"/>
    <mergeCell ref="B13:E15"/>
    <mergeCell ref="F35:I35"/>
    <mergeCell ref="F40:I40"/>
    <mergeCell ref="F32:I32"/>
    <mergeCell ref="C23:G23"/>
    <mergeCell ref="B21:G22"/>
    <mergeCell ref="F29:G29"/>
    <mergeCell ref="F30:G30"/>
    <mergeCell ref="F31:G31"/>
    <mergeCell ref="H12:I12"/>
    <mergeCell ref="H13:I13"/>
    <mergeCell ref="H14:I14"/>
    <mergeCell ref="H15:I15"/>
    <mergeCell ref="F12:G12"/>
    <mergeCell ref="F13:G13"/>
    <mergeCell ref="F14:G14"/>
    <mergeCell ref="F15:G15"/>
  </mergeCells>
  <phoneticPr fontId="4"/>
  <printOptions horizontalCentered="1"/>
  <pageMargins left="0.23622047244094491" right="0.23622047244094491" top="0.74803149606299213" bottom="0.74803149606299213" header="0.23622047244094491" footer="0.51181102362204722"/>
  <pageSetup scale="97" orientation="portrait" r:id="rId1"/>
  <headerFooter alignWithMargins="0">
    <oddFooter>&amp;C© Copyright, 2015,Chugai Technos Viet Nam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B1:V41"/>
  <sheetViews>
    <sheetView zoomScaleNormal="100" workbookViewId="0">
      <selection activeCell="P13" sqref="P13"/>
    </sheetView>
  </sheetViews>
  <sheetFormatPr defaultColWidth="9" defaultRowHeight="13.5"/>
  <cols>
    <col min="1" max="1" width="3.5703125" style="252" customWidth="1"/>
    <col min="2" max="2" width="15.42578125" style="252" customWidth="1"/>
    <col min="3" max="3" width="6.42578125" style="253" customWidth="1"/>
    <col min="4" max="4" width="15.5703125" style="254" customWidth="1"/>
    <col min="5" max="7" width="6.85546875" style="252" customWidth="1"/>
    <col min="8" max="9" width="5.5703125" style="252" customWidth="1"/>
    <col min="10" max="11" width="11.28515625" style="252" customWidth="1"/>
    <col min="12" max="12" width="6.85546875" style="252" customWidth="1"/>
    <col min="13" max="13" width="10" style="252" customWidth="1"/>
    <col min="14" max="14" width="7" style="252" customWidth="1"/>
    <col min="15" max="16" width="6.7109375" style="252" customWidth="1"/>
    <col min="17" max="20" width="6.5703125" style="252" customWidth="1"/>
    <col min="21" max="16384" width="9" style="252"/>
  </cols>
  <sheetData>
    <row r="1" spans="2:22" ht="15.75">
      <c r="J1" s="255"/>
    </row>
    <row r="2" spans="2:22" ht="21.75" customHeight="1">
      <c r="B2" s="256" t="s">
        <v>114</v>
      </c>
      <c r="C2" s="850" t="str">
        <f>'1.Service Contraction'!D17</f>
        <v>CÔNG TY TNHH VẬT LIỆU MỚI DENKA VIỆT NAM</v>
      </c>
      <c r="D2" s="850"/>
      <c r="E2" s="850"/>
      <c r="F2" s="850"/>
      <c r="G2" s="850"/>
      <c r="H2" s="257"/>
      <c r="I2" s="253"/>
      <c r="N2" s="851" t="str">
        <f>'1.Service Contraction'!D35</f>
        <v>CÔNG TY TNHH CHUGAI TECHNOS VIỆT NAM</v>
      </c>
      <c r="O2" s="851"/>
      <c r="P2" s="851"/>
      <c r="Q2" s="851"/>
      <c r="R2" s="851"/>
      <c r="S2" s="851"/>
      <c r="T2" s="851"/>
    </row>
    <row r="3" spans="2:22" ht="18.75" customHeight="1">
      <c r="B3" s="258" t="s">
        <v>284</v>
      </c>
      <c r="C3" s="862" t="str">
        <f>'1.Service Contraction'!E47</f>
        <v>Việt Nam</v>
      </c>
      <c r="D3" s="862"/>
      <c r="E3" s="863" t="str">
        <f>'1.Service Contraction'!E46</f>
        <v>CÔNG TY TNHH VẬT LIỆU MỚI DENKA VIỆT NAM</v>
      </c>
      <c r="F3" s="863"/>
      <c r="G3" s="863"/>
    </row>
    <row r="4" spans="2:22" ht="16.5" customHeight="1">
      <c r="B4" s="401"/>
      <c r="C4" s="403"/>
      <c r="P4" s="259"/>
      <c r="Q4" s="260" t="s">
        <v>285</v>
      </c>
      <c r="R4" s="854">
        <v>42616</v>
      </c>
      <c r="S4" s="854"/>
      <c r="T4" s="854"/>
    </row>
    <row r="5" spans="2:22" ht="8.25" customHeight="1" thickBot="1"/>
    <row r="6" spans="2:22" ht="15" customHeight="1">
      <c r="B6" s="867" t="s">
        <v>41</v>
      </c>
      <c r="C6" s="877" t="s">
        <v>108</v>
      </c>
      <c r="D6" s="870" t="s">
        <v>40</v>
      </c>
      <c r="E6" s="880" t="s">
        <v>183</v>
      </c>
      <c r="F6" s="881"/>
      <c r="G6" s="881"/>
      <c r="H6" s="882"/>
      <c r="I6" s="873" t="s">
        <v>39</v>
      </c>
      <c r="J6" s="880" t="s">
        <v>110</v>
      </c>
      <c r="K6" s="881"/>
      <c r="L6" s="881"/>
      <c r="M6" s="881"/>
      <c r="N6" s="881"/>
      <c r="O6" s="858" t="s">
        <v>283</v>
      </c>
      <c r="P6" s="859"/>
      <c r="Q6" s="855" t="s">
        <v>38</v>
      </c>
      <c r="R6" s="856"/>
      <c r="S6" s="856"/>
      <c r="T6" s="857"/>
    </row>
    <row r="7" spans="2:22" ht="15" customHeight="1">
      <c r="B7" s="868"/>
      <c r="C7" s="878"/>
      <c r="D7" s="871"/>
      <c r="E7" s="860" t="s">
        <v>37</v>
      </c>
      <c r="F7" s="860" t="s">
        <v>36</v>
      </c>
      <c r="G7" s="860" t="s">
        <v>109</v>
      </c>
      <c r="H7" s="860" t="s">
        <v>107</v>
      </c>
      <c r="I7" s="874"/>
      <c r="J7" s="883" t="s">
        <v>111</v>
      </c>
      <c r="K7" s="885" t="s">
        <v>112</v>
      </c>
      <c r="L7" s="876" t="s">
        <v>35</v>
      </c>
      <c r="M7" s="887" t="s">
        <v>176</v>
      </c>
      <c r="N7" s="852" t="s">
        <v>113</v>
      </c>
      <c r="O7" s="261" t="s">
        <v>274</v>
      </c>
      <c r="P7" s="262" t="s">
        <v>32</v>
      </c>
      <c r="Q7" s="864" t="s">
        <v>34</v>
      </c>
      <c r="R7" s="865"/>
      <c r="S7" s="865"/>
      <c r="T7" s="866"/>
      <c r="V7" s="253"/>
    </row>
    <row r="8" spans="2:22" ht="15" customHeight="1">
      <c r="B8" s="869"/>
      <c r="C8" s="879"/>
      <c r="D8" s="872"/>
      <c r="E8" s="861"/>
      <c r="F8" s="861"/>
      <c r="G8" s="861"/>
      <c r="H8" s="861"/>
      <c r="I8" s="875"/>
      <c r="J8" s="884"/>
      <c r="K8" s="886"/>
      <c r="L8" s="876"/>
      <c r="M8" s="888"/>
      <c r="N8" s="853"/>
      <c r="O8" s="263">
        <v>18</v>
      </c>
      <c r="P8" s="264"/>
      <c r="Q8" s="262" t="s">
        <v>33</v>
      </c>
      <c r="R8" s="262" t="s">
        <v>292</v>
      </c>
      <c r="S8" s="262" t="s">
        <v>33</v>
      </c>
      <c r="T8" s="265" t="s">
        <v>32</v>
      </c>
      <c r="V8" s="253"/>
    </row>
    <row r="9" spans="2:22" ht="15" customHeight="1">
      <c r="B9" s="266">
        <v>42776</v>
      </c>
      <c r="C9" s="267" t="str">
        <f t="shared" ref="C9:C12" si="0">IF(COUNT(B9)=0,"",TEXT(B9,"ddd"))</f>
        <v>Fri</v>
      </c>
      <c r="D9" s="270" t="s">
        <v>302</v>
      </c>
      <c r="E9" s="271">
        <v>0.33333333333333331</v>
      </c>
      <c r="F9" s="271">
        <v>0.70833333333333337</v>
      </c>
      <c r="G9" s="271">
        <v>4.1666666666666664E-2</v>
      </c>
      <c r="H9" s="272">
        <f t="shared" ref="H9:H12" si="1">IF(COUNT(E9:F9)=0,"",(DAY(F9-E9-G9))*24+HOUR(F9-E9-G9)+(MINUTE(F9-E9-G9)/60))</f>
        <v>8</v>
      </c>
      <c r="I9" s="273">
        <v>1</v>
      </c>
      <c r="J9" s="406" t="s">
        <v>308</v>
      </c>
      <c r="K9" s="406" t="s">
        <v>308</v>
      </c>
      <c r="L9" s="275" t="s">
        <v>309</v>
      </c>
      <c r="M9" s="268"/>
      <c r="N9" s="276"/>
      <c r="O9" s="277"/>
      <c r="P9" s="278"/>
      <c r="Q9" s="273"/>
      <c r="R9" s="279"/>
      <c r="S9" s="273"/>
      <c r="T9" s="280"/>
      <c r="V9" s="253"/>
    </row>
    <row r="10" spans="2:22" ht="15" customHeight="1">
      <c r="B10" s="301">
        <v>42777</v>
      </c>
      <c r="C10" s="267" t="str">
        <f t="shared" si="0"/>
        <v>Sat</v>
      </c>
      <c r="D10" s="270" t="s">
        <v>303</v>
      </c>
      <c r="E10" s="271">
        <v>0.33333333333333331</v>
      </c>
      <c r="F10" s="271">
        <v>0.70833333333333337</v>
      </c>
      <c r="G10" s="271">
        <v>4.1666666666666664E-2</v>
      </c>
      <c r="H10" s="408">
        <f t="shared" si="1"/>
        <v>8</v>
      </c>
      <c r="I10" s="273">
        <v>1</v>
      </c>
      <c r="J10" s="274"/>
      <c r="K10" s="274"/>
      <c r="L10" s="275"/>
      <c r="M10" s="268"/>
      <c r="N10" s="276"/>
      <c r="O10" s="277"/>
      <c r="P10" s="278"/>
      <c r="Q10" s="273"/>
      <c r="R10" s="279"/>
      <c r="S10" s="273"/>
      <c r="T10" s="288"/>
    </row>
    <row r="11" spans="2:22" ht="15" customHeight="1">
      <c r="B11" s="301">
        <v>42778</v>
      </c>
      <c r="C11" s="267" t="str">
        <f t="shared" si="0"/>
        <v>Sun</v>
      </c>
      <c r="D11" s="270"/>
      <c r="E11" s="271"/>
      <c r="F11" s="271"/>
      <c r="G11" s="271"/>
      <c r="H11" s="272" t="str">
        <f t="shared" si="1"/>
        <v/>
      </c>
      <c r="I11" s="273"/>
      <c r="J11" s="274"/>
      <c r="K11" s="274"/>
      <c r="L11" s="275"/>
      <c r="M11" s="268"/>
      <c r="N11" s="276"/>
      <c r="O11" s="277"/>
      <c r="P11" s="278"/>
      <c r="Q11" s="273"/>
      <c r="R11" s="279"/>
      <c r="S11" s="273"/>
      <c r="T11" s="289"/>
    </row>
    <row r="12" spans="2:22" ht="15" customHeight="1">
      <c r="B12" s="301">
        <v>42779</v>
      </c>
      <c r="C12" s="402" t="str">
        <f t="shared" si="0"/>
        <v>Mon</v>
      </c>
      <c r="D12" s="300" t="s">
        <v>304</v>
      </c>
      <c r="E12" s="291">
        <v>0.25</v>
      </c>
      <c r="F12" s="291">
        <v>0.625</v>
      </c>
      <c r="G12" s="291">
        <v>4.1666666666666664E-2</v>
      </c>
      <c r="H12" s="407">
        <f t="shared" si="1"/>
        <v>8</v>
      </c>
      <c r="I12" s="292">
        <v>1</v>
      </c>
      <c r="J12" s="293" t="s">
        <v>308</v>
      </c>
      <c r="K12" s="293" t="s">
        <v>310</v>
      </c>
      <c r="L12" s="275" t="s">
        <v>293</v>
      </c>
      <c r="M12" s="268"/>
      <c r="N12" s="295"/>
      <c r="O12" s="296"/>
      <c r="P12" s="297">
        <v>2</v>
      </c>
      <c r="Q12" s="292"/>
      <c r="R12" s="298"/>
      <c r="S12" s="292"/>
      <c r="T12" s="299"/>
    </row>
    <row r="13" spans="2:22" ht="15" customHeight="1">
      <c r="B13" s="269"/>
      <c r="C13" s="267" t="str">
        <f t="shared" ref="C13:C32" si="2">IF(COUNT(B13)=0,"",TEXT(B13,"ddd"))</f>
        <v/>
      </c>
      <c r="D13" s="270" t="s">
        <v>305</v>
      </c>
      <c r="E13" s="271">
        <v>0.625</v>
      </c>
      <c r="F13" s="271">
        <v>0.70833333333333337</v>
      </c>
      <c r="G13" s="271"/>
      <c r="H13" s="409">
        <f>IF(COUNT(E13:F13)=0,"",(DAY(F13-E13-G13))*24+HOUR(F13-E13-G13)+(MINUTE(F13-E13-G13)/60))</f>
        <v>2</v>
      </c>
      <c r="I13" s="273">
        <v>1</v>
      </c>
      <c r="J13" s="274" t="s">
        <v>310</v>
      </c>
      <c r="K13" s="274" t="s">
        <v>310</v>
      </c>
      <c r="L13" s="275"/>
      <c r="M13" s="268"/>
      <c r="N13" s="276"/>
      <c r="O13" s="277">
        <v>1</v>
      </c>
      <c r="P13" s="278"/>
      <c r="Q13" s="393"/>
      <c r="R13" s="279"/>
      <c r="S13" s="273"/>
      <c r="T13" s="288"/>
    </row>
    <row r="14" spans="2:22" s="287" customFormat="1" ht="15" customHeight="1">
      <c r="B14" s="269"/>
      <c r="C14" s="267" t="str">
        <f t="shared" si="2"/>
        <v/>
      </c>
      <c r="D14" s="270" t="s">
        <v>306</v>
      </c>
      <c r="E14" s="271">
        <v>0.70833333333333337</v>
      </c>
      <c r="F14" s="271">
        <v>0.77083333333333337</v>
      </c>
      <c r="G14" s="271"/>
      <c r="H14" s="272"/>
      <c r="I14" s="273">
        <v>1</v>
      </c>
      <c r="J14" s="274" t="s">
        <v>310</v>
      </c>
      <c r="K14" s="274" t="s">
        <v>310</v>
      </c>
      <c r="L14" s="275"/>
      <c r="M14" s="268"/>
      <c r="N14" s="276"/>
      <c r="O14" s="277"/>
      <c r="P14" s="397"/>
      <c r="Q14" s="393"/>
      <c r="R14" s="279"/>
      <c r="S14" s="273"/>
      <c r="T14" s="280"/>
    </row>
    <row r="15" spans="2:22" s="287" customFormat="1" ht="15" customHeight="1">
      <c r="B15" s="269">
        <v>42780</v>
      </c>
      <c r="C15" s="267" t="str">
        <f t="shared" si="2"/>
        <v>Tue</v>
      </c>
      <c r="D15" s="270" t="s">
        <v>306</v>
      </c>
      <c r="E15" s="271">
        <v>0.27083333333333331</v>
      </c>
      <c r="F15" s="271">
        <v>0.33333333333333331</v>
      </c>
      <c r="G15" s="271"/>
      <c r="H15" s="272"/>
      <c r="I15" s="273">
        <v>1</v>
      </c>
      <c r="J15" s="274" t="s">
        <v>310</v>
      </c>
      <c r="K15" s="406" t="s">
        <v>308</v>
      </c>
      <c r="L15" s="275" t="s">
        <v>293</v>
      </c>
      <c r="M15" s="268"/>
      <c r="N15" s="276"/>
      <c r="O15" s="277"/>
      <c r="P15" s="397"/>
      <c r="Q15" s="279"/>
      <c r="R15" s="279"/>
      <c r="S15" s="273"/>
      <c r="T15" s="280"/>
    </row>
    <row r="16" spans="2:22" ht="15" customHeight="1">
      <c r="B16" s="269"/>
      <c r="C16" s="267" t="str">
        <f t="shared" si="2"/>
        <v/>
      </c>
      <c r="D16" s="270" t="s">
        <v>307</v>
      </c>
      <c r="E16" s="271">
        <v>0.33333333333333331</v>
      </c>
      <c r="F16" s="271">
        <v>0.66666666666666663</v>
      </c>
      <c r="G16" s="271">
        <v>4.1666666666666664E-2</v>
      </c>
      <c r="H16" s="409">
        <f t="shared" ref="H16" si="3">IF(COUNT(E16:F16)=0,"",(DAY(F16-E16-G16))*24+HOUR(F16-E16-G16)+(MINUTE(F16-E16-G16)/60))</f>
        <v>7</v>
      </c>
      <c r="I16" s="273">
        <v>1</v>
      </c>
      <c r="J16" s="274"/>
      <c r="K16" s="274"/>
      <c r="L16" s="275"/>
      <c r="M16" s="268"/>
      <c r="N16" s="276"/>
      <c r="O16" s="277">
        <v>1</v>
      </c>
      <c r="P16" s="397"/>
      <c r="Q16" s="279"/>
      <c r="R16" s="279"/>
      <c r="S16" s="273"/>
      <c r="T16" s="280"/>
    </row>
    <row r="17" spans="2:20" ht="15" customHeight="1">
      <c r="B17" s="269"/>
      <c r="C17" s="267" t="str">
        <f t="shared" si="2"/>
        <v/>
      </c>
      <c r="D17" s="270" t="s">
        <v>306</v>
      </c>
      <c r="E17" s="271">
        <v>0.66666666666666663</v>
      </c>
      <c r="F17" s="271">
        <v>1</v>
      </c>
      <c r="G17" s="271"/>
      <c r="H17" s="395">
        <f t="shared" ref="H17:H26" si="4">IF(COUNT(E17:F17)=0,"",(DAY(F17-E17-G17))*24+HOUR(F17-E17-G17)+(MINUTE(F17-E17-G17)/60))</f>
        <v>8</v>
      </c>
      <c r="I17" s="273">
        <v>1</v>
      </c>
      <c r="J17" s="274"/>
      <c r="K17" s="274"/>
      <c r="L17" s="275"/>
      <c r="M17" s="268"/>
      <c r="N17" s="276"/>
      <c r="O17" s="277"/>
      <c r="P17" s="397"/>
      <c r="Q17" s="279"/>
      <c r="R17" s="279"/>
      <c r="S17" s="273"/>
      <c r="T17" s="280"/>
    </row>
    <row r="18" spans="2:20" ht="15" customHeight="1">
      <c r="B18" s="269">
        <v>42781</v>
      </c>
      <c r="C18" s="267" t="str">
        <f t="shared" si="2"/>
        <v>Wed</v>
      </c>
      <c r="D18" s="270" t="s">
        <v>313</v>
      </c>
      <c r="E18" s="271">
        <v>0.33333333333333331</v>
      </c>
      <c r="F18" s="271">
        <v>0.70833333333333337</v>
      </c>
      <c r="G18" s="271">
        <v>4.1666666666666664E-2</v>
      </c>
      <c r="H18" s="408">
        <f t="shared" si="4"/>
        <v>8</v>
      </c>
      <c r="I18" s="281">
        <v>1</v>
      </c>
      <c r="J18" s="282"/>
      <c r="K18" s="274"/>
      <c r="L18" s="275"/>
      <c r="M18" s="268"/>
      <c r="N18" s="283"/>
      <c r="O18" s="284"/>
      <c r="P18" s="398"/>
      <c r="Q18" s="285"/>
      <c r="R18" s="285"/>
      <c r="S18" s="281"/>
      <c r="T18" s="286"/>
    </row>
    <row r="19" spans="2:20" ht="15" customHeight="1">
      <c r="B19" s="269"/>
      <c r="C19" s="267" t="str">
        <f t="shared" si="2"/>
        <v/>
      </c>
      <c r="D19" s="270" t="s">
        <v>312</v>
      </c>
      <c r="E19" s="271">
        <v>0.33333333333333331</v>
      </c>
      <c r="F19" s="271">
        <v>0.70833333333333337</v>
      </c>
      <c r="G19" s="271">
        <v>4.1666666666666664E-2</v>
      </c>
      <c r="H19" s="272">
        <f t="shared" si="4"/>
        <v>8</v>
      </c>
      <c r="I19" s="281">
        <v>1</v>
      </c>
      <c r="J19" s="282"/>
      <c r="K19" s="274"/>
      <c r="L19" s="275"/>
      <c r="M19" s="268"/>
      <c r="N19" s="283"/>
      <c r="O19" s="284"/>
      <c r="P19" s="398"/>
      <c r="Q19" s="394"/>
      <c r="R19" s="285"/>
      <c r="S19" s="281"/>
      <c r="T19" s="286"/>
    </row>
    <row r="20" spans="2:20" ht="15" customHeight="1">
      <c r="B20" s="269"/>
      <c r="C20" s="267" t="str">
        <f t="shared" si="2"/>
        <v/>
      </c>
      <c r="D20" s="270" t="s">
        <v>311</v>
      </c>
      <c r="E20" s="271">
        <v>0.33333333333333331</v>
      </c>
      <c r="F20" s="271">
        <v>0.625</v>
      </c>
      <c r="G20" s="271">
        <v>4.1666666666666664E-2</v>
      </c>
      <c r="H20" s="272">
        <f t="shared" si="4"/>
        <v>6</v>
      </c>
      <c r="I20" s="281">
        <v>1</v>
      </c>
      <c r="J20" s="282"/>
      <c r="K20" s="274"/>
      <c r="L20" s="275"/>
      <c r="M20" s="268"/>
      <c r="N20" s="276"/>
      <c r="O20" s="277"/>
      <c r="P20" s="397"/>
      <c r="Q20" s="393"/>
      <c r="R20" s="279"/>
      <c r="S20" s="273"/>
      <c r="T20" s="280"/>
    </row>
    <row r="21" spans="2:20" ht="15" customHeight="1">
      <c r="B21" s="269"/>
      <c r="C21" s="267" t="str">
        <f t="shared" si="2"/>
        <v/>
      </c>
      <c r="D21" s="270"/>
      <c r="E21" s="271"/>
      <c r="F21" s="271"/>
      <c r="G21" s="271"/>
      <c r="H21" s="272" t="str">
        <f t="shared" si="4"/>
        <v/>
      </c>
      <c r="I21" s="273"/>
      <c r="J21" s="274"/>
      <c r="K21" s="274"/>
      <c r="L21" s="275"/>
      <c r="M21" s="268"/>
      <c r="N21" s="276"/>
      <c r="O21" s="277"/>
      <c r="P21" s="397"/>
      <c r="Q21" s="273"/>
      <c r="R21" s="279"/>
      <c r="S21" s="273"/>
      <c r="T21" s="280"/>
    </row>
    <row r="22" spans="2:20" ht="15" customHeight="1">
      <c r="B22" s="269"/>
      <c r="C22" s="267" t="str">
        <f t="shared" si="2"/>
        <v/>
      </c>
      <c r="D22" s="270"/>
      <c r="E22" s="271"/>
      <c r="F22" s="271"/>
      <c r="G22" s="271"/>
      <c r="H22" s="272" t="str">
        <f t="shared" si="4"/>
        <v/>
      </c>
      <c r="I22" s="273"/>
      <c r="J22" s="274"/>
      <c r="K22" s="274"/>
      <c r="L22" s="275"/>
      <c r="M22" s="268"/>
      <c r="N22" s="276"/>
      <c r="O22" s="277"/>
      <c r="P22" s="397"/>
      <c r="Q22" s="273"/>
      <c r="R22" s="279"/>
      <c r="S22" s="273"/>
      <c r="T22" s="280"/>
    </row>
    <row r="23" spans="2:20" ht="15" customHeight="1">
      <c r="B23" s="269"/>
      <c r="C23" s="267" t="str">
        <f t="shared" si="2"/>
        <v/>
      </c>
      <c r="D23" s="270"/>
      <c r="E23" s="271"/>
      <c r="F23" s="271"/>
      <c r="G23" s="271"/>
      <c r="H23" s="272" t="str">
        <f t="shared" si="4"/>
        <v/>
      </c>
      <c r="I23" s="273"/>
      <c r="J23" s="274"/>
      <c r="K23" s="274"/>
      <c r="L23" s="275"/>
      <c r="M23" s="268"/>
      <c r="N23" s="276"/>
      <c r="O23" s="277"/>
      <c r="P23" s="397"/>
      <c r="Q23" s="273"/>
      <c r="R23" s="279"/>
      <c r="S23" s="273"/>
      <c r="T23" s="280"/>
    </row>
    <row r="24" spans="2:20" ht="15" customHeight="1">
      <c r="B24" s="269"/>
      <c r="C24" s="267" t="str">
        <f t="shared" si="2"/>
        <v/>
      </c>
      <c r="D24" s="270"/>
      <c r="E24" s="271"/>
      <c r="F24" s="271"/>
      <c r="G24" s="271"/>
      <c r="H24" s="272" t="str">
        <f t="shared" si="4"/>
        <v/>
      </c>
      <c r="I24" s="273"/>
      <c r="J24" s="274"/>
      <c r="K24" s="274"/>
      <c r="L24" s="275"/>
      <c r="M24" s="268"/>
      <c r="N24" s="276"/>
      <c r="O24" s="277"/>
      <c r="P24" s="397"/>
      <c r="Q24" s="273"/>
      <c r="R24" s="279"/>
      <c r="S24" s="273"/>
      <c r="T24" s="288"/>
    </row>
    <row r="25" spans="2:20" ht="15" customHeight="1">
      <c r="B25" s="269"/>
      <c r="C25" s="267" t="str">
        <f t="shared" si="2"/>
        <v/>
      </c>
      <c r="D25" s="270"/>
      <c r="E25" s="271"/>
      <c r="F25" s="271"/>
      <c r="G25" s="271"/>
      <c r="H25" s="272" t="str">
        <f t="shared" si="4"/>
        <v/>
      </c>
      <c r="I25" s="273"/>
      <c r="J25" s="274"/>
      <c r="K25" s="274"/>
      <c r="L25" s="275"/>
      <c r="M25" s="268"/>
      <c r="N25" s="276"/>
      <c r="O25" s="277"/>
      <c r="P25" s="397"/>
      <c r="Q25" s="273"/>
      <c r="R25" s="279"/>
      <c r="S25" s="273"/>
      <c r="T25" s="289"/>
    </row>
    <row r="26" spans="2:20" ht="15" customHeight="1">
      <c r="B26" s="269"/>
      <c r="C26" s="267" t="str">
        <f t="shared" si="2"/>
        <v/>
      </c>
      <c r="D26" s="270"/>
      <c r="E26" s="271"/>
      <c r="F26" s="271"/>
      <c r="G26" s="271"/>
      <c r="H26" s="272" t="str">
        <f t="shared" si="4"/>
        <v/>
      </c>
      <c r="I26" s="273"/>
      <c r="J26" s="274"/>
      <c r="K26" s="274"/>
      <c r="L26" s="290"/>
      <c r="M26" s="268"/>
      <c r="N26" s="276"/>
      <c r="O26" s="277"/>
      <c r="P26" s="397"/>
      <c r="Q26" s="273"/>
      <c r="R26" s="279"/>
      <c r="S26" s="273"/>
      <c r="T26" s="289"/>
    </row>
    <row r="27" spans="2:20" ht="15" customHeight="1">
      <c r="B27" s="269"/>
      <c r="C27" s="267" t="str">
        <f t="shared" si="2"/>
        <v/>
      </c>
      <c r="D27" s="270"/>
      <c r="E27" s="271"/>
      <c r="F27" s="271"/>
      <c r="G27" s="271"/>
      <c r="H27" s="272"/>
      <c r="I27" s="273"/>
      <c r="J27" s="274"/>
      <c r="K27" s="274"/>
      <c r="L27" s="290"/>
      <c r="M27" s="268"/>
      <c r="N27" s="276"/>
      <c r="O27" s="277"/>
      <c r="P27" s="397"/>
      <c r="Q27" s="273"/>
      <c r="R27" s="279"/>
      <c r="S27" s="273"/>
      <c r="T27" s="289"/>
    </row>
    <row r="28" spans="2:20" ht="15" customHeight="1">
      <c r="B28" s="269"/>
      <c r="C28" s="267" t="str">
        <f t="shared" si="2"/>
        <v/>
      </c>
      <c r="D28" s="270"/>
      <c r="E28" s="271"/>
      <c r="F28" s="271"/>
      <c r="G28" s="271"/>
      <c r="H28" s="272"/>
      <c r="I28" s="273"/>
      <c r="J28" s="274"/>
      <c r="K28" s="274"/>
      <c r="L28" s="290"/>
      <c r="M28" s="268"/>
      <c r="N28" s="276"/>
      <c r="O28" s="277"/>
      <c r="P28" s="397"/>
      <c r="Q28" s="273"/>
      <c r="R28" s="279"/>
      <c r="S28" s="273"/>
      <c r="T28" s="289"/>
    </row>
    <row r="29" spans="2:20" ht="15" customHeight="1">
      <c r="B29" s="269"/>
      <c r="C29" s="267" t="str">
        <f t="shared" si="2"/>
        <v/>
      </c>
      <c r="D29" s="270"/>
      <c r="E29" s="271"/>
      <c r="F29" s="271"/>
      <c r="G29" s="271"/>
      <c r="H29" s="272" t="str">
        <f t="shared" ref="H29:H32" si="5">IF(COUNT(E29:F29)=0,"",(DAY(F29-E29-G29))*24+HOUR(F29-E29-G29)+(MINUTE(F29-E29-G29)/60))</f>
        <v/>
      </c>
      <c r="I29" s="292"/>
      <c r="J29" s="293"/>
      <c r="K29" s="293"/>
      <c r="L29" s="294"/>
      <c r="M29" s="268"/>
      <c r="N29" s="295"/>
      <c r="O29" s="296"/>
      <c r="P29" s="396"/>
      <c r="Q29" s="292"/>
      <c r="R29" s="298"/>
      <c r="S29" s="292"/>
      <c r="T29" s="299"/>
    </row>
    <row r="30" spans="2:20" ht="15" customHeight="1">
      <c r="B30" s="269"/>
      <c r="C30" s="267" t="str">
        <f t="shared" si="2"/>
        <v/>
      </c>
      <c r="D30" s="270"/>
      <c r="E30" s="271"/>
      <c r="F30" s="271"/>
      <c r="G30" s="271"/>
      <c r="H30" s="272" t="str">
        <f t="shared" si="5"/>
        <v/>
      </c>
      <c r="I30" s="292"/>
      <c r="J30" s="293"/>
      <c r="K30" s="293"/>
      <c r="L30" s="294"/>
      <c r="M30" s="268"/>
      <c r="N30" s="295"/>
      <c r="O30" s="296"/>
      <c r="P30" s="396"/>
      <c r="Q30" s="292"/>
      <c r="R30" s="298"/>
      <c r="S30" s="292"/>
      <c r="T30" s="299"/>
    </row>
    <row r="31" spans="2:20" ht="15" customHeight="1">
      <c r="B31" s="269"/>
      <c r="C31" s="267" t="str">
        <f t="shared" si="2"/>
        <v/>
      </c>
      <c r="D31" s="270"/>
      <c r="E31" s="271"/>
      <c r="F31" s="291"/>
      <c r="G31" s="271"/>
      <c r="H31" s="272" t="str">
        <f t="shared" si="5"/>
        <v/>
      </c>
      <c r="I31" s="292"/>
      <c r="J31" s="293"/>
      <c r="K31" s="293"/>
      <c r="L31" s="294"/>
      <c r="M31" s="268"/>
      <c r="N31" s="295"/>
      <c r="O31" s="296"/>
      <c r="P31" s="396"/>
      <c r="Q31" s="292"/>
      <c r="R31" s="292"/>
      <c r="S31" s="292"/>
      <c r="T31" s="299"/>
    </row>
    <row r="32" spans="2:20" ht="15" customHeight="1">
      <c r="B32" s="269"/>
      <c r="C32" s="267" t="str">
        <f t="shared" si="2"/>
        <v/>
      </c>
      <c r="D32" s="270"/>
      <c r="E32" s="271"/>
      <c r="F32" s="271"/>
      <c r="G32" s="271"/>
      <c r="H32" s="272" t="str">
        <f t="shared" si="5"/>
        <v/>
      </c>
      <c r="I32" s="292"/>
      <c r="J32" s="293"/>
      <c r="K32" s="293"/>
      <c r="L32" s="294"/>
      <c r="M32" s="268"/>
      <c r="N32" s="295"/>
      <c r="O32" s="296"/>
      <c r="P32" s="396"/>
      <c r="Q32" s="292"/>
      <c r="R32" s="292"/>
      <c r="S32" s="292"/>
      <c r="T32" s="299"/>
    </row>
    <row r="33" spans="2:20" ht="15" customHeight="1">
      <c r="B33" s="269"/>
      <c r="C33" s="267" t="str">
        <f t="shared" ref="C33:C39" si="6">IF(COUNT(B33)=0,"",TEXT(B33,"ddd"))</f>
        <v/>
      </c>
      <c r="D33" s="270"/>
      <c r="E33" s="271"/>
      <c r="F33" s="271"/>
      <c r="G33" s="271"/>
      <c r="H33" s="272" t="str">
        <f t="shared" ref="H33:H39" si="7">IF(COUNT(E33:F33)=0,"",(DAY(F33-E33-G33))*24+HOUR(F33-E33-G33)+(MINUTE(F33-E33-G33)/60))</f>
        <v/>
      </c>
      <c r="I33" s="292"/>
      <c r="J33" s="293"/>
      <c r="K33" s="293"/>
      <c r="L33" s="294"/>
      <c r="M33" s="268"/>
      <c r="N33" s="295"/>
      <c r="O33" s="296"/>
      <c r="P33" s="396"/>
      <c r="Q33" s="292"/>
      <c r="R33" s="292"/>
      <c r="S33" s="292"/>
      <c r="T33" s="299"/>
    </row>
    <row r="34" spans="2:20" ht="15" customHeight="1">
      <c r="B34" s="269"/>
      <c r="C34" s="267" t="str">
        <f t="shared" si="6"/>
        <v/>
      </c>
      <c r="D34" s="270"/>
      <c r="E34" s="291"/>
      <c r="F34" s="291"/>
      <c r="G34" s="271"/>
      <c r="H34" s="272" t="str">
        <f t="shared" si="7"/>
        <v/>
      </c>
      <c r="I34" s="292"/>
      <c r="J34" s="293"/>
      <c r="K34" s="293"/>
      <c r="L34" s="294"/>
      <c r="M34" s="268"/>
      <c r="N34" s="295"/>
      <c r="O34" s="296"/>
      <c r="P34" s="396"/>
      <c r="Q34" s="292"/>
      <c r="R34" s="292"/>
      <c r="S34" s="292"/>
      <c r="T34" s="299"/>
    </row>
    <row r="35" spans="2:20" ht="15" customHeight="1">
      <c r="B35" s="269"/>
      <c r="C35" s="267" t="str">
        <f t="shared" si="6"/>
        <v/>
      </c>
      <c r="D35" s="270"/>
      <c r="E35" s="291"/>
      <c r="F35" s="291"/>
      <c r="G35" s="271"/>
      <c r="H35" s="272" t="str">
        <f t="shared" si="7"/>
        <v/>
      </c>
      <c r="I35" s="292"/>
      <c r="J35" s="293"/>
      <c r="K35" s="293"/>
      <c r="L35" s="294"/>
      <c r="M35" s="268"/>
      <c r="N35" s="295"/>
      <c r="O35" s="296"/>
      <c r="P35" s="396"/>
      <c r="Q35" s="292"/>
      <c r="R35" s="292"/>
      <c r="S35" s="292"/>
      <c r="T35" s="299"/>
    </row>
    <row r="36" spans="2:20" s="287" customFormat="1" ht="15" customHeight="1">
      <c r="B36" s="269"/>
      <c r="C36" s="267" t="str">
        <f t="shared" si="6"/>
        <v/>
      </c>
      <c r="D36" s="270"/>
      <c r="E36" s="271"/>
      <c r="F36" s="271"/>
      <c r="G36" s="271"/>
      <c r="H36" s="272" t="str">
        <f t="shared" si="7"/>
        <v/>
      </c>
      <c r="I36" s="292"/>
      <c r="J36" s="293"/>
      <c r="K36" s="293"/>
      <c r="L36" s="294"/>
      <c r="M36" s="268"/>
      <c r="N36" s="295"/>
      <c r="O36" s="296"/>
      <c r="P36" s="396"/>
      <c r="Q36" s="292"/>
      <c r="R36" s="292"/>
      <c r="S36" s="292"/>
      <c r="T36" s="299"/>
    </row>
    <row r="37" spans="2:20" ht="17.100000000000001" customHeight="1">
      <c r="B37" s="269"/>
      <c r="C37" s="267" t="str">
        <f t="shared" si="6"/>
        <v/>
      </c>
      <c r="D37" s="270"/>
      <c r="E37" s="271"/>
      <c r="F37" s="271"/>
      <c r="G37" s="271"/>
      <c r="H37" s="272" t="str">
        <f t="shared" si="7"/>
        <v/>
      </c>
      <c r="I37" s="292"/>
      <c r="J37" s="293"/>
      <c r="K37" s="293"/>
      <c r="L37" s="294"/>
      <c r="M37" s="268"/>
      <c r="N37" s="295"/>
      <c r="O37" s="296"/>
      <c r="P37" s="396"/>
      <c r="Q37" s="292"/>
      <c r="R37" s="292"/>
      <c r="S37" s="292"/>
      <c r="T37" s="299"/>
    </row>
    <row r="38" spans="2:20" ht="17.100000000000001" customHeight="1">
      <c r="B38" s="269"/>
      <c r="C38" s="267" t="str">
        <f t="shared" si="6"/>
        <v/>
      </c>
      <c r="D38" s="270"/>
      <c r="E38" s="271"/>
      <c r="F38" s="291"/>
      <c r="G38" s="271"/>
      <c r="H38" s="272" t="str">
        <f t="shared" si="7"/>
        <v/>
      </c>
      <c r="I38" s="292"/>
      <c r="J38" s="293"/>
      <c r="K38" s="293"/>
      <c r="L38" s="294"/>
      <c r="M38" s="268"/>
      <c r="N38" s="295"/>
      <c r="O38" s="296"/>
      <c r="P38" s="396"/>
      <c r="Q38" s="292"/>
      <c r="R38" s="292"/>
      <c r="S38" s="292"/>
      <c r="T38" s="299"/>
    </row>
    <row r="39" spans="2:20" ht="17.100000000000001" customHeight="1" thickBot="1">
      <c r="B39" s="269"/>
      <c r="C39" s="267" t="str">
        <f t="shared" si="6"/>
        <v/>
      </c>
      <c r="D39" s="270"/>
      <c r="E39" s="271"/>
      <c r="F39" s="271"/>
      <c r="G39" s="271"/>
      <c r="H39" s="272" t="str">
        <f t="shared" si="7"/>
        <v/>
      </c>
      <c r="I39" s="302"/>
      <c r="J39" s="303"/>
      <c r="K39" s="303"/>
      <c r="L39" s="304"/>
      <c r="M39" s="305"/>
      <c r="N39" s="306"/>
      <c r="O39" s="307"/>
      <c r="P39" s="399"/>
      <c r="Q39" s="302"/>
      <c r="R39" s="302"/>
      <c r="S39" s="302"/>
      <c r="T39" s="308"/>
    </row>
    <row r="40" spans="2:20" ht="17.100000000000001" customHeight="1" thickBot="1">
      <c r="B40" s="309" t="s">
        <v>294</v>
      </c>
      <c r="C40" s="310"/>
      <c r="D40" s="311"/>
      <c r="E40" s="312"/>
      <c r="F40" s="312"/>
      <c r="G40" s="312"/>
      <c r="H40" s="410">
        <f>SUM(H9:H39)</f>
        <v>63</v>
      </c>
      <c r="I40" s="313">
        <f>SUM(I9:I39)</f>
        <v>11</v>
      </c>
      <c r="J40" s="314"/>
      <c r="K40" s="314"/>
      <c r="L40" s="315"/>
      <c r="M40" s="316">
        <f t="shared" ref="M40:T40" si="8">SUM(M9:M39)</f>
        <v>0</v>
      </c>
      <c r="N40" s="317">
        <f t="shared" si="8"/>
        <v>0</v>
      </c>
      <c r="O40" s="318">
        <f t="shared" si="8"/>
        <v>2</v>
      </c>
      <c r="P40" s="400">
        <f t="shared" si="8"/>
        <v>2</v>
      </c>
      <c r="Q40" s="319">
        <f t="shared" si="8"/>
        <v>0</v>
      </c>
      <c r="R40" s="320">
        <f t="shared" si="8"/>
        <v>0</v>
      </c>
      <c r="S40" s="319">
        <f t="shared" si="8"/>
        <v>0</v>
      </c>
      <c r="T40" s="320">
        <f t="shared" si="8"/>
        <v>0</v>
      </c>
    </row>
    <row r="41" spans="2:20" ht="17.100000000000001" customHeight="1">
      <c r="B41" s="321"/>
      <c r="C41" s="322"/>
      <c r="D41" s="323"/>
      <c r="E41" s="324"/>
      <c r="F41" s="324"/>
      <c r="G41" s="324"/>
      <c r="H41" s="324"/>
      <c r="I41" s="325"/>
      <c r="J41" s="326"/>
      <c r="K41" s="326"/>
      <c r="L41" s="327"/>
      <c r="M41" s="328" t="str">
        <f t="shared" ref="M41" si="9">IF(COUNT(J41:L41)=0,"",J41*L41)</f>
        <v/>
      </c>
      <c r="N41" s="328"/>
      <c r="O41" s="328"/>
      <c r="P41" s="328"/>
    </row>
  </sheetData>
  <mergeCells count="23">
    <mergeCell ref="B6:B8"/>
    <mergeCell ref="D6:D8"/>
    <mergeCell ref="I6:I8"/>
    <mergeCell ref="L7:L8"/>
    <mergeCell ref="C6:C8"/>
    <mergeCell ref="J6:N6"/>
    <mergeCell ref="E6:H6"/>
    <mergeCell ref="J7:J8"/>
    <mergeCell ref="K7:K8"/>
    <mergeCell ref="M7:M8"/>
    <mergeCell ref="C2:G2"/>
    <mergeCell ref="N2:T2"/>
    <mergeCell ref="N7:N8"/>
    <mergeCell ref="R4:T4"/>
    <mergeCell ref="Q6:T6"/>
    <mergeCell ref="O6:P6"/>
    <mergeCell ref="E7:E8"/>
    <mergeCell ref="F7:F8"/>
    <mergeCell ref="G7:G8"/>
    <mergeCell ref="H7:H8"/>
    <mergeCell ref="C3:D3"/>
    <mergeCell ref="E3:G3"/>
    <mergeCell ref="Q7:T7"/>
  </mergeCells>
  <phoneticPr fontId="4"/>
  <conditionalFormatting sqref="B9:T39">
    <cfRule type="expression" dxfId="3" priority="30">
      <formula>$C9="Sat"</formula>
    </cfRule>
    <cfRule type="expression" dxfId="2" priority="31">
      <formula>$B9="Sat"</formula>
    </cfRule>
    <cfRule type="expression" dxfId="1" priority="32">
      <formula>$B9="Sat"</formula>
    </cfRule>
    <cfRule type="expression" dxfId="0" priority="33">
      <formula>$C9="Sun"</formula>
    </cfRule>
  </conditionalFormatting>
  <printOptions horizontalCentered="1"/>
  <pageMargins left="0.19685039370078741" right="0.19685039370078741" top="0.78740157480314965" bottom="0.59055118110236227" header="0.51181102362204722" footer="0.19685039370078741"/>
  <pageSetup paperSize="9" scale="92"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V54"/>
  <sheetViews>
    <sheetView zoomScaleNormal="100" workbookViewId="0">
      <selection activeCell="L8" sqref="L8"/>
    </sheetView>
  </sheetViews>
  <sheetFormatPr defaultColWidth="9" defaultRowHeight="14.25"/>
  <cols>
    <col min="1" max="1" width="17.140625" style="20" customWidth="1"/>
    <col min="2" max="5" width="27.5703125" style="20" customWidth="1"/>
    <col min="6" max="16384" width="9" style="20"/>
  </cols>
  <sheetData>
    <row r="1" spans="1:22" ht="21.75" customHeight="1">
      <c r="A1" s="18" t="s">
        <v>125</v>
      </c>
      <c r="B1" s="19"/>
      <c r="C1" s="19"/>
      <c r="D1" s="19"/>
      <c r="G1" s="19" t="s">
        <v>128</v>
      </c>
      <c r="H1" s="19"/>
    </row>
    <row r="2" spans="1:22" ht="15.75" thickBot="1">
      <c r="A2" s="21"/>
      <c r="E2" s="22" t="s">
        <v>272</v>
      </c>
      <c r="G2" s="23"/>
      <c r="H2" s="23"/>
      <c r="I2" s="23"/>
      <c r="J2" s="23"/>
      <c r="K2" s="23"/>
      <c r="L2" s="23"/>
      <c r="M2" s="901" t="s">
        <v>126</v>
      </c>
      <c r="N2" s="901"/>
      <c r="O2" s="23"/>
      <c r="P2" s="23"/>
      <c r="Q2" s="23"/>
      <c r="R2" s="23"/>
      <c r="S2" s="23"/>
      <c r="T2" s="23"/>
      <c r="U2" s="23"/>
      <c r="V2" s="23"/>
    </row>
    <row r="3" spans="1:22" ht="21" customHeight="1" thickBot="1">
      <c r="A3" s="39"/>
      <c r="B3" s="37" t="s">
        <v>118</v>
      </c>
      <c r="C3" s="37" t="s">
        <v>119</v>
      </c>
      <c r="D3" s="37" t="s">
        <v>120</v>
      </c>
      <c r="E3" s="38" t="s">
        <v>43</v>
      </c>
      <c r="G3" s="906" t="s">
        <v>137</v>
      </c>
      <c r="H3" s="908" t="s">
        <v>138</v>
      </c>
      <c r="I3" s="902" t="s">
        <v>129</v>
      </c>
      <c r="J3" s="902"/>
      <c r="K3" s="903" t="s">
        <v>133</v>
      </c>
      <c r="L3" s="904"/>
      <c r="M3" s="903" t="s">
        <v>132</v>
      </c>
      <c r="N3" s="905"/>
      <c r="O3" s="24"/>
      <c r="P3" s="24"/>
      <c r="Q3" s="24"/>
      <c r="R3" s="24"/>
      <c r="S3" s="24"/>
      <c r="T3" s="24"/>
      <c r="U3" s="23"/>
      <c r="V3" s="23"/>
    </row>
    <row r="4" spans="1:22" s="25" customFormat="1" ht="21" customHeight="1" thickBot="1">
      <c r="A4" s="40" t="s">
        <v>42</v>
      </c>
      <c r="B4" s="249">
        <v>25</v>
      </c>
      <c r="C4" s="249">
        <v>18</v>
      </c>
      <c r="D4" s="249">
        <v>9</v>
      </c>
      <c r="E4" s="250">
        <v>9</v>
      </c>
      <c r="G4" s="907"/>
      <c r="H4" s="909"/>
      <c r="I4" s="26" t="s">
        <v>108</v>
      </c>
      <c r="J4" s="27" t="s">
        <v>131</v>
      </c>
      <c r="K4" s="26" t="s">
        <v>108</v>
      </c>
      <c r="L4" s="27" t="s">
        <v>131</v>
      </c>
      <c r="M4" s="26" t="s">
        <v>108</v>
      </c>
      <c r="N4" s="27" t="s">
        <v>131</v>
      </c>
      <c r="O4" s="28"/>
      <c r="P4" s="28"/>
      <c r="Q4" s="28"/>
      <c r="R4" s="28"/>
      <c r="S4" s="28"/>
      <c r="T4" s="28"/>
      <c r="U4" s="23"/>
      <c r="V4" s="23"/>
    </row>
    <row r="5" spans="1:22" s="25" customFormat="1" ht="21" customHeight="1" thickBot="1">
      <c r="A5" s="41" t="s">
        <v>121</v>
      </c>
      <c r="B5" s="899" t="s">
        <v>122</v>
      </c>
      <c r="C5" s="899"/>
      <c r="D5" s="899"/>
      <c r="E5" s="900"/>
      <c r="G5" s="29">
        <v>35000</v>
      </c>
      <c r="H5" s="30">
        <f>G5/22/8</f>
        <v>198.86363636363637</v>
      </c>
      <c r="I5" s="30">
        <f>H5*1.5</f>
        <v>298.29545454545456</v>
      </c>
      <c r="J5" s="30">
        <f>H5*1.5+H5*0.3+H5*0.2</f>
        <v>397.72727272727275</v>
      </c>
      <c r="K5" s="30">
        <f>H5*2</f>
        <v>397.72727272727275</v>
      </c>
      <c r="L5" s="30">
        <f>H5*2+H5*0.3+H5*2*0.2</f>
        <v>536.93181818181824</v>
      </c>
      <c r="M5" s="30">
        <f>H5*3</f>
        <v>596.59090909090912</v>
      </c>
      <c r="N5" s="31">
        <f>H5*3+H5*0.3+H5*3*0.2</f>
        <v>775.56818181818187</v>
      </c>
      <c r="O5" s="32"/>
      <c r="P5" s="32"/>
      <c r="Q5" s="32"/>
      <c r="R5" s="32"/>
      <c r="S5" s="32"/>
      <c r="T5" s="32"/>
      <c r="U5" s="23"/>
      <c r="V5" s="23"/>
    </row>
    <row r="6" spans="1:22" ht="21" customHeight="1">
      <c r="A6" s="889" t="s">
        <v>123</v>
      </c>
      <c r="B6" s="893" t="s">
        <v>116</v>
      </c>
      <c r="C6" s="893" t="s">
        <v>117</v>
      </c>
      <c r="D6" s="893" t="s">
        <v>115</v>
      </c>
      <c r="E6" s="896" t="s">
        <v>124</v>
      </c>
      <c r="G6" s="29">
        <v>45000</v>
      </c>
      <c r="H6" s="30">
        <f>G6/22/8</f>
        <v>255.68181818181819</v>
      </c>
      <c r="I6" s="30">
        <f>H6*1.5</f>
        <v>383.52272727272725</v>
      </c>
      <c r="J6" s="30">
        <f t="shared" ref="J6:J9" si="0">H6*1.5+H6*0.3+H6*0.2</f>
        <v>511.36363636363632</v>
      </c>
      <c r="K6" s="30">
        <f>H6*2</f>
        <v>511.36363636363637</v>
      </c>
      <c r="L6" s="30">
        <f t="shared" ref="L6:L9" si="1">H6*2+H6*0.3+H6*2*0.2</f>
        <v>690.34090909090912</v>
      </c>
      <c r="M6" s="30">
        <f>H6*3</f>
        <v>767.0454545454545</v>
      </c>
      <c r="N6" s="31">
        <f t="shared" ref="N6:N9" si="2">H6*3+H6*0.3+H6*3*0.2</f>
        <v>997.15909090909088</v>
      </c>
      <c r="O6" s="32"/>
      <c r="P6" s="32"/>
      <c r="Q6" s="32"/>
      <c r="R6" s="32"/>
      <c r="S6" s="32"/>
      <c r="T6" s="32"/>
      <c r="U6" s="23"/>
      <c r="V6" s="23"/>
    </row>
    <row r="7" spans="1:22" ht="21" customHeight="1">
      <c r="A7" s="890"/>
      <c r="B7" s="894"/>
      <c r="C7" s="894"/>
      <c r="D7" s="894"/>
      <c r="E7" s="897"/>
      <c r="G7" s="29">
        <v>70000</v>
      </c>
      <c r="H7" s="30">
        <f>G7/22/8</f>
        <v>397.72727272727275</v>
      </c>
      <c r="I7" s="30">
        <f>H7*1.5</f>
        <v>596.59090909090912</v>
      </c>
      <c r="J7" s="30">
        <f t="shared" si="0"/>
        <v>795.4545454545455</v>
      </c>
      <c r="K7" s="30">
        <f>H7*2</f>
        <v>795.4545454545455</v>
      </c>
      <c r="L7" s="30">
        <f t="shared" si="1"/>
        <v>1073.8636363636365</v>
      </c>
      <c r="M7" s="30">
        <f>H7*3</f>
        <v>1193.1818181818182</v>
      </c>
      <c r="N7" s="31">
        <f t="shared" si="2"/>
        <v>1551.1363636363637</v>
      </c>
      <c r="O7" s="32"/>
      <c r="P7" s="32"/>
      <c r="Q7" s="32"/>
      <c r="R7" s="32"/>
      <c r="S7" s="32"/>
      <c r="T7" s="32"/>
      <c r="U7" s="23"/>
      <c r="V7" s="23"/>
    </row>
    <row r="8" spans="1:22" ht="21" customHeight="1">
      <c r="A8" s="890"/>
      <c r="B8" s="894"/>
      <c r="C8" s="894"/>
      <c r="D8" s="894"/>
      <c r="E8" s="897"/>
      <c r="G8" s="29">
        <v>100000</v>
      </c>
      <c r="H8" s="30">
        <f>G8/22/8</f>
        <v>568.18181818181813</v>
      </c>
      <c r="I8" s="30">
        <f>H8*1.5</f>
        <v>852.27272727272725</v>
      </c>
      <c r="J8" s="30">
        <f t="shared" si="0"/>
        <v>1136.3636363636365</v>
      </c>
      <c r="K8" s="30">
        <f>H8*2</f>
        <v>1136.3636363636363</v>
      </c>
      <c r="L8" s="30">
        <f t="shared" si="1"/>
        <v>1534.090909090909</v>
      </c>
      <c r="M8" s="30">
        <f>H8*3</f>
        <v>1704.5454545454545</v>
      </c>
      <c r="N8" s="31">
        <f t="shared" si="2"/>
        <v>2215.909090909091</v>
      </c>
      <c r="O8" s="32"/>
      <c r="P8" s="32"/>
      <c r="Q8" s="32"/>
      <c r="R8" s="32"/>
      <c r="S8" s="32"/>
      <c r="T8" s="32"/>
      <c r="U8" s="23"/>
      <c r="V8" s="23"/>
    </row>
    <row r="9" spans="1:22" ht="21" customHeight="1" thickBot="1">
      <c r="A9" s="890"/>
      <c r="B9" s="894"/>
      <c r="C9" s="894"/>
      <c r="D9" s="894"/>
      <c r="E9" s="897"/>
      <c r="F9" s="33"/>
      <c r="G9" s="34">
        <v>120000</v>
      </c>
      <c r="H9" s="35">
        <f>G9/22/8</f>
        <v>681.81818181818187</v>
      </c>
      <c r="I9" s="35">
        <f>H9*1.5</f>
        <v>1022.7272727272727</v>
      </c>
      <c r="J9" s="35">
        <f t="shared" si="0"/>
        <v>1363.6363636363635</v>
      </c>
      <c r="K9" s="35">
        <f>H9*2</f>
        <v>1363.6363636363637</v>
      </c>
      <c r="L9" s="35">
        <f t="shared" si="1"/>
        <v>1840.909090909091</v>
      </c>
      <c r="M9" s="35">
        <f>H9*3</f>
        <v>2045.4545454545455</v>
      </c>
      <c r="N9" s="36">
        <f t="shared" si="2"/>
        <v>2659.090909090909</v>
      </c>
      <c r="O9" s="32"/>
      <c r="P9" s="32"/>
      <c r="Q9" s="32"/>
      <c r="R9" s="32"/>
      <c r="S9" s="32"/>
      <c r="T9" s="32"/>
      <c r="U9" s="23"/>
      <c r="V9" s="23"/>
    </row>
    <row r="10" spans="1:22" ht="21" customHeight="1">
      <c r="A10" s="890"/>
      <c r="B10" s="894"/>
      <c r="C10" s="894"/>
      <c r="D10" s="894"/>
      <c r="E10" s="897"/>
      <c r="F10" s="33"/>
      <c r="G10" s="32" t="s">
        <v>130</v>
      </c>
      <c r="H10" s="32"/>
      <c r="I10" s="32"/>
      <c r="J10" s="32"/>
      <c r="K10" s="32"/>
      <c r="L10" s="32"/>
      <c r="M10" s="32"/>
      <c r="N10" s="32"/>
      <c r="O10" s="32"/>
      <c r="P10" s="32"/>
      <c r="Q10" s="32"/>
      <c r="R10" s="32"/>
      <c r="S10" s="32"/>
      <c r="T10" s="32"/>
      <c r="U10" s="23"/>
      <c r="V10" s="23"/>
    </row>
    <row r="11" spans="1:22" ht="21" customHeight="1">
      <c r="A11" s="890"/>
      <c r="B11" s="894"/>
      <c r="C11" s="894"/>
      <c r="D11" s="894"/>
      <c r="E11" s="897"/>
      <c r="F11" s="33"/>
      <c r="G11" s="32" t="s">
        <v>134</v>
      </c>
      <c r="H11" s="32"/>
      <c r="I11" s="32"/>
      <c r="J11" s="32"/>
      <c r="K11" s="32"/>
      <c r="L11" s="32"/>
      <c r="M11" s="32"/>
      <c r="N11" s="32"/>
      <c r="O11" s="32"/>
      <c r="P11" s="32"/>
      <c r="Q11" s="32"/>
      <c r="R11" s="32"/>
      <c r="S11" s="32"/>
      <c r="T11" s="32"/>
      <c r="U11" s="23"/>
      <c r="V11" s="23"/>
    </row>
    <row r="12" spans="1:22" ht="21" customHeight="1">
      <c r="A12" s="890"/>
      <c r="B12" s="894"/>
      <c r="C12" s="894"/>
      <c r="D12" s="894"/>
      <c r="E12" s="897"/>
      <c r="G12" s="32"/>
      <c r="H12" s="32"/>
      <c r="I12" s="32"/>
      <c r="J12" s="32"/>
      <c r="K12" s="32"/>
      <c r="L12" s="32"/>
      <c r="M12" s="32"/>
      <c r="N12" s="32"/>
      <c r="O12" s="32"/>
      <c r="P12" s="32"/>
      <c r="Q12" s="32"/>
      <c r="R12" s="32"/>
      <c r="S12" s="32"/>
      <c r="T12" s="32"/>
      <c r="U12" s="23"/>
      <c r="V12" s="23"/>
    </row>
    <row r="13" spans="1:22" ht="21" customHeight="1">
      <c r="A13" s="890"/>
      <c r="B13" s="894"/>
      <c r="C13" s="894"/>
      <c r="D13" s="894"/>
      <c r="E13" s="897"/>
      <c r="G13" s="32"/>
      <c r="H13" s="32"/>
      <c r="I13" s="32"/>
      <c r="J13" s="32"/>
      <c r="K13" s="32"/>
      <c r="L13" s="32"/>
      <c r="M13" s="32"/>
      <c r="N13" s="32"/>
      <c r="O13" s="32"/>
      <c r="P13" s="32"/>
      <c r="Q13" s="32"/>
      <c r="R13" s="32"/>
      <c r="S13" s="32"/>
      <c r="T13" s="32"/>
      <c r="U13" s="23"/>
      <c r="V13" s="23"/>
    </row>
    <row r="14" spans="1:22" ht="21" customHeight="1">
      <c r="A14" s="890"/>
      <c r="B14" s="894"/>
      <c r="C14" s="894"/>
      <c r="D14" s="894"/>
      <c r="E14" s="897"/>
      <c r="G14" s="32"/>
      <c r="H14" s="32"/>
      <c r="I14" s="32"/>
      <c r="J14" s="32"/>
      <c r="K14" s="32"/>
      <c r="L14" s="32"/>
      <c r="M14" s="32"/>
      <c r="N14" s="32"/>
      <c r="O14" s="32"/>
      <c r="P14" s="32"/>
      <c r="Q14" s="32"/>
      <c r="R14" s="32"/>
      <c r="S14" s="32"/>
      <c r="T14" s="32"/>
      <c r="U14" s="23"/>
      <c r="V14" s="23"/>
    </row>
    <row r="15" spans="1:22" ht="21" customHeight="1">
      <c r="A15" s="890"/>
      <c r="B15" s="894"/>
      <c r="C15" s="894"/>
      <c r="D15" s="894"/>
      <c r="E15" s="897"/>
      <c r="G15" s="32"/>
      <c r="H15" s="32"/>
      <c r="I15" s="32"/>
      <c r="J15" s="32"/>
      <c r="K15" s="32"/>
      <c r="L15" s="32"/>
      <c r="M15" s="32"/>
      <c r="N15" s="32"/>
      <c r="O15" s="32"/>
      <c r="P15" s="32"/>
      <c r="Q15" s="32"/>
      <c r="R15" s="32"/>
      <c r="S15" s="32"/>
      <c r="T15" s="32"/>
      <c r="U15" s="23"/>
      <c r="V15" s="23"/>
    </row>
    <row r="16" spans="1:22" ht="21" customHeight="1">
      <c r="A16" s="890"/>
      <c r="B16" s="894"/>
      <c r="C16" s="894"/>
      <c r="D16" s="894"/>
      <c r="E16" s="897"/>
      <c r="G16" s="32"/>
      <c r="H16" s="32"/>
      <c r="I16" s="32"/>
      <c r="J16" s="32"/>
      <c r="K16" s="32"/>
      <c r="L16" s="32"/>
      <c r="M16" s="32"/>
      <c r="N16" s="32"/>
      <c r="O16" s="32"/>
      <c r="P16" s="32"/>
      <c r="Q16" s="32"/>
      <c r="R16" s="32"/>
      <c r="S16" s="32"/>
      <c r="T16" s="32"/>
      <c r="U16" s="23"/>
      <c r="V16" s="23"/>
    </row>
    <row r="17" spans="1:22" ht="21" customHeight="1">
      <c r="A17" s="890"/>
      <c r="B17" s="894"/>
      <c r="C17" s="894"/>
      <c r="D17" s="894"/>
      <c r="E17" s="897"/>
      <c r="G17" s="32"/>
      <c r="H17" s="32"/>
      <c r="I17" s="32"/>
      <c r="J17" s="32"/>
      <c r="K17" s="32"/>
      <c r="L17" s="32"/>
      <c r="M17" s="32"/>
      <c r="N17" s="32"/>
      <c r="O17" s="32"/>
      <c r="P17" s="32"/>
      <c r="Q17" s="32"/>
      <c r="R17" s="32"/>
      <c r="S17" s="32"/>
      <c r="T17" s="32"/>
      <c r="U17" s="23"/>
      <c r="V17" s="23"/>
    </row>
    <row r="18" spans="1:22" ht="21" customHeight="1">
      <c r="A18" s="890"/>
      <c r="B18" s="894"/>
      <c r="C18" s="894"/>
      <c r="D18" s="894"/>
      <c r="E18" s="897"/>
      <c r="G18" s="32"/>
      <c r="H18" s="32"/>
      <c r="I18" s="32"/>
      <c r="J18" s="32"/>
      <c r="K18" s="32"/>
      <c r="L18" s="32"/>
      <c r="M18" s="32"/>
      <c r="N18" s="32"/>
      <c r="O18" s="32"/>
      <c r="P18" s="32"/>
      <c r="Q18" s="32"/>
      <c r="R18" s="32"/>
      <c r="S18" s="32"/>
      <c r="T18" s="32"/>
      <c r="U18" s="23"/>
      <c r="V18" s="23"/>
    </row>
    <row r="19" spans="1:22" ht="21" customHeight="1">
      <c r="A19" s="890"/>
      <c r="B19" s="894"/>
      <c r="C19" s="894"/>
      <c r="D19" s="894"/>
      <c r="E19" s="897"/>
      <c r="G19" s="32"/>
      <c r="H19" s="32"/>
      <c r="I19" s="32"/>
      <c r="J19" s="32"/>
      <c r="K19" s="32"/>
      <c r="L19" s="32"/>
      <c r="M19" s="32"/>
      <c r="N19" s="32"/>
      <c r="O19" s="32"/>
      <c r="P19" s="32"/>
      <c r="Q19" s="32"/>
      <c r="R19" s="32"/>
      <c r="S19" s="32"/>
      <c r="T19" s="32"/>
      <c r="U19" s="23"/>
      <c r="V19" s="23"/>
    </row>
    <row r="20" spans="1:22" ht="24" customHeight="1">
      <c r="A20" s="890"/>
      <c r="B20" s="894"/>
      <c r="C20" s="894"/>
      <c r="D20" s="894"/>
      <c r="E20" s="897"/>
      <c r="G20" s="32"/>
      <c r="H20" s="32"/>
      <c r="I20" s="32"/>
      <c r="J20" s="32"/>
      <c r="K20" s="32"/>
      <c r="L20" s="32"/>
      <c r="M20" s="32"/>
      <c r="N20" s="32"/>
      <c r="O20" s="32"/>
      <c r="P20" s="32"/>
      <c r="Q20" s="32"/>
      <c r="R20" s="32"/>
      <c r="S20" s="32"/>
      <c r="T20" s="32"/>
      <c r="U20" s="23"/>
      <c r="V20" s="23"/>
    </row>
    <row r="21" spans="1:22">
      <c r="A21" s="890"/>
      <c r="B21" s="894"/>
      <c r="C21" s="894"/>
      <c r="D21" s="894"/>
      <c r="E21" s="897"/>
      <c r="G21" s="32"/>
      <c r="H21" s="32"/>
      <c r="I21" s="32"/>
      <c r="J21" s="32"/>
      <c r="K21" s="32"/>
      <c r="L21" s="32"/>
      <c r="M21" s="32"/>
      <c r="N21" s="32"/>
      <c r="O21" s="32"/>
      <c r="P21" s="32"/>
      <c r="Q21" s="32"/>
      <c r="R21" s="32"/>
      <c r="S21" s="32"/>
      <c r="T21" s="32"/>
      <c r="U21" s="23"/>
      <c r="V21" s="23"/>
    </row>
    <row r="22" spans="1:22">
      <c r="A22" s="890"/>
      <c r="B22" s="894"/>
      <c r="C22" s="894"/>
      <c r="D22" s="894"/>
      <c r="E22" s="897"/>
      <c r="G22" s="32"/>
      <c r="H22" s="32"/>
      <c r="I22" s="32"/>
      <c r="J22" s="32"/>
      <c r="K22" s="32"/>
      <c r="L22" s="32"/>
      <c r="M22" s="32"/>
      <c r="N22" s="32"/>
      <c r="O22" s="32"/>
      <c r="P22" s="32"/>
      <c r="Q22" s="32"/>
      <c r="R22" s="32"/>
      <c r="S22" s="32"/>
      <c r="T22" s="32"/>
      <c r="U22" s="23"/>
      <c r="V22" s="23"/>
    </row>
    <row r="23" spans="1:22">
      <c r="A23" s="890"/>
      <c r="B23" s="894"/>
      <c r="C23" s="894"/>
      <c r="D23" s="894"/>
      <c r="E23" s="897"/>
      <c r="G23" s="32"/>
      <c r="H23" s="32"/>
      <c r="I23" s="32"/>
      <c r="J23" s="32"/>
      <c r="K23" s="32"/>
      <c r="L23" s="32"/>
      <c r="M23" s="32"/>
      <c r="N23" s="32"/>
      <c r="O23" s="32"/>
      <c r="P23" s="32"/>
      <c r="Q23" s="32"/>
      <c r="R23" s="32"/>
      <c r="S23" s="32"/>
      <c r="T23" s="32"/>
      <c r="U23" s="23"/>
      <c r="V23" s="23"/>
    </row>
    <row r="24" spans="1:22">
      <c r="A24" s="890"/>
      <c r="B24" s="894"/>
      <c r="C24" s="894"/>
      <c r="D24" s="894"/>
      <c r="E24" s="897"/>
      <c r="G24" s="32"/>
      <c r="H24" s="32"/>
      <c r="I24" s="32"/>
      <c r="J24" s="32"/>
      <c r="K24" s="32"/>
      <c r="L24" s="32"/>
      <c r="M24" s="32"/>
      <c r="N24" s="32"/>
      <c r="O24" s="32"/>
      <c r="P24" s="32"/>
      <c r="Q24" s="32"/>
      <c r="R24" s="32"/>
      <c r="S24" s="32"/>
      <c r="T24" s="32"/>
      <c r="U24" s="23"/>
      <c r="V24" s="23"/>
    </row>
    <row r="25" spans="1:22">
      <c r="A25" s="890"/>
      <c r="B25" s="894"/>
      <c r="C25" s="894"/>
      <c r="D25" s="894"/>
      <c r="E25" s="897"/>
      <c r="G25" s="23"/>
      <c r="H25" s="23"/>
      <c r="I25" s="23"/>
      <c r="J25" s="23"/>
      <c r="K25" s="23"/>
      <c r="L25" s="23"/>
      <c r="M25" s="23"/>
      <c r="N25" s="23"/>
      <c r="O25" s="23"/>
      <c r="P25" s="23"/>
      <c r="Q25" s="23"/>
      <c r="R25" s="23"/>
      <c r="S25" s="23"/>
      <c r="T25" s="23"/>
      <c r="U25" s="23"/>
      <c r="V25" s="23"/>
    </row>
    <row r="26" spans="1:22">
      <c r="A26" s="890"/>
      <c r="B26" s="894"/>
      <c r="C26" s="894"/>
      <c r="D26" s="894"/>
      <c r="E26" s="897"/>
      <c r="G26" s="23"/>
      <c r="H26" s="23"/>
      <c r="I26" s="23"/>
      <c r="J26" s="23"/>
      <c r="K26" s="23"/>
      <c r="L26" s="23"/>
      <c r="M26" s="23"/>
      <c r="N26" s="23"/>
      <c r="O26" s="23"/>
      <c r="P26" s="23"/>
      <c r="Q26" s="23"/>
      <c r="R26" s="23"/>
      <c r="S26" s="23"/>
      <c r="T26" s="23"/>
      <c r="U26" s="23"/>
      <c r="V26" s="23"/>
    </row>
    <row r="27" spans="1:22">
      <c r="A27" s="890"/>
      <c r="B27" s="894"/>
      <c r="C27" s="894"/>
      <c r="D27" s="894"/>
      <c r="E27" s="897"/>
      <c r="G27" s="23"/>
      <c r="H27" s="23"/>
      <c r="I27" s="23"/>
      <c r="J27" s="23"/>
      <c r="K27" s="23"/>
      <c r="L27" s="23"/>
      <c r="M27" s="23"/>
      <c r="N27" s="23"/>
      <c r="O27" s="23"/>
      <c r="P27" s="23"/>
      <c r="Q27" s="23"/>
      <c r="R27" s="23"/>
      <c r="S27" s="23"/>
      <c r="T27" s="23"/>
      <c r="U27" s="23"/>
      <c r="V27" s="23"/>
    </row>
    <row r="28" spans="1:22">
      <c r="A28" s="890"/>
      <c r="B28" s="894"/>
      <c r="C28" s="894"/>
      <c r="D28" s="894"/>
      <c r="E28" s="897"/>
      <c r="G28" s="23"/>
      <c r="H28" s="23"/>
      <c r="I28" s="23"/>
      <c r="J28" s="23"/>
      <c r="K28" s="23"/>
      <c r="L28" s="23"/>
      <c r="M28" s="23"/>
      <c r="N28" s="23"/>
      <c r="O28" s="23"/>
      <c r="P28" s="23"/>
      <c r="Q28" s="23"/>
      <c r="R28" s="23"/>
      <c r="S28" s="23"/>
      <c r="T28" s="23"/>
      <c r="U28" s="23"/>
      <c r="V28" s="23"/>
    </row>
    <row r="29" spans="1:22">
      <c r="A29" s="890"/>
      <c r="B29" s="894"/>
      <c r="C29" s="894"/>
      <c r="D29" s="894"/>
      <c r="E29" s="897"/>
    </row>
    <row r="30" spans="1:22">
      <c r="A30" s="890"/>
      <c r="B30" s="894"/>
      <c r="C30" s="894"/>
      <c r="D30" s="894"/>
      <c r="E30" s="897"/>
    </row>
    <row r="31" spans="1:22">
      <c r="A31" s="890"/>
      <c r="B31" s="894"/>
      <c r="C31" s="894"/>
      <c r="D31" s="894"/>
      <c r="E31" s="897"/>
    </row>
    <row r="32" spans="1:22">
      <c r="A32" s="890"/>
      <c r="B32" s="894"/>
      <c r="C32" s="894"/>
      <c r="D32" s="894"/>
      <c r="E32" s="897"/>
    </row>
    <row r="33" spans="1:5">
      <c r="A33" s="890"/>
      <c r="B33" s="894"/>
      <c r="C33" s="894"/>
      <c r="D33" s="894"/>
      <c r="E33" s="897"/>
    </row>
    <row r="34" spans="1:5">
      <c r="A34" s="890"/>
      <c r="B34" s="894"/>
      <c r="C34" s="894"/>
      <c r="D34" s="894"/>
      <c r="E34" s="897"/>
    </row>
    <row r="35" spans="1:5">
      <c r="A35" s="890"/>
      <c r="B35" s="894"/>
      <c r="C35" s="894"/>
      <c r="D35" s="894"/>
      <c r="E35" s="897"/>
    </row>
    <row r="36" spans="1:5">
      <c r="A36" s="890"/>
      <c r="B36" s="894"/>
      <c r="C36" s="894"/>
      <c r="D36" s="894"/>
      <c r="E36" s="897"/>
    </row>
    <row r="37" spans="1:5">
      <c r="A37" s="890"/>
      <c r="B37" s="894"/>
      <c r="C37" s="894"/>
      <c r="D37" s="894"/>
      <c r="E37" s="897"/>
    </row>
    <row r="38" spans="1:5">
      <c r="A38" s="890"/>
      <c r="B38" s="894"/>
      <c r="C38" s="894"/>
      <c r="D38" s="894"/>
      <c r="E38" s="897"/>
    </row>
    <row r="39" spans="1:5">
      <c r="A39" s="890"/>
      <c r="B39" s="894"/>
      <c r="C39" s="894"/>
      <c r="D39" s="894"/>
      <c r="E39" s="897"/>
    </row>
    <row r="40" spans="1:5">
      <c r="A40" s="890"/>
      <c r="B40" s="894"/>
      <c r="C40" s="894"/>
      <c r="D40" s="894"/>
      <c r="E40" s="897"/>
    </row>
    <row r="41" spans="1:5">
      <c r="A41" s="890"/>
      <c r="B41" s="894"/>
      <c r="C41" s="894"/>
      <c r="D41" s="894"/>
      <c r="E41" s="897"/>
    </row>
    <row r="42" spans="1:5">
      <c r="A42" s="890"/>
      <c r="B42" s="894"/>
      <c r="C42" s="894"/>
      <c r="D42" s="894"/>
      <c r="E42" s="897"/>
    </row>
    <row r="43" spans="1:5">
      <c r="A43" s="890"/>
      <c r="B43" s="894"/>
      <c r="C43" s="894"/>
      <c r="D43" s="894"/>
      <c r="E43" s="897"/>
    </row>
    <row r="44" spans="1:5">
      <c r="A44" s="890"/>
      <c r="B44" s="894"/>
      <c r="C44" s="894"/>
      <c r="D44" s="894"/>
      <c r="E44" s="897"/>
    </row>
    <row r="45" spans="1:5">
      <c r="A45" s="890"/>
      <c r="B45" s="894"/>
      <c r="C45" s="894"/>
      <c r="D45" s="894"/>
      <c r="E45" s="897"/>
    </row>
    <row r="46" spans="1:5">
      <c r="A46" s="890"/>
      <c r="B46" s="894"/>
      <c r="C46" s="894"/>
      <c r="D46" s="894"/>
      <c r="E46" s="897"/>
    </row>
    <row r="47" spans="1:5">
      <c r="A47" s="890"/>
      <c r="B47" s="894"/>
      <c r="C47" s="894"/>
      <c r="D47" s="894"/>
      <c r="E47" s="897"/>
    </row>
    <row r="48" spans="1:5">
      <c r="A48" s="890"/>
      <c r="B48" s="894"/>
      <c r="C48" s="894"/>
      <c r="D48" s="894"/>
      <c r="E48" s="897"/>
    </row>
    <row r="49" spans="1:5">
      <c r="A49" s="890"/>
      <c r="B49" s="894"/>
      <c r="C49" s="894"/>
      <c r="D49" s="894"/>
      <c r="E49" s="897"/>
    </row>
    <row r="50" spans="1:5">
      <c r="A50" s="890"/>
      <c r="B50" s="894"/>
      <c r="C50" s="894"/>
      <c r="D50" s="894"/>
      <c r="E50" s="897"/>
    </row>
    <row r="51" spans="1:5" ht="15" thickBot="1">
      <c r="A51" s="891"/>
      <c r="B51" s="895"/>
      <c r="C51" s="895"/>
      <c r="D51" s="895"/>
      <c r="E51" s="898"/>
    </row>
    <row r="52" spans="1:5">
      <c r="E52" s="42"/>
    </row>
    <row r="53" spans="1:5" ht="14.25" customHeight="1">
      <c r="A53" s="892" t="s">
        <v>127</v>
      </c>
      <c r="B53" s="892"/>
      <c r="C53" s="892"/>
      <c r="D53" s="892"/>
      <c r="E53" s="892"/>
    </row>
    <row r="54" spans="1:5">
      <c r="A54" s="892"/>
      <c r="B54" s="892"/>
      <c r="C54" s="892"/>
      <c r="D54" s="892"/>
      <c r="E54" s="892"/>
    </row>
  </sheetData>
  <mergeCells count="13">
    <mergeCell ref="M2:N2"/>
    <mergeCell ref="I3:J3"/>
    <mergeCell ref="K3:L3"/>
    <mergeCell ref="M3:N3"/>
    <mergeCell ref="G3:G4"/>
    <mergeCell ref="H3:H4"/>
    <mergeCell ref="A6:A51"/>
    <mergeCell ref="A53:E54"/>
    <mergeCell ref="D6:D51"/>
    <mergeCell ref="E6:E51"/>
    <mergeCell ref="B5:E5"/>
    <mergeCell ref="C6:C51"/>
    <mergeCell ref="B6:B51"/>
  </mergeCells>
  <phoneticPr fontId="4"/>
  <pageMargins left="0.7" right="0.7" top="0.75" bottom="0.75" header="0.3" footer="0.3"/>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B2:L50"/>
  <sheetViews>
    <sheetView topLeftCell="A11" zoomScaleNormal="100" workbookViewId="0">
      <selection activeCell="J6" sqref="J6:J16"/>
    </sheetView>
  </sheetViews>
  <sheetFormatPr defaultColWidth="9" defaultRowHeight="15"/>
  <cols>
    <col min="1" max="1" width="3.5703125" style="329" customWidth="1"/>
    <col min="2" max="2" width="3.140625" style="329" customWidth="1"/>
    <col min="3" max="3" width="1.5703125" style="329" customWidth="1"/>
    <col min="4" max="4" width="27.42578125" style="329" customWidth="1"/>
    <col min="5" max="6" width="8.42578125" style="331" customWidth="1"/>
    <col min="7" max="7" width="5.5703125" style="329" customWidth="1"/>
    <col min="8" max="8" width="5" style="329" customWidth="1"/>
    <col min="9" max="9" width="12.42578125" style="329" customWidth="1"/>
    <col min="10" max="10" width="5.42578125" style="329" customWidth="1"/>
    <col min="11" max="11" width="12.42578125" style="329" customWidth="1"/>
    <col min="12" max="12" width="1.5703125" style="329" customWidth="1"/>
    <col min="13" max="16384" width="9" style="329"/>
  </cols>
  <sheetData>
    <row r="2" spans="2:12" ht="25.5" customHeight="1">
      <c r="D2" s="910" t="s">
        <v>135</v>
      </c>
      <c r="E2" s="910"/>
      <c r="F2" s="910"/>
      <c r="G2" s="910"/>
      <c r="H2" s="910"/>
      <c r="I2" s="910"/>
      <c r="J2" s="910"/>
      <c r="K2" s="910"/>
      <c r="L2" s="330"/>
    </row>
    <row r="3" spans="2:12" ht="18" customHeight="1">
      <c r="G3" s="917" t="e">
        <f>#REF!</f>
        <v>#REF!</v>
      </c>
      <c r="H3" s="917"/>
      <c r="I3" s="917"/>
      <c r="J3" s="917"/>
      <c r="K3" s="917"/>
    </row>
    <row r="4" spans="2:12" ht="18" customHeight="1">
      <c r="B4" s="332" t="s">
        <v>148</v>
      </c>
      <c r="I4" s="911" t="e">
        <f>#REF!</f>
        <v>#REF!</v>
      </c>
      <c r="J4" s="911"/>
      <c r="K4" s="911"/>
    </row>
    <row r="5" spans="2:12" ht="28.5" customHeight="1">
      <c r="B5" s="333"/>
      <c r="D5" s="334" t="s">
        <v>151</v>
      </c>
      <c r="E5" s="335" t="s">
        <v>144</v>
      </c>
      <c r="F5" s="336" t="s">
        <v>279</v>
      </c>
      <c r="G5" s="337" t="s">
        <v>145</v>
      </c>
      <c r="H5" s="337" t="s">
        <v>47</v>
      </c>
      <c r="I5" s="338" t="s">
        <v>146</v>
      </c>
      <c r="J5" s="338" t="s">
        <v>46</v>
      </c>
      <c r="K5" s="338" t="s">
        <v>147</v>
      </c>
    </row>
    <row r="6" spans="2:12" ht="16.5" customHeight="1">
      <c r="B6" s="333"/>
      <c r="D6" s="339" t="str">
        <f>IF(B6="","",VLOOKUP(B6,'10.Equipment depreciation table'!$B$3:$E$52,2))</f>
        <v/>
      </c>
      <c r="E6" s="340" t="str">
        <f>IF(B6="","",VLOOKUP(B6,'10.Equipment depreciation table'!$B$3:$E$52,3))</f>
        <v/>
      </c>
      <c r="F6" s="341" t="str">
        <f>IF(B6="","",VLOOKUP(B6,'10.Equipment depreciation table'!$B$3:$E$52,4))</f>
        <v/>
      </c>
      <c r="G6" s="342"/>
      <c r="H6" s="342"/>
      <c r="I6" s="343" t="str">
        <f t="shared" ref="I6:I47" si="0">IF(H6=0,"",E6*G6*H6)</f>
        <v/>
      </c>
      <c r="J6" s="344"/>
      <c r="K6" s="345" t="str">
        <f t="shared" ref="K6:K47" si="1">IF(G6=0,"",F6*G6*J6)</f>
        <v/>
      </c>
    </row>
    <row r="7" spans="2:12" ht="16.5" customHeight="1">
      <c r="B7" s="333"/>
      <c r="D7" s="339" t="str">
        <f>IF(B7="","",VLOOKUP(B7,'10.Equipment depreciation table'!$B$3:$E$52,2))</f>
        <v/>
      </c>
      <c r="E7" s="340" t="str">
        <f>IF(B7="","",VLOOKUP(B7,'10.Equipment depreciation table'!$B$3:$E$52,3))</f>
        <v/>
      </c>
      <c r="F7" s="341" t="str">
        <f>IF(B7="","",VLOOKUP(B7,'10.Equipment depreciation table'!$B$3:$E$52,4))</f>
        <v/>
      </c>
      <c r="G7" s="342"/>
      <c r="H7" s="342"/>
      <c r="I7" s="343" t="str">
        <f t="shared" si="0"/>
        <v/>
      </c>
      <c r="J7" s="344"/>
      <c r="K7" s="345" t="str">
        <f t="shared" si="1"/>
        <v/>
      </c>
    </row>
    <row r="8" spans="2:12" ht="16.5" customHeight="1">
      <c r="B8" s="333"/>
      <c r="D8" s="339" t="str">
        <f>IF(B8="","",VLOOKUP(B8,'10.Equipment depreciation table'!$B$3:$E$52,2))</f>
        <v/>
      </c>
      <c r="E8" s="340" t="str">
        <f>IF(B8="","",VLOOKUP(B8,'10.Equipment depreciation table'!$B$3:$E$52,3))</f>
        <v/>
      </c>
      <c r="F8" s="341" t="str">
        <f>IF(B8="","",VLOOKUP(B8,'10.Equipment depreciation table'!$B$3:$E$52,4))</f>
        <v/>
      </c>
      <c r="G8" s="342"/>
      <c r="H8" s="342"/>
      <c r="I8" s="343" t="str">
        <f t="shared" si="0"/>
        <v/>
      </c>
      <c r="J8" s="344"/>
      <c r="K8" s="345" t="str">
        <f t="shared" si="1"/>
        <v/>
      </c>
    </row>
    <row r="9" spans="2:12" ht="16.5" customHeight="1">
      <c r="B9" s="333"/>
      <c r="D9" s="339" t="str">
        <f>IF(B9="","",VLOOKUP(B9,'10.Equipment depreciation table'!$B$3:$E$52,2))</f>
        <v/>
      </c>
      <c r="E9" s="340" t="str">
        <f>IF(B9="","",VLOOKUP(B9,'10.Equipment depreciation table'!$B$3:$E$52,3))</f>
        <v/>
      </c>
      <c r="F9" s="341" t="str">
        <f>IF(B9="","",VLOOKUP(B9,'10.Equipment depreciation table'!$B$3:$E$52,4))</f>
        <v/>
      </c>
      <c r="G9" s="342"/>
      <c r="H9" s="342"/>
      <c r="I9" s="343" t="str">
        <f t="shared" si="0"/>
        <v/>
      </c>
      <c r="J9" s="344"/>
      <c r="K9" s="345" t="str">
        <f t="shared" si="1"/>
        <v/>
      </c>
    </row>
    <row r="10" spans="2:12" ht="16.5" customHeight="1">
      <c r="B10" s="333"/>
      <c r="D10" s="339" t="str">
        <f>IF(B10="","",VLOOKUP(B10,'10.Equipment depreciation table'!$B$3:$E$52,2))</f>
        <v/>
      </c>
      <c r="E10" s="340" t="str">
        <f>IF(B10="","",VLOOKUP(B10,'10.Equipment depreciation table'!$B$3:$E$52,3))</f>
        <v/>
      </c>
      <c r="F10" s="341" t="str">
        <f>IF(B10="","",VLOOKUP(B10,'10.Equipment depreciation table'!$B$3:$E$52,4))</f>
        <v/>
      </c>
      <c r="G10" s="342"/>
      <c r="H10" s="342"/>
      <c r="I10" s="343" t="str">
        <f t="shared" si="0"/>
        <v/>
      </c>
      <c r="J10" s="344"/>
      <c r="K10" s="345" t="str">
        <f t="shared" si="1"/>
        <v/>
      </c>
    </row>
    <row r="11" spans="2:12" ht="16.5" customHeight="1">
      <c r="B11" s="333"/>
      <c r="D11" s="339" t="str">
        <f>IF(B11="","",VLOOKUP(B11,'10.Equipment depreciation table'!$B$3:$E$52,2))</f>
        <v/>
      </c>
      <c r="E11" s="340" t="str">
        <f>IF(B11="","",VLOOKUP(B11,'10.Equipment depreciation table'!$B$3:$E$52,3))</f>
        <v/>
      </c>
      <c r="F11" s="341" t="str">
        <f>IF(B11="","",VLOOKUP(B11,'10.Equipment depreciation table'!$B$3:$E$52,4))</f>
        <v/>
      </c>
      <c r="G11" s="342"/>
      <c r="H11" s="342"/>
      <c r="I11" s="343" t="str">
        <f t="shared" si="0"/>
        <v/>
      </c>
      <c r="J11" s="344"/>
      <c r="K11" s="345" t="str">
        <f t="shared" si="1"/>
        <v/>
      </c>
    </row>
    <row r="12" spans="2:12" ht="16.5" customHeight="1">
      <c r="B12" s="333"/>
      <c r="D12" s="339" t="str">
        <f>IF(B12="","",VLOOKUP(B12,'10.Equipment depreciation table'!$B$3:$E$52,2))</f>
        <v/>
      </c>
      <c r="E12" s="340" t="str">
        <f>IF(B12="","",VLOOKUP(B12,'10.Equipment depreciation table'!$B$3:$E$52,3))</f>
        <v/>
      </c>
      <c r="F12" s="341" t="str">
        <f>IF(B12="","",VLOOKUP(B12,'10.Equipment depreciation table'!$B$3:$E$52,4))</f>
        <v/>
      </c>
      <c r="G12" s="342"/>
      <c r="H12" s="342"/>
      <c r="I12" s="343" t="str">
        <f t="shared" si="0"/>
        <v/>
      </c>
      <c r="J12" s="344"/>
      <c r="K12" s="345" t="str">
        <f t="shared" si="1"/>
        <v/>
      </c>
    </row>
    <row r="13" spans="2:12" ht="16.5" customHeight="1">
      <c r="B13" s="333"/>
      <c r="D13" s="339" t="str">
        <f>IF(B13="","",VLOOKUP(B13,'10.Equipment depreciation table'!$B$3:$E$52,2))</f>
        <v/>
      </c>
      <c r="E13" s="340" t="str">
        <f>IF(B13="","",VLOOKUP(B13,'10.Equipment depreciation table'!$B$3:$E$52,3))</f>
        <v/>
      </c>
      <c r="F13" s="341" t="str">
        <f>IF(B13="","",VLOOKUP(B13,'10.Equipment depreciation table'!$B$3:$E$52,4))</f>
        <v/>
      </c>
      <c r="G13" s="342"/>
      <c r="H13" s="342"/>
      <c r="I13" s="343" t="str">
        <f t="shared" si="0"/>
        <v/>
      </c>
      <c r="J13" s="344"/>
      <c r="K13" s="345" t="str">
        <f t="shared" si="1"/>
        <v/>
      </c>
    </row>
    <row r="14" spans="2:12" ht="16.5" customHeight="1">
      <c r="B14" s="333"/>
      <c r="D14" s="339" t="str">
        <f>IF(B14="","",VLOOKUP(B14,'10.Equipment depreciation table'!$B$3:$E$52,2))</f>
        <v/>
      </c>
      <c r="E14" s="340" t="str">
        <f>IF(B14="","",VLOOKUP(B14,'10.Equipment depreciation table'!$B$3:$E$52,3))</f>
        <v/>
      </c>
      <c r="F14" s="341" t="str">
        <f>IF(B14="","",VLOOKUP(B14,'10.Equipment depreciation table'!$B$3:$E$52,4))</f>
        <v/>
      </c>
      <c r="G14" s="342"/>
      <c r="H14" s="342"/>
      <c r="I14" s="343" t="str">
        <f t="shared" si="0"/>
        <v/>
      </c>
      <c r="J14" s="344"/>
      <c r="K14" s="345" t="str">
        <f t="shared" si="1"/>
        <v/>
      </c>
    </row>
    <row r="15" spans="2:12" ht="16.5" customHeight="1">
      <c r="B15" s="333"/>
      <c r="D15" s="339" t="str">
        <f>IF(B15="","",VLOOKUP(B15,'10.Equipment depreciation table'!$B$3:$E$52,2))</f>
        <v/>
      </c>
      <c r="E15" s="340" t="str">
        <f>IF(B15="","",VLOOKUP(B15,'10.Equipment depreciation table'!$B$3:$E$52,3))</f>
        <v/>
      </c>
      <c r="F15" s="341" t="str">
        <f>IF(B15="","",VLOOKUP(B15,'10.Equipment depreciation table'!$B$3:$E$52,4))</f>
        <v/>
      </c>
      <c r="G15" s="342"/>
      <c r="H15" s="342"/>
      <c r="I15" s="343" t="str">
        <f t="shared" si="0"/>
        <v/>
      </c>
      <c r="J15" s="344"/>
      <c r="K15" s="345" t="str">
        <f t="shared" si="1"/>
        <v/>
      </c>
    </row>
    <row r="16" spans="2:12" ht="16.5" customHeight="1">
      <c r="B16" s="333"/>
      <c r="D16" s="339" t="str">
        <f>IF(B16="","",VLOOKUP(B16,'10.Equipment depreciation table'!$B$3:$E$52,2))</f>
        <v/>
      </c>
      <c r="E16" s="340" t="str">
        <f>IF(B16="","",VLOOKUP(B16,'10.Equipment depreciation table'!$B$3:$E$52,3))</f>
        <v/>
      </c>
      <c r="F16" s="341" t="str">
        <f>IF(B16="","",VLOOKUP(B16,'10.Equipment depreciation table'!$B$3:$E$52,4))</f>
        <v/>
      </c>
      <c r="G16" s="342"/>
      <c r="H16" s="342"/>
      <c r="I16" s="346" t="str">
        <f t="shared" si="0"/>
        <v/>
      </c>
      <c r="J16" s="344"/>
      <c r="K16" s="345" t="str">
        <f t="shared" si="1"/>
        <v/>
      </c>
    </row>
    <row r="17" spans="2:11" ht="16.5" customHeight="1">
      <c r="B17" s="333"/>
      <c r="D17" s="339" t="str">
        <f>IF(B17="","",VLOOKUP(B17,'10.Equipment depreciation table'!$B$3:$E$52,2))</f>
        <v/>
      </c>
      <c r="E17" s="347" t="str">
        <f>IF(B17="","",VLOOKUP(B17,'10.Equipment depreciation table'!$B$3:$E$52,3))</f>
        <v/>
      </c>
      <c r="F17" s="348" t="str">
        <f>IF(B17="","",VLOOKUP(B17,'10.Equipment depreciation table'!$B$3:$E$52,4))</f>
        <v/>
      </c>
      <c r="G17" s="342"/>
      <c r="H17" s="342"/>
      <c r="I17" s="346" t="str">
        <f t="shared" si="0"/>
        <v/>
      </c>
      <c r="J17" s="344"/>
      <c r="K17" s="345" t="str">
        <f t="shared" si="1"/>
        <v/>
      </c>
    </row>
    <row r="18" spans="2:11" ht="16.5" customHeight="1">
      <c r="B18" s="333"/>
      <c r="D18" s="339" t="str">
        <f>IF(B18="","",VLOOKUP(B18,'10.Equipment depreciation table'!$B$3:$E$52,2))</f>
        <v/>
      </c>
      <c r="E18" s="347" t="str">
        <f>IF(B18="","",VLOOKUP(B18,'10.Equipment depreciation table'!$B$3:$E$52,3))</f>
        <v/>
      </c>
      <c r="F18" s="348" t="str">
        <f>IF(B18="","",VLOOKUP(B18,'10.Equipment depreciation table'!$B$3:$E$52,4))</f>
        <v/>
      </c>
      <c r="G18" s="342"/>
      <c r="H18" s="342"/>
      <c r="I18" s="346" t="str">
        <f t="shared" si="0"/>
        <v/>
      </c>
      <c r="J18" s="344"/>
      <c r="K18" s="345" t="str">
        <f t="shared" si="1"/>
        <v/>
      </c>
    </row>
    <row r="19" spans="2:11" ht="16.5" customHeight="1">
      <c r="B19" s="333"/>
      <c r="D19" s="339" t="str">
        <f>IF(B19="","",VLOOKUP(B19,'10.Equipment depreciation table'!$B$3:$E$52,2))</f>
        <v/>
      </c>
      <c r="E19" s="347" t="str">
        <f>IF(B19="","",VLOOKUP(B19,'10.Equipment depreciation table'!$B$3:$E$52,3))</f>
        <v/>
      </c>
      <c r="F19" s="348" t="str">
        <f>IF(B19="","",VLOOKUP(B19,'10.Equipment depreciation table'!$B$3:$E$52,4))</f>
        <v/>
      </c>
      <c r="G19" s="342"/>
      <c r="H19" s="342"/>
      <c r="I19" s="346" t="str">
        <f t="shared" si="0"/>
        <v/>
      </c>
      <c r="J19" s="344"/>
      <c r="K19" s="345" t="str">
        <f t="shared" si="1"/>
        <v/>
      </c>
    </row>
    <row r="20" spans="2:11" ht="16.5" customHeight="1">
      <c r="B20" s="333"/>
      <c r="D20" s="339" t="str">
        <f>IF(B20="","",VLOOKUP(B20,'10.Equipment depreciation table'!$B$3:$E$52,2))</f>
        <v/>
      </c>
      <c r="E20" s="347" t="str">
        <f>IF(B20="","",VLOOKUP(B20,'10.Equipment depreciation table'!$B$3:$E$52,3))</f>
        <v/>
      </c>
      <c r="F20" s="348" t="str">
        <f>IF(B20="","",VLOOKUP(B20,'10.Equipment depreciation table'!$B$3:$E$52,4))</f>
        <v/>
      </c>
      <c r="G20" s="342"/>
      <c r="H20" s="342"/>
      <c r="I20" s="346" t="str">
        <f t="shared" si="0"/>
        <v/>
      </c>
      <c r="J20" s="344"/>
      <c r="K20" s="345" t="str">
        <f t="shared" si="1"/>
        <v/>
      </c>
    </row>
    <row r="21" spans="2:11" ht="16.5" customHeight="1">
      <c r="B21" s="333"/>
      <c r="D21" s="339" t="str">
        <f>IF(B21="","",VLOOKUP(B21,'10.Equipment depreciation table'!$B$3:$E$52,2))</f>
        <v/>
      </c>
      <c r="E21" s="347" t="str">
        <f>IF(B21="","",VLOOKUP(B21,'10.Equipment depreciation table'!$B$3:$E$52,3))</f>
        <v/>
      </c>
      <c r="F21" s="348" t="str">
        <f>IF(B21="","",VLOOKUP(B21,'10.Equipment depreciation table'!$B$3:$E$52,4))</f>
        <v/>
      </c>
      <c r="G21" s="342"/>
      <c r="H21" s="342"/>
      <c r="I21" s="346" t="str">
        <f t="shared" si="0"/>
        <v/>
      </c>
      <c r="J21" s="344"/>
      <c r="K21" s="345" t="str">
        <f t="shared" si="1"/>
        <v/>
      </c>
    </row>
    <row r="22" spans="2:11" ht="16.5" customHeight="1">
      <c r="B22" s="333"/>
      <c r="D22" s="339" t="str">
        <f>IF(B22="","",VLOOKUP(B22,'10.Equipment depreciation table'!$B$3:$E$52,2))</f>
        <v/>
      </c>
      <c r="E22" s="347" t="str">
        <f>IF(B22="","",VLOOKUP(B22,'10.Equipment depreciation table'!$B$3:$E$52,3))</f>
        <v/>
      </c>
      <c r="F22" s="348" t="str">
        <f>IF(B22="","",VLOOKUP(B22,'10.Equipment depreciation table'!$B$3:$E$52,4))</f>
        <v/>
      </c>
      <c r="G22" s="342"/>
      <c r="H22" s="342"/>
      <c r="I22" s="346" t="str">
        <f t="shared" si="0"/>
        <v/>
      </c>
      <c r="J22" s="344"/>
      <c r="K22" s="345" t="str">
        <f t="shared" si="1"/>
        <v/>
      </c>
    </row>
    <row r="23" spans="2:11" ht="16.5" customHeight="1">
      <c r="B23" s="333"/>
      <c r="D23" s="339" t="str">
        <f>IF(B23="","",VLOOKUP(B23,'10.Equipment depreciation table'!$B$3:$E$52,2))</f>
        <v/>
      </c>
      <c r="E23" s="347" t="str">
        <f>IF(B23="","",VLOOKUP(B23,'10.Equipment depreciation table'!$B$3:$E$52,3))</f>
        <v/>
      </c>
      <c r="F23" s="348" t="str">
        <f>IF(B23="","",VLOOKUP(B23,'10.Equipment depreciation table'!$B$3:$E$52,4))</f>
        <v/>
      </c>
      <c r="G23" s="342"/>
      <c r="H23" s="342"/>
      <c r="I23" s="346" t="str">
        <f t="shared" si="0"/>
        <v/>
      </c>
      <c r="J23" s="344"/>
      <c r="K23" s="345" t="str">
        <f t="shared" si="1"/>
        <v/>
      </c>
    </row>
    <row r="24" spans="2:11" ht="16.5" customHeight="1">
      <c r="B24" s="333"/>
      <c r="D24" s="339" t="str">
        <f>IF(B24="","",VLOOKUP(B24,'10.Equipment depreciation table'!$B$3:$E$52,2))</f>
        <v/>
      </c>
      <c r="E24" s="347" t="str">
        <f>IF(B24="","",VLOOKUP(B24,'10.Equipment depreciation table'!$B$3:$E$52,3))</f>
        <v/>
      </c>
      <c r="F24" s="348" t="str">
        <f>IF(B24="","",VLOOKUP(B24,'10.Equipment depreciation table'!$B$3:$E$52,4))</f>
        <v/>
      </c>
      <c r="G24" s="342"/>
      <c r="H24" s="342"/>
      <c r="I24" s="346" t="str">
        <f t="shared" si="0"/>
        <v/>
      </c>
      <c r="J24" s="344"/>
      <c r="K24" s="345" t="str">
        <f t="shared" si="1"/>
        <v/>
      </c>
    </row>
    <row r="25" spans="2:11" ht="16.5" customHeight="1">
      <c r="B25" s="333"/>
      <c r="D25" s="339" t="str">
        <f>IF(B25="","",VLOOKUP(B25,'10.Equipment depreciation table'!$B$3:$E$52,2))</f>
        <v/>
      </c>
      <c r="E25" s="347" t="str">
        <f>IF(B25="","",VLOOKUP(B25,'10.Equipment depreciation table'!$B$3:$E$52,3))</f>
        <v/>
      </c>
      <c r="F25" s="348" t="str">
        <f>IF(B25="","",VLOOKUP(B25,'10.Equipment depreciation table'!$B$3:$E$52,4))</f>
        <v/>
      </c>
      <c r="G25" s="342"/>
      <c r="H25" s="342"/>
      <c r="I25" s="346" t="str">
        <f t="shared" si="0"/>
        <v/>
      </c>
      <c r="J25" s="344"/>
      <c r="K25" s="345" t="str">
        <f t="shared" si="1"/>
        <v/>
      </c>
    </row>
    <row r="26" spans="2:11" ht="16.5" customHeight="1">
      <c r="B26" s="333"/>
      <c r="D26" s="339" t="str">
        <f>IF(B26="","",VLOOKUP(B26,'10.Equipment depreciation table'!$B$3:$E$52,2))</f>
        <v/>
      </c>
      <c r="E26" s="347" t="str">
        <f>IF(B26="","",VLOOKUP(B26,'10.Equipment depreciation table'!$B$3:$E$52,3))</f>
        <v/>
      </c>
      <c r="F26" s="348" t="str">
        <f>IF(B26="","",VLOOKUP(B26,'10.Equipment depreciation table'!$B$3:$E$52,4))</f>
        <v/>
      </c>
      <c r="G26" s="342"/>
      <c r="H26" s="342"/>
      <c r="I26" s="346" t="str">
        <f t="shared" si="0"/>
        <v/>
      </c>
      <c r="J26" s="344"/>
      <c r="K26" s="345" t="str">
        <f t="shared" si="1"/>
        <v/>
      </c>
    </row>
    <row r="27" spans="2:11" ht="16.5" customHeight="1">
      <c r="B27" s="333"/>
      <c r="D27" s="339" t="str">
        <f>IF(B27="","",VLOOKUP(B27,'10.Equipment depreciation table'!$B$3:$E$52,2))</f>
        <v/>
      </c>
      <c r="E27" s="347" t="str">
        <f>IF(B27="","",VLOOKUP(B27,'10.Equipment depreciation table'!$B$3:$E$52,3))</f>
        <v/>
      </c>
      <c r="F27" s="348" t="str">
        <f>IF(B27="","",VLOOKUP(B27,'10.Equipment depreciation table'!$B$3:$E$52,4))</f>
        <v/>
      </c>
      <c r="G27" s="342"/>
      <c r="H27" s="342"/>
      <c r="I27" s="346" t="str">
        <f t="shared" si="0"/>
        <v/>
      </c>
      <c r="J27" s="344"/>
      <c r="K27" s="345" t="str">
        <f t="shared" si="1"/>
        <v/>
      </c>
    </row>
    <row r="28" spans="2:11" ht="16.5" customHeight="1">
      <c r="B28" s="333"/>
      <c r="D28" s="339" t="str">
        <f>IF(B28="","",VLOOKUP(B28,'10.Equipment depreciation table'!$B$3:$E$52,2))</f>
        <v/>
      </c>
      <c r="E28" s="347" t="str">
        <f>IF(B28="","",VLOOKUP(B28,'10.Equipment depreciation table'!$B$3:$E$52,3))</f>
        <v/>
      </c>
      <c r="F28" s="348" t="str">
        <f>IF(B28="","",VLOOKUP(B28,'10.Equipment depreciation table'!$B$3:$E$52,4))</f>
        <v/>
      </c>
      <c r="G28" s="342"/>
      <c r="H28" s="342"/>
      <c r="I28" s="346" t="str">
        <f t="shared" si="0"/>
        <v/>
      </c>
      <c r="J28" s="344"/>
      <c r="K28" s="345" t="str">
        <f t="shared" si="1"/>
        <v/>
      </c>
    </row>
    <row r="29" spans="2:11" ht="16.5" customHeight="1">
      <c r="B29" s="333"/>
      <c r="D29" s="339" t="str">
        <f>IF(B29="","",VLOOKUP(B29,'10.Equipment depreciation table'!$B$3:$E$52,2))</f>
        <v/>
      </c>
      <c r="E29" s="347" t="str">
        <f>IF(B29="","",VLOOKUP(B29,'10.Equipment depreciation table'!$B$3:$E$52,3))</f>
        <v/>
      </c>
      <c r="F29" s="348" t="str">
        <f>IF(B29="","",VLOOKUP(B29,'10.Equipment depreciation table'!$B$3:$E$52,4))</f>
        <v/>
      </c>
      <c r="G29" s="342"/>
      <c r="H29" s="342"/>
      <c r="I29" s="346" t="str">
        <f t="shared" si="0"/>
        <v/>
      </c>
      <c r="J29" s="344"/>
      <c r="K29" s="345" t="str">
        <f t="shared" si="1"/>
        <v/>
      </c>
    </row>
    <row r="30" spans="2:11" ht="16.5" customHeight="1">
      <c r="B30" s="333"/>
      <c r="D30" s="339" t="str">
        <f>IF(B30="","",VLOOKUP(B30,'10.Equipment depreciation table'!$B$3:$E$52,2))</f>
        <v/>
      </c>
      <c r="E30" s="347" t="str">
        <f>IF(B30="","",VLOOKUP(B30,'10.Equipment depreciation table'!$B$3:$E$52,3))</f>
        <v/>
      </c>
      <c r="F30" s="348" t="str">
        <f>IF(B30="","",VLOOKUP(B30,'10.Equipment depreciation table'!$B$3:$E$52,4))</f>
        <v/>
      </c>
      <c r="G30" s="342"/>
      <c r="H30" s="342"/>
      <c r="I30" s="346" t="str">
        <f t="shared" si="0"/>
        <v/>
      </c>
      <c r="J30" s="344"/>
      <c r="K30" s="345" t="str">
        <f t="shared" si="1"/>
        <v/>
      </c>
    </row>
    <row r="31" spans="2:11" ht="16.5" customHeight="1">
      <c r="B31" s="333"/>
      <c r="D31" s="339" t="str">
        <f>IF(B31="","",VLOOKUP(B31,'10.Equipment depreciation table'!$B$3:$E$52,2))</f>
        <v/>
      </c>
      <c r="E31" s="347" t="str">
        <f>IF(B31="","",VLOOKUP(B31,'10.Equipment depreciation table'!$B$3:$E$52,3))</f>
        <v/>
      </c>
      <c r="F31" s="348" t="str">
        <f>IF(B31="","",VLOOKUP(B31,'10.Equipment depreciation table'!$B$3:$E$52,4))</f>
        <v/>
      </c>
      <c r="G31" s="342"/>
      <c r="H31" s="342"/>
      <c r="I31" s="346" t="str">
        <f t="shared" si="0"/>
        <v/>
      </c>
      <c r="J31" s="344"/>
      <c r="K31" s="345" t="str">
        <f t="shared" si="1"/>
        <v/>
      </c>
    </row>
    <row r="32" spans="2:11" ht="16.5" customHeight="1">
      <c r="B32" s="333"/>
      <c r="D32" s="339" t="str">
        <f>IF(B32="","",VLOOKUP(B32,'10.Equipment depreciation table'!$B$3:$E$52,2))</f>
        <v/>
      </c>
      <c r="E32" s="347" t="str">
        <f>IF(B32="","",VLOOKUP(B32,'10.Equipment depreciation table'!$B$3:$E$52,3))</f>
        <v/>
      </c>
      <c r="F32" s="348" t="str">
        <f>IF(B32="","",VLOOKUP(B32,'10.Equipment depreciation table'!$B$3:$E$52,4))</f>
        <v/>
      </c>
      <c r="G32" s="342"/>
      <c r="H32" s="342"/>
      <c r="I32" s="346" t="str">
        <f t="shared" si="0"/>
        <v/>
      </c>
      <c r="J32" s="344"/>
      <c r="K32" s="345" t="str">
        <f t="shared" si="1"/>
        <v/>
      </c>
    </row>
    <row r="33" spans="2:11" ht="16.5" customHeight="1">
      <c r="B33" s="333"/>
      <c r="D33" s="339" t="str">
        <f>IF(B33="","",VLOOKUP(B33,'10.Equipment depreciation table'!$B$3:$E$52,2))</f>
        <v/>
      </c>
      <c r="E33" s="347" t="str">
        <f>IF(B33="","",VLOOKUP(B33,'10.Equipment depreciation table'!$B$3:$E$52,3))</f>
        <v/>
      </c>
      <c r="F33" s="348" t="str">
        <f>IF(B33="","",VLOOKUP(B33,'10.Equipment depreciation table'!$B$3:$E$52,4))</f>
        <v/>
      </c>
      <c r="G33" s="342"/>
      <c r="H33" s="342"/>
      <c r="I33" s="346" t="str">
        <f t="shared" si="0"/>
        <v/>
      </c>
      <c r="J33" s="344"/>
      <c r="K33" s="345" t="str">
        <f t="shared" si="1"/>
        <v/>
      </c>
    </row>
    <row r="34" spans="2:11" ht="16.5" customHeight="1">
      <c r="B34" s="333"/>
      <c r="D34" s="339" t="str">
        <f>IF(B34="","",VLOOKUP(B34,'10.Equipment depreciation table'!$B$3:$E$52,2))</f>
        <v/>
      </c>
      <c r="E34" s="347" t="str">
        <f>IF(B34="","",VLOOKUP(B34,'10.Equipment depreciation table'!$B$3:$E$52,3))</f>
        <v/>
      </c>
      <c r="F34" s="348" t="str">
        <f>IF(B34="","",VLOOKUP(B34,'10.Equipment depreciation table'!$B$3:$E$52,4))</f>
        <v/>
      </c>
      <c r="G34" s="342"/>
      <c r="H34" s="342"/>
      <c r="I34" s="346" t="str">
        <f t="shared" si="0"/>
        <v/>
      </c>
      <c r="J34" s="344"/>
      <c r="K34" s="345" t="str">
        <f t="shared" si="1"/>
        <v/>
      </c>
    </row>
    <row r="35" spans="2:11" ht="16.5" customHeight="1">
      <c r="B35" s="333"/>
      <c r="D35" s="339" t="str">
        <f>IF(B35="","",VLOOKUP(B35,'10.Equipment depreciation table'!$B$3:$E$52,2))</f>
        <v/>
      </c>
      <c r="E35" s="347" t="str">
        <f>IF(B35="","",VLOOKUP(B35,'10.Equipment depreciation table'!$B$3:$E$52,3))</f>
        <v/>
      </c>
      <c r="F35" s="348" t="str">
        <f>IF(B35="","",VLOOKUP(B35,'10.Equipment depreciation table'!$B$3:$E$52,4))</f>
        <v/>
      </c>
      <c r="G35" s="342"/>
      <c r="H35" s="342"/>
      <c r="I35" s="346" t="str">
        <f t="shared" si="0"/>
        <v/>
      </c>
      <c r="J35" s="344"/>
      <c r="K35" s="345" t="str">
        <f t="shared" si="1"/>
        <v/>
      </c>
    </row>
    <row r="36" spans="2:11" ht="16.5" customHeight="1">
      <c r="B36" s="333"/>
      <c r="D36" s="339" t="str">
        <f>IF(B36="","",VLOOKUP(B36,'10.Equipment depreciation table'!$B$3:$E$52,2))</f>
        <v/>
      </c>
      <c r="E36" s="347" t="str">
        <f>IF(B36="","",VLOOKUP(B36,'10.Equipment depreciation table'!$B$3:$E$52,3))</f>
        <v/>
      </c>
      <c r="F36" s="348" t="str">
        <f>IF(B36="","",VLOOKUP(B36,'10.Equipment depreciation table'!$B$3:$E$52,4))</f>
        <v/>
      </c>
      <c r="G36" s="342"/>
      <c r="H36" s="342"/>
      <c r="I36" s="346" t="str">
        <f t="shared" si="0"/>
        <v/>
      </c>
      <c r="J36" s="344"/>
      <c r="K36" s="345" t="str">
        <f t="shared" si="1"/>
        <v/>
      </c>
    </row>
    <row r="37" spans="2:11" ht="16.5" customHeight="1">
      <c r="B37" s="333"/>
      <c r="D37" s="339" t="str">
        <f>IF(B37="","",VLOOKUP(B37,'10.Equipment depreciation table'!$B$3:$E$52,2))</f>
        <v/>
      </c>
      <c r="E37" s="347" t="str">
        <f>IF(B37="","",VLOOKUP(B37,'10.Equipment depreciation table'!$B$3:$E$52,3))</f>
        <v/>
      </c>
      <c r="F37" s="348" t="str">
        <f>IF(B37="","",VLOOKUP(B37,'10.Equipment depreciation table'!$B$3:$E$52,4))</f>
        <v/>
      </c>
      <c r="G37" s="342"/>
      <c r="H37" s="342"/>
      <c r="I37" s="346" t="str">
        <f t="shared" si="0"/>
        <v/>
      </c>
      <c r="J37" s="344"/>
      <c r="K37" s="345" t="str">
        <f t="shared" si="1"/>
        <v/>
      </c>
    </row>
    <row r="38" spans="2:11" ht="16.5" customHeight="1">
      <c r="B38" s="333"/>
      <c r="D38" s="339" t="str">
        <f>IF(B38="","",VLOOKUP(B38,'10.Equipment depreciation table'!$B$3:$E$52,2))</f>
        <v/>
      </c>
      <c r="E38" s="347" t="str">
        <f>IF(B38="","",VLOOKUP(B38,'10.Equipment depreciation table'!$B$3:$E$52,3))</f>
        <v/>
      </c>
      <c r="F38" s="348" t="str">
        <f>IF(B38="","",VLOOKUP(B38,'10.Equipment depreciation table'!$B$3:$E$52,4))</f>
        <v/>
      </c>
      <c r="G38" s="342"/>
      <c r="H38" s="342"/>
      <c r="I38" s="346" t="str">
        <f t="shared" si="0"/>
        <v/>
      </c>
      <c r="J38" s="344"/>
      <c r="K38" s="345" t="str">
        <f t="shared" si="1"/>
        <v/>
      </c>
    </row>
    <row r="39" spans="2:11" ht="16.5" customHeight="1">
      <c r="B39" s="333"/>
      <c r="D39" s="339" t="str">
        <f>IF(B39="","",VLOOKUP(B39,'10.Equipment depreciation table'!$B$3:$E$52,2))</f>
        <v/>
      </c>
      <c r="E39" s="347" t="str">
        <f>IF(B39="","",VLOOKUP(B39,'10.Equipment depreciation table'!$B$3:$E$52,3))</f>
        <v/>
      </c>
      <c r="F39" s="348" t="str">
        <f>IF(B39="","",VLOOKUP(B39,'10.Equipment depreciation table'!$B$3:$E$52,4))</f>
        <v/>
      </c>
      <c r="G39" s="342"/>
      <c r="H39" s="342"/>
      <c r="I39" s="346" t="str">
        <f t="shared" si="0"/>
        <v/>
      </c>
      <c r="J39" s="344"/>
      <c r="K39" s="345" t="str">
        <f t="shared" si="1"/>
        <v/>
      </c>
    </row>
    <row r="40" spans="2:11" ht="16.5" customHeight="1">
      <c r="B40" s="333"/>
      <c r="D40" s="339" t="str">
        <f>IF(B40="","",VLOOKUP(B40,'10.Equipment depreciation table'!$B$3:$E$52,2))</f>
        <v/>
      </c>
      <c r="E40" s="347" t="str">
        <f>IF(B40="","",VLOOKUP(B40,'10.Equipment depreciation table'!$B$3:$E$52,3))</f>
        <v/>
      </c>
      <c r="F40" s="348" t="str">
        <f>IF(B40="","",VLOOKUP(B40,'10.Equipment depreciation table'!$B$3:$E$52,4))</f>
        <v/>
      </c>
      <c r="G40" s="342"/>
      <c r="H40" s="342"/>
      <c r="I40" s="346" t="str">
        <f t="shared" si="0"/>
        <v/>
      </c>
      <c r="J40" s="344"/>
      <c r="K40" s="345" t="str">
        <f t="shared" si="1"/>
        <v/>
      </c>
    </row>
    <row r="41" spans="2:11" ht="16.5" customHeight="1">
      <c r="B41" s="333"/>
      <c r="D41" s="339" t="str">
        <f>IF(B41="","",VLOOKUP(B41,'10.Equipment depreciation table'!$B$3:$E$52,2))</f>
        <v/>
      </c>
      <c r="E41" s="347" t="str">
        <f>IF(B41="","",VLOOKUP(B41,'10.Equipment depreciation table'!$B$3:$E$52,3))</f>
        <v/>
      </c>
      <c r="F41" s="348" t="str">
        <f>IF(B41="","",VLOOKUP(B41,'10.Equipment depreciation table'!$B$3:$E$52,4))</f>
        <v/>
      </c>
      <c r="G41" s="342"/>
      <c r="H41" s="342"/>
      <c r="I41" s="346" t="str">
        <f t="shared" si="0"/>
        <v/>
      </c>
      <c r="J41" s="344"/>
      <c r="K41" s="345" t="str">
        <f t="shared" si="1"/>
        <v/>
      </c>
    </row>
    <row r="42" spans="2:11" ht="16.5" customHeight="1">
      <c r="B42" s="333"/>
      <c r="D42" s="339" t="str">
        <f>IF(B42="","",VLOOKUP(B42,'10.Equipment depreciation table'!$B$3:$E$52,2))</f>
        <v/>
      </c>
      <c r="E42" s="347" t="str">
        <f>IF(B42="","",VLOOKUP(B42,'10.Equipment depreciation table'!$B$3:$E$52,3))</f>
        <v/>
      </c>
      <c r="F42" s="348" t="str">
        <f>IF(B42="","",VLOOKUP(B42,'10.Equipment depreciation table'!$B$3:$E$52,4))</f>
        <v/>
      </c>
      <c r="G42" s="342"/>
      <c r="H42" s="342"/>
      <c r="I42" s="346" t="str">
        <f t="shared" si="0"/>
        <v/>
      </c>
      <c r="J42" s="344"/>
      <c r="K42" s="345" t="str">
        <f t="shared" si="1"/>
        <v/>
      </c>
    </row>
    <row r="43" spans="2:11" ht="16.5" customHeight="1">
      <c r="B43" s="333"/>
      <c r="D43" s="339" t="str">
        <f>IF(B43="","",VLOOKUP(B43,'10.Equipment depreciation table'!$B$3:$E$52,2))</f>
        <v/>
      </c>
      <c r="E43" s="347" t="str">
        <f>IF(B43="","",VLOOKUP(B43,'10.Equipment depreciation table'!$B$3:$E$52,3))</f>
        <v/>
      </c>
      <c r="F43" s="348" t="str">
        <f>IF(B43="","",VLOOKUP(B43,'10.Equipment depreciation table'!$B$3:$E$52,4))</f>
        <v/>
      </c>
      <c r="G43" s="342"/>
      <c r="H43" s="342"/>
      <c r="I43" s="346" t="str">
        <f t="shared" si="0"/>
        <v/>
      </c>
      <c r="J43" s="344"/>
      <c r="K43" s="345" t="str">
        <f t="shared" si="1"/>
        <v/>
      </c>
    </row>
    <row r="44" spans="2:11" ht="16.5" customHeight="1">
      <c r="B44" s="333"/>
      <c r="D44" s="339" t="str">
        <f>IF(B44="","",VLOOKUP(B44,'10.Equipment depreciation table'!$B$3:$E$52,2))</f>
        <v/>
      </c>
      <c r="E44" s="347" t="str">
        <f>IF(B44="","",VLOOKUP(B44,'10.Equipment depreciation table'!$B$3:$E$52,3))</f>
        <v/>
      </c>
      <c r="F44" s="348" t="str">
        <f>IF(B44="","",VLOOKUP(B44,'10.Equipment depreciation table'!$B$3:$E$52,4))</f>
        <v/>
      </c>
      <c r="G44" s="342"/>
      <c r="H44" s="342"/>
      <c r="I44" s="346" t="str">
        <f t="shared" si="0"/>
        <v/>
      </c>
      <c r="J44" s="344"/>
      <c r="K44" s="345" t="str">
        <f t="shared" si="1"/>
        <v/>
      </c>
    </row>
    <row r="45" spans="2:11" ht="16.5" customHeight="1">
      <c r="B45" s="333"/>
      <c r="D45" s="339" t="str">
        <f>IF(B45="","",VLOOKUP(B45,'10.Equipment depreciation table'!$B$3:$E$52,2))</f>
        <v/>
      </c>
      <c r="E45" s="347" t="str">
        <f>IF(B45="","",VLOOKUP(B45,'10.Equipment depreciation table'!$B$3:$E$52,3))</f>
        <v/>
      </c>
      <c r="F45" s="348" t="str">
        <f>IF(B45="","",VLOOKUP(B45,'10.Equipment depreciation table'!$B$3:$E$52,4))</f>
        <v/>
      </c>
      <c r="G45" s="342"/>
      <c r="H45" s="342"/>
      <c r="I45" s="346" t="str">
        <f t="shared" si="0"/>
        <v/>
      </c>
      <c r="J45" s="344"/>
      <c r="K45" s="345" t="str">
        <f t="shared" si="1"/>
        <v/>
      </c>
    </row>
    <row r="46" spans="2:11" ht="16.5" customHeight="1">
      <c r="B46" s="349"/>
      <c r="D46" s="339" t="str">
        <f>IF(B46="","",VLOOKUP(B46,'10.Equipment depreciation table'!$B$3:$E$52,2))</f>
        <v/>
      </c>
      <c r="E46" s="347" t="str">
        <f>IF(B46="","",VLOOKUP(B46,'10.Equipment depreciation table'!$B$3:$E$52,3))</f>
        <v/>
      </c>
      <c r="F46" s="348" t="str">
        <f>IF(B46="","",VLOOKUP(B46,'10.Equipment depreciation table'!$B$3:$E$52,4))</f>
        <v/>
      </c>
      <c r="G46" s="342"/>
      <c r="H46" s="342"/>
      <c r="I46" s="346" t="str">
        <f t="shared" si="0"/>
        <v/>
      </c>
      <c r="J46" s="344"/>
      <c r="K46" s="345" t="str">
        <f t="shared" si="1"/>
        <v/>
      </c>
    </row>
    <row r="47" spans="2:11" ht="16.5" customHeight="1" thickBot="1">
      <c r="B47" s="333"/>
      <c r="D47" s="350" t="str">
        <f>IF(B47="","",VLOOKUP(B47,'10.Equipment depreciation table'!$B$3:$E$52,2))</f>
        <v/>
      </c>
      <c r="E47" s="351" t="str">
        <f>IF(B47="","",VLOOKUP(B47,'10.Equipment depreciation table'!$B$3:$E$52,3))</f>
        <v/>
      </c>
      <c r="F47" s="352" t="str">
        <f>IF(B47="","",VLOOKUP(B47,'10.Equipment depreciation table'!$B$3:$E$52,4))</f>
        <v/>
      </c>
      <c r="G47" s="353"/>
      <c r="H47" s="353"/>
      <c r="I47" s="346" t="str">
        <f t="shared" si="0"/>
        <v/>
      </c>
      <c r="J47" s="354"/>
      <c r="K47" s="345" t="str">
        <f t="shared" si="1"/>
        <v/>
      </c>
    </row>
    <row r="48" spans="2:11" ht="16.5" customHeight="1">
      <c r="B48" s="355"/>
      <c r="C48" s="355"/>
      <c r="D48" s="355" t="str">
        <f>IF(B48="","",VLOOKUP(B48,'10.Equipment depreciation table'!$B$3:$E$52,2))</f>
        <v/>
      </c>
      <c r="E48" s="356" t="str">
        <f>IF(B48="","",VLOOKUP(B48,'10.Equipment depreciation table'!$B$3:$E$52,3))</f>
        <v/>
      </c>
      <c r="F48" s="357" t="str">
        <f>IF(B48="","",VLOOKUP(B48,'10.Equipment depreciation table'!$B$3:$E$52,4))</f>
        <v/>
      </c>
      <c r="G48" s="358"/>
      <c r="H48" s="359" t="s">
        <v>143</v>
      </c>
      <c r="I48" s="360">
        <f>SUM(I6:I47)</f>
        <v>0</v>
      </c>
      <c r="J48" s="361" t="s">
        <v>143</v>
      </c>
      <c r="K48" s="362">
        <f>SUM(K6:K47)</f>
        <v>0</v>
      </c>
    </row>
    <row r="49" spans="2:11" ht="16.5" customHeight="1" thickBot="1">
      <c r="B49" s="355"/>
      <c r="C49" s="355"/>
      <c r="D49" s="355" t="str">
        <f>IF(B49="","",VLOOKUP(B49,'10.Equipment depreciation table'!$B$3:$E$52,2))</f>
        <v/>
      </c>
      <c r="E49" s="356" t="str">
        <f>IF(B49="","",VLOOKUP(B49,'10.Equipment depreciation table'!$B$3:$E$52,3))</f>
        <v/>
      </c>
      <c r="F49" s="357" t="str">
        <f>IF(B49="","",VLOOKUP(B49,'10.Equipment depreciation table'!$B$3:$E$52,4))</f>
        <v/>
      </c>
      <c r="G49" s="912" t="s">
        <v>142</v>
      </c>
      <c r="H49" s="913"/>
      <c r="I49" s="914"/>
      <c r="J49" s="915">
        <f>I48+K48</f>
        <v>0</v>
      </c>
      <c r="K49" s="916"/>
    </row>
    <row r="50" spans="2:11">
      <c r="D50" s="355"/>
      <c r="E50" s="363"/>
      <c r="F50" s="363"/>
      <c r="G50" s="355"/>
      <c r="H50" s="355"/>
      <c r="I50" s="355"/>
      <c r="J50" s="355"/>
      <c r="K50" s="355"/>
    </row>
  </sheetData>
  <mergeCells count="5">
    <mergeCell ref="D2:K2"/>
    <mergeCell ref="I4:K4"/>
    <mergeCell ref="G49:I49"/>
    <mergeCell ref="J49:K49"/>
    <mergeCell ref="G3:K3"/>
  </mergeCells>
  <phoneticPr fontId="4"/>
  <pageMargins left="0.98425196850393704" right="0.39370078740157483" top="0.78740157480314965" bottom="0.59055118110236227" header="0.19685039370078741" footer="0.19685039370078741"/>
  <pageSetup paperSize="9" scale="95" orientation="portrait" r:id="rId1"/>
  <headerFooter alignWithMargins="0">
    <oddHeader>&amp;R&amp;G</oddHeader>
  </headerFooter>
  <drawing r:id="rId2"/>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B1:E54"/>
  <sheetViews>
    <sheetView topLeftCell="A34" zoomScale="110" zoomScaleNormal="110" workbookViewId="0">
      <selection activeCell="B3" sqref="B3:B49"/>
    </sheetView>
  </sheetViews>
  <sheetFormatPr defaultColWidth="9" defaultRowHeight="14.25"/>
  <cols>
    <col min="1" max="1" width="1.5703125" style="2" customWidth="1"/>
    <col min="2" max="2" width="5.5703125" style="2" customWidth="1"/>
    <col min="3" max="3" width="25.5703125" style="2" customWidth="1"/>
    <col min="4" max="4" width="20.42578125" style="2" customWidth="1"/>
    <col min="5" max="5" width="20.5703125" style="2" customWidth="1"/>
    <col min="6" max="16384" width="9" style="2"/>
  </cols>
  <sheetData>
    <row r="1" spans="2:5" ht="5.0999999999999996" customHeight="1"/>
    <row r="2" spans="2:5" ht="18" customHeight="1">
      <c r="B2" s="1" t="s">
        <v>30</v>
      </c>
      <c r="C2" s="1" t="s">
        <v>188</v>
      </c>
      <c r="D2" s="1" t="s">
        <v>156</v>
      </c>
      <c r="E2" s="1" t="s">
        <v>189</v>
      </c>
    </row>
    <row r="3" spans="2:5" ht="17.100000000000001" customHeight="1">
      <c r="B3" s="3">
        <v>1</v>
      </c>
      <c r="C3" s="4" t="s">
        <v>97</v>
      </c>
      <c r="D3" s="85">
        <v>113.1</v>
      </c>
      <c r="E3" s="85">
        <v>34.799999999999997</v>
      </c>
    </row>
    <row r="4" spans="2:5" ht="17.100000000000001" customHeight="1">
      <c r="B4" s="5">
        <v>2</v>
      </c>
      <c r="C4" s="6" t="s">
        <v>276</v>
      </c>
      <c r="D4" s="86">
        <v>139</v>
      </c>
      <c r="E4" s="86">
        <v>34.799999999999997</v>
      </c>
    </row>
    <row r="5" spans="2:5" ht="17.100000000000001" customHeight="1">
      <c r="B5" s="5">
        <v>3</v>
      </c>
      <c r="C5" s="6" t="s">
        <v>275</v>
      </c>
      <c r="D5" s="86">
        <v>139.1</v>
      </c>
      <c r="E5" s="86">
        <v>34.799999999999997</v>
      </c>
    </row>
    <row r="6" spans="2:5" ht="17.100000000000001" customHeight="1">
      <c r="B6" s="5">
        <v>4</v>
      </c>
      <c r="C6" s="6" t="s">
        <v>29</v>
      </c>
      <c r="D6" s="86">
        <v>13.1</v>
      </c>
      <c r="E6" s="86">
        <v>8.6999999999999993</v>
      </c>
    </row>
    <row r="7" spans="2:5" ht="17.100000000000001" customHeight="1">
      <c r="B7" s="5">
        <v>5</v>
      </c>
      <c r="C7" s="6" t="s">
        <v>190</v>
      </c>
      <c r="D7" s="86">
        <v>8.6999999999999993</v>
      </c>
      <c r="E7" s="86">
        <v>7</v>
      </c>
    </row>
    <row r="8" spans="2:5" ht="17.100000000000001" customHeight="1">
      <c r="B8" s="5">
        <v>6</v>
      </c>
      <c r="C8" s="6" t="s">
        <v>91</v>
      </c>
      <c r="D8" s="86">
        <v>8.6999999999999993</v>
      </c>
      <c r="E8" s="86">
        <v>4.3</v>
      </c>
    </row>
    <row r="9" spans="2:5" ht="17.100000000000001" customHeight="1">
      <c r="B9" s="5">
        <v>7</v>
      </c>
      <c r="C9" s="6" t="s">
        <v>98</v>
      </c>
      <c r="D9" s="86">
        <v>13.1</v>
      </c>
      <c r="E9" s="86">
        <v>8.6999999999999993</v>
      </c>
    </row>
    <row r="10" spans="2:5" ht="17.100000000000001" customHeight="1">
      <c r="B10" s="5">
        <v>8</v>
      </c>
      <c r="C10" s="6" t="s">
        <v>99</v>
      </c>
      <c r="D10" s="86">
        <v>13.1</v>
      </c>
      <c r="E10" s="86">
        <v>13.1</v>
      </c>
    </row>
    <row r="11" spans="2:5" ht="17.100000000000001" customHeight="1">
      <c r="B11" s="5">
        <v>9</v>
      </c>
      <c r="C11" s="6" t="s">
        <v>103</v>
      </c>
      <c r="D11" s="86">
        <v>13.1</v>
      </c>
      <c r="E11" s="86">
        <v>0</v>
      </c>
    </row>
    <row r="12" spans="2:5" ht="17.100000000000001" customHeight="1">
      <c r="B12" s="5">
        <v>10</v>
      </c>
      <c r="C12" s="6" t="s">
        <v>28</v>
      </c>
      <c r="D12" s="86">
        <v>26.1</v>
      </c>
      <c r="E12" s="86">
        <v>30.5</v>
      </c>
    </row>
    <row r="13" spans="2:5" ht="17.100000000000001" customHeight="1">
      <c r="B13" s="5">
        <v>11</v>
      </c>
      <c r="C13" s="6" t="s">
        <v>106</v>
      </c>
      <c r="D13" s="86">
        <v>26.1</v>
      </c>
      <c r="E13" s="86">
        <v>30.5</v>
      </c>
    </row>
    <row r="14" spans="2:5" ht="17.100000000000001" customHeight="1">
      <c r="B14" s="5">
        <v>12</v>
      </c>
      <c r="C14" s="6" t="s">
        <v>100</v>
      </c>
      <c r="D14" s="86">
        <v>26.1</v>
      </c>
      <c r="E14" s="86">
        <v>30.5</v>
      </c>
    </row>
    <row r="15" spans="2:5" ht="17.100000000000001" customHeight="1">
      <c r="B15" s="5">
        <v>13</v>
      </c>
      <c r="C15" s="6" t="s">
        <v>101</v>
      </c>
      <c r="D15" s="86">
        <v>26.1</v>
      </c>
      <c r="E15" s="86">
        <v>34.799999999999997</v>
      </c>
    </row>
    <row r="16" spans="2:5" ht="17.100000000000001" customHeight="1">
      <c r="B16" s="5">
        <v>14</v>
      </c>
      <c r="C16" s="6" t="s">
        <v>181</v>
      </c>
      <c r="D16" s="86">
        <v>26.1</v>
      </c>
      <c r="E16" s="86">
        <v>30.5</v>
      </c>
    </row>
    <row r="17" spans="2:5" ht="17.100000000000001" customHeight="1">
      <c r="B17" s="5">
        <v>15</v>
      </c>
      <c r="C17" s="6" t="s">
        <v>182</v>
      </c>
      <c r="D17" s="86">
        <v>26.1</v>
      </c>
      <c r="E17" s="86">
        <v>13.1</v>
      </c>
    </row>
    <row r="18" spans="2:5" ht="17.100000000000001" customHeight="1">
      <c r="B18" s="5">
        <v>16</v>
      </c>
      <c r="C18" s="6" t="s">
        <v>102</v>
      </c>
      <c r="D18" s="86">
        <v>26.1</v>
      </c>
      <c r="E18" s="86">
        <v>8.6999999999999993</v>
      </c>
    </row>
    <row r="19" spans="2:5" ht="17.100000000000001" customHeight="1">
      <c r="B19" s="5">
        <v>17</v>
      </c>
      <c r="C19" s="6" t="s">
        <v>92</v>
      </c>
      <c r="D19" s="86">
        <v>34.799999999999997</v>
      </c>
      <c r="E19" s="86">
        <v>0</v>
      </c>
    </row>
    <row r="20" spans="2:5" ht="17.100000000000001" customHeight="1">
      <c r="B20" s="5">
        <v>18</v>
      </c>
      <c r="C20" s="6" t="s">
        <v>93</v>
      </c>
      <c r="D20" s="86">
        <v>8.6999999999999993</v>
      </c>
      <c r="E20" s="86">
        <v>0</v>
      </c>
    </row>
    <row r="21" spans="2:5" ht="17.100000000000001" customHeight="1">
      <c r="B21" s="5">
        <v>19</v>
      </c>
      <c r="C21" s="6" t="s">
        <v>94</v>
      </c>
      <c r="D21" s="86">
        <v>17.399999999999999</v>
      </c>
      <c r="E21" s="86">
        <v>0</v>
      </c>
    </row>
    <row r="22" spans="2:5" ht="17.100000000000001" customHeight="1">
      <c r="B22" s="5">
        <v>20</v>
      </c>
      <c r="C22" s="6" t="s">
        <v>27</v>
      </c>
      <c r="D22" s="86">
        <v>26.1</v>
      </c>
      <c r="E22" s="86">
        <v>0</v>
      </c>
    </row>
    <row r="23" spans="2:5" ht="17.100000000000001" customHeight="1">
      <c r="B23" s="5">
        <v>21</v>
      </c>
      <c r="C23" s="6" t="s">
        <v>26</v>
      </c>
      <c r="D23" s="86">
        <v>26.1</v>
      </c>
      <c r="E23" s="86">
        <v>0</v>
      </c>
    </row>
    <row r="24" spans="2:5" ht="17.100000000000001" customHeight="1">
      <c r="B24" s="5">
        <v>22</v>
      </c>
      <c r="C24" s="6" t="s">
        <v>25</v>
      </c>
      <c r="D24" s="86">
        <v>39.200000000000003</v>
      </c>
      <c r="E24" s="86">
        <v>13.1</v>
      </c>
    </row>
    <row r="25" spans="2:5" ht="17.100000000000001" customHeight="1">
      <c r="B25" s="5">
        <v>23</v>
      </c>
      <c r="C25" s="6" t="s">
        <v>104</v>
      </c>
      <c r="D25" s="86">
        <v>26.1</v>
      </c>
      <c r="E25" s="86">
        <v>34.9</v>
      </c>
    </row>
    <row r="26" spans="2:5" ht="17.100000000000001" customHeight="1">
      <c r="B26" s="5">
        <v>24</v>
      </c>
      <c r="C26" s="6" t="s">
        <v>105</v>
      </c>
      <c r="D26" s="86">
        <v>26.1</v>
      </c>
      <c r="E26" s="86">
        <v>34.9</v>
      </c>
    </row>
    <row r="27" spans="2:5" ht="17.100000000000001" customHeight="1">
      <c r="B27" s="84">
        <v>25</v>
      </c>
      <c r="C27" s="6" t="s">
        <v>95</v>
      </c>
      <c r="D27" s="86">
        <v>173.9</v>
      </c>
      <c r="E27" s="86">
        <v>26.1</v>
      </c>
    </row>
    <row r="28" spans="2:5" ht="17.100000000000001" customHeight="1">
      <c r="B28" s="84">
        <v>26</v>
      </c>
      <c r="C28" s="6" t="s">
        <v>175</v>
      </c>
      <c r="D28" s="86">
        <v>113.1</v>
      </c>
      <c r="E28" s="86">
        <v>34.9</v>
      </c>
    </row>
    <row r="29" spans="2:5" ht="17.100000000000001" customHeight="1">
      <c r="B29" s="8">
        <v>27</v>
      </c>
      <c r="C29" s="6" t="s">
        <v>277</v>
      </c>
      <c r="D29" s="86">
        <v>10</v>
      </c>
      <c r="E29" s="7">
        <v>0</v>
      </c>
    </row>
    <row r="30" spans="2:5" ht="17.100000000000001" customHeight="1">
      <c r="B30" s="8">
        <v>28</v>
      </c>
      <c r="C30" s="6" t="s">
        <v>278</v>
      </c>
      <c r="D30" s="86">
        <v>10</v>
      </c>
      <c r="E30" s="7">
        <v>0</v>
      </c>
    </row>
    <row r="31" spans="2:5" ht="17.100000000000001" customHeight="1">
      <c r="B31" s="9">
        <v>29</v>
      </c>
      <c r="C31" s="6" t="s">
        <v>24</v>
      </c>
      <c r="D31" s="86" t="s">
        <v>77</v>
      </c>
      <c r="E31" s="86">
        <v>174</v>
      </c>
    </row>
    <row r="32" spans="2:5" ht="17.100000000000001" customHeight="1">
      <c r="B32" s="8">
        <v>30</v>
      </c>
      <c r="C32" s="6" t="s">
        <v>88</v>
      </c>
      <c r="D32" s="87" t="s">
        <v>78</v>
      </c>
      <c r="E32" s="88">
        <v>10.5</v>
      </c>
    </row>
    <row r="33" spans="2:5" ht="17.100000000000001" customHeight="1">
      <c r="B33" s="8">
        <v>31</v>
      </c>
      <c r="C33" s="6" t="s">
        <v>90</v>
      </c>
      <c r="D33" s="87" t="s">
        <v>78</v>
      </c>
      <c r="E33" s="88">
        <v>13.1</v>
      </c>
    </row>
    <row r="34" spans="2:5" ht="17.100000000000001" customHeight="1">
      <c r="B34" s="8">
        <v>32</v>
      </c>
      <c r="C34" s="6" t="s">
        <v>89</v>
      </c>
      <c r="D34" s="87" t="s">
        <v>78</v>
      </c>
      <c r="E34" s="88">
        <v>17.399999999999999</v>
      </c>
    </row>
    <row r="35" spans="2:5" ht="17.100000000000001" customHeight="1">
      <c r="B35" s="8">
        <v>33</v>
      </c>
      <c r="C35" s="6" t="s">
        <v>85</v>
      </c>
      <c r="D35" s="87" t="s">
        <v>79</v>
      </c>
      <c r="E35" s="88">
        <v>8.6999999999999993</v>
      </c>
    </row>
    <row r="36" spans="2:5" ht="17.100000000000001" customHeight="1">
      <c r="B36" s="8">
        <v>34</v>
      </c>
      <c r="C36" s="6" t="s">
        <v>84</v>
      </c>
      <c r="D36" s="87" t="s">
        <v>79</v>
      </c>
      <c r="E36" s="88">
        <v>26.1</v>
      </c>
    </row>
    <row r="37" spans="2:5" ht="17.100000000000001" customHeight="1">
      <c r="B37" s="8">
        <v>35</v>
      </c>
      <c r="C37" s="6" t="s">
        <v>96</v>
      </c>
      <c r="D37" s="87" t="s">
        <v>79</v>
      </c>
      <c r="E37" s="88">
        <v>30.5</v>
      </c>
    </row>
    <row r="38" spans="2:5" ht="17.100000000000001" customHeight="1">
      <c r="B38" s="8">
        <v>36</v>
      </c>
      <c r="C38" s="6" t="s">
        <v>86</v>
      </c>
      <c r="D38" s="87" t="s">
        <v>79</v>
      </c>
      <c r="E38" s="88">
        <v>4</v>
      </c>
    </row>
    <row r="39" spans="2:5" ht="17.100000000000001" customHeight="1">
      <c r="B39" s="8">
        <v>37</v>
      </c>
      <c r="C39" s="6" t="s">
        <v>87</v>
      </c>
      <c r="D39" s="87" t="s">
        <v>79</v>
      </c>
      <c r="E39" s="88">
        <v>3.5</v>
      </c>
    </row>
    <row r="40" spans="2:5" ht="17.100000000000001" customHeight="1">
      <c r="B40" s="8">
        <v>38</v>
      </c>
      <c r="C40" s="12" t="s">
        <v>23</v>
      </c>
      <c r="D40" s="87" t="s">
        <v>79</v>
      </c>
      <c r="E40" s="89">
        <v>8.6999999999999993</v>
      </c>
    </row>
    <row r="41" spans="2:5" ht="17.100000000000001" customHeight="1">
      <c r="B41" s="8">
        <v>39</v>
      </c>
      <c r="C41" s="6" t="s">
        <v>22</v>
      </c>
      <c r="D41" s="87" t="s">
        <v>78</v>
      </c>
      <c r="E41" s="88">
        <v>7</v>
      </c>
    </row>
    <row r="42" spans="2:5" ht="17.100000000000001" customHeight="1">
      <c r="B42" s="8">
        <v>40</v>
      </c>
      <c r="C42" s="6" t="s">
        <v>21</v>
      </c>
      <c r="D42" s="87" t="s">
        <v>80</v>
      </c>
      <c r="E42" s="88">
        <v>1.6</v>
      </c>
    </row>
    <row r="43" spans="2:5" ht="17.100000000000001" customHeight="1">
      <c r="B43" s="8">
        <v>41</v>
      </c>
      <c r="C43" s="6" t="s">
        <v>20</v>
      </c>
      <c r="D43" s="87" t="s">
        <v>81</v>
      </c>
      <c r="E43" s="88">
        <v>7</v>
      </c>
    </row>
    <row r="44" spans="2:5" ht="17.100000000000001" customHeight="1">
      <c r="B44" s="8">
        <v>42</v>
      </c>
      <c r="C44" s="12" t="s">
        <v>83</v>
      </c>
      <c r="D44" s="87" t="s">
        <v>79</v>
      </c>
      <c r="E44" s="88">
        <v>21.8</v>
      </c>
    </row>
    <row r="45" spans="2:5" ht="17.100000000000001" customHeight="1">
      <c r="B45" s="8">
        <v>43</v>
      </c>
      <c r="C45" s="12" t="s">
        <v>19</v>
      </c>
      <c r="D45" s="87" t="s">
        <v>79</v>
      </c>
      <c r="E45" s="88">
        <v>3.1</v>
      </c>
    </row>
    <row r="46" spans="2:5" ht="17.100000000000001" customHeight="1">
      <c r="B46" s="15">
        <v>44</v>
      </c>
      <c r="C46" s="12" t="s">
        <v>82</v>
      </c>
      <c r="D46" s="87" t="s">
        <v>79</v>
      </c>
      <c r="E46" s="89">
        <v>17.399999999999999</v>
      </c>
    </row>
    <row r="47" spans="2:5" ht="17.100000000000001" customHeight="1">
      <c r="B47" s="8">
        <v>45</v>
      </c>
      <c r="C47" s="6" t="s">
        <v>179</v>
      </c>
      <c r="D47" s="87" t="s">
        <v>79</v>
      </c>
      <c r="E47" s="88">
        <v>0.8</v>
      </c>
    </row>
    <row r="48" spans="2:5" ht="17.100000000000001" customHeight="1">
      <c r="B48" s="8">
        <v>46</v>
      </c>
      <c r="C48" s="6" t="s">
        <v>180</v>
      </c>
      <c r="D48" s="87" t="s">
        <v>79</v>
      </c>
      <c r="E48" s="88">
        <v>1</v>
      </c>
    </row>
    <row r="49" spans="2:5" ht="17.100000000000001" customHeight="1">
      <c r="B49" s="8">
        <v>47</v>
      </c>
      <c r="C49" s="6"/>
      <c r="D49" s="10"/>
      <c r="E49" s="11"/>
    </row>
    <row r="50" spans="2:5" ht="17.100000000000001" customHeight="1">
      <c r="B50" s="8">
        <v>48</v>
      </c>
      <c r="C50" s="12"/>
      <c r="D50" s="13"/>
      <c r="E50" s="14"/>
    </row>
    <row r="51" spans="2:5" ht="17.100000000000001" customHeight="1">
      <c r="B51" s="8">
        <v>49</v>
      </c>
      <c r="C51" s="12"/>
      <c r="D51" s="13"/>
      <c r="E51" s="14"/>
    </row>
    <row r="52" spans="2:5" ht="17.100000000000001" customHeight="1">
      <c r="B52" s="17">
        <v>50</v>
      </c>
      <c r="C52" s="16"/>
      <c r="D52" s="17"/>
      <c r="E52" s="17"/>
    </row>
    <row r="54" spans="2:5" ht="12" customHeight="1"/>
  </sheetData>
  <phoneticPr fontId="4"/>
  <pageMargins left="0.78740157480314965" right="0.78740157480314965" top="0" bottom="0" header="0.51181102362204722" footer="0.51181102362204722"/>
  <pageSetup paperSize="9" orientation="portrait" r:id="rId1"/>
  <headerFooter alignWithMargins="0"/>
  <colBreaks count="1" manualBreakCount="1">
    <brk id="5" max="1048575"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B2:J49"/>
  <sheetViews>
    <sheetView topLeftCell="A13" zoomScaleNormal="100" workbookViewId="0">
      <selection activeCell="K13" sqref="K13"/>
    </sheetView>
  </sheetViews>
  <sheetFormatPr defaultColWidth="9" defaultRowHeight="15"/>
  <cols>
    <col min="1" max="1" width="3.5703125" style="329" customWidth="1"/>
    <col min="2" max="2" width="3.140625" style="329" customWidth="1"/>
    <col min="3" max="3" width="1.5703125" style="329" customWidth="1"/>
    <col min="4" max="4" width="28.28515625" style="329" customWidth="1"/>
    <col min="5" max="5" width="8" style="331" customWidth="1"/>
    <col min="6" max="6" width="8.5703125" style="331" customWidth="1"/>
    <col min="7" max="7" width="6.140625" style="329" customWidth="1"/>
    <col min="8" max="8" width="13.42578125" style="329" customWidth="1"/>
    <col min="9" max="9" width="21.42578125" style="329" customWidth="1"/>
    <col min="10" max="10" width="2.7109375" style="329" customWidth="1"/>
    <col min="11" max="16384" width="9" style="329"/>
  </cols>
  <sheetData>
    <row r="2" spans="2:10" ht="23.25" customHeight="1">
      <c r="D2" s="910" t="s">
        <v>193</v>
      </c>
      <c r="E2" s="910"/>
      <c r="F2" s="910"/>
      <c r="G2" s="910"/>
      <c r="H2" s="910"/>
      <c r="I2" s="910"/>
      <c r="J2" s="330"/>
    </row>
    <row r="3" spans="2:10" ht="18" customHeight="1">
      <c r="G3" s="918" t="e">
        <f>#REF!</f>
        <v>#REF!</v>
      </c>
      <c r="H3" s="918"/>
      <c r="I3" s="918"/>
    </row>
    <row r="4" spans="2:10" ht="18" customHeight="1">
      <c r="B4" s="332" t="s">
        <v>148</v>
      </c>
      <c r="H4" s="911" t="e">
        <f>#REF!</f>
        <v>#REF!</v>
      </c>
      <c r="I4" s="911"/>
    </row>
    <row r="5" spans="2:10" ht="28.5" customHeight="1">
      <c r="B5" s="333"/>
      <c r="D5" s="334" t="s">
        <v>280</v>
      </c>
      <c r="E5" s="364" t="s">
        <v>282</v>
      </c>
      <c r="F5" s="365" t="s">
        <v>281</v>
      </c>
      <c r="G5" s="366" t="s">
        <v>150</v>
      </c>
      <c r="H5" s="367" t="s">
        <v>149</v>
      </c>
      <c r="I5" s="338" t="s">
        <v>48</v>
      </c>
    </row>
    <row r="6" spans="2:10" ht="16.5" customHeight="1">
      <c r="B6" s="333"/>
      <c r="D6" s="368" t="str">
        <f>IF(B6="","",VLOOKUP(B6,'10.Equipment depreciation table'!$B$3:$E$52,2))</f>
        <v/>
      </c>
      <c r="E6" s="369" t="str">
        <f>IF(B6="","",VLOOKUP(B6,'10.Equipment depreciation table'!$B$3:$E$52,3))</f>
        <v/>
      </c>
      <c r="F6" s="370" t="str">
        <f>IF(B6="","",VLOOKUP(B6,'10.Equipment depreciation table'!$B$3:$E$52,4))</f>
        <v/>
      </c>
      <c r="G6" s="371"/>
      <c r="H6" s="372" t="str">
        <f t="shared" ref="H6:H47" si="0">IF(G6=0,"",F6*G6)</f>
        <v/>
      </c>
      <c r="I6" s="373"/>
    </row>
    <row r="7" spans="2:10" ht="16.5" customHeight="1">
      <c r="B7" s="333"/>
      <c r="D7" s="374" t="str">
        <f>IF(B7="","",VLOOKUP(B7,'10.Equipment depreciation table'!$B$3:$E$52,2))</f>
        <v/>
      </c>
      <c r="E7" s="375" t="str">
        <f>IF(B7="","",VLOOKUP(B7,'10.Equipment depreciation table'!$B$3:$E$52,3))</f>
        <v/>
      </c>
      <c r="F7" s="376" t="str">
        <f>IF(B7="","",VLOOKUP(B7,'10.Equipment depreciation table'!$B$3:$E$52,4))</f>
        <v/>
      </c>
      <c r="G7" s="377"/>
      <c r="H7" s="378" t="str">
        <f t="shared" si="0"/>
        <v/>
      </c>
      <c r="I7" s="379"/>
    </row>
    <row r="8" spans="2:10" ht="16.5" customHeight="1">
      <c r="B8" s="333"/>
      <c r="D8" s="374" t="str">
        <f>IF(B8="","",VLOOKUP(B8,'10.Equipment depreciation table'!$B$3:$E$52,2))</f>
        <v/>
      </c>
      <c r="E8" s="375" t="str">
        <f>IF(B8="","",VLOOKUP(B8,'10.Equipment depreciation table'!$B$3:$E$52,3))</f>
        <v/>
      </c>
      <c r="F8" s="376" t="str">
        <f>IF(B8="","",VLOOKUP(B8,'10.Equipment depreciation table'!$B$3:$E$52,4))</f>
        <v/>
      </c>
      <c r="G8" s="377"/>
      <c r="H8" s="378" t="str">
        <f t="shared" si="0"/>
        <v/>
      </c>
      <c r="I8" s="379"/>
    </row>
    <row r="9" spans="2:10" ht="16.5" customHeight="1">
      <c r="B9" s="333"/>
      <c r="D9" s="374" t="str">
        <f>IF(B9="","",VLOOKUP(B9,'10.Equipment depreciation table'!$B$3:$E$52,2))</f>
        <v/>
      </c>
      <c r="E9" s="375" t="str">
        <f>IF(B9="","",VLOOKUP(B9,'10.Equipment depreciation table'!$B$3:$E$52,3))</f>
        <v/>
      </c>
      <c r="F9" s="376" t="str">
        <f>IF(B9="","",VLOOKUP(B9,'10.Equipment depreciation table'!$B$3:$E$52,4))</f>
        <v/>
      </c>
      <c r="G9" s="377"/>
      <c r="H9" s="378" t="str">
        <f t="shared" si="0"/>
        <v/>
      </c>
      <c r="I9" s="379"/>
    </row>
    <row r="10" spans="2:10" ht="16.5" customHeight="1">
      <c r="B10" s="333"/>
      <c r="D10" s="374" t="str">
        <f>IF(B10="","",VLOOKUP(B10,'10.Equipment depreciation table'!$B$3:$E$52,2))</f>
        <v/>
      </c>
      <c r="E10" s="375" t="str">
        <f>IF(B10="","",VLOOKUP(B10,'10.Equipment depreciation table'!$B$3:$E$52,3))</f>
        <v/>
      </c>
      <c r="F10" s="376" t="str">
        <f>IF(B10="","",VLOOKUP(B10,'10.Equipment depreciation table'!$B$3:$E$52,4))</f>
        <v/>
      </c>
      <c r="G10" s="377"/>
      <c r="H10" s="378" t="str">
        <f t="shared" si="0"/>
        <v/>
      </c>
      <c r="I10" s="379"/>
    </row>
    <row r="11" spans="2:10" ht="16.5" customHeight="1">
      <c r="B11" s="333"/>
      <c r="D11" s="374" t="str">
        <f>IF(B11="","",VLOOKUP(B11,'10.Equipment depreciation table'!$B$3:$E$52,2))</f>
        <v/>
      </c>
      <c r="E11" s="375" t="str">
        <f>IF(B11="","",VLOOKUP(B11,'10.Equipment depreciation table'!$B$3:$E$52,3))</f>
        <v/>
      </c>
      <c r="F11" s="376" t="str">
        <f>IF(B11="","",VLOOKUP(B11,'10.Equipment depreciation table'!$B$3:$E$52,4))</f>
        <v/>
      </c>
      <c r="G11" s="377"/>
      <c r="H11" s="378" t="str">
        <f t="shared" si="0"/>
        <v/>
      </c>
      <c r="I11" s="379"/>
    </row>
    <row r="12" spans="2:10" ht="16.5" customHeight="1">
      <c r="B12" s="333"/>
      <c r="D12" s="374" t="str">
        <f>IF(B12="","",VLOOKUP(B12,'10.Equipment depreciation table'!$B$3:$E$52,2))</f>
        <v/>
      </c>
      <c r="E12" s="375" t="str">
        <f>IF(B12="","",VLOOKUP(B12,'10.Equipment depreciation table'!$B$3:$E$52,3))</f>
        <v/>
      </c>
      <c r="F12" s="376" t="str">
        <f>IF(B12="","",VLOOKUP(B12,'10.Equipment depreciation table'!$B$3:$E$52,4))</f>
        <v/>
      </c>
      <c r="G12" s="377"/>
      <c r="H12" s="378" t="str">
        <f t="shared" si="0"/>
        <v/>
      </c>
      <c r="I12" s="379"/>
    </row>
    <row r="13" spans="2:10" ht="16.5" customHeight="1">
      <c r="B13" s="333"/>
      <c r="D13" s="374" t="str">
        <f>IF(B13="","",VLOOKUP(B13,'10.Equipment depreciation table'!$B$3:$E$52,2))</f>
        <v/>
      </c>
      <c r="E13" s="375" t="str">
        <f>IF(B13="","",VLOOKUP(B13,'10.Equipment depreciation table'!$B$3:$E$52,3))</f>
        <v/>
      </c>
      <c r="F13" s="376" t="str">
        <f>IF(B13="","",VLOOKUP(B13,'10.Equipment depreciation table'!$B$3:$E$52,4))</f>
        <v/>
      </c>
      <c r="G13" s="377"/>
      <c r="H13" s="378" t="str">
        <f t="shared" si="0"/>
        <v/>
      </c>
      <c r="I13" s="379"/>
    </row>
    <row r="14" spans="2:10" ht="16.5" customHeight="1">
      <c r="B14" s="333"/>
      <c r="D14" s="374" t="str">
        <f>IF(B14="","",VLOOKUP(B14,'10.Equipment depreciation table'!$B$3:$E$52,2))</f>
        <v/>
      </c>
      <c r="E14" s="375" t="str">
        <f>IF(B14="","",VLOOKUP(B14,'10.Equipment depreciation table'!$B$3:$E$52,3))</f>
        <v/>
      </c>
      <c r="F14" s="376" t="str">
        <f>IF(B14="","",VLOOKUP(B14,'10.Equipment depreciation table'!$B$3:$E$52,4))</f>
        <v/>
      </c>
      <c r="G14" s="377"/>
      <c r="H14" s="378" t="str">
        <f t="shared" si="0"/>
        <v/>
      </c>
      <c r="I14" s="379"/>
    </row>
    <row r="15" spans="2:10" ht="16.5" customHeight="1">
      <c r="B15" s="333"/>
      <c r="D15" s="374" t="str">
        <f>IF(B15="","",VLOOKUP(B15,'10.Equipment depreciation table'!$B$3:$E$52,2))</f>
        <v/>
      </c>
      <c r="E15" s="380" t="str">
        <f>IF(B15="","",VLOOKUP(B15,'10.Equipment depreciation table'!$B$3:$E$52,3))</f>
        <v/>
      </c>
      <c r="F15" s="381" t="str">
        <f>IF(B15="","",VLOOKUP(B15,'10.Equipment depreciation table'!$B$3:$E$52,4))</f>
        <v/>
      </c>
      <c r="G15" s="377"/>
      <c r="H15" s="378" t="str">
        <f t="shared" si="0"/>
        <v/>
      </c>
      <c r="I15" s="379"/>
    </row>
    <row r="16" spans="2:10" ht="16.5" customHeight="1">
      <c r="B16" s="333"/>
      <c r="D16" s="374" t="str">
        <f>IF(B16="","",VLOOKUP(B16,'10.Equipment depreciation table'!$B$3:$E$52,2))</f>
        <v/>
      </c>
      <c r="E16" s="380" t="str">
        <f>IF(B16="","",VLOOKUP(B16,'10.Equipment depreciation table'!$B$3:$E$52,3))</f>
        <v/>
      </c>
      <c r="F16" s="381" t="str">
        <f>IF(B16="","",VLOOKUP(B16,'10.Equipment depreciation table'!$B$3:$E$52,4))</f>
        <v/>
      </c>
      <c r="G16" s="377"/>
      <c r="H16" s="382" t="str">
        <f t="shared" si="0"/>
        <v/>
      </c>
      <c r="I16" s="379"/>
    </row>
    <row r="17" spans="2:9" ht="16.5" customHeight="1">
      <c r="B17" s="333"/>
      <c r="D17" s="374" t="str">
        <f>IF(B17="","",VLOOKUP(B17,'10.Equipment depreciation table'!$B$3:$E$52,2))</f>
        <v/>
      </c>
      <c r="E17" s="380" t="str">
        <f>IF(B17="","",VLOOKUP(B17,'10.Equipment depreciation table'!$B$3:$E$52,3))</f>
        <v/>
      </c>
      <c r="F17" s="381" t="str">
        <f>IF(B17="","",VLOOKUP(B17,'10.Equipment depreciation table'!$B$3:$E$52,4))</f>
        <v/>
      </c>
      <c r="G17" s="377"/>
      <c r="H17" s="382" t="str">
        <f t="shared" si="0"/>
        <v/>
      </c>
      <c r="I17" s="379"/>
    </row>
    <row r="18" spans="2:9" ht="16.5" customHeight="1">
      <c r="B18" s="333"/>
      <c r="D18" s="374" t="str">
        <f>IF(B18="","",VLOOKUP(B18,'10.Equipment depreciation table'!$B$3:$E$52,2))</f>
        <v/>
      </c>
      <c r="E18" s="380" t="str">
        <f>IF(B18="","",VLOOKUP(B18,'10.Equipment depreciation table'!$B$3:$E$52,3))</f>
        <v/>
      </c>
      <c r="F18" s="381" t="str">
        <f>IF(B18="","",VLOOKUP(B18,'10.Equipment depreciation table'!$B$3:$E$52,4))</f>
        <v/>
      </c>
      <c r="G18" s="377"/>
      <c r="H18" s="382" t="str">
        <f t="shared" si="0"/>
        <v/>
      </c>
      <c r="I18" s="379"/>
    </row>
    <row r="19" spans="2:9" ht="16.5" customHeight="1">
      <c r="B19" s="333"/>
      <c r="D19" s="374" t="str">
        <f>IF(B19="","",VLOOKUP(B19,'10.Equipment depreciation table'!$B$3:$E$52,2))</f>
        <v/>
      </c>
      <c r="E19" s="380" t="str">
        <f>IF(B19="","",VLOOKUP(B19,'10.Equipment depreciation table'!$B$3:$E$52,3))</f>
        <v/>
      </c>
      <c r="F19" s="381" t="str">
        <f>IF(B19="","",VLOOKUP(B19,'10.Equipment depreciation table'!$B$3:$E$52,4))</f>
        <v/>
      </c>
      <c r="G19" s="377"/>
      <c r="H19" s="382" t="str">
        <f t="shared" si="0"/>
        <v/>
      </c>
      <c r="I19" s="379"/>
    </row>
    <row r="20" spans="2:9" ht="16.5" customHeight="1">
      <c r="B20" s="333"/>
      <c r="D20" s="374" t="str">
        <f>IF(B20="","",VLOOKUP(B20,'10.Equipment depreciation table'!$B$3:$E$52,2))</f>
        <v/>
      </c>
      <c r="E20" s="380" t="str">
        <f>IF(B20="","",VLOOKUP(B20,'10.Equipment depreciation table'!$B$3:$E$52,3))</f>
        <v/>
      </c>
      <c r="F20" s="381" t="str">
        <f>IF(B20="","",VLOOKUP(B20,'10.Equipment depreciation table'!$B$3:$E$52,4))</f>
        <v/>
      </c>
      <c r="G20" s="377"/>
      <c r="H20" s="382" t="str">
        <f t="shared" si="0"/>
        <v/>
      </c>
      <c r="I20" s="379"/>
    </row>
    <row r="21" spans="2:9" ht="16.5" customHeight="1">
      <c r="B21" s="333"/>
      <c r="D21" s="374" t="str">
        <f>IF(B21="","",VLOOKUP(B21,'10.Equipment depreciation table'!$B$3:$E$52,2))</f>
        <v/>
      </c>
      <c r="E21" s="380" t="str">
        <f>IF(B21="","",VLOOKUP(B21,'10.Equipment depreciation table'!$B$3:$E$52,3))</f>
        <v/>
      </c>
      <c r="F21" s="381" t="str">
        <f>IF(B21="","",VLOOKUP(B21,'10.Equipment depreciation table'!$B$3:$E$52,4))</f>
        <v/>
      </c>
      <c r="G21" s="377"/>
      <c r="H21" s="382" t="str">
        <f t="shared" si="0"/>
        <v/>
      </c>
      <c r="I21" s="379"/>
    </row>
    <row r="22" spans="2:9" ht="16.5" customHeight="1">
      <c r="B22" s="333"/>
      <c r="D22" s="374" t="str">
        <f>IF(B22="","",VLOOKUP(B22,'10.Equipment depreciation table'!$B$3:$E$52,2))</f>
        <v/>
      </c>
      <c r="E22" s="380" t="str">
        <f>IF(B22="","",VLOOKUP(B22,'10.Equipment depreciation table'!$B$3:$E$52,3))</f>
        <v/>
      </c>
      <c r="F22" s="381" t="str">
        <f>IF(B22="","",VLOOKUP(B22,'10.Equipment depreciation table'!$B$3:$E$52,4))</f>
        <v/>
      </c>
      <c r="G22" s="377"/>
      <c r="H22" s="382" t="str">
        <f t="shared" si="0"/>
        <v/>
      </c>
      <c r="I22" s="379"/>
    </row>
    <row r="23" spans="2:9" ht="16.5" customHeight="1">
      <c r="B23" s="333"/>
      <c r="D23" s="374" t="str">
        <f>IF(B23="","",VLOOKUP(B23,'10.Equipment depreciation table'!$B$3:$E$52,2))</f>
        <v/>
      </c>
      <c r="E23" s="380" t="str">
        <f>IF(B23="","",VLOOKUP(B23,'10.Equipment depreciation table'!$B$3:$E$52,3))</f>
        <v/>
      </c>
      <c r="F23" s="381" t="str">
        <f>IF(B23="","",VLOOKUP(B23,'10.Equipment depreciation table'!$B$3:$E$52,4))</f>
        <v/>
      </c>
      <c r="G23" s="377"/>
      <c r="H23" s="382" t="str">
        <f t="shared" si="0"/>
        <v/>
      </c>
      <c r="I23" s="379"/>
    </row>
    <row r="24" spans="2:9" ht="16.5" customHeight="1">
      <c r="B24" s="333"/>
      <c r="D24" s="374" t="str">
        <f>IF(B24="","",VLOOKUP(B24,'10.Equipment depreciation table'!$B$3:$E$52,2))</f>
        <v/>
      </c>
      <c r="E24" s="380" t="str">
        <f>IF(B24="","",VLOOKUP(B24,'10.Equipment depreciation table'!$B$3:$E$52,3))</f>
        <v/>
      </c>
      <c r="F24" s="381" t="str">
        <f>IF(B24="","",VLOOKUP(B24,'10.Equipment depreciation table'!$B$3:$E$52,4))</f>
        <v/>
      </c>
      <c r="G24" s="377"/>
      <c r="H24" s="382" t="str">
        <f t="shared" si="0"/>
        <v/>
      </c>
      <c r="I24" s="379"/>
    </row>
    <row r="25" spans="2:9" ht="16.5" customHeight="1">
      <c r="B25" s="333"/>
      <c r="D25" s="374" t="str">
        <f>IF(B25="","",VLOOKUP(B25,'10.Equipment depreciation table'!$B$3:$E$52,2))</f>
        <v/>
      </c>
      <c r="E25" s="380" t="str">
        <f>IF(B25="","",VLOOKUP(B25,'10.Equipment depreciation table'!$B$3:$E$52,3))</f>
        <v/>
      </c>
      <c r="F25" s="381" t="str">
        <f>IF(B25="","",VLOOKUP(B25,'10.Equipment depreciation table'!$B$3:$E$52,4))</f>
        <v/>
      </c>
      <c r="G25" s="377"/>
      <c r="H25" s="382" t="str">
        <f t="shared" si="0"/>
        <v/>
      </c>
      <c r="I25" s="379"/>
    </row>
    <row r="26" spans="2:9" ht="16.5" customHeight="1">
      <c r="B26" s="333"/>
      <c r="D26" s="374" t="str">
        <f>IF(B26="","",VLOOKUP(B26,'10.Equipment depreciation table'!$B$3:$E$52,2))</f>
        <v/>
      </c>
      <c r="E26" s="380" t="str">
        <f>IF(B26="","",VLOOKUP(B26,'10.Equipment depreciation table'!$B$3:$E$52,3))</f>
        <v/>
      </c>
      <c r="F26" s="381" t="str">
        <f>IF(B26="","",VLOOKUP(B26,'10.Equipment depreciation table'!$B$3:$E$52,4))</f>
        <v/>
      </c>
      <c r="G26" s="377"/>
      <c r="H26" s="382" t="str">
        <f t="shared" si="0"/>
        <v/>
      </c>
      <c r="I26" s="379"/>
    </row>
    <row r="27" spans="2:9" ht="16.5" customHeight="1">
      <c r="B27" s="333"/>
      <c r="D27" s="374" t="str">
        <f>IF(B27="","",VLOOKUP(B27,'10.Equipment depreciation table'!$B$3:$E$52,2))</f>
        <v/>
      </c>
      <c r="E27" s="380" t="str">
        <f>IF(B27="","",VLOOKUP(B27,'10.Equipment depreciation table'!$B$3:$E$52,3))</f>
        <v/>
      </c>
      <c r="F27" s="381" t="str">
        <f>IF(B27="","",VLOOKUP(B27,'10.Equipment depreciation table'!$B$3:$E$52,4))</f>
        <v/>
      </c>
      <c r="G27" s="377"/>
      <c r="H27" s="382" t="str">
        <f t="shared" si="0"/>
        <v/>
      </c>
      <c r="I27" s="379"/>
    </row>
    <row r="28" spans="2:9" ht="16.5" customHeight="1">
      <c r="B28" s="333"/>
      <c r="D28" s="374" t="str">
        <f>IF(B28="","",VLOOKUP(B28,'10.Equipment depreciation table'!$B$3:$E$52,2))</f>
        <v/>
      </c>
      <c r="E28" s="380" t="str">
        <f>IF(B28="","",VLOOKUP(B28,'10.Equipment depreciation table'!$B$3:$E$52,3))</f>
        <v/>
      </c>
      <c r="F28" s="381" t="str">
        <f>IF(B28="","",VLOOKUP(B28,'10.Equipment depreciation table'!$B$3:$E$52,4))</f>
        <v/>
      </c>
      <c r="G28" s="377"/>
      <c r="H28" s="382" t="str">
        <f t="shared" si="0"/>
        <v/>
      </c>
      <c r="I28" s="379"/>
    </row>
    <row r="29" spans="2:9" ht="16.5" customHeight="1">
      <c r="B29" s="333"/>
      <c r="D29" s="374" t="str">
        <f>IF(B29="","",VLOOKUP(B29,'10.Equipment depreciation table'!$B$3:$E$52,2))</f>
        <v/>
      </c>
      <c r="E29" s="380" t="str">
        <f>IF(B29="","",VLOOKUP(B29,'10.Equipment depreciation table'!$B$3:$E$52,3))</f>
        <v/>
      </c>
      <c r="F29" s="381" t="str">
        <f>IF(B29="","",VLOOKUP(B29,'10.Equipment depreciation table'!$B$3:$E$52,4))</f>
        <v/>
      </c>
      <c r="G29" s="377"/>
      <c r="H29" s="382" t="str">
        <f t="shared" si="0"/>
        <v/>
      </c>
      <c r="I29" s="379"/>
    </row>
    <row r="30" spans="2:9" ht="16.5" customHeight="1">
      <c r="B30" s="333"/>
      <c r="D30" s="374" t="str">
        <f>IF(B30="","",VLOOKUP(B30,'10.Equipment depreciation table'!$B$3:$E$52,2))</f>
        <v/>
      </c>
      <c r="E30" s="380" t="str">
        <f>IF(B30="","",VLOOKUP(B30,'10.Equipment depreciation table'!$B$3:$E$52,3))</f>
        <v/>
      </c>
      <c r="F30" s="381" t="str">
        <f>IF(B30="","",VLOOKUP(B30,'10.Equipment depreciation table'!$B$3:$E$52,4))</f>
        <v/>
      </c>
      <c r="G30" s="377"/>
      <c r="H30" s="382" t="str">
        <f t="shared" si="0"/>
        <v/>
      </c>
      <c r="I30" s="379"/>
    </row>
    <row r="31" spans="2:9" ht="16.5" customHeight="1">
      <c r="B31" s="333"/>
      <c r="D31" s="374" t="str">
        <f>IF(B31="","",VLOOKUP(B31,'10.Equipment depreciation table'!$B$3:$E$52,2))</f>
        <v/>
      </c>
      <c r="E31" s="380" t="str">
        <f>IF(B31="","",VLOOKUP(B31,'10.Equipment depreciation table'!$B$3:$E$52,3))</f>
        <v/>
      </c>
      <c r="F31" s="381" t="str">
        <f>IF(B31="","",VLOOKUP(B31,'10.Equipment depreciation table'!$B$3:$E$52,4))</f>
        <v/>
      </c>
      <c r="G31" s="377"/>
      <c r="H31" s="382" t="str">
        <f t="shared" si="0"/>
        <v/>
      </c>
      <c r="I31" s="379"/>
    </row>
    <row r="32" spans="2:9" ht="16.5" customHeight="1">
      <c r="B32" s="333"/>
      <c r="D32" s="374" t="str">
        <f>IF(B32="","",VLOOKUP(B32,'10.Equipment depreciation table'!$B$3:$E$52,2))</f>
        <v/>
      </c>
      <c r="E32" s="380" t="str">
        <f>IF(B32="","",VLOOKUP(B32,'10.Equipment depreciation table'!$B$3:$E$52,3))</f>
        <v/>
      </c>
      <c r="F32" s="381" t="str">
        <f>IF(B32="","",VLOOKUP(B32,'10.Equipment depreciation table'!$B$3:$E$52,4))</f>
        <v/>
      </c>
      <c r="G32" s="377"/>
      <c r="H32" s="382" t="str">
        <f t="shared" si="0"/>
        <v/>
      </c>
      <c r="I32" s="379"/>
    </row>
    <row r="33" spans="2:9" ht="16.5" customHeight="1">
      <c r="B33" s="333"/>
      <c r="D33" s="374" t="str">
        <f>IF(B33="","",VLOOKUP(B33,'10.Equipment depreciation table'!$B$3:$E$52,2))</f>
        <v/>
      </c>
      <c r="E33" s="380" t="str">
        <f>IF(B33="","",VLOOKUP(B33,'10.Equipment depreciation table'!$B$3:$E$52,3))</f>
        <v/>
      </c>
      <c r="F33" s="381" t="str">
        <f>IF(B33="","",VLOOKUP(B33,'10.Equipment depreciation table'!$B$3:$E$52,4))</f>
        <v/>
      </c>
      <c r="G33" s="377"/>
      <c r="H33" s="382" t="str">
        <f t="shared" si="0"/>
        <v/>
      </c>
      <c r="I33" s="379"/>
    </row>
    <row r="34" spans="2:9" ht="16.5" customHeight="1">
      <c r="B34" s="333"/>
      <c r="D34" s="374" t="str">
        <f>IF(B34="","",VLOOKUP(B34,'10.Equipment depreciation table'!$B$3:$E$52,2))</f>
        <v/>
      </c>
      <c r="E34" s="380" t="str">
        <f>IF(B34="","",VLOOKUP(B34,'10.Equipment depreciation table'!$B$3:$E$52,3))</f>
        <v/>
      </c>
      <c r="F34" s="381" t="str">
        <f>IF(B34="","",VLOOKUP(B34,'10.Equipment depreciation table'!$B$3:$E$52,4))</f>
        <v/>
      </c>
      <c r="G34" s="377"/>
      <c r="H34" s="382" t="str">
        <f t="shared" si="0"/>
        <v/>
      </c>
      <c r="I34" s="379"/>
    </row>
    <row r="35" spans="2:9" ht="16.5" customHeight="1">
      <c r="B35" s="333"/>
      <c r="D35" s="374" t="str">
        <f>IF(B35="","",VLOOKUP(B35,'10.Equipment depreciation table'!$B$3:$E$52,2))</f>
        <v/>
      </c>
      <c r="E35" s="380" t="str">
        <f>IF(B35="","",VLOOKUP(B35,'10.Equipment depreciation table'!$B$3:$E$52,3))</f>
        <v/>
      </c>
      <c r="F35" s="381" t="str">
        <f>IF(B35="","",VLOOKUP(B35,'10.Equipment depreciation table'!$B$3:$E$52,4))</f>
        <v/>
      </c>
      <c r="G35" s="377"/>
      <c r="H35" s="382" t="str">
        <f t="shared" si="0"/>
        <v/>
      </c>
      <c r="I35" s="379"/>
    </row>
    <row r="36" spans="2:9" ht="16.5" customHeight="1">
      <c r="B36" s="333"/>
      <c r="D36" s="374" t="str">
        <f>IF(B36="","",VLOOKUP(B36,'10.Equipment depreciation table'!$B$3:$E$52,2))</f>
        <v/>
      </c>
      <c r="E36" s="380" t="str">
        <f>IF(B36="","",VLOOKUP(B36,'10.Equipment depreciation table'!$B$3:$E$52,3))</f>
        <v/>
      </c>
      <c r="F36" s="381" t="str">
        <f>IF(B36="","",VLOOKUP(B36,'10.Equipment depreciation table'!$B$3:$E$52,4))</f>
        <v/>
      </c>
      <c r="G36" s="377"/>
      <c r="H36" s="382" t="str">
        <f t="shared" si="0"/>
        <v/>
      </c>
      <c r="I36" s="379"/>
    </row>
    <row r="37" spans="2:9" ht="16.5" customHeight="1">
      <c r="B37" s="333"/>
      <c r="D37" s="374" t="str">
        <f>IF(B37="","",VLOOKUP(B37,'10.Equipment depreciation table'!$B$3:$E$52,2))</f>
        <v/>
      </c>
      <c r="E37" s="380" t="str">
        <f>IF(B37="","",VLOOKUP(B37,'10.Equipment depreciation table'!$B$3:$E$52,3))</f>
        <v/>
      </c>
      <c r="F37" s="381" t="str">
        <f>IF(B37="","",VLOOKUP(B37,'10.Equipment depreciation table'!$B$3:$E$52,4))</f>
        <v/>
      </c>
      <c r="G37" s="377"/>
      <c r="H37" s="382" t="str">
        <f t="shared" si="0"/>
        <v/>
      </c>
      <c r="I37" s="379"/>
    </row>
    <row r="38" spans="2:9" ht="16.5" customHeight="1">
      <c r="B38" s="333"/>
      <c r="D38" s="374" t="str">
        <f>IF(B38="","",VLOOKUP(B38,'10.Equipment depreciation table'!$B$3:$E$52,2))</f>
        <v/>
      </c>
      <c r="E38" s="380" t="str">
        <f>IF(B38="","",VLOOKUP(B38,'10.Equipment depreciation table'!$B$3:$E$52,3))</f>
        <v/>
      </c>
      <c r="F38" s="381" t="str">
        <f>IF(B38="","",VLOOKUP(B38,'10.Equipment depreciation table'!$B$3:$E$52,4))</f>
        <v/>
      </c>
      <c r="G38" s="377"/>
      <c r="H38" s="382" t="str">
        <f t="shared" si="0"/>
        <v/>
      </c>
      <c r="I38" s="379"/>
    </row>
    <row r="39" spans="2:9" ht="16.5" customHeight="1">
      <c r="B39" s="333"/>
      <c r="D39" s="374" t="str">
        <f>IF(B39="","",VLOOKUP(B39,'10.Equipment depreciation table'!$B$3:$E$52,2))</f>
        <v/>
      </c>
      <c r="E39" s="380" t="str">
        <f>IF(B39="","",VLOOKUP(B39,'10.Equipment depreciation table'!$B$3:$E$52,3))</f>
        <v/>
      </c>
      <c r="F39" s="381" t="str">
        <f>IF(B39="","",VLOOKUP(B39,'10.Equipment depreciation table'!$B$3:$E$52,4))</f>
        <v/>
      </c>
      <c r="G39" s="377"/>
      <c r="H39" s="382" t="str">
        <f t="shared" si="0"/>
        <v/>
      </c>
      <c r="I39" s="379"/>
    </row>
    <row r="40" spans="2:9" ht="16.5" customHeight="1">
      <c r="B40" s="333"/>
      <c r="D40" s="374" t="str">
        <f>IF(B40="","",VLOOKUP(B40,'10.Equipment depreciation table'!$B$3:$E$52,2))</f>
        <v/>
      </c>
      <c r="E40" s="380" t="str">
        <f>IF(B40="","",VLOOKUP(B40,'10.Equipment depreciation table'!$B$3:$E$52,3))</f>
        <v/>
      </c>
      <c r="F40" s="381" t="str">
        <f>IF(B40="","",VLOOKUP(B40,'10.Equipment depreciation table'!$B$3:$E$52,4))</f>
        <v/>
      </c>
      <c r="G40" s="377"/>
      <c r="H40" s="382" t="str">
        <f t="shared" si="0"/>
        <v/>
      </c>
      <c r="I40" s="379"/>
    </row>
    <row r="41" spans="2:9" ht="16.5" customHeight="1">
      <c r="B41" s="333"/>
      <c r="D41" s="374" t="str">
        <f>IF(B41="","",VLOOKUP(B41,'10.Equipment depreciation table'!$B$3:$E$52,2))</f>
        <v/>
      </c>
      <c r="E41" s="380" t="str">
        <f>IF(B41="","",VLOOKUP(B41,'10.Equipment depreciation table'!$B$3:$E$52,3))</f>
        <v/>
      </c>
      <c r="F41" s="381" t="str">
        <f>IF(B41="","",VLOOKUP(B41,'10.Equipment depreciation table'!$B$3:$E$52,4))</f>
        <v/>
      </c>
      <c r="G41" s="377"/>
      <c r="H41" s="382" t="str">
        <f t="shared" si="0"/>
        <v/>
      </c>
      <c r="I41" s="379"/>
    </row>
    <row r="42" spans="2:9" ht="16.5" customHeight="1">
      <c r="B42" s="333"/>
      <c r="D42" s="374" t="str">
        <f>IF(B42="","",VLOOKUP(B42,'10.Equipment depreciation table'!$B$3:$E$52,2))</f>
        <v/>
      </c>
      <c r="E42" s="380" t="str">
        <f>IF(B42="","",VLOOKUP(B42,'10.Equipment depreciation table'!$B$3:$E$52,3))</f>
        <v/>
      </c>
      <c r="F42" s="381" t="str">
        <f>IF(B42="","",VLOOKUP(B42,'10.Equipment depreciation table'!$B$3:$E$52,4))</f>
        <v/>
      </c>
      <c r="G42" s="377"/>
      <c r="H42" s="382" t="str">
        <f t="shared" si="0"/>
        <v/>
      </c>
      <c r="I42" s="379"/>
    </row>
    <row r="43" spans="2:9" ht="16.5" customHeight="1">
      <c r="B43" s="333"/>
      <c r="D43" s="374" t="str">
        <f>IF(B43="","",VLOOKUP(B43,'10.Equipment depreciation table'!$B$3:$E$52,2))</f>
        <v/>
      </c>
      <c r="E43" s="380" t="str">
        <f>IF(B43="","",VLOOKUP(B43,'10.Equipment depreciation table'!$B$3:$E$52,3))</f>
        <v/>
      </c>
      <c r="F43" s="381" t="str">
        <f>IF(B43="","",VLOOKUP(B43,'10.Equipment depreciation table'!$B$3:$E$52,4))</f>
        <v/>
      </c>
      <c r="G43" s="377"/>
      <c r="H43" s="382" t="str">
        <f t="shared" si="0"/>
        <v/>
      </c>
      <c r="I43" s="379"/>
    </row>
    <row r="44" spans="2:9" ht="16.5" customHeight="1">
      <c r="B44" s="333"/>
      <c r="D44" s="374" t="str">
        <f>IF(B44="","",VLOOKUP(B44,'10.Equipment depreciation table'!$B$3:$E$52,2))</f>
        <v/>
      </c>
      <c r="E44" s="380" t="str">
        <f>IF(B44="","",VLOOKUP(B44,'10.Equipment depreciation table'!$B$3:$E$52,3))</f>
        <v/>
      </c>
      <c r="F44" s="381" t="str">
        <f>IF(B44="","",VLOOKUP(B44,'10.Equipment depreciation table'!$B$3:$E$52,4))</f>
        <v/>
      </c>
      <c r="G44" s="377"/>
      <c r="H44" s="382" t="str">
        <f t="shared" si="0"/>
        <v/>
      </c>
      <c r="I44" s="379"/>
    </row>
    <row r="45" spans="2:9" ht="16.5" customHeight="1">
      <c r="B45" s="333"/>
      <c r="D45" s="374" t="str">
        <f>IF(B45="","",VLOOKUP(B45,'10.Equipment depreciation table'!$B$3:$E$52,2))</f>
        <v/>
      </c>
      <c r="E45" s="380" t="str">
        <f>IF(B45="","",VLOOKUP(B45,'10.Equipment depreciation table'!$B$3:$E$52,3))</f>
        <v/>
      </c>
      <c r="F45" s="381" t="str">
        <f>IF(B45="","",VLOOKUP(B45,'10.Equipment depreciation table'!$B$3:$E$52,4))</f>
        <v/>
      </c>
      <c r="G45" s="377"/>
      <c r="H45" s="382" t="str">
        <f t="shared" si="0"/>
        <v/>
      </c>
      <c r="I45" s="379"/>
    </row>
    <row r="46" spans="2:9" ht="16.5" customHeight="1">
      <c r="B46" s="333"/>
      <c r="D46" s="374" t="str">
        <f>IF(B46="","",VLOOKUP(B46,'10.Equipment depreciation table'!$B$3:$E$52,2))</f>
        <v/>
      </c>
      <c r="E46" s="380" t="str">
        <f>IF(B46="","",VLOOKUP(B46,'10.Equipment depreciation table'!$B$3:$E$52,3))</f>
        <v/>
      </c>
      <c r="F46" s="381" t="str">
        <f>IF(B46="","",VLOOKUP(B46,'10.Equipment depreciation table'!$B$3:$E$52,4))</f>
        <v/>
      </c>
      <c r="G46" s="377"/>
      <c r="H46" s="382" t="str">
        <f t="shared" si="0"/>
        <v/>
      </c>
      <c r="I46" s="379"/>
    </row>
    <row r="47" spans="2:9" ht="16.5" customHeight="1" thickBot="1">
      <c r="B47" s="333"/>
      <c r="D47" s="374" t="str">
        <f>IF(B47="","",VLOOKUP(B47,'10.Equipment depreciation table'!$B$3:$E$52,2))</f>
        <v/>
      </c>
      <c r="E47" s="380" t="str">
        <f>IF(B47="","",VLOOKUP(B47,'10.Equipment depreciation table'!$B$3:$E$52,3))</f>
        <v/>
      </c>
      <c r="F47" s="381" t="str">
        <f>IF(B47="","",VLOOKUP(B47,'10.Equipment depreciation table'!$B$3:$E$52,4))</f>
        <v/>
      </c>
      <c r="G47" s="383"/>
      <c r="H47" s="384" t="str">
        <f t="shared" si="0"/>
        <v/>
      </c>
      <c r="I47" s="385"/>
    </row>
    <row r="48" spans="2:9" ht="16.5" customHeight="1" thickBot="1">
      <c r="B48" s="333"/>
      <c r="D48" s="386" t="str">
        <f>IF(B48="","",VLOOKUP(B48,'10.Equipment depreciation table'!$B$3:$E$52,2))</f>
        <v/>
      </c>
      <c r="E48" s="387" t="str">
        <f>IF(B48="","",VLOOKUP(B48,'10.Equipment depreciation table'!$B$3:$E$52,3))</f>
        <v/>
      </c>
      <c r="F48" s="387" t="str">
        <f>IF(B48="","",VLOOKUP(B48,'10.Equipment depreciation table'!$B$3:$E$52,4))</f>
        <v/>
      </c>
      <c r="G48" s="388" t="s">
        <v>155</v>
      </c>
      <c r="H48" s="389">
        <f>SUM(H6:H47)</f>
        <v>0</v>
      </c>
      <c r="I48" s="390"/>
    </row>
    <row r="49" spans="4:9">
      <c r="D49" s="355"/>
      <c r="E49" s="363"/>
      <c r="F49" s="363"/>
      <c r="G49" s="355"/>
      <c r="H49" s="355"/>
      <c r="I49" s="355"/>
    </row>
  </sheetData>
  <mergeCells count="3">
    <mergeCell ref="H4:I4"/>
    <mergeCell ref="D2:I2"/>
    <mergeCell ref="G3:I3"/>
  </mergeCells>
  <phoneticPr fontId="4"/>
  <pageMargins left="0.98425196850393704" right="0.39370078740157483" top="0.78740157480314965" bottom="0.59055118110236227" header="0.19685039370078741" footer="0.19685039370078741"/>
  <pageSetup paperSize="9" orientation="portrait" r:id="rId1"/>
  <headerFooter alignWithMargins="0">
    <oddHeader>&amp;R&amp;G</oddHeader>
  </headerFooter>
  <drawing r:id="rId2"/>
  <legacyDrawingHF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pageSetUpPr fitToPage="1"/>
  </sheetPr>
  <dimension ref="B2:R56"/>
  <sheetViews>
    <sheetView topLeftCell="A2" workbookViewId="0">
      <selection activeCell="I22" sqref="I22"/>
    </sheetView>
  </sheetViews>
  <sheetFormatPr defaultColWidth="9" defaultRowHeight="14.25"/>
  <cols>
    <col min="1" max="1" width="2.42578125" style="43" customWidth="1"/>
    <col min="2" max="2" width="14.28515625" style="43" customWidth="1"/>
    <col min="3" max="3" width="21.42578125" style="43" customWidth="1"/>
    <col min="4" max="4" width="6" style="43" customWidth="1"/>
    <col min="5" max="5" width="7.42578125" style="43" customWidth="1"/>
    <col min="6" max="18" width="9" style="43"/>
    <col min="19" max="19" width="3" style="43" customWidth="1"/>
    <col min="20" max="16384" width="9" style="43"/>
  </cols>
  <sheetData>
    <row r="2" spans="2:18" ht="15">
      <c r="B2" s="137" t="s">
        <v>263</v>
      </c>
      <c r="C2" s="139">
        <v>120</v>
      </c>
      <c r="D2" s="138" t="s">
        <v>263</v>
      </c>
    </row>
    <row r="3" spans="2:18" ht="21" customHeight="1">
      <c r="B3" s="45" t="s">
        <v>196</v>
      </c>
      <c r="Q3" s="928">
        <v>41844</v>
      </c>
      <c r="R3" s="928"/>
    </row>
    <row r="4" spans="2:18" ht="9" customHeight="1" thickBot="1"/>
    <row r="5" spans="2:18" ht="15" customHeight="1">
      <c r="B5" s="929" t="s">
        <v>157</v>
      </c>
      <c r="C5" s="929" t="s">
        <v>158</v>
      </c>
      <c r="D5" s="931" t="s">
        <v>160</v>
      </c>
      <c r="E5" s="933" t="s">
        <v>44</v>
      </c>
      <c r="F5" s="80" t="s">
        <v>197</v>
      </c>
      <c r="G5" s="935" t="s">
        <v>161</v>
      </c>
      <c r="H5" s="92" t="s">
        <v>162</v>
      </c>
      <c r="I5" s="1" t="s">
        <v>165</v>
      </c>
      <c r="J5" s="1" t="s">
        <v>163</v>
      </c>
      <c r="K5" s="91" t="s">
        <v>198</v>
      </c>
      <c r="L5" s="91" t="s">
        <v>164</v>
      </c>
      <c r="M5" s="91" t="s">
        <v>168</v>
      </c>
      <c r="N5" s="91" t="s">
        <v>166</v>
      </c>
      <c r="O5" s="937" t="s">
        <v>199</v>
      </c>
      <c r="P5" s="938"/>
      <c r="Q5" s="1" t="s">
        <v>18</v>
      </c>
      <c r="R5" s="1" t="s">
        <v>17</v>
      </c>
    </row>
    <row r="6" spans="2:18" ht="15" customHeight="1">
      <c r="B6" s="930"/>
      <c r="C6" s="930"/>
      <c r="D6" s="932"/>
      <c r="E6" s="934"/>
      <c r="F6" s="81" t="s">
        <v>174</v>
      </c>
      <c r="G6" s="936"/>
      <c r="H6" s="82" t="s">
        <v>167</v>
      </c>
      <c r="I6" s="90" t="s">
        <v>31</v>
      </c>
      <c r="J6" s="90" t="s">
        <v>31</v>
      </c>
      <c r="K6" s="90" t="s">
        <v>31</v>
      </c>
      <c r="L6" s="90" t="s">
        <v>167</v>
      </c>
      <c r="M6" s="90" t="s">
        <v>31</v>
      </c>
      <c r="N6" s="90" t="s">
        <v>200</v>
      </c>
      <c r="O6" s="90" t="s">
        <v>31</v>
      </c>
      <c r="P6" s="90" t="s">
        <v>167</v>
      </c>
      <c r="Q6" s="90" t="s">
        <v>31</v>
      </c>
      <c r="R6" s="90" t="s">
        <v>167</v>
      </c>
    </row>
    <row r="7" spans="2:18" ht="15" customHeight="1">
      <c r="B7" s="46" t="s">
        <v>201</v>
      </c>
      <c r="C7" s="47"/>
      <c r="D7" s="47"/>
      <c r="E7" s="48"/>
      <c r="F7" s="49"/>
      <c r="G7" s="49"/>
      <c r="H7" s="50"/>
      <c r="I7" s="51"/>
      <c r="J7" s="51"/>
      <c r="K7" s="51"/>
      <c r="L7" s="51"/>
      <c r="M7" s="51"/>
      <c r="N7" s="51"/>
      <c r="O7" s="51"/>
      <c r="P7" s="51"/>
      <c r="Q7" s="51"/>
      <c r="R7" s="51"/>
    </row>
    <row r="8" spans="2:18" ht="15" customHeight="1" thickBot="1">
      <c r="B8" s="52"/>
      <c r="C8" s="53" t="s">
        <v>159</v>
      </c>
      <c r="D8" s="54">
        <v>1</v>
      </c>
      <c r="E8" s="55" t="s">
        <v>172</v>
      </c>
      <c r="F8" s="49"/>
      <c r="G8" s="56"/>
      <c r="H8" s="143">
        <f>ROUND(H36/$C$2,0)</f>
        <v>396</v>
      </c>
      <c r="I8" s="143">
        <f t="shared" ref="I8:R8" si="0">ROUND(I36/$C$2,0)</f>
        <v>375</v>
      </c>
      <c r="J8" s="143">
        <f t="shared" si="0"/>
        <v>333</v>
      </c>
      <c r="K8" s="143">
        <f t="shared" si="0"/>
        <v>267</v>
      </c>
      <c r="L8" s="143">
        <f t="shared" si="0"/>
        <v>333</v>
      </c>
      <c r="M8" s="143">
        <f t="shared" si="0"/>
        <v>333</v>
      </c>
      <c r="N8" s="143">
        <f t="shared" si="0"/>
        <v>333</v>
      </c>
      <c r="O8" s="143">
        <f t="shared" si="0"/>
        <v>287</v>
      </c>
      <c r="P8" s="143">
        <f t="shared" si="0"/>
        <v>320</v>
      </c>
      <c r="Q8" s="143">
        <f t="shared" si="0"/>
        <v>190</v>
      </c>
      <c r="R8" s="143">
        <f t="shared" si="0"/>
        <v>317</v>
      </c>
    </row>
    <row r="9" spans="2:18" ht="15" customHeight="1" thickBot="1">
      <c r="B9" s="47"/>
      <c r="C9" s="53"/>
      <c r="D9" s="57"/>
      <c r="E9" s="58"/>
      <c r="F9" s="59"/>
      <c r="G9" s="140">
        <f>ROUND(G37/$C$2,0)</f>
        <v>233</v>
      </c>
      <c r="H9" s="60">
        <f t="shared" ref="H9:R9" si="1">$G$9/H8</f>
        <v>0.58838383838383834</v>
      </c>
      <c r="I9" s="61">
        <f t="shared" si="1"/>
        <v>0.62133333333333329</v>
      </c>
      <c r="J9" s="61">
        <f t="shared" si="1"/>
        <v>0.6996996996996997</v>
      </c>
      <c r="K9" s="61">
        <f t="shared" si="1"/>
        <v>0.87265917602996257</v>
      </c>
      <c r="L9" s="60">
        <f t="shared" si="1"/>
        <v>0.6996996996996997</v>
      </c>
      <c r="M9" s="61">
        <f t="shared" si="1"/>
        <v>0.6996996996996997</v>
      </c>
      <c r="N9" s="60">
        <f t="shared" si="1"/>
        <v>0.6996996996996997</v>
      </c>
      <c r="O9" s="61">
        <f t="shared" si="1"/>
        <v>0.81184668989547037</v>
      </c>
      <c r="P9" s="60">
        <f t="shared" si="1"/>
        <v>0.72812500000000002</v>
      </c>
      <c r="Q9" s="61">
        <f t="shared" si="1"/>
        <v>1.2263157894736842</v>
      </c>
      <c r="R9" s="62">
        <f t="shared" si="1"/>
        <v>0.73501577287066244</v>
      </c>
    </row>
    <row r="10" spans="2:18" ht="15" customHeight="1">
      <c r="B10" s="53"/>
      <c r="C10" s="53"/>
      <c r="D10" s="57"/>
      <c r="E10" s="58"/>
      <c r="F10" s="59"/>
      <c r="G10" s="141">
        <f>ROUND(G38/$C$2,0)</f>
        <v>208</v>
      </c>
      <c r="H10" s="63">
        <f t="shared" ref="H10:R10" si="2">$G$10/H8</f>
        <v>0.5252525252525253</v>
      </c>
      <c r="I10" s="63">
        <f t="shared" si="2"/>
        <v>0.55466666666666664</v>
      </c>
      <c r="J10" s="63">
        <f t="shared" si="2"/>
        <v>0.62462462462462465</v>
      </c>
      <c r="K10" s="63">
        <f t="shared" si="2"/>
        <v>0.77902621722846443</v>
      </c>
      <c r="L10" s="63">
        <f t="shared" si="2"/>
        <v>0.62462462462462465</v>
      </c>
      <c r="M10" s="63">
        <f t="shared" si="2"/>
        <v>0.62462462462462465</v>
      </c>
      <c r="N10" s="63">
        <f t="shared" si="2"/>
        <v>0.62462462462462465</v>
      </c>
      <c r="O10" s="63">
        <f t="shared" si="2"/>
        <v>0.72473867595818819</v>
      </c>
      <c r="P10" s="63">
        <f t="shared" si="2"/>
        <v>0.65</v>
      </c>
      <c r="Q10" s="63">
        <f t="shared" si="2"/>
        <v>1.0947368421052632</v>
      </c>
      <c r="R10" s="63">
        <f t="shared" si="2"/>
        <v>0.65615141955835965</v>
      </c>
    </row>
    <row r="11" spans="2:18" ht="15" customHeight="1">
      <c r="B11" s="53"/>
      <c r="C11" s="53"/>
      <c r="D11" s="57"/>
      <c r="E11" s="58"/>
      <c r="F11" s="59"/>
      <c r="G11" s="49"/>
      <c r="H11" s="64"/>
      <c r="I11" s="65"/>
      <c r="J11" s="65"/>
      <c r="K11" s="65"/>
      <c r="L11" s="65"/>
      <c r="M11" s="65"/>
      <c r="N11" s="65"/>
      <c r="O11" s="65"/>
      <c r="P11" s="65"/>
      <c r="Q11" s="65"/>
      <c r="R11" s="65"/>
    </row>
    <row r="12" spans="2:18" ht="15" customHeight="1">
      <c r="B12" s="53" t="s">
        <v>202</v>
      </c>
      <c r="C12" s="53"/>
      <c r="D12" s="57"/>
      <c r="E12" s="58"/>
      <c r="F12" s="66"/>
      <c r="G12" s="59"/>
      <c r="H12" s="67"/>
      <c r="I12" s="68"/>
      <c r="J12" s="68"/>
      <c r="K12" s="68"/>
      <c r="L12" s="68"/>
      <c r="M12" s="68"/>
      <c r="N12" s="68"/>
      <c r="O12" s="68"/>
      <c r="P12" s="68"/>
      <c r="Q12" s="68"/>
      <c r="R12" s="68"/>
    </row>
    <row r="13" spans="2:18" ht="15" customHeight="1">
      <c r="B13" s="53"/>
      <c r="C13" s="53" t="s">
        <v>203</v>
      </c>
      <c r="D13" s="57">
        <v>1</v>
      </c>
      <c r="E13" s="58" t="s">
        <v>173</v>
      </c>
      <c r="F13" s="66"/>
      <c r="G13" s="59"/>
      <c r="H13" s="144">
        <f>ROUND(H41/$C$2,0)</f>
        <v>285</v>
      </c>
      <c r="I13" s="67"/>
      <c r="J13" s="144">
        <f t="shared" ref="J13" si="3">ROUND(J41/$C$2,0)</f>
        <v>83</v>
      </c>
      <c r="K13" s="68"/>
      <c r="L13" s="68"/>
      <c r="M13" s="68"/>
      <c r="N13" s="68"/>
      <c r="O13" s="83" t="s">
        <v>191</v>
      </c>
      <c r="P13" s="83" t="s">
        <v>191</v>
      </c>
      <c r="Q13" s="83" t="s">
        <v>191</v>
      </c>
      <c r="R13" s="83" t="s">
        <v>191</v>
      </c>
    </row>
    <row r="14" spans="2:18" ht="15" customHeight="1">
      <c r="B14" s="53"/>
      <c r="C14" s="69" t="s">
        <v>204</v>
      </c>
      <c r="D14" s="57">
        <v>1</v>
      </c>
      <c r="E14" s="58" t="s">
        <v>205</v>
      </c>
      <c r="F14" s="142">
        <f>ROUND(F42/$C$2,0)</f>
        <v>16</v>
      </c>
      <c r="G14" s="59"/>
      <c r="H14" s="144">
        <f t="shared" ref="H14:R18" si="4">ROUND(H42/$C$2,0)</f>
        <v>42</v>
      </c>
      <c r="I14" s="144">
        <f t="shared" si="4"/>
        <v>42</v>
      </c>
      <c r="J14" s="144">
        <f t="shared" si="4"/>
        <v>42</v>
      </c>
      <c r="K14" s="144">
        <f t="shared" si="4"/>
        <v>42</v>
      </c>
      <c r="L14" s="144">
        <f t="shared" si="4"/>
        <v>50</v>
      </c>
      <c r="M14" s="144">
        <f t="shared" si="4"/>
        <v>42</v>
      </c>
      <c r="N14" s="144">
        <f t="shared" si="4"/>
        <v>42</v>
      </c>
      <c r="O14" s="144">
        <f t="shared" si="4"/>
        <v>50</v>
      </c>
      <c r="P14" s="144">
        <f t="shared" si="4"/>
        <v>50</v>
      </c>
      <c r="Q14" s="144">
        <f t="shared" si="4"/>
        <v>42</v>
      </c>
      <c r="R14" s="144">
        <f t="shared" si="4"/>
        <v>25</v>
      </c>
    </row>
    <row r="15" spans="2:18" ht="15" customHeight="1">
      <c r="B15" s="53"/>
      <c r="C15" s="53" t="s">
        <v>206</v>
      </c>
      <c r="D15" s="57">
        <v>1</v>
      </c>
      <c r="E15" s="58" t="s">
        <v>207</v>
      </c>
      <c r="F15" s="142">
        <f>ROUND(F43/$C$2,0)</f>
        <v>67</v>
      </c>
      <c r="G15" s="59"/>
      <c r="H15" s="144">
        <f t="shared" si="4"/>
        <v>90</v>
      </c>
      <c r="I15" s="144">
        <f t="shared" si="4"/>
        <v>66</v>
      </c>
      <c r="J15" s="144">
        <f t="shared" si="4"/>
        <v>108</v>
      </c>
      <c r="K15" s="83" t="s">
        <v>191</v>
      </c>
      <c r="L15" s="144">
        <f t="shared" si="4"/>
        <v>17</v>
      </c>
      <c r="M15" s="44" t="s">
        <v>169</v>
      </c>
      <c r="N15" s="83" t="s">
        <v>191</v>
      </c>
      <c r="O15" s="83" t="s">
        <v>191</v>
      </c>
      <c r="P15" s="83" t="s">
        <v>191</v>
      </c>
      <c r="Q15" s="83" t="s">
        <v>191</v>
      </c>
      <c r="R15" s="144">
        <f t="shared" si="4"/>
        <v>133</v>
      </c>
    </row>
    <row r="16" spans="2:18" ht="15" customHeight="1">
      <c r="B16" s="53"/>
      <c r="C16" s="53" t="s">
        <v>208</v>
      </c>
      <c r="D16" s="57">
        <v>1</v>
      </c>
      <c r="E16" s="58" t="s">
        <v>170</v>
      </c>
      <c r="F16" s="66"/>
      <c r="G16" s="59"/>
      <c r="H16" s="144">
        <f t="shared" si="4"/>
        <v>167</v>
      </c>
      <c r="I16" s="144">
        <f t="shared" si="4"/>
        <v>192</v>
      </c>
      <c r="J16" s="144">
        <f t="shared" si="4"/>
        <v>100</v>
      </c>
      <c r="K16" s="67">
        <f t="shared" si="4"/>
        <v>100</v>
      </c>
      <c r="L16" s="68"/>
      <c r="M16" s="67">
        <f t="shared" si="4"/>
        <v>83</v>
      </c>
      <c r="N16" s="83" t="s">
        <v>191</v>
      </c>
      <c r="O16" s="83" t="s">
        <v>191</v>
      </c>
      <c r="P16" s="83" t="s">
        <v>191</v>
      </c>
      <c r="Q16" s="83" t="s">
        <v>191</v>
      </c>
      <c r="R16" s="83" t="s">
        <v>191</v>
      </c>
    </row>
    <row r="17" spans="2:18" ht="15" customHeight="1">
      <c r="B17" s="53"/>
      <c r="C17" s="53" t="s">
        <v>192</v>
      </c>
      <c r="D17" s="57">
        <v>1</v>
      </c>
      <c r="E17" s="58" t="s">
        <v>171</v>
      </c>
      <c r="F17" s="66"/>
      <c r="G17" s="59"/>
      <c r="H17" s="83" t="s">
        <v>191</v>
      </c>
      <c r="I17" s="83" t="s">
        <v>191</v>
      </c>
      <c r="J17" s="83" t="s">
        <v>191</v>
      </c>
      <c r="K17" s="83" t="s">
        <v>191</v>
      </c>
      <c r="L17" s="83" t="s">
        <v>191</v>
      </c>
      <c r="M17" s="83" t="s">
        <v>191</v>
      </c>
      <c r="N17" s="83" t="s">
        <v>191</v>
      </c>
      <c r="O17" s="83" t="s">
        <v>191</v>
      </c>
      <c r="P17" s="83" t="s">
        <v>191</v>
      </c>
      <c r="Q17" s="83" t="s">
        <v>191</v>
      </c>
      <c r="R17" s="83" t="s">
        <v>191</v>
      </c>
    </row>
    <row r="18" spans="2:18" ht="15" customHeight="1">
      <c r="B18" s="53"/>
      <c r="C18" s="53" t="s">
        <v>209</v>
      </c>
      <c r="D18" s="57">
        <v>1</v>
      </c>
      <c r="E18" s="58" t="s">
        <v>171</v>
      </c>
      <c r="F18" s="142">
        <f>ROUND(F46/$C$2,0)</f>
        <v>83</v>
      </c>
      <c r="G18" s="59"/>
      <c r="H18" s="67"/>
      <c r="I18" s="68"/>
      <c r="J18" s="144">
        <f t="shared" si="4"/>
        <v>250</v>
      </c>
      <c r="K18" s="144">
        <f t="shared" si="4"/>
        <v>183</v>
      </c>
      <c r="L18" s="145"/>
      <c r="M18" s="144">
        <f t="shared" si="4"/>
        <v>167</v>
      </c>
      <c r="N18" s="144">
        <f t="shared" si="4"/>
        <v>183</v>
      </c>
      <c r="O18" s="144">
        <f t="shared" si="4"/>
        <v>167</v>
      </c>
      <c r="P18" s="144">
        <f t="shared" si="4"/>
        <v>167</v>
      </c>
      <c r="Q18" s="144">
        <f t="shared" si="4"/>
        <v>300</v>
      </c>
      <c r="R18" s="144">
        <f t="shared" si="4"/>
        <v>500</v>
      </c>
    </row>
    <row r="19" spans="2:18" ht="15" customHeight="1">
      <c r="B19" s="53"/>
      <c r="C19" s="53" t="s">
        <v>210</v>
      </c>
      <c r="D19" s="57">
        <v>1</v>
      </c>
      <c r="E19" s="58" t="s">
        <v>171</v>
      </c>
      <c r="F19" s="66"/>
      <c r="G19" s="59"/>
      <c r="H19" s="67"/>
      <c r="I19" s="144">
        <f t="shared" ref="I19" si="5">ROUND(I47/$C$2,0)</f>
        <v>125</v>
      </c>
      <c r="J19" s="68"/>
      <c r="K19" s="68"/>
      <c r="L19" s="68"/>
      <c r="M19" s="68"/>
      <c r="N19" s="68"/>
      <c r="O19" s="68"/>
      <c r="P19" s="68"/>
      <c r="Q19" s="68"/>
      <c r="R19" s="68"/>
    </row>
    <row r="20" spans="2:18" ht="15" customHeight="1">
      <c r="B20" s="53"/>
      <c r="C20" s="53" t="s">
        <v>211</v>
      </c>
      <c r="D20" s="57">
        <v>1</v>
      </c>
      <c r="E20" s="58" t="s">
        <v>108</v>
      </c>
      <c r="F20" s="66"/>
      <c r="G20" s="59"/>
      <c r="H20" s="67"/>
      <c r="I20" s="68"/>
      <c r="J20" s="68"/>
      <c r="K20" s="68"/>
      <c r="L20" s="68"/>
      <c r="M20" s="68"/>
      <c r="N20" s="68"/>
      <c r="O20" s="144">
        <f t="shared" ref="O20:P21" si="6">ROUND(O48/$C$2,0)</f>
        <v>7</v>
      </c>
      <c r="P20" s="144">
        <f t="shared" si="6"/>
        <v>7</v>
      </c>
      <c r="Q20" s="68"/>
      <c r="R20" s="68"/>
    </row>
    <row r="21" spans="2:18" ht="15" customHeight="1">
      <c r="B21" s="53"/>
      <c r="C21" s="53" t="s">
        <v>212</v>
      </c>
      <c r="D21" s="57">
        <v>1</v>
      </c>
      <c r="E21" s="58" t="s">
        <v>108</v>
      </c>
      <c r="F21" s="66"/>
      <c r="G21" s="59"/>
      <c r="H21" s="67"/>
      <c r="I21" s="68"/>
      <c r="J21" s="68"/>
      <c r="K21" s="68"/>
      <c r="L21" s="68"/>
      <c r="M21" s="68"/>
      <c r="N21" s="68"/>
      <c r="O21" s="144">
        <f t="shared" si="6"/>
        <v>8</v>
      </c>
      <c r="P21" s="144">
        <f t="shared" si="6"/>
        <v>8</v>
      </c>
      <c r="Q21" s="68"/>
      <c r="R21" s="68"/>
    </row>
    <row r="22" spans="2:18" ht="15" customHeight="1">
      <c r="B22" s="53"/>
      <c r="C22" s="53" t="s">
        <v>213</v>
      </c>
      <c r="D22" s="57"/>
      <c r="E22" s="58"/>
      <c r="F22" s="66"/>
      <c r="G22" s="59"/>
      <c r="H22" s="67"/>
      <c r="I22" s="68"/>
      <c r="J22" s="68"/>
      <c r="K22" s="68"/>
      <c r="L22" s="68"/>
      <c r="M22" s="68"/>
      <c r="N22" s="68"/>
      <c r="O22" s="68"/>
      <c r="P22" s="68"/>
      <c r="Q22" s="83" t="s">
        <v>191</v>
      </c>
      <c r="R22" s="83" t="s">
        <v>191</v>
      </c>
    </row>
    <row r="23" spans="2:18" ht="15" customHeight="1">
      <c r="B23" s="53"/>
      <c r="C23" s="53" t="s">
        <v>214</v>
      </c>
      <c r="D23" s="57">
        <v>1</v>
      </c>
      <c r="E23" s="58" t="s">
        <v>108</v>
      </c>
      <c r="F23" s="142">
        <f>ROUND(F51/$C$2,0)</f>
        <v>4</v>
      </c>
      <c r="G23" s="59"/>
      <c r="H23" s="67"/>
      <c r="I23" s="68"/>
      <c r="J23" s="68"/>
      <c r="K23" s="68"/>
      <c r="L23" s="68"/>
      <c r="M23" s="68"/>
      <c r="N23" s="68"/>
      <c r="O23" s="68"/>
      <c r="P23" s="68"/>
      <c r="Q23" s="68"/>
      <c r="R23" s="68"/>
    </row>
    <row r="24" spans="2:18" ht="15" customHeight="1">
      <c r="B24" s="53"/>
      <c r="C24" s="53"/>
      <c r="D24" s="53"/>
      <c r="E24" s="70"/>
      <c r="F24" s="66"/>
      <c r="G24" s="59"/>
      <c r="H24" s="64"/>
      <c r="I24" s="65"/>
      <c r="J24" s="65"/>
      <c r="K24" s="65"/>
      <c r="L24" s="65"/>
      <c r="M24" s="65"/>
      <c r="N24" s="65"/>
      <c r="O24" s="65"/>
      <c r="P24" s="65"/>
      <c r="Q24" s="65"/>
      <c r="R24" s="65"/>
    </row>
    <row r="25" spans="2:18" ht="15" customHeight="1">
      <c r="B25" s="53" t="s">
        <v>215</v>
      </c>
      <c r="C25" s="53"/>
      <c r="D25" s="53"/>
      <c r="E25" s="70"/>
      <c r="F25" s="66"/>
      <c r="G25" s="71">
        <v>0.15</v>
      </c>
      <c r="H25" s="72" t="s">
        <v>216</v>
      </c>
      <c r="I25" s="73" t="s">
        <v>216</v>
      </c>
      <c r="J25" s="73" t="s">
        <v>216</v>
      </c>
      <c r="K25" s="73" t="s">
        <v>216</v>
      </c>
      <c r="L25" s="73" t="s">
        <v>217</v>
      </c>
      <c r="M25" s="73" t="s">
        <v>217</v>
      </c>
      <c r="N25" s="73" t="s">
        <v>217</v>
      </c>
      <c r="O25" s="73" t="s">
        <v>216</v>
      </c>
      <c r="P25" s="73" t="s">
        <v>217</v>
      </c>
      <c r="Q25" s="73" t="s">
        <v>216</v>
      </c>
      <c r="R25" s="73" t="s">
        <v>216</v>
      </c>
    </row>
    <row r="26" spans="2:18" ht="15" customHeight="1">
      <c r="B26" s="53"/>
      <c r="C26" s="53"/>
      <c r="D26" s="53"/>
      <c r="E26" s="70"/>
      <c r="F26" s="66"/>
      <c r="G26" s="59"/>
      <c r="H26" s="64"/>
      <c r="I26" s="65"/>
      <c r="J26" s="65"/>
      <c r="K26" s="65"/>
      <c r="L26" s="65"/>
      <c r="M26" s="65"/>
      <c r="N26" s="65"/>
      <c r="O26" s="65"/>
      <c r="P26" s="65"/>
      <c r="Q26" s="65"/>
      <c r="R26" s="65"/>
    </row>
    <row r="27" spans="2:18" ht="15" customHeight="1" thickBot="1">
      <c r="B27" s="74"/>
      <c r="C27" s="74"/>
      <c r="D27" s="74"/>
      <c r="E27" s="75"/>
      <c r="F27" s="76"/>
      <c r="G27" s="77"/>
      <c r="H27" s="78"/>
      <c r="I27" s="79"/>
      <c r="J27" s="79"/>
      <c r="K27" s="79"/>
      <c r="L27" s="79"/>
      <c r="M27" s="79"/>
      <c r="N27" s="79"/>
      <c r="O27" s="79"/>
      <c r="P27" s="79"/>
      <c r="Q27" s="79"/>
      <c r="R27" s="79"/>
    </row>
    <row r="28" spans="2:18">
      <c r="B28" s="43" t="s">
        <v>218</v>
      </c>
    </row>
    <row r="31" spans="2:18" s="93" customFormat="1" ht="21" customHeight="1">
      <c r="B31" s="94" t="s">
        <v>219</v>
      </c>
      <c r="Q31" s="919">
        <v>41479</v>
      </c>
      <c r="R31" s="919"/>
    </row>
    <row r="32" spans="2:18" s="93" customFormat="1" ht="9.6" customHeight="1" thickBot="1"/>
    <row r="33" spans="2:18" s="93" customFormat="1" ht="15" customHeight="1">
      <c r="B33" s="920" t="s">
        <v>220</v>
      </c>
      <c r="C33" s="920" t="s">
        <v>221</v>
      </c>
      <c r="D33" s="920" t="s">
        <v>222</v>
      </c>
      <c r="E33" s="922" t="s">
        <v>223</v>
      </c>
      <c r="F33" s="95" t="s">
        <v>224</v>
      </c>
      <c r="G33" s="924" t="s">
        <v>225</v>
      </c>
      <c r="H33" s="96" t="s">
        <v>226</v>
      </c>
      <c r="I33" s="97" t="s">
        <v>227</v>
      </c>
      <c r="J33" s="97" t="s">
        <v>228</v>
      </c>
      <c r="K33" s="98" t="s">
        <v>229</v>
      </c>
      <c r="L33" s="98" t="s">
        <v>230</v>
      </c>
      <c r="M33" s="98" t="s">
        <v>231</v>
      </c>
      <c r="N33" s="98" t="s">
        <v>232</v>
      </c>
      <c r="O33" s="926" t="s">
        <v>233</v>
      </c>
      <c r="P33" s="927"/>
      <c r="Q33" s="97" t="s">
        <v>194</v>
      </c>
      <c r="R33" s="97" t="s">
        <v>195</v>
      </c>
    </row>
    <row r="34" spans="2:18" s="93" customFormat="1" ht="15" customHeight="1">
      <c r="B34" s="921"/>
      <c r="C34" s="921"/>
      <c r="D34" s="921"/>
      <c r="E34" s="923"/>
      <c r="F34" s="99" t="s">
        <v>234</v>
      </c>
      <c r="G34" s="925"/>
      <c r="H34" s="100" t="s">
        <v>235</v>
      </c>
      <c r="I34" s="101" t="s">
        <v>236</v>
      </c>
      <c r="J34" s="101" t="s">
        <v>236</v>
      </c>
      <c r="K34" s="101" t="s">
        <v>236</v>
      </c>
      <c r="L34" s="101" t="s">
        <v>235</v>
      </c>
      <c r="M34" s="101" t="s">
        <v>236</v>
      </c>
      <c r="N34" s="101" t="s">
        <v>235</v>
      </c>
      <c r="O34" s="101" t="s">
        <v>236</v>
      </c>
      <c r="P34" s="101" t="s">
        <v>235</v>
      </c>
      <c r="Q34" s="101" t="s">
        <v>236</v>
      </c>
      <c r="R34" s="101" t="s">
        <v>235</v>
      </c>
    </row>
    <row r="35" spans="2:18" s="93" customFormat="1" ht="15" customHeight="1">
      <c r="B35" s="102" t="s">
        <v>237</v>
      </c>
      <c r="C35" s="102"/>
      <c r="D35" s="102"/>
      <c r="E35" s="103"/>
      <c r="F35" s="104"/>
      <c r="G35" s="104"/>
      <c r="H35" s="105"/>
      <c r="I35" s="106"/>
      <c r="J35" s="106"/>
      <c r="K35" s="106"/>
      <c r="L35" s="106"/>
      <c r="M35" s="106"/>
      <c r="N35" s="106"/>
      <c r="O35" s="106"/>
      <c r="P35" s="106"/>
      <c r="Q35" s="106"/>
      <c r="R35" s="106"/>
    </row>
    <row r="36" spans="2:18" s="93" customFormat="1" ht="15" customHeight="1" thickBot="1">
      <c r="B36" s="107"/>
      <c r="C36" s="107" t="s">
        <v>238</v>
      </c>
      <c r="D36" s="108">
        <v>1</v>
      </c>
      <c r="E36" s="109" t="s">
        <v>239</v>
      </c>
      <c r="F36" s="104"/>
      <c r="G36" s="110"/>
      <c r="H36" s="111">
        <v>47500</v>
      </c>
      <c r="I36" s="112">
        <v>45040</v>
      </c>
      <c r="J36" s="112">
        <v>40000</v>
      </c>
      <c r="K36" s="112">
        <v>32000</v>
      </c>
      <c r="L36" s="112">
        <v>40000</v>
      </c>
      <c r="M36" s="112">
        <v>40000</v>
      </c>
      <c r="N36" s="112">
        <v>40000</v>
      </c>
      <c r="O36" s="112">
        <v>34400</v>
      </c>
      <c r="P36" s="112">
        <v>38400</v>
      </c>
      <c r="Q36" s="112">
        <v>22800</v>
      </c>
      <c r="R36" s="112">
        <v>38000</v>
      </c>
    </row>
    <row r="37" spans="2:18" s="93" customFormat="1" ht="15" customHeight="1" thickBot="1">
      <c r="B37" s="107"/>
      <c r="C37" s="107"/>
      <c r="D37" s="113"/>
      <c r="E37" s="114"/>
      <c r="F37" s="115"/>
      <c r="G37" s="116">
        <v>28000</v>
      </c>
      <c r="H37" s="117">
        <f>$G$9/H36</f>
        <v>4.9052631578947372E-3</v>
      </c>
      <c r="I37" s="118">
        <f t="shared" ref="I37:R37" si="7">$G$9/I36</f>
        <v>5.173179396092362E-3</v>
      </c>
      <c r="J37" s="118">
        <f t="shared" si="7"/>
        <v>5.8250000000000003E-3</v>
      </c>
      <c r="K37" s="118">
        <f>$G$9/K36</f>
        <v>7.2812500000000004E-3</v>
      </c>
      <c r="L37" s="117">
        <f>$G$9/L36</f>
        <v>5.8250000000000003E-3</v>
      </c>
      <c r="M37" s="118">
        <f>$G$9/M36</f>
        <v>5.8250000000000003E-3</v>
      </c>
      <c r="N37" s="117">
        <f>$G$9/N36</f>
        <v>5.8250000000000003E-3</v>
      </c>
      <c r="O37" s="118">
        <f t="shared" si="7"/>
        <v>6.7732558139534885E-3</v>
      </c>
      <c r="P37" s="117">
        <f t="shared" si="7"/>
        <v>6.0677083333333329E-3</v>
      </c>
      <c r="Q37" s="118">
        <f t="shared" si="7"/>
        <v>1.0219298245614034E-2</v>
      </c>
      <c r="R37" s="119">
        <f t="shared" si="7"/>
        <v>6.1315789473684211E-3</v>
      </c>
    </row>
    <row r="38" spans="2:18" s="93" customFormat="1" ht="15" customHeight="1">
      <c r="B38" s="107"/>
      <c r="C38" s="107"/>
      <c r="D38" s="113"/>
      <c r="E38" s="114"/>
      <c r="F38" s="115"/>
      <c r="G38" s="120">
        <v>25000</v>
      </c>
      <c r="H38" s="121">
        <f>$G$10/H36</f>
        <v>4.3789473684210526E-3</v>
      </c>
      <c r="I38" s="121">
        <f t="shared" ref="I38:R38" si="8">$G$10/I36</f>
        <v>4.6181172291296629E-3</v>
      </c>
      <c r="J38" s="121">
        <f t="shared" si="8"/>
        <v>5.1999999999999998E-3</v>
      </c>
      <c r="K38" s="121">
        <f>$G$10/K36</f>
        <v>6.4999999999999997E-3</v>
      </c>
      <c r="L38" s="121">
        <f>$G$10/L36</f>
        <v>5.1999999999999998E-3</v>
      </c>
      <c r="M38" s="121">
        <f>$G$10/M36</f>
        <v>5.1999999999999998E-3</v>
      </c>
      <c r="N38" s="121">
        <f>$G$10/N36</f>
        <v>5.1999999999999998E-3</v>
      </c>
      <c r="O38" s="121">
        <f t="shared" si="8"/>
        <v>6.0465116279069765E-3</v>
      </c>
      <c r="P38" s="121">
        <f t="shared" si="8"/>
        <v>5.4166666666666669E-3</v>
      </c>
      <c r="Q38" s="121">
        <f t="shared" si="8"/>
        <v>9.1228070175438589E-3</v>
      </c>
      <c r="R38" s="121">
        <f t="shared" si="8"/>
        <v>5.4736842105263155E-3</v>
      </c>
    </row>
    <row r="39" spans="2:18" s="93" customFormat="1" ht="15" customHeight="1">
      <c r="B39" s="107"/>
      <c r="C39" s="107"/>
      <c r="D39" s="113"/>
      <c r="E39" s="114"/>
      <c r="F39" s="115"/>
      <c r="G39" s="115"/>
      <c r="H39" s="122"/>
      <c r="I39" s="123"/>
      <c r="J39" s="123"/>
      <c r="K39" s="123"/>
      <c r="L39" s="123"/>
      <c r="M39" s="123"/>
      <c r="N39" s="123"/>
      <c r="O39" s="123"/>
      <c r="P39" s="123"/>
      <c r="Q39" s="123"/>
      <c r="R39" s="123"/>
    </row>
    <row r="40" spans="2:18" s="93" customFormat="1" ht="15" customHeight="1">
      <c r="B40" s="107" t="s">
        <v>240</v>
      </c>
      <c r="C40" s="107"/>
      <c r="D40" s="113"/>
      <c r="E40" s="114"/>
      <c r="F40" s="124"/>
      <c r="G40" s="115"/>
      <c r="H40" s="125"/>
      <c r="I40" s="126"/>
      <c r="J40" s="126"/>
      <c r="K40" s="126"/>
      <c r="L40" s="126"/>
      <c r="M40" s="126"/>
      <c r="N40" s="126"/>
      <c r="O40" s="126"/>
      <c r="P40" s="126"/>
      <c r="Q40" s="126"/>
      <c r="R40" s="126"/>
    </row>
    <row r="41" spans="2:18" s="93" customFormat="1" ht="15" customHeight="1">
      <c r="B41" s="107"/>
      <c r="C41" s="107" t="s">
        <v>241</v>
      </c>
      <c r="D41" s="113">
        <v>1</v>
      </c>
      <c r="E41" s="114" t="s">
        <v>242</v>
      </c>
      <c r="F41" s="124"/>
      <c r="G41" s="115"/>
      <c r="H41" s="125">
        <v>34150</v>
      </c>
      <c r="I41" s="126"/>
      <c r="J41" s="126">
        <v>10000</v>
      </c>
      <c r="K41" s="126"/>
      <c r="L41" s="126"/>
      <c r="M41" s="126"/>
      <c r="N41" s="126"/>
      <c r="O41" s="126" t="s">
        <v>243</v>
      </c>
      <c r="P41" s="126" t="s">
        <v>243</v>
      </c>
      <c r="Q41" s="126" t="s">
        <v>243</v>
      </c>
      <c r="R41" s="126" t="s">
        <v>243</v>
      </c>
    </row>
    <row r="42" spans="2:18" s="93" customFormat="1" ht="15" customHeight="1">
      <c r="B42" s="107"/>
      <c r="C42" s="107" t="s">
        <v>244</v>
      </c>
      <c r="D42" s="113">
        <v>1</v>
      </c>
      <c r="E42" s="114" t="s">
        <v>245</v>
      </c>
      <c r="F42" s="124">
        <v>1900</v>
      </c>
      <c r="G42" s="115"/>
      <c r="H42" s="125">
        <v>5000</v>
      </c>
      <c r="I42" s="126">
        <v>5000</v>
      </c>
      <c r="J42" s="126">
        <v>5000</v>
      </c>
      <c r="K42" s="126">
        <v>5000</v>
      </c>
      <c r="L42" s="126">
        <v>6000</v>
      </c>
      <c r="M42" s="126">
        <v>5000</v>
      </c>
      <c r="N42" s="126">
        <v>5000</v>
      </c>
      <c r="O42" s="126">
        <v>6000</v>
      </c>
      <c r="P42" s="126">
        <v>6000</v>
      </c>
      <c r="Q42" s="126">
        <v>5000</v>
      </c>
      <c r="R42" s="126">
        <v>3000</v>
      </c>
    </row>
    <row r="43" spans="2:18" s="93" customFormat="1" ht="15" customHeight="1">
      <c r="B43" s="107"/>
      <c r="C43" s="107" t="s">
        <v>246</v>
      </c>
      <c r="D43" s="113">
        <v>1</v>
      </c>
      <c r="E43" s="114" t="s">
        <v>247</v>
      </c>
      <c r="F43" s="124">
        <v>8000</v>
      </c>
      <c r="G43" s="115"/>
      <c r="H43" s="125">
        <v>10750</v>
      </c>
      <c r="I43" s="126">
        <v>7880</v>
      </c>
      <c r="J43" s="126">
        <v>13000</v>
      </c>
      <c r="K43" s="126" t="s">
        <v>243</v>
      </c>
      <c r="L43" s="126">
        <v>2000</v>
      </c>
      <c r="M43" s="126" t="s">
        <v>248</v>
      </c>
      <c r="N43" s="126" t="s">
        <v>243</v>
      </c>
      <c r="O43" s="126" t="s">
        <v>243</v>
      </c>
      <c r="P43" s="126" t="s">
        <v>243</v>
      </c>
      <c r="Q43" s="126" t="s">
        <v>243</v>
      </c>
      <c r="R43" s="126">
        <v>16000</v>
      </c>
    </row>
    <row r="44" spans="2:18" s="93" customFormat="1" ht="15" customHeight="1">
      <c r="B44" s="107"/>
      <c r="C44" s="107" t="s">
        <v>249</v>
      </c>
      <c r="D44" s="113">
        <v>1</v>
      </c>
      <c r="E44" s="114" t="s">
        <v>250</v>
      </c>
      <c r="F44" s="124"/>
      <c r="G44" s="115"/>
      <c r="H44" s="125">
        <v>20000</v>
      </c>
      <c r="I44" s="126">
        <v>23000</v>
      </c>
      <c r="J44" s="126">
        <v>12000</v>
      </c>
      <c r="K44" s="126">
        <v>12000</v>
      </c>
      <c r="L44" s="126"/>
      <c r="M44" s="126">
        <v>10000</v>
      </c>
      <c r="N44" s="126" t="s">
        <v>243</v>
      </c>
      <c r="O44" s="126" t="s">
        <v>243</v>
      </c>
      <c r="P44" s="126" t="s">
        <v>243</v>
      </c>
      <c r="Q44" s="126" t="s">
        <v>243</v>
      </c>
      <c r="R44" s="126" t="s">
        <v>243</v>
      </c>
    </row>
    <row r="45" spans="2:18" s="93" customFormat="1" ht="15" customHeight="1">
      <c r="B45" s="107"/>
      <c r="C45" s="107" t="s">
        <v>251</v>
      </c>
      <c r="D45" s="113">
        <v>1</v>
      </c>
      <c r="E45" s="114" t="s">
        <v>250</v>
      </c>
      <c r="F45" s="124"/>
      <c r="G45" s="115"/>
      <c r="H45" s="125" t="s">
        <v>243</v>
      </c>
      <c r="I45" s="126" t="s">
        <v>243</v>
      </c>
      <c r="J45" s="126" t="s">
        <v>243</v>
      </c>
      <c r="K45" s="126" t="s">
        <v>243</v>
      </c>
      <c r="L45" s="126" t="s">
        <v>243</v>
      </c>
      <c r="M45" s="126" t="s">
        <v>243</v>
      </c>
      <c r="N45" s="126" t="s">
        <v>243</v>
      </c>
      <c r="O45" s="126" t="s">
        <v>243</v>
      </c>
      <c r="P45" s="126" t="s">
        <v>243</v>
      </c>
      <c r="Q45" s="126" t="s">
        <v>243</v>
      </c>
      <c r="R45" s="126" t="s">
        <v>243</v>
      </c>
    </row>
    <row r="46" spans="2:18" s="93" customFormat="1" ht="15" customHeight="1">
      <c r="B46" s="107"/>
      <c r="C46" s="107" t="s">
        <v>252</v>
      </c>
      <c r="D46" s="113">
        <v>1</v>
      </c>
      <c r="E46" s="114" t="s">
        <v>250</v>
      </c>
      <c r="F46" s="124">
        <v>10000</v>
      </c>
      <c r="G46" s="115"/>
      <c r="H46" s="125"/>
      <c r="I46" s="126"/>
      <c r="J46" s="126">
        <v>30000</v>
      </c>
      <c r="K46" s="126">
        <v>22000</v>
      </c>
      <c r="L46" s="126"/>
      <c r="M46" s="126">
        <v>20000</v>
      </c>
      <c r="N46" s="126">
        <v>22000</v>
      </c>
      <c r="O46" s="126">
        <v>20000</v>
      </c>
      <c r="P46" s="126">
        <v>20000</v>
      </c>
      <c r="Q46" s="126">
        <v>36000</v>
      </c>
      <c r="R46" s="126">
        <v>60000</v>
      </c>
    </row>
    <row r="47" spans="2:18" s="93" customFormat="1" ht="15" customHeight="1">
      <c r="B47" s="107"/>
      <c r="C47" s="107" t="s">
        <v>253</v>
      </c>
      <c r="D47" s="113">
        <v>1</v>
      </c>
      <c r="E47" s="114" t="s">
        <v>250</v>
      </c>
      <c r="F47" s="124"/>
      <c r="G47" s="115"/>
      <c r="H47" s="125"/>
      <c r="I47" s="126">
        <v>15000</v>
      </c>
      <c r="J47" s="126"/>
      <c r="K47" s="126"/>
      <c r="L47" s="126"/>
      <c r="M47" s="126"/>
      <c r="N47" s="126"/>
      <c r="O47" s="126"/>
      <c r="P47" s="126"/>
      <c r="Q47" s="126"/>
      <c r="R47" s="126"/>
    </row>
    <row r="48" spans="2:18" s="93" customFormat="1" ht="15" customHeight="1">
      <c r="B48" s="107"/>
      <c r="C48" s="107" t="s">
        <v>254</v>
      </c>
      <c r="D48" s="113">
        <v>1</v>
      </c>
      <c r="E48" s="114" t="s">
        <v>255</v>
      </c>
      <c r="F48" s="124"/>
      <c r="G48" s="115"/>
      <c r="H48" s="125"/>
      <c r="I48" s="126"/>
      <c r="J48" s="126"/>
      <c r="K48" s="126"/>
      <c r="L48" s="126"/>
      <c r="M48" s="126"/>
      <c r="N48" s="126"/>
      <c r="O48" s="126">
        <v>800</v>
      </c>
      <c r="P48" s="126">
        <v>800</v>
      </c>
      <c r="Q48" s="126"/>
      <c r="R48" s="126"/>
    </row>
    <row r="49" spans="2:18" s="93" customFormat="1" ht="15" customHeight="1">
      <c r="B49" s="107"/>
      <c r="C49" s="107" t="s">
        <v>256</v>
      </c>
      <c r="D49" s="113">
        <v>1</v>
      </c>
      <c r="E49" s="114" t="s">
        <v>255</v>
      </c>
      <c r="F49" s="124"/>
      <c r="G49" s="115"/>
      <c r="H49" s="125"/>
      <c r="I49" s="126"/>
      <c r="J49" s="126"/>
      <c r="K49" s="126"/>
      <c r="L49" s="126"/>
      <c r="M49" s="126"/>
      <c r="N49" s="126"/>
      <c r="O49" s="126">
        <v>1000</v>
      </c>
      <c r="P49" s="126">
        <v>1000</v>
      </c>
      <c r="Q49" s="126"/>
      <c r="R49" s="126"/>
    </row>
    <row r="50" spans="2:18" s="93" customFormat="1" ht="15" customHeight="1">
      <c r="B50" s="107"/>
      <c r="C50" s="107" t="s">
        <v>257</v>
      </c>
      <c r="D50" s="113"/>
      <c r="E50" s="114"/>
      <c r="F50" s="124"/>
      <c r="G50" s="115"/>
      <c r="H50" s="125"/>
      <c r="I50" s="126"/>
      <c r="J50" s="126"/>
      <c r="K50" s="126"/>
      <c r="L50" s="126"/>
      <c r="M50" s="126"/>
      <c r="N50" s="126"/>
      <c r="O50" s="126"/>
      <c r="P50" s="126"/>
      <c r="Q50" s="126" t="s">
        <v>243</v>
      </c>
      <c r="R50" s="126" t="s">
        <v>243</v>
      </c>
    </row>
    <row r="51" spans="2:18" s="93" customFormat="1" ht="15" customHeight="1">
      <c r="B51" s="107"/>
      <c r="C51" s="107" t="s">
        <v>258</v>
      </c>
      <c r="D51" s="113">
        <v>1</v>
      </c>
      <c r="E51" s="114" t="s">
        <v>255</v>
      </c>
      <c r="F51" s="124">
        <v>500</v>
      </c>
      <c r="G51" s="115"/>
      <c r="H51" s="125"/>
      <c r="I51" s="126"/>
      <c r="J51" s="126"/>
      <c r="K51" s="126"/>
      <c r="L51" s="126"/>
      <c r="M51" s="126"/>
      <c r="N51" s="126"/>
      <c r="O51" s="126"/>
      <c r="P51" s="126"/>
      <c r="Q51" s="126"/>
      <c r="R51" s="126"/>
    </row>
    <row r="52" spans="2:18" s="93" customFormat="1" ht="15" customHeight="1">
      <c r="B52" s="107"/>
      <c r="C52" s="107"/>
      <c r="D52" s="107"/>
      <c r="E52" s="127"/>
      <c r="F52" s="124"/>
      <c r="G52" s="115"/>
      <c r="H52" s="122"/>
      <c r="I52" s="123"/>
      <c r="J52" s="123"/>
      <c r="K52" s="123"/>
      <c r="L52" s="123"/>
      <c r="M52" s="123"/>
      <c r="N52" s="123"/>
      <c r="O52" s="123"/>
      <c r="P52" s="123"/>
      <c r="Q52" s="123"/>
      <c r="R52" s="123"/>
    </row>
    <row r="53" spans="2:18" s="93" customFormat="1" ht="15" customHeight="1">
      <c r="B53" s="107" t="s">
        <v>259</v>
      </c>
      <c r="C53" s="107"/>
      <c r="D53" s="107"/>
      <c r="E53" s="127"/>
      <c r="F53" s="124"/>
      <c r="G53" s="128">
        <v>0.15</v>
      </c>
      <c r="H53" s="129" t="s">
        <v>260</v>
      </c>
      <c r="I53" s="130" t="s">
        <v>260</v>
      </c>
      <c r="J53" s="130" t="s">
        <v>260</v>
      </c>
      <c r="K53" s="130" t="s">
        <v>260</v>
      </c>
      <c r="L53" s="130" t="s">
        <v>261</v>
      </c>
      <c r="M53" s="130" t="s">
        <v>261</v>
      </c>
      <c r="N53" s="130" t="s">
        <v>261</v>
      </c>
      <c r="O53" s="130" t="s">
        <v>260</v>
      </c>
      <c r="P53" s="130" t="s">
        <v>261</v>
      </c>
      <c r="Q53" s="130" t="s">
        <v>260</v>
      </c>
      <c r="R53" s="130" t="s">
        <v>260</v>
      </c>
    </row>
    <row r="54" spans="2:18" s="93" customFormat="1" ht="15" customHeight="1">
      <c r="B54" s="107"/>
      <c r="C54" s="107"/>
      <c r="D54" s="107"/>
      <c r="E54" s="127"/>
      <c r="F54" s="124"/>
      <c r="G54" s="115"/>
      <c r="H54" s="122"/>
      <c r="I54" s="123"/>
      <c r="J54" s="123"/>
      <c r="K54" s="123"/>
      <c r="L54" s="123"/>
      <c r="M54" s="123"/>
      <c r="N54" s="123"/>
      <c r="O54" s="123"/>
      <c r="P54" s="123"/>
      <c r="Q54" s="123"/>
      <c r="R54" s="123"/>
    </row>
    <row r="55" spans="2:18" s="93" customFormat="1" ht="15" customHeight="1" thickBot="1">
      <c r="B55" s="131"/>
      <c r="C55" s="131"/>
      <c r="D55" s="131"/>
      <c r="E55" s="132"/>
      <c r="F55" s="133"/>
      <c r="G55" s="134"/>
      <c r="H55" s="135"/>
      <c r="I55" s="136"/>
      <c r="J55" s="136"/>
      <c r="K55" s="136"/>
      <c r="L55" s="136"/>
      <c r="M55" s="136"/>
      <c r="N55" s="136"/>
      <c r="O55" s="136"/>
      <c r="P55" s="136"/>
      <c r="Q55" s="136"/>
      <c r="R55" s="136"/>
    </row>
    <row r="56" spans="2:18" s="93" customFormat="1">
      <c r="B56" s="93" t="s">
        <v>262</v>
      </c>
    </row>
  </sheetData>
  <mergeCells count="14">
    <mergeCell ref="Q3:R3"/>
    <mergeCell ref="B5:B6"/>
    <mergeCell ref="C5:C6"/>
    <mergeCell ref="D5:D6"/>
    <mergeCell ref="E5:E6"/>
    <mergeCell ref="G5:G6"/>
    <mergeCell ref="O5:P5"/>
    <mergeCell ref="Q31:R31"/>
    <mergeCell ref="B33:B34"/>
    <mergeCell ref="C33:C34"/>
    <mergeCell ref="D33:D34"/>
    <mergeCell ref="E33:E34"/>
    <mergeCell ref="G33:G34"/>
    <mergeCell ref="O33:P33"/>
  </mergeCells>
  <phoneticPr fontId="4"/>
  <printOptions horizontalCentered="1"/>
  <pageMargins left="0.39370078740157483" right="0.39370078740157483" top="0.98425196850393704" bottom="0.98425196850393704" header="0.51181102362204722" footer="0.51181102362204722"/>
  <pageSetup paperSize="9" scale="81"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1.Service Contraction</vt:lpstr>
      <vt:lpstr>2.Quotation Service Order</vt:lpstr>
      <vt:lpstr>3.Detail Quotation</vt:lpstr>
      <vt:lpstr>4.Handing Over</vt:lpstr>
      <vt:lpstr>5.Request for Payment</vt:lpstr>
      <vt:lpstr>6.Invoice</vt:lpstr>
      <vt:lpstr>7. Process Sheet</vt:lpstr>
      <vt:lpstr>8.Allowance and Others</vt:lpstr>
      <vt:lpstr>9.Instrument Breakdown Sheet</vt:lpstr>
      <vt:lpstr>10.Equipment depreciation table</vt:lpstr>
      <vt:lpstr>11.Consumbles Breakudown Sheet</vt:lpstr>
      <vt:lpstr>Balance sheet</vt:lpstr>
      <vt:lpstr>'1.Service Contraction'!Print_Area</vt:lpstr>
      <vt:lpstr>'10.Equipment depreciation table'!Print_Area</vt:lpstr>
      <vt:lpstr>'11.Consumbles Breakudown Sheet'!Print_Area</vt:lpstr>
      <vt:lpstr>'2.Quotation Service Order'!Print_Area</vt:lpstr>
      <vt:lpstr>'3.Detail Quotation'!Print_Area</vt:lpstr>
      <vt:lpstr>'4.Handing Over'!Print_Area</vt:lpstr>
      <vt:lpstr>'5.Request for Payment'!Print_Area</vt:lpstr>
      <vt:lpstr>'6.Invoice'!Print_Area</vt:lpstr>
      <vt:lpstr>'7. Process Sheet'!Print_Area</vt:lpstr>
      <vt:lpstr>'8.Allowance and Others'!Print_Area</vt:lpstr>
      <vt:lpstr>'9.Instrument Breakdown Sheet'!Print_Area</vt:lpstr>
      <vt:lpstr>'Balance sheet'!Print_Area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2017-05-15T02:40:17Z</dcterms:modified>
</cp:coreProperties>
</file>