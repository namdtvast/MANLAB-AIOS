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Calibration\"/>
    </mc:Choice>
  </mc:AlternateContent>
  <bookViews>
    <workbookView xWindow="0" yWindow="0" windowWidth="20490" windowHeight="7755" activeTab="1"/>
  </bookViews>
  <sheets>
    <sheet name="001" sheetId="1" r:id="rId1"/>
    <sheet name="002" sheetId="2" r:id="rId2"/>
  </sheets>
  <calcPr calcId="15251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7" i="2" l="1"/>
  <c r="AE17" i="2" l="1"/>
  <c r="Q23" i="1" l="1"/>
  <c r="AI67" i="2" l="1"/>
  <c r="AG67" i="2"/>
  <c r="AA67" i="2"/>
  <c r="W67" i="2"/>
  <c r="U67" i="2"/>
  <c r="Q67" i="2"/>
  <c r="O67" i="2"/>
  <c r="AK66" i="2"/>
  <c r="AE66" i="2"/>
  <c r="Y66" i="2"/>
  <c r="S66" i="2"/>
  <c r="AK65" i="2"/>
  <c r="AE65" i="2"/>
  <c r="Y65" i="2"/>
  <c r="S65" i="2"/>
  <c r="AK64" i="2"/>
  <c r="AE64" i="2"/>
  <c r="Y64" i="2"/>
  <c r="S64" i="2"/>
  <c r="AK63" i="2"/>
  <c r="AE63" i="2"/>
  <c r="Y63" i="2"/>
  <c r="S63" i="2"/>
  <c r="AK62" i="2"/>
  <c r="AE62" i="2"/>
  <c r="Y62" i="2"/>
  <c r="S62" i="2"/>
  <c r="AK61" i="2"/>
  <c r="AE61" i="2"/>
  <c r="Y61" i="2"/>
  <c r="S61" i="2"/>
  <c r="AK60" i="2"/>
  <c r="AE60" i="2"/>
  <c r="AE67" i="2" s="1"/>
  <c r="AA68" i="2" s="1"/>
  <c r="Y60" i="2"/>
  <c r="S60" i="2"/>
  <c r="S67" i="2" s="1"/>
  <c r="O68" i="2" s="1"/>
  <c r="AI23" i="2"/>
  <c r="AG23" i="2"/>
  <c r="AC23" i="2"/>
  <c r="AA23" i="2"/>
  <c r="W23" i="2"/>
  <c r="U23" i="2"/>
  <c r="Q23" i="2"/>
  <c r="O23" i="2"/>
  <c r="AK22" i="2"/>
  <c r="AE22" i="2"/>
  <c r="Y22" i="2"/>
  <c r="S22" i="2"/>
  <c r="AK21" i="2"/>
  <c r="AE21" i="2"/>
  <c r="Y21" i="2"/>
  <c r="S21" i="2"/>
  <c r="AK20" i="2"/>
  <c r="AE20" i="2"/>
  <c r="Y20" i="2"/>
  <c r="S20" i="2"/>
  <c r="AK19" i="2"/>
  <c r="AE19" i="2"/>
  <c r="Y19" i="2"/>
  <c r="S19" i="2"/>
  <c r="AK18" i="2"/>
  <c r="AE18" i="2"/>
  <c r="Y18" i="2"/>
  <c r="S18" i="2"/>
  <c r="AK17" i="2"/>
  <c r="Y17" i="2"/>
  <c r="S17" i="2"/>
  <c r="AK16" i="2"/>
  <c r="AE16" i="2"/>
  <c r="Y16" i="2"/>
  <c r="S16" i="2"/>
  <c r="S23" i="2" s="1"/>
  <c r="O24" i="2" s="1"/>
  <c r="AI23" i="1"/>
  <c r="AG23" i="1"/>
  <c r="AC23" i="1"/>
  <c r="AA23" i="1"/>
  <c r="W23" i="1"/>
  <c r="U23" i="1"/>
  <c r="O23" i="1"/>
  <c r="U67" i="1"/>
  <c r="W67" i="1"/>
  <c r="AA67" i="1"/>
  <c r="AC67" i="1"/>
  <c r="AG67" i="1"/>
  <c r="AI67" i="1"/>
  <c r="Q67" i="1"/>
  <c r="O67" i="1"/>
  <c r="AK66" i="1"/>
  <c r="AK65" i="1"/>
  <c r="AK64" i="1"/>
  <c r="AK63" i="1"/>
  <c r="AK62" i="1"/>
  <c r="AK61" i="1"/>
  <c r="AK60" i="1"/>
  <c r="AK67" i="1" s="1"/>
  <c r="AG68" i="1" s="1"/>
  <c r="AE66" i="1"/>
  <c r="AE65" i="1"/>
  <c r="AE64" i="1"/>
  <c r="AE63" i="1"/>
  <c r="AE62" i="1"/>
  <c r="AE61" i="1"/>
  <c r="AE60" i="1"/>
  <c r="Y66" i="1"/>
  <c r="Y65" i="1"/>
  <c r="Y64" i="1"/>
  <c r="Y63" i="1"/>
  <c r="Y62" i="1"/>
  <c r="Y61" i="1"/>
  <c r="Y60" i="1"/>
  <c r="S66" i="1"/>
  <c r="S65" i="1"/>
  <c r="S64" i="1"/>
  <c r="S63" i="1"/>
  <c r="S62" i="1"/>
  <c r="S61" i="1"/>
  <c r="S60" i="1"/>
  <c r="S22" i="1"/>
  <c r="S21" i="1"/>
  <c r="S20" i="1"/>
  <c r="S19" i="1"/>
  <c r="S18" i="1"/>
  <c r="S17" i="1"/>
  <c r="S16" i="1"/>
  <c r="Y22" i="1"/>
  <c r="Y21" i="1"/>
  <c r="Y20" i="1"/>
  <c r="Y19" i="1"/>
  <c r="Y18" i="1"/>
  <c r="Y17" i="1"/>
  <c r="Y16" i="1"/>
  <c r="AK22" i="1"/>
  <c r="AK21" i="1"/>
  <c r="AK20" i="1"/>
  <c r="AK19" i="1"/>
  <c r="AK18" i="1"/>
  <c r="AK23" i="1" s="1"/>
  <c r="AG24" i="1" s="1"/>
  <c r="AK17" i="1"/>
  <c r="AK16" i="1"/>
  <c r="AE17" i="1"/>
  <c r="AE18" i="1"/>
  <c r="AE19" i="1"/>
  <c r="AE20" i="1"/>
  <c r="AE21" i="1"/>
  <c r="AE22" i="1"/>
  <c r="AE16" i="1"/>
  <c r="AK67" i="2" l="1"/>
  <c r="AG68" i="2" s="1"/>
  <c r="Y67" i="1"/>
  <c r="U68" i="1" s="1"/>
  <c r="AK23" i="2"/>
  <c r="AG24" i="2" s="1"/>
  <c r="S67" i="1"/>
  <c r="O68" i="1" s="1"/>
  <c r="AE23" i="2"/>
  <c r="AA24" i="2" s="1"/>
  <c r="Y23" i="2"/>
  <c r="U24" i="2" s="1"/>
  <c r="AE67" i="1"/>
  <c r="AA68" i="1" s="1"/>
  <c r="Y23" i="1"/>
  <c r="U24" i="1" s="1"/>
  <c r="Y67" i="2"/>
  <c r="U68" i="2" s="1"/>
  <c r="S23" i="1"/>
  <c r="O24" i="1" s="1"/>
  <c r="AE23" i="1"/>
  <c r="AA24" i="1" s="1"/>
</calcChain>
</file>

<file path=xl/sharedStrings.xml><?xml version="1.0" encoding="utf-8"?>
<sst xmlns="http://schemas.openxmlformats.org/spreadsheetml/2006/main" count="218" uniqueCount="52">
  <si>
    <t>頁</t>
  </si>
  <si>
    <t>管理番号</t>
  </si>
  <si>
    <t>校正年月日</t>
  </si>
  <si>
    <t>製造業者・型式</t>
  </si>
  <si>
    <t>有効期限</t>
  </si>
  <si>
    <t>製造番号</t>
  </si>
  <si>
    <t>有効期間</t>
  </si>
  <si>
    <t>校正日の翌月１日から起算して12ヶ月</t>
  </si>
  <si>
    <t>検査試験装置</t>
  </si>
  <si>
    <t>機器名</t>
  </si>
  <si>
    <t>デジタル温度計</t>
  </si>
  <si>
    <t>シース熱伝対</t>
  </si>
  <si>
    <t xml:space="preserve">　　　
</t>
  </si>
  <si>
    <t>100℃</t>
  </si>
  <si>
    <t>200℃</t>
  </si>
  <si>
    <t>300℃</t>
  </si>
  <si>
    <t>400℃</t>
  </si>
  <si>
    <t>本体
表示</t>
  </si>
  <si>
    <t>実測
値</t>
  </si>
  <si>
    <t>管理担当者</t>
  </si>
  <si>
    <t>校正者</t>
  </si>
  <si>
    <t>保管期間</t>
  </si>
  <si>
    <t>期末より5年間</t>
  </si>
  <si>
    <t>保管部門</t>
  </si>
  <si>
    <t>測定部門</t>
  </si>
  <si>
    <t>改訂（制定）日</t>
  </si>
  <si>
    <t>１.　比較結果表</t>
  </si>
  <si>
    <t>差</t>
  </si>
  <si>
    <t>平均</t>
  </si>
  <si>
    <t>温度設定</t>
  </si>
  <si>
    <t>実測値</t>
  </si>
  <si>
    <t>電気炉検査記録</t>
  </si>
  <si>
    <t xml:space="preserve">２．判断基準 </t>
  </si>
  <si>
    <t>基準のシース熱伝対に合わせる。</t>
  </si>
  <si>
    <t>＊ 設定温度に対して、温度差が判断基準 を超える場合は、電気炉本体の温度を</t>
  </si>
  <si>
    <t>１／２</t>
  </si>
  <si>
    <t>２／２</t>
  </si>
  <si>
    <t>500℃</t>
  </si>
  <si>
    <t>600℃</t>
  </si>
  <si>
    <t>700℃</t>
  </si>
  <si>
    <t>800℃</t>
  </si>
  <si>
    <t>日置電機㈱　3412</t>
  </si>
  <si>
    <t>ヤマト科学㈱　FO200</t>
  </si>
  <si>
    <t>大貴工業㈱  SKS-35</t>
  </si>
  <si>
    <t>DVA-051-002</t>
  </si>
  <si>
    <t>DVA-051-001</t>
  </si>
  <si>
    <t>DVM-010-003</t>
  </si>
  <si>
    <t>DVM-172-005</t>
  </si>
  <si>
    <t>DVM-010-006</t>
  </si>
  <si>
    <t>DVM-172-001</t>
  </si>
  <si>
    <t xml:space="preserve"> </t>
  </si>
  <si>
    <t xml:space="preserve">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</si>
</sst>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&quot;年&quot;m&quot;月&quot;d&quot;日&quot;;@"/>
  </numFmts>
  <fonts count="9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sz val="11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Ｐ明朝"/>
      <family val="1"/>
      <charset val="128"/>
    </font>
    <font>
      <b/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22" xfId="0" applyFont="1" applyBorder="1" applyAlignment="1">
      <alignment vertical="center"/>
    </xf>
    <xf numFmtId="0" fontId="0" fillId="0" borderId="0" xfId="0" applyAlignment="1"/>
    <xf numFmtId="0" fontId="0" fillId="0" borderId="20" xfId="0" applyFont="1" applyBorder="1" applyAlignment="1">
      <alignment vertical="center"/>
    </xf>
    <xf numFmtId="0" fontId="3" fillId="0" borderId="0" xfId="0" applyFont="1" applyBorder="1" applyAlignment="1"/>
    <xf numFmtId="0" fontId="0" fillId="0" borderId="30" xfId="0" applyBorder="1" applyAlignment="1"/>
    <xf numFmtId="0" fontId="0" fillId="0" borderId="30" xfId="0" applyFont="1" applyBorder="1" applyAlignment="1">
      <alignment vertical="center"/>
    </xf>
    <xf numFmtId="0" fontId="0" fillId="0" borderId="22" xfId="0" applyBorder="1" applyAlignment="1"/>
    <xf numFmtId="0" fontId="0" fillId="0" borderId="20" xfId="0" applyBorder="1" applyAlignment="1">
      <alignment vertical="center"/>
    </xf>
    <xf numFmtId="0" fontId="7" fillId="0" borderId="0" xfId="0" applyFont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/>
    </xf>
    <xf numFmtId="164" fontId="7" fillId="0" borderId="37" xfId="0" applyNumberFormat="1" applyFont="1" applyBorder="1" applyAlignment="1">
      <alignment horizontal="center" vertical="center"/>
    </xf>
    <xf numFmtId="164" fontId="7" fillId="0" borderId="41" xfId="0" applyNumberFormat="1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/>
    </xf>
    <xf numFmtId="1" fontId="6" fillId="0" borderId="49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0" fillId="0" borderId="55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0" fillId="0" borderId="63" xfId="0" applyFont="1" applyBorder="1" applyAlignment="1">
      <alignment horizontal="center" vertical="center" wrapText="1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shrinkToFit="1"/>
    </xf>
    <xf numFmtId="0" fontId="1" fillId="0" borderId="13" xfId="0" applyFont="1" applyFill="1" applyBorder="1" applyAlignment="1">
      <alignment horizontal="center" vertical="center" shrinkToFit="1"/>
    </xf>
    <xf numFmtId="0" fontId="0" fillId="0" borderId="13" xfId="0" applyFont="1" applyFill="1" applyBorder="1" applyAlignment="1">
      <alignment horizontal="center" vertical="center" shrinkToFit="1"/>
    </xf>
    <xf numFmtId="0" fontId="1" fillId="0" borderId="14" xfId="0" applyFont="1" applyFill="1" applyBorder="1" applyAlignment="1">
      <alignment horizontal="center" vertical="center" shrinkToFit="1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 shrinkToFit="1"/>
    </xf>
    <xf numFmtId="0" fontId="1" fillId="0" borderId="5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49" fontId="3" fillId="0" borderId="5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43</xdr:row>
      <xdr:rowOff>54430</xdr:rowOff>
    </xdr:from>
    <xdr:to>
      <xdr:col>25</xdr:col>
      <xdr:colOff>85725</xdr:colOff>
      <xdr:row>43</xdr:row>
      <xdr:rowOff>307878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0443" y="10382251"/>
          <a:ext cx="2257425" cy="253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5514</xdr:colOff>
      <xdr:row>11</xdr:row>
      <xdr:rowOff>206041</xdr:rowOff>
    </xdr:from>
    <xdr:to>
      <xdr:col>13</xdr:col>
      <xdr:colOff>130844</xdr:colOff>
      <xdr:row>14</xdr:row>
      <xdr:rowOff>30580</xdr:rowOff>
    </xdr:to>
    <xdr:sp macro="" textlink="">
      <xdr:nvSpPr>
        <xdr:cNvPr id="3" name="Rectangle 2"/>
        <xdr:cNvSpPr/>
      </xdr:nvSpPr>
      <xdr:spPr>
        <a:xfrm>
          <a:off x="1624764" y="2815891"/>
          <a:ext cx="611105" cy="48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設定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温度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149892</xdr:colOff>
      <xdr:row>13</xdr:row>
      <xdr:rowOff>145382</xdr:rowOff>
    </xdr:from>
    <xdr:to>
      <xdr:col>8</xdr:col>
      <xdr:colOff>114801</xdr:colOff>
      <xdr:row>15</xdr:row>
      <xdr:rowOff>50132</xdr:rowOff>
    </xdr:to>
    <xdr:sp macro="" textlink="">
      <xdr:nvSpPr>
        <xdr:cNvPr id="4" name="Rectangle 3"/>
        <xdr:cNvSpPr/>
      </xdr:nvSpPr>
      <xdr:spPr>
        <a:xfrm>
          <a:off x="777421" y="3204588"/>
          <a:ext cx="592439" cy="4874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時間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（分）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11</xdr:col>
      <xdr:colOff>114300</xdr:colOff>
      <xdr:row>87</xdr:row>
      <xdr:rowOff>31937</xdr:rowOff>
    </xdr:from>
    <xdr:ext cx="2290555" cy="253448"/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474" y="10368633"/>
          <a:ext cx="2290555" cy="253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5514</xdr:colOff>
      <xdr:row>55</xdr:row>
      <xdr:rowOff>206041</xdr:rowOff>
    </xdr:from>
    <xdr:to>
      <xdr:col>13</xdr:col>
      <xdr:colOff>130844</xdr:colOff>
      <xdr:row>58</xdr:row>
      <xdr:rowOff>30580</xdr:rowOff>
    </xdr:to>
    <xdr:sp macro="" textlink="">
      <xdr:nvSpPr>
        <xdr:cNvPr id="6" name="Rectangle 5"/>
        <xdr:cNvSpPr/>
      </xdr:nvSpPr>
      <xdr:spPr>
        <a:xfrm>
          <a:off x="1662036" y="2815063"/>
          <a:ext cx="622286" cy="470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設定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温度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149892</xdr:colOff>
      <xdr:row>57</xdr:row>
      <xdr:rowOff>145382</xdr:rowOff>
    </xdr:from>
    <xdr:to>
      <xdr:col>8</xdr:col>
      <xdr:colOff>114801</xdr:colOff>
      <xdr:row>59</xdr:row>
      <xdr:rowOff>50132</xdr:rowOff>
    </xdr:to>
    <xdr:sp macro="" textlink="">
      <xdr:nvSpPr>
        <xdr:cNvPr id="7" name="Rectangle 6"/>
        <xdr:cNvSpPr/>
      </xdr:nvSpPr>
      <xdr:spPr>
        <a:xfrm>
          <a:off x="812501" y="3185099"/>
          <a:ext cx="627517" cy="4845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時間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（分）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43</xdr:row>
      <xdr:rowOff>54430</xdr:rowOff>
    </xdr:from>
    <xdr:to>
      <xdr:col>25</xdr:col>
      <xdr:colOff>85725</xdr:colOff>
      <xdr:row>43</xdr:row>
      <xdr:rowOff>307878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0417630"/>
          <a:ext cx="2238375" cy="253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5514</xdr:colOff>
      <xdr:row>11</xdr:row>
      <xdr:rowOff>206041</xdr:rowOff>
    </xdr:from>
    <xdr:to>
      <xdr:col>13</xdr:col>
      <xdr:colOff>130844</xdr:colOff>
      <xdr:row>14</xdr:row>
      <xdr:rowOff>30580</xdr:rowOff>
    </xdr:to>
    <xdr:sp macro="" textlink="">
      <xdr:nvSpPr>
        <xdr:cNvPr id="3" name="Rectangle 2"/>
        <xdr:cNvSpPr/>
      </xdr:nvSpPr>
      <xdr:spPr>
        <a:xfrm>
          <a:off x="1624764" y="2815891"/>
          <a:ext cx="611105" cy="48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設定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温度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149892</xdr:colOff>
      <xdr:row>13</xdr:row>
      <xdr:rowOff>145382</xdr:rowOff>
    </xdr:from>
    <xdr:to>
      <xdr:col>8</xdr:col>
      <xdr:colOff>114801</xdr:colOff>
      <xdr:row>15</xdr:row>
      <xdr:rowOff>50132</xdr:rowOff>
    </xdr:to>
    <xdr:sp macro="" textlink="">
      <xdr:nvSpPr>
        <xdr:cNvPr id="4" name="Rectangle 3"/>
        <xdr:cNvSpPr/>
      </xdr:nvSpPr>
      <xdr:spPr>
        <a:xfrm>
          <a:off x="797592" y="3193382"/>
          <a:ext cx="612609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時間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（分）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11</xdr:col>
      <xdr:colOff>114300</xdr:colOff>
      <xdr:row>87</xdr:row>
      <xdr:rowOff>31937</xdr:rowOff>
    </xdr:from>
    <xdr:ext cx="2290555" cy="253448"/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1148862"/>
          <a:ext cx="2290555" cy="253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5514</xdr:colOff>
      <xdr:row>55</xdr:row>
      <xdr:rowOff>206041</xdr:rowOff>
    </xdr:from>
    <xdr:to>
      <xdr:col>13</xdr:col>
      <xdr:colOff>130844</xdr:colOff>
      <xdr:row>58</xdr:row>
      <xdr:rowOff>30580</xdr:rowOff>
    </xdr:to>
    <xdr:sp macro="" textlink="">
      <xdr:nvSpPr>
        <xdr:cNvPr id="6" name="Rectangle 5"/>
        <xdr:cNvSpPr/>
      </xdr:nvSpPr>
      <xdr:spPr>
        <a:xfrm>
          <a:off x="1624764" y="13569616"/>
          <a:ext cx="611105" cy="4817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設定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温度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149892</xdr:colOff>
      <xdr:row>57</xdr:row>
      <xdr:rowOff>145382</xdr:rowOff>
    </xdr:from>
    <xdr:to>
      <xdr:col>8</xdr:col>
      <xdr:colOff>114801</xdr:colOff>
      <xdr:row>59</xdr:row>
      <xdr:rowOff>50132</xdr:rowOff>
    </xdr:to>
    <xdr:sp macro="" textlink="">
      <xdr:nvSpPr>
        <xdr:cNvPr id="7" name="Rectangle 6"/>
        <xdr:cNvSpPr/>
      </xdr:nvSpPr>
      <xdr:spPr>
        <a:xfrm>
          <a:off x="797592" y="13947107"/>
          <a:ext cx="612609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時間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r>
            <a:rPr lang="ja-JP" altLang="en-US" sz="1100">
              <a:solidFill>
                <a:sysClr val="windowText" lastClr="000000"/>
              </a:solidFill>
              <a:latin typeface="ＭＳ 明朝" panose="02020609040205080304" pitchFamily="49" charset="-128"/>
              <a:ea typeface="ＭＳ 明朝" panose="02020609040205080304" pitchFamily="49" charset="-128"/>
              <a:cs typeface="Times New Roman" panose="02020603050405020304" pitchFamily="18" charset="0"/>
            </a:rPr>
            <a:t>（分）</a:t>
          </a:r>
          <a:endParaRPr lang="en-US" altLang="ja-JP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  <a:p>
          <a:pPr algn="l"/>
          <a:endParaRPr lang="en-US" sz="1100">
            <a:solidFill>
              <a:sysClr val="windowText" lastClr="000000"/>
            </a:solidFill>
            <a:latin typeface="ＭＳ 明朝" panose="02020609040205080304" pitchFamily="49" charset="-128"/>
            <a:ea typeface="ＭＳ 明朝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CA94"/>
  <sheetViews>
    <sheetView showGridLines="0" view="pageBreakPreview" topLeftCell="A57" zoomScale="130" zoomScaleNormal="100" zoomScaleSheetLayoutView="130" workbookViewId="0">
      <selection activeCell="K52" sqref="K52:R53"/>
    </sheetView>
  </sheetViews>
  <sheetFormatPr defaultColWidth="2.5" defaultRowHeight="13.5" x14ac:dyDescent="0.15"/>
  <cols>
    <col min="1" max="39" width="2.125" style="2" customWidth="1"/>
    <col min="40" max="16384" width="2.5" style="2"/>
  </cols>
  <sheetData>
    <row r="1" spans="1:79" ht="27" customHeight="1" x14ac:dyDescent="0.15">
      <c r="A1" s="106" t="s">
        <v>31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8"/>
      <c r="AI1" s="117" t="s">
        <v>35</v>
      </c>
      <c r="AJ1" s="118"/>
      <c r="AK1" s="118"/>
      <c r="AL1" s="109" t="s">
        <v>0</v>
      </c>
      <c r="AM1" s="110"/>
      <c r="AN1" s="1"/>
      <c r="AO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9.5" customHeight="1" x14ac:dyDescent="0.15">
      <c r="A2" s="111" t="s">
        <v>1</v>
      </c>
      <c r="B2" s="112"/>
      <c r="C2" s="112"/>
      <c r="D2" s="112"/>
      <c r="E2" s="112"/>
      <c r="F2" s="112"/>
      <c r="G2" s="112"/>
      <c r="H2" s="113" t="s">
        <v>45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4"/>
      <c r="U2" s="115" t="s">
        <v>2</v>
      </c>
      <c r="V2" s="115"/>
      <c r="W2" s="115"/>
      <c r="X2" s="115"/>
      <c r="Y2" s="115"/>
      <c r="Z2" s="115"/>
      <c r="AA2" s="115"/>
      <c r="AB2" s="116">
        <v>43043</v>
      </c>
      <c r="AC2" s="116"/>
      <c r="AD2" s="116"/>
      <c r="AE2" s="116"/>
      <c r="AF2" s="116"/>
      <c r="AG2" s="116"/>
      <c r="AH2" s="116"/>
      <c r="AI2" s="95"/>
      <c r="AJ2" s="95"/>
      <c r="AK2" s="95"/>
      <c r="AL2" s="95"/>
      <c r="AM2" s="96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9.5" customHeight="1" x14ac:dyDescent="0.15">
      <c r="A3" s="91" t="s">
        <v>3</v>
      </c>
      <c r="B3" s="92"/>
      <c r="C3" s="92"/>
      <c r="D3" s="92"/>
      <c r="E3" s="92"/>
      <c r="F3" s="92"/>
      <c r="G3" s="92"/>
      <c r="H3" s="93" t="s">
        <v>42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4"/>
      <c r="U3" s="88" t="s">
        <v>4</v>
      </c>
      <c r="V3" s="88"/>
      <c r="W3" s="88"/>
      <c r="X3" s="88"/>
      <c r="Y3" s="88"/>
      <c r="Z3" s="88"/>
      <c r="AA3" s="88"/>
      <c r="AB3" s="95">
        <v>43434</v>
      </c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6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9.5" customHeight="1" x14ac:dyDescent="0.15">
      <c r="A4" s="97" t="s">
        <v>5</v>
      </c>
      <c r="B4" s="98"/>
      <c r="C4" s="98"/>
      <c r="D4" s="98"/>
      <c r="E4" s="98"/>
      <c r="F4" s="98"/>
      <c r="G4" s="98"/>
      <c r="H4" s="92">
        <v>54800033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9"/>
      <c r="U4" s="100" t="s">
        <v>6</v>
      </c>
      <c r="V4" s="101"/>
      <c r="W4" s="101"/>
      <c r="X4" s="101"/>
      <c r="Y4" s="101"/>
      <c r="Z4" s="101"/>
      <c r="AA4" s="102"/>
      <c r="AB4" s="103" t="s">
        <v>7</v>
      </c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5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4.25" thickBot="1" x14ac:dyDescent="0.2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/>
      <c r="AJ5" s="1"/>
      <c r="AK5" s="1"/>
      <c r="AL5" s="1"/>
      <c r="AM5" s="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" customHeight="1" x14ac:dyDescent="0.15">
      <c r="A6" s="3"/>
      <c r="B6" s="81" t="s">
        <v>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3"/>
      <c r="AM6" s="5"/>
      <c r="BT6" s="1"/>
      <c r="BU6" s="1"/>
      <c r="BV6" s="1"/>
      <c r="BW6" s="1"/>
      <c r="BX6" s="1"/>
      <c r="BY6" s="1"/>
      <c r="BZ6" s="1"/>
      <c r="CA6" s="1"/>
    </row>
    <row r="7" spans="1:79" ht="15" customHeight="1" x14ac:dyDescent="0.15">
      <c r="A7" s="3"/>
      <c r="B7" s="84" t="s">
        <v>9</v>
      </c>
      <c r="C7" s="85"/>
      <c r="D7" s="85"/>
      <c r="E7" s="85"/>
      <c r="F7" s="85"/>
      <c r="G7" s="85"/>
      <c r="H7" s="85"/>
      <c r="I7" s="85"/>
      <c r="J7" s="85"/>
      <c r="K7" s="85" t="s">
        <v>1</v>
      </c>
      <c r="L7" s="85"/>
      <c r="M7" s="85"/>
      <c r="N7" s="85"/>
      <c r="O7" s="85"/>
      <c r="P7" s="85"/>
      <c r="Q7" s="85"/>
      <c r="R7" s="85"/>
      <c r="S7" s="85" t="s">
        <v>3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6" t="s">
        <v>5</v>
      </c>
      <c r="AG7" s="86"/>
      <c r="AH7" s="86"/>
      <c r="AI7" s="86"/>
      <c r="AJ7" s="86"/>
      <c r="AK7" s="86"/>
      <c r="AL7" s="87"/>
      <c r="AM7" s="5"/>
      <c r="BT7" s="1"/>
      <c r="BU7" s="1"/>
      <c r="BV7" s="1"/>
      <c r="BW7" s="1"/>
      <c r="BX7" s="1"/>
      <c r="BY7" s="1"/>
      <c r="BZ7" s="1"/>
      <c r="CA7" s="1"/>
    </row>
    <row r="8" spans="1:79" ht="19.5" customHeight="1" x14ac:dyDescent="0.15">
      <c r="A8" s="3"/>
      <c r="B8" s="84" t="s">
        <v>10</v>
      </c>
      <c r="C8" s="85"/>
      <c r="D8" s="85"/>
      <c r="E8" s="85"/>
      <c r="F8" s="85"/>
      <c r="G8" s="85"/>
      <c r="H8" s="85"/>
      <c r="I8" s="85"/>
      <c r="J8" s="85"/>
      <c r="K8" s="88" t="s">
        <v>46</v>
      </c>
      <c r="L8" s="88"/>
      <c r="M8" s="88"/>
      <c r="N8" s="88"/>
      <c r="O8" s="88"/>
      <c r="P8" s="88"/>
      <c r="Q8" s="88"/>
      <c r="R8" s="88"/>
      <c r="S8" s="88" t="s">
        <v>41</v>
      </c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9">
        <v>130810062</v>
      </c>
      <c r="AG8" s="89"/>
      <c r="AH8" s="89"/>
      <c r="AI8" s="89"/>
      <c r="AJ8" s="89"/>
      <c r="AK8" s="89"/>
      <c r="AL8" s="90"/>
      <c r="AM8" s="5"/>
      <c r="BT8" s="1"/>
      <c r="BU8" s="1"/>
      <c r="BV8" s="1"/>
      <c r="BW8" s="1"/>
      <c r="BX8" s="1"/>
      <c r="BY8" s="1"/>
      <c r="BZ8" s="1"/>
      <c r="CA8" s="1"/>
    </row>
    <row r="9" spans="1:79" ht="19.5" customHeight="1" thickBot="1" x14ac:dyDescent="0.2">
      <c r="A9" s="3"/>
      <c r="B9" s="64" t="s">
        <v>11</v>
      </c>
      <c r="C9" s="65"/>
      <c r="D9" s="65"/>
      <c r="E9" s="65"/>
      <c r="F9" s="65"/>
      <c r="G9" s="65"/>
      <c r="H9" s="65"/>
      <c r="I9" s="65"/>
      <c r="J9" s="65"/>
      <c r="K9" s="66" t="s">
        <v>47</v>
      </c>
      <c r="L9" s="66"/>
      <c r="M9" s="66"/>
      <c r="N9" s="66"/>
      <c r="O9" s="66"/>
      <c r="P9" s="66"/>
      <c r="Q9" s="66"/>
      <c r="R9" s="66"/>
      <c r="S9" s="66" t="s">
        <v>43</v>
      </c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7">
        <v>103765</v>
      </c>
      <c r="AG9" s="67"/>
      <c r="AH9" s="67"/>
      <c r="AI9" s="67"/>
      <c r="AJ9" s="67"/>
      <c r="AK9" s="67"/>
      <c r="AL9" s="68"/>
      <c r="AM9" s="5"/>
      <c r="BT9" s="1"/>
      <c r="BU9" s="1"/>
      <c r="BV9" s="1"/>
      <c r="BW9" s="1"/>
      <c r="BX9" s="1"/>
      <c r="BY9" s="1"/>
      <c r="BZ9" s="1"/>
      <c r="CA9" s="1"/>
    </row>
    <row r="10" spans="1:79" ht="19.5" customHeight="1" x14ac:dyDescent="0.1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7"/>
      <c r="AH10" s="7"/>
      <c r="AI10" s="7"/>
      <c r="AJ10" s="7"/>
      <c r="AK10" s="7"/>
      <c r="AL10" s="7"/>
      <c r="AM10" s="5"/>
      <c r="BT10" s="1"/>
      <c r="BU10" s="1"/>
      <c r="BV10" s="1"/>
      <c r="BW10" s="1"/>
      <c r="BX10" s="1"/>
      <c r="BY10" s="1"/>
      <c r="BZ10" s="1"/>
      <c r="CA10" s="1"/>
    </row>
    <row r="11" spans="1:79" s="12" customFormat="1" ht="17.25" customHeight="1" x14ac:dyDescent="0.15">
      <c r="A11" s="8"/>
      <c r="B11" s="9" t="s">
        <v>26</v>
      </c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1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</row>
    <row r="12" spans="1:79" s="12" customFormat="1" ht="17.25" customHeight="1" x14ac:dyDescent="0.15">
      <c r="A12" s="13"/>
      <c r="B12" s="9"/>
      <c r="C12" s="9"/>
      <c r="D12" s="9"/>
      <c r="E12" s="9"/>
      <c r="F12" s="9"/>
      <c r="G12" s="9"/>
      <c r="H12" s="9"/>
      <c r="I12" s="9"/>
      <c r="J12" s="1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1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</row>
    <row r="13" spans="1:79" s="12" customFormat="1" ht="17.25" customHeight="1" x14ac:dyDescent="0.15">
      <c r="A13" s="13"/>
      <c r="E13" s="69" t="s">
        <v>12</v>
      </c>
      <c r="F13" s="70"/>
      <c r="G13" s="70"/>
      <c r="H13" s="70"/>
      <c r="I13" s="70"/>
      <c r="J13" s="70"/>
      <c r="K13" s="70"/>
      <c r="L13" s="70"/>
      <c r="M13" s="70"/>
      <c r="N13" s="71"/>
      <c r="O13" s="78" t="s">
        <v>13</v>
      </c>
      <c r="P13" s="79"/>
      <c r="Q13" s="79"/>
      <c r="R13" s="79"/>
      <c r="S13" s="79"/>
      <c r="T13" s="80"/>
      <c r="U13" s="78" t="s">
        <v>14</v>
      </c>
      <c r="V13" s="79"/>
      <c r="W13" s="79"/>
      <c r="X13" s="79"/>
      <c r="Y13" s="79"/>
      <c r="Z13" s="80"/>
      <c r="AA13" s="78" t="s">
        <v>15</v>
      </c>
      <c r="AB13" s="79"/>
      <c r="AC13" s="79"/>
      <c r="AD13" s="79"/>
      <c r="AE13" s="79"/>
      <c r="AF13" s="80"/>
      <c r="AG13" s="78" t="s">
        <v>16</v>
      </c>
      <c r="AH13" s="79"/>
      <c r="AI13" s="79"/>
      <c r="AJ13" s="79"/>
      <c r="AK13" s="79"/>
      <c r="AL13" s="80"/>
      <c r="AM13" s="15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</row>
    <row r="14" spans="1:79" s="12" customFormat="1" ht="17.25" customHeight="1" x14ac:dyDescent="0.15">
      <c r="A14" s="13"/>
      <c r="E14" s="72"/>
      <c r="F14" s="73"/>
      <c r="G14" s="73"/>
      <c r="H14" s="73"/>
      <c r="I14" s="73"/>
      <c r="J14" s="73"/>
      <c r="K14" s="73"/>
      <c r="L14" s="73"/>
      <c r="M14" s="73"/>
      <c r="N14" s="74"/>
      <c r="O14" s="44"/>
      <c r="P14" s="45"/>
      <c r="Q14" s="45"/>
      <c r="R14" s="45"/>
      <c r="S14" s="45"/>
      <c r="T14" s="46"/>
      <c r="U14" s="44"/>
      <c r="V14" s="45"/>
      <c r="W14" s="45"/>
      <c r="X14" s="45"/>
      <c r="Y14" s="45"/>
      <c r="Z14" s="46"/>
      <c r="AA14" s="44"/>
      <c r="AB14" s="45"/>
      <c r="AC14" s="45"/>
      <c r="AD14" s="45"/>
      <c r="AE14" s="45"/>
      <c r="AF14" s="46"/>
      <c r="AG14" s="44"/>
      <c r="AH14" s="45"/>
      <c r="AI14" s="45"/>
      <c r="AJ14" s="45"/>
      <c r="AK14" s="45"/>
      <c r="AL14" s="46"/>
      <c r="AM14" s="15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</row>
    <row r="15" spans="1:79" s="12" customFormat="1" ht="28.5" customHeight="1" x14ac:dyDescent="0.15">
      <c r="A15" s="13"/>
      <c r="E15" s="75"/>
      <c r="F15" s="76"/>
      <c r="G15" s="76"/>
      <c r="H15" s="76"/>
      <c r="I15" s="76"/>
      <c r="J15" s="76"/>
      <c r="K15" s="76"/>
      <c r="L15" s="76"/>
      <c r="M15" s="76"/>
      <c r="N15" s="77"/>
      <c r="O15" s="56" t="s">
        <v>17</v>
      </c>
      <c r="P15" s="63"/>
      <c r="Q15" s="56" t="s">
        <v>18</v>
      </c>
      <c r="R15" s="63"/>
      <c r="S15" s="56" t="s">
        <v>27</v>
      </c>
      <c r="T15" s="63"/>
      <c r="U15" s="56" t="s">
        <v>17</v>
      </c>
      <c r="V15" s="63"/>
      <c r="W15" s="56" t="s">
        <v>18</v>
      </c>
      <c r="X15" s="63"/>
      <c r="Y15" s="56" t="s">
        <v>27</v>
      </c>
      <c r="Z15" s="63"/>
      <c r="AA15" s="56" t="s">
        <v>17</v>
      </c>
      <c r="AB15" s="63"/>
      <c r="AC15" s="56" t="s">
        <v>18</v>
      </c>
      <c r="AD15" s="63"/>
      <c r="AE15" s="56" t="s">
        <v>27</v>
      </c>
      <c r="AF15" s="63"/>
      <c r="AG15" s="56" t="s">
        <v>17</v>
      </c>
      <c r="AH15" s="63"/>
      <c r="AI15" s="56" t="s">
        <v>18</v>
      </c>
      <c r="AJ15" s="63"/>
      <c r="AK15" s="56" t="s">
        <v>27</v>
      </c>
      <c r="AL15" s="63"/>
      <c r="AM15" s="16"/>
      <c r="AN15" s="10"/>
      <c r="AO15" s="10"/>
      <c r="AP15" s="10"/>
      <c r="AQ15" s="10"/>
      <c r="AR15" s="10"/>
      <c r="AS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</row>
    <row r="16" spans="1:79" s="12" customFormat="1" ht="23.25" customHeight="1" x14ac:dyDescent="0.15">
      <c r="A16" s="13"/>
      <c r="B16" s="10"/>
      <c r="C16" s="9"/>
      <c r="D16" s="9"/>
      <c r="E16" s="58">
        <v>0</v>
      </c>
      <c r="F16" s="59"/>
      <c r="G16" s="59"/>
      <c r="H16" s="59"/>
      <c r="I16" s="59"/>
      <c r="J16" s="59"/>
      <c r="K16" s="59"/>
      <c r="L16" s="59"/>
      <c r="M16" s="59"/>
      <c r="N16" s="60"/>
      <c r="O16" s="56">
        <v>100</v>
      </c>
      <c r="P16" s="57"/>
      <c r="Q16" s="52">
        <v>99</v>
      </c>
      <c r="R16" s="53"/>
      <c r="S16" s="62">
        <f>Q16-O16</f>
        <v>-1</v>
      </c>
      <c r="T16" s="63"/>
      <c r="U16" s="56">
        <v>200</v>
      </c>
      <c r="V16" s="57"/>
      <c r="W16" s="52">
        <v>214</v>
      </c>
      <c r="X16" s="53"/>
      <c r="Y16" s="62">
        <f>W16-U16</f>
        <v>14</v>
      </c>
      <c r="Z16" s="63"/>
      <c r="AA16" s="56">
        <v>302</v>
      </c>
      <c r="AB16" s="57"/>
      <c r="AC16" s="52">
        <v>315</v>
      </c>
      <c r="AD16" s="53"/>
      <c r="AE16" s="62">
        <f>AC16-AA16</f>
        <v>13</v>
      </c>
      <c r="AF16" s="63"/>
      <c r="AG16" s="56">
        <v>400</v>
      </c>
      <c r="AH16" s="57"/>
      <c r="AI16" s="52">
        <v>413</v>
      </c>
      <c r="AJ16" s="53"/>
      <c r="AK16" s="62">
        <f>AI16-AG16</f>
        <v>13</v>
      </c>
      <c r="AL16" s="63"/>
      <c r="AM16" s="16"/>
      <c r="AN16" s="10"/>
      <c r="AO16" s="10"/>
      <c r="AP16" s="10"/>
      <c r="AQ16" s="10"/>
      <c r="AR16" s="10"/>
      <c r="AS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</row>
    <row r="17" spans="1:79" s="12" customFormat="1" ht="23.25" customHeight="1" x14ac:dyDescent="0.15">
      <c r="A17" s="13"/>
      <c r="B17" s="10"/>
      <c r="C17" s="9"/>
      <c r="D17" s="9"/>
      <c r="E17" s="58">
        <v>5</v>
      </c>
      <c r="F17" s="59"/>
      <c r="G17" s="59"/>
      <c r="H17" s="59"/>
      <c r="I17" s="59"/>
      <c r="J17" s="59"/>
      <c r="K17" s="59"/>
      <c r="L17" s="59"/>
      <c r="M17" s="59"/>
      <c r="N17" s="60"/>
      <c r="O17" s="56">
        <v>100</v>
      </c>
      <c r="P17" s="57"/>
      <c r="Q17" s="52">
        <v>99</v>
      </c>
      <c r="R17" s="53"/>
      <c r="S17" s="62">
        <f t="shared" ref="S17:S22" si="0">Q17-O17</f>
        <v>-1</v>
      </c>
      <c r="T17" s="63"/>
      <c r="U17" s="56">
        <v>202</v>
      </c>
      <c r="V17" s="57"/>
      <c r="W17" s="52">
        <v>213</v>
      </c>
      <c r="X17" s="53"/>
      <c r="Y17" s="62">
        <f t="shared" ref="Y17:Y22" si="1">W17-U17</f>
        <v>11</v>
      </c>
      <c r="Z17" s="63"/>
      <c r="AA17" s="56">
        <v>303</v>
      </c>
      <c r="AB17" s="57"/>
      <c r="AC17" s="52">
        <v>316</v>
      </c>
      <c r="AD17" s="53"/>
      <c r="AE17" s="62">
        <f t="shared" ref="AE17:AE22" si="2">AC17-AA17</f>
        <v>13</v>
      </c>
      <c r="AF17" s="63"/>
      <c r="AG17" s="56">
        <v>400</v>
      </c>
      <c r="AH17" s="57"/>
      <c r="AI17" s="52">
        <v>413</v>
      </c>
      <c r="AJ17" s="53"/>
      <c r="AK17" s="62">
        <f t="shared" ref="AK17:AK22" si="3">AI17-AG17</f>
        <v>13</v>
      </c>
      <c r="AL17" s="63"/>
      <c r="AM17" s="17"/>
      <c r="AN17" s="10"/>
      <c r="AO17" s="10"/>
      <c r="AP17" s="10"/>
      <c r="AQ17" s="10"/>
      <c r="AR17" s="10"/>
      <c r="AS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</row>
    <row r="18" spans="1:79" s="12" customFormat="1" ht="23.25" customHeight="1" x14ac:dyDescent="0.15">
      <c r="A18" s="13"/>
      <c r="B18" s="10"/>
      <c r="C18" s="9"/>
      <c r="D18" s="9"/>
      <c r="E18" s="58">
        <v>10</v>
      </c>
      <c r="F18" s="59"/>
      <c r="G18" s="59"/>
      <c r="H18" s="59"/>
      <c r="I18" s="59"/>
      <c r="J18" s="59"/>
      <c r="K18" s="59"/>
      <c r="L18" s="59"/>
      <c r="M18" s="59"/>
      <c r="N18" s="60"/>
      <c r="O18" s="56">
        <v>100</v>
      </c>
      <c r="P18" s="57"/>
      <c r="Q18" s="52">
        <v>100</v>
      </c>
      <c r="R18" s="53"/>
      <c r="S18" s="62">
        <f t="shared" si="0"/>
        <v>0</v>
      </c>
      <c r="T18" s="63"/>
      <c r="U18" s="56">
        <v>202</v>
      </c>
      <c r="V18" s="57"/>
      <c r="W18" s="52">
        <v>213</v>
      </c>
      <c r="X18" s="53"/>
      <c r="Y18" s="62">
        <f t="shared" si="1"/>
        <v>11</v>
      </c>
      <c r="Z18" s="63"/>
      <c r="AA18" s="56">
        <v>304</v>
      </c>
      <c r="AB18" s="57"/>
      <c r="AC18" s="52">
        <v>315</v>
      </c>
      <c r="AD18" s="53"/>
      <c r="AE18" s="62">
        <f t="shared" si="2"/>
        <v>11</v>
      </c>
      <c r="AF18" s="63"/>
      <c r="AG18" s="56">
        <v>400</v>
      </c>
      <c r="AH18" s="57"/>
      <c r="AI18" s="52">
        <v>413</v>
      </c>
      <c r="AJ18" s="53"/>
      <c r="AK18" s="62">
        <f t="shared" si="3"/>
        <v>13</v>
      </c>
      <c r="AL18" s="63"/>
      <c r="AM18" s="17"/>
      <c r="AN18" s="10"/>
      <c r="AO18" s="10"/>
      <c r="AP18" s="10"/>
      <c r="AQ18" s="10"/>
      <c r="AR18" s="10"/>
      <c r="AS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</row>
    <row r="19" spans="1:79" s="12" customFormat="1" ht="23.25" customHeight="1" x14ac:dyDescent="0.15">
      <c r="A19" s="13"/>
      <c r="B19" s="10"/>
      <c r="C19" s="9"/>
      <c r="D19" s="9"/>
      <c r="E19" s="58">
        <v>15</v>
      </c>
      <c r="F19" s="59"/>
      <c r="G19" s="59"/>
      <c r="H19" s="59"/>
      <c r="I19" s="59"/>
      <c r="J19" s="59"/>
      <c r="K19" s="59"/>
      <c r="L19" s="59"/>
      <c r="M19" s="59"/>
      <c r="N19" s="60"/>
      <c r="O19" s="56">
        <v>100</v>
      </c>
      <c r="P19" s="57"/>
      <c r="Q19" s="52">
        <v>100</v>
      </c>
      <c r="R19" s="53"/>
      <c r="S19" s="62">
        <f t="shared" si="0"/>
        <v>0</v>
      </c>
      <c r="T19" s="63"/>
      <c r="U19" s="56">
        <v>203</v>
      </c>
      <c r="V19" s="57"/>
      <c r="W19" s="52">
        <v>213</v>
      </c>
      <c r="X19" s="53"/>
      <c r="Y19" s="62">
        <f t="shared" si="1"/>
        <v>10</v>
      </c>
      <c r="Z19" s="63"/>
      <c r="AA19" s="56">
        <v>303</v>
      </c>
      <c r="AB19" s="57"/>
      <c r="AC19" s="52">
        <v>315</v>
      </c>
      <c r="AD19" s="53"/>
      <c r="AE19" s="62">
        <f t="shared" si="2"/>
        <v>12</v>
      </c>
      <c r="AF19" s="63"/>
      <c r="AG19" s="56">
        <v>400</v>
      </c>
      <c r="AH19" s="57"/>
      <c r="AI19" s="52">
        <v>412</v>
      </c>
      <c r="AJ19" s="53"/>
      <c r="AK19" s="62">
        <f t="shared" si="3"/>
        <v>12</v>
      </c>
      <c r="AL19" s="63"/>
      <c r="AM19" s="11"/>
      <c r="AN19" s="10"/>
      <c r="AO19" s="10"/>
      <c r="AP19" s="10"/>
      <c r="AQ19" s="1"/>
      <c r="AR19" s="10"/>
      <c r="AS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</row>
    <row r="20" spans="1:79" s="12" customFormat="1" ht="23.25" customHeight="1" x14ac:dyDescent="0.15">
      <c r="A20" s="13"/>
      <c r="B20" s="10"/>
      <c r="C20" s="9"/>
      <c r="D20" s="9"/>
      <c r="E20" s="58">
        <v>20</v>
      </c>
      <c r="F20" s="59"/>
      <c r="G20" s="59"/>
      <c r="H20" s="59"/>
      <c r="I20" s="59"/>
      <c r="J20" s="59"/>
      <c r="K20" s="59"/>
      <c r="L20" s="59"/>
      <c r="M20" s="59"/>
      <c r="N20" s="60"/>
      <c r="O20" s="56">
        <v>100</v>
      </c>
      <c r="P20" s="57"/>
      <c r="Q20" s="52">
        <v>100</v>
      </c>
      <c r="R20" s="53"/>
      <c r="S20" s="62">
        <f t="shared" si="0"/>
        <v>0</v>
      </c>
      <c r="T20" s="63"/>
      <c r="U20" s="56">
        <v>203</v>
      </c>
      <c r="V20" s="57"/>
      <c r="W20" s="52">
        <v>212</v>
      </c>
      <c r="X20" s="53"/>
      <c r="Y20" s="62">
        <f t="shared" si="1"/>
        <v>9</v>
      </c>
      <c r="Z20" s="63"/>
      <c r="AA20" s="56">
        <v>303</v>
      </c>
      <c r="AB20" s="57"/>
      <c r="AC20" s="52">
        <v>314</v>
      </c>
      <c r="AD20" s="53"/>
      <c r="AE20" s="62">
        <f t="shared" si="2"/>
        <v>11</v>
      </c>
      <c r="AF20" s="63"/>
      <c r="AG20" s="56">
        <v>400</v>
      </c>
      <c r="AH20" s="57"/>
      <c r="AI20" s="52">
        <v>412</v>
      </c>
      <c r="AJ20" s="53"/>
      <c r="AK20" s="62">
        <f t="shared" si="3"/>
        <v>12</v>
      </c>
      <c r="AL20" s="63"/>
      <c r="AM20" s="11"/>
      <c r="AN20" s="10"/>
      <c r="AO20" s="10"/>
      <c r="AP20" s="10"/>
      <c r="AQ20" s="10"/>
      <c r="AR20" s="10"/>
      <c r="AS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</row>
    <row r="21" spans="1:79" s="12" customFormat="1" ht="23.25" customHeight="1" x14ac:dyDescent="0.15">
      <c r="A21" s="13"/>
      <c r="B21" s="10"/>
      <c r="C21" s="9"/>
      <c r="D21" s="9"/>
      <c r="E21" s="58">
        <v>25</v>
      </c>
      <c r="F21" s="59"/>
      <c r="G21" s="59"/>
      <c r="H21" s="59"/>
      <c r="I21" s="59"/>
      <c r="J21" s="59"/>
      <c r="K21" s="59"/>
      <c r="L21" s="59"/>
      <c r="M21" s="59"/>
      <c r="N21" s="60"/>
      <c r="O21" s="56">
        <v>100</v>
      </c>
      <c r="P21" s="57"/>
      <c r="Q21" s="52">
        <v>100</v>
      </c>
      <c r="R21" s="53"/>
      <c r="S21" s="62">
        <f t="shared" si="0"/>
        <v>0</v>
      </c>
      <c r="T21" s="63"/>
      <c r="U21" s="56">
        <v>203</v>
      </c>
      <c r="V21" s="57"/>
      <c r="W21" s="52">
        <v>211</v>
      </c>
      <c r="X21" s="53"/>
      <c r="Y21" s="62">
        <f t="shared" si="1"/>
        <v>8</v>
      </c>
      <c r="Z21" s="63"/>
      <c r="AA21" s="56">
        <v>303</v>
      </c>
      <c r="AB21" s="57"/>
      <c r="AC21" s="52">
        <v>314</v>
      </c>
      <c r="AD21" s="53"/>
      <c r="AE21" s="62">
        <f t="shared" si="2"/>
        <v>11</v>
      </c>
      <c r="AF21" s="63"/>
      <c r="AG21" s="56">
        <v>400</v>
      </c>
      <c r="AH21" s="57"/>
      <c r="AI21" s="52">
        <v>412</v>
      </c>
      <c r="AJ21" s="53"/>
      <c r="AK21" s="62">
        <f t="shared" si="3"/>
        <v>12</v>
      </c>
      <c r="AL21" s="63"/>
      <c r="AM21" s="11"/>
      <c r="AN21" s="10"/>
      <c r="AO21" s="10"/>
      <c r="AP21" s="10"/>
      <c r="AQ21" s="10"/>
      <c r="AR21" s="10"/>
      <c r="AS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</row>
    <row r="22" spans="1:79" s="12" customFormat="1" ht="24" customHeight="1" x14ac:dyDescent="0.15">
      <c r="A22" s="13"/>
      <c r="B22" s="9"/>
      <c r="C22" s="9"/>
      <c r="D22" s="9"/>
      <c r="E22" s="58">
        <v>30</v>
      </c>
      <c r="F22" s="59"/>
      <c r="G22" s="59"/>
      <c r="H22" s="59"/>
      <c r="I22" s="59"/>
      <c r="J22" s="59"/>
      <c r="K22" s="59"/>
      <c r="L22" s="59"/>
      <c r="M22" s="59"/>
      <c r="N22" s="60"/>
      <c r="O22" s="56">
        <v>100</v>
      </c>
      <c r="P22" s="57"/>
      <c r="Q22" s="52">
        <v>107</v>
      </c>
      <c r="R22" s="53"/>
      <c r="S22" s="62">
        <f t="shared" si="0"/>
        <v>7</v>
      </c>
      <c r="T22" s="63"/>
      <c r="U22" s="56">
        <v>202</v>
      </c>
      <c r="V22" s="57"/>
      <c r="W22" s="52">
        <v>211</v>
      </c>
      <c r="X22" s="53"/>
      <c r="Y22" s="62">
        <f t="shared" si="1"/>
        <v>9</v>
      </c>
      <c r="Z22" s="63"/>
      <c r="AA22" s="56">
        <v>303</v>
      </c>
      <c r="AB22" s="57"/>
      <c r="AC22" s="52">
        <v>313</v>
      </c>
      <c r="AD22" s="53"/>
      <c r="AE22" s="62">
        <f t="shared" si="2"/>
        <v>10</v>
      </c>
      <c r="AF22" s="63"/>
      <c r="AG22" s="56">
        <v>400</v>
      </c>
      <c r="AH22" s="57"/>
      <c r="AI22" s="52">
        <v>412</v>
      </c>
      <c r="AJ22" s="53"/>
      <c r="AK22" s="62">
        <f t="shared" si="3"/>
        <v>12</v>
      </c>
      <c r="AL22" s="63"/>
      <c r="AM22" s="11"/>
      <c r="AN22" s="10"/>
      <c r="AO22" s="10"/>
      <c r="AP22" s="10"/>
      <c r="AQ22" s="10"/>
      <c r="AR22" s="10"/>
      <c r="AS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</row>
    <row r="23" spans="1:79" s="12" customFormat="1" ht="24" customHeight="1" x14ac:dyDescent="0.15">
      <c r="A23" s="18"/>
      <c r="B23" s="9"/>
      <c r="C23" s="9"/>
      <c r="D23" s="9"/>
      <c r="E23" s="58" t="s">
        <v>28</v>
      </c>
      <c r="F23" s="59"/>
      <c r="G23" s="59"/>
      <c r="H23" s="59"/>
      <c r="I23" s="59"/>
      <c r="J23" s="59"/>
      <c r="K23" s="59"/>
      <c r="L23" s="59"/>
      <c r="M23" s="59"/>
      <c r="N23" s="60"/>
      <c r="O23" s="56">
        <f t="shared" ref="O23" si="4">ROUND(AVERAGE(O16:P22),0)</f>
        <v>100</v>
      </c>
      <c r="P23" s="57"/>
      <c r="Q23" s="52">
        <f>ROUND(AVERAGE(Q16:R22),0)</f>
        <v>101</v>
      </c>
      <c r="R23" s="53"/>
      <c r="S23" s="54">
        <f>ROUND(AVERAGE(S16:T22),0)</f>
        <v>1</v>
      </c>
      <c r="T23" s="55"/>
      <c r="U23" s="56">
        <f t="shared" ref="U23:AG23" si="5">ROUND(AVERAGE(U16:V22),0)</f>
        <v>202</v>
      </c>
      <c r="V23" s="57"/>
      <c r="W23" s="52">
        <f t="shared" ref="W23:AI23" si="6">ROUND(AVERAGE(W16:X22),0)</f>
        <v>212</v>
      </c>
      <c r="X23" s="53"/>
      <c r="Y23" s="54">
        <f t="shared" ref="Y23" si="7">ROUND(AVERAGE(Y16:Z22),0)</f>
        <v>10</v>
      </c>
      <c r="Z23" s="55"/>
      <c r="AA23" s="56">
        <f t="shared" si="5"/>
        <v>303</v>
      </c>
      <c r="AB23" s="57"/>
      <c r="AC23" s="52">
        <f t="shared" si="6"/>
        <v>315</v>
      </c>
      <c r="AD23" s="53"/>
      <c r="AE23" s="54">
        <f t="shared" ref="AE23" si="8">ROUND(AVERAGE(AE16:AF22),0)</f>
        <v>12</v>
      </c>
      <c r="AF23" s="55"/>
      <c r="AG23" s="56">
        <f t="shared" si="5"/>
        <v>400</v>
      </c>
      <c r="AH23" s="57"/>
      <c r="AI23" s="52">
        <f t="shared" si="6"/>
        <v>412</v>
      </c>
      <c r="AJ23" s="53"/>
      <c r="AK23" s="54">
        <f t="shared" ref="AK23" si="9">ROUND(AVERAGE(AK16:AL22),0)</f>
        <v>12</v>
      </c>
      <c r="AL23" s="55"/>
      <c r="AM23" s="11"/>
      <c r="AN23" s="10"/>
      <c r="AO23" s="10"/>
      <c r="AP23" s="10"/>
      <c r="AQ23" s="10"/>
      <c r="AR23" s="10"/>
      <c r="AS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</row>
    <row r="24" spans="1:79" s="12" customFormat="1" ht="24" customHeight="1" x14ac:dyDescent="0.15">
      <c r="A24" s="18"/>
      <c r="B24" s="9"/>
      <c r="C24" s="9"/>
      <c r="D24" s="9"/>
      <c r="E24" s="58" t="s">
        <v>29</v>
      </c>
      <c r="F24" s="59"/>
      <c r="G24" s="59"/>
      <c r="H24" s="59"/>
      <c r="I24" s="59"/>
      <c r="J24" s="59"/>
      <c r="K24" s="59"/>
      <c r="L24" s="59"/>
      <c r="M24" s="59"/>
      <c r="N24" s="60"/>
      <c r="O24" s="61">
        <f>100-S23</f>
        <v>99</v>
      </c>
      <c r="P24" s="47"/>
      <c r="Q24" s="47"/>
      <c r="R24" s="47"/>
      <c r="S24" s="47"/>
      <c r="T24" s="47"/>
      <c r="U24" s="61">
        <f>200-Y23</f>
        <v>190</v>
      </c>
      <c r="V24" s="47"/>
      <c r="W24" s="47"/>
      <c r="X24" s="47"/>
      <c r="Y24" s="47"/>
      <c r="Z24" s="47"/>
      <c r="AA24" s="61">
        <f>300-AE23</f>
        <v>288</v>
      </c>
      <c r="AB24" s="47"/>
      <c r="AC24" s="47"/>
      <c r="AD24" s="47"/>
      <c r="AE24" s="47"/>
      <c r="AF24" s="47"/>
      <c r="AG24" s="61">
        <f>400-AK23</f>
        <v>388</v>
      </c>
      <c r="AH24" s="47"/>
      <c r="AI24" s="47"/>
      <c r="AJ24" s="47"/>
      <c r="AK24" s="47"/>
      <c r="AL24" s="47"/>
      <c r="AM24" s="11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</row>
    <row r="25" spans="1:79" s="12" customFormat="1" ht="24" customHeight="1" x14ac:dyDescent="0.15">
      <c r="A25" s="18"/>
      <c r="B25" s="9"/>
      <c r="C25" s="9"/>
      <c r="D25" s="9"/>
      <c r="E25" s="44" t="s">
        <v>30</v>
      </c>
      <c r="F25" s="45"/>
      <c r="G25" s="45"/>
      <c r="H25" s="45"/>
      <c r="I25" s="45"/>
      <c r="J25" s="45"/>
      <c r="K25" s="45"/>
      <c r="L25" s="45"/>
      <c r="M25" s="45"/>
      <c r="N25" s="46"/>
      <c r="O25" s="47">
        <v>95</v>
      </c>
      <c r="P25" s="47"/>
      <c r="Q25" s="47"/>
      <c r="R25" s="47"/>
      <c r="S25" s="47"/>
      <c r="T25" s="47"/>
      <c r="U25" s="47">
        <v>193</v>
      </c>
      <c r="V25" s="47"/>
      <c r="W25" s="47"/>
      <c r="X25" s="47"/>
      <c r="Y25" s="47"/>
      <c r="Z25" s="47"/>
      <c r="AA25" s="47">
        <v>295</v>
      </c>
      <c r="AB25" s="47"/>
      <c r="AC25" s="47"/>
      <c r="AD25" s="47"/>
      <c r="AE25" s="47"/>
      <c r="AF25" s="47"/>
      <c r="AG25" s="47">
        <v>400</v>
      </c>
      <c r="AH25" s="47"/>
      <c r="AI25" s="47"/>
      <c r="AJ25" s="47"/>
      <c r="AK25" s="47"/>
      <c r="AL25" s="47"/>
      <c r="AM25" s="11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</row>
    <row r="26" spans="1:79" s="12" customFormat="1" ht="17.25" customHeight="1" x14ac:dyDescent="0.15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1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</row>
    <row r="27" spans="1:79" s="12" customFormat="1" ht="17.25" customHeight="1" x14ac:dyDescent="0.15">
      <c r="A27" s="18"/>
      <c r="B27" s="9" t="s">
        <v>32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1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</row>
    <row r="28" spans="1:79" s="12" customFormat="1" ht="17.25" customHeight="1" x14ac:dyDescent="0.15">
      <c r="A28" s="18"/>
      <c r="B28" s="9"/>
      <c r="C28" s="9" t="s">
        <v>34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1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</row>
    <row r="29" spans="1:79" s="12" customFormat="1" ht="17.25" customHeight="1" x14ac:dyDescent="0.15">
      <c r="A29" s="18"/>
      <c r="B29" s="9"/>
      <c r="D29" s="9" t="s">
        <v>33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11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</row>
    <row r="30" spans="1:79" s="12" customFormat="1" ht="17.25" customHeight="1" x14ac:dyDescent="0.15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1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</row>
    <row r="31" spans="1:79" s="12" customFormat="1" ht="17.25" customHeight="1" x14ac:dyDescent="0.15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1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</row>
    <row r="32" spans="1:79" s="12" customFormat="1" ht="17.25" customHeight="1" x14ac:dyDescent="0.15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1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</row>
    <row r="33" spans="1:79" s="12" customFormat="1" ht="17.25" customHeight="1" x14ac:dyDescent="0.15">
      <c r="A33" s="18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1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</row>
    <row r="34" spans="1:79" s="12" customFormat="1" ht="17.25" customHeight="1" x14ac:dyDescent="0.15">
      <c r="A34" s="18"/>
      <c r="B34" s="9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9"/>
      <c r="O34" s="9"/>
      <c r="P34" s="9"/>
      <c r="Q34" s="9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9"/>
      <c r="AI34" s="9"/>
      <c r="AJ34" s="9"/>
      <c r="AK34" s="9"/>
      <c r="AL34" s="9"/>
      <c r="AM34" s="11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</row>
    <row r="35" spans="1:79" ht="17.25" customHeight="1" thickBot="1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9"/>
      <c r="O35" s="19"/>
      <c r="P35" s="19"/>
      <c r="Q35" s="1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ht="15" customHeight="1" x14ac:dyDescent="0.1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0"/>
      <c r="AB36" s="1"/>
      <c r="AC36" s="20"/>
      <c r="AD36" s="48" t="s">
        <v>19</v>
      </c>
      <c r="AE36" s="49"/>
      <c r="AF36" s="49"/>
      <c r="AG36" s="49"/>
      <c r="AH36" s="49"/>
      <c r="AI36" s="50" t="s">
        <v>20</v>
      </c>
      <c r="AJ36" s="50"/>
      <c r="AK36" s="50"/>
      <c r="AL36" s="50"/>
      <c r="AM36" s="5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ht="15" customHeight="1" x14ac:dyDescent="0.1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0"/>
      <c r="AA37" s="20"/>
      <c r="AB37" s="20"/>
      <c r="AC37" s="20"/>
      <c r="AD37" s="26"/>
      <c r="AE37" s="27"/>
      <c r="AF37" s="27"/>
      <c r="AG37" s="27"/>
      <c r="AH37" s="27"/>
      <c r="AI37" s="27"/>
      <c r="AJ37" s="27"/>
      <c r="AK37" s="27"/>
      <c r="AL37" s="27"/>
      <c r="AM37" s="30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ht="15" customHeight="1" x14ac:dyDescent="0.15">
      <c r="A38" s="3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P38" s="21"/>
      <c r="AD38" s="26"/>
      <c r="AE38" s="27"/>
      <c r="AF38" s="27"/>
      <c r="AG38" s="27"/>
      <c r="AH38" s="27"/>
      <c r="AI38" s="27"/>
      <c r="AJ38" s="27"/>
      <c r="AK38" s="27"/>
      <c r="AL38" s="27"/>
      <c r="AM38" s="30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ht="15" customHeight="1" x14ac:dyDescent="0.15">
      <c r="A39" s="3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P39" s="21"/>
      <c r="AD39" s="26"/>
      <c r="AE39" s="27"/>
      <c r="AF39" s="27"/>
      <c r="AG39" s="27"/>
      <c r="AH39" s="27"/>
      <c r="AI39" s="27"/>
      <c r="AJ39" s="27"/>
      <c r="AK39" s="27"/>
      <c r="AL39" s="27"/>
      <c r="AM39" s="30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ht="15" customHeight="1" x14ac:dyDescent="0.15">
      <c r="A40" s="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P40" s="21"/>
      <c r="AD40" s="26"/>
      <c r="AE40" s="27"/>
      <c r="AF40" s="27"/>
      <c r="AG40" s="27"/>
      <c r="AH40" s="27"/>
      <c r="AI40" s="27"/>
      <c r="AJ40" s="27"/>
      <c r="AK40" s="27"/>
      <c r="AL40" s="27"/>
      <c r="AM40" s="30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 ht="15" customHeight="1" x14ac:dyDescent="0.15">
      <c r="A41" s="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P41" s="21"/>
      <c r="AD41" s="26"/>
      <c r="AE41" s="27"/>
      <c r="AF41" s="27"/>
      <c r="AG41" s="27"/>
      <c r="AH41" s="27"/>
      <c r="AI41" s="27"/>
      <c r="AJ41" s="27"/>
      <c r="AK41" s="27"/>
      <c r="AL41" s="27"/>
      <c r="AM41" s="30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 ht="15" customHeight="1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2"/>
      <c r="AA42" s="22"/>
      <c r="AB42" s="22"/>
      <c r="AC42" s="22"/>
      <c r="AD42" s="28"/>
      <c r="AE42" s="29"/>
      <c r="AF42" s="29"/>
      <c r="AG42" s="29"/>
      <c r="AH42" s="29"/>
      <c r="AI42" s="29"/>
      <c r="AJ42" s="29"/>
      <c r="AK42" s="29"/>
      <c r="AL42" s="29"/>
      <c r="AM42" s="3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 ht="17.25" customHeight="1" thickBot="1" x14ac:dyDescent="0.2">
      <c r="A43" s="32" t="s">
        <v>21</v>
      </c>
      <c r="B43" s="33"/>
      <c r="C43" s="33"/>
      <c r="D43" s="33"/>
      <c r="E43" s="34" t="s">
        <v>22</v>
      </c>
      <c r="F43" s="33"/>
      <c r="G43" s="33"/>
      <c r="H43" s="33"/>
      <c r="I43" s="33"/>
      <c r="J43" s="35"/>
      <c r="K43" s="36" t="s">
        <v>23</v>
      </c>
      <c r="L43" s="33"/>
      <c r="M43" s="33"/>
      <c r="N43" s="33"/>
      <c r="O43" s="33"/>
      <c r="P43" s="34" t="s">
        <v>24</v>
      </c>
      <c r="Q43" s="33"/>
      <c r="R43" s="33"/>
      <c r="S43" s="33"/>
      <c r="T43" s="33"/>
      <c r="U43" s="35"/>
      <c r="V43" s="37"/>
      <c r="W43" s="38"/>
      <c r="X43" s="38"/>
      <c r="Y43" s="38"/>
      <c r="Z43" s="38"/>
      <c r="AA43" s="38"/>
      <c r="AB43" s="38"/>
      <c r="AC43" s="39"/>
      <c r="AD43" s="32" t="s">
        <v>25</v>
      </c>
      <c r="AE43" s="33"/>
      <c r="AF43" s="33"/>
      <c r="AG43" s="33"/>
      <c r="AH43" s="40"/>
      <c r="AI43" s="41">
        <v>41883</v>
      </c>
      <c r="AJ43" s="42"/>
      <c r="AK43" s="42"/>
      <c r="AL43" s="42"/>
      <c r="AM43" s="43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 ht="30.75" customHeight="1" thickBo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4"/>
      <c r="W44" s="24"/>
      <c r="X44" s="24"/>
      <c r="Y44" s="24"/>
      <c r="Z44" s="24"/>
      <c r="AA44" s="24"/>
      <c r="AB44" s="24"/>
      <c r="AC44" s="24"/>
      <c r="AD44" s="23"/>
      <c r="AE44" s="23"/>
      <c r="AF44" s="23"/>
      <c r="AG44" s="23"/>
      <c r="AH44" s="23"/>
      <c r="AI44" s="25"/>
      <c r="AJ44" s="25"/>
      <c r="AK44" s="25"/>
      <c r="AL44" s="25"/>
      <c r="AM44" s="25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 ht="27" customHeight="1" x14ac:dyDescent="0.15">
      <c r="A45" s="106" t="s">
        <v>31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8"/>
      <c r="AI45" s="117" t="s">
        <v>36</v>
      </c>
      <c r="AJ45" s="118"/>
      <c r="AK45" s="118"/>
      <c r="AL45" s="109" t="s">
        <v>0</v>
      </c>
      <c r="AM45" s="110"/>
      <c r="AN45" s="1"/>
      <c r="AO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 ht="19.5" customHeight="1" x14ac:dyDescent="0.15">
      <c r="A46" s="111" t="s">
        <v>1</v>
      </c>
      <c r="B46" s="112"/>
      <c r="C46" s="112"/>
      <c r="D46" s="112"/>
      <c r="E46" s="112"/>
      <c r="F46" s="112"/>
      <c r="G46" s="112"/>
      <c r="H46" s="113" t="s">
        <v>45</v>
      </c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4"/>
      <c r="U46" s="115" t="s">
        <v>2</v>
      </c>
      <c r="V46" s="115"/>
      <c r="W46" s="115"/>
      <c r="X46" s="115"/>
      <c r="Y46" s="115"/>
      <c r="Z46" s="115"/>
      <c r="AA46" s="115"/>
      <c r="AB46" s="116">
        <v>43043</v>
      </c>
      <c r="AC46" s="116"/>
      <c r="AD46" s="116"/>
      <c r="AE46" s="116"/>
      <c r="AF46" s="116"/>
      <c r="AG46" s="116"/>
      <c r="AH46" s="116"/>
      <c r="AI46" s="95"/>
      <c r="AJ46" s="95"/>
      <c r="AK46" s="95"/>
      <c r="AL46" s="95"/>
      <c r="AM46" s="96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 ht="19.5" customHeight="1" x14ac:dyDescent="0.15">
      <c r="A47" s="91" t="s">
        <v>3</v>
      </c>
      <c r="B47" s="92"/>
      <c r="C47" s="92"/>
      <c r="D47" s="92"/>
      <c r="E47" s="92"/>
      <c r="F47" s="92"/>
      <c r="G47" s="92"/>
      <c r="H47" s="93" t="s">
        <v>42</v>
      </c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4"/>
      <c r="U47" s="88" t="s">
        <v>4</v>
      </c>
      <c r="V47" s="88"/>
      <c r="W47" s="88"/>
      <c r="X47" s="88"/>
      <c r="Y47" s="88"/>
      <c r="Z47" s="88"/>
      <c r="AA47" s="88"/>
      <c r="AB47" s="95">
        <v>43434</v>
      </c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6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ht="19.5" customHeight="1" x14ac:dyDescent="0.15">
      <c r="A48" s="97" t="s">
        <v>5</v>
      </c>
      <c r="B48" s="98"/>
      <c r="C48" s="98"/>
      <c r="D48" s="98"/>
      <c r="E48" s="98"/>
      <c r="F48" s="98"/>
      <c r="G48" s="98"/>
      <c r="H48" s="92">
        <v>54800033</v>
      </c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9"/>
      <c r="U48" s="100" t="s">
        <v>6</v>
      </c>
      <c r="V48" s="101"/>
      <c r="W48" s="101"/>
      <c r="X48" s="101"/>
      <c r="Y48" s="101"/>
      <c r="Z48" s="101"/>
      <c r="AA48" s="102"/>
      <c r="AB48" s="103" t="s">
        <v>7</v>
      </c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5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 ht="14.25" thickBot="1" x14ac:dyDescent="0.2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/>
      <c r="AJ49" s="1"/>
      <c r="AK49" s="1"/>
      <c r="AL49" s="1"/>
      <c r="AM49" s="5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 ht="15" customHeight="1" x14ac:dyDescent="0.15">
      <c r="A50" s="3"/>
      <c r="B50" s="81" t="s">
        <v>8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3"/>
      <c r="AM50" s="5"/>
      <c r="BT50" s="1"/>
      <c r="BU50" s="1"/>
      <c r="BV50" s="1"/>
      <c r="BW50" s="1"/>
      <c r="BX50" s="1"/>
      <c r="BY50" s="1"/>
      <c r="BZ50" s="1"/>
      <c r="CA50" s="1"/>
    </row>
    <row r="51" spans="1:79" ht="15" customHeight="1" x14ac:dyDescent="0.15">
      <c r="A51" s="3"/>
      <c r="B51" s="84" t="s">
        <v>9</v>
      </c>
      <c r="C51" s="85"/>
      <c r="D51" s="85"/>
      <c r="E51" s="85"/>
      <c r="F51" s="85"/>
      <c r="G51" s="85"/>
      <c r="H51" s="85"/>
      <c r="I51" s="85"/>
      <c r="J51" s="85"/>
      <c r="K51" s="85" t="s">
        <v>1</v>
      </c>
      <c r="L51" s="85"/>
      <c r="M51" s="85"/>
      <c r="N51" s="85"/>
      <c r="O51" s="85"/>
      <c r="P51" s="85"/>
      <c r="Q51" s="85"/>
      <c r="R51" s="85"/>
      <c r="S51" s="85" t="s">
        <v>3</v>
      </c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6" t="s">
        <v>5</v>
      </c>
      <c r="AG51" s="86"/>
      <c r="AH51" s="86"/>
      <c r="AI51" s="86"/>
      <c r="AJ51" s="86"/>
      <c r="AK51" s="86"/>
      <c r="AL51" s="87"/>
      <c r="AM51" s="5"/>
      <c r="BT51" s="1"/>
      <c r="BU51" s="1"/>
      <c r="BV51" s="1"/>
      <c r="BW51" s="1"/>
      <c r="BX51" s="1"/>
      <c r="BY51" s="1"/>
      <c r="BZ51" s="1"/>
      <c r="CA51" s="1"/>
    </row>
    <row r="52" spans="1:79" ht="19.5" customHeight="1" x14ac:dyDescent="0.15">
      <c r="A52" s="3"/>
      <c r="B52" s="84" t="s">
        <v>10</v>
      </c>
      <c r="C52" s="85"/>
      <c r="D52" s="85"/>
      <c r="E52" s="85"/>
      <c r="F52" s="85"/>
      <c r="G52" s="85"/>
      <c r="H52" s="85"/>
      <c r="I52" s="85"/>
      <c r="J52" s="85"/>
      <c r="K52" s="88" t="s">
        <v>46</v>
      </c>
      <c r="L52" s="88"/>
      <c r="M52" s="88"/>
      <c r="N52" s="88"/>
      <c r="O52" s="88"/>
      <c r="P52" s="88"/>
      <c r="Q52" s="88"/>
      <c r="R52" s="88"/>
      <c r="S52" s="88" t="s">
        <v>41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9">
        <v>130810062</v>
      </c>
      <c r="AG52" s="89"/>
      <c r="AH52" s="89"/>
      <c r="AI52" s="89"/>
      <c r="AJ52" s="89"/>
      <c r="AK52" s="89"/>
      <c r="AL52" s="90"/>
      <c r="AM52" s="5"/>
      <c r="BT52" s="1"/>
      <c r="BU52" s="1"/>
      <c r="BV52" s="1"/>
      <c r="BW52" s="1"/>
      <c r="BX52" s="1"/>
      <c r="BY52" s="1"/>
      <c r="BZ52" s="1"/>
      <c r="CA52" s="1"/>
    </row>
    <row r="53" spans="1:79" ht="19.5" customHeight="1" thickBot="1" x14ac:dyDescent="0.2">
      <c r="A53" s="3"/>
      <c r="B53" s="64" t="s">
        <v>11</v>
      </c>
      <c r="C53" s="65"/>
      <c r="D53" s="65"/>
      <c r="E53" s="65"/>
      <c r="F53" s="65"/>
      <c r="G53" s="65"/>
      <c r="H53" s="65"/>
      <c r="I53" s="65"/>
      <c r="J53" s="65"/>
      <c r="K53" s="66" t="s">
        <v>47</v>
      </c>
      <c r="L53" s="66"/>
      <c r="M53" s="66"/>
      <c r="N53" s="66"/>
      <c r="O53" s="66"/>
      <c r="P53" s="66"/>
      <c r="Q53" s="66"/>
      <c r="R53" s="66"/>
      <c r="S53" s="66" t="s">
        <v>43</v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7">
        <v>103765</v>
      </c>
      <c r="AG53" s="67"/>
      <c r="AH53" s="67"/>
      <c r="AI53" s="67"/>
      <c r="AJ53" s="67"/>
      <c r="AK53" s="67"/>
      <c r="AL53" s="68"/>
      <c r="AM53" s="5"/>
      <c r="BT53" s="1"/>
      <c r="BU53" s="1"/>
      <c r="BV53" s="1"/>
      <c r="BW53" s="1"/>
      <c r="BX53" s="1"/>
      <c r="BY53" s="1"/>
      <c r="BZ53" s="1"/>
      <c r="CA53" s="1"/>
    </row>
    <row r="54" spans="1:79" ht="19.5" customHeight="1" x14ac:dyDescent="0.15">
      <c r="A54" s="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7"/>
      <c r="AG54" s="7"/>
      <c r="AH54" s="7"/>
      <c r="AI54" s="7"/>
      <c r="AJ54" s="7"/>
      <c r="AK54" s="7"/>
      <c r="AL54" s="7"/>
      <c r="AM54" s="5"/>
      <c r="BT54" s="1"/>
      <c r="BU54" s="1"/>
      <c r="BV54" s="1"/>
      <c r="BW54" s="1"/>
      <c r="BX54" s="1"/>
      <c r="BY54" s="1"/>
      <c r="BZ54" s="1"/>
      <c r="CA54" s="1"/>
    </row>
    <row r="55" spans="1:79" s="12" customFormat="1" ht="17.25" customHeight="1" x14ac:dyDescent="0.15">
      <c r="A55" s="8"/>
      <c r="B55" s="9" t="s">
        <v>26</v>
      </c>
      <c r="C55" s="10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1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</row>
    <row r="56" spans="1:79" s="12" customFormat="1" ht="17.25" customHeight="1" x14ac:dyDescent="0.15">
      <c r="A56" s="13"/>
      <c r="B56" s="9"/>
      <c r="C56" s="9"/>
      <c r="D56" s="9"/>
      <c r="E56" s="9"/>
      <c r="F56" s="9"/>
      <c r="G56" s="9"/>
      <c r="H56" s="9"/>
      <c r="I56" s="9"/>
      <c r="J56" s="1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1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79" s="12" customFormat="1" ht="17.25" customHeight="1" x14ac:dyDescent="0.15">
      <c r="A57" s="13"/>
      <c r="E57" s="69" t="s">
        <v>12</v>
      </c>
      <c r="F57" s="70"/>
      <c r="G57" s="70"/>
      <c r="H57" s="70"/>
      <c r="I57" s="70"/>
      <c r="J57" s="70"/>
      <c r="K57" s="70"/>
      <c r="L57" s="70"/>
      <c r="M57" s="70"/>
      <c r="N57" s="71"/>
      <c r="O57" s="78" t="s">
        <v>37</v>
      </c>
      <c r="P57" s="79"/>
      <c r="Q57" s="79"/>
      <c r="R57" s="79"/>
      <c r="S57" s="79"/>
      <c r="T57" s="80"/>
      <c r="U57" s="78" t="s">
        <v>38</v>
      </c>
      <c r="V57" s="79"/>
      <c r="W57" s="79"/>
      <c r="X57" s="79"/>
      <c r="Y57" s="79"/>
      <c r="Z57" s="80"/>
      <c r="AA57" s="78" t="s">
        <v>39</v>
      </c>
      <c r="AB57" s="79"/>
      <c r="AC57" s="79"/>
      <c r="AD57" s="79"/>
      <c r="AE57" s="79"/>
      <c r="AF57" s="80"/>
      <c r="AG57" s="78" t="s">
        <v>40</v>
      </c>
      <c r="AH57" s="79"/>
      <c r="AI57" s="79"/>
      <c r="AJ57" s="79"/>
      <c r="AK57" s="79"/>
      <c r="AL57" s="80"/>
      <c r="AM57" s="15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79" s="12" customFormat="1" ht="17.25" customHeight="1" x14ac:dyDescent="0.15">
      <c r="A58" s="13"/>
      <c r="E58" s="72"/>
      <c r="F58" s="73"/>
      <c r="G58" s="73"/>
      <c r="H58" s="73"/>
      <c r="I58" s="73"/>
      <c r="J58" s="73"/>
      <c r="K58" s="73"/>
      <c r="L58" s="73"/>
      <c r="M58" s="73"/>
      <c r="N58" s="74"/>
      <c r="O58" s="44"/>
      <c r="P58" s="45"/>
      <c r="Q58" s="45"/>
      <c r="R58" s="45"/>
      <c r="S58" s="45"/>
      <c r="T58" s="46"/>
      <c r="U58" s="44"/>
      <c r="V58" s="45"/>
      <c r="W58" s="45"/>
      <c r="X58" s="45"/>
      <c r="Y58" s="45"/>
      <c r="Z58" s="46"/>
      <c r="AA58" s="44"/>
      <c r="AB58" s="45"/>
      <c r="AC58" s="45"/>
      <c r="AD58" s="45"/>
      <c r="AE58" s="45"/>
      <c r="AF58" s="46"/>
      <c r="AG58" s="44"/>
      <c r="AH58" s="45"/>
      <c r="AI58" s="45"/>
      <c r="AJ58" s="45"/>
      <c r="AK58" s="45"/>
      <c r="AL58" s="46"/>
      <c r="AM58" s="15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79" s="12" customFormat="1" ht="28.5" customHeight="1" x14ac:dyDescent="0.15">
      <c r="A59" s="13"/>
      <c r="E59" s="75"/>
      <c r="F59" s="76"/>
      <c r="G59" s="76"/>
      <c r="H59" s="76"/>
      <c r="I59" s="76"/>
      <c r="J59" s="76"/>
      <c r="K59" s="76"/>
      <c r="L59" s="76"/>
      <c r="M59" s="76"/>
      <c r="N59" s="77"/>
      <c r="O59" s="56" t="s">
        <v>17</v>
      </c>
      <c r="P59" s="63"/>
      <c r="Q59" s="56" t="s">
        <v>18</v>
      </c>
      <c r="R59" s="63"/>
      <c r="S59" s="56" t="s">
        <v>27</v>
      </c>
      <c r="T59" s="63"/>
      <c r="U59" s="56" t="s">
        <v>17</v>
      </c>
      <c r="V59" s="63"/>
      <c r="W59" s="56" t="s">
        <v>18</v>
      </c>
      <c r="X59" s="63"/>
      <c r="Y59" s="56" t="s">
        <v>27</v>
      </c>
      <c r="Z59" s="63"/>
      <c r="AA59" s="56" t="s">
        <v>17</v>
      </c>
      <c r="AB59" s="63"/>
      <c r="AC59" s="56" t="s">
        <v>18</v>
      </c>
      <c r="AD59" s="63"/>
      <c r="AE59" s="56" t="s">
        <v>27</v>
      </c>
      <c r="AF59" s="63"/>
      <c r="AG59" s="56" t="s">
        <v>17</v>
      </c>
      <c r="AH59" s="63"/>
      <c r="AI59" s="56" t="s">
        <v>18</v>
      </c>
      <c r="AJ59" s="63"/>
      <c r="AK59" s="56" t="s">
        <v>27</v>
      </c>
      <c r="AL59" s="63"/>
      <c r="AM59" s="16"/>
      <c r="AN59" s="10"/>
      <c r="AO59" s="10"/>
      <c r="AP59" s="10"/>
      <c r="AQ59" s="10"/>
      <c r="AR59" s="10"/>
      <c r="AS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79" s="12" customFormat="1" ht="23.25" customHeight="1" x14ac:dyDescent="0.15">
      <c r="A60" s="13"/>
      <c r="B60" s="10"/>
      <c r="C60" s="9"/>
      <c r="D60" s="9"/>
      <c r="E60" s="58">
        <v>0</v>
      </c>
      <c r="F60" s="59"/>
      <c r="G60" s="59"/>
      <c r="H60" s="59"/>
      <c r="I60" s="59"/>
      <c r="J60" s="59"/>
      <c r="K60" s="59"/>
      <c r="L60" s="59"/>
      <c r="M60" s="59"/>
      <c r="N60" s="60"/>
      <c r="O60" s="56">
        <v>500</v>
      </c>
      <c r="P60" s="57"/>
      <c r="Q60" s="52">
        <v>520</v>
      </c>
      <c r="R60" s="53"/>
      <c r="S60" s="62">
        <f>Q60-O60</f>
        <v>20</v>
      </c>
      <c r="T60" s="63"/>
      <c r="U60" s="56">
        <v>600</v>
      </c>
      <c r="V60" s="57"/>
      <c r="W60" s="52">
        <v>625</v>
      </c>
      <c r="X60" s="53"/>
      <c r="Y60" s="62">
        <f>W60-U60</f>
        <v>25</v>
      </c>
      <c r="Z60" s="63"/>
      <c r="AA60" s="56">
        <v>700</v>
      </c>
      <c r="AB60" s="57"/>
      <c r="AC60" s="52">
        <v>723</v>
      </c>
      <c r="AD60" s="53"/>
      <c r="AE60" s="62">
        <f>AC60-AA60</f>
        <v>23</v>
      </c>
      <c r="AF60" s="63"/>
      <c r="AG60" s="56">
        <v>800</v>
      </c>
      <c r="AH60" s="57"/>
      <c r="AI60" s="52">
        <v>825</v>
      </c>
      <c r="AJ60" s="53"/>
      <c r="AK60" s="62">
        <f>AI60-AG60</f>
        <v>25</v>
      </c>
      <c r="AL60" s="63"/>
      <c r="AM60" s="16"/>
      <c r="AN60" s="10"/>
      <c r="AO60" s="10"/>
      <c r="AP60" s="10"/>
      <c r="AQ60" s="10"/>
      <c r="AR60" s="10"/>
      <c r="AS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79" s="12" customFormat="1" ht="23.25" customHeight="1" x14ac:dyDescent="0.15">
      <c r="A61" s="13"/>
      <c r="B61" s="10"/>
      <c r="C61" s="9"/>
      <c r="D61" s="9"/>
      <c r="E61" s="58">
        <v>5</v>
      </c>
      <c r="F61" s="59"/>
      <c r="G61" s="59"/>
      <c r="H61" s="59"/>
      <c r="I61" s="59"/>
      <c r="J61" s="59"/>
      <c r="K61" s="59"/>
      <c r="L61" s="59"/>
      <c r="M61" s="59"/>
      <c r="N61" s="60"/>
      <c r="O61" s="56">
        <v>500</v>
      </c>
      <c r="P61" s="57"/>
      <c r="Q61" s="52">
        <v>520</v>
      </c>
      <c r="R61" s="53"/>
      <c r="S61" s="62">
        <f t="shared" ref="S61:S66" si="10">Q61-O61</f>
        <v>20</v>
      </c>
      <c r="T61" s="63"/>
      <c r="U61" s="56">
        <v>600</v>
      </c>
      <c r="V61" s="57"/>
      <c r="W61" s="52">
        <v>624</v>
      </c>
      <c r="X61" s="53"/>
      <c r="Y61" s="62">
        <f t="shared" ref="Y61:Y66" si="11">W61-U61</f>
        <v>24</v>
      </c>
      <c r="Z61" s="63"/>
      <c r="AA61" s="56">
        <v>700</v>
      </c>
      <c r="AB61" s="57"/>
      <c r="AC61" s="52">
        <v>722</v>
      </c>
      <c r="AD61" s="53"/>
      <c r="AE61" s="62">
        <f t="shared" ref="AE61:AE66" si="12">AC61-AA61</f>
        <v>22</v>
      </c>
      <c r="AF61" s="63"/>
      <c r="AG61" s="56">
        <v>800</v>
      </c>
      <c r="AH61" s="57"/>
      <c r="AI61" s="52">
        <v>824</v>
      </c>
      <c r="AJ61" s="53"/>
      <c r="AK61" s="62">
        <f t="shared" ref="AK61:AK66" si="13">AI61-AG61</f>
        <v>24</v>
      </c>
      <c r="AL61" s="63"/>
      <c r="AM61" s="17"/>
      <c r="AN61" s="10"/>
      <c r="AO61" s="10"/>
      <c r="AP61" s="10"/>
      <c r="AQ61" s="10"/>
      <c r="AR61" s="10"/>
      <c r="AS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</row>
    <row r="62" spans="1:79" s="12" customFormat="1" ht="23.25" customHeight="1" x14ac:dyDescent="0.15">
      <c r="A62" s="13"/>
      <c r="B62" s="10"/>
      <c r="C62" s="9"/>
      <c r="D62" s="9"/>
      <c r="E62" s="58">
        <v>10</v>
      </c>
      <c r="F62" s="59"/>
      <c r="G62" s="59"/>
      <c r="H62" s="59"/>
      <c r="I62" s="59"/>
      <c r="J62" s="59"/>
      <c r="K62" s="59"/>
      <c r="L62" s="59"/>
      <c r="M62" s="59"/>
      <c r="N62" s="60"/>
      <c r="O62" s="56">
        <v>500</v>
      </c>
      <c r="P62" s="57"/>
      <c r="Q62" s="52">
        <v>519</v>
      </c>
      <c r="R62" s="53"/>
      <c r="S62" s="62">
        <f t="shared" si="10"/>
        <v>19</v>
      </c>
      <c r="T62" s="63"/>
      <c r="U62" s="56">
        <v>600</v>
      </c>
      <c r="V62" s="57"/>
      <c r="W62" s="52">
        <v>624</v>
      </c>
      <c r="X62" s="53"/>
      <c r="Y62" s="62">
        <f t="shared" si="11"/>
        <v>24</v>
      </c>
      <c r="Z62" s="63"/>
      <c r="AA62" s="56">
        <v>700</v>
      </c>
      <c r="AB62" s="57"/>
      <c r="AC62" s="52">
        <v>722</v>
      </c>
      <c r="AD62" s="53"/>
      <c r="AE62" s="62">
        <f t="shared" si="12"/>
        <v>22</v>
      </c>
      <c r="AF62" s="63"/>
      <c r="AG62" s="52">
        <v>800</v>
      </c>
      <c r="AH62" s="53"/>
      <c r="AI62" s="52">
        <v>824</v>
      </c>
      <c r="AJ62" s="53"/>
      <c r="AK62" s="62">
        <f t="shared" si="13"/>
        <v>24</v>
      </c>
      <c r="AL62" s="63"/>
      <c r="AM62" s="17"/>
      <c r="AN62" s="10"/>
      <c r="AO62" s="10"/>
      <c r="AP62" s="10"/>
      <c r="AQ62" s="10"/>
      <c r="AR62" s="10"/>
      <c r="AS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</row>
    <row r="63" spans="1:79" s="12" customFormat="1" ht="23.25" customHeight="1" x14ac:dyDescent="0.15">
      <c r="A63" s="13"/>
      <c r="B63" s="10"/>
      <c r="C63" s="9"/>
      <c r="D63" s="9"/>
      <c r="E63" s="58">
        <v>15</v>
      </c>
      <c r="F63" s="59"/>
      <c r="G63" s="59"/>
      <c r="H63" s="59"/>
      <c r="I63" s="59"/>
      <c r="J63" s="59"/>
      <c r="K63" s="59"/>
      <c r="L63" s="59"/>
      <c r="M63" s="59"/>
      <c r="N63" s="60"/>
      <c r="O63" s="56">
        <v>500</v>
      </c>
      <c r="P63" s="57"/>
      <c r="Q63" s="52">
        <v>519</v>
      </c>
      <c r="R63" s="53"/>
      <c r="S63" s="62">
        <f t="shared" si="10"/>
        <v>19</v>
      </c>
      <c r="T63" s="63"/>
      <c r="U63" s="56">
        <v>600</v>
      </c>
      <c r="V63" s="57"/>
      <c r="W63" s="52">
        <v>623</v>
      </c>
      <c r="X63" s="53"/>
      <c r="Y63" s="62">
        <f t="shared" si="11"/>
        <v>23</v>
      </c>
      <c r="Z63" s="63"/>
      <c r="AA63" s="56">
        <v>700</v>
      </c>
      <c r="AB63" s="57"/>
      <c r="AC63" s="52">
        <v>723</v>
      </c>
      <c r="AD63" s="53"/>
      <c r="AE63" s="62">
        <f t="shared" si="12"/>
        <v>23</v>
      </c>
      <c r="AF63" s="63"/>
      <c r="AG63" s="52">
        <v>800</v>
      </c>
      <c r="AH63" s="53"/>
      <c r="AI63" s="52">
        <v>824</v>
      </c>
      <c r="AJ63" s="53"/>
      <c r="AK63" s="62">
        <f t="shared" si="13"/>
        <v>24</v>
      </c>
      <c r="AL63" s="63"/>
      <c r="AM63" s="11"/>
      <c r="AN63" s="10"/>
      <c r="AO63" s="10"/>
      <c r="AP63" s="10"/>
      <c r="AQ63" s="1"/>
      <c r="AR63" s="10"/>
      <c r="AS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</row>
    <row r="64" spans="1:79" s="12" customFormat="1" ht="23.25" customHeight="1" x14ac:dyDescent="0.15">
      <c r="A64" s="13"/>
      <c r="B64" s="10"/>
      <c r="C64" s="9"/>
      <c r="D64" s="9"/>
      <c r="E64" s="58">
        <v>20</v>
      </c>
      <c r="F64" s="59"/>
      <c r="G64" s="59"/>
      <c r="H64" s="59"/>
      <c r="I64" s="59"/>
      <c r="J64" s="59"/>
      <c r="K64" s="59"/>
      <c r="L64" s="59"/>
      <c r="M64" s="59"/>
      <c r="N64" s="60"/>
      <c r="O64" s="56">
        <v>500</v>
      </c>
      <c r="P64" s="57"/>
      <c r="Q64" s="52">
        <v>518</v>
      </c>
      <c r="R64" s="53"/>
      <c r="S64" s="62">
        <f t="shared" si="10"/>
        <v>18</v>
      </c>
      <c r="T64" s="63"/>
      <c r="U64" s="56">
        <v>600</v>
      </c>
      <c r="V64" s="57"/>
      <c r="W64" s="52">
        <v>623</v>
      </c>
      <c r="X64" s="53"/>
      <c r="Y64" s="62">
        <f t="shared" si="11"/>
        <v>23</v>
      </c>
      <c r="Z64" s="63"/>
      <c r="AA64" s="56">
        <v>700</v>
      </c>
      <c r="AB64" s="57"/>
      <c r="AC64" s="52">
        <v>722</v>
      </c>
      <c r="AD64" s="53"/>
      <c r="AE64" s="62">
        <f t="shared" si="12"/>
        <v>22</v>
      </c>
      <c r="AF64" s="63"/>
      <c r="AG64" s="52">
        <v>800</v>
      </c>
      <c r="AH64" s="53"/>
      <c r="AI64" s="52">
        <v>824</v>
      </c>
      <c r="AJ64" s="53"/>
      <c r="AK64" s="62">
        <f t="shared" si="13"/>
        <v>24</v>
      </c>
      <c r="AL64" s="63"/>
      <c r="AM64" s="11"/>
      <c r="AN64" s="10"/>
      <c r="AO64" s="10"/>
      <c r="AP64" s="10"/>
      <c r="AQ64" s="10"/>
      <c r="AR64" s="10"/>
      <c r="AS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</row>
    <row r="65" spans="1:79" s="12" customFormat="1" ht="23.25" customHeight="1" x14ac:dyDescent="0.15">
      <c r="A65" s="13"/>
      <c r="B65" s="10"/>
      <c r="C65" s="9"/>
      <c r="D65" s="9"/>
      <c r="E65" s="58">
        <v>25</v>
      </c>
      <c r="F65" s="59"/>
      <c r="G65" s="59"/>
      <c r="H65" s="59"/>
      <c r="I65" s="59"/>
      <c r="J65" s="59"/>
      <c r="K65" s="59"/>
      <c r="L65" s="59"/>
      <c r="M65" s="59"/>
      <c r="N65" s="60"/>
      <c r="O65" s="56">
        <v>500</v>
      </c>
      <c r="P65" s="57"/>
      <c r="Q65" s="52">
        <v>518</v>
      </c>
      <c r="R65" s="53"/>
      <c r="S65" s="62">
        <f t="shared" si="10"/>
        <v>18</v>
      </c>
      <c r="T65" s="63"/>
      <c r="U65" s="56">
        <v>600</v>
      </c>
      <c r="V65" s="57"/>
      <c r="W65" s="52">
        <v>623</v>
      </c>
      <c r="X65" s="53"/>
      <c r="Y65" s="62">
        <f t="shared" si="11"/>
        <v>23</v>
      </c>
      <c r="Z65" s="63"/>
      <c r="AA65" s="56">
        <v>700</v>
      </c>
      <c r="AB65" s="57"/>
      <c r="AC65" s="52">
        <v>722</v>
      </c>
      <c r="AD65" s="53"/>
      <c r="AE65" s="62">
        <f t="shared" si="12"/>
        <v>22</v>
      </c>
      <c r="AF65" s="63"/>
      <c r="AG65" s="52">
        <v>800</v>
      </c>
      <c r="AH65" s="53"/>
      <c r="AI65" s="52">
        <v>823</v>
      </c>
      <c r="AJ65" s="53"/>
      <c r="AK65" s="62">
        <f t="shared" si="13"/>
        <v>23</v>
      </c>
      <c r="AL65" s="63"/>
      <c r="AM65" s="11"/>
      <c r="AN65" s="10"/>
      <c r="AO65" s="10"/>
      <c r="AP65" s="10"/>
      <c r="AQ65" s="10"/>
      <c r="AR65" s="10"/>
      <c r="AS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</row>
    <row r="66" spans="1:79" s="12" customFormat="1" ht="24" customHeight="1" x14ac:dyDescent="0.15">
      <c r="A66" s="13"/>
      <c r="B66" s="9"/>
      <c r="C66" s="9"/>
      <c r="D66" s="9"/>
      <c r="E66" s="58">
        <v>30</v>
      </c>
      <c r="F66" s="59"/>
      <c r="G66" s="59"/>
      <c r="H66" s="59"/>
      <c r="I66" s="59"/>
      <c r="J66" s="59"/>
      <c r="K66" s="59"/>
      <c r="L66" s="59"/>
      <c r="M66" s="59"/>
      <c r="N66" s="60"/>
      <c r="O66" s="56">
        <v>500</v>
      </c>
      <c r="P66" s="57"/>
      <c r="Q66" s="52">
        <v>518</v>
      </c>
      <c r="R66" s="53"/>
      <c r="S66" s="62">
        <f t="shared" si="10"/>
        <v>18</v>
      </c>
      <c r="T66" s="63"/>
      <c r="U66" s="56">
        <v>600</v>
      </c>
      <c r="V66" s="57"/>
      <c r="W66" s="52">
        <v>623</v>
      </c>
      <c r="X66" s="53"/>
      <c r="Y66" s="62">
        <f t="shared" si="11"/>
        <v>23</v>
      </c>
      <c r="Z66" s="63"/>
      <c r="AA66" s="56">
        <v>700</v>
      </c>
      <c r="AB66" s="57"/>
      <c r="AC66" s="52">
        <v>722</v>
      </c>
      <c r="AD66" s="53"/>
      <c r="AE66" s="62">
        <f t="shared" si="12"/>
        <v>22</v>
      </c>
      <c r="AF66" s="63"/>
      <c r="AG66" s="52">
        <v>800</v>
      </c>
      <c r="AH66" s="53"/>
      <c r="AI66" s="52">
        <v>823</v>
      </c>
      <c r="AJ66" s="53"/>
      <c r="AK66" s="62">
        <f t="shared" si="13"/>
        <v>23</v>
      </c>
      <c r="AL66" s="63"/>
      <c r="AM66" s="11"/>
      <c r="AN66" s="10"/>
      <c r="AO66" s="10"/>
      <c r="AP66" s="10"/>
      <c r="AQ66" s="10"/>
      <c r="AR66" s="10"/>
      <c r="AS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</row>
    <row r="67" spans="1:79" s="12" customFormat="1" ht="24" customHeight="1" x14ac:dyDescent="0.15">
      <c r="A67" s="18"/>
      <c r="B67" s="9"/>
      <c r="C67" s="9"/>
      <c r="D67" s="9"/>
      <c r="E67" s="58" t="s">
        <v>28</v>
      </c>
      <c r="F67" s="59"/>
      <c r="G67" s="59"/>
      <c r="H67" s="59"/>
      <c r="I67" s="59"/>
      <c r="J67" s="59"/>
      <c r="K67" s="59"/>
      <c r="L67" s="59"/>
      <c r="M67" s="59"/>
      <c r="N67" s="60"/>
      <c r="O67" s="56">
        <f t="shared" ref="O67" si="14">ROUND(AVERAGE(O60:P66),0)</f>
        <v>500</v>
      </c>
      <c r="P67" s="57"/>
      <c r="Q67" s="52">
        <f t="shared" ref="Q67" si="15">ROUND(AVERAGE(Q60:R66),0)</f>
        <v>519</v>
      </c>
      <c r="R67" s="53"/>
      <c r="S67" s="54">
        <f>ROUND(AVERAGE(S60:T66),0)</f>
        <v>19</v>
      </c>
      <c r="T67" s="55"/>
      <c r="U67" s="56">
        <f t="shared" ref="U67:AG67" si="16">ROUND(AVERAGE(U60:V66),0)</f>
        <v>600</v>
      </c>
      <c r="V67" s="57"/>
      <c r="W67" s="52">
        <f t="shared" ref="W67:AI67" si="17">ROUND(AVERAGE(W60:X66),0)</f>
        <v>624</v>
      </c>
      <c r="X67" s="53"/>
      <c r="Y67" s="54">
        <f t="shared" ref="Y67" si="18">ROUND(AVERAGE(Y60:Z66),0)</f>
        <v>24</v>
      </c>
      <c r="Z67" s="55"/>
      <c r="AA67" s="56">
        <f t="shared" si="16"/>
        <v>700</v>
      </c>
      <c r="AB67" s="57"/>
      <c r="AC67" s="52">
        <f t="shared" si="17"/>
        <v>722</v>
      </c>
      <c r="AD67" s="53"/>
      <c r="AE67" s="54">
        <f t="shared" ref="AE67" si="19">ROUND(AVERAGE(AE60:AF66),0)</f>
        <v>22</v>
      </c>
      <c r="AF67" s="55"/>
      <c r="AG67" s="56">
        <f t="shared" si="16"/>
        <v>800</v>
      </c>
      <c r="AH67" s="57"/>
      <c r="AI67" s="52">
        <f t="shared" si="17"/>
        <v>824</v>
      </c>
      <c r="AJ67" s="53"/>
      <c r="AK67" s="54">
        <f t="shared" ref="AK67" si="20">ROUND(AVERAGE(AK60:AL66),0)</f>
        <v>24</v>
      </c>
      <c r="AL67" s="55"/>
      <c r="AM67" s="11"/>
      <c r="AN67" s="10"/>
      <c r="AO67" s="10"/>
      <c r="AP67" s="10"/>
      <c r="AQ67" s="10"/>
      <c r="AR67" s="10"/>
      <c r="AS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</row>
    <row r="68" spans="1:79" s="12" customFormat="1" ht="24" customHeight="1" x14ac:dyDescent="0.15">
      <c r="A68" s="18"/>
      <c r="B68" s="9"/>
      <c r="C68" s="9"/>
      <c r="D68" s="9"/>
      <c r="E68" s="58" t="s">
        <v>29</v>
      </c>
      <c r="F68" s="59"/>
      <c r="G68" s="59"/>
      <c r="H68" s="59"/>
      <c r="I68" s="59"/>
      <c r="J68" s="59"/>
      <c r="K68" s="59"/>
      <c r="L68" s="59"/>
      <c r="M68" s="59"/>
      <c r="N68" s="60"/>
      <c r="O68" s="61">
        <f>500-S67</f>
        <v>481</v>
      </c>
      <c r="P68" s="47"/>
      <c r="Q68" s="47"/>
      <c r="R68" s="47"/>
      <c r="S68" s="47"/>
      <c r="T68" s="47"/>
      <c r="U68" s="61">
        <f>600-Y67</f>
        <v>576</v>
      </c>
      <c r="V68" s="47"/>
      <c r="W68" s="47"/>
      <c r="X68" s="47"/>
      <c r="Y68" s="47"/>
      <c r="Z68" s="47"/>
      <c r="AA68" s="61">
        <f>700-AE67</f>
        <v>678</v>
      </c>
      <c r="AB68" s="47"/>
      <c r="AC68" s="47"/>
      <c r="AD68" s="47"/>
      <c r="AE68" s="47"/>
      <c r="AF68" s="47"/>
      <c r="AG68" s="61">
        <f>800-AK67</f>
        <v>776</v>
      </c>
      <c r="AH68" s="47"/>
      <c r="AI68" s="47"/>
      <c r="AJ68" s="47"/>
      <c r="AK68" s="47"/>
      <c r="AL68" s="47"/>
      <c r="AM68" s="11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</row>
    <row r="69" spans="1:79" s="12" customFormat="1" ht="24" customHeight="1" x14ac:dyDescent="0.15">
      <c r="A69" s="18"/>
      <c r="B69" s="9"/>
      <c r="C69" s="9"/>
      <c r="D69" s="9"/>
      <c r="E69" s="44" t="s">
        <v>30</v>
      </c>
      <c r="F69" s="45"/>
      <c r="G69" s="45"/>
      <c r="H69" s="45"/>
      <c r="I69" s="45"/>
      <c r="J69" s="45"/>
      <c r="K69" s="45"/>
      <c r="L69" s="45"/>
      <c r="M69" s="45"/>
      <c r="N69" s="46"/>
      <c r="O69" s="47">
        <v>498</v>
      </c>
      <c r="P69" s="47"/>
      <c r="Q69" s="47"/>
      <c r="R69" s="47"/>
      <c r="S69" s="47"/>
      <c r="T69" s="47"/>
      <c r="U69" s="47">
        <v>598</v>
      </c>
      <c r="V69" s="47"/>
      <c r="W69" s="47"/>
      <c r="X69" s="47"/>
      <c r="Y69" s="47"/>
      <c r="Z69" s="47"/>
      <c r="AA69" s="47">
        <v>703</v>
      </c>
      <c r="AB69" s="47"/>
      <c r="AC69" s="47"/>
      <c r="AD69" s="47"/>
      <c r="AE69" s="47"/>
      <c r="AF69" s="47"/>
      <c r="AG69" s="47">
        <v>798</v>
      </c>
      <c r="AH69" s="47"/>
      <c r="AI69" s="47"/>
      <c r="AJ69" s="47"/>
      <c r="AK69" s="47"/>
      <c r="AL69" s="47"/>
      <c r="AM69" s="11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</row>
    <row r="70" spans="1:79" s="12" customFormat="1" ht="17.25" customHeight="1" x14ac:dyDescent="0.15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11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</row>
    <row r="71" spans="1:79" s="12" customFormat="1" ht="17.25" customHeight="1" x14ac:dyDescent="0.15">
      <c r="A71" s="18"/>
      <c r="B71" s="9" t="s">
        <v>32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11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</row>
    <row r="72" spans="1:79" s="12" customFormat="1" ht="17.25" customHeight="1" x14ac:dyDescent="0.15">
      <c r="A72" s="18"/>
      <c r="B72" s="9"/>
      <c r="C72" s="9" t="s">
        <v>34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11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</row>
    <row r="73" spans="1:79" s="12" customFormat="1" ht="17.25" customHeight="1" x14ac:dyDescent="0.15">
      <c r="A73" s="18"/>
      <c r="B73" s="9"/>
      <c r="D73" s="9" t="s">
        <v>33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11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</row>
    <row r="74" spans="1:79" s="12" customFormat="1" ht="17.25" customHeight="1" x14ac:dyDescent="0.15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11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</row>
    <row r="75" spans="1:79" s="12" customFormat="1" ht="17.25" customHeight="1" x14ac:dyDescent="0.15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1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</row>
    <row r="76" spans="1:79" s="12" customFormat="1" ht="17.25" customHeight="1" x14ac:dyDescent="0.15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1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</row>
    <row r="77" spans="1:79" s="12" customFormat="1" ht="17.25" customHeight="1" x14ac:dyDescent="0.15">
      <c r="A77" s="18"/>
      <c r="B77" s="9"/>
      <c r="C77" s="9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1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</row>
    <row r="78" spans="1:79" s="12" customFormat="1" ht="17.25" customHeight="1" x14ac:dyDescent="0.15">
      <c r="A78" s="18"/>
      <c r="B78" s="9"/>
      <c r="C78" s="9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9"/>
      <c r="O78" s="9"/>
      <c r="P78" s="9"/>
      <c r="Q78" s="9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9"/>
      <c r="AI78" s="9"/>
      <c r="AJ78" s="9"/>
      <c r="AK78" s="9"/>
      <c r="AL78" s="9"/>
      <c r="AM78" s="11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</row>
    <row r="79" spans="1:79" ht="17.25" customHeight="1" thickBot="1" x14ac:dyDescent="0.2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9"/>
      <c r="O79" s="19"/>
      <c r="P79" s="19"/>
      <c r="Q79" s="19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5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 ht="15" customHeight="1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0"/>
      <c r="AB80" s="1"/>
      <c r="AC80" s="20"/>
      <c r="AD80" s="48" t="s">
        <v>19</v>
      </c>
      <c r="AE80" s="49"/>
      <c r="AF80" s="49"/>
      <c r="AG80" s="49"/>
      <c r="AH80" s="49"/>
      <c r="AI80" s="50" t="s">
        <v>20</v>
      </c>
      <c r="AJ80" s="50"/>
      <c r="AK80" s="50"/>
      <c r="AL80" s="50"/>
      <c r="AM80" s="5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 ht="15" customHeight="1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0"/>
      <c r="AA81" s="20"/>
      <c r="AB81" s="20"/>
      <c r="AC81" s="20"/>
      <c r="AD81" s="26"/>
      <c r="AE81" s="27"/>
      <c r="AF81" s="27"/>
      <c r="AG81" s="27"/>
      <c r="AH81" s="27"/>
      <c r="AI81" s="27"/>
      <c r="AJ81" s="27"/>
      <c r="AK81" s="27"/>
      <c r="AL81" s="27"/>
      <c r="AM81" s="3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 ht="15" customHeight="1" x14ac:dyDescent="0.15">
      <c r="A82" s="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P82" s="21"/>
      <c r="AD82" s="26"/>
      <c r="AE82" s="27"/>
      <c r="AF82" s="27"/>
      <c r="AG82" s="27"/>
      <c r="AH82" s="27"/>
      <c r="AI82" s="27"/>
      <c r="AJ82" s="27"/>
      <c r="AK82" s="27"/>
      <c r="AL82" s="27"/>
      <c r="AM82" s="3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 ht="15" customHeight="1" x14ac:dyDescent="0.15">
      <c r="A83" s="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P83" s="21"/>
      <c r="AD83" s="26"/>
      <c r="AE83" s="27"/>
      <c r="AF83" s="27"/>
      <c r="AG83" s="27"/>
      <c r="AH83" s="27"/>
      <c r="AI83" s="27"/>
      <c r="AJ83" s="27"/>
      <c r="AK83" s="27"/>
      <c r="AL83" s="27"/>
      <c r="AM83" s="3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 ht="15" customHeight="1" x14ac:dyDescent="0.15">
      <c r="A84" s="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P84" s="21"/>
      <c r="AD84" s="26"/>
      <c r="AE84" s="27"/>
      <c r="AF84" s="27"/>
      <c r="AG84" s="27"/>
      <c r="AH84" s="27"/>
      <c r="AI84" s="27"/>
      <c r="AJ84" s="27"/>
      <c r="AK84" s="27"/>
      <c r="AL84" s="27"/>
      <c r="AM84" s="3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 ht="15" customHeight="1" x14ac:dyDescent="0.15">
      <c r="A85" s="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P85" s="21"/>
      <c r="AD85" s="26"/>
      <c r="AE85" s="27"/>
      <c r="AF85" s="27"/>
      <c r="AG85" s="27"/>
      <c r="AH85" s="27"/>
      <c r="AI85" s="27"/>
      <c r="AJ85" s="27"/>
      <c r="AK85" s="27"/>
      <c r="AL85" s="27"/>
      <c r="AM85" s="3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 ht="15" customHeight="1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2"/>
      <c r="AA86" s="22"/>
      <c r="AB86" s="22"/>
      <c r="AC86" s="22"/>
      <c r="AD86" s="28"/>
      <c r="AE86" s="29"/>
      <c r="AF86" s="29"/>
      <c r="AG86" s="29"/>
      <c r="AH86" s="29"/>
      <c r="AI86" s="29"/>
      <c r="AJ86" s="29"/>
      <c r="AK86" s="29"/>
      <c r="AL86" s="29"/>
      <c r="AM86" s="3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 ht="17.25" customHeight="1" thickBot="1" x14ac:dyDescent="0.2">
      <c r="A87" s="32" t="s">
        <v>21</v>
      </c>
      <c r="B87" s="33"/>
      <c r="C87" s="33"/>
      <c r="D87" s="33"/>
      <c r="E87" s="34" t="s">
        <v>22</v>
      </c>
      <c r="F87" s="33"/>
      <c r="G87" s="33"/>
      <c r="H87" s="33"/>
      <c r="I87" s="33"/>
      <c r="J87" s="35"/>
      <c r="K87" s="36" t="s">
        <v>23</v>
      </c>
      <c r="L87" s="33"/>
      <c r="M87" s="33"/>
      <c r="N87" s="33"/>
      <c r="O87" s="33"/>
      <c r="P87" s="34" t="s">
        <v>24</v>
      </c>
      <c r="Q87" s="33"/>
      <c r="R87" s="33"/>
      <c r="S87" s="33"/>
      <c r="T87" s="33"/>
      <c r="U87" s="35"/>
      <c r="V87" s="37"/>
      <c r="W87" s="38"/>
      <c r="X87" s="38"/>
      <c r="Y87" s="38"/>
      <c r="Z87" s="38"/>
      <c r="AA87" s="38"/>
      <c r="AB87" s="38"/>
      <c r="AC87" s="39"/>
      <c r="AD87" s="32" t="s">
        <v>25</v>
      </c>
      <c r="AE87" s="33"/>
      <c r="AF87" s="33"/>
      <c r="AG87" s="33"/>
      <c r="AH87" s="40"/>
      <c r="AI87" s="41">
        <v>41883</v>
      </c>
      <c r="AJ87" s="42"/>
      <c r="AK87" s="42"/>
      <c r="AL87" s="42"/>
      <c r="AM87" s="43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 ht="17.25" customHeight="1" x14ac:dyDescent="0.15"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 ht="17.25" customHeight="1" x14ac:dyDescent="0.15"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 ht="17.25" customHeight="1" x14ac:dyDescent="0.15"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 ht="17.25" customHeight="1" x14ac:dyDescent="0.15"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 ht="17.25" customHeight="1" x14ac:dyDescent="0.15"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 ht="17.25" customHeight="1" x14ac:dyDescent="0.15"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 ht="17.25" customHeight="1" x14ac:dyDescent="0.15"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</sheetData>
  <mergeCells count="340">
    <mergeCell ref="A3:G3"/>
    <mergeCell ref="H3:T3"/>
    <mergeCell ref="U3:AA3"/>
    <mergeCell ref="AB3:AM3"/>
    <mergeCell ref="A4:G4"/>
    <mergeCell ref="H4:T4"/>
    <mergeCell ref="U4:AA4"/>
    <mergeCell ref="AB4:AM4"/>
    <mergeCell ref="A1:AH1"/>
    <mergeCell ref="AL1:AM1"/>
    <mergeCell ref="A2:G2"/>
    <mergeCell ref="H2:T2"/>
    <mergeCell ref="U2:AA2"/>
    <mergeCell ref="AB2:AM2"/>
    <mergeCell ref="AI1:AK1"/>
    <mergeCell ref="B9:J9"/>
    <mergeCell ref="K9:R9"/>
    <mergeCell ref="S9:AE9"/>
    <mergeCell ref="AF9:AL9"/>
    <mergeCell ref="B6:AL6"/>
    <mergeCell ref="B7:J7"/>
    <mergeCell ref="K7:R7"/>
    <mergeCell ref="S7:AE7"/>
    <mergeCell ref="AF7:AL7"/>
    <mergeCell ref="B8:J8"/>
    <mergeCell ref="K8:R8"/>
    <mergeCell ref="S8:AE8"/>
    <mergeCell ref="AF8:AL8"/>
    <mergeCell ref="AC15:AD15"/>
    <mergeCell ref="AE15:AF15"/>
    <mergeCell ref="AG15:AH15"/>
    <mergeCell ref="AI15:AJ15"/>
    <mergeCell ref="AK15:AL15"/>
    <mergeCell ref="O15:P15"/>
    <mergeCell ref="Q15:R15"/>
    <mergeCell ref="S15:T15"/>
    <mergeCell ref="U15:V15"/>
    <mergeCell ref="W15:X15"/>
    <mergeCell ref="Y15:Z15"/>
    <mergeCell ref="AA15:AB15"/>
    <mergeCell ref="AA16:AB16"/>
    <mergeCell ref="AC16:AD16"/>
    <mergeCell ref="AE16:AF16"/>
    <mergeCell ref="AG16:AH16"/>
    <mergeCell ref="AI16:AJ16"/>
    <mergeCell ref="AK16:AL16"/>
    <mergeCell ref="O16:P16"/>
    <mergeCell ref="Q16:R16"/>
    <mergeCell ref="S16:T16"/>
    <mergeCell ref="U16:V16"/>
    <mergeCell ref="W16:X16"/>
    <mergeCell ref="Y16:Z16"/>
    <mergeCell ref="O18:P18"/>
    <mergeCell ref="Q18:R18"/>
    <mergeCell ref="S18:T18"/>
    <mergeCell ref="U18:V18"/>
    <mergeCell ref="Y17:Z17"/>
    <mergeCell ref="AA17:AB17"/>
    <mergeCell ref="AC17:AD17"/>
    <mergeCell ref="AE17:AF17"/>
    <mergeCell ref="AG17:AH17"/>
    <mergeCell ref="O17:P17"/>
    <mergeCell ref="Q17:R17"/>
    <mergeCell ref="S17:T17"/>
    <mergeCell ref="U17:V17"/>
    <mergeCell ref="W17:X17"/>
    <mergeCell ref="AI18:AJ18"/>
    <mergeCell ref="AK18:AL18"/>
    <mergeCell ref="W18:X18"/>
    <mergeCell ref="Y18:Z18"/>
    <mergeCell ref="AA18:AB18"/>
    <mergeCell ref="AC18:AD18"/>
    <mergeCell ref="AE18:AF18"/>
    <mergeCell ref="AG18:AH18"/>
    <mergeCell ref="AK17:AL17"/>
    <mergeCell ref="AI17:AJ17"/>
    <mergeCell ref="AK19:AL19"/>
    <mergeCell ref="O20:P20"/>
    <mergeCell ref="Q20:R20"/>
    <mergeCell ref="S20:T20"/>
    <mergeCell ref="U20:V20"/>
    <mergeCell ref="Y19:Z19"/>
    <mergeCell ref="AA19:AB19"/>
    <mergeCell ref="AC19:AD19"/>
    <mergeCell ref="AE19:AF19"/>
    <mergeCell ref="AG19:AH19"/>
    <mergeCell ref="AI19:AJ19"/>
    <mergeCell ref="O19:P19"/>
    <mergeCell ref="Q19:R19"/>
    <mergeCell ref="S19:T19"/>
    <mergeCell ref="U19:V19"/>
    <mergeCell ref="W19:X19"/>
    <mergeCell ref="W21:X21"/>
    <mergeCell ref="AI20:AJ20"/>
    <mergeCell ref="AK20:AL20"/>
    <mergeCell ref="W20:X20"/>
    <mergeCell ref="Y20:Z20"/>
    <mergeCell ref="AA20:AB20"/>
    <mergeCell ref="AC20:AD20"/>
    <mergeCell ref="AE20:AF20"/>
    <mergeCell ref="AG20:AH20"/>
    <mergeCell ref="A43:D43"/>
    <mergeCell ref="E43:J43"/>
    <mergeCell ref="K43:O43"/>
    <mergeCell ref="P43:U43"/>
    <mergeCell ref="V43:AC43"/>
    <mergeCell ref="AD36:AH36"/>
    <mergeCell ref="AI36:AM36"/>
    <mergeCell ref="AD37:AH42"/>
    <mergeCell ref="AI37:AM42"/>
    <mergeCell ref="AD43:AH43"/>
    <mergeCell ref="AI43:AM43"/>
    <mergeCell ref="O13:T14"/>
    <mergeCell ref="U13:Z14"/>
    <mergeCell ref="AA13:AF14"/>
    <mergeCell ref="AG13:AL14"/>
    <mergeCell ref="O22:P22"/>
    <mergeCell ref="Q22:R22"/>
    <mergeCell ref="S22:T22"/>
    <mergeCell ref="U22:V22"/>
    <mergeCell ref="AK21:AL21"/>
    <mergeCell ref="W22:X22"/>
    <mergeCell ref="Y22:Z22"/>
    <mergeCell ref="AA22:AB22"/>
    <mergeCell ref="Y21:Z21"/>
    <mergeCell ref="AA21:AB21"/>
    <mergeCell ref="AC21:AD21"/>
    <mergeCell ref="AE21:AF21"/>
    <mergeCell ref="AG21:AH21"/>
    <mergeCell ref="AI21:AJ21"/>
    <mergeCell ref="O21:P21"/>
    <mergeCell ref="Q21:R21"/>
    <mergeCell ref="S21:T21"/>
    <mergeCell ref="U21:V21"/>
    <mergeCell ref="AC22:AD22"/>
    <mergeCell ref="AE22:AF22"/>
    <mergeCell ref="E20:N20"/>
    <mergeCell ref="E21:N21"/>
    <mergeCell ref="E22:N22"/>
    <mergeCell ref="E23:N23"/>
    <mergeCell ref="E24:N24"/>
    <mergeCell ref="E25:N25"/>
    <mergeCell ref="E13:N15"/>
    <mergeCell ref="E16:N16"/>
    <mergeCell ref="E17:N17"/>
    <mergeCell ref="E18:N18"/>
    <mergeCell ref="E19:N19"/>
    <mergeCell ref="AG22:AH22"/>
    <mergeCell ref="AI22:AJ22"/>
    <mergeCell ref="AK22:AL22"/>
    <mergeCell ref="O23:P23"/>
    <mergeCell ref="Q23:R23"/>
    <mergeCell ref="S23:T23"/>
    <mergeCell ref="U23:V23"/>
    <mergeCell ref="W23:X23"/>
    <mergeCell ref="AK23:AL23"/>
    <mergeCell ref="O24:T24"/>
    <mergeCell ref="O25:T25"/>
    <mergeCell ref="U24:Z24"/>
    <mergeCell ref="AA24:AF24"/>
    <mergeCell ref="AG24:AL24"/>
    <mergeCell ref="U25:Z25"/>
    <mergeCell ref="AA25:AF25"/>
    <mergeCell ref="AG25:AL25"/>
    <mergeCell ref="Y23:Z23"/>
    <mergeCell ref="AA23:AB23"/>
    <mergeCell ref="AC23:AD23"/>
    <mergeCell ref="AE23:AF23"/>
    <mergeCell ref="AG23:AH23"/>
    <mergeCell ref="AI23:AJ23"/>
    <mergeCell ref="A47:G47"/>
    <mergeCell ref="H47:T47"/>
    <mergeCell ref="U47:AA47"/>
    <mergeCell ref="AB47:AM47"/>
    <mergeCell ref="A48:G48"/>
    <mergeCell ref="H48:T48"/>
    <mergeCell ref="U48:AA48"/>
    <mergeCell ref="AB48:AM48"/>
    <mergeCell ref="A45:AH45"/>
    <mergeCell ref="AL45:AM45"/>
    <mergeCell ref="A46:G46"/>
    <mergeCell ref="H46:T46"/>
    <mergeCell ref="U46:AA46"/>
    <mergeCell ref="AB46:AM46"/>
    <mergeCell ref="AI45:AK45"/>
    <mergeCell ref="B50:AL50"/>
    <mergeCell ref="B51:J51"/>
    <mergeCell ref="K51:R51"/>
    <mergeCell ref="S51:AE51"/>
    <mergeCell ref="AF51:AL51"/>
    <mergeCell ref="B52:J52"/>
    <mergeCell ref="K52:R52"/>
    <mergeCell ref="S52:AE52"/>
    <mergeCell ref="AF52:AL52"/>
    <mergeCell ref="AF53:AL53"/>
    <mergeCell ref="E57:N59"/>
    <mergeCell ref="O57:T58"/>
    <mergeCell ref="U57:Z58"/>
    <mergeCell ref="AA57:AF58"/>
    <mergeCell ref="AG57:AL58"/>
    <mergeCell ref="O59:P59"/>
    <mergeCell ref="AC59:AD59"/>
    <mergeCell ref="AE59:AF59"/>
    <mergeCell ref="AG59:AH59"/>
    <mergeCell ref="AI59:AJ59"/>
    <mergeCell ref="AK59:AL59"/>
    <mergeCell ref="Y59:Z59"/>
    <mergeCell ref="AA59:AB59"/>
    <mergeCell ref="S60:T60"/>
    <mergeCell ref="U60:V60"/>
    <mergeCell ref="Q59:R59"/>
    <mergeCell ref="S59:T59"/>
    <mergeCell ref="U59:V59"/>
    <mergeCell ref="W59:X59"/>
    <mergeCell ref="B53:J53"/>
    <mergeCell ref="K53:R53"/>
    <mergeCell ref="S53:AE53"/>
    <mergeCell ref="AI60:AJ60"/>
    <mergeCell ref="AK60:AL60"/>
    <mergeCell ref="E61:N61"/>
    <mergeCell ref="O61:P61"/>
    <mergeCell ref="Q61:R61"/>
    <mergeCell ref="S61:T61"/>
    <mergeCell ref="U61:V61"/>
    <mergeCell ref="W61:X61"/>
    <mergeCell ref="Y61:Z61"/>
    <mergeCell ref="AA61:AB61"/>
    <mergeCell ref="W60:X60"/>
    <mergeCell ref="Y60:Z60"/>
    <mergeCell ref="AA60:AB60"/>
    <mergeCell ref="AC60:AD60"/>
    <mergeCell ref="AE60:AF60"/>
    <mergeCell ref="AG60:AH60"/>
    <mergeCell ref="AC61:AD61"/>
    <mergeCell ref="AE61:AF61"/>
    <mergeCell ref="AG61:AH61"/>
    <mergeCell ref="AI61:AJ61"/>
    <mergeCell ref="AK61:AL61"/>
    <mergeCell ref="E60:N60"/>
    <mergeCell ref="O60:P60"/>
    <mergeCell ref="Q60:R60"/>
    <mergeCell ref="E62:N62"/>
    <mergeCell ref="O62:P62"/>
    <mergeCell ref="Q62:R62"/>
    <mergeCell ref="S62:T62"/>
    <mergeCell ref="U62:V62"/>
    <mergeCell ref="AI62:AJ62"/>
    <mergeCell ref="AK62:AL62"/>
    <mergeCell ref="E63:N63"/>
    <mergeCell ref="O63:P63"/>
    <mergeCell ref="Q63:R63"/>
    <mergeCell ref="S63:T63"/>
    <mergeCell ref="U63:V63"/>
    <mergeCell ref="W63:X63"/>
    <mergeCell ref="Y63:Z63"/>
    <mergeCell ref="AA63:AB63"/>
    <mergeCell ref="W62:X62"/>
    <mergeCell ref="Y62:Z62"/>
    <mergeCell ref="AA62:AB62"/>
    <mergeCell ref="AC62:AD62"/>
    <mergeCell ref="AE62:AF62"/>
    <mergeCell ref="AG62:AH62"/>
    <mergeCell ref="AC63:AD63"/>
    <mergeCell ref="AE63:AF63"/>
    <mergeCell ref="AG63:AH63"/>
    <mergeCell ref="AI63:AJ63"/>
    <mergeCell ref="AK63:AL63"/>
    <mergeCell ref="E64:N64"/>
    <mergeCell ref="O64:P64"/>
    <mergeCell ref="Q64:R64"/>
    <mergeCell ref="S64:T64"/>
    <mergeCell ref="U64:V64"/>
    <mergeCell ref="AI64:AJ64"/>
    <mergeCell ref="AK64:AL64"/>
    <mergeCell ref="AC64:AD64"/>
    <mergeCell ref="AE64:AF64"/>
    <mergeCell ref="AG64:AH64"/>
    <mergeCell ref="E65:N65"/>
    <mergeCell ref="O65:P65"/>
    <mergeCell ref="Q65:R65"/>
    <mergeCell ref="S65:T65"/>
    <mergeCell ref="U65:V65"/>
    <mergeCell ref="W65:X65"/>
    <mergeCell ref="Y65:Z65"/>
    <mergeCell ref="AA65:AB65"/>
    <mergeCell ref="W64:X64"/>
    <mergeCell ref="Y64:Z64"/>
    <mergeCell ref="AA64:AB64"/>
    <mergeCell ref="E66:N66"/>
    <mergeCell ref="O66:P66"/>
    <mergeCell ref="Q66:R66"/>
    <mergeCell ref="S66:T66"/>
    <mergeCell ref="U66:V66"/>
    <mergeCell ref="AI66:AJ66"/>
    <mergeCell ref="AK66:AL66"/>
    <mergeCell ref="AC66:AD66"/>
    <mergeCell ref="AE66:AF66"/>
    <mergeCell ref="AG66:AH66"/>
    <mergeCell ref="AA67:AB67"/>
    <mergeCell ref="W66:X66"/>
    <mergeCell ref="Y66:Z66"/>
    <mergeCell ref="AA66:AB66"/>
    <mergeCell ref="AC65:AD65"/>
    <mergeCell ref="AE65:AF65"/>
    <mergeCell ref="AG65:AH65"/>
    <mergeCell ref="AI65:AJ65"/>
    <mergeCell ref="AK65:AL65"/>
    <mergeCell ref="E69:N69"/>
    <mergeCell ref="O69:T69"/>
    <mergeCell ref="U69:Z69"/>
    <mergeCell ref="AA69:AF69"/>
    <mergeCell ref="AG69:AL69"/>
    <mergeCell ref="AD80:AH80"/>
    <mergeCell ref="AI80:AM80"/>
    <mergeCell ref="AC67:AD67"/>
    <mergeCell ref="AE67:AF67"/>
    <mergeCell ref="AG67:AH67"/>
    <mergeCell ref="AI67:AJ67"/>
    <mergeCell ref="AK67:AL67"/>
    <mergeCell ref="E68:N68"/>
    <mergeCell ref="O68:T68"/>
    <mergeCell ref="U68:Z68"/>
    <mergeCell ref="AA68:AF68"/>
    <mergeCell ref="AG68:AL68"/>
    <mergeCell ref="E67:N67"/>
    <mergeCell ref="O67:P67"/>
    <mergeCell ref="Q67:R67"/>
    <mergeCell ref="S67:T67"/>
    <mergeCell ref="U67:V67"/>
    <mergeCell ref="W67:X67"/>
    <mergeCell ref="Y67:Z67"/>
    <mergeCell ref="AD81:AH86"/>
    <mergeCell ref="AI81:AM86"/>
    <mergeCell ref="A87:D87"/>
    <mergeCell ref="E87:J87"/>
    <mergeCell ref="K87:O87"/>
    <mergeCell ref="P87:U87"/>
    <mergeCell ref="V87:AC87"/>
    <mergeCell ref="AD87:AH87"/>
    <mergeCell ref="AI87:AM87"/>
  </mergeCells>
  <pageMargins left="0.7" right="0.23" top="0.63" bottom="0.19685039370078741" header="0.51181102362204722" footer="0.11811023622047245"/>
  <pageSetup paperSize="9" firstPageNumber="4294963191" fitToHeight="2" orientation="portrait" horizontalDpi="4294967295" verticalDpi="4294967295" r:id="rId1"/>
  <headerFooter alignWithMargins="0"/>
  <rowBreaks count="1" manualBreakCount="1">
    <brk id="4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  <pageSetUpPr fitToPage="1"/>
  </sheetPr>
  <dimension ref="A1:CA94"/>
  <sheetViews>
    <sheetView showGridLines="0" tabSelected="1" view="pageBreakPreview" topLeftCell="A66" zoomScale="130" zoomScaleNormal="100" zoomScaleSheetLayoutView="130" workbookViewId="0">
      <selection activeCell="U25" sqref="U25:Z25"/>
    </sheetView>
  </sheetViews>
  <sheetFormatPr defaultColWidth="2.5" defaultRowHeight="13.5" x14ac:dyDescent="0.15"/>
  <cols>
    <col min="1" max="39" width="2.125" style="2" customWidth="1"/>
    <col min="40" max="16384" width="2.5" style="2"/>
  </cols>
  <sheetData>
    <row r="1" spans="1:79" ht="27" customHeight="1" x14ac:dyDescent="0.15">
      <c r="A1" s="106" t="s">
        <v>31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8"/>
      <c r="AI1" s="117" t="s">
        <v>35</v>
      </c>
      <c r="AJ1" s="118"/>
      <c r="AK1" s="118"/>
      <c r="AL1" s="109" t="s">
        <v>0</v>
      </c>
      <c r="AM1" s="110"/>
      <c r="AN1" s="1"/>
      <c r="AO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9.5" customHeight="1" x14ac:dyDescent="0.15">
      <c r="A2" s="111" t="s">
        <v>1</v>
      </c>
      <c r="B2" s="112"/>
      <c r="C2" s="112"/>
      <c r="D2" s="112"/>
      <c r="E2" s="112"/>
      <c r="F2" s="112"/>
      <c r="G2" s="112"/>
      <c r="H2" s="113" t="s">
        <v>44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4"/>
      <c r="U2" s="115" t="s">
        <v>2</v>
      </c>
      <c r="V2" s="115"/>
      <c r="W2" s="115"/>
      <c r="X2" s="115"/>
      <c r="Y2" s="115"/>
      <c r="Z2" s="115"/>
      <c r="AA2" s="115"/>
      <c r="AB2" s="116">
        <v>43043</v>
      </c>
      <c r="AC2" s="116"/>
      <c r="AD2" s="116"/>
      <c r="AE2" s="116"/>
      <c r="AF2" s="116"/>
      <c r="AG2" s="116"/>
      <c r="AH2" s="116"/>
      <c r="AI2" s="95"/>
      <c r="AJ2" s="95"/>
      <c r="AK2" s="95"/>
      <c r="AL2" s="95"/>
      <c r="AM2" s="96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9.5" customHeight="1" x14ac:dyDescent="0.15">
      <c r="A3" s="91" t="s">
        <v>3</v>
      </c>
      <c r="B3" s="92"/>
      <c r="C3" s="92"/>
      <c r="D3" s="92"/>
      <c r="E3" s="92"/>
      <c r="F3" s="92"/>
      <c r="G3" s="92"/>
      <c r="H3" s="93" t="s">
        <v>42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4"/>
      <c r="U3" s="88" t="s">
        <v>4</v>
      </c>
      <c r="V3" s="88"/>
      <c r="W3" s="88"/>
      <c r="X3" s="88"/>
      <c r="Y3" s="88"/>
      <c r="Z3" s="88"/>
      <c r="AA3" s="88"/>
      <c r="AB3" s="95">
        <v>43434</v>
      </c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6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9.5" customHeight="1" x14ac:dyDescent="0.15">
      <c r="A4" s="97" t="s">
        <v>5</v>
      </c>
      <c r="B4" s="98"/>
      <c r="C4" s="98"/>
      <c r="D4" s="98"/>
      <c r="E4" s="98"/>
      <c r="F4" s="98"/>
      <c r="G4" s="98"/>
      <c r="H4" s="92">
        <v>54800032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9"/>
      <c r="U4" s="100" t="s">
        <v>6</v>
      </c>
      <c r="V4" s="101"/>
      <c r="W4" s="101"/>
      <c r="X4" s="101"/>
      <c r="Y4" s="101"/>
      <c r="Z4" s="101"/>
      <c r="AA4" s="102"/>
      <c r="AB4" s="103" t="s">
        <v>7</v>
      </c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5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4.25" thickBot="1" x14ac:dyDescent="0.2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/>
      <c r="AJ5" s="1"/>
      <c r="AK5" s="1"/>
      <c r="AL5" s="1"/>
      <c r="AM5" s="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5" customHeight="1" x14ac:dyDescent="0.15">
      <c r="A6" s="3"/>
      <c r="B6" s="81" t="s">
        <v>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3"/>
      <c r="AM6" s="5"/>
      <c r="BT6" s="1"/>
      <c r="BU6" s="1"/>
      <c r="BV6" s="1"/>
      <c r="BW6" s="1"/>
      <c r="BX6" s="1"/>
      <c r="BY6" s="1"/>
      <c r="BZ6" s="1"/>
      <c r="CA6" s="1"/>
    </row>
    <row r="7" spans="1:79" ht="15" customHeight="1" x14ac:dyDescent="0.15">
      <c r="A7" s="3"/>
      <c r="B7" s="84" t="s">
        <v>9</v>
      </c>
      <c r="C7" s="85"/>
      <c r="D7" s="85"/>
      <c r="E7" s="85"/>
      <c r="F7" s="85"/>
      <c r="G7" s="85"/>
      <c r="H7" s="85"/>
      <c r="I7" s="85"/>
      <c r="J7" s="85"/>
      <c r="K7" s="85" t="s">
        <v>1</v>
      </c>
      <c r="L7" s="85"/>
      <c r="M7" s="85"/>
      <c r="N7" s="85"/>
      <c r="O7" s="85"/>
      <c r="P7" s="85"/>
      <c r="Q7" s="85"/>
      <c r="R7" s="85"/>
      <c r="S7" s="85" t="s">
        <v>3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6" t="s">
        <v>5</v>
      </c>
      <c r="AG7" s="86"/>
      <c r="AH7" s="86"/>
      <c r="AI7" s="86"/>
      <c r="AJ7" s="86"/>
      <c r="AK7" s="86"/>
      <c r="AL7" s="87"/>
      <c r="AM7" s="5"/>
      <c r="BT7" s="1"/>
      <c r="BU7" s="1"/>
      <c r="BV7" s="1"/>
      <c r="BW7" s="1"/>
      <c r="BX7" s="1"/>
      <c r="BY7" s="1"/>
      <c r="BZ7" s="1"/>
      <c r="CA7" s="1"/>
    </row>
    <row r="8" spans="1:79" ht="19.5" customHeight="1" x14ac:dyDescent="0.15">
      <c r="A8" s="3"/>
      <c r="B8" s="84" t="s">
        <v>10</v>
      </c>
      <c r="C8" s="85"/>
      <c r="D8" s="85"/>
      <c r="E8" s="85"/>
      <c r="F8" s="85"/>
      <c r="G8" s="85"/>
      <c r="H8" s="85"/>
      <c r="I8" s="85"/>
      <c r="J8" s="85"/>
      <c r="K8" s="88" t="s">
        <v>48</v>
      </c>
      <c r="L8" s="88"/>
      <c r="M8" s="88"/>
      <c r="N8" s="88"/>
      <c r="O8" s="88"/>
      <c r="P8" s="88"/>
      <c r="Q8" s="88"/>
      <c r="R8" s="88"/>
      <c r="S8" s="88" t="s">
        <v>41</v>
      </c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9">
        <v>130810059</v>
      </c>
      <c r="AG8" s="89"/>
      <c r="AH8" s="89"/>
      <c r="AI8" s="89"/>
      <c r="AJ8" s="89"/>
      <c r="AK8" s="89"/>
      <c r="AL8" s="90"/>
      <c r="AM8" s="5"/>
      <c r="BT8" s="1"/>
      <c r="BU8" s="1"/>
      <c r="BV8" s="1"/>
      <c r="BW8" s="1"/>
      <c r="BX8" s="1"/>
      <c r="BY8" s="1"/>
      <c r="BZ8" s="1"/>
      <c r="CA8" s="1"/>
    </row>
    <row r="9" spans="1:79" ht="19.5" customHeight="1" thickBot="1" x14ac:dyDescent="0.2">
      <c r="A9" s="3"/>
      <c r="B9" s="64" t="s">
        <v>11</v>
      </c>
      <c r="C9" s="65"/>
      <c r="D9" s="65"/>
      <c r="E9" s="65"/>
      <c r="F9" s="65"/>
      <c r="G9" s="65"/>
      <c r="H9" s="65"/>
      <c r="I9" s="65"/>
      <c r="J9" s="65"/>
      <c r="K9" s="66" t="s">
        <v>49</v>
      </c>
      <c r="L9" s="66"/>
      <c r="M9" s="66"/>
      <c r="N9" s="66"/>
      <c r="O9" s="66"/>
      <c r="P9" s="66"/>
      <c r="Q9" s="66"/>
      <c r="R9" s="66"/>
      <c r="S9" s="66" t="s">
        <v>43</v>
      </c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7">
        <v>103766</v>
      </c>
      <c r="AG9" s="67"/>
      <c r="AH9" s="67"/>
      <c r="AI9" s="67"/>
      <c r="AJ9" s="67"/>
      <c r="AK9" s="67"/>
      <c r="AL9" s="68"/>
      <c r="AM9" s="5"/>
      <c r="BT9" s="1"/>
      <c r="BU9" s="1"/>
      <c r="BV9" s="1"/>
      <c r="BW9" s="1"/>
      <c r="BX9" s="1"/>
      <c r="BY9" s="1"/>
      <c r="BZ9" s="1"/>
      <c r="CA9" s="1"/>
    </row>
    <row r="10" spans="1:79" ht="19.5" customHeight="1" x14ac:dyDescent="0.1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7"/>
      <c r="AH10" s="7"/>
      <c r="AI10" s="7"/>
      <c r="AJ10" s="7"/>
      <c r="AK10" s="7"/>
      <c r="AL10" s="7"/>
      <c r="AM10" s="5"/>
      <c r="BT10" s="1"/>
      <c r="BU10" s="1"/>
      <c r="BV10" s="1"/>
      <c r="BW10" s="1"/>
      <c r="BX10" s="1"/>
      <c r="BY10" s="1"/>
      <c r="BZ10" s="1"/>
      <c r="CA10" s="1"/>
    </row>
    <row r="11" spans="1:79" s="12" customFormat="1" ht="17.25" customHeight="1" x14ac:dyDescent="0.15">
      <c r="A11" s="8"/>
      <c r="B11" s="9" t="s">
        <v>26</v>
      </c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1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</row>
    <row r="12" spans="1:79" s="12" customFormat="1" ht="17.25" customHeight="1" x14ac:dyDescent="0.15">
      <c r="A12" s="13"/>
      <c r="B12" s="9"/>
      <c r="C12" s="9"/>
      <c r="D12" s="9"/>
      <c r="E12" s="9"/>
      <c r="F12" s="9"/>
      <c r="G12" s="9"/>
      <c r="H12" s="9"/>
      <c r="I12" s="9"/>
      <c r="J12" s="14"/>
      <c r="K12" s="9"/>
      <c r="L12" s="9"/>
      <c r="M12" s="9"/>
      <c r="N12" s="9"/>
      <c r="O12" s="9"/>
      <c r="P12" s="9" t="s">
        <v>51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1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</row>
    <row r="13" spans="1:79" s="12" customFormat="1" ht="17.25" customHeight="1" x14ac:dyDescent="0.15">
      <c r="A13" s="13"/>
      <c r="E13" s="69" t="s">
        <v>12</v>
      </c>
      <c r="F13" s="70"/>
      <c r="G13" s="70"/>
      <c r="H13" s="70"/>
      <c r="I13" s="70"/>
      <c r="J13" s="70"/>
      <c r="K13" s="70"/>
      <c r="L13" s="70"/>
      <c r="M13" s="70"/>
      <c r="N13" s="71"/>
      <c r="O13" s="78" t="s">
        <v>13</v>
      </c>
      <c r="P13" s="79"/>
      <c r="Q13" s="79"/>
      <c r="R13" s="79"/>
      <c r="S13" s="79"/>
      <c r="T13" s="80"/>
      <c r="U13" s="78" t="s">
        <v>14</v>
      </c>
      <c r="V13" s="79"/>
      <c r="W13" s="79"/>
      <c r="X13" s="79"/>
      <c r="Y13" s="79"/>
      <c r="Z13" s="80"/>
      <c r="AA13" s="78" t="s">
        <v>15</v>
      </c>
      <c r="AB13" s="79"/>
      <c r="AC13" s="79"/>
      <c r="AD13" s="79"/>
      <c r="AE13" s="79"/>
      <c r="AF13" s="80"/>
      <c r="AG13" s="78" t="s">
        <v>16</v>
      </c>
      <c r="AH13" s="79"/>
      <c r="AI13" s="79"/>
      <c r="AJ13" s="79"/>
      <c r="AK13" s="79"/>
      <c r="AL13" s="80"/>
      <c r="AM13" s="15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</row>
    <row r="14" spans="1:79" s="12" customFormat="1" ht="17.25" customHeight="1" x14ac:dyDescent="0.15">
      <c r="A14" s="13"/>
      <c r="E14" s="72"/>
      <c r="F14" s="73"/>
      <c r="G14" s="73"/>
      <c r="H14" s="73"/>
      <c r="I14" s="73"/>
      <c r="J14" s="73"/>
      <c r="K14" s="73"/>
      <c r="L14" s="73"/>
      <c r="M14" s="73"/>
      <c r="N14" s="74"/>
      <c r="O14" s="44"/>
      <c r="P14" s="45"/>
      <c r="Q14" s="45"/>
      <c r="R14" s="45"/>
      <c r="S14" s="45"/>
      <c r="T14" s="46"/>
      <c r="U14" s="44"/>
      <c r="V14" s="45"/>
      <c r="W14" s="45"/>
      <c r="X14" s="45"/>
      <c r="Y14" s="45"/>
      <c r="Z14" s="46"/>
      <c r="AA14" s="44"/>
      <c r="AB14" s="45"/>
      <c r="AC14" s="45"/>
      <c r="AD14" s="45"/>
      <c r="AE14" s="45"/>
      <c r="AF14" s="46"/>
      <c r="AG14" s="44"/>
      <c r="AH14" s="45"/>
      <c r="AI14" s="45"/>
      <c r="AJ14" s="45"/>
      <c r="AK14" s="45"/>
      <c r="AL14" s="46"/>
      <c r="AM14" s="15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</row>
    <row r="15" spans="1:79" s="12" customFormat="1" ht="28.5" customHeight="1" x14ac:dyDescent="0.15">
      <c r="A15" s="13"/>
      <c r="E15" s="75"/>
      <c r="F15" s="76"/>
      <c r="G15" s="76"/>
      <c r="H15" s="76"/>
      <c r="I15" s="76"/>
      <c r="J15" s="76"/>
      <c r="K15" s="76"/>
      <c r="L15" s="76"/>
      <c r="M15" s="76"/>
      <c r="N15" s="77"/>
      <c r="O15" s="56" t="s">
        <v>17</v>
      </c>
      <c r="P15" s="63"/>
      <c r="Q15" s="56" t="s">
        <v>18</v>
      </c>
      <c r="R15" s="63"/>
      <c r="S15" s="56" t="s">
        <v>27</v>
      </c>
      <c r="T15" s="63"/>
      <c r="U15" s="56" t="s">
        <v>17</v>
      </c>
      <c r="V15" s="63"/>
      <c r="W15" s="56" t="s">
        <v>18</v>
      </c>
      <c r="X15" s="63"/>
      <c r="Y15" s="56" t="s">
        <v>27</v>
      </c>
      <c r="Z15" s="63"/>
      <c r="AA15" s="56" t="s">
        <v>17</v>
      </c>
      <c r="AB15" s="63"/>
      <c r="AC15" s="56" t="s">
        <v>18</v>
      </c>
      <c r="AD15" s="63"/>
      <c r="AE15" s="56" t="s">
        <v>27</v>
      </c>
      <c r="AF15" s="63"/>
      <c r="AG15" s="56" t="s">
        <v>17</v>
      </c>
      <c r="AH15" s="63"/>
      <c r="AI15" s="56" t="s">
        <v>18</v>
      </c>
      <c r="AJ15" s="63"/>
      <c r="AK15" s="56" t="s">
        <v>27</v>
      </c>
      <c r="AL15" s="63"/>
      <c r="AM15" s="16"/>
      <c r="AN15" s="10"/>
      <c r="AO15" s="10"/>
      <c r="AP15" s="10"/>
      <c r="AQ15" s="10"/>
      <c r="AR15" s="10"/>
      <c r="AS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</row>
    <row r="16" spans="1:79" s="12" customFormat="1" ht="23.25" customHeight="1" x14ac:dyDescent="0.15">
      <c r="A16" s="13"/>
      <c r="B16" s="10"/>
      <c r="C16" s="9"/>
      <c r="D16" s="9"/>
      <c r="E16" s="58">
        <v>0</v>
      </c>
      <c r="F16" s="59"/>
      <c r="G16" s="59"/>
      <c r="H16" s="59"/>
      <c r="I16" s="59"/>
      <c r="J16" s="59"/>
      <c r="K16" s="59"/>
      <c r="L16" s="59"/>
      <c r="M16" s="59"/>
      <c r="N16" s="60"/>
      <c r="O16" s="56">
        <v>101</v>
      </c>
      <c r="P16" s="57"/>
      <c r="Q16" s="52">
        <v>113</v>
      </c>
      <c r="R16" s="53"/>
      <c r="S16" s="62">
        <f>Q16-O16</f>
        <v>12</v>
      </c>
      <c r="T16" s="63"/>
      <c r="U16" s="56">
        <v>202</v>
      </c>
      <c r="V16" s="57"/>
      <c r="W16" s="52">
        <v>221</v>
      </c>
      <c r="X16" s="53"/>
      <c r="Y16" s="62">
        <f>W16-U16</f>
        <v>19</v>
      </c>
      <c r="Z16" s="63"/>
      <c r="AA16" s="56">
        <v>300</v>
      </c>
      <c r="AB16" s="57"/>
      <c r="AC16" s="52">
        <v>318</v>
      </c>
      <c r="AD16" s="53"/>
      <c r="AE16" s="62">
        <f>AC16-AA16</f>
        <v>18</v>
      </c>
      <c r="AF16" s="63"/>
      <c r="AG16" s="56">
        <v>400</v>
      </c>
      <c r="AH16" s="57"/>
      <c r="AI16" s="52">
        <v>423</v>
      </c>
      <c r="AJ16" s="53"/>
      <c r="AK16" s="62">
        <f>AI16-AG16</f>
        <v>23</v>
      </c>
      <c r="AL16" s="63"/>
      <c r="AM16" s="16"/>
      <c r="AN16" s="10"/>
      <c r="AO16" s="10"/>
      <c r="AP16" s="10"/>
      <c r="AQ16" s="10"/>
      <c r="AR16" s="10"/>
      <c r="AS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</row>
    <row r="17" spans="1:79" s="12" customFormat="1" ht="23.25" customHeight="1" x14ac:dyDescent="0.15">
      <c r="A17" s="13"/>
      <c r="B17" s="10"/>
      <c r="C17" s="9"/>
      <c r="D17" s="9"/>
      <c r="E17" s="58">
        <v>5</v>
      </c>
      <c r="F17" s="59"/>
      <c r="G17" s="59"/>
      <c r="H17" s="59"/>
      <c r="I17" s="59"/>
      <c r="J17" s="59"/>
      <c r="K17" s="59"/>
      <c r="L17" s="59"/>
      <c r="M17" s="59"/>
      <c r="N17" s="60"/>
      <c r="O17" s="56">
        <v>101</v>
      </c>
      <c r="P17" s="57"/>
      <c r="Q17" s="52">
        <v>113</v>
      </c>
      <c r="R17" s="53"/>
      <c r="S17" s="62">
        <f t="shared" ref="S17:S22" si="0">Q17-O17</f>
        <v>12</v>
      </c>
      <c r="T17" s="63"/>
      <c r="U17" s="56">
        <v>202</v>
      </c>
      <c r="V17" s="57"/>
      <c r="W17" s="52">
        <v>221</v>
      </c>
      <c r="X17" s="53"/>
      <c r="Y17" s="62">
        <f t="shared" ref="Y17:Y22" si="1">W17-U17</f>
        <v>19</v>
      </c>
      <c r="Z17" s="63"/>
      <c r="AA17" s="56">
        <v>300</v>
      </c>
      <c r="AB17" s="57"/>
      <c r="AC17" s="52">
        <v>319</v>
      </c>
      <c r="AD17" s="53"/>
      <c r="AE17" s="62">
        <f>AC17-AA17</f>
        <v>19</v>
      </c>
      <c r="AF17" s="63"/>
      <c r="AG17" s="56">
        <v>400</v>
      </c>
      <c r="AH17" s="57"/>
      <c r="AI17" s="52">
        <v>423</v>
      </c>
      <c r="AJ17" s="53"/>
      <c r="AK17" s="62">
        <f t="shared" ref="AK17:AK22" si="2">AI17-AG17</f>
        <v>23</v>
      </c>
      <c r="AL17" s="63"/>
      <c r="AM17" s="17"/>
      <c r="AN17" s="10"/>
      <c r="AO17" s="10"/>
      <c r="AP17" s="10"/>
      <c r="AQ17" s="10"/>
      <c r="AR17" s="10"/>
      <c r="AS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</row>
    <row r="18" spans="1:79" s="12" customFormat="1" ht="23.25" customHeight="1" x14ac:dyDescent="0.15">
      <c r="A18" s="13"/>
      <c r="B18" s="10"/>
      <c r="C18" s="9"/>
      <c r="D18" s="9"/>
      <c r="E18" s="58">
        <v>10</v>
      </c>
      <c r="F18" s="59"/>
      <c r="G18" s="59"/>
      <c r="H18" s="59"/>
      <c r="I18" s="59"/>
      <c r="J18" s="59"/>
      <c r="K18" s="59"/>
      <c r="L18" s="59"/>
      <c r="M18" s="59"/>
      <c r="N18" s="60"/>
      <c r="O18" s="56">
        <v>101</v>
      </c>
      <c r="P18" s="57"/>
      <c r="Q18" s="52">
        <v>112</v>
      </c>
      <c r="R18" s="53"/>
      <c r="S18" s="62">
        <f t="shared" si="0"/>
        <v>11</v>
      </c>
      <c r="T18" s="63"/>
      <c r="U18" s="56">
        <v>203</v>
      </c>
      <c r="V18" s="57"/>
      <c r="W18" s="52">
        <v>221</v>
      </c>
      <c r="X18" s="53"/>
      <c r="Y18" s="62">
        <f t="shared" si="1"/>
        <v>18</v>
      </c>
      <c r="Z18" s="63"/>
      <c r="AA18" s="56">
        <v>300</v>
      </c>
      <c r="AB18" s="57"/>
      <c r="AC18" s="52">
        <v>319</v>
      </c>
      <c r="AD18" s="53"/>
      <c r="AE18" s="62">
        <f t="shared" ref="AE18:AE22" si="3">AC18-AA18</f>
        <v>19</v>
      </c>
      <c r="AF18" s="63"/>
      <c r="AG18" s="56">
        <v>400</v>
      </c>
      <c r="AH18" s="57"/>
      <c r="AI18" s="52">
        <v>423</v>
      </c>
      <c r="AJ18" s="53"/>
      <c r="AK18" s="62">
        <f t="shared" si="2"/>
        <v>23</v>
      </c>
      <c r="AL18" s="63"/>
      <c r="AM18" s="17"/>
      <c r="AN18" s="10"/>
      <c r="AO18" s="10"/>
      <c r="AP18" s="10"/>
      <c r="AQ18" s="10"/>
      <c r="AR18" s="10"/>
      <c r="AS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</row>
    <row r="19" spans="1:79" s="12" customFormat="1" ht="23.25" customHeight="1" x14ac:dyDescent="0.15">
      <c r="A19" s="13"/>
      <c r="B19" s="10"/>
      <c r="C19" s="9"/>
      <c r="D19" s="9"/>
      <c r="E19" s="58">
        <v>15</v>
      </c>
      <c r="F19" s="59"/>
      <c r="G19" s="59"/>
      <c r="H19" s="59"/>
      <c r="I19" s="59"/>
      <c r="J19" s="59"/>
      <c r="K19" s="59"/>
      <c r="L19" s="59"/>
      <c r="M19" s="59"/>
      <c r="N19" s="60"/>
      <c r="O19" s="56">
        <v>101</v>
      </c>
      <c r="P19" s="57"/>
      <c r="Q19" s="52">
        <v>112</v>
      </c>
      <c r="R19" s="53"/>
      <c r="S19" s="62">
        <f t="shared" si="0"/>
        <v>11</v>
      </c>
      <c r="T19" s="63"/>
      <c r="U19" s="56">
        <v>203</v>
      </c>
      <c r="V19" s="57"/>
      <c r="W19" s="52">
        <v>220</v>
      </c>
      <c r="X19" s="53"/>
      <c r="Y19" s="62">
        <f t="shared" si="1"/>
        <v>17</v>
      </c>
      <c r="Z19" s="63"/>
      <c r="AA19" s="56">
        <v>300</v>
      </c>
      <c r="AB19" s="57"/>
      <c r="AC19" s="52">
        <v>319</v>
      </c>
      <c r="AD19" s="53"/>
      <c r="AE19" s="62">
        <f t="shared" si="3"/>
        <v>19</v>
      </c>
      <c r="AF19" s="63"/>
      <c r="AG19" s="56">
        <v>400</v>
      </c>
      <c r="AH19" s="57"/>
      <c r="AI19" s="52">
        <v>422</v>
      </c>
      <c r="AJ19" s="53"/>
      <c r="AK19" s="62">
        <f t="shared" si="2"/>
        <v>22</v>
      </c>
      <c r="AL19" s="63"/>
      <c r="AM19" s="11"/>
      <c r="AN19" s="10"/>
      <c r="AO19" s="10"/>
      <c r="AP19" s="10"/>
      <c r="AQ19" s="1"/>
      <c r="AR19" s="10"/>
      <c r="AS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</row>
    <row r="20" spans="1:79" s="12" customFormat="1" ht="23.25" customHeight="1" x14ac:dyDescent="0.15">
      <c r="A20" s="13"/>
      <c r="B20" s="10"/>
      <c r="C20" s="9"/>
      <c r="D20" s="9"/>
      <c r="E20" s="58">
        <v>20</v>
      </c>
      <c r="F20" s="59"/>
      <c r="G20" s="59"/>
      <c r="H20" s="59"/>
      <c r="I20" s="59"/>
      <c r="J20" s="59"/>
      <c r="K20" s="59"/>
      <c r="L20" s="59"/>
      <c r="M20" s="59"/>
      <c r="N20" s="60"/>
      <c r="O20" s="56">
        <v>101</v>
      </c>
      <c r="P20" s="57"/>
      <c r="Q20" s="52">
        <v>112</v>
      </c>
      <c r="R20" s="53"/>
      <c r="S20" s="62">
        <f t="shared" si="0"/>
        <v>11</v>
      </c>
      <c r="T20" s="63"/>
      <c r="U20" s="56">
        <v>202</v>
      </c>
      <c r="V20" s="57"/>
      <c r="W20" s="52">
        <v>220</v>
      </c>
      <c r="X20" s="53"/>
      <c r="Y20" s="62">
        <f t="shared" si="1"/>
        <v>18</v>
      </c>
      <c r="Z20" s="63"/>
      <c r="AA20" s="56">
        <v>300</v>
      </c>
      <c r="AB20" s="57"/>
      <c r="AC20" s="52">
        <v>318</v>
      </c>
      <c r="AD20" s="53"/>
      <c r="AE20" s="62">
        <f t="shared" si="3"/>
        <v>18</v>
      </c>
      <c r="AF20" s="63"/>
      <c r="AG20" s="56">
        <v>400</v>
      </c>
      <c r="AH20" s="57"/>
      <c r="AI20" s="52">
        <v>422</v>
      </c>
      <c r="AJ20" s="53"/>
      <c r="AK20" s="62">
        <f t="shared" si="2"/>
        <v>22</v>
      </c>
      <c r="AL20" s="63"/>
      <c r="AM20" s="11"/>
      <c r="AN20" s="10"/>
      <c r="AO20" s="10"/>
      <c r="AP20" s="10"/>
      <c r="AQ20" s="10"/>
      <c r="AR20" s="10"/>
      <c r="AS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</row>
    <row r="21" spans="1:79" s="12" customFormat="1" ht="23.25" customHeight="1" x14ac:dyDescent="0.15">
      <c r="A21" s="13"/>
      <c r="B21" s="10"/>
      <c r="C21" s="9"/>
      <c r="D21" s="9"/>
      <c r="E21" s="58">
        <v>25</v>
      </c>
      <c r="F21" s="59"/>
      <c r="G21" s="59"/>
      <c r="H21" s="59"/>
      <c r="I21" s="59"/>
      <c r="J21" s="59"/>
      <c r="K21" s="59"/>
      <c r="L21" s="59"/>
      <c r="M21" s="59"/>
      <c r="N21" s="60"/>
      <c r="O21" s="56">
        <v>100</v>
      </c>
      <c r="P21" s="57"/>
      <c r="Q21" s="52">
        <v>112</v>
      </c>
      <c r="R21" s="53"/>
      <c r="S21" s="62">
        <f t="shared" si="0"/>
        <v>12</v>
      </c>
      <c r="T21" s="63"/>
      <c r="U21" s="56">
        <v>202</v>
      </c>
      <c r="V21" s="57"/>
      <c r="W21" s="52">
        <v>219</v>
      </c>
      <c r="X21" s="53"/>
      <c r="Y21" s="62">
        <f t="shared" si="1"/>
        <v>17</v>
      </c>
      <c r="Z21" s="63"/>
      <c r="AA21" s="56">
        <v>300</v>
      </c>
      <c r="AB21" s="57"/>
      <c r="AC21" s="52">
        <v>318</v>
      </c>
      <c r="AD21" s="53"/>
      <c r="AE21" s="62">
        <f t="shared" si="3"/>
        <v>18</v>
      </c>
      <c r="AF21" s="63"/>
      <c r="AG21" s="56">
        <v>400</v>
      </c>
      <c r="AH21" s="57"/>
      <c r="AI21" s="52">
        <v>422</v>
      </c>
      <c r="AJ21" s="53"/>
      <c r="AK21" s="62">
        <f t="shared" si="2"/>
        <v>22</v>
      </c>
      <c r="AL21" s="63"/>
      <c r="AM21" s="11"/>
      <c r="AN21" s="10"/>
      <c r="AO21" s="10"/>
      <c r="AP21" s="10"/>
      <c r="AQ21" s="10"/>
      <c r="AR21" s="10"/>
      <c r="AS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</row>
    <row r="22" spans="1:79" s="12" customFormat="1" ht="24" customHeight="1" x14ac:dyDescent="0.15">
      <c r="A22" s="13"/>
      <c r="B22" s="9"/>
      <c r="C22" s="9"/>
      <c r="D22" s="9"/>
      <c r="E22" s="58">
        <v>30</v>
      </c>
      <c r="F22" s="59"/>
      <c r="G22" s="59"/>
      <c r="H22" s="59"/>
      <c r="I22" s="59"/>
      <c r="J22" s="59"/>
      <c r="K22" s="59"/>
      <c r="L22" s="59"/>
      <c r="M22" s="59"/>
      <c r="N22" s="60"/>
      <c r="O22" s="56">
        <v>100</v>
      </c>
      <c r="P22" s="57"/>
      <c r="Q22" s="52">
        <v>111</v>
      </c>
      <c r="R22" s="53"/>
      <c r="S22" s="62">
        <f t="shared" si="0"/>
        <v>11</v>
      </c>
      <c r="T22" s="63"/>
      <c r="U22" s="56">
        <v>202</v>
      </c>
      <c r="V22" s="57"/>
      <c r="W22" s="52">
        <v>219</v>
      </c>
      <c r="X22" s="53"/>
      <c r="Y22" s="62">
        <f t="shared" si="1"/>
        <v>17</v>
      </c>
      <c r="Z22" s="63"/>
      <c r="AA22" s="56">
        <v>300</v>
      </c>
      <c r="AB22" s="57"/>
      <c r="AC22" s="52">
        <v>319</v>
      </c>
      <c r="AD22" s="53"/>
      <c r="AE22" s="62">
        <f t="shared" si="3"/>
        <v>19</v>
      </c>
      <c r="AF22" s="63"/>
      <c r="AG22" s="56">
        <v>400</v>
      </c>
      <c r="AH22" s="57"/>
      <c r="AI22" s="52">
        <v>422</v>
      </c>
      <c r="AJ22" s="53"/>
      <c r="AK22" s="62">
        <f t="shared" si="2"/>
        <v>22</v>
      </c>
      <c r="AL22" s="63"/>
      <c r="AM22" s="11"/>
      <c r="AN22" s="10"/>
      <c r="AO22" s="10"/>
      <c r="AP22" s="10"/>
      <c r="AQ22" s="10"/>
      <c r="AR22" s="10"/>
      <c r="AS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</row>
    <row r="23" spans="1:79" s="12" customFormat="1" ht="24" customHeight="1" x14ac:dyDescent="0.15">
      <c r="A23" s="18"/>
      <c r="B23" s="9"/>
      <c r="C23" s="9"/>
      <c r="D23" s="9"/>
      <c r="E23" s="58" t="s">
        <v>28</v>
      </c>
      <c r="F23" s="59"/>
      <c r="G23" s="59"/>
      <c r="H23" s="59"/>
      <c r="I23" s="59"/>
      <c r="J23" s="59"/>
      <c r="K23" s="59"/>
      <c r="L23" s="59"/>
      <c r="M23" s="59"/>
      <c r="N23" s="60"/>
      <c r="O23" s="56">
        <f t="shared" ref="O23" si="4">ROUND(AVERAGE(O16:P22),0)</f>
        <v>101</v>
      </c>
      <c r="P23" s="57"/>
      <c r="Q23" s="52">
        <f t="shared" ref="Q23" si="5">ROUND(AVERAGE(Q16:R22),0)</f>
        <v>112</v>
      </c>
      <c r="R23" s="53"/>
      <c r="S23" s="54">
        <f>ROUND(AVERAGE(S16:T22),0)</f>
        <v>11</v>
      </c>
      <c r="T23" s="55"/>
      <c r="U23" s="56">
        <f t="shared" ref="U23:AG23" si="6">ROUND(AVERAGE(U16:V22),0)</f>
        <v>202</v>
      </c>
      <c r="V23" s="57"/>
      <c r="W23" s="52">
        <f t="shared" ref="W23:AI23" si="7">ROUND(AVERAGE(W16:X22),0)</f>
        <v>220</v>
      </c>
      <c r="X23" s="53"/>
      <c r="Y23" s="54">
        <f t="shared" ref="Y23" si="8">ROUND(AVERAGE(Y16:Z22),0)</f>
        <v>18</v>
      </c>
      <c r="Z23" s="55"/>
      <c r="AA23" s="56">
        <f t="shared" si="6"/>
        <v>300</v>
      </c>
      <c r="AB23" s="57"/>
      <c r="AC23" s="52">
        <f t="shared" si="7"/>
        <v>319</v>
      </c>
      <c r="AD23" s="53"/>
      <c r="AE23" s="54">
        <f t="shared" ref="AE23" si="9">ROUND(AVERAGE(AE16:AF22),0)</f>
        <v>19</v>
      </c>
      <c r="AF23" s="55"/>
      <c r="AG23" s="56">
        <f t="shared" si="6"/>
        <v>400</v>
      </c>
      <c r="AH23" s="57"/>
      <c r="AI23" s="52">
        <f t="shared" si="7"/>
        <v>422</v>
      </c>
      <c r="AJ23" s="53"/>
      <c r="AK23" s="54">
        <f t="shared" ref="AK23" si="10">ROUND(AVERAGE(AK16:AL22),0)</f>
        <v>22</v>
      </c>
      <c r="AL23" s="55"/>
      <c r="AM23" s="11"/>
      <c r="AN23" s="10"/>
      <c r="AO23" s="10"/>
      <c r="AP23" s="10"/>
      <c r="AQ23" s="10"/>
      <c r="AR23" s="10"/>
      <c r="AS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</row>
    <row r="24" spans="1:79" s="12" customFormat="1" ht="24" customHeight="1" x14ac:dyDescent="0.15">
      <c r="A24" s="18"/>
      <c r="B24" s="9"/>
      <c r="C24" s="9"/>
      <c r="D24" s="9"/>
      <c r="E24" s="58" t="s">
        <v>29</v>
      </c>
      <c r="F24" s="59"/>
      <c r="G24" s="59"/>
      <c r="H24" s="59"/>
      <c r="I24" s="59"/>
      <c r="J24" s="59"/>
      <c r="K24" s="59"/>
      <c r="L24" s="59"/>
      <c r="M24" s="59"/>
      <c r="N24" s="60"/>
      <c r="O24" s="61">
        <f>100-S23</f>
        <v>89</v>
      </c>
      <c r="P24" s="47"/>
      <c r="Q24" s="47"/>
      <c r="R24" s="47"/>
      <c r="S24" s="47"/>
      <c r="T24" s="47"/>
      <c r="U24" s="61">
        <f>200-Y23</f>
        <v>182</v>
      </c>
      <c r="V24" s="47"/>
      <c r="W24" s="47"/>
      <c r="X24" s="47"/>
      <c r="Y24" s="47"/>
      <c r="Z24" s="47"/>
      <c r="AA24" s="61">
        <f>300-AE23</f>
        <v>281</v>
      </c>
      <c r="AB24" s="47"/>
      <c r="AC24" s="47"/>
      <c r="AD24" s="47"/>
      <c r="AE24" s="47"/>
      <c r="AF24" s="47"/>
      <c r="AG24" s="61">
        <f>400-AK23</f>
        <v>378</v>
      </c>
      <c r="AH24" s="47"/>
      <c r="AI24" s="47"/>
      <c r="AJ24" s="47"/>
      <c r="AK24" s="47"/>
      <c r="AL24" s="47"/>
      <c r="AM24" s="11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</row>
    <row r="25" spans="1:79" s="12" customFormat="1" ht="24" customHeight="1" x14ac:dyDescent="0.15">
      <c r="A25" s="18"/>
      <c r="B25" s="9"/>
      <c r="C25" s="9"/>
      <c r="D25" s="9"/>
      <c r="E25" s="44" t="s">
        <v>30</v>
      </c>
      <c r="F25" s="45"/>
      <c r="G25" s="45"/>
      <c r="H25" s="45"/>
      <c r="I25" s="45"/>
      <c r="J25" s="45"/>
      <c r="K25" s="45"/>
      <c r="L25" s="45"/>
      <c r="M25" s="45"/>
      <c r="N25" s="46"/>
      <c r="O25" s="47">
        <v>96</v>
      </c>
      <c r="P25" s="47"/>
      <c r="Q25" s="47"/>
      <c r="R25" s="47"/>
      <c r="S25" s="47"/>
      <c r="T25" s="47"/>
      <c r="U25" s="47">
        <v>197</v>
      </c>
      <c r="V25" s="47"/>
      <c r="W25" s="47"/>
      <c r="X25" s="47"/>
      <c r="Y25" s="47"/>
      <c r="Z25" s="47"/>
      <c r="AA25" s="47">
        <v>300</v>
      </c>
      <c r="AB25" s="47"/>
      <c r="AC25" s="47"/>
      <c r="AD25" s="47"/>
      <c r="AE25" s="47"/>
      <c r="AF25" s="47"/>
      <c r="AG25" s="47">
        <v>397</v>
      </c>
      <c r="AH25" s="47"/>
      <c r="AI25" s="47"/>
      <c r="AJ25" s="47"/>
      <c r="AK25" s="47"/>
      <c r="AL25" s="47"/>
      <c r="AM25" s="11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</row>
    <row r="26" spans="1:79" s="12" customFormat="1" ht="17.25" customHeight="1" x14ac:dyDescent="0.15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1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</row>
    <row r="27" spans="1:79" s="12" customFormat="1" ht="17.25" customHeight="1" x14ac:dyDescent="0.15">
      <c r="A27" s="18"/>
      <c r="B27" s="9" t="s">
        <v>32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1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</row>
    <row r="28" spans="1:79" s="12" customFormat="1" ht="17.25" customHeight="1" x14ac:dyDescent="0.15">
      <c r="A28" s="18"/>
      <c r="B28" s="9"/>
      <c r="C28" s="9" t="s">
        <v>34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1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</row>
    <row r="29" spans="1:79" s="12" customFormat="1" ht="17.25" customHeight="1" x14ac:dyDescent="0.15">
      <c r="A29" s="18"/>
      <c r="B29" s="9"/>
      <c r="D29" s="9" t="s">
        <v>33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11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</row>
    <row r="30" spans="1:79" s="12" customFormat="1" ht="17.25" customHeight="1" x14ac:dyDescent="0.15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1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</row>
    <row r="31" spans="1:79" s="12" customFormat="1" ht="17.25" customHeight="1" x14ac:dyDescent="0.15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1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</row>
    <row r="32" spans="1:79" s="12" customFormat="1" ht="17.25" customHeight="1" x14ac:dyDescent="0.15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1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</row>
    <row r="33" spans="1:79" s="12" customFormat="1" ht="17.25" customHeight="1" x14ac:dyDescent="0.15">
      <c r="A33" s="18"/>
      <c r="B33" s="9"/>
      <c r="C33" s="9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1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</row>
    <row r="34" spans="1:79" s="12" customFormat="1" ht="17.25" customHeight="1" x14ac:dyDescent="0.15">
      <c r="A34" s="18"/>
      <c r="B34" s="9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9"/>
      <c r="O34" s="9"/>
      <c r="P34" s="9"/>
      <c r="Q34" s="9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9"/>
      <c r="AI34" s="9"/>
      <c r="AJ34" s="9"/>
      <c r="AK34" s="9"/>
      <c r="AL34" s="9"/>
      <c r="AM34" s="11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</row>
    <row r="35" spans="1:79" ht="17.25" customHeight="1" thickBot="1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9"/>
      <c r="O35" s="19"/>
      <c r="P35" s="19"/>
      <c r="Q35" s="1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ht="15" customHeight="1" x14ac:dyDescent="0.1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0"/>
      <c r="AB36" s="1"/>
      <c r="AC36" s="20"/>
      <c r="AD36" s="48" t="s">
        <v>19</v>
      </c>
      <c r="AE36" s="49"/>
      <c r="AF36" s="49"/>
      <c r="AG36" s="49"/>
      <c r="AH36" s="49"/>
      <c r="AI36" s="50" t="s">
        <v>20</v>
      </c>
      <c r="AJ36" s="50"/>
      <c r="AK36" s="50"/>
      <c r="AL36" s="50"/>
      <c r="AM36" s="5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ht="15" customHeight="1" x14ac:dyDescent="0.1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0"/>
      <c r="AA37" s="20"/>
      <c r="AB37" s="20"/>
      <c r="AC37" s="20"/>
      <c r="AD37" s="26"/>
      <c r="AE37" s="27"/>
      <c r="AF37" s="27"/>
      <c r="AG37" s="27"/>
      <c r="AH37" s="27"/>
      <c r="AI37" s="27"/>
      <c r="AJ37" s="27"/>
      <c r="AK37" s="27"/>
      <c r="AL37" s="27"/>
      <c r="AM37" s="30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ht="15" customHeight="1" x14ac:dyDescent="0.15">
      <c r="A38" s="3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P38" s="21"/>
      <c r="AD38" s="26"/>
      <c r="AE38" s="27"/>
      <c r="AF38" s="27"/>
      <c r="AG38" s="27"/>
      <c r="AH38" s="27"/>
      <c r="AI38" s="27"/>
      <c r="AJ38" s="27"/>
      <c r="AK38" s="27"/>
      <c r="AL38" s="27"/>
      <c r="AM38" s="30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ht="15" customHeight="1" x14ac:dyDescent="0.15">
      <c r="A39" s="3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P39" s="21"/>
      <c r="AD39" s="26"/>
      <c r="AE39" s="27"/>
      <c r="AF39" s="27"/>
      <c r="AG39" s="27"/>
      <c r="AH39" s="27"/>
      <c r="AI39" s="27"/>
      <c r="AJ39" s="27"/>
      <c r="AK39" s="27"/>
      <c r="AL39" s="27"/>
      <c r="AM39" s="30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ht="15" customHeight="1" x14ac:dyDescent="0.15">
      <c r="A40" s="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P40" s="21"/>
      <c r="AD40" s="26"/>
      <c r="AE40" s="27"/>
      <c r="AF40" s="27"/>
      <c r="AG40" s="27"/>
      <c r="AH40" s="27"/>
      <c r="AI40" s="27"/>
      <c r="AJ40" s="27"/>
      <c r="AK40" s="27"/>
      <c r="AL40" s="27"/>
      <c r="AM40" s="30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 ht="15" customHeight="1" x14ac:dyDescent="0.15">
      <c r="A41" s="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P41" s="21"/>
      <c r="AD41" s="26"/>
      <c r="AE41" s="27"/>
      <c r="AF41" s="27"/>
      <c r="AG41" s="27"/>
      <c r="AH41" s="27"/>
      <c r="AI41" s="27"/>
      <c r="AJ41" s="27"/>
      <c r="AK41" s="27"/>
      <c r="AL41" s="27"/>
      <c r="AM41" s="30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 ht="15" customHeight="1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2"/>
      <c r="AA42" s="22"/>
      <c r="AB42" s="22"/>
      <c r="AC42" s="22"/>
      <c r="AD42" s="28"/>
      <c r="AE42" s="29"/>
      <c r="AF42" s="29"/>
      <c r="AG42" s="29"/>
      <c r="AH42" s="29"/>
      <c r="AI42" s="29"/>
      <c r="AJ42" s="29"/>
      <c r="AK42" s="29"/>
      <c r="AL42" s="29"/>
      <c r="AM42" s="3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 ht="17.25" customHeight="1" thickBot="1" x14ac:dyDescent="0.2">
      <c r="A43" s="32" t="s">
        <v>21</v>
      </c>
      <c r="B43" s="33"/>
      <c r="C43" s="33"/>
      <c r="D43" s="33"/>
      <c r="E43" s="34" t="s">
        <v>22</v>
      </c>
      <c r="F43" s="33"/>
      <c r="G43" s="33"/>
      <c r="H43" s="33"/>
      <c r="I43" s="33"/>
      <c r="J43" s="35"/>
      <c r="K43" s="36" t="s">
        <v>23</v>
      </c>
      <c r="L43" s="33"/>
      <c r="M43" s="33"/>
      <c r="N43" s="33"/>
      <c r="O43" s="33"/>
      <c r="P43" s="34" t="s">
        <v>24</v>
      </c>
      <c r="Q43" s="33"/>
      <c r="R43" s="33"/>
      <c r="S43" s="33"/>
      <c r="T43" s="33"/>
      <c r="U43" s="35"/>
      <c r="V43" s="37"/>
      <c r="W43" s="38"/>
      <c r="X43" s="38"/>
      <c r="Y43" s="38"/>
      <c r="Z43" s="38"/>
      <c r="AA43" s="38"/>
      <c r="AB43" s="38"/>
      <c r="AC43" s="39"/>
      <c r="AD43" s="32" t="s">
        <v>25</v>
      </c>
      <c r="AE43" s="33"/>
      <c r="AF43" s="33"/>
      <c r="AG43" s="33"/>
      <c r="AH43" s="40"/>
      <c r="AI43" s="41">
        <v>41883</v>
      </c>
      <c r="AJ43" s="42"/>
      <c r="AK43" s="42"/>
      <c r="AL43" s="42"/>
      <c r="AM43" s="43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 ht="30.75" customHeight="1" thickBo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4"/>
      <c r="W44" s="24"/>
      <c r="X44" s="24"/>
      <c r="Y44" s="24"/>
      <c r="Z44" s="24"/>
      <c r="AA44" s="24"/>
      <c r="AB44" s="24"/>
      <c r="AC44" s="24"/>
      <c r="AD44" s="23"/>
      <c r="AE44" s="23"/>
      <c r="AF44" s="23"/>
      <c r="AG44" s="23"/>
      <c r="AH44" s="23"/>
      <c r="AI44" s="25"/>
      <c r="AJ44" s="25"/>
      <c r="AK44" s="25"/>
      <c r="AL44" s="25"/>
      <c r="AM44" s="25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 ht="27" customHeight="1" x14ac:dyDescent="0.15">
      <c r="A45" s="106" t="s">
        <v>31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8"/>
      <c r="AI45" s="117" t="s">
        <v>36</v>
      </c>
      <c r="AJ45" s="118"/>
      <c r="AK45" s="118"/>
      <c r="AL45" s="109" t="s">
        <v>0</v>
      </c>
      <c r="AM45" s="110"/>
      <c r="AN45" s="1"/>
      <c r="AO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 ht="19.5" customHeight="1" x14ac:dyDescent="0.15">
      <c r="A46" s="111" t="s">
        <v>1</v>
      </c>
      <c r="B46" s="112"/>
      <c r="C46" s="112"/>
      <c r="D46" s="112"/>
      <c r="E46" s="112"/>
      <c r="F46" s="112"/>
      <c r="G46" s="112"/>
      <c r="H46" s="113" t="s">
        <v>44</v>
      </c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4"/>
      <c r="U46" s="115" t="s">
        <v>2</v>
      </c>
      <c r="V46" s="115"/>
      <c r="W46" s="115"/>
      <c r="X46" s="115"/>
      <c r="Y46" s="115"/>
      <c r="Z46" s="115"/>
      <c r="AA46" s="115"/>
      <c r="AB46" s="116">
        <v>43043</v>
      </c>
      <c r="AC46" s="116"/>
      <c r="AD46" s="116"/>
      <c r="AE46" s="116"/>
      <c r="AF46" s="116"/>
      <c r="AG46" s="116"/>
      <c r="AH46" s="116"/>
      <c r="AI46" s="95"/>
      <c r="AJ46" s="95"/>
      <c r="AK46" s="95"/>
      <c r="AL46" s="95"/>
      <c r="AM46" s="96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 ht="19.5" customHeight="1" x14ac:dyDescent="0.15">
      <c r="A47" s="91" t="s">
        <v>3</v>
      </c>
      <c r="B47" s="92"/>
      <c r="C47" s="92"/>
      <c r="D47" s="92"/>
      <c r="E47" s="92"/>
      <c r="F47" s="92"/>
      <c r="G47" s="92"/>
      <c r="H47" s="93" t="s">
        <v>42</v>
      </c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4"/>
      <c r="U47" s="88" t="s">
        <v>4</v>
      </c>
      <c r="V47" s="88"/>
      <c r="W47" s="88"/>
      <c r="X47" s="88"/>
      <c r="Y47" s="88"/>
      <c r="Z47" s="88"/>
      <c r="AA47" s="88"/>
      <c r="AB47" s="95">
        <v>43434</v>
      </c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6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ht="19.5" customHeight="1" x14ac:dyDescent="0.15">
      <c r="A48" s="97" t="s">
        <v>5</v>
      </c>
      <c r="B48" s="98"/>
      <c r="C48" s="98"/>
      <c r="D48" s="98"/>
      <c r="E48" s="98"/>
      <c r="F48" s="98"/>
      <c r="G48" s="98"/>
      <c r="H48" s="92">
        <v>54800032</v>
      </c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9"/>
      <c r="U48" s="100" t="s">
        <v>6</v>
      </c>
      <c r="V48" s="101"/>
      <c r="W48" s="101"/>
      <c r="X48" s="101"/>
      <c r="Y48" s="101"/>
      <c r="Z48" s="101"/>
      <c r="AA48" s="102"/>
      <c r="AB48" s="103" t="s">
        <v>7</v>
      </c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5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 ht="14.25" thickBot="1" x14ac:dyDescent="0.2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/>
      <c r="AJ49" s="1"/>
      <c r="AK49" s="1"/>
      <c r="AL49" s="1"/>
      <c r="AM49" s="5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 ht="15" customHeight="1" x14ac:dyDescent="0.15">
      <c r="A50" s="3"/>
      <c r="B50" s="81" t="s">
        <v>8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3"/>
      <c r="AM50" s="5"/>
      <c r="BT50" s="1"/>
      <c r="BU50" s="1"/>
      <c r="BV50" s="1"/>
      <c r="BW50" s="1"/>
      <c r="BX50" s="1"/>
      <c r="BY50" s="1"/>
      <c r="BZ50" s="1"/>
      <c r="CA50" s="1"/>
    </row>
    <row r="51" spans="1:79" ht="15" customHeight="1" x14ac:dyDescent="0.15">
      <c r="A51" s="3"/>
      <c r="B51" s="84" t="s">
        <v>9</v>
      </c>
      <c r="C51" s="85"/>
      <c r="D51" s="85"/>
      <c r="E51" s="85"/>
      <c r="F51" s="85"/>
      <c r="G51" s="85"/>
      <c r="H51" s="85"/>
      <c r="I51" s="85"/>
      <c r="J51" s="85"/>
      <c r="K51" s="85" t="s">
        <v>1</v>
      </c>
      <c r="L51" s="85"/>
      <c r="M51" s="85"/>
      <c r="N51" s="85"/>
      <c r="O51" s="85"/>
      <c r="P51" s="85"/>
      <c r="Q51" s="85"/>
      <c r="R51" s="85"/>
      <c r="S51" s="85" t="s">
        <v>3</v>
      </c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6" t="s">
        <v>5</v>
      </c>
      <c r="AG51" s="86"/>
      <c r="AH51" s="86"/>
      <c r="AI51" s="86"/>
      <c r="AJ51" s="86"/>
      <c r="AK51" s="86"/>
      <c r="AL51" s="87"/>
      <c r="AM51" s="5"/>
      <c r="BT51" s="1"/>
      <c r="BU51" s="1"/>
      <c r="BV51" s="1"/>
      <c r="BW51" s="1"/>
      <c r="BX51" s="1"/>
      <c r="BY51" s="1"/>
      <c r="BZ51" s="1"/>
      <c r="CA51" s="1"/>
    </row>
    <row r="52" spans="1:79" ht="19.5" customHeight="1" x14ac:dyDescent="0.15">
      <c r="A52" s="3"/>
      <c r="B52" s="84" t="s">
        <v>10</v>
      </c>
      <c r="C52" s="85"/>
      <c r="D52" s="85"/>
      <c r="E52" s="85"/>
      <c r="F52" s="85"/>
      <c r="G52" s="85"/>
      <c r="H52" s="85"/>
      <c r="I52" s="85"/>
      <c r="J52" s="85"/>
      <c r="K52" s="88" t="s">
        <v>48</v>
      </c>
      <c r="L52" s="88"/>
      <c r="M52" s="88"/>
      <c r="N52" s="88"/>
      <c r="O52" s="88"/>
      <c r="P52" s="88"/>
      <c r="Q52" s="88"/>
      <c r="R52" s="88"/>
      <c r="S52" s="88" t="s">
        <v>41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9">
        <v>130810059</v>
      </c>
      <c r="AG52" s="89"/>
      <c r="AH52" s="89"/>
      <c r="AI52" s="89"/>
      <c r="AJ52" s="89"/>
      <c r="AK52" s="89"/>
      <c r="AL52" s="90"/>
      <c r="AM52" s="5"/>
      <c r="BT52" s="1"/>
      <c r="BU52" s="1"/>
      <c r="BV52" s="1"/>
      <c r="BW52" s="1"/>
      <c r="BX52" s="1"/>
      <c r="BY52" s="1"/>
      <c r="BZ52" s="1"/>
      <c r="CA52" s="1"/>
    </row>
    <row r="53" spans="1:79" ht="19.5" customHeight="1" thickBot="1" x14ac:dyDescent="0.2">
      <c r="A53" s="3"/>
      <c r="B53" s="64" t="s">
        <v>11</v>
      </c>
      <c r="C53" s="65"/>
      <c r="D53" s="65"/>
      <c r="E53" s="65"/>
      <c r="F53" s="65"/>
      <c r="G53" s="65"/>
      <c r="H53" s="65"/>
      <c r="I53" s="65"/>
      <c r="J53" s="65"/>
      <c r="K53" s="66" t="s">
        <v>49</v>
      </c>
      <c r="L53" s="66"/>
      <c r="M53" s="66"/>
      <c r="N53" s="66"/>
      <c r="O53" s="66"/>
      <c r="P53" s="66"/>
      <c r="Q53" s="66"/>
      <c r="R53" s="66"/>
      <c r="S53" s="66" t="s">
        <v>43</v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7">
        <v>103766</v>
      </c>
      <c r="AG53" s="67"/>
      <c r="AH53" s="67"/>
      <c r="AI53" s="67"/>
      <c r="AJ53" s="67"/>
      <c r="AK53" s="67"/>
      <c r="AL53" s="68"/>
      <c r="AM53" s="5"/>
      <c r="BT53" s="1"/>
      <c r="BU53" s="1"/>
      <c r="BV53" s="1"/>
      <c r="BW53" s="1"/>
      <c r="BX53" s="1"/>
      <c r="BY53" s="1"/>
      <c r="BZ53" s="1"/>
      <c r="CA53" s="1"/>
    </row>
    <row r="54" spans="1:79" ht="19.5" customHeight="1" x14ac:dyDescent="0.15">
      <c r="A54" s="3"/>
      <c r="B54" s="6"/>
      <c r="C54" s="6"/>
      <c r="D54" s="6"/>
      <c r="E54" s="6"/>
      <c r="F54" s="6"/>
      <c r="G54" s="6"/>
      <c r="H54" s="6"/>
      <c r="I54" s="6"/>
      <c r="J54" s="6"/>
      <c r="K54" s="6" t="s">
        <v>50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7"/>
      <c r="AG54" s="7"/>
      <c r="AH54" s="7"/>
      <c r="AI54" s="7"/>
      <c r="AJ54" s="7"/>
      <c r="AK54" s="7"/>
      <c r="AL54" s="7"/>
      <c r="AM54" s="5"/>
      <c r="BT54" s="1"/>
      <c r="BU54" s="1"/>
      <c r="BV54" s="1"/>
      <c r="BW54" s="1"/>
      <c r="BX54" s="1"/>
      <c r="BY54" s="1"/>
      <c r="BZ54" s="1"/>
      <c r="CA54" s="1"/>
    </row>
    <row r="55" spans="1:79" s="12" customFormat="1" ht="17.25" customHeight="1" x14ac:dyDescent="0.15">
      <c r="A55" s="8"/>
      <c r="B55" s="9" t="s">
        <v>26</v>
      </c>
      <c r="C55" s="10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1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</row>
    <row r="56" spans="1:79" s="12" customFormat="1" ht="17.25" customHeight="1" x14ac:dyDescent="0.15">
      <c r="A56" s="13"/>
      <c r="B56" s="9"/>
      <c r="C56" s="9"/>
      <c r="D56" s="9"/>
      <c r="E56" s="9"/>
      <c r="F56" s="9"/>
      <c r="G56" s="9"/>
      <c r="H56" s="9"/>
      <c r="I56" s="9"/>
      <c r="J56" s="1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1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79" s="12" customFormat="1" ht="17.25" customHeight="1" x14ac:dyDescent="0.15">
      <c r="A57" s="13"/>
      <c r="E57" s="69" t="s">
        <v>12</v>
      </c>
      <c r="F57" s="70"/>
      <c r="G57" s="70"/>
      <c r="H57" s="70"/>
      <c r="I57" s="70"/>
      <c r="J57" s="70"/>
      <c r="K57" s="70"/>
      <c r="L57" s="70"/>
      <c r="M57" s="70"/>
      <c r="N57" s="71"/>
      <c r="O57" s="78" t="s">
        <v>37</v>
      </c>
      <c r="P57" s="79"/>
      <c r="Q57" s="79"/>
      <c r="R57" s="79"/>
      <c r="S57" s="79"/>
      <c r="T57" s="80"/>
      <c r="U57" s="78" t="s">
        <v>38</v>
      </c>
      <c r="V57" s="79"/>
      <c r="W57" s="79"/>
      <c r="X57" s="79"/>
      <c r="Y57" s="79"/>
      <c r="Z57" s="80"/>
      <c r="AA57" s="78" t="s">
        <v>39</v>
      </c>
      <c r="AB57" s="79"/>
      <c r="AC57" s="79"/>
      <c r="AD57" s="79"/>
      <c r="AE57" s="79"/>
      <c r="AF57" s="80"/>
      <c r="AG57" s="78" t="s">
        <v>40</v>
      </c>
      <c r="AH57" s="79"/>
      <c r="AI57" s="79"/>
      <c r="AJ57" s="79"/>
      <c r="AK57" s="79"/>
      <c r="AL57" s="80"/>
      <c r="AM57" s="15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79" s="12" customFormat="1" ht="17.25" customHeight="1" x14ac:dyDescent="0.15">
      <c r="A58" s="13"/>
      <c r="E58" s="72"/>
      <c r="F58" s="73"/>
      <c r="G58" s="73"/>
      <c r="H58" s="73"/>
      <c r="I58" s="73"/>
      <c r="J58" s="73"/>
      <c r="K58" s="73"/>
      <c r="L58" s="73"/>
      <c r="M58" s="73"/>
      <c r="N58" s="74"/>
      <c r="O58" s="44"/>
      <c r="P58" s="45"/>
      <c r="Q58" s="45"/>
      <c r="R58" s="45"/>
      <c r="S58" s="45"/>
      <c r="T58" s="46"/>
      <c r="U58" s="44"/>
      <c r="V58" s="45"/>
      <c r="W58" s="45"/>
      <c r="X58" s="45"/>
      <c r="Y58" s="45"/>
      <c r="Z58" s="46"/>
      <c r="AA58" s="44"/>
      <c r="AB58" s="45"/>
      <c r="AC58" s="45"/>
      <c r="AD58" s="45"/>
      <c r="AE58" s="45"/>
      <c r="AF58" s="46"/>
      <c r="AG58" s="44"/>
      <c r="AH58" s="45"/>
      <c r="AI58" s="45"/>
      <c r="AJ58" s="45"/>
      <c r="AK58" s="45"/>
      <c r="AL58" s="46"/>
      <c r="AM58" s="15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79" s="12" customFormat="1" ht="28.5" customHeight="1" x14ac:dyDescent="0.15">
      <c r="A59" s="13"/>
      <c r="E59" s="75"/>
      <c r="F59" s="76"/>
      <c r="G59" s="76"/>
      <c r="H59" s="76"/>
      <c r="I59" s="76"/>
      <c r="J59" s="76"/>
      <c r="K59" s="76"/>
      <c r="L59" s="76"/>
      <c r="M59" s="76"/>
      <c r="N59" s="77"/>
      <c r="O59" s="56" t="s">
        <v>17</v>
      </c>
      <c r="P59" s="63"/>
      <c r="Q59" s="56" t="s">
        <v>18</v>
      </c>
      <c r="R59" s="63"/>
      <c r="S59" s="56" t="s">
        <v>27</v>
      </c>
      <c r="T59" s="63"/>
      <c r="U59" s="56" t="s">
        <v>17</v>
      </c>
      <c r="V59" s="63"/>
      <c r="W59" s="56" t="s">
        <v>18</v>
      </c>
      <c r="X59" s="63"/>
      <c r="Y59" s="56" t="s">
        <v>27</v>
      </c>
      <c r="Z59" s="63"/>
      <c r="AA59" s="56" t="s">
        <v>17</v>
      </c>
      <c r="AB59" s="63"/>
      <c r="AC59" s="56" t="s">
        <v>18</v>
      </c>
      <c r="AD59" s="63"/>
      <c r="AE59" s="56" t="s">
        <v>27</v>
      </c>
      <c r="AF59" s="63"/>
      <c r="AG59" s="56" t="s">
        <v>17</v>
      </c>
      <c r="AH59" s="63"/>
      <c r="AI59" s="56" t="s">
        <v>18</v>
      </c>
      <c r="AJ59" s="63"/>
      <c r="AK59" s="56" t="s">
        <v>27</v>
      </c>
      <c r="AL59" s="63"/>
      <c r="AM59" s="16"/>
      <c r="AN59" s="10"/>
      <c r="AO59" s="10"/>
      <c r="AP59" s="10"/>
      <c r="AQ59" s="10"/>
      <c r="AR59" s="10"/>
      <c r="AS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79" s="12" customFormat="1" ht="23.25" customHeight="1" x14ac:dyDescent="0.15">
      <c r="A60" s="13"/>
      <c r="B60" s="10"/>
      <c r="C60" s="9"/>
      <c r="D60" s="9"/>
      <c r="E60" s="58">
        <v>0</v>
      </c>
      <c r="F60" s="59"/>
      <c r="G60" s="59"/>
      <c r="H60" s="59"/>
      <c r="I60" s="59"/>
      <c r="J60" s="59"/>
      <c r="K60" s="59"/>
      <c r="L60" s="59"/>
      <c r="M60" s="59"/>
      <c r="N60" s="60"/>
      <c r="O60" s="56">
        <v>500</v>
      </c>
      <c r="P60" s="57"/>
      <c r="Q60" s="52">
        <v>525</v>
      </c>
      <c r="R60" s="53"/>
      <c r="S60" s="62">
        <f>Q60-O60</f>
        <v>25</v>
      </c>
      <c r="T60" s="63"/>
      <c r="U60" s="56">
        <v>600</v>
      </c>
      <c r="V60" s="57"/>
      <c r="W60" s="52">
        <v>630</v>
      </c>
      <c r="X60" s="53"/>
      <c r="Y60" s="62">
        <f>W60-U60</f>
        <v>30</v>
      </c>
      <c r="Z60" s="63"/>
      <c r="AA60" s="56">
        <v>700</v>
      </c>
      <c r="AB60" s="57"/>
      <c r="AC60" s="52">
        <v>730</v>
      </c>
      <c r="AD60" s="53"/>
      <c r="AE60" s="62">
        <f>AC60-AA60</f>
        <v>30</v>
      </c>
      <c r="AF60" s="63"/>
      <c r="AG60" s="56">
        <v>800</v>
      </c>
      <c r="AH60" s="57"/>
      <c r="AI60" s="52">
        <v>828</v>
      </c>
      <c r="AJ60" s="53"/>
      <c r="AK60" s="62">
        <f>AI60-AG60</f>
        <v>28</v>
      </c>
      <c r="AL60" s="63"/>
      <c r="AM60" s="16"/>
      <c r="AN60" s="10"/>
      <c r="AO60" s="10"/>
      <c r="AP60" s="10"/>
      <c r="AQ60" s="10"/>
      <c r="AR60" s="10"/>
      <c r="AS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79" s="12" customFormat="1" ht="23.25" customHeight="1" x14ac:dyDescent="0.15">
      <c r="A61" s="13"/>
      <c r="B61" s="10"/>
      <c r="C61" s="9"/>
      <c r="D61" s="9"/>
      <c r="E61" s="58">
        <v>5</v>
      </c>
      <c r="F61" s="59"/>
      <c r="G61" s="59"/>
      <c r="H61" s="59"/>
      <c r="I61" s="59"/>
      <c r="J61" s="59"/>
      <c r="K61" s="59"/>
      <c r="L61" s="59"/>
      <c r="M61" s="59"/>
      <c r="N61" s="60"/>
      <c r="O61" s="56">
        <v>500</v>
      </c>
      <c r="P61" s="57"/>
      <c r="Q61" s="52">
        <v>525</v>
      </c>
      <c r="R61" s="53"/>
      <c r="S61" s="62">
        <f t="shared" ref="S61:S66" si="11">Q61-O61</f>
        <v>25</v>
      </c>
      <c r="T61" s="63"/>
      <c r="U61" s="56">
        <v>600</v>
      </c>
      <c r="V61" s="57"/>
      <c r="W61" s="52">
        <v>630</v>
      </c>
      <c r="X61" s="53"/>
      <c r="Y61" s="62">
        <f t="shared" ref="Y61:Y66" si="12">W61-U61</f>
        <v>30</v>
      </c>
      <c r="Z61" s="63"/>
      <c r="AA61" s="56">
        <v>700</v>
      </c>
      <c r="AB61" s="57"/>
      <c r="AC61" s="52">
        <v>730</v>
      </c>
      <c r="AD61" s="53"/>
      <c r="AE61" s="62">
        <f t="shared" ref="AE61:AE66" si="13">AC61-AA61</f>
        <v>30</v>
      </c>
      <c r="AF61" s="63"/>
      <c r="AG61" s="56">
        <v>800</v>
      </c>
      <c r="AH61" s="57"/>
      <c r="AI61" s="52">
        <v>828</v>
      </c>
      <c r="AJ61" s="53"/>
      <c r="AK61" s="62">
        <f t="shared" ref="AK61:AK66" si="14">AI61-AG61</f>
        <v>28</v>
      </c>
      <c r="AL61" s="63"/>
      <c r="AM61" s="17"/>
      <c r="AN61" s="10"/>
      <c r="AO61" s="10"/>
      <c r="AP61" s="10"/>
      <c r="AQ61" s="10"/>
      <c r="AR61" s="10"/>
      <c r="AS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</row>
    <row r="62" spans="1:79" s="12" customFormat="1" ht="23.25" customHeight="1" x14ac:dyDescent="0.15">
      <c r="A62" s="13"/>
      <c r="B62" s="10"/>
      <c r="C62" s="9"/>
      <c r="D62" s="9"/>
      <c r="E62" s="58">
        <v>10</v>
      </c>
      <c r="F62" s="59"/>
      <c r="G62" s="59"/>
      <c r="H62" s="59"/>
      <c r="I62" s="59"/>
      <c r="J62" s="59"/>
      <c r="K62" s="59"/>
      <c r="L62" s="59"/>
      <c r="M62" s="59"/>
      <c r="N62" s="60"/>
      <c r="O62" s="56">
        <v>500</v>
      </c>
      <c r="P62" s="57"/>
      <c r="Q62" s="52">
        <v>525</v>
      </c>
      <c r="R62" s="53"/>
      <c r="S62" s="62">
        <f t="shared" si="11"/>
        <v>25</v>
      </c>
      <c r="T62" s="63"/>
      <c r="U62" s="56">
        <v>600</v>
      </c>
      <c r="V62" s="57"/>
      <c r="W62" s="52">
        <v>629</v>
      </c>
      <c r="X62" s="53"/>
      <c r="Y62" s="62">
        <f t="shared" si="12"/>
        <v>29</v>
      </c>
      <c r="Z62" s="63"/>
      <c r="AA62" s="56">
        <v>700</v>
      </c>
      <c r="AB62" s="57"/>
      <c r="AC62" s="52">
        <v>730</v>
      </c>
      <c r="AD62" s="53"/>
      <c r="AE62" s="62">
        <f t="shared" si="13"/>
        <v>30</v>
      </c>
      <c r="AF62" s="63"/>
      <c r="AG62" s="52">
        <v>800</v>
      </c>
      <c r="AH62" s="53"/>
      <c r="AI62" s="52">
        <v>828</v>
      </c>
      <c r="AJ62" s="53"/>
      <c r="AK62" s="62">
        <f t="shared" si="14"/>
        <v>28</v>
      </c>
      <c r="AL62" s="63"/>
      <c r="AM62" s="17"/>
      <c r="AN62" s="10"/>
      <c r="AO62" s="10"/>
      <c r="AP62" s="10"/>
      <c r="AQ62" s="10"/>
      <c r="AR62" s="10"/>
      <c r="AS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</row>
    <row r="63" spans="1:79" s="12" customFormat="1" ht="23.25" customHeight="1" x14ac:dyDescent="0.15">
      <c r="A63" s="13"/>
      <c r="B63" s="10"/>
      <c r="C63" s="9"/>
      <c r="D63" s="9"/>
      <c r="E63" s="58">
        <v>15</v>
      </c>
      <c r="F63" s="59"/>
      <c r="G63" s="59"/>
      <c r="H63" s="59"/>
      <c r="I63" s="59"/>
      <c r="J63" s="59"/>
      <c r="K63" s="59"/>
      <c r="L63" s="59"/>
      <c r="M63" s="59"/>
      <c r="N63" s="60"/>
      <c r="O63" s="56">
        <v>500</v>
      </c>
      <c r="P63" s="57"/>
      <c r="Q63" s="52">
        <v>525</v>
      </c>
      <c r="R63" s="53"/>
      <c r="S63" s="62">
        <f t="shared" si="11"/>
        <v>25</v>
      </c>
      <c r="T63" s="63"/>
      <c r="U63" s="56">
        <v>600</v>
      </c>
      <c r="V63" s="57"/>
      <c r="W63" s="52">
        <v>629</v>
      </c>
      <c r="X63" s="53"/>
      <c r="Y63" s="62">
        <f t="shared" si="12"/>
        <v>29</v>
      </c>
      <c r="Z63" s="63"/>
      <c r="AA63" s="56">
        <v>700</v>
      </c>
      <c r="AB63" s="57"/>
      <c r="AC63" s="52">
        <v>730</v>
      </c>
      <c r="AD63" s="53"/>
      <c r="AE63" s="62">
        <f t="shared" si="13"/>
        <v>30</v>
      </c>
      <c r="AF63" s="63"/>
      <c r="AG63" s="52">
        <v>800</v>
      </c>
      <c r="AH63" s="53"/>
      <c r="AI63" s="52">
        <v>828</v>
      </c>
      <c r="AJ63" s="53"/>
      <c r="AK63" s="62">
        <f t="shared" si="14"/>
        <v>28</v>
      </c>
      <c r="AL63" s="63"/>
      <c r="AM63" s="11"/>
      <c r="AN63" s="10"/>
      <c r="AO63" s="10"/>
      <c r="AP63" s="10"/>
      <c r="AQ63" s="1"/>
      <c r="AR63" s="10"/>
      <c r="AS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</row>
    <row r="64" spans="1:79" s="12" customFormat="1" ht="23.25" customHeight="1" x14ac:dyDescent="0.15">
      <c r="A64" s="13"/>
      <c r="B64" s="10"/>
      <c r="C64" s="9"/>
      <c r="D64" s="9"/>
      <c r="E64" s="58">
        <v>20</v>
      </c>
      <c r="F64" s="59"/>
      <c r="G64" s="59"/>
      <c r="H64" s="59"/>
      <c r="I64" s="59"/>
      <c r="J64" s="59"/>
      <c r="K64" s="59"/>
      <c r="L64" s="59"/>
      <c r="M64" s="59"/>
      <c r="N64" s="60"/>
      <c r="O64" s="56">
        <v>500</v>
      </c>
      <c r="P64" s="57"/>
      <c r="Q64" s="52">
        <v>525</v>
      </c>
      <c r="R64" s="53"/>
      <c r="S64" s="62">
        <f t="shared" si="11"/>
        <v>25</v>
      </c>
      <c r="T64" s="63"/>
      <c r="U64" s="56">
        <v>600</v>
      </c>
      <c r="V64" s="57"/>
      <c r="W64" s="52">
        <v>629</v>
      </c>
      <c r="X64" s="53"/>
      <c r="Y64" s="62">
        <f t="shared" si="12"/>
        <v>29</v>
      </c>
      <c r="Z64" s="63"/>
      <c r="AA64" s="56">
        <v>700</v>
      </c>
      <c r="AB64" s="57"/>
      <c r="AC64" s="52">
        <v>730</v>
      </c>
      <c r="AD64" s="53"/>
      <c r="AE64" s="62">
        <f t="shared" si="13"/>
        <v>30</v>
      </c>
      <c r="AF64" s="63"/>
      <c r="AG64" s="52">
        <v>800</v>
      </c>
      <c r="AH64" s="53"/>
      <c r="AI64" s="52">
        <v>828</v>
      </c>
      <c r="AJ64" s="53"/>
      <c r="AK64" s="62">
        <f t="shared" si="14"/>
        <v>28</v>
      </c>
      <c r="AL64" s="63"/>
      <c r="AM64" s="11"/>
      <c r="AN64" s="10"/>
      <c r="AO64" s="10"/>
      <c r="AP64" s="10"/>
      <c r="AQ64" s="10"/>
      <c r="AR64" s="10"/>
      <c r="AS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</row>
    <row r="65" spans="1:79" s="12" customFormat="1" ht="23.25" customHeight="1" x14ac:dyDescent="0.15">
      <c r="A65" s="13"/>
      <c r="B65" s="10"/>
      <c r="C65" s="9"/>
      <c r="D65" s="9"/>
      <c r="E65" s="58">
        <v>25</v>
      </c>
      <c r="F65" s="59"/>
      <c r="G65" s="59"/>
      <c r="H65" s="59"/>
      <c r="I65" s="59"/>
      <c r="J65" s="59"/>
      <c r="K65" s="59"/>
      <c r="L65" s="59"/>
      <c r="M65" s="59"/>
      <c r="N65" s="60"/>
      <c r="O65" s="56">
        <v>500</v>
      </c>
      <c r="P65" s="57"/>
      <c r="Q65" s="52">
        <v>525</v>
      </c>
      <c r="R65" s="53"/>
      <c r="S65" s="62">
        <f t="shared" si="11"/>
        <v>25</v>
      </c>
      <c r="T65" s="63"/>
      <c r="U65" s="56">
        <v>600</v>
      </c>
      <c r="V65" s="57"/>
      <c r="W65" s="52">
        <v>629</v>
      </c>
      <c r="X65" s="53"/>
      <c r="Y65" s="62">
        <f t="shared" si="12"/>
        <v>29</v>
      </c>
      <c r="Z65" s="63"/>
      <c r="AA65" s="56">
        <v>700</v>
      </c>
      <c r="AB65" s="57"/>
      <c r="AC65" s="52">
        <v>730</v>
      </c>
      <c r="AD65" s="53"/>
      <c r="AE65" s="62">
        <f t="shared" si="13"/>
        <v>30</v>
      </c>
      <c r="AF65" s="63"/>
      <c r="AG65" s="52">
        <v>800</v>
      </c>
      <c r="AH65" s="53"/>
      <c r="AI65" s="52">
        <v>828</v>
      </c>
      <c r="AJ65" s="53"/>
      <c r="AK65" s="62">
        <f t="shared" si="14"/>
        <v>28</v>
      </c>
      <c r="AL65" s="63"/>
      <c r="AM65" s="11"/>
      <c r="AN65" s="10"/>
      <c r="AO65" s="10"/>
      <c r="AP65" s="10"/>
      <c r="AQ65" s="10"/>
      <c r="AR65" s="10"/>
      <c r="AS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</row>
    <row r="66" spans="1:79" s="12" customFormat="1" ht="24" customHeight="1" x14ac:dyDescent="0.15">
      <c r="A66" s="13"/>
      <c r="B66" s="9"/>
      <c r="C66" s="9"/>
      <c r="D66" s="9"/>
      <c r="E66" s="58">
        <v>30</v>
      </c>
      <c r="F66" s="59"/>
      <c r="G66" s="59"/>
      <c r="H66" s="59"/>
      <c r="I66" s="59"/>
      <c r="J66" s="59"/>
      <c r="K66" s="59"/>
      <c r="L66" s="59"/>
      <c r="M66" s="59"/>
      <c r="N66" s="60"/>
      <c r="O66" s="56">
        <v>500</v>
      </c>
      <c r="P66" s="57"/>
      <c r="Q66" s="52">
        <v>525</v>
      </c>
      <c r="R66" s="53"/>
      <c r="S66" s="62">
        <f t="shared" si="11"/>
        <v>25</v>
      </c>
      <c r="T66" s="63"/>
      <c r="U66" s="56">
        <v>600</v>
      </c>
      <c r="V66" s="57"/>
      <c r="W66" s="52">
        <v>629</v>
      </c>
      <c r="X66" s="53"/>
      <c r="Y66" s="62">
        <f t="shared" si="12"/>
        <v>29</v>
      </c>
      <c r="Z66" s="63"/>
      <c r="AA66" s="56">
        <v>700</v>
      </c>
      <c r="AB66" s="57"/>
      <c r="AC66" s="52">
        <v>730</v>
      </c>
      <c r="AD66" s="53"/>
      <c r="AE66" s="62">
        <f t="shared" si="13"/>
        <v>30</v>
      </c>
      <c r="AF66" s="63"/>
      <c r="AG66" s="52">
        <v>800</v>
      </c>
      <c r="AH66" s="53"/>
      <c r="AI66" s="52">
        <v>828</v>
      </c>
      <c r="AJ66" s="53"/>
      <c r="AK66" s="62">
        <f t="shared" si="14"/>
        <v>28</v>
      </c>
      <c r="AL66" s="63"/>
      <c r="AM66" s="11"/>
      <c r="AN66" s="10"/>
      <c r="AO66" s="10"/>
      <c r="AP66" s="10"/>
      <c r="AQ66" s="10"/>
      <c r="AR66" s="10"/>
      <c r="AS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</row>
    <row r="67" spans="1:79" s="12" customFormat="1" ht="24" customHeight="1" x14ac:dyDescent="0.15">
      <c r="A67" s="18"/>
      <c r="B67" s="9"/>
      <c r="C67" s="9"/>
      <c r="D67" s="9"/>
      <c r="E67" s="58" t="s">
        <v>28</v>
      </c>
      <c r="F67" s="59"/>
      <c r="G67" s="59"/>
      <c r="H67" s="59"/>
      <c r="I67" s="59"/>
      <c r="J67" s="59"/>
      <c r="K67" s="59"/>
      <c r="L67" s="59"/>
      <c r="M67" s="59"/>
      <c r="N67" s="60"/>
      <c r="O67" s="56">
        <f t="shared" ref="O67" si="15">ROUND(AVERAGE(O60:P66),0)</f>
        <v>500</v>
      </c>
      <c r="P67" s="57"/>
      <c r="Q67" s="52">
        <f t="shared" ref="Q67" si="16">ROUND(AVERAGE(Q60:R66),0)</f>
        <v>525</v>
      </c>
      <c r="R67" s="53"/>
      <c r="S67" s="54">
        <f>ROUND(AVERAGE(S60:T66),0)</f>
        <v>25</v>
      </c>
      <c r="T67" s="55"/>
      <c r="U67" s="56">
        <f t="shared" ref="U67:AG67" si="17">ROUND(AVERAGE(U60:V66),0)</f>
        <v>600</v>
      </c>
      <c r="V67" s="57"/>
      <c r="W67" s="52">
        <f t="shared" ref="W67:AI67" si="18">ROUND(AVERAGE(W60:X66),0)</f>
        <v>629</v>
      </c>
      <c r="X67" s="53"/>
      <c r="Y67" s="54">
        <f t="shared" ref="Y67" si="19">ROUND(AVERAGE(Y60:Z66),0)</f>
        <v>29</v>
      </c>
      <c r="Z67" s="55"/>
      <c r="AA67" s="56">
        <f t="shared" si="17"/>
        <v>700</v>
      </c>
      <c r="AB67" s="57"/>
      <c r="AC67" s="52">
        <f>ROUND(AVERAGE(AC60:AD66),0)</f>
        <v>730</v>
      </c>
      <c r="AD67" s="53"/>
      <c r="AE67" s="54">
        <f t="shared" ref="AE67" si="20">ROUND(AVERAGE(AE60:AF66),0)</f>
        <v>30</v>
      </c>
      <c r="AF67" s="55"/>
      <c r="AG67" s="56">
        <f t="shared" si="17"/>
        <v>800</v>
      </c>
      <c r="AH67" s="57"/>
      <c r="AI67" s="52">
        <f t="shared" si="18"/>
        <v>828</v>
      </c>
      <c r="AJ67" s="53"/>
      <c r="AK67" s="54">
        <f t="shared" ref="AK67" si="21">ROUND(AVERAGE(AK60:AL66),0)</f>
        <v>28</v>
      </c>
      <c r="AL67" s="55"/>
      <c r="AM67" s="11"/>
      <c r="AN67" s="10"/>
      <c r="AO67" s="10"/>
      <c r="AP67" s="10"/>
      <c r="AQ67" s="10"/>
      <c r="AR67" s="10"/>
      <c r="AS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</row>
    <row r="68" spans="1:79" s="12" customFormat="1" ht="24" customHeight="1" x14ac:dyDescent="0.15">
      <c r="A68" s="18"/>
      <c r="B68" s="9"/>
      <c r="C68" s="9"/>
      <c r="D68" s="9"/>
      <c r="E68" s="58" t="s">
        <v>29</v>
      </c>
      <c r="F68" s="59"/>
      <c r="G68" s="59"/>
      <c r="H68" s="59"/>
      <c r="I68" s="59"/>
      <c r="J68" s="59"/>
      <c r="K68" s="59"/>
      <c r="L68" s="59"/>
      <c r="M68" s="59"/>
      <c r="N68" s="60"/>
      <c r="O68" s="61">
        <f>500-S67</f>
        <v>475</v>
      </c>
      <c r="P68" s="47"/>
      <c r="Q68" s="47"/>
      <c r="R68" s="47"/>
      <c r="S68" s="47"/>
      <c r="T68" s="47"/>
      <c r="U68" s="61">
        <f>600-Y67</f>
        <v>571</v>
      </c>
      <c r="V68" s="47"/>
      <c r="W68" s="47"/>
      <c r="X68" s="47"/>
      <c r="Y68" s="47"/>
      <c r="Z68" s="47"/>
      <c r="AA68" s="61">
        <f>700-AE67</f>
        <v>670</v>
      </c>
      <c r="AB68" s="47"/>
      <c r="AC68" s="47"/>
      <c r="AD68" s="47"/>
      <c r="AE68" s="47"/>
      <c r="AF68" s="47"/>
      <c r="AG68" s="61">
        <f>800-AK67</f>
        <v>772</v>
      </c>
      <c r="AH68" s="47"/>
      <c r="AI68" s="47"/>
      <c r="AJ68" s="47"/>
      <c r="AK68" s="47"/>
      <c r="AL68" s="47"/>
      <c r="AM68" s="11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</row>
    <row r="69" spans="1:79" s="12" customFormat="1" ht="24" customHeight="1" x14ac:dyDescent="0.15">
      <c r="A69" s="18"/>
      <c r="B69" s="9"/>
      <c r="C69" s="9"/>
      <c r="D69" s="9"/>
      <c r="E69" s="44" t="s">
        <v>30</v>
      </c>
      <c r="F69" s="45"/>
      <c r="G69" s="45"/>
      <c r="H69" s="45"/>
      <c r="I69" s="45"/>
      <c r="J69" s="45"/>
      <c r="K69" s="45"/>
      <c r="L69" s="45"/>
      <c r="M69" s="45"/>
      <c r="N69" s="46"/>
      <c r="O69" s="47">
        <v>497</v>
      </c>
      <c r="P69" s="47"/>
      <c r="Q69" s="47"/>
      <c r="R69" s="47"/>
      <c r="S69" s="47"/>
      <c r="T69" s="47"/>
      <c r="U69" s="47">
        <v>597</v>
      </c>
      <c r="V69" s="47"/>
      <c r="W69" s="47"/>
      <c r="X69" s="47"/>
      <c r="Y69" s="47"/>
      <c r="Z69" s="47"/>
      <c r="AA69" s="47">
        <v>696</v>
      </c>
      <c r="AB69" s="47"/>
      <c r="AC69" s="47"/>
      <c r="AD69" s="47"/>
      <c r="AE69" s="47"/>
      <c r="AF69" s="47"/>
      <c r="AG69" s="47">
        <v>800</v>
      </c>
      <c r="AH69" s="47"/>
      <c r="AI69" s="47"/>
      <c r="AJ69" s="47"/>
      <c r="AK69" s="47"/>
      <c r="AL69" s="47"/>
      <c r="AM69" s="11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</row>
    <row r="70" spans="1:79" s="12" customFormat="1" ht="17.25" customHeight="1" x14ac:dyDescent="0.15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11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</row>
    <row r="71" spans="1:79" s="12" customFormat="1" ht="17.25" customHeight="1" x14ac:dyDescent="0.15">
      <c r="A71" s="18"/>
      <c r="B71" s="9" t="s">
        <v>32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11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</row>
    <row r="72" spans="1:79" s="12" customFormat="1" ht="17.25" customHeight="1" x14ac:dyDescent="0.15">
      <c r="A72" s="18"/>
      <c r="B72" s="9"/>
      <c r="C72" s="9" t="s">
        <v>34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11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</row>
    <row r="73" spans="1:79" s="12" customFormat="1" ht="17.25" customHeight="1" x14ac:dyDescent="0.15">
      <c r="A73" s="18"/>
      <c r="B73" s="9"/>
      <c r="D73" s="9" t="s">
        <v>33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11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</row>
    <row r="74" spans="1:79" s="12" customFormat="1" ht="17.25" customHeight="1" x14ac:dyDescent="0.15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11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</row>
    <row r="75" spans="1:79" s="12" customFormat="1" ht="17.25" customHeight="1" x14ac:dyDescent="0.15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1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</row>
    <row r="76" spans="1:79" s="12" customFormat="1" ht="17.25" customHeight="1" x14ac:dyDescent="0.15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1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</row>
    <row r="77" spans="1:79" s="12" customFormat="1" ht="17.25" customHeight="1" x14ac:dyDescent="0.15">
      <c r="A77" s="18"/>
      <c r="B77" s="9"/>
      <c r="C77" s="9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1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</row>
    <row r="78" spans="1:79" s="12" customFormat="1" ht="17.25" customHeight="1" x14ac:dyDescent="0.15">
      <c r="A78" s="18"/>
      <c r="B78" s="9"/>
      <c r="C78" s="9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9"/>
      <c r="O78" s="9"/>
      <c r="P78" s="9"/>
      <c r="Q78" s="9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9"/>
      <c r="AI78" s="9"/>
      <c r="AJ78" s="9"/>
      <c r="AK78" s="9"/>
      <c r="AL78" s="9"/>
      <c r="AM78" s="11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</row>
    <row r="79" spans="1:79" ht="17.25" customHeight="1" thickBot="1" x14ac:dyDescent="0.2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9"/>
      <c r="O79" s="19"/>
      <c r="P79" s="19"/>
      <c r="Q79" s="19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5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 ht="15" customHeight="1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0"/>
      <c r="AB80" s="1"/>
      <c r="AC80" s="20"/>
      <c r="AD80" s="48" t="s">
        <v>19</v>
      </c>
      <c r="AE80" s="49"/>
      <c r="AF80" s="49"/>
      <c r="AG80" s="49"/>
      <c r="AH80" s="49"/>
      <c r="AI80" s="50" t="s">
        <v>20</v>
      </c>
      <c r="AJ80" s="50"/>
      <c r="AK80" s="50"/>
      <c r="AL80" s="50"/>
      <c r="AM80" s="5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 ht="15" customHeight="1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0"/>
      <c r="AA81" s="20"/>
      <c r="AB81" s="20"/>
      <c r="AC81" s="20"/>
      <c r="AD81" s="26"/>
      <c r="AE81" s="27"/>
      <c r="AF81" s="27"/>
      <c r="AG81" s="27"/>
      <c r="AH81" s="27"/>
      <c r="AI81" s="27"/>
      <c r="AJ81" s="27"/>
      <c r="AK81" s="27"/>
      <c r="AL81" s="27"/>
      <c r="AM81" s="3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 ht="15" customHeight="1" x14ac:dyDescent="0.15">
      <c r="A82" s="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P82" s="21"/>
      <c r="AD82" s="26"/>
      <c r="AE82" s="27"/>
      <c r="AF82" s="27"/>
      <c r="AG82" s="27"/>
      <c r="AH82" s="27"/>
      <c r="AI82" s="27"/>
      <c r="AJ82" s="27"/>
      <c r="AK82" s="27"/>
      <c r="AL82" s="27"/>
      <c r="AM82" s="3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 ht="15" customHeight="1" x14ac:dyDescent="0.15">
      <c r="A83" s="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P83" s="21"/>
      <c r="AD83" s="26"/>
      <c r="AE83" s="27"/>
      <c r="AF83" s="27"/>
      <c r="AG83" s="27"/>
      <c r="AH83" s="27"/>
      <c r="AI83" s="27"/>
      <c r="AJ83" s="27"/>
      <c r="AK83" s="27"/>
      <c r="AL83" s="27"/>
      <c r="AM83" s="3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 ht="15" customHeight="1" x14ac:dyDescent="0.15">
      <c r="A84" s="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P84" s="21"/>
      <c r="AD84" s="26"/>
      <c r="AE84" s="27"/>
      <c r="AF84" s="27"/>
      <c r="AG84" s="27"/>
      <c r="AH84" s="27"/>
      <c r="AI84" s="27"/>
      <c r="AJ84" s="27"/>
      <c r="AK84" s="27"/>
      <c r="AL84" s="27"/>
      <c r="AM84" s="3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 ht="15" customHeight="1" x14ac:dyDescent="0.15">
      <c r="A85" s="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P85" s="21"/>
      <c r="AD85" s="26"/>
      <c r="AE85" s="27"/>
      <c r="AF85" s="27"/>
      <c r="AG85" s="27"/>
      <c r="AH85" s="27"/>
      <c r="AI85" s="27"/>
      <c r="AJ85" s="27"/>
      <c r="AK85" s="27"/>
      <c r="AL85" s="27"/>
      <c r="AM85" s="3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 ht="15" customHeight="1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2"/>
      <c r="AA86" s="22"/>
      <c r="AB86" s="22"/>
      <c r="AC86" s="22"/>
      <c r="AD86" s="28"/>
      <c r="AE86" s="29"/>
      <c r="AF86" s="29"/>
      <c r="AG86" s="29"/>
      <c r="AH86" s="29"/>
      <c r="AI86" s="29"/>
      <c r="AJ86" s="29"/>
      <c r="AK86" s="29"/>
      <c r="AL86" s="29"/>
      <c r="AM86" s="3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 ht="17.25" customHeight="1" thickBot="1" x14ac:dyDescent="0.2">
      <c r="A87" s="32" t="s">
        <v>21</v>
      </c>
      <c r="B87" s="33"/>
      <c r="C87" s="33"/>
      <c r="D87" s="33"/>
      <c r="E87" s="34" t="s">
        <v>22</v>
      </c>
      <c r="F87" s="33"/>
      <c r="G87" s="33"/>
      <c r="H87" s="33"/>
      <c r="I87" s="33"/>
      <c r="J87" s="35"/>
      <c r="K87" s="36" t="s">
        <v>23</v>
      </c>
      <c r="L87" s="33"/>
      <c r="M87" s="33"/>
      <c r="N87" s="33"/>
      <c r="O87" s="33"/>
      <c r="P87" s="34" t="s">
        <v>24</v>
      </c>
      <c r="Q87" s="33"/>
      <c r="R87" s="33"/>
      <c r="S87" s="33"/>
      <c r="T87" s="33"/>
      <c r="U87" s="35"/>
      <c r="V87" s="37"/>
      <c r="W87" s="38"/>
      <c r="X87" s="38"/>
      <c r="Y87" s="38"/>
      <c r="Z87" s="38"/>
      <c r="AA87" s="38"/>
      <c r="AB87" s="38"/>
      <c r="AC87" s="39"/>
      <c r="AD87" s="32" t="s">
        <v>25</v>
      </c>
      <c r="AE87" s="33"/>
      <c r="AF87" s="33"/>
      <c r="AG87" s="33"/>
      <c r="AH87" s="40"/>
      <c r="AI87" s="41">
        <v>41883</v>
      </c>
      <c r="AJ87" s="42"/>
      <c r="AK87" s="42"/>
      <c r="AL87" s="42"/>
      <c r="AM87" s="43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 ht="17.25" customHeight="1" x14ac:dyDescent="0.15"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 ht="17.25" customHeight="1" x14ac:dyDescent="0.15"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 ht="17.25" customHeight="1" x14ac:dyDescent="0.15"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 ht="17.25" customHeight="1" x14ac:dyDescent="0.15"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 ht="17.25" customHeight="1" x14ac:dyDescent="0.15"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 ht="17.25" customHeight="1" x14ac:dyDescent="0.15"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 ht="17.25" customHeight="1" x14ac:dyDescent="0.15"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</sheetData>
  <mergeCells count="340">
    <mergeCell ref="AD81:AH86"/>
    <mergeCell ref="AI81:AM86"/>
    <mergeCell ref="A87:D87"/>
    <mergeCell ref="E87:J87"/>
    <mergeCell ref="K87:O87"/>
    <mergeCell ref="P87:U87"/>
    <mergeCell ref="V87:AC87"/>
    <mergeCell ref="AD87:AH87"/>
    <mergeCell ref="AI87:AM87"/>
    <mergeCell ref="E69:N69"/>
    <mergeCell ref="O69:T69"/>
    <mergeCell ref="U69:Z69"/>
    <mergeCell ref="AA69:AF69"/>
    <mergeCell ref="AG69:AL69"/>
    <mergeCell ref="AD80:AH80"/>
    <mergeCell ref="AI80:AM80"/>
    <mergeCell ref="AC67:AD67"/>
    <mergeCell ref="AE67:AF67"/>
    <mergeCell ref="AG67:AH67"/>
    <mergeCell ref="AI67:AJ67"/>
    <mergeCell ref="AK67:AL67"/>
    <mergeCell ref="E68:N68"/>
    <mergeCell ref="O68:T68"/>
    <mergeCell ref="U68:Z68"/>
    <mergeCell ref="AA68:AF68"/>
    <mergeCell ref="AG68:AL68"/>
    <mergeCell ref="E67:N67"/>
    <mergeCell ref="O67:P67"/>
    <mergeCell ref="Q67:R67"/>
    <mergeCell ref="S67:T67"/>
    <mergeCell ref="U67:V67"/>
    <mergeCell ref="W67:X67"/>
    <mergeCell ref="Y67:Z67"/>
    <mergeCell ref="AA67:AB67"/>
    <mergeCell ref="W66:X66"/>
    <mergeCell ref="Y66:Z66"/>
    <mergeCell ref="AA66:AB66"/>
    <mergeCell ref="AC65:AD65"/>
    <mergeCell ref="AE65:AF65"/>
    <mergeCell ref="AG65:AH65"/>
    <mergeCell ref="AI65:AJ65"/>
    <mergeCell ref="AK65:AL65"/>
    <mergeCell ref="E66:N66"/>
    <mergeCell ref="O66:P66"/>
    <mergeCell ref="Q66:R66"/>
    <mergeCell ref="S66:T66"/>
    <mergeCell ref="U66:V66"/>
    <mergeCell ref="AI66:AJ66"/>
    <mergeCell ref="AK66:AL66"/>
    <mergeCell ref="AC66:AD66"/>
    <mergeCell ref="AE66:AF66"/>
    <mergeCell ref="AG66:AH66"/>
    <mergeCell ref="E65:N65"/>
    <mergeCell ref="O65:P65"/>
    <mergeCell ref="Q65:R65"/>
    <mergeCell ref="S65:T65"/>
    <mergeCell ref="U65:V65"/>
    <mergeCell ref="W65:X65"/>
    <mergeCell ref="Y65:Z65"/>
    <mergeCell ref="AA65:AB65"/>
    <mergeCell ref="W64:X64"/>
    <mergeCell ref="Y64:Z64"/>
    <mergeCell ref="AA64:AB64"/>
    <mergeCell ref="AI63:AJ63"/>
    <mergeCell ref="AK63:AL63"/>
    <mergeCell ref="E64:N64"/>
    <mergeCell ref="O64:P64"/>
    <mergeCell ref="Q64:R64"/>
    <mergeCell ref="S64:T64"/>
    <mergeCell ref="U64:V64"/>
    <mergeCell ref="AI64:AJ64"/>
    <mergeCell ref="AK64:AL64"/>
    <mergeCell ref="AC64:AD64"/>
    <mergeCell ref="AE64:AF64"/>
    <mergeCell ref="AG64:AH64"/>
    <mergeCell ref="E62:N62"/>
    <mergeCell ref="O62:P62"/>
    <mergeCell ref="Q62:R62"/>
    <mergeCell ref="S62:T62"/>
    <mergeCell ref="U62:V62"/>
    <mergeCell ref="AI62:AJ62"/>
    <mergeCell ref="AK62:AL62"/>
    <mergeCell ref="E63:N63"/>
    <mergeCell ref="O63:P63"/>
    <mergeCell ref="Q63:R63"/>
    <mergeCell ref="S63:T63"/>
    <mergeCell ref="U63:V63"/>
    <mergeCell ref="W63:X63"/>
    <mergeCell ref="Y63:Z63"/>
    <mergeCell ref="AA63:AB63"/>
    <mergeCell ref="W62:X62"/>
    <mergeCell ref="Y62:Z62"/>
    <mergeCell ref="AA62:AB62"/>
    <mergeCell ref="AC62:AD62"/>
    <mergeCell ref="AE62:AF62"/>
    <mergeCell ref="AG62:AH62"/>
    <mergeCell ref="AC63:AD63"/>
    <mergeCell ref="AE63:AF63"/>
    <mergeCell ref="AG63:AH63"/>
    <mergeCell ref="AI60:AJ60"/>
    <mergeCell ref="AK60:AL60"/>
    <mergeCell ref="E61:N61"/>
    <mergeCell ref="O61:P61"/>
    <mergeCell ref="Q61:R61"/>
    <mergeCell ref="S61:T61"/>
    <mergeCell ref="U61:V61"/>
    <mergeCell ref="W61:X61"/>
    <mergeCell ref="Y61:Z61"/>
    <mergeCell ref="AA61:AB61"/>
    <mergeCell ref="W60:X60"/>
    <mergeCell ref="Y60:Z60"/>
    <mergeCell ref="AA60:AB60"/>
    <mergeCell ref="AC60:AD60"/>
    <mergeCell ref="AE60:AF60"/>
    <mergeCell ref="AG60:AH60"/>
    <mergeCell ref="AC61:AD61"/>
    <mergeCell ref="AE61:AF61"/>
    <mergeCell ref="AG61:AH61"/>
    <mergeCell ref="AI61:AJ61"/>
    <mergeCell ref="AK61:AL61"/>
    <mergeCell ref="E60:N60"/>
    <mergeCell ref="O60:P60"/>
    <mergeCell ref="Q60:R60"/>
    <mergeCell ref="S60:T60"/>
    <mergeCell ref="U60:V60"/>
    <mergeCell ref="Q59:R59"/>
    <mergeCell ref="S59:T59"/>
    <mergeCell ref="U59:V59"/>
    <mergeCell ref="W59:X59"/>
    <mergeCell ref="B53:J53"/>
    <mergeCell ref="K53:R53"/>
    <mergeCell ref="S53:AE53"/>
    <mergeCell ref="AF53:AL53"/>
    <mergeCell ref="E57:N59"/>
    <mergeCell ref="O57:T58"/>
    <mergeCell ref="U57:Z58"/>
    <mergeCell ref="AA57:AF58"/>
    <mergeCell ref="AG57:AL58"/>
    <mergeCell ref="O59:P59"/>
    <mergeCell ref="AC59:AD59"/>
    <mergeCell ref="AE59:AF59"/>
    <mergeCell ref="AG59:AH59"/>
    <mergeCell ref="AI59:AJ59"/>
    <mergeCell ref="AK59:AL59"/>
    <mergeCell ref="Y59:Z59"/>
    <mergeCell ref="AA59:AB59"/>
    <mergeCell ref="B50:AL50"/>
    <mergeCell ref="B51:J51"/>
    <mergeCell ref="K51:R51"/>
    <mergeCell ref="S51:AE51"/>
    <mergeCell ref="AF51:AL51"/>
    <mergeCell ref="B52:J52"/>
    <mergeCell ref="K52:R52"/>
    <mergeCell ref="S52:AE52"/>
    <mergeCell ref="AF52:AL52"/>
    <mergeCell ref="A47:G47"/>
    <mergeCell ref="H47:T47"/>
    <mergeCell ref="U47:AA47"/>
    <mergeCell ref="AB47:AM47"/>
    <mergeCell ref="A48:G48"/>
    <mergeCell ref="H48:T48"/>
    <mergeCell ref="U48:AA48"/>
    <mergeCell ref="AB48:AM48"/>
    <mergeCell ref="A45:AH45"/>
    <mergeCell ref="AI45:AK45"/>
    <mergeCell ref="AL45:AM45"/>
    <mergeCell ref="A46:G46"/>
    <mergeCell ref="H46:T46"/>
    <mergeCell ref="U46:AA46"/>
    <mergeCell ref="AB46:AM46"/>
    <mergeCell ref="AD37:AH42"/>
    <mergeCell ref="AI37:AM42"/>
    <mergeCell ref="A43:D43"/>
    <mergeCell ref="E43:J43"/>
    <mergeCell ref="K43:O43"/>
    <mergeCell ref="P43:U43"/>
    <mergeCell ref="V43:AC43"/>
    <mergeCell ref="AD43:AH43"/>
    <mergeCell ref="AI43:AM43"/>
    <mergeCell ref="E25:N25"/>
    <mergeCell ref="O25:T25"/>
    <mergeCell ref="U25:Z25"/>
    <mergeCell ref="AA25:AF25"/>
    <mergeCell ref="AG25:AL25"/>
    <mergeCell ref="AD36:AH36"/>
    <mergeCell ref="AI36:AM36"/>
    <mergeCell ref="AC23:AD23"/>
    <mergeCell ref="AE23:AF23"/>
    <mergeCell ref="AG23:AH23"/>
    <mergeCell ref="AI23:AJ23"/>
    <mergeCell ref="AK23:AL23"/>
    <mergeCell ref="E24:N24"/>
    <mergeCell ref="O24:T24"/>
    <mergeCell ref="U24:Z24"/>
    <mergeCell ref="AA24:AF24"/>
    <mergeCell ref="AG24:AL24"/>
    <mergeCell ref="E23:N23"/>
    <mergeCell ref="O23:P23"/>
    <mergeCell ref="Q23:R23"/>
    <mergeCell ref="S23:T23"/>
    <mergeCell ref="U23:V23"/>
    <mergeCell ref="W23:X23"/>
    <mergeCell ref="Y23:Z23"/>
    <mergeCell ref="AA23:AB23"/>
    <mergeCell ref="W22:X22"/>
    <mergeCell ref="Y22:Z22"/>
    <mergeCell ref="AA22:AB22"/>
    <mergeCell ref="AC21:AD21"/>
    <mergeCell ref="AE21:AF21"/>
    <mergeCell ref="AG21:AH21"/>
    <mergeCell ref="AI21:AJ21"/>
    <mergeCell ref="AK21:AL21"/>
    <mergeCell ref="E22:N22"/>
    <mergeCell ref="O22:P22"/>
    <mergeCell ref="Q22:R22"/>
    <mergeCell ref="S22:T22"/>
    <mergeCell ref="U22:V22"/>
    <mergeCell ref="AI22:AJ22"/>
    <mergeCell ref="AK22:AL22"/>
    <mergeCell ref="AC22:AD22"/>
    <mergeCell ref="AE22:AF22"/>
    <mergeCell ref="AG22:AH22"/>
    <mergeCell ref="E21:N21"/>
    <mergeCell ref="O21:P21"/>
    <mergeCell ref="Q21:R21"/>
    <mergeCell ref="S21:T21"/>
    <mergeCell ref="U21:V21"/>
    <mergeCell ref="W21:X21"/>
    <mergeCell ref="Y21:Z21"/>
    <mergeCell ref="AA21:AB21"/>
    <mergeCell ref="W20:X20"/>
    <mergeCell ref="Y20:Z20"/>
    <mergeCell ref="AA20:AB20"/>
    <mergeCell ref="AI19:AJ19"/>
    <mergeCell ref="AK19:AL19"/>
    <mergeCell ref="E20:N20"/>
    <mergeCell ref="O20:P20"/>
    <mergeCell ref="Q20:R20"/>
    <mergeCell ref="S20:T20"/>
    <mergeCell ref="U20:V20"/>
    <mergeCell ref="AI20:AJ20"/>
    <mergeCell ref="AK20:AL20"/>
    <mergeCell ref="AC20:AD20"/>
    <mergeCell ref="AE20:AF20"/>
    <mergeCell ref="AG20:AH20"/>
    <mergeCell ref="E18:N18"/>
    <mergeCell ref="O18:P18"/>
    <mergeCell ref="Q18:R18"/>
    <mergeCell ref="S18:T18"/>
    <mergeCell ref="U18:V18"/>
    <mergeCell ref="AI18:AJ18"/>
    <mergeCell ref="AK18:AL18"/>
    <mergeCell ref="E19:N19"/>
    <mergeCell ref="O19:P19"/>
    <mergeCell ref="Q19:R19"/>
    <mergeCell ref="S19:T19"/>
    <mergeCell ref="U19:V19"/>
    <mergeCell ref="W19:X19"/>
    <mergeCell ref="Y19:Z19"/>
    <mergeCell ref="AA19:AB19"/>
    <mergeCell ref="W18:X18"/>
    <mergeCell ref="Y18:Z18"/>
    <mergeCell ref="AA18:AB18"/>
    <mergeCell ref="AC18:AD18"/>
    <mergeCell ref="AE18:AF18"/>
    <mergeCell ref="AG18:AH18"/>
    <mergeCell ref="AC19:AD19"/>
    <mergeCell ref="AE19:AF19"/>
    <mergeCell ref="AG19:AH19"/>
    <mergeCell ref="AI16:AJ16"/>
    <mergeCell ref="AK16:AL16"/>
    <mergeCell ref="E17:N17"/>
    <mergeCell ref="O17:P17"/>
    <mergeCell ref="Q17:R17"/>
    <mergeCell ref="S17:T17"/>
    <mergeCell ref="U17:V17"/>
    <mergeCell ref="W17:X17"/>
    <mergeCell ref="Y17:Z17"/>
    <mergeCell ref="AA17:AB17"/>
    <mergeCell ref="W16:X16"/>
    <mergeCell ref="Y16:Z16"/>
    <mergeCell ref="AA16:AB16"/>
    <mergeCell ref="AC16:AD16"/>
    <mergeCell ref="AE16:AF16"/>
    <mergeCell ref="AG16:AH16"/>
    <mergeCell ref="AC17:AD17"/>
    <mergeCell ref="AE17:AF17"/>
    <mergeCell ref="AG17:AH17"/>
    <mergeCell ref="AI17:AJ17"/>
    <mergeCell ref="AK17:AL17"/>
    <mergeCell ref="E16:N16"/>
    <mergeCell ref="O16:P16"/>
    <mergeCell ref="Q16:R16"/>
    <mergeCell ref="S16:T16"/>
    <mergeCell ref="U16:V16"/>
    <mergeCell ref="Q15:R15"/>
    <mergeCell ref="S15:T15"/>
    <mergeCell ref="U15:V15"/>
    <mergeCell ref="W15:X15"/>
    <mergeCell ref="B9:J9"/>
    <mergeCell ref="K9:R9"/>
    <mergeCell ref="S9:AE9"/>
    <mergeCell ref="AF9:AL9"/>
    <mergeCell ref="E13:N15"/>
    <mergeCell ref="O13:T14"/>
    <mergeCell ref="U13:Z14"/>
    <mergeCell ref="AA13:AF14"/>
    <mergeCell ref="AG13:AL14"/>
    <mergeCell ref="O15:P15"/>
    <mergeCell ref="AC15:AD15"/>
    <mergeCell ref="AE15:AF15"/>
    <mergeCell ref="AG15:AH15"/>
    <mergeCell ref="AI15:AJ15"/>
    <mergeCell ref="AK15:AL15"/>
    <mergeCell ref="Y15:Z15"/>
    <mergeCell ref="AA15:AB15"/>
    <mergeCell ref="B6:AL6"/>
    <mergeCell ref="B7:J7"/>
    <mergeCell ref="K7:R7"/>
    <mergeCell ref="S7:AE7"/>
    <mergeCell ref="AF7:AL7"/>
    <mergeCell ref="B8:J8"/>
    <mergeCell ref="K8:R8"/>
    <mergeCell ref="S8:AE8"/>
    <mergeCell ref="AF8:AL8"/>
    <mergeCell ref="A3:G3"/>
    <mergeCell ref="H3:T3"/>
    <mergeCell ref="U3:AA3"/>
    <mergeCell ref="AB3:AM3"/>
    <mergeCell ref="A4:G4"/>
    <mergeCell ref="H4:T4"/>
    <mergeCell ref="U4:AA4"/>
    <mergeCell ref="AB4:AM4"/>
    <mergeCell ref="A1:AH1"/>
    <mergeCell ref="AI1:AK1"/>
    <mergeCell ref="AL1:AM1"/>
    <mergeCell ref="A2:G2"/>
    <mergeCell ref="H2:T2"/>
    <mergeCell ref="U2:AA2"/>
    <mergeCell ref="AB2:AM2"/>
  </mergeCells>
  <pageMargins left="0.7" right="0.23" top="0.63" bottom="0.19685039370078741" header="0.51181102362204722" footer="0.11811023622047245"/>
  <pageSetup paperSize="9" firstPageNumber="4294963191" fitToHeight="2" orientation="portrait" horizontalDpi="4294967295" verticalDpi="4294967295" r:id="rId1"/>
  <headerFooter alignWithMargins="0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</vt:lpstr>
      <vt:lpstr>002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2017-11-02T03:25:50Z</cp:lastPrinted>
  <dcterms:created xsi:type="dcterms:W3CDTF">2016-09-15T07:36:20Z</dcterms:created>
  <dcterms:modified xsi:type="dcterms:W3CDTF">2017-11-02T10:00:29Z</dcterms:modified>
</cp:coreProperties>
</file>