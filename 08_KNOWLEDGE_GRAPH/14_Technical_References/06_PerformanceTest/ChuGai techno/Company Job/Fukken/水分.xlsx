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42" i="1" l="1"/>
  <c r="I10" i="1" l="1"/>
  <c r="I12" i="1"/>
  <c r="I14" i="1"/>
  <c r="I16" i="1"/>
  <c r="I18" i="1"/>
  <c r="I20" i="1"/>
  <c r="I22" i="1"/>
  <c r="I24" i="1"/>
  <c r="I26" i="1"/>
  <c r="I28" i="1"/>
  <c r="I30" i="1"/>
  <c r="I32" i="1"/>
  <c r="I34" i="1"/>
  <c r="I36" i="1"/>
  <c r="I38" i="1"/>
  <c r="I40" i="1"/>
  <c r="I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3" i="1"/>
  <c r="I42" i="1" s="1"/>
  <c r="H8" i="1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G42" i="1" s="1"/>
  <c r="F43" i="1"/>
  <c r="F8" i="1"/>
</calcChain>
</file>

<file path=xl/sharedStrings.xml><?xml version="1.0" encoding="utf-8"?>
<sst xmlns="http://schemas.openxmlformats.org/spreadsheetml/2006/main" count="20" uniqueCount="11">
  <si>
    <t>ma</t>
    <phoneticPr fontId="1"/>
  </si>
  <si>
    <t>mc</t>
    <phoneticPr fontId="1"/>
  </si>
  <si>
    <t>24h</t>
    <phoneticPr fontId="1"/>
  </si>
  <si>
    <t>48h</t>
    <phoneticPr fontId="1"/>
  </si>
  <si>
    <t>(g)</t>
    <phoneticPr fontId="1"/>
  </si>
  <si>
    <t>mb</t>
    <phoneticPr fontId="1"/>
  </si>
  <si>
    <t>Moisture</t>
    <phoneticPr fontId="1"/>
  </si>
  <si>
    <t>(%)</t>
    <phoneticPr fontId="1"/>
  </si>
  <si>
    <t>Average</t>
    <phoneticPr fontId="1"/>
  </si>
  <si>
    <t>No.</t>
    <phoneticPr fontId="1"/>
  </si>
  <si>
    <t>Fukken Soil moisture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</si>
</sst>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NumberFormat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2" fillId="0" borderId="1" xfId="0" applyNumberFormat="1" applyFont="1" applyBorder="1"/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26" workbookViewId="0">
      <selection activeCell="B42" sqref="B42"/>
    </sheetView>
  </sheetViews>
  <sheetFormatPr defaultRowHeight="15"/>
  <cols>
    <col min="2" max="2" width="9" style="1"/>
    <col min="3" max="3" width="9" style="2"/>
    <col min="5" max="5" width="9" style="2"/>
    <col min="7" max="7" width="9" style="3"/>
  </cols>
  <sheetData>
    <row r="1" spans="1:9">
      <c r="A1" s="15" t="s">
        <v>10</v>
      </c>
      <c r="B1" s="15"/>
      <c r="C1" s="15"/>
      <c r="D1" s="15"/>
      <c r="E1" s="15"/>
      <c r="F1" s="15"/>
      <c r="G1" s="15"/>
      <c r="H1" s="15"/>
      <c r="I1" s="15"/>
    </row>
    <row r="2" spans="1:9">
      <c r="A2" s="15"/>
      <c r="B2" s="15"/>
      <c r="C2" s="15"/>
      <c r="D2" s="15"/>
      <c r="E2" s="15"/>
      <c r="F2" s="15"/>
      <c r="G2" s="15"/>
      <c r="H2" s="15"/>
      <c r="I2" s="15"/>
    </row>
    <row r="5" spans="1:9" s="3" customFormat="1">
      <c r="A5" s="14" t="s">
        <v>9</v>
      </c>
      <c r="B5" s="16" t="s">
        <v>0</v>
      </c>
      <c r="C5" s="17" t="s">
        <v>5</v>
      </c>
      <c r="D5" s="17"/>
      <c r="E5" s="17" t="s">
        <v>1</v>
      </c>
      <c r="F5" s="14" t="s">
        <v>6</v>
      </c>
      <c r="G5" s="14"/>
      <c r="H5" s="14"/>
      <c r="I5" s="14"/>
    </row>
    <row r="6" spans="1:9" s="3" customFormat="1">
      <c r="A6" s="14"/>
      <c r="B6" s="16"/>
      <c r="C6" s="4" t="s">
        <v>2</v>
      </c>
      <c r="D6" s="5" t="s">
        <v>3</v>
      </c>
      <c r="E6" s="17"/>
      <c r="F6" s="5" t="s">
        <v>2</v>
      </c>
      <c r="G6" s="5" t="s">
        <v>8</v>
      </c>
      <c r="H6" s="5" t="s">
        <v>3</v>
      </c>
      <c r="I6" s="5" t="s">
        <v>8</v>
      </c>
    </row>
    <row r="7" spans="1:9">
      <c r="A7" s="14"/>
      <c r="B7" s="6" t="s">
        <v>4</v>
      </c>
      <c r="C7" s="6" t="s">
        <v>4</v>
      </c>
      <c r="D7" s="6" t="s">
        <v>4</v>
      </c>
      <c r="E7" s="6" t="s">
        <v>4</v>
      </c>
      <c r="F7" s="7" t="s">
        <v>7</v>
      </c>
      <c r="G7" s="7" t="s">
        <v>7</v>
      </c>
      <c r="H7" s="7" t="s">
        <v>7</v>
      </c>
      <c r="I7" s="7" t="s">
        <v>7</v>
      </c>
    </row>
    <row r="8" spans="1:9">
      <c r="A8" s="8">
        <v>1</v>
      </c>
      <c r="B8" s="9">
        <v>10.781000000000001</v>
      </c>
      <c r="C8" s="10">
        <v>9.4600000000000009</v>
      </c>
      <c r="D8" s="8">
        <v>9.4570000000000007</v>
      </c>
      <c r="E8" s="10">
        <v>0.71799999999999997</v>
      </c>
      <c r="F8" s="10">
        <f>ROUND((B8-C8)/(C8-E8)*100,3)</f>
        <v>15.111000000000001</v>
      </c>
      <c r="G8" s="13">
        <f>ROUND(AVERAGE(F8:F9),2)</f>
        <v>15.06</v>
      </c>
      <c r="H8" s="10">
        <f>ROUND((B8-D8)/(D8-E8)*100,3)</f>
        <v>15.15</v>
      </c>
      <c r="I8" s="13">
        <f>ROUND(AVERAGE(H8:H9),2)</f>
        <v>15.09</v>
      </c>
    </row>
    <row r="9" spans="1:9">
      <c r="A9" s="8">
        <v>2</v>
      </c>
      <c r="B9" s="11">
        <v>10.76</v>
      </c>
      <c r="C9" s="10">
        <v>9.4489999999999998</v>
      </c>
      <c r="D9" s="8">
        <v>9.4459999999999997</v>
      </c>
      <c r="E9" s="10">
        <v>0.70899999999999996</v>
      </c>
      <c r="F9" s="10">
        <f t="shared" ref="F9:F43" si="0">ROUND((B9-C9)/(C9-E9)*100,3)</f>
        <v>15</v>
      </c>
      <c r="G9" s="13"/>
      <c r="H9" s="10">
        <f t="shared" ref="H9:H43" si="1">ROUND((B9-D9)/(D9-E9)*100,3)</f>
        <v>15.039</v>
      </c>
      <c r="I9" s="13"/>
    </row>
    <row r="10" spans="1:9">
      <c r="A10" s="8">
        <v>3</v>
      </c>
      <c r="B10" s="9">
        <v>10.734999999999999</v>
      </c>
      <c r="C10" s="10">
        <v>9.5210000000000008</v>
      </c>
      <c r="D10" s="8">
        <v>9.5169999999999995</v>
      </c>
      <c r="E10" s="10">
        <v>0.71199999999999997</v>
      </c>
      <c r="F10" s="10">
        <f t="shared" si="0"/>
        <v>13.781000000000001</v>
      </c>
      <c r="G10" s="13">
        <f t="shared" ref="G10" si="2">ROUND(AVERAGE(F10:F11),2)</f>
        <v>13.83</v>
      </c>
      <c r="H10" s="10">
        <f t="shared" si="1"/>
        <v>13.833</v>
      </c>
      <c r="I10" s="13">
        <f t="shared" ref="I10" si="3">ROUND(AVERAGE(H10:H11),2)</f>
        <v>13.89</v>
      </c>
    </row>
    <row r="11" spans="1:9">
      <c r="A11" s="8">
        <v>4</v>
      </c>
      <c r="B11" s="9">
        <v>10.727</v>
      </c>
      <c r="C11" s="10">
        <v>9.5069999999999997</v>
      </c>
      <c r="D11" s="8">
        <v>9.5020000000000007</v>
      </c>
      <c r="E11" s="10">
        <v>0.71699999999999997</v>
      </c>
      <c r="F11" s="10">
        <f t="shared" si="0"/>
        <v>13.879</v>
      </c>
      <c r="G11" s="13"/>
      <c r="H11" s="10">
        <f t="shared" si="1"/>
        <v>13.944000000000001</v>
      </c>
      <c r="I11" s="13"/>
    </row>
    <row r="12" spans="1:9">
      <c r="A12" s="8">
        <v>5</v>
      </c>
      <c r="B12" s="9">
        <v>10.786</v>
      </c>
      <c r="C12" s="10">
        <v>9.5079999999999991</v>
      </c>
      <c r="D12" s="8">
        <v>9.5039999999999996</v>
      </c>
      <c r="E12" s="10">
        <v>0.70899999999999996</v>
      </c>
      <c r="F12" s="10">
        <f t="shared" si="0"/>
        <v>14.523999999999999</v>
      </c>
      <c r="G12" s="13">
        <f t="shared" ref="G12" si="4">ROUND(AVERAGE(F12:F13),2)</f>
        <v>14.12</v>
      </c>
      <c r="H12" s="10">
        <f t="shared" si="1"/>
        <v>14.576000000000001</v>
      </c>
      <c r="I12" s="13">
        <f t="shared" ref="I12" si="5">ROUND(AVERAGE(H12:H13),2)</f>
        <v>14.17</v>
      </c>
    </row>
    <row r="13" spans="1:9">
      <c r="A13" s="8">
        <v>6</v>
      </c>
      <c r="B13" s="9">
        <v>10.722</v>
      </c>
      <c r="C13" s="10">
        <v>9.5150000000000006</v>
      </c>
      <c r="D13" s="8">
        <v>9.5120000000000005</v>
      </c>
      <c r="E13" s="10">
        <v>0.71699999999999997</v>
      </c>
      <c r="F13" s="10">
        <f t="shared" si="0"/>
        <v>13.718999999999999</v>
      </c>
      <c r="G13" s="13"/>
      <c r="H13" s="10">
        <f t="shared" si="1"/>
        <v>13.757999999999999</v>
      </c>
      <c r="I13" s="13"/>
    </row>
    <row r="14" spans="1:9">
      <c r="A14" s="8">
        <v>7</v>
      </c>
      <c r="B14" s="11">
        <v>10.77</v>
      </c>
      <c r="C14" s="10">
        <v>5.6210000000000004</v>
      </c>
      <c r="D14" s="8">
        <v>5.6310000000000002</v>
      </c>
      <c r="E14" s="10">
        <v>0.72399999999999998</v>
      </c>
      <c r="F14" s="10">
        <f t="shared" si="0"/>
        <v>105.146</v>
      </c>
      <c r="G14" s="13">
        <f t="shared" ref="G14" si="6">ROUND(AVERAGE(F14:F15),2)</f>
        <v>105.54</v>
      </c>
      <c r="H14" s="10">
        <f t="shared" si="1"/>
        <v>104.72799999999999</v>
      </c>
      <c r="I14" s="13">
        <f t="shared" ref="I14" si="7">ROUND(AVERAGE(H14:H15),2)</f>
        <v>105.17</v>
      </c>
    </row>
    <row r="15" spans="1:9">
      <c r="A15" s="8">
        <v>8</v>
      </c>
      <c r="B15" s="9">
        <v>10.808</v>
      </c>
      <c r="C15" s="10">
        <v>5.6180000000000003</v>
      </c>
      <c r="D15" s="8">
        <v>5.6260000000000003</v>
      </c>
      <c r="E15" s="10">
        <v>0.71899999999999997</v>
      </c>
      <c r="F15" s="10">
        <f t="shared" si="0"/>
        <v>105.94</v>
      </c>
      <c r="G15" s="13"/>
      <c r="H15" s="10">
        <f t="shared" si="1"/>
        <v>105.604</v>
      </c>
      <c r="I15" s="13"/>
    </row>
    <row r="16" spans="1:9">
      <c r="A16" s="8">
        <v>9</v>
      </c>
      <c r="B16" s="9">
        <v>10.788</v>
      </c>
      <c r="C16" s="10">
        <v>5.282</v>
      </c>
      <c r="D16" s="8">
        <v>5.2889999999999997</v>
      </c>
      <c r="E16" s="10">
        <v>0.72399999999999998</v>
      </c>
      <c r="F16" s="12">
        <f t="shared" si="0"/>
        <v>120.79900000000001</v>
      </c>
      <c r="G16" s="13">
        <f t="shared" ref="G16" si="8">ROUND(AVERAGE(F16:F17),2)</f>
        <v>124.23</v>
      </c>
      <c r="H16" s="12">
        <f t="shared" si="1"/>
        <v>120.46</v>
      </c>
      <c r="I16" s="13">
        <f t="shared" ref="I16" si="9">ROUND(AVERAGE(H16:H17),2)</f>
        <v>123.88</v>
      </c>
    </row>
    <row r="17" spans="1:9">
      <c r="A17" s="8">
        <v>10</v>
      </c>
      <c r="B17" s="9">
        <v>10.747999999999999</v>
      </c>
      <c r="C17" s="10">
        <v>5.117</v>
      </c>
      <c r="D17" s="8">
        <v>5.1239999999999997</v>
      </c>
      <c r="E17" s="10">
        <v>0.70599999999999996</v>
      </c>
      <c r="F17" s="12">
        <f t="shared" si="0"/>
        <v>127.658</v>
      </c>
      <c r="G17" s="13"/>
      <c r="H17" s="12">
        <f t="shared" si="1"/>
        <v>127.297</v>
      </c>
      <c r="I17" s="13"/>
    </row>
    <row r="18" spans="1:9">
      <c r="A18" s="8">
        <v>11</v>
      </c>
      <c r="B18" s="9">
        <v>10.722</v>
      </c>
      <c r="C18" s="10">
        <v>5.26</v>
      </c>
      <c r="D18" s="8">
        <v>5.2679999999999998</v>
      </c>
      <c r="E18" s="10">
        <v>0.71299999999999997</v>
      </c>
      <c r="F18" s="12">
        <f t="shared" si="0"/>
        <v>120.123</v>
      </c>
      <c r="G18" s="13">
        <f t="shared" ref="G18" si="10">ROUND(AVERAGE(F18:F19),2)</f>
        <v>114.31</v>
      </c>
      <c r="H18" s="12">
        <f t="shared" si="1"/>
        <v>119.73699999999999</v>
      </c>
      <c r="I18" s="13">
        <f t="shared" ref="I18" si="11">ROUND(AVERAGE(H18:H19),2)</f>
        <v>113.88</v>
      </c>
    </row>
    <row r="19" spans="1:9">
      <c r="A19" s="8">
        <v>12</v>
      </c>
      <c r="B19" s="9">
        <v>10.728</v>
      </c>
      <c r="C19" s="10">
        <v>5.5149999999999997</v>
      </c>
      <c r="D19" s="8">
        <v>5.5259999999999998</v>
      </c>
      <c r="E19" s="10">
        <v>0.71</v>
      </c>
      <c r="F19" s="12">
        <f t="shared" si="0"/>
        <v>108.491</v>
      </c>
      <c r="G19" s="13"/>
      <c r="H19" s="12">
        <f t="shared" si="1"/>
        <v>108.015</v>
      </c>
      <c r="I19" s="13"/>
    </row>
    <row r="20" spans="1:9">
      <c r="A20" s="8">
        <v>13</v>
      </c>
      <c r="B20" s="9">
        <v>10.718999999999999</v>
      </c>
      <c r="C20" s="10">
        <v>5.6890000000000001</v>
      </c>
      <c r="D20" s="8">
        <v>5.6920000000000002</v>
      </c>
      <c r="E20" s="10">
        <v>0.70099999999999996</v>
      </c>
      <c r="F20" s="10">
        <f t="shared" si="0"/>
        <v>100.842</v>
      </c>
      <c r="G20" s="13">
        <f t="shared" ref="G20" si="12">ROUND(AVERAGE(F20:F21),2)</f>
        <v>100.41</v>
      </c>
      <c r="H20" s="10">
        <f t="shared" si="1"/>
        <v>100.721</v>
      </c>
      <c r="I20" s="13">
        <f t="shared" ref="I20" si="13">ROUND(AVERAGE(H20:H21),2)</f>
        <v>100.35</v>
      </c>
    </row>
    <row r="21" spans="1:9">
      <c r="A21" s="8">
        <v>14</v>
      </c>
      <c r="B21" s="9">
        <v>10.804</v>
      </c>
      <c r="C21" s="10">
        <v>5.7629999999999999</v>
      </c>
      <c r="D21" s="8">
        <v>5.7629999999999999</v>
      </c>
      <c r="E21" s="10">
        <v>0.72099999999999997</v>
      </c>
      <c r="F21" s="10">
        <f t="shared" si="0"/>
        <v>99.98</v>
      </c>
      <c r="G21" s="13"/>
      <c r="H21" s="10">
        <f t="shared" si="1"/>
        <v>99.98</v>
      </c>
      <c r="I21" s="13"/>
    </row>
    <row r="22" spans="1:9">
      <c r="A22" s="8">
        <v>15</v>
      </c>
      <c r="B22" s="11">
        <v>10.72</v>
      </c>
      <c r="C22" s="10">
        <v>5.7270000000000003</v>
      </c>
      <c r="D22" s="8">
        <v>5.7240000000000002</v>
      </c>
      <c r="E22" s="10">
        <v>0.70799999999999996</v>
      </c>
      <c r="F22" s="10">
        <f t="shared" si="0"/>
        <v>99.481999999999999</v>
      </c>
      <c r="G22" s="13">
        <f t="shared" ref="G22" si="14">ROUND(AVERAGE(F22:F23),2)</f>
        <v>98.85</v>
      </c>
      <c r="H22" s="10">
        <f t="shared" si="1"/>
        <v>99.600999999999999</v>
      </c>
      <c r="I22" s="13">
        <f t="shared" ref="I22" si="15">ROUND(AVERAGE(H22:H23),2)</f>
        <v>98.97</v>
      </c>
    </row>
    <row r="23" spans="1:9">
      <c r="A23" s="8">
        <v>16</v>
      </c>
      <c r="B23" s="9">
        <v>10.771000000000001</v>
      </c>
      <c r="C23" s="10">
        <v>5.7880000000000003</v>
      </c>
      <c r="D23" s="8">
        <v>5.7850000000000001</v>
      </c>
      <c r="E23" s="10">
        <v>0.71499999999999997</v>
      </c>
      <c r="F23" s="10">
        <f t="shared" si="0"/>
        <v>98.225999999999999</v>
      </c>
      <c r="G23" s="13"/>
      <c r="H23" s="10">
        <f t="shared" si="1"/>
        <v>98.343000000000004</v>
      </c>
      <c r="I23" s="13"/>
    </row>
    <row r="24" spans="1:9">
      <c r="A24" s="8">
        <v>17</v>
      </c>
      <c r="B24" s="9">
        <v>10.718999999999999</v>
      </c>
      <c r="C24" s="10">
        <v>7.093</v>
      </c>
      <c r="D24" s="8">
        <v>7.0739999999999998</v>
      </c>
      <c r="E24" s="10">
        <v>0.71899999999999997</v>
      </c>
      <c r="F24" s="10">
        <f t="shared" si="0"/>
        <v>56.887</v>
      </c>
      <c r="G24" s="13">
        <f t="shared" ref="G24" si="16">ROUND(AVERAGE(F24:F25),2)</f>
        <v>56.83</v>
      </c>
      <c r="H24" s="10">
        <f t="shared" si="1"/>
        <v>57.356000000000002</v>
      </c>
      <c r="I24" s="13">
        <f t="shared" ref="I24" si="17">ROUND(AVERAGE(H24:H25),2)</f>
        <v>57.3</v>
      </c>
    </row>
    <row r="25" spans="1:9">
      <c r="A25" s="8">
        <v>18</v>
      </c>
      <c r="B25" s="9">
        <v>10.792999999999999</v>
      </c>
      <c r="C25" s="10">
        <v>7.1479999999999997</v>
      </c>
      <c r="D25" s="8">
        <v>7.1289999999999996</v>
      </c>
      <c r="E25" s="10">
        <v>0.72799999999999998</v>
      </c>
      <c r="F25" s="10">
        <f t="shared" si="0"/>
        <v>56.776000000000003</v>
      </c>
      <c r="G25" s="13"/>
      <c r="H25" s="10">
        <f t="shared" si="1"/>
        <v>57.241</v>
      </c>
      <c r="I25" s="13"/>
    </row>
    <row r="26" spans="1:9">
      <c r="A26" s="8">
        <v>19</v>
      </c>
      <c r="B26" s="9">
        <v>10.765000000000001</v>
      </c>
      <c r="C26" s="10">
        <v>6.9539999999999997</v>
      </c>
      <c r="D26" s="8">
        <v>6.9290000000000003</v>
      </c>
      <c r="E26" s="10">
        <v>0.72899999999999998</v>
      </c>
      <c r="F26" s="10">
        <f t="shared" si="0"/>
        <v>61.220999999999997</v>
      </c>
      <c r="G26" s="13">
        <f t="shared" ref="G26" si="18">ROUND(AVERAGE(F26:F27),2)</f>
        <v>60.3</v>
      </c>
      <c r="H26" s="10">
        <f t="shared" si="1"/>
        <v>61.871000000000002</v>
      </c>
      <c r="I26" s="13">
        <f t="shared" ref="I26" si="19">ROUND(AVERAGE(H26:H27),2)</f>
        <v>60.89</v>
      </c>
    </row>
    <row r="27" spans="1:9">
      <c r="A27" s="8">
        <v>20</v>
      </c>
      <c r="B27" s="9">
        <v>10.757999999999999</v>
      </c>
      <c r="C27" s="10">
        <v>7.0179999999999998</v>
      </c>
      <c r="D27" s="8">
        <v>6.9969999999999999</v>
      </c>
      <c r="E27" s="10">
        <v>0.71899999999999997</v>
      </c>
      <c r="F27" s="10">
        <f t="shared" si="0"/>
        <v>59.375</v>
      </c>
      <c r="G27" s="13"/>
      <c r="H27" s="10">
        <f t="shared" si="1"/>
        <v>59.908000000000001</v>
      </c>
      <c r="I27" s="13"/>
    </row>
    <row r="28" spans="1:9">
      <c r="A28" s="8">
        <v>21</v>
      </c>
      <c r="B28" s="9">
        <v>10.769</v>
      </c>
      <c r="C28" s="10">
        <v>7.2309999999999999</v>
      </c>
      <c r="D28" s="8">
        <v>7.2089999999999996</v>
      </c>
      <c r="E28" s="10">
        <v>0.71799999999999997</v>
      </c>
      <c r="F28" s="10">
        <f t="shared" si="0"/>
        <v>54.322000000000003</v>
      </c>
      <c r="G28" s="13">
        <f t="shared" ref="G28" si="20">ROUND(AVERAGE(F28:F29),2)</f>
        <v>54.27</v>
      </c>
      <c r="H28" s="10">
        <f t="shared" si="1"/>
        <v>54.844999999999999</v>
      </c>
      <c r="I28" s="13">
        <f t="shared" ref="I28" si="21">ROUND(AVERAGE(H28:H29),2)</f>
        <v>54.78</v>
      </c>
    </row>
    <row r="29" spans="1:9">
      <c r="A29" s="8">
        <v>22</v>
      </c>
      <c r="B29" s="9">
        <v>10.781000000000001</v>
      </c>
      <c r="C29" s="10">
        <v>7.2439999999999998</v>
      </c>
      <c r="D29" s="8">
        <v>7.2229999999999999</v>
      </c>
      <c r="E29" s="10">
        <v>0.72099999999999997</v>
      </c>
      <c r="F29" s="10">
        <f t="shared" si="0"/>
        <v>54.223999999999997</v>
      </c>
      <c r="G29" s="13"/>
      <c r="H29" s="10">
        <f t="shared" si="1"/>
        <v>54.722000000000001</v>
      </c>
      <c r="I29" s="13"/>
    </row>
    <row r="30" spans="1:9">
      <c r="A30" s="8">
        <v>23</v>
      </c>
      <c r="B30" s="9">
        <v>10.727</v>
      </c>
      <c r="C30" s="10">
        <v>7.3810000000000002</v>
      </c>
      <c r="D30" s="8">
        <v>7.3570000000000002</v>
      </c>
      <c r="E30" s="10">
        <v>0.72399999999999998</v>
      </c>
      <c r="F30" s="10">
        <f t="shared" si="0"/>
        <v>50.262999999999998</v>
      </c>
      <c r="G30" s="13">
        <f t="shared" ref="G30" si="22">ROUND(AVERAGE(F30:F31),2)</f>
        <v>50.14</v>
      </c>
      <c r="H30" s="10">
        <f t="shared" si="1"/>
        <v>50.807000000000002</v>
      </c>
      <c r="I30" s="13">
        <f t="shared" ref="I30" si="23">ROUND(AVERAGE(H30:H31),2)</f>
        <v>50.69</v>
      </c>
    </row>
    <row r="31" spans="1:9">
      <c r="A31" s="8">
        <v>24</v>
      </c>
      <c r="B31" s="9">
        <v>10.782999999999999</v>
      </c>
      <c r="C31" s="10">
        <v>7.43</v>
      </c>
      <c r="D31" s="8">
        <v>7.4050000000000002</v>
      </c>
      <c r="E31" s="10">
        <v>0.72599999999999998</v>
      </c>
      <c r="F31" s="10">
        <f t="shared" si="0"/>
        <v>50.015000000000001</v>
      </c>
      <c r="G31" s="13"/>
      <c r="H31" s="10">
        <f t="shared" si="1"/>
        <v>50.576000000000001</v>
      </c>
      <c r="I31" s="13"/>
    </row>
    <row r="32" spans="1:9">
      <c r="A32" s="8">
        <v>25</v>
      </c>
      <c r="B32" s="9">
        <v>10.754</v>
      </c>
      <c r="C32" s="10">
        <v>6.4279999999999999</v>
      </c>
      <c r="D32" s="8">
        <v>6.4480000000000004</v>
      </c>
      <c r="E32" s="10">
        <v>0.72499999999999998</v>
      </c>
      <c r="F32" s="10">
        <f t="shared" si="0"/>
        <v>75.855000000000004</v>
      </c>
      <c r="G32" s="13">
        <f t="shared" ref="G32" si="24">ROUND(AVERAGE(F32:F33),2)</f>
        <v>76.34</v>
      </c>
      <c r="H32" s="10">
        <f t="shared" si="1"/>
        <v>75.239999999999995</v>
      </c>
      <c r="I32" s="13">
        <f t="shared" ref="I32" si="25">ROUND(AVERAGE(H32:H33),2)</f>
        <v>75.739999999999995</v>
      </c>
    </row>
    <row r="33" spans="1:9">
      <c r="A33" s="8">
        <v>26</v>
      </c>
      <c r="B33" s="9">
        <v>10.811</v>
      </c>
      <c r="C33" s="10">
        <v>6.4249999999999998</v>
      </c>
      <c r="D33" s="8">
        <v>6.444</v>
      </c>
      <c r="E33" s="10">
        <v>0.71599999999999997</v>
      </c>
      <c r="F33" s="10">
        <f t="shared" si="0"/>
        <v>76.825999999999993</v>
      </c>
      <c r="G33" s="13"/>
      <c r="H33" s="10">
        <f t="shared" si="1"/>
        <v>76.239999999999995</v>
      </c>
      <c r="I33" s="13"/>
    </row>
    <row r="34" spans="1:9">
      <c r="A34" s="8">
        <v>27</v>
      </c>
      <c r="B34" s="9">
        <v>10.712</v>
      </c>
      <c r="C34" s="10">
        <v>6.3380000000000001</v>
      </c>
      <c r="D34" s="8">
        <v>6.3570000000000002</v>
      </c>
      <c r="E34" s="10">
        <v>0.70899999999999996</v>
      </c>
      <c r="F34" s="10">
        <f t="shared" si="0"/>
        <v>77.704999999999998</v>
      </c>
      <c r="G34" s="13">
        <f t="shared" ref="G34" si="26">ROUND(AVERAGE(F34:F35),2)</f>
        <v>77.62</v>
      </c>
      <c r="H34" s="10">
        <f t="shared" si="1"/>
        <v>77.106999999999999</v>
      </c>
      <c r="I34" s="13">
        <f t="shared" ref="I34" si="27">ROUND(AVERAGE(H34:H35),2)</f>
        <v>77</v>
      </c>
    </row>
    <row r="35" spans="1:9">
      <c r="A35" s="8">
        <v>28</v>
      </c>
      <c r="B35" s="9">
        <v>10.738</v>
      </c>
      <c r="C35" s="10">
        <v>6.36</v>
      </c>
      <c r="D35" s="8">
        <v>6.3810000000000002</v>
      </c>
      <c r="E35" s="10">
        <v>0.71399999999999997</v>
      </c>
      <c r="F35" s="10">
        <f t="shared" si="0"/>
        <v>77.542000000000002</v>
      </c>
      <c r="G35" s="13"/>
      <c r="H35" s="10">
        <f t="shared" si="1"/>
        <v>76.884</v>
      </c>
      <c r="I35" s="13"/>
    </row>
    <row r="36" spans="1:9">
      <c r="A36" s="8">
        <v>29</v>
      </c>
      <c r="B36" s="9">
        <v>10.753</v>
      </c>
      <c r="C36" s="10">
        <v>6.3579999999999997</v>
      </c>
      <c r="D36" s="8">
        <v>6.3789999999999996</v>
      </c>
      <c r="E36" s="10">
        <v>0.70599999999999996</v>
      </c>
      <c r="F36" s="10">
        <f t="shared" si="0"/>
        <v>77.760000000000005</v>
      </c>
      <c r="G36" s="13">
        <f t="shared" ref="G36" si="28">ROUND(AVERAGE(F36:F37),2)</f>
        <v>77.209999999999994</v>
      </c>
      <c r="H36" s="10">
        <f t="shared" si="1"/>
        <v>77.102000000000004</v>
      </c>
      <c r="I36" s="13">
        <f t="shared" ref="I36" si="29">ROUND(AVERAGE(H36:H37),2)</f>
        <v>76.569999999999993</v>
      </c>
    </row>
    <row r="37" spans="1:9">
      <c r="A37" s="8">
        <v>30</v>
      </c>
      <c r="B37" s="9">
        <v>10.747</v>
      </c>
      <c r="C37" s="10">
        <v>6.391</v>
      </c>
      <c r="D37" s="8">
        <v>6.4109999999999996</v>
      </c>
      <c r="E37" s="10">
        <v>0.70899999999999996</v>
      </c>
      <c r="F37" s="10">
        <f t="shared" si="0"/>
        <v>76.662999999999997</v>
      </c>
      <c r="G37" s="13"/>
      <c r="H37" s="10">
        <f t="shared" si="1"/>
        <v>76.043000000000006</v>
      </c>
      <c r="I37" s="13"/>
    </row>
    <row r="38" spans="1:9">
      <c r="A38" s="8">
        <v>31</v>
      </c>
      <c r="B38" s="9">
        <v>10.726000000000001</v>
      </c>
      <c r="C38" s="10">
        <v>6.9130000000000003</v>
      </c>
      <c r="D38" s="8">
        <v>6.9370000000000003</v>
      </c>
      <c r="E38" s="10">
        <v>0.70099999999999996</v>
      </c>
      <c r="F38" s="10">
        <f t="shared" si="0"/>
        <v>61.381</v>
      </c>
      <c r="G38" s="13">
        <f t="shared" ref="G38" si="30">ROUND(AVERAGE(F38:F39),2)</f>
        <v>61.3</v>
      </c>
      <c r="H38" s="10">
        <f t="shared" si="1"/>
        <v>60.76</v>
      </c>
      <c r="I38" s="13">
        <f t="shared" ref="I38" si="31">ROUND(AVERAGE(H38:H39),2)</f>
        <v>60.68</v>
      </c>
    </row>
    <row r="39" spans="1:9">
      <c r="A39" s="8">
        <v>32</v>
      </c>
      <c r="B39" s="11">
        <v>10.81</v>
      </c>
      <c r="C39" s="10">
        <v>6.9829999999999997</v>
      </c>
      <c r="D39" s="8">
        <v>7.0069999999999997</v>
      </c>
      <c r="E39" s="10">
        <v>0.73099999999999998</v>
      </c>
      <c r="F39" s="10">
        <f t="shared" si="0"/>
        <v>61.212000000000003</v>
      </c>
      <c r="G39" s="13"/>
      <c r="H39" s="10">
        <f t="shared" si="1"/>
        <v>60.595999999999997</v>
      </c>
      <c r="I39" s="13"/>
    </row>
    <row r="40" spans="1:9">
      <c r="A40" s="8">
        <v>33</v>
      </c>
      <c r="B40" s="9">
        <v>10.744999999999999</v>
      </c>
      <c r="C40" s="10">
        <v>6.38</v>
      </c>
      <c r="D40" s="8">
        <v>6.4039999999999999</v>
      </c>
      <c r="E40" s="10">
        <v>0.73</v>
      </c>
      <c r="F40" s="12">
        <f t="shared" si="0"/>
        <v>77.257000000000005</v>
      </c>
      <c r="G40" s="13">
        <f t="shared" ref="G40" si="32">ROUND(AVERAGE(F40:F41),2)</f>
        <v>70.900000000000006</v>
      </c>
      <c r="H40" s="12">
        <f t="shared" si="1"/>
        <v>76.507000000000005</v>
      </c>
      <c r="I40" s="13">
        <f t="shared" ref="I40" si="33">ROUND(AVERAGE(H40:H41),2)</f>
        <v>70.209999999999994</v>
      </c>
    </row>
    <row r="41" spans="1:9">
      <c r="A41" s="8">
        <v>34</v>
      </c>
      <c r="B41" s="9">
        <v>10.744999999999999</v>
      </c>
      <c r="C41" s="10">
        <v>6.8090000000000002</v>
      </c>
      <c r="D41" s="8">
        <v>6.8319999999999999</v>
      </c>
      <c r="E41" s="10">
        <v>0.71</v>
      </c>
      <c r="F41" s="12">
        <f t="shared" si="0"/>
        <v>64.534999999999997</v>
      </c>
      <c r="G41" s="13"/>
      <c r="H41" s="12">
        <f t="shared" si="1"/>
        <v>63.917000000000002</v>
      </c>
      <c r="I41" s="13"/>
    </row>
    <row r="42" spans="1:9">
      <c r="A42" s="8">
        <v>35</v>
      </c>
      <c r="B42" s="9">
        <v>10.772</v>
      </c>
      <c r="C42" s="10">
        <v>6.6680000000000001</v>
      </c>
      <c r="D42" s="8">
        <v>6.6879999999999997</v>
      </c>
      <c r="E42" s="10">
        <v>0.70799999999999996</v>
      </c>
      <c r="F42" s="10">
        <f t="shared" si="0"/>
        <v>68.858999999999995</v>
      </c>
      <c r="G42" s="13">
        <f t="shared" ref="G42" si="34">ROUND(AVERAGE(F42:F43),2)</f>
        <v>68.989999999999995</v>
      </c>
      <c r="H42" s="10">
        <f>ROUND((B42-D42)/(D42-E42)*100,3)</f>
        <v>68.293999999999997</v>
      </c>
      <c r="I42" s="13">
        <f t="shared" ref="I42" si="35">ROUND(AVERAGE(H42:H43),2)</f>
        <v>68.459999999999994</v>
      </c>
    </row>
    <row r="43" spans="1:9">
      <c r="A43" s="8">
        <v>36</v>
      </c>
      <c r="B43" s="9">
        <v>10.737</v>
      </c>
      <c r="C43" s="10">
        <v>6.6349999999999998</v>
      </c>
      <c r="D43" s="8">
        <v>6.6520000000000001</v>
      </c>
      <c r="E43" s="10">
        <v>0.7</v>
      </c>
      <c r="F43" s="10">
        <f t="shared" si="0"/>
        <v>69.114999999999995</v>
      </c>
      <c r="G43" s="13"/>
      <c r="H43" s="10">
        <f t="shared" si="1"/>
        <v>68.632000000000005</v>
      </c>
      <c r="I43" s="13"/>
    </row>
  </sheetData>
  <mergeCells count="42">
    <mergeCell ref="B5:B6"/>
    <mergeCell ref="C5:D5"/>
    <mergeCell ref="E5:E6"/>
    <mergeCell ref="G8:G9"/>
    <mergeCell ref="G32:G33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I8:I9"/>
    <mergeCell ref="I10:I11"/>
    <mergeCell ref="I12:I13"/>
    <mergeCell ref="I14:I15"/>
    <mergeCell ref="I16:I17"/>
    <mergeCell ref="G34:G35"/>
    <mergeCell ref="G36:G37"/>
    <mergeCell ref="G38:G39"/>
    <mergeCell ref="G40:G41"/>
    <mergeCell ref="G42:G43"/>
    <mergeCell ref="I42:I43"/>
    <mergeCell ref="F5:I5"/>
    <mergeCell ref="A5:A7"/>
    <mergeCell ref="A1:I2"/>
    <mergeCell ref="I30:I31"/>
    <mergeCell ref="I32:I33"/>
    <mergeCell ref="I34:I35"/>
    <mergeCell ref="I36:I37"/>
    <mergeCell ref="I38:I39"/>
    <mergeCell ref="I40:I41"/>
    <mergeCell ref="I18:I19"/>
    <mergeCell ref="I20:I21"/>
    <mergeCell ref="I22:I23"/>
    <mergeCell ref="I24:I25"/>
    <mergeCell ref="I26:I27"/>
    <mergeCell ref="I28:I2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2017-04-10T02:17:39Z</dcterms:modified>
</cp:coreProperties>
</file>