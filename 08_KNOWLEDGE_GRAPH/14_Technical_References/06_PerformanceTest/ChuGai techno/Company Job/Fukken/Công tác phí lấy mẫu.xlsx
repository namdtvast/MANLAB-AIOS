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Fukken\"/>
    </mc:Choice>
  </mc:AlternateContent>
  <bookViews>
    <workbookView xWindow="0" yWindow="0" windowWidth="20490" windowHeight="7755"/>
  </bookViews>
  <sheets>
    <sheet name="1" sheetId="1" r:id="rId1"/>
  </sheets>
  <definedNames>
    <definedName name="_xlnm._FilterDatabase" localSheetId="0" hidden="1">'1'!$B$5:$DO$29</definedName>
    <definedName name="Passage" localSheetId="0">'1'!$Q$7</definedName>
    <definedName name="Passage">'1'!$Q$7</definedName>
    <definedName name="_xlnm.Print_Area" localSheetId="0">'1'!$A$1:$DN$43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41" i="1" l="1"/>
  <c r="AN41" i="1"/>
  <c r="AD41" i="1"/>
  <c r="AT40" i="1"/>
  <c r="AN40" i="1"/>
  <c r="BR39" i="1"/>
  <c r="BL39" i="1"/>
  <c r="AT39" i="1"/>
  <c r="AN39" i="1"/>
  <c r="AT38" i="1"/>
  <c r="AN38" i="1"/>
  <c r="AT37" i="1"/>
  <c r="AN37" i="1"/>
  <c r="AT36" i="1"/>
  <c r="AN36" i="1"/>
  <c r="BR34" i="1"/>
  <c r="BL34" i="1"/>
  <c r="BR33" i="1"/>
  <c r="BL33" i="1"/>
  <c r="BR32" i="1"/>
  <c r="BL32" i="1"/>
  <c r="DR29" i="1"/>
  <c r="DQ29" i="1"/>
  <c r="DP29" i="1"/>
  <c r="DO29" i="1"/>
  <c r="DF29" i="1"/>
  <c r="DB29" i="1"/>
  <c r="CX29" i="1"/>
  <c r="CT29" i="1"/>
  <c r="CP29" i="1"/>
  <c r="CL29" i="1"/>
  <c r="CH29" i="1"/>
  <c r="CD29" i="1"/>
  <c r="BZ29" i="1"/>
  <c r="BP29" i="1"/>
  <c r="DJ28" i="1"/>
  <c r="BM28" i="1"/>
  <c r="BJ28" i="1"/>
  <c r="DJ27" i="1"/>
  <c r="BM27" i="1"/>
  <c r="BJ27" i="1"/>
  <c r="DJ26" i="1"/>
  <c r="BM26" i="1"/>
  <c r="BJ26" i="1"/>
  <c r="DJ25" i="1"/>
  <c r="BM25" i="1"/>
  <c r="BJ25" i="1"/>
  <c r="DJ24" i="1"/>
  <c r="BM24" i="1"/>
  <c r="BJ24" i="1"/>
  <c r="DJ23" i="1"/>
  <c r="BM23" i="1"/>
  <c r="BJ23" i="1"/>
  <c r="DJ22" i="1"/>
  <c r="BM22" i="1"/>
  <c r="BJ22" i="1"/>
  <c r="DJ21" i="1"/>
  <c r="BM21" i="1"/>
  <c r="BJ21" i="1"/>
  <c r="DJ20" i="1"/>
  <c r="BM20" i="1"/>
  <c r="BJ20" i="1"/>
  <c r="DJ19" i="1"/>
  <c r="BM19" i="1"/>
  <c r="BJ19" i="1"/>
  <c r="EL18" i="1"/>
  <c r="BL38" i="1" s="1"/>
  <c r="EF18" i="1"/>
  <c r="EG18" i="1" s="1"/>
  <c r="AT35" i="1" s="1"/>
  <c r="DY18" i="1"/>
  <c r="DV18" i="1"/>
  <c r="DX18" i="1" s="1"/>
  <c r="DU18" i="1"/>
  <c r="DW18" i="1" s="1"/>
  <c r="DT18" i="1"/>
  <c r="DS18" i="1"/>
  <c r="DR18" i="1"/>
  <c r="DQ18" i="1"/>
  <c r="DP18" i="1"/>
  <c r="DO18" i="1"/>
  <c r="DJ18" i="1"/>
  <c r="BM18" i="1"/>
  <c r="BJ18" i="1"/>
  <c r="EL17" i="1"/>
  <c r="EM17" i="1" s="1"/>
  <c r="BR37" i="1" s="1"/>
  <c r="EG17" i="1"/>
  <c r="AT34" i="1" s="1"/>
  <c r="EF17" i="1"/>
  <c r="AN34" i="1" s="1"/>
  <c r="DY17" i="1"/>
  <c r="DV17" i="1"/>
  <c r="DX17" i="1" s="1"/>
  <c r="DU17" i="1"/>
  <c r="DW17" i="1" s="1"/>
  <c r="DT17" i="1"/>
  <c r="DS17" i="1"/>
  <c r="DR17" i="1"/>
  <c r="DQ17" i="1"/>
  <c r="DP17" i="1"/>
  <c r="DO17" i="1"/>
  <c r="DJ17" i="1"/>
  <c r="BM17" i="1"/>
  <c r="BJ17" i="1"/>
  <c r="EL16" i="1"/>
  <c r="BL36" i="1" s="1"/>
  <c r="EG16" i="1"/>
  <c r="AT33" i="1" s="1"/>
  <c r="EF16" i="1"/>
  <c r="AN33" i="1" s="1"/>
  <c r="DY16" i="1"/>
  <c r="DW16" i="1"/>
  <c r="DV16" i="1"/>
  <c r="DX16" i="1" s="1"/>
  <c r="DU16" i="1"/>
  <c r="DT16" i="1"/>
  <c r="DS16" i="1"/>
  <c r="DR16" i="1"/>
  <c r="DQ16" i="1"/>
  <c r="DP16" i="1"/>
  <c r="DO16" i="1"/>
  <c r="DJ16" i="1"/>
  <c r="BM16" i="1"/>
  <c r="BJ16" i="1"/>
  <c r="EM15" i="1"/>
  <c r="EL15" i="1"/>
  <c r="EF15" i="1"/>
  <c r="EG15" i="1" s="1"/>
  <c r="DY15" i="1"/>
  <c r="DW15" i="1"/>
  <c r="DV15" i="1"/>
  <c r="DX15" i="1" s="1"/>
  <c r="DU15" i="1"/>
  <c r="DT15" i="1"/>
  <c r="DS15" i="1"/>
  <c r="DR15" i="1"/>
  <c r="DQ15" i="1"/>
  <c r="DP15" i="1"/>
  <c r="DO15" i="1"/>
  <c r="DJ15" i="1"/>
  <c r="BM15" i="1"/>
  <c r="BJ15" i="1"/>
  <c r="EM14" i="1"/>
  <c r="EL14" i="1"/>
  <c r="EF14" i="1"/>
  <c r="EG14" i="1" s="1"/>
  <c r="DY14" i="1"/>
  <c r="DV14" i="1"/>
  <c r="DX14" i="1" s="1"/>
  <c r="DU14" i="1"/>
  <c r="DW14" i="1" s="1"/>
  <c r="DT14" i="1"/>
  <c r="DS14" i="1"/>
  <c r="DR14" i="1"/>
  <c r="DQ14" i="1"/>
  <c r="DP14" i="1"/>
  <c r="DO14" i="1"/>
  <c r="DJ14" i="1"/>
  <c r="BM14" i="1"/>
  <c r="BJ14" i="1"/>
  <c r="EL13" i="1"/>
  <c r="EM13" i="1" s="1"/>
  <c r="EG13" i="1"/>
  <c r="EF13" i="1"/>
  <c r="DY13" i="1"/>
  <c r="DV13" i="1"/>
  <c r="DX13" i="1" s="1"/>
  <c r="DU13" i="1"/>
  <c r="DW13" i="1" s="1"/>
  <c r="DT13" i="1"/>
  <c r="DS13" i="1"/>
  <c r="DR13" i="1"/>
  <c r="DQ13" i="1"/>
  <c r="DP13" i="1"/>
  <c r="DO13" i="1"/>
  <c r="DJ13" i="1"/>
  <c r="BM13" i="1"/>
  <c r="BJ13" i="1"/>
  <c r="EL12" i="1"/>
  <c r="EM12" i="1" s="1"/>
  <c r="EG12" i="1"/>
  <c r="EF12" i="1"/>
  <c r="DY12" i="1"/>
  <c r="DW12" i="1"/>
  <c r="DV12" i="1"/>
  <c r="DX12" i="1" s="1"/>
  <c r="DU12" i="1"/>
  <c r="DT12" i="1"/>
  <c r="DS12" i="1"/>
  <c r="DR12" i="1"/>
  <c r="DQ12" i="1"/>
  <c r="DP12" i="1"/>
  <c r="DO12" i="1"/>
  <c r="DJ12" i="1"/>
  <c r="BM12" i="1"/>
  <c r="BJ12" i="1"/>
  <c r="EM11" i="1"/>
  <c r="EL11" i="1"/>
  <c r="EF11" i="1"/>
  <c r="EG11" i="1" s="1"/>
  <c r="DY11" i="1"/>
  <c r="DV11" i="1"/>
  <c r="DX11" i="1" s="1"/>
  <c r="DU11" i="1"/>
  <c r="DW11" i="1" s="1"/>
  <c r="DT11" i="1"/>
  <c r="DS11" i="1"/>
  <c r="DR11" i="1"/>
  <c r="DQ11" i="1"/>
  <c r="DP11" i="1"/>
  <c r="DO11" i="1"/>
  <c r="DJ11" i="1"/>
  <c r="BM11" i="1"/>
  <c r="BJ11" i="1"/>
  <c r="EM10" i="1"/>
  <c r="EL10" i="1"/>
  <c r="EF10" i="1"/>
  <c r="EG10" i="1" s="1"/>
  <c r="DY10" i="1"/>
  <c r="DV10" i="1"/>
  <c r="DX10" i="1" s="1"/>
  <c r="DU10" i="1"/>
  <c r="DW10" i="1" s="1"/>
  <c r="DT10" i="1"/>
  <c r="DS10" i="1"/>
  <c r="DR10" i="1"/>
  <c r="DQ10" i="1"/>
  <c r="DP10" i="1"/>
  <c r="DO10" i="1"/>
  <c r="DJ10" i="1"/>
  <c r="BM10" i="1"/>
  <c r="BJ10" i="1"/>
  <c r="EL9" i="1"/>
  <c r="BL35" i="1" s="1"/>
  <c r="EG9" i="1"/>
  <c r="AT32" i="1" s="1"/>
  <c r="EF9" i="1"/>
  <c r="AN32" i="1" s="1"/>
  <c r="DY9" i="1"/>
  <c r="DV9" i="1"/>
  <c r="DX9" i="1" s="1"/>
  <c r="DU9" i="1"/>
  <c r="DW9" i="1" s="1"/>
  <c r="DT9" i="1"/>
  <c r="DS9" i="1"/>
  <c r="DR9" i="1"/>
  <c r="DQ9" i="1"/>
  <c r="DP9" i="1"/>
  <c r="DO9" i="1"/>
  <c r="DJ9" i="1"/>
  <c r="BM9" i="1"/>
  <c r="BJ9" i="1"/>
  <c r="E9" i="1"/>
  <c r="EL8" i="1"/>
  <c r="EM8" i="1" s="1"/>
  <c r="EG8" i="1"/>
  <c r="EF8" i="1"/>
  <c r="DY8" i="1"/>
  <c r="DW8" i="1"/>
  <c r="DV8" i="1"/>
  <c r="DX8" i="1" s="1"/>
  <c r="DU8" i="1"/>
  <c r="DT8" i="1"/>
  <c r="DS8" i="1"/>
  <c r="DR8" i="1"/>
  <c r="DQ8" i="1"/>
  <c r="DP8" i="1"/>
  <c r="DO8" i="1"/>
  <c r="DJ8" i="1"/>
  <c r="BM8" i="1"/>
  <c r="BJ8" i="1"/>
  <c r="E8" i="1"/>
  <c r="EM7" i="1"/>
  <c r="EL7" i="1"/>
  <c r="EF7" i="1"/>
  <c r="EG7" i="1" s="1"/>
  <c r="DY7" i="1"/>
  <c r="DV7" i="1"/>
  <c r="DU7" i="1"/>
  <c r="DW7" i="1" s="1"/>
  <c r="DT7" i="1"/>
  <c r="DS7" i="1"/>
  <c r="DR7" i="1"/>
  <c r="DQ7" i="1"/>
  <c r="DP7" i="1"/>
  <c r="DO7" i="1"/>
  <c r="DJ7" i="1"/>
  <c r="BM7" i="1"/>
  <c r="BJ7" i="1"/>
  <c r="E7" i="1"/>
  <c r="DJ29" i="1" l="1"/>
  <c r="DA36" i="1" s="1"/>
  <c r="BJ29" i="1"/>
  <c r="DY29" i="1"/>
  <c r="DX30" i="1" s="1"/>
  <c r="BM29" i="1"/>
  <c r="DU29" i="1"/>
  <c r="DW29" i="1" s="1"/>
  <c r="DV29" i="1"/>
  <c r="DX29" i="1" s="1"/>
  <c r="EM18" i="1"/>
  <c r="BR38" i="1" s="1"/>
  <c r="BL37" i="1"/>
  <c r="AN35" i="1"/>
  <c r="EM9" i="1"/>
  <c r="BR35" i="1" s="1"/>
  <c r="DX7" i="1"/>
  <c r="EM16" i="1"/>
  <c r="BR36" i="1" s="1"/>
  <c r="DW30" i="1" l="1"/>
</calcChain>
</file>

<file path=xl/comments1.xml><?xml version="1.0" encoding="utf-8"?>
<comments xmlns="http://schemas.openxmlformats.org/spreadsheetml/2006/main">
  <authors>
    <author>k.okimori</author>
  </authors>
  <commentList>
    <comment ref="EA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ここは、自由に編集して下さい。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<sst xmlns="http://schemas.openxmlformats.org/spreadsheetml/2006/main" count="183" uniqueCount="107">
  <si>
    <t>Official trip schedule</t>
  </si>
  <si>
    <t>～</t>
    <phoneticPr fontId="0"/>
  </si>
  <si>
    <t>Date Submitted</t>
    <phoneticPr fontId="0"/>
  </si>
  <si>
    <t>Office Code</t>
    <phoneticPr fontId="0"/>
  </si>
  <si>
    <t>VN</t>
  </si>
  <si>
    <t>Office Name</t>
    <phoneticPr fontId="0"/>
  </si>
  <si>
    <t>Chugai Technos Vietnam</t>
    <phoneticPr fontId="0"/>
  </si>
  <si>
    <t>Enployee Code</t>
    <phoneticPr fontId="0"/>
  </si>
  <si>
    <t>Name</t>
    <phoneticPr fontId="0"/>
  </si>
  <si>
    <t>Ta Tran Hoai</t>
  </si>
  <si>
    <t>Subject Line</t>
    <phoneticPr fontId="0"/>
  </si>
  <si>
    <t>Member of a Party</t>
    <phoneticPr fontId="0"/>
  </si>
  <si>
    <t>Nguyen Le Khanh</t>
  </si>
  <si>
    <t>Date</t>
    <phoneticPr fontId="0"/>
  </si>
  <si>
    <t>Day</t>
    <phoneticPr fontId="0"/>
  </si>
  <si>
    <t>JOB NO</t>
    <phoneticPr fontId="0"/>
  </si>
  <si>
    <t>Sub</t>
    <phoneticPr fontId="0"/>
  </si>
  <si>
    <t>Section</t>
    <phoneticPr fontId="0"/>
  </si>
  <si>
    <t>Destination</t>
    <phoneticPr fontId="0"/>
  </si>
  <si>
    <t xml:space="preserve">Site・Work </t>
    <phoneticPr fontId="0"/>
  </si>
  <si>
    <t>Allowance1</t>
  </si>
  <si>
    <t>Allowance2</t>
  </si>
  <si>
    <t>Passage Allowance</t>
  </si>
  <si>
    <t>Departure・Launch</t>
  </si>
  <si>
    <t>Arrival・Close</t>
  </si>
  <si>
    <t>Working time</t>
  </si>
  <si>
    <t>Passage</t>
  </si>
  <si>
    <t>Work</t>
  </si>
  <si>
    <t>Break</t>
  </si>
  <si>
    <t>Accommodation</t>
  </si>
  <si>
    <t>Trip allowance</t>
  </si>
  <si>
    <t>Additional
Allowance</t>
  </si>
  <si>
    <t>Train</t>
    <phoneticPr fontId="0"/>
  </si>
  <si>
    <t>Express</t>
    <phoneticPr fontId="0"/>
  </si>
  <si>
    <r>
      <t xml:space="preserve">Airplane
</t>
    </r>
    <r>
      <rPr>
        <sz val="8"/>
        <color indexed="10"/>
        <rFont val="ＭＳ Ｐゴシック"/>
        <family val="3"/>
        <charset val="128"/>
      </rPr>
      <t>(Reciept)</t>
    </r>
  </si>
  <si>
    <r>
      <t xml:space="preserve">Taxi
</t>
    </r>
    <r>
      <rPr>
        <sz val="8"/>
        <color indexed="10"/>
        <rFont val="ＭＳ Ｐゴシック"/>
        <family val="3"/>
        <charset val="128"/>
      </rPr>
      <t>(Reciept)</t>
    </r>
  </si>
  <si>
    <t>Bus</t>
    <phoneticPr fontId="0"/>
  </si>
  <si>
    <r>
      <t xml:space="preserve">Highway
</t>
    </r>
    <r>
      <rPr>
        <sz val="8"/>
        <color indexed="10"/>
        <rFont val="ＭＳ Ｐゴシック"/>
        <family val="3"/>
        <charset val="128"/>
      </rPr>
      <t>(Reciept)</t>
    </r>
  </si>
  <si>
    <t>Total</t>
    <phoneticPr fontId="0"/>
  </si>
  <si>
    <r>
      <t>P</t>
    </r>
    <r>
      <rPr>
        <sz val="11"/>
        <rFont val="ＭＳ Ｐゴシック"/>
        <family val="3"/>
        <charset val="128"/>
      </rPr>
      <t>lace</t>
    </r>
  </si>
  <si>
    <t>名称</t>
    <rPh sb="0" eb="2">
      <t>メイショウ</t>
    </rPh>
    <phoneticPr fontId="0"/>
  </si>
  <si>
    <t>単価</t>
    <rPh sb="0" eb="2">
      <t>タンカ</t>
    </rPh>
    <phoneticPr fontId="0"/>
  </si>
  <si>
    <t>数量</t>
    <rPh sb="0" eb="2">
      <t>スウリョウ</t>
    </rPh>
    <phoneticPr fontId="0"/>
  </si>
  <si>
    <t>合計</t>
    <rPh sb="0" eb="2">
      <t>ゴウケイ</t>
    </rPh>
    <phoneticPr fontId="0"/>
  </si>
  <si>
    <t>区分名称</t>
    <rPh sb="0" eb="2">
      <t>クブン</t>
    </rPh>
    <rPh sb="2" eb="4">
      <t>メイショウ</t>
    </rPh>
    <phoneticPr fontId="0"/>
  </si>
  <si>
    <t>ＥＴＣ</t>
    <phoneticPr fontId="0"/>
  </si>
  <si>
    <t>車両区分</t>
    <rPh sb="0" eb="2">
      <t>シャリョウ</t>
    </rPh>
    <rPh sb="2" eb="4">
      <t>クブン</t>
    </rPh>
    <phoneticPr fontId="0"/>
  </si>
  <si>
    <t>Time</t>
    <phoneticPr fontId="0"/>
  </si>
  <si>
    <t>Place</t>
    <phoneticPr fontId="0"/>
  </si>
  <si>
    <t>From</t>
  </si>
  <si>
    <t>To</t>
  </si>
  <si>
    <t>H</t>
    <phoneticPr fontId="0"/>
  </si>
  <si>
    <t>M</t>
    <phoneticPr fontId="0"/>
  </si>
  <si>
    <r>
      <t>L</t>
    </r>
    <r>
      <rPr>
        <sz val="11"/>
        <rFont val="ＭＳ Ｐゴシック"/>
        <family val="3"/>
        <charset val="128"/>
      </rPr>
      <t>ist</t>
    </r>
  </si>
  <si>
    <t>-</t>
    <phoneticPr fontId="0"/>
  </si>
  <si>
    <t>Company</t>
  </si>
  <si>
    <t>-</t>
  </si>
  <si>
    <r>
      <t>C</t>
    </r>
    <r>
      <rPr>
        <sz val="11"/>
        <rFont val="ＭＳ Ｐゴシック"/>
        <family val="3"/>
        <charset val="128"/>
      </rPr>
      <t>hugai Technos</t>
    </r>
  </si>
  <si>
    <t>海</t>
    <rPh sb="0" eb="1">
      <t>ウミ</t>
    </rPh>
    <phoneticPr fontId="0"/>
  </si>
  <si>
    <t>海外</t>
    <rPh sb="0" eb="2">
      <t>カイガイ</t>
    </rPh>
    <phoneticPr fontId="0"/>
  </si>
  <si>
    <t>有</t>
    <rPh sb="0" eb="1">
      <t>アリ</t>
    </rPh>
    <phoneticPr fontId="0"/>
  </si>
  <si>
    <t>社</t>
    <rPh sb="0" eb="1">
      <t>シャ</t>
    </rPh>
    <phoneticPr fontId="0"/>
  </si>
  <si>
    <t>測</t>
    <rPh sb="0" eb="1">
      <t>ハカリ</t>
    </rPh>
    <phoneticPr fontId="0"/>
  </si>
  <si>
    <t>測定・検査</t>
    <rPh sb="0" eb="2">
      <t>ソクテイ</t>
    </rPh>
    <rPh sb="3" eb="5">
      <t>ケンサ</t>
    </rPh>
    <phoneticPr fontId="0"/>
  </si>
  <si>
    <t>移１</t>
    <rPh sb="0" eb="1">
      <t>ワタル</t>
    </rPh>
    <phoneticPr fontId="0"/>
  </si>
  <si>
    <t>移動(1-2)</t>
    <phoneticPr fontId="0"/>
  </si>
  <si>
    <t>c</t>
  </si>
  <si>
    <t>レ</t>
    <phoneticPr fontId="0"/>
  </si>
  <si>
    <t>放</t>
    <rPh sb="0" eb="1">
      <t>ホウ</t>
    </rPh>
    <phoneticPr fontId="0"/>
  </si>
  <si>
    <t>放管</t>
    <rPh sb="0" eb="1">
      <t>ホウ</t>
    </rPh>
    <phoneticPr fontId="0"/>
  </si>
  <si>
    <t>移２</t>
    <rPh sb="0" eb="1">
      <t>ワタル</t>
    </rPh>
    <phoneticPr fontId="0"/>
  </si>
  <si>
    <t>移動(2-3)</t>
    <phoneticPr fontId="0"/>
  </si>
  <si>
    <t>同乗</t>
    <rPh sb="0" eb="2">
      <t>ドウジョウ</t>
    </rPh>
    <phoneticPr fontId="0"/>
  </si>
  <si>
    <t>ガ</t>
    <phoneticPr fontId="0"/>
  </si>
  <si>
    <t>ガス害</t>
    <rPh sb="2" eb="3">
      <t>ガイ</t>
    </rPh>
    <phoneticPr fontId="0"/>
  </si>
  <si>
    <t>移３</t>
    <rPh sb="0" eb="1">
      <t>ワタル</t>
    </rPh>
    <phoneticPr fontId="0"/>
  </si>
  <si>
    <t>移動(3-4)</t>
    <phoneticPr fontId="0"/>
  </si>
  <si>
    <t>Movement</t>
  </si>
  <si>
    <t>高</t>
    <rPh sb="0" eb="1">
      <t>タカ</t>
    </rPh>
    <phoneticPr fontId="0"/>
  </si>
  <si>
    <t>高所作業</t>
    <phoneticPr fontId="0"/>
  </si>
  <si>
    <t>移４</t>
    <rPh sb="0" eb="1">
      <t>ワタル</t>
    </rPh>
    <phoneticPr fontId="0"/>
  </si>
  <si>
    <t>移動(4-5)</t>
    <phoneticPr fontId="0"/>
  </si>
  <si>
    <t>①</t>
    <phoneticPr fontId="0"/>
  </si>
  <si>
    <t>Except Travel Bill</t>
  </si>
  <si>
    <t>Item</t>
    <phoneticPr fontId="0"/>
  </si>
  <si>
    <t>Price</t>
    <phoneticPr fontId="0"/>
  </si>
  <si>
    <t xml:space="preserve"> For Salary （Allowance）</t>
    <phoneticPr fontId="0"/>
  </si>
  <si>
    <t>Total</t>
  </si>
  <si>
    <t>Check</t>
    <phoneticPr fontId="0"/>
  </si>
  <si>
    <t>Remarks　　※Reason Taxi Utilization</t>
    <phoneticPr fontId="0"/>
  </si>
  <si>
    <t>Accountant</t>
  </si>
  <si>
    <t>General Director</t>
  </si>
  <si>
    <t>Employee</t>
  </si>
  <si>
    <t>Total　（①+②）</t>
    <phoneticPr fontId="0"/>
  </si>
  <si>
    <t>　</t>
    <phoneticPr fontId="0"/>
  </si>
  <si>
    <t>合　計　（②）　　</t>
    <rPh sb="0" eb="1">
      <t>ゴウ</t>
    </rPh>
    <rPh sb="2" eb="3">
      <t>ケイ</t>
    </rPh>
    <phoneticPr fontId="0"/>
  </si>
  <si>
    <t>Total　（②）　　</t>
    <phoneticPr fontId="0"/>
  </si>
  <si>
    <t>Creation Date：2014/8/1</t>
    <phoneticPr fontId="0"/>
  </si>
  <si>
    <t>CHUGAI TECHNOS VIETNAM CO., LTD</t>
  </si>
  <si>
    <t>Sampling</t>
  </si>
  <si>
    <t>Transport from site to company</t>
  </si>
  <si>
    <t>Ba Ria Vung Tau</t>
  </si>
  <si>
    <t>Ho Chi Minh City</t>
  </si>
  <si>
    <t>1/1</t>
  </si>
  <si>
    <t>2016 - VN - 09 - 0003</t>
  </si>
  <si>
    <t>Underground water sampling</t>
  </si>
  <si>
    <t>Transport from company to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</si>
</sst>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yyyy/m/d;@"/>
    <numFmt numFmtId="165" formatCode="m/d;@"/>
    <numFmt numFmtId="166" formatCode="aaa"/>
    <numFmt numFmtId="167" formatCode="0000&quot;-&quot;0000&quot;-&quot;00&quot;-&quot;0000"/>
    <numFmt numFmtId="168" formatCode="&quot;-&quot;00"/>
    <numFmt numFmtId="169" formatCode="0_ "/>
    <numFmt numFmtId="170" formatCode="00"/>
    <numFmt numFmtId="171" formatCode="0.0_ "/>
    <numFmt numFmtId="172" formatCode="#,###"/>
    <numFmt numFmtId="173" formatCode="&quot;@&quot;0"/>
    <numFmt numFmtId="174" formatCode="#,##0_ "/>
    <numFmt numFmtId="175" formatCode="&quot;@&quot;#,##0"/>
  </numFmts>
  <fonts count="2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6"/>
      <name val="ＭＳ Ｐゴシック"/>
    </font>
    <font>
      <b/>
      <sz val="10"/>
      <name val="ＭＳ Ｐゴシック"/>
    </font>
    <font>
      <sz val="16"/>
      <name val="ＭＳ Ｐゴシック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HG丸ｺﾞｼｯｸM-PRO"/>
      <family val="3"/>
      <charset val="128"/>
    </font>
    <font>
      <sz val="12"/>
      <name val="HG丸ｺﾞｼｯｸM-PRO"/>
      <family val="3"/>
      <charset val="128"/>
    </font>
    <font>
      <sz val="12"/>
      <name val="Times New Roman"/>
      <family val="1"/>
    </font>
    <font>
      <sz val="10"/>
      <name val="Times New Roman"/>
      <family val="1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16">
    <xf numFmtId="0" fontId="0" fillId="0" borderId="0" xfId="0">
      <alignment vertical="center"/>
    </xf>
    <xf numFmtId="0" fontId="2" fillId="0" borderId="0" xfId="0" applyFont="1" applyFill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Protection="1">
      <alignment vertical="center"/>
    </xf>
    <xf numFmtId="0" fontId="1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Protection="1">
      <alignment vertical="center"/>
    </xf>
    <xf numFmtId="0" fontId="2" fillId="0" borderId="5" xfId="0" applyFont="1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/>
    </xf>
    <xf numFmtId="0" fontId="3" fillId="0" borderId="5" xfId="0" applyFont="1" applyFill="1" applyBorder="1" applyAlignment="1" applyProtection="1">
      <alignment vertical="center" wrapText="1"/>
    </xf>
    <xf numFmtId="0" fontId="3" fillId="0" borderId="5" xfId="0" applyFont="1" applyFill="1" applyBorder="1" applyAlignment="1" applyProtection="1">
      <alignment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0" fontId="1" fillId="0" borderId="16" xfId="0" applyFont="1" applyFill="1" applyBorder="1" applyAlignment="1" applyProtection="1">
      <alignment horizontal="center" vertical="center"/>
    </xf>
    <xf numFmtId="0" fontId="0" fillId="2" borderId="13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vertical="center"/>
    </xf>
    <xf numFmtId="0" fontId="1" fillId="2" borderId="17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10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3" fillId="0" borderId="0" xfId="0" applyFont="1" applyFill="1" applyProtection="1">
      <alignment vertical="center"/>
    </xf>
    <xf numFmtId="0" fontId="2" fillId="0" borderId="2" xfId="0" applyFont="1" applyFill="1" applyBorder="1" applyAlignment="1" applyProtection="1">
      <alignment horizontal="center" vertical="center"/>
    </xf>
    <xf numFmtId="0" fontId="0" fillId="2" borderId="27" xfId="0" applyFont="1" applyFill="1" applyBorder="1" applyAlignment="1" applyProtection="1">
      <alignment horizontal="center" vertical="center"/>
    </xf>
    <xf numFmtId="0" fontId="1" fillId="2" borderId="28" xfId="0" applyFont="1" applyFill="1" applyBorder="1" applyAlignment="1" applyProtection="1">
      <alignment vertical="center"/>
    </xf>
    <xf numFmtId="0" fontId="1" fillId="2" borderId="29" xfId="0" applyFont="1" applyFill="1" applyBorder="1" applyAlignment="1" applyProtection="1">
      <alignment vertical="center"/>
    </xf>
    <xf numFmtId="0" fontId="1" fillId="2" borderId="27" xfId="0" applyFont="1" applyFill="1" applyBorder="1" applyAlignment="1" applyProtection="1">
      <alignment vertical="center"/>
    </xf>
    <xf numFmtId="0" fontId="1" fillId="2" borderId="30" xfId="0" applyFont="1" applyFill="1" applyBorder="1" applyAlignment="1" applyProtection="1">
      <alignment vertical="center"/>
    </xf>
    <xf numFmtId="0" fontId="1" fillId="2" borderId="31" xfId="0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horizontal="right" vertical="center" shrinkToFit="1"/>
      <protection locked="0"/>
    </xf>
    <xf numFmtId="20" fontId="1" fillId="0" borderId="0" xfId="0" applyNumberFormat="1" applyFont="1" applyFill="1" applyBorder="1" applyProtection="1">
      <alignment vertical="center"/>
    </xf>
    <xf numFmtId="0" fontId="0" fillId="0" borderId="24" xfId="0" applyFont="1" applyFill="1" applyBorder="1" applyAlignment="1" applyProtection="1">
      <alignment horizontal="center" vertical="center"/>
      <protection locked="0"/>
    </xf>
    <xf numFmtId="0" fontId="1" fillId="2" borderId="36" xfId="0" applyFont="1" applyFill="1" applyBorder="1" applyAlignment="1" applyProtection="1">
      <alignment vertical="center"/>
    </xf>
    <xf numFmtId="173" fontId="1" fillId="2" borderId="24" xfId="0" applyNumberFormat="1" applyFont="1" applyFill="1" applyBorder="1" applyAlignment="1" applyProtection="1">
      <alignment vertical="center" wrapText="1"/>
    </xf>
    <xf numFmtId="0" fontId="1" fillId="2" borderId="24" xfId="0" applyFont="1" applyFill="1" applyBorder="1" applyAlignment="1" applyProtection="1">
      <alignment vertical="center" wrapText="1"/>
    </xf>
    <xf numFmtId="0" fontId="1" fillId="2" borderId="37" xfId="0" applyFont="1" applyFill="1" applyBorder="1" applyAlignment="1" applyProtection="1">
      <alignment vertical="center" wrapText="1"/>
    </xf>
    <xf numFmtId="0" fontId="1" fillId="2" borderId="38" xfId="0" applyFont="1" applyFill="1" applyBorder="1" applyAlignment="1" applyProtection="1">
      <alignment vertical="center"/>
    </xf>
    <xf numFmtId="173" fontId="1" fillId="2" borderId="24" xfId="0" applyNumberFormat="1" applyFont="1" applyFill="1" applyBorder="1" applyProtection="1">
      <alignment vertical="center"/>
    </xf>
    <xf numFmtId="0" fontId="1" fillId="2" borderId="24" xfId="0" applyFont="1" applyFill="1" applyBorder="1" applyProtection="1">
      <alignment vertical="center"/>
    </xf>
    <xf numFmtId="0" fontId="0" fillId="2" borderId="24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 shrinkToFit="1"/>
    </xf>
    <xf numFmtId="0" fontId="1" fillId="2" borderId="18" xfId="0" applyFont="1" applyFill="1" applyBorder="1" applyAlignment="1" applyProtection="1">
      <alignment horizontal="left" vertical="center" shrinkToFit="1"/>
    </xf>
    <xf numFmtId="0" fontId="1" fillId="2" borderId="36" xfId="0" applyFont="1" applyFill="1" applyBorder="1" applyAlignment="1" applyProtection="1">
      <alignment horizontal="left" vertical="center" shrinkToFit="1"/>
    </xf>
    <xf numFmtId="0" fontId="1" fillId="0" borderId="1" xfId="0" applyFont="1" applyFill="1" applyBorder="1" applyProtection="1">
      <alignment vertical="center"/>
      <protection locked="0"/>
    </xf>
    <xf numFmtId="0" fontId="1" fillId="2" borderId="19" xfId="0" applyFont="1" applyFill="1" applyBorder="1" applyAlignment="1" applyProtection="1">
      <alignment vertical="center" wrapText="1"/>
    </xf>
    <xf numFmtId="0" fontId="1" fillId="2" borderId="24" xfId="0" applyFont="1" applyFill="1" applyBorder="1" applyAlignment="1" applyProtection="1">
      <alignment vertical="center" wrapText="1" shrinkToFit="1"/>
    </xf>
    <xf numFmtId="0" fontId="1" fillId="2" borderId="39" xfId="0" applyFont="1" applyFill="1" applyBorder="1" applyAlignment="1" applyProtection="1">
      <alignment horizontal="left" vertical="center"/>
    </xf>
    <xf numFmtId="0" fontId="1" fillId="2" borderId="24" xfId="0" applyFont="1" applyFill="1" applyBorder="1" applyAlignment="1" applyProtection="1">
      <alignment horizontal="left" vertical="center" shrinkToFit="1"/>
    </xf>
    <xf numFmtId="0" fontId="2" fillId="2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 shrinkToFit="1"/>
    </xf>
    <xf numFmtId="0" fontId="2" fillId="0" borderId="0" xfId="0" quotePrefix="1" applyFont="1" applyProtection="1">
      <alignment vertical="center"/>
    </xf>
    <xf numFmtId="0" fontId="1" fillId="2" borderId="4" xfId="0" applyFont="1" applyFill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vertical="center" wrapText="1" shrinkToFit="1"/>
    </xf>
    <xf numFmtId="173" fontId="1" fillId="2" borderId="1" xfId="0" applyNumberFormat="1" applyFont="1" applyFill="1" applyBorder="1" applyAlignment="1" applyProtection="1">
      <alignment vertical="center" wrapText="1"/>
    </xf>
    <xf numFmtId="0" fontId="1" fillId="2" borderId="40" xfId="0" applyFont="1" applyFill="1" applyBorder="1" applyAlignment="1" applyProtection="1">
      <alignment vertical="center" wrapText="1"/>
    </xf>
    <xf numFmtId="0" fontId="1" fillId="2" borderId="1" xfId="0" applyFont="1" applyFill="1" applyBorder="1" applyProtection="1">
      <alignment vertical="center"/>
    </xf>
    <xf numFmtId="173" fontId="1" fillId="2" borderId="1" xfId="0" applyNumberFormat="1" applyFont="1" applyFill="1" applyBorder="1" applyProtection="1">
      <alignment vertical="center"/>
    </xf>
    <xf numFmtId="0" fontId="1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" fillId="2" borderId="1" xfId="0" applyFont="1" applyFill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horizontal="left" vertical="center"/>
    </xf>
    <xf numFmtId="0" fontId="1" fillId="0" borderId="0" xfId="0" applyFont="1" applyBorder="1" applyProtection="1">
      <alignment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0" xfId="0" applyFont="1" applyFill="1" applyBorder="1" applyProtection="1">
      <alignment vertical="center"/>
    </xf>
    <xf numFmtId="0" fontId="1" fillId="0" borderId="10" xfId="0" applyFont="1" applyFill="1" applyBorder="1" applyAlignment="1" applyProtection="1">
      <alignment horizontal="left" vertical="center" shrinkToFit="1"/>
    </xf>
    <xf numFmtId="173" fontId="1" fillId="0" borderId="10" xfId="0" applyNumberFormat="1" applyFont="1" applyFill="1" applyBorder="1" applyProtection="1">
      <alignment vertical="center"/>
    </xf>
    <xf numFmtId="0" fontId="1" fillId="0" borderId="10" xfId="0" applyFont="1" applyBorder="1" applyProtection="1">
      <alignment vertical="center"/>
    </xf>
    <xf numFmtId="0" fontId="1" fillId="0" borderId="0" xfId="0" applyFont="1" applyFill="1" applyBorder="1" applyAlignment="1" applyProtection="1">
      <alignment horizontal="left" vertical="center" shrinkToFit="1"/>
    </xf>
    <xf numFmtId="173" fontId="1" fillId="0" borderId="0" xfId="0" applyNumberFormat="1" applyFont="1" applyFill="1" applyBorder="1" applyProtection="1">
      <alignment vertic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1" xfId="0" applyFont="1" applyBorder="1" applyProtection="1">
      <alignment vertical="center"/>
      <protection locked="0"/>
    </xf>
    <xf numFmtId="0" fontId="7" fillId="0" borderId="0" xfId="0" applyFont="1" applyFill="1" applyAlignment="1" applyProtection="1">
      <alignment horizontal="left" vertical="center"/>
    </xf>
    <xf numFmtId="0" fontId="2" fillId="0" borderId="0" xfId="0" applyFont="1" applyFill="1" applyBorder="1" applyProtection="1">
      <alignment vertical="center"/>
    </xf>
    <xf numFmtId="165" fontId="2" fillId="0" borderId="0" xfId="0" applyNumberFormat="1" applyFont="1" applyFill="1" applyBorder="1" applyAlignment="1" applyProtection="1">
      <alignment horizontal="center" vertical="center"/>
    </xf>
    <xf numFmtId="38" fontId="2" fillId="0" borderId="0" xfId="1" applyFont="1" applyFill="1" applyBorder="1" applyAlignment="1" applyProtection="1">
      <alignment horizontal="center" vertical="center"/>
    </xf>
    <xf numFmtId="3" fontId="2" fillId="0" borderId="0" xfId="0" applyNumberFormat="1" applyFont="1" applyFill="1" applyBorder="1" applyAlignment="1" applyProtection="1">
      <alignment horizontal="right" vertical="center" shrinkToFit="1"/>
    </xf>
    <xf numFmtId="0" fontId="1" fillId="0" borderId="0" xfId="0" applyFont="1" applyFill="1" applyBorder="1" applyAlignment="1" applyProtection="1">
      <alignment horizontal="right" vertical="center" shrinkToFit="1"/>
    </xf>
    <xf numFmtId="0" fontId="0" fillId="0" borderId="0" xfId="0" applyFill="1" applyBorder="1" applyAlignment="1" applyProtection="1">
      <alignment vertical="center"/>
    </xf>
    <xf numFmtId="0" fontId="8" fillId="0" borderId="0" xfId="0" applyFont="1" applyBorder="1" applyAlignment="1" applyProtection="1"/>
    <xf numFmtId="0" fontId="2" fillId="0" borderId="0" xfId="0" applyFont="1" applyFill="1" applyBorder="1" applyAlignment="1" applyProtection="1">
      <alignment horizontal="center" vertical="center" wrapText="1"/>
    </xf>
    <xf numFmtId="0" fontId="9" fillId="0" borderId="0" xfId="0" applyFont="1" applyFill="1" applyProtection="1">
      <alignment vertical="center"/>
    </xf>
    <xf numFmtId="0" fontId="9" fillId="0" borderId="0" xfId="0" applyFont="1" applyBorder="1" applyProtection="1">
      <alignment vertical="center"/>
    </xf>
    <xf numFmtId="0" fontId="9" fillId="0" borderId="0" xfId="0" applyFont="1" applyProtection="1">
      <alignment vertical="center"/>
    </xf>
    <xf numFmtId="0" fontId="9" fillId="0" borderId="0" xfId="0" applyFont="1" applyAlignment="1" applyProtection="1">
      <alignment horizontal="left" vertical="top" wrapText="1"/>
    </xf>
    <xf numFmtId="3" fontId="2" fillId="0" borderId="0" xfId="0" applyNumberFormat="1" applyFont="1" applyFill="1" applyBorder="1" applyAlignment="1" applyProtection="1">
      <alignment vertical="center" shrinkToFit="1"/>
    </xf>
    <xf numFmtId="172" fontId="5" fillId="0" borderId="0" xfId="1" applyNumberFormat="1" applyFont="1" applyFill="1" applyBorder="1" applyAlignment="1" applyProtection="1">
      <alignment vertical="center" wrapText="1"/>
    </xf>
    <xf numFmtId="172" fontId="5" fillId="0" borderId="0" xfId="1" applyNumberFormat="1" applyFont="1" applyFill="1" applyBorder="1" applyAlignment="1" applyProtection="1">
      <alignment vertical="center"/>
    </xf>
    <xf numFmtId="38" fontId="1" fillId="0" borderId="0" xfId="1" applyFont="1" applyFill="1" applyBorder="1" applyAlignment="1" applyProtection="1">
      <alignment vertical="center" shrinkToFit="1"/>
    </xf>
    <xf numFmtId="3" fontId="10" fillId="0" borderId="2" xfId="0" applyNumberFormat="1" applyFont="1" applyFill="1" applyBorder="1" applyAlignment="1" applyProtection="1">
      <alignment vertical="center" shrinkToFit="1"/>
    </xf>
    <xf numFmtId="3" fontId="10" fillId="0" borderId="3" xfId="0" applyNumberFormat="1" applyFont="1" applyFill="1" applyBorder="1" applyAlignment="1" applyProtection="1">
      <alignment vertical="center" shrinkToFit="1"/>
    </xf>
    <xf numFmtId="172" fontId="5" fillId="0" borderId="3" xfId="1" applyNumberFormat="1" applyFont="1" applyFill="1" applyBorder="1" applyAlignment="1" applyProtection="1">
      <alignment vertical="center"/>
    </xf>
    <xf numFmtId="0" fontId="10" fillId="0" borderId="3" xfId="0" applyFont="1" applyFill="1" applyBorder="1" applyAlignment="1" applyProtection="1">
      <alignment horizontal="center" vertical="center"/>
    </xf>
    <xf numFmtId="38" fontId="5" fillId="0" borderId="3" xfId="1" applyFont="1" applyFill="1" applyBorder="1" applyAlignment="1" applyProtection="1">
      <alignment vertical="center" shrinkToFit="1"/>
    </xf>
    <xf numFmtId="38" fontId="5" fillId="0" borderId="4" xfId="1" applyFont="1" applyFill="1" applyBorder="1" applyAlignment="1" applyProtection="1">
      <alignment vertical="center" shrinkToFit="1"/>
    </xf>
    <xf numFmtId="0" fontId="10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174" fontId="2" fillId="0" borderId="41" xfId="0" applyNumberFormat="1" applyFont="1" applyFill="1" applyBorder="1" applyAlignment="1" applyProtection="1">
      <alignment vertical="center" wrapText="1"/>
    </xf>
    <xf numFmtId="174" fontId="2" fillId="0" borderId="0" xfId="0" applyNumberFormat="1" applyFont="1" applyFill="1" applyBorder="1" applyAlignment="1" applyProtection="1">
      <alignment vertical="center" wrapText="1"/>
    </xf>
    <xf numFmtId="172" fontId="8" fillId="0" borderId="0" xfId="0" applyNumberFormat="1" applyFont="1" applyFill="1" applyBorder="1" applyAlignment="1" applyProtection="1">
      <alignment horizontal="center" vertical="center"/>
    </xf>
    <xf numFmtId="38" fontId="1" fillId="0" borderId="16" xfId="1" applyFont="1" applyFill="1" applyBorder="1" applyAlignment="1" applyProtection="1">
      <alignment vertical="center" shrinkToFit="1"/>
    </xf>
    <xf numFmtId="0" fontId="9" fillId="0" borderId="0" xfId="0" applyFont="1" applyAlignment="1" applyProtection="1">
      <alignment horizontal="left" vertical="top"/>
    </xf>
    <xf numFmtId="174" fontId="2" fillId="0" borderId="18" xfId="0" applyNumberFormat="1" applyFont="1" applyFill="1" applyBorder="1" applyAlignment="1" applyProtection="1">
      <alignment vertical="center" wrapText="1"/>
    </xf>
    <xf numFmtId="174" fontId="2" fillId="0" borderId="5" xfId="0" applyNumberFormat="1" applyFont="1" applyFill="1" applyBorder="1" applyAlignment="1" applyProtection="1">
      <alignment vertical="center" wrapText="1"/>
    </xf>
    <xf numFmtId="172" fontId="5" fillId="0" borderId="5" xfId="1" applyNumberFormat="1" applyFont="1" applyFill="1" applyBorder="1" applyAlignment="1" applyProtection="1">
      <alignment vertical="center"/>
    </xf>
    <xf numFmtId="172" fontId="8" fillId="0" borderId="5" xfId="0" applyNumberFormat="1" applyFont="1" applyFill="1" applyBorder="1" applyAlignment="1" applyProtection="1">
      <alignment horizontal="center" vertical="center"/>
    </xf>
    <xf numFmtId="38" fontId="1" fillId="0" borderId="5" xfId="1" applyFont="1" applyFill="1" applyBorder="1" applyAlignment="1" applyProtection="1">
      <alignment vertical="center" shrinkToFit="1"/>
    </xf>
    <xf numFmtId="38" fontId="1" fillId="0" borderId="19" xfId="1" applyFont="1" applyFill="1" applyBorder="1" applyAlignment="1" applyProtection="1">
      <alignment vertical="center" shrinkToFit="1"/>
    </xf>
    <xf numFmtId="172" fontId="11" fillId="0" borderId="46" xfId="0" applyNumberFormat="1" applyFont="1" applyBorder="1" applyAlignment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172" fontId="11" fillId="0" borderId="0" xfId="0" applyNumberFormat="1" applyFont="1" applyBorder="1" applyAlignment="1">
      <alignment vertical="center"/>
    </xf>
    <xf numFmtId="0" fontId="2" fillId="0" borderId="0" xfId="0" applyFont="1" applyFill="1" applyBorder="1" applyAlignment="1" applyProtection="1">
      <alignment horizontal="right" vertical="center"/>
    </xf>
    <xf numFmtId="14" fontId="2" fillId="0" borderId="0" xfId="0" applyNumberFormat="1" applyFont="1" applyFill="1" applyBorder="1" applyAlignment="1" applyProtection="1">
      <alignment horizontal="center" vertical="center"/>
    </xf>
    <xf numFmtId="167" fontId="2" fillId="0" borderId="2" xfId="0" applyNumberFormat="1" applyFont="1" applyFill="1" applyBorder="1" applyAlignment="1" applyProtection="1">
      <alignment horizontal="right" vertical="center"/>
    </xf>
    <xf numFmtId="167" fontId="2" fillId="0" borderId="3" xfId="0" applyNumberFormat="1" applyFont="1" applyFill="1" applyBorder="1" applyAlignment="1" applyProtection="1">
      <alignment vertical="center"/>
    </xf>
    <xf numFmtId="167" fontId="2" fillId="0" borderId="3" xfId="0" applyNumberFormat="1" applyFont="1" applyFill="1" applyBorder="1" applyAlignment="1" applyProtection="1">
      <alignment horizontal="right" vertical="center"/>
    </xf>
    <xf numFmtId="0" fontId="0" fillId="0" borderId="51" xfId="0" applyFill="1" applyBorder="1" applyAlignment="1" applyProtection="1">
      <alignment vertical="center"/>
    </xf>
    <xf numFmtId="175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vertical="center" textRotation="255"/>
    </xf>
    <xf numFmtId="0" fontId="2" fillId="0" borderId="0" xfId="0" applyFont="1" applyFill="1" applyBorder="1" applyAlignment="1" applyProtection="1">
      <alignment horizontal="center" vertical="center" textRotation="255"/>
    </xf>
    <xf numFmtId="167" fontId="2" fillId="0" borderId="0" xfId="0" applyNumberFormat="1" applyFont="1" applyFill="1" applyBorder="1" applyAlignment="1" applyProtection="1">
      <alignment horizontal="center" vertical="center" shrinkToFit="1"/>
    </xf>
    <xf numFmtId="168" fontId="2" fillId="0" borderId="0" xfId="0" applyNumberFormat="1" applyFont="1" applyFill="1" applyBorder="1" applyAlignment="1" applyProtection="1">
      <alignment horizontal="center" vertical="center" shrinkToFit="1"/>
    </xf>
    <xf numFmtId="168" fontId="2" fillId="0" borderId="10" xfId="0" applyNumberFormat="1" applyFont="1" applyFill="1" applyBorder="1" applyAlignment="1" applyProtection="1">
      <alignment vertical="center"/>
    </xf>
    <xf numFmtId="0" fontId="2" fillId="0" borderId="10" xfId="0" applyFont="1" applyFill="1" applyBorder="1" applyAlignment="1" applyProtection="1">
      <alignment vertical="center"/>
    </xf>
    <xf numFmtId="167" fontId="2" fillId="0" borderId="10" xfId="0" applyNumberFormat="1" applyFont="1" applyFill="1" applyBorder="1" applyAlignment="1" applyProtection="1">
      <alignment vertical="center"/>
    </xf>
    <xf numFmtId="174" fontId="2" fillId="0" borderId="0" xfId="0" applyNumberFormat="1" applyFont="1" applyFill="1" applyBorder="1" applyAlignment="1" applyProtection="1">
      <alignment horizontal="right" vertical="center" shrinkToFit="1"/>
    </xf>
    <xf numFmtId="0" fontId="2" fillId="0" borderId="0" xfId="0" applyFont="1" applyFill="1" applyBorder="1" applyAlignment="1" applyProtection="1">
      <alignment horizontal="center" vertical="center" shrinkToFit="1"/>
    </xf>
    <xf numFmtId="0" fontId="2" fillId="0" borderId="0" xfId="0" applyNumberFormat="1" applyFont="1" applyFill="1" applyBorder="1" applyAlignment="1" applyProtection="1">
      <alignment horizontal="center" vertical="center" shrinkToFit="1"/>
    </xf>
    <xf numFmtId="38" fontId="2" fillId="0" borderId="0" xfId="1" applyFont="1" applyFill="1" applyBorder="1" applyAlignment="1" applyProtection="1">
      <alignment horizontal="center" vertical="center" shrinkToFit="1"/>
    </xf>
    <xf numFmtId="38" fontId="2" fillId="0" borderId="0" xfId="1" applyFont="1" applyFill="1" applyBorder="1" applyAlignment="1" applyProtection="1">
      <alignment horizontal="right" vertical="center" shrinkToFit="1"/>
    </xf>
    <xf numFmtId="0" fontId="2" fillId="0" borderId="0" xfId="0" applyFont="1" applyFill="1" applyBorder="1" applyAlignment="1" applyProtection="1">
      <alignment horizontal="centerContinuous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right" vertical="top" wrapText="1"/>
    </xf>
    <xf numFmtId="0" fontId="14" fillId="0" borderId="0" xfId="0" applyFont="1" applyFill="1" applyProtection="1">
      <alignment vertical="center"/>
    </xf>
    <xf numFmtId="0" fontId="14" fillId="0" borderId="0" xfId="0" applyFont="1" applyFill="1" applyBorder="1" applyProtection="1">
      <alignment vertical="center"/>
    </xf>
    <xf numFmtId="0" fontId="14" fillId="0" borderId="0" xfId="0" applyFont="1" applyProtection="1">
      <alignment vertical="center"/>
    </xf>
    <xf numFmtId="0" fontId="14" fillId="0" borderId="0" xfId="0" applyFont="1" applyAlignment="1" applyProtection="1">
      <alignment horizontal="left" vertical="top" wrapText="1"/>
    </xf>
    <xf numFmtId="0" fontId="14" fillId="0" borderId="0" xfId="0" applyFont="1" applyAlignment="1" applyProtection="1">
      <alignment horizontal="center" vertical="center"/>
    </xf>
    <xf numFmtId="0" fontId="14" fillId="0" borderId="0" xfId="0" applyFont="1" applyAlignment="1" applyProtection="1">
      <alignment horizontal="right" vertical="top" wrapText="1"/>
    </xf>
    <xf numFmtId="0" fontId="14" fillId="0" borderId="0" xfId="0" applyFont="1" applyAlignment="1" applyProtection="1">
      <alignment horizontal="right" vertical="center"/>
    </xf>
    <xf numFmtId="0" fontId="15" fillId="0" borderId="0" xfId="0" applyFont="1" applyFill="1" applyProtection="1">
      <alignment vertical="center"/>
    </xf>
    <xf numFmtId="0" fontId="15" fillId="0" borderId="0" xfId="0" applyFont="1" applyProtection="1">
      <alignment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Alignment="1" applyProtection="1">
      <alignment horizontal="right" vertical="center"/>
    </xf>
    <xf numFmtId="0" fontId="16" fillId="0" borderId="0" xfId="0" applyFont="1" applyFill="1" applyProtection="1">
      <alignment vertical="center"/>
    </xf>
    <xf numFmtId="0" fontId="17" fillId="0" borderId="0" xfId="0" applyFont="1" applyFill="1" applyProtection="1">
      <alignment vertical="center"/>
    </xf>
    <xf numFmtId="0" fontId="16" fillId="0" borderId="0" xfId="0" applyFont="1" applyProtection="1">
      <alignment vertical="center"/>
    </xf>
    <xf numFmtId="0" fontId="16" fillId="0" borderId="0" xfId="0" applyFont="1" applyAlignment="1" applyProtection="1">
      <alignment horizontal="center" vertical="center"/>
    </xf>
    <xf numFmtId="0" fontId="16" fillId="0" borderId="0" xfId="0" applyFont="1" applyAlignment="1" applyProtection="1">
      <alignment horizontal="right" vertical="center"/>
    </xf>
    <xf numFmtId="0" fontId="18" fillId="0" borderId="0" xfId="0" applyFont="1" applyFill="1" applyProtection="1">
      <alignment vertical="center"/>
    </xf>
    <xf numFmtId="0" fontId="18" fillId="0" borderId="0" xfId="0" applyFont="1" applyFill="1" applyAlignment="1" applyProtection="1">
      <alignment horizontal="center" vertical="center"/>
    </xf>
    <xf numFmtId="0" fontId="19" fillId="0" borderId="0" xfId="0" applyFont="1" applyFill="1" applyProtection="1">
      <alignment vertical="center"/>
    </xf>
    <xf numFmtId="0" fontId="19" fillId="0" borderId="0" xfId="0" applyFont="1" applyFill="1" applyAlignment="1" applyProtection="1">
      <alignment horizontal="center" vertical="center"/>
    </xf>
    <xf numFmtId="3" fontId="11" fillId="0" borderId="0" xfId="0" applyNumberFormat="1" applyFont="1" applyBorder="1" applyAlignment="1">
      <alignment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Fill="1" applyBorder="1" applyAlignment="1" applyProtection="1">
      <alignment horizontal="left" vertical="center" wrapText="1"/>
      <protection locked="0"/>
    </xf>
    <xf numFmtId="0" fontId="2" fillId="0" borderId="3" xfId="0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vertical="center" wrapText="1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4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 shrinkToFit="1"/>
    </xf>
    <xf numFmtId="164" fontId="1" fillId="0" borderId="2" xfId="0" applyNumberFormat="1" applyFont="1" applyFill="1" applyBorder="1" applyAlignment="1" applyProtection="1">
      <alignment horizontal="center" vertical="center"/>
      <protection locked="0"/>
    </xf>
    <xf numFmtId="164" fontId="1" fillId="0" borderId="3" xfId="0" applyNumberFormat="1" applyFont="1" applyFill="1" applyBorder="1" applyAlignment="1" applyProtection="1">
      <alignment horizontal="center" vertical="center"/>
      <protection locked="0"/>
    </xf>
    <xf numFmtId="164" fontId="1" fillId="0" borderId="3" xfId="0" applyNumberFormat="1" applyFont="1" applyFill="1" applyBorder="1" applyAlignment="1" applyProtection="1">
      <alignment horizontal="center" vertical="center"/>
    </xf>
    <xf numFmtId="164" fontId="1" fillId="0" borderId="4" xfId="0" applyNumberFormat="1" applyFont="1" applyFill="1" applyBorder="1" applyAlignment="1" applyProtection="1">
      <alignment horizontal="center" vertical="center"/>
      <protection locked="0"/>
    </xf>
    <xf numFmtId="164" fontId="2" fillId="0" borderId="1" xfId="0" applyNumberFormat="1" applyFont="1" applyFill="1" applyBorder="1" applyAlignment="1" applyProtection="1">
      <alignment horizontal="center" vertical="center"/>
    </xf>
    <xf numFmtId="164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shrinkToFit="1"/>
    </xf>
    <xf numFmtId="0" fontId="3" fillId="0" borderId="6" xfId="0" applyFont="1" applyFill="1" applyBorder="1" applyAlignment="1" applyProtection="1">
      <alignment horizontal="center" vertical="center" shrinkToFit="1"/>
    </xf>
    <xf numFmtId="0" fontId="3" fillId="0" borderId="7" xfId="0" applyFont="1" applyFill="1" applyBorder="1" applyAlignment="1" applyProtection="1">
      <alignment horizontal="center" vertical="center" shrinkToFit="1"/>
    </xf>
    <xf numFmtId="0" fontId="3" fillId="0" borderId="18" xfId="0" applyFont="1" applyFill="1" applyBorder="1" applyAlignment="1" applyProtection="1">
      <alignment horizontal="center" vertical="center" shrinkToFit="1"/>
    </xf>
    <xf numFmtId="0" fontId="3" fillId="0" borderId="19" xfId="0" applyFont="1" applyFill="1" applyBorder="1" applyAlignment="1" applyProtection="1">
      <alignment horizontal="center" vertical="center" shrinkToFit="1"/>
    </xf>
    <xf numFmtId="0" fontId="3" fillId="0" borderId="1" xfId="0" applyFont="1" applyFill="1" applyBorder="1" applyAlignment="1" applyProtection="1">
      <alignment horizontal="center" vertical="center" wrapText="1" shrinkToFit="1"/>
    </xf>
    <xf numFmtId="0" fontId="3" fillId="0" borderId="8" xfId="0" applyFont="1" applyFill="1" applyBorder="1" applyAlignment="1" applyProtection="1">
      <alignment horizontal="center" vertical="center" shrinkToFit="1"/>
    </xf>
    <xf numFmtId="0" fontId="3" fillId="0" borderId="9" xfId="0" applyFont="1" applyFill="1" applyBorder="1" applyAlignment="1" applyProtection="1">
      <alignment horizontal="center" vertical="center" wrapText="1" shrinkToFit="1"/>
    </xf>
    <xf numFmtId="0" fontId="0" fillId="0" borderId="7" xfId="0" applyBorder="1">
      <alignment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3" fillId="0" borderId="6" xfId="0" applyFont="1" applyFill="1" applyBorder="1" applyAlignment="1" applyProtection="1">
      <alignment vertical="center" shrinkToFit="1"/>
    </xf>
    <xf numFmtId="0" fontId="3" fillId="0" borderId="7" xfId="0" applyFont="1" applyFill="1" applyBorder="1" applyAlignment="1" applyProtection="1">
      <alignment vertical="center" shrinkToFit="1"/>
    </xf>
    <xf numFmtId="0" fontId="3" fillId="0" borderId="18" xfId="0" applyFont="1" applyFill="1" applyBorder="1" applyAlignment="1" applyProtection="1">
      <alignment vertical="center" shrinkToFit="1"/>
    </xf>
    <xf numFmtId="0" fontId="3" fillId="0" borderId="19" xfId="0" applyFont="1" applyFill="1" applyBorder="1" applyAlignment="1" applyProtection="1">
      <alignment vertical="center" shrinkToFit="1"/>
    </xf>
    <xf numFmtId="0" fontId="0" fillId="0" borderId="10" xfId="0" applyBorder="1" applyAlignment="1" applyProtection="1">
      <alignment horizontal="center" vertical="center" shrinkToFit="1"/>
    </xf>
    <xf numFmtId="0" fontId="0" fillId="0" borderId="18" xfId="0" applyBorder="1" applyAlignment="1" applyProtection="1">
      <alignment horizontal="center" vertical="center" shrinkToFit="1"/>
    </xf>
    <xf numFmtId="0" fontId="0" fillId="0" borderId="5" xfId="0" applyBorder="1" applyAlignment="1" applyProtection="1">
      <alignment horizontal="center" vertical="center" shrinkToFit="1"/>
    </xf>
    <xf numFmtId="0" fontId="0" fillId="0" borderId="7" xfId="0" applyBorder="1" applyAlignment="1" applyProtection="1">
      <alignment horizontal="center" vertical="center" shrinkToFit="1"/>
    </xf>
    <xf numFmtId="0" fontId="0" fillId="0" borderId="19" xfId="0" applyBorder="1" applyAlignment="1" applyProtection="1">
      <alignment horizontal="center" vertical="center" shrinkToFit="1"/>
    </xf>
    <xf numFmtId="0" fontId="0" fillId="0" borderId="14" xfId="0" applyBorder="1" applyAlignment="1">
      <alignment horizontal="center" vertical="center"/>
    </xf>
    <xf numFmtId="0" fontId="0" fillId="0" borderId="15" xfId="0" applyFill="1" applyBorder="1" applyAlignment="1" applyProtection="1">
      <alignment horizontal="center" vertical="center" shrinkToFit="1"/>
    </xf>
    <xf numFmtId="0" fontId="0" fillId="0" borderId="10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0" borderId="6" xfId="0" applyFill="1" applyBorder="1" applyAlignment="1" applyProtection="1">
      <alignment horizontal="center" vertical="center" wrapText="1"/>
    </xf>
    <xf numFmtId="0" fontId="0" fillId="0" borderId="10" xfId="0" applyFill="1" applyBorder="1" applyAlignment="1" applyProtection="1">
      <alignment horizontal="center" vertical="center"/>
    </xf>
    <xf numFmtId="0" fontId="0" fillId="0" borderId="18" xfId="0" applyFill="1" applyBorder="1" applyAlignment="1" applyProtection="1">
      <alignment horizontal="center" vertical="center"/>
    </xf>
    <xf numFmtId="0" fontId="0" fillId="0" borderId="5" xfId="0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</xf>
    <xf numFmtId="0" fontId="0" fillId="0" borderId="10" xfId="0" applyFill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0" fontId="0" fillId="0" borderId="18" xfId="0" applyFill="1" applyBorder="1" applyAlignment="1">
      <alignment horizontal="center" vertical="center" shrinkToFit="1"/>
    </xf>
    <xf numFmtId="0" fontId="0" fillId="0" borderId="5" xfId="0" applyFill="1" applyBorder="1" applyAlignment="1">
      <alignment horizontal="center" vertical="center" shrinkToFit="1"/>
    </xf>
    <xf numFmtId="0" fontId="0" fillId="0" borderId="19" xfId="0" applyFill="1" applyBorder="1" applyAlignment="1">
      <alignment horizontal="center" vertical="center" shrinkToFi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18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165" fontId="2" fillId="0" borderId="2" xfId="0" applyNumberFormat="1" applyFont="1" applyFill="1" applyBorder="1" applyAlignment="1" applyProtection="1">
      <alignment horizontal="center" vertical="center"/>
      <protection locked="0"/>
    </xf>
    <xf numFmtId="165" fontId="2" fillId="0" borderId="3" xfId="0" applyNumberFormat="1" applyFont="1" applyFill="1" applyBorder="1" applyAlignment="1" applyProtection="1">
      <alignment horizontal="center" vertical="center"/>
      <protection locked="0"/>
    </xf>
    <xf numFmtId="165" fontId="2" fillId="0" borderId="4" xfId="0" applyNumberFormat="1" applyFont="1" applyFill="1" applyBorder="1" applyAlignment="1" applyProtection="1">
      <alignment horizontal="center" vertical="center"/>
      <protection locked="0"/>
    </xf>
    <xf numFmtId="166" fontId="2" fillId="0" borderId="2" xfId="0" applyNumberFormat="1" applyFont="1" applyFill="1" applyBorder="1" applyAlignment="1" applyProtection="1">
      <alignment horizontal="center" vertical="center" shrinkToFit="1"/>
    </xf>
    <xf numFmtId="166" fontId="2" fillId="0" borderId="4" xfId="0" applyNumberFormat="1" applyFont="1" applyFill="1" applyBorder="1" applyAlignment="1" applyProtection="1">
      <alignment horizontal="center" vertical="center" shrinkToFit="1"/>
    </xf>
    <xf numFmtId="167" fontId="2" fillId="0" borderId="2" xfId="0" applyNumberFormat="1" applyFont="1" applyFill="1" applyBorder="1" applyAlignment="1" applyProtection="1">
      <alignment horizontal="center" vertical="center" shrinkToFit="1"/>
      <protection locked="0"/>
    </xf>
    <xf numFmtId="167" fontId="2" fillId="0" borderId="3" xfId="0" applyNumberFormat="1" applyFont="1" applyFill="1" applyBorder="1" applyAlignment="1" applyProtection="1">
      <alignment horizontal="center" vertical="center" shrinkToFit="1"/>
      <protection locked="0"/>
    </xf>
    <xf numFmtId="167" fontId="2" fillId="0" borderId="32" xfId="0" applyNumberFormat="1" applyFont="1" applyFill="1" applyBorder="1" applyAlignment="1" applyProtection="1">
      <alignment horizontal="center" vertical="center" shrinkToFit="1"/>
      <protection locked="0"/>
    </xf>
    <xf numFmtId="168" fontId="2" fillId="0" borderId="22" xfId="0" applyNumberFormat="1" applyFont="1" applyFill="1" applyBorder="1" applyAlignment="1" applyProtection="1">
      <alignment horizontal="center" vertical="center" shrinkToFit="1"/>
      <protection locked="0"/>
    </xf>
    <xf numFmtId="168" fontId="2" fillId="0" borderId="4" xfId="0" applyNumberFormat="1" applyFont="1" applyFill="1" applyBorder="1" applyAlignment="1" applyProtection="1">
      <alignment horizontal="center" vertical="center" shrinkToFit="1"/>
      <protection locked="0"/>
    </xf>
    <xf numFmtId="168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168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</xf>
    <xf numFmtId="0" fontId="3" fillId="0" borderId="18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0" fontId="3" fillId="0" borderId="19" xfId="0" applyFont="1" applyFill="1" applyBorder="1" applyAlignment="1" applyProtection="1">
      <alignment horizontal="center" vertical="center"/>
    </xf>
    <xf numFmtId="0" fontId="3" fillId="0" borderId="18" xfId="0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 wrapText="1"/>
    </xf>
    <xf numFmtId="0" fontId="3" fillId="0" borderId="21" xfId="0" applyFont="1" applyFill="1" applyBorder="1" applyAlignment="1" applyProtection="1">
      <alignment horizontal="center" vertical="center" wrapText="1"/>
    </xf>
    <xf numFmtId="0" fontId="3" fillId="0" borderId="20" xfId="0" applyFont="1" applyFill="1" applyBorder="1" applyAlignment="1" applyProtection="1">
      <alignment horizontal="center" vertical="center" wrapText="1"/>
    </xf>
    <xf numFmtId="0" fontId="3" fillId="0" borderId="19" xfId="0" applyFont="1" applyFill="1" applyBorder="1" applyAlignment="1" applyProtection="1">
      <alignment horizontal="center" vertical="center" wrapText="1"/>
    </xf>
    <xf numFmtId="0" fontId="3" fillId="0" borderId="22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0" fillId="0" borderId="18" xfId="0" applyBorder="1" applyAlignment="1" applyProtection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25" xfId="0" applyBorder="1" applyAlignment="1">
      <alignment horizontal="center" shrinkToFi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Fill="1" applyBorder="1" applyAlignment="1" applyProtection="1">
      <alignment horizontal="center" vertical="center" shrinkToFit="1"/>
    </xf>
    <xf numFmtId="0" fontId="0" fillId="0" borderId="13" xfId="0" applyFill="1" applyBorder="1" applyAlignment="1" applyProtection="1">
      <alignment horizontal="center" vertical="center" shrinkToFit="1"/>
    </xf>
    <xf numFmtId="0" fontId="0" fillId="0" borderId="23" xfId="0" applyFill="1" applyBorder="1" applyAlignment="1" applyProtection="1">
      <alignment horizontal="center" vertical="center" shrinkToFit="1"/>
    </xf>
    <xf numFmtId="0" fontId="0" fillId="0" borderId="24" xfId="0" applyFill="1" applyBorder="1" applyAlignment="1" applyProtection="1">
      <alignment horizontal="center" vertical="center" shrinkToFit="1"/>
    </xf>
    <xf numFmtId="170" fontId="2" fillId="0" borderId="33" xfId="0" applyNumberFormat="1" applyFont="1" applyFill="1" applyBorder="1" applyAlignment="1" applyProtection="1">
      <alignment horizontal="right" vertical="center" shrinkToFit="1"/>
      <protection locked="0"/>
    </xf>
    <xf numFmtId="170" fontId="2" fillId="0" borderId="34" xfId="0" applyNumberFormat="1" applyFont="1" applyFill="1" applyBorder="1" applyAlignment="1" applyProtection="1">
      <alignment horizontal="right" vertical="center" shrinkToFit="1"/>
      <protection locked="0"/>
    </xf>
    <xf numFmtId="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2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left" vertical="center" wrapText="1"/>
      <protection locked="0"/>
    </xf>
    <xf numFmtId="0" fontId="0" fillId="0" borderId="3" xfId="0" applyFill="1" applyBorder="1" applyAlignment="1" applyProtection="1">
      <alignment horizontal="left" vertical="center" wrapText="1"/>
      <protection locked="0"/>
    </xf>
    <xf numFmtId="0" fontId="0" fillId="0" borderId="4" xfId="0" applyFill="1" applyBorder="1" applyAlignment="1" applyProtection="1">
      <alignment horizontal="left" vertical="center" wrapText="1"/>
      <protection locked="0"/>
    </xf>
    <xf numFmtId="169" fontId="2" fillId="0" borderId="8" xfId="0" applyNumberFormat="1" applyFont="1" applyFill="1" applyBorder="1" applyAlignment="1" applyProtection="1">
      <alignment horizontal="center" vertical="center" shrinkToFit="1"/>
      <protection locked="0"/>
    </xf>
    <xf numFmtId="169" fontId="2" fillId="0" borderId="33" xfId="0" applyNumberFormat="1" applyFont="1" applyFill="1" applyBorder="1" applyAlignment="1" applyProtection="1">
      <alignment horizontal="center" vertical="center" shrinkToFit="1"/>
      <protection locked="0"/>
    </xf>
    <xf numFmtId="169" fontId="2" fillId="0" borderId="8" xfId="0" applyNumberFormat="1" applyFont="1" applyFill="1" applyBorder="1" applyAlignment="1" applyProtection="1">
      <alignment horizontal="right" vertical="center" shrinkToFit="1"/>
      <protection locked="0"/>
    </xf>
    <xf numFmtId="169" fontId="2" fillId="0" borderId="33" xfId="0" applyNumberFormat="1" applyFont="1" applyFill="1" applyBorder="1" applyAlignment="1" applyProtection="1">
      <alignment horizontal="right" vertical="center" shrinkToFit="1"/>
      <protection locked="0"/>
    </xf>
    <xf numFmtId="38" fontId="1" fillId="0" borderId="3" xfId="1" applyNumberFormat="1" applyFont="1" applyFill="1" applyBorder="1" applyAlignment="1" applyProtection="1">
      <alignment horizontal="right" vertical="center" shrinkToFit="1"/>
      <protection locked="0"/>
    </xf>
    <xf numFmtId="38" fontId="1" fillId="0" borderId="4" xfId="1" applyNumberFormat="1" applyFont="1" applyFill="1" applyBorder="1" applyAlignment="1" applyProtection="1">
      <alignment horizontal="right" vertical="center" shrinkToFit="1"/>
      <protection locked="0"/>
    </xf>
    <xf numFmtId="38" fontId="1" fillId="0" borderId="3" xfId="1" applyFont="1" applyFill="1" applyBorder="1" applyAlignment="1" applyProtection="1">
      <alignment horizontal="right" vertical="center" shrinkToFit="1"/>
      <protection locked="0"/>
    </xf>
    <xf numFmtId="38" fontId="1" fillId="0" borderId="4" xfId="1" applyFont="1" applyFill="1" applyBorder="1" applyAlignment="1" applyProtection="1">
      <alignment horizontal="right" vertical="center" shrinkToFit="1"/>
      <protection locked="0"/>
    </xf>
    <xf numFmtId="172" fontId="5" fillId="0" borderId="2" xfId="1" applyNumberFormat="1" applyFont="1" applyFill="1" applyBorder="1" applyAlignment="1" applyProtection="1">
      <alignment horizontal="right" vertical="center" shrinkToFit="1"/>
    </xf>
    <xf numFmtId="0" fontId="0" fillId="0" borderId="3" xfId="0" applyFill="1" applyBorder="1" applyAlignment="1" applyProtection="1">
      <alignment horizontal="right" vertical="center" shrinkToFit="1"/>
    </xf>
    <xf numFmtId="0" fontId="0" fillId="0" borderId="4" xfId="0" applyFill="1" applyBorder="1" applyAlignment="1" applyProtection="1">
      <alignment horizontal="right" vertical="center" shrinkToFit="1"/>
    </xf>
    <xf numFmtId="38" fontId="1" fillId="0" borderId="35" xfId="1" applyFont="1" applyFill="1" applyBorder="1" applyAlignment="1" applyProtection="1">
      <alignment horizontal="right" vertical="center" shrinkToFit="1"/>
      <protection locked="0"/>
    </xf>
    <xf numFmtId="0" fontId="0" fillId="0" borderId="3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38" fontId="0" fillId="0" borderId="3" xfId="1" applyFont="1" applyFill="1" applyBorder="1" applyAlignment="1" applyProtection="1">
      <alignment horizontal="right" vertical="center" shrinkToFit="1"/>
      <protection locked="0"/>
    </xf>
    <xf numFmtId="38" fontId="0" fillId="0" borderId="3" xfId="1" applyFont="1" applyFill="1" applyBorder="1" applyAlignment="1" applyProtection="1">
      <alignment horizontal="center" vertical="center" wrapText="1" shrinkToFit="1"/>
      <protection locked="0"/>
    </xf>
    <xf numFmtId="38" fontId="1" fillId="0" borderId="3" xfId="1" applyFont="1" applyFill="1" applyBorder="1" applyAlignment="1" applyProtection="1">
      <alignment horizontal="center" vertical="center" wrapText="1" shrinkToFit="1"/>
      <protection locked="0"/>
    </xf>
    <xf numFmtId="38" fontId="1" fillId="0" borderId="4" xfId="1" applyFont="1" applyFill="1" applyBorder="1" applyAlignment="1" applyProtection="1">
      <alignment horizontal="center" vertical="center" wrapText="1" shrinkToFit="1"/>
      <protection locked="0"/>
    </xf>
    <xf numFmtId="171" fontId="0" fillId="0" borderId="2" xfId="0" quotePrefix="1" applyNumberFormat="1" applyFont="1" applyFill="1" applyBorder="1" applyAlignment="1" applyProtection="1">
      <alignment horizontal="center" vertical="center" shrinkToFit="1"/>
    </xf>
    <xf numFmtId="171" fontId="0" fillId="0" borderId="3" xfId="0" applyNumberFormat="1" applyFill="1" applyBorder="1" applyAlignment="1">
      <alignment horizontal="center" vertical="center"/>
    </xf>
    <xf numFmtId="171" fontId="0" fillId="0" borderId="4" xfId="0" applyNumberFormat="1" applyFill="1" applyBorder="1" applyAlignment="1">
      <alignment horizontal="center" vertical="center"/>
    </xf>
    <xf numFmtId="171" fontId="0" fillId="0" borderId="2" xfId="0" applyNumberFormat="1" applyFont="1" applyFill="1" applyBorder="1" applyAlignment="1" applyProtection="1">
      <alignment horizontal="center" vertical="center" shrinkToFit="1"/>
    </xf>
    <xf numFmtId="171" fontId="1" fillId="0" borderId="3" xfId="0" applyNumberFormat="1" applyFont="1" applyFill="1" applyBorder="1" applyAlignment="1" applyProtection="1">
      <alignment horizontal="center" vertical="center" shrinkToFit="1"/>
    </xf>
    <xf numFmtId="169" fontId="1" fillId="0" borderId="3" xfId="0" applyNumberFormat="1" applyFont="1" applyFill="1" applyBorder="1" applyAlignment="1" applyProtection="1">
      <alignment horizontal="right" vertical="center" shrinkToFit="1"/>
      <protection locked="0"/>
    </xf>
    <xf numFmtId="169" fontId="0" fillId="0" borderId="14" xfId="0" applyNumberFormat="1" applyBorder="1" applyAlignment="1" applyProtection="1">
      <alignment horizontal="right" vertical="center" shrinkToFit="1"/>
      <protection locked="0"/>
    </xf>
    <xf numFmtId="0" fontId="0" fillId="0" borderId="35" xfId="0" applyFill="1" applyBorder="1" applyAlignment="1" applyProtection="1">
      <alignment horizontal="center" vertical="center" shrinkToFit="1"/>
    </xf>
    <xf numFmtId="0" fontId="0" fillId="0" borderId="4" xfId="0" applyFill="1" applyBorder="1" applyAlignment="1" applyProtection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2" fillId="0" borderId="8" xfId="0" applyFont="1" applyFill="1" applyBorder="1" applyAlignment="1" applyProtection="1">
      <alignment horizontal="right" vertical="center" shrinkToFit="1"/>
      <protection locked="0"/>
    </xf>
    <xf numFmtId="0" fontId="2" fillId="0" borderId="33" xfId="0" applyFont="1" applyFill="1" applyBorder="1" applyAlignment="1" applyProtection="1">
      <alignment horizontal="right" vertical="center" shrinkToFit="1"/>
      <protection locked="0"/>
    </xf>
    <xf numFmtId="0" fontId="0" fillId="0" borderId="3" xfId="0" applyBorder="1" applyAlignment="1" applyProtection="1">
      <alignment horizontal="right" vertical="center" shrinkToFit="1"/>
    </xf>
    <xf numFmtId="0" fontId="0" fillId="0" borderId="4" xfId="0" applyBorder="1" applyAlignment="1" applyProtection="1">
      <alignment horizontal="right" vertical="center" shrinkToFit="1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1" applyNumberFormat="1" applyFont="1" applyFill="1" applyBorder="1" applyAlignment="1" applyProtection="1">
      <alignment horizontal="center" vertical="center" shrinkToFit="1"/>
      <protection locked="0"/>
    </xf>
    <xf numFmtId="0" fontId="1" fillId="0" borderId="3" xfId="1" applyNumberFormat="1" applyFont="1" applyFill="1" applyBorder="1" applyAlignment="1" applyProtection="1">
      <alignment horizontal="center" vertical="center" shrinkToFit="1"/>
      <protection locked="0"/>
    </xf>
    <xf numFmtId="0" fontId="1" fillId="0" borderId="4" xfId="1" applyNumberFormat="1" applyFont="1" applyFill="1" applyBorder="1" applyAlignment="1" applyProtection="1">
      <alignment horizontal="center" vertical="center" shrinkToFit="1"/>
      <protection locked="0"/>
    </xf>
    <xf numFmtId="20" fontId="2" fillId="0" borderId="22" xfId="0" applyNumberFormat="1" applyFont="1" applyFill="1" applyBorder="1" applyAlignment="1" applyProtection="1">
      <alignment horizontal="center" vertical="center" wrapText="1" shrinkToFi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 shrinkToFi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 shrinkToFit="1"/>
      <protection locked="0"/>
    </xf>
    <xf numFmtId="38" fontId="0" fillId="0" borderId="3" xfId="1" applyFont="1" applyFill="1" applyBorder="1" applyAlignment="1" applyProtection="1">
      <alignment horizontal="center" vertical="center" shrinkToFit="1"/>
      <protection locked="0"/>
    </xf>
    <xf numFmtId="38" fontId="1" fillId="0" borderId="3" xfId="1" applyFont="1" applyFill="1" applyBorder="1" applyAlignment="1" applyProtection="1">
      <alignment horizontal="center" vertical="center" shrinkToFit="1"/>
      <protection locked="0"/>
    </xf>
    <xf numFmtId="38" fontId="1" fillId="0" borderId="4" xfId="1" applyFont="1" applyFill="1" applyBorder="1" applyAlignment="1" applyProtection="1">
      <alignment horizontal="center" vertical="center" shrinkToFit="1"/>
      <protection locked="0"/>
    </xf>
    <xf numFmtId="165" fontId="2" fillId="0" borderId="2" xfId="0" applyNumberFormat="1" applyFont="1" applyFill="1" applyBorder="1" applyAlignment="1" applyProtection="1">
      <alignment horizontal="right" vertical="center"/>
    </xf>
    <xf numFmtId="165" fontId="2" fillId="0" borderId="3" xfId="0" applyNumberFormat="1" applyFont="1" applyFill="1" applyBorder="1" applyAlignment="1" applyProtection="1">
      <alignment horizontal="right" vertical="center"/>
    </xf>
    <xf numFmtId="0" fontId="5" fillId="0" borderId="2" xfId="0" applyNumberFormat="1" applyFont="1" applyFill="1" applyBorder="1" applyAlignment="1" applyProtection="1">
      <alignment horizontal="right" vertical="center" shrinkToFit="1"/>
    </xf>
    <xf numFmtId="0" fontId="5" fillId="0" borderId="3" xfId="0" applyNumberFormat="1" applyFont="1" applyFill="1" applyBorder="1" applyAlignment="1" applyProtection="1">
      <alignment horizontal="right" vertical="center" shrinkToFit="1"/>
    </xf>
    <xf numFmtId="0" fontId="5" fillId="0" borderId="4" xfId="0" applyNumberFormat="1" applyFont="1" applyFill="1" applyBorder="1" applyAlignment="1" applyProtection="1">
      <alignment horizontal="right" vertical="center" shrinkToFit="1"/>
    </xf>
    <xf numFmtId="0" fontId="5" fillId="0" borderId="2" xfId="0" applyNumberFormat="1" applyFont="1" applyFill="1" applyBorder="1" applyAlignment="1" applyProtection="1">
      <alignment horizontal="center" vertical="center" shrinkToFit="1"/>
    </xf>
    <xf numFmtId="0" fontId="5" fillId="0" borderId="3" xfId="0" applyNumberFormat="1" applyFont="1" applyFill="1" applyBorder="1" applyAlignment="1" applyProtection="1">
      <alignment horizontal="center" vertical="center" shrinkToFit="1"/>
    </xf>
    <xf numFmtId="0" fontId="5" fillId="0" borderId="4" xfId="0" applyNumberFormat="1" applyFont="1" applyFill="1" applyBorder="1" applyAlignment="1" applyProtection="1">
      <alignment horizontal="center" vertical="center" shrinkToFit="1"/>
    </xf>
    <xf numFmtId="172" fontId="5" fillId="0" borderId="3" xfId="1" applyNumberFormat="1" applyFont="1" applyFill="1" applyBorder="1" applyAlignment="1" applyProtection="1">
      <alignment horizontal="right" vertical="center" shrinkToFit="1"/>
    </xf>
    <xf numFmtId="172" fontId="5" fillId="0" borderId="4" xfId="1" applyNumberFormat="1" applyFont="1" applyFill="1" applyBorder="1" applyAlignment="1" applyProtection="1">
      <alignment horizontal="right" vertical="center" shrinkToFit="1"/>
    </xf>
    <xf numFmtId="0" fontId="2" fillId="0" borderId="0" xfId="0" applyNumberFormat="1" applyFont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 textRotation="255"/>
    </xf>
    <xf numFmtId="0" fontId="2" fillId="0" borderId="7" xfId="0" applyFont="1" applyFill="1" applyBorder="1" applyAlignment="1" applyProtection="1">
      <alignment horizontal="center" vertical="center" textRotation="255"/>
    </xf>
    <xf numFmtId="0" fontId="2" fillId="0" borderId="41" xfId="0" applyFont="1" applyFill="1" applyBorder="1" applyAlignment="1" applyProtection="1">
      <alignment horizontal="center" vertical="center" textRotation="255"/>
    </xf>
    <xf numFmtId="0" fontId="2" fillId="0" borderId="16" xfId="0" applyFont="1" applyFill="1" applyBorder="1" applyAlignment="1" applyProtection="1">
      <alignment horizontal="center" vertical="center" textRotation="255"/>
    </xf>
    <xf numFmtId="0" fontId="2" fillId="0" borderId="18" xfId="0" applyFont="1" applyFill="1" applyBorder="1" applyAlignment="1" applyProtection="1">
      <alignment horizontal="center" vertical="center" textRotation="255"/>
    </xf>
    <xf numFmtId="0" fontId="2" fillId="0" borderId="19" xfId="0" applyFont="1" applyFill="1" applyBorder="1" applyAlignment="1" applyProtection="1">
      <alignment horizontal="center" vertical="center" textRotation="255"/>
    </xf>
    <xf numFmtId="0" fontId="3" fillId="0" borderId="2" xfId="0" applyFont="1" applyFill="1" applyBorder="1" applyAlignment="1" applyProtection="1">
      <alignment horizontal="center" vertical="center" shrinkToFit="1"/>
    </xf>
    <xf numFmtId="0" fontId="3" fillId="0" borderId="3" xfId="0" applyFont="1" applyFill="1" applyBorder="1" applyAlignment="1" applyProtection="1">
      <alignment horizontal="center" vertical="center" shrinkToFit="1"/>
    </xf>
    <xf numFmtId="0" fontId="3" fillId="0" borderId="32" xfId="0" applyFont="1" applyFill="1" applyBorder="1" applyAlignment="1" applyProtection="1">
      <alignment horizontal="center" vertical="center" shrinkToFit="1"/>
    </xf>
    <xf numFmtId="0" fontId="3" fillId="0" borderId="22" xfId="0" applyFont="1" applyFill="1" applyBorder="1" applyAlignment="1" applyProtection="1">
      <alignment horizontal="center" vertical="center" shrinkToFit="1"/>
    </xf>
    <xf numFmtId="0" fontId="0" fillId="0" borderId="4" xfId="0" applyFill="1" applyBorder="1" applyProtection="1">
      <alignment vertical="center"/>
    </xf>
    <xf numFmtId="38" fontId="2" fillId="0" borderId="1" xfId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 shrinkToFit="1"/>
    </xf>
    <xf numFmtId="172" fontId="5" fillId="0" borderId="39" xfId="1" applyNumberFormat="1" applyFont="1" applyFill="1" applyBorder="1" applyAlignment="1" applyProtection="1">
      <alignment horizontal="center" vertical="center" shrinkToFit="1"/>
    </xf>
    <xf numFmtId="172" fontId="5" fillId="0" borderId="1" xfId="1" applyNumberFormat="1" applyFont="1" applyFill="1" applyBorder="1" applyAlignment="1" applyProtection="1">
      <alignment horizontal="center" vertical="center" shrinkToFit="1"/>
    </xf>
    <xf numFmtId="172" fontId="5" fillId="0" borderId="2" xfId="1" applyNumberFormat="1" applyFont="1" applyFill="1" applyBorder="1" applyAlignment="1" applyProtection="1">
      <alignment horizontal="center" vertical="center" shrinkToFit="1"/>
    </xf>
    <xf numFmtId="172" fontId="5" fillId="0" borderId="4" xfId="1" applyNumberFormat="1" applyFont="1" applyFill="1" applyBorder="1" applyAlignment="1" applyProtection="1">
      <alignment horizontal="center" vertical="center" shrinkToFit="1"/>
    </xf>
    <xf numFmtId="0" fontId="1" fillId="0" borderId="2" xfId="1" applyNumberFormat="1" applyFont="1" applyFill="1" applyBorder="1" applyAlignment="1" applyProtection="1">
      <alignment horizontal="center" vertical="center" shrinkToFit="1"/>
    </xf>
    <xf numFmtId="0" fontId="0" fillId="0" borderId="3" xfId="0" applyNumberFormat="1" applyBorder="1" applyAlignment="1" applyProtection="1">
      <alignment horizontal="center" vertical="center" shrinkToFit="1"/>
    </xf>
    <xf numFmtId="0" fontId="0" fillId="0" borderId="14" xfId="0" applyNumberFormat="1" applyBorder="1" applyAlignment="1" applyProtection="1">
      <alignment horizontal="center" vertical="center" shrinkToFit="1"/>
    </xf>
    <xf numFmtId="172" fontId="5" fillId="0" borderId="35" xfId="1" applyNumberFormat="1" applyFont="1" applyFill="1" applyBorder="1" applyAlignment="1" applyProtection="1">
      <alignment horizontal="right" vertical="center" shrinkToFi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6" fillId="0" borderId="1" xfId="0" applyFont="1" applyFill="1" applyBorder="1" applyAlignment="1" applyProtection="1">
      <alignment horizontal="center" vertical="center" shrinkToFit="1"/>
    </xf>
    <xf numFmtId="0" fontId="2" fillId="0" borderId="2" xfId="0" applyFont="1" applyFill="1" applyBorder="1" applyAlignment="1" applyProtection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Fill="1" applyBorder="1" applyProtection="1">
      <alignment vertical="center"/>
      <protection locked="0"/>
    </xf>
    <xf numFmtId="168" fontId="2" fillId="0" borderId="2" xfId="0" applyNumberFormat="1" applyFont="1" applyFill="1" applyBorder="1" applyAlignment="1" applyProtection="1">
      <alignment horizontal="left" vertical="center" wrapText="1"/>
      <protection locked="0"/>
    </xf>
    <xf numFmtId="168" fontId="2" fillId="0" borderId="3" xfId="0" applyNumberFormat="1" applyFont="1" applyFill="1" applyBorder="1" applyAlignment="1" applyProtection="1">
      <alignment horizontal="left" vertical="center" wrapText="1"/>
      <protection locked="0"/>
    </xf>
    <xf numFmtId="168" fontId="2" fillId="0" borderId="4" xfId="0" applyNumberFormat="1" applyFont="1" applyFill="1" applyBorder="1" applyAlignment="1" applyProtection="1">
      <alignment horizontal="left" vertical="center" wrapText="1"/>
      <protection locked="0"/>
    </xf>
    <xf numFmtId="38" fontId="2" fillId="0" borderId="2" xfId="1" applyFont="1" applyFill="1" applyBorder="1" applyAlignment="1" applyProtection="1">
      <alignment horizontal="right" vertical="center" shrinkToFit="1"/>
      <protection locked="0"/>
    </xf>
    <xf numFmtId="38" fontId="2" fillId="0" borderId="3" xfId="1" applyFont="1" applyFill="1" applyBorder="1" applyAlignment="1" applyProtection="1">
      <alignment horizontal="right" vertical="center" shrinkToFit="1"/>
      <protection locked="0"/>
    </xf>
    <xf numFmtId="38" fontId="2" fillId="0" borderId="4" xfId="1" applyFont="1" applyFill="1" applyBorder="1" applyAlignment="1" applyProtection="1">
      <alignment horizontal="right" vertical="center" shrinkToFit="1"/>
      <protection locked="0"/>
    </xf>
    <xf numFmtId="0" fontId="2" fillId="0" borderId="6" xfId="0" applyFont="1" applyFill="1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18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19" xfId="0" applyBorder="1" applyAlignment="1" applyProtection="1">
      <alignment vertical="top" wrapText="1"/>
      <protection locked="0"/>
    </xf>
    <xf numFmtId="38" fontId="2" fillId="0" borderId="1" xfId="1" applyFont="1" applyFill="1" applyBorder="1" applyAlignment="1" applyProtection="1">
      <alignment horizontal="center" vertical="center" shrinkToFit="1"/>
    </xf>
    <xf numFmtId="0" fontId="6" fillId="0" borderId="2" xfId="0" applyFont="1" applyFill="1" applyBorder="1" applyAlignment="1" applyProtection="1">
      <alignment horizontal="center" vertical="center" shrinkToFit="1"/>
    </xf>
    <xf numFmtId="0" fontId="6" fillId="0" borderId="3" xfId="0" applyFont="1" applyFill="1" applyBorder="1" applyAlignment="1" applyProtection="1">
      <alignment horizontal="center" vertical="center" shrinkToFit="1"/>
    </xf>
    <xf numFmtId="0" fontId="6" fillId="0" borderId="4" xfId="0" applyFont="1" applyFill="1" applyBorder="1" applyAlignment="1" applyProtection="1">
      <alignment horizontal="center" vertical="center" shrinkToFit="1"/>
    </xf>
    <xf numFmtId="3" fontId="10" fillId="0" borderId="3" xfId="0" applyNumberFormat="1" applyFont="1" applyFill="1" applyBorder="1" applyAlignment="1" applyProtection="1">
      <alignment horizontal="center" vertical="center" shrinkToFit="1"/>
    </xf>
    <xf numFmtId="0" fontId="10" fillId="0" borderId="3" xfId="0" applyFont="1" applyFill="1" applyBorder="1" applyAlignment="1" applyProtection="1">
      <alignment horizontal="center" vertical="center"/>
    </xf>
    <xf numFmtId="0" fontId="10" fillId="0" borderId="42" xfId="0" applyFont="1" applyFill="1" applyBorder="1" applyAlignment="1" applyProtection="1">
      <alignment horizontal="center" vertical="center"/>
    </xf>
    <xf numFmtId="0" fontId="10" fillId="0" borderId="43" xfId="0" applyFont="1" applyFill="1" applyBorder="1" applyAlignment="1" applyProtection="1">
      <alignment horizontal="center" vertical="center"/>
    </xf>
    <xf numFmtId="0" fontId="10" fillId="0" borderId="44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172" fontId="8" fillId="0" borderId="45" xfId="0" applyNumberFormat="1" applyFont="1" applyFill="1" applyBorder="1" applyAlignment="1" applyProtection="1">
      <alignment horizontal="center" vertical="center"/>
    </xf>
    <xf numFmtId="172" fontId="8" fillId="0" borderId="46" xfId="0" applyNumberFormat="1" applyFont="1" applyFill="1" applyBorder="1" applyAlignment="1" applyProtection="1">
      <alignment horizontal="center" vertical="center"/>
    </xf>
    <xf numFmtId="172" fontId="8" fillId="0" borderId="47" xfId="0" applyNumberFormat="1" applyFont="1" applyFill="1" applyBorder="1" applyAlignment="1" applyProtection="1">
      <alignment horizontal="center" vertical="center"/>
    </xf>
    <xf numFmtId="172" fontId="8" fillId="0" borderId="48" xfId="0" applyNumberFormat="1" applyFont="1" applyFill="1" applyBorder="1" applyAlignment="1" applyProtection="1">
      <alignment horizontal="center" vertical="center"/>
    </xf>
    <xf numFmtId="172" fontId="8" fillId="0" borderId="49" xfId="0" applyNumberFormat="1" applyFont="1" applyFill="1" applyBorder="1" applyAlignment="1" applyProtection="1">
      <alignment horizontal="center" vertical="center"/>
    </xf>
    <xf numFmtId="172" fontId="8" fillId="0" borderId="50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 shrinkToFit="1"/>
    </xf>
    <xf numFmtId="0" fontId="6" fillId="0" borderId="2" xfId="0" applyFont="1" applyFill="1" applyBorder="1" applyAlignment="1" applyProtection="1">
      <alignment horizontal="center" vertical="center" wrapText="1" shrinkToFit="1"/>
    </xf>
    <xf numFmtId="0" fontId="6" fillId="0" borderId="3" xfId="0" applyFont="1" applyFill="1" applyBorder="1" applyAlignment="1" applyProtection="1">
      <alignment horizontal="center" vertical="center" wrapText="1" shrinkToFit="1"/>
    </xf>
    <xf numFmtId="0" fontId="6" fillId="0" borderId="4" xfId="0" applyFont="1" applyFill="1" applyBorder="1" applyAlignment="1" applyProtection="1">
      <alignment horizontal="center" vertical="center" wrapText="1" shrinkToFit="1"/>
    </xf>
    <xf numFmtId="16" fontId="2" fillId="0" borderId="0" xfId="0" quotePrefix="1" applyNumberFormat="1" applyFont="1" applyFill="1" applyBorder="1" applyAlignment="1" applyProtection="1">
      <alignment horizontal="center" vertical="center"/>
    </xf>
    <xf numFmtId="16" fontId="2" fillId="0" borderId="0" xfId="0" applyNumberFormat="1" applyFont="1" applyFill="1" applyBorder="1" applyAlignment="1" applyProtection="1">
      <alignment horizontal="center" vertical="center"/>
    </xf>
    <xf numFmtId="167" fontId="2" fillId="0" borderId="3" xfId="0" applyNumberFormat="1" applyFont="1" applyFill="1" applyBorder="1" applyAlignment="1" applyProtection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72" fontId="5" fillId="0" borderId="2" xfId="0" applyNumberFormat="1" applyFont="1" applyFill="1" applyBorder="1" applyAlignment="1" applyProtection="1">
      <alignment horizontal="right" vertical="center" shrinkToFit="1"/>
    </xf>
    <xf numFmtId="172" fontId="5" fillId="0" borderId="3" xfId="0" applyNumberFormat="1" applyFont="1" applyFill="1" applyBorder="1" applyAlignment="1" applyProtection="1">
      <alignment horizontal="right" vertical="center" shrinkToFit="1"/>
    </xf>
    <xf numFmtId="172" fontId="5" fillId="0" borderId="4" xfId="0" applyNumberFormat="1" applyFont="1" applyFill="1" applyBorder="1" applyAlignment="1" applyProtection="1">
      <alignment horizontal="right" vertical="center" shrinkToFit="1"/>
    </xf>
  </cellXfs>
  <cellStyles count="2">
    <cellStyle name="Comma [0]" xfId="1" builtinId="6"/>
    <cellStyle name="Normal" xfId="0" builtinId="0"/>
  </cellStyles>
  <dxfs count="6">
    <dxf>
      <fill>
        <patternFill>
          <bgColor indexed="45"/>
        </patternFill>
      </fill>
    </dxf>
    <dxf>
      <fill>
        <patternFill>
          <bgColor indexed="41"/>
        </patternFill>
      </fill>
    </dxf>
    <dxf>
      <fill>
        <patternFill patternType="none">
          <bgColor indexed="65"/>
        </patternFill>
      </fill>
    </dxf>
    <dxf>
      <fill>
        <patternFill>
          <bgColor indexed="45"/>
        </patternFill>
      </fill>
    </dxf>
    <dxf>
      <fill>
        <patternFill>
          <bgColor indexed="41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93"/>
  <sheetViews>
    <sheetView showGridLines="0" tabSelected="1" view="pageBreakPreview" topLeftCell="L1" zoomScaleNormal="100" zoomScaleSheetLayoutView="100" workbookViewId="0">
      <selection activeCell="Y7" sqref="Y7:AE7"/>
    </sheetView>
  </sheetViews>
  <sheetFormatPr defaultRowHeight="13.5"/>
  <cols>
    <col min="1" max="1" width="0.875" style="1" customWidth="1"/>
    <col min="2" max="3" width="2.125" style="1" customWidth="1"/>
    <col min="4" max="4" width="5.25" style="1" customWidth="1"/>
    <col min="5" max="5" width="2.125" style="1" customWidth="1"/>
    <col min="6" max="6" width="3" style="1" customWidth="1"/>
    <col min="7" max="14" width="2.125" style="1" customWidth="1"/>
    <col min="15" max="16" width="2.625" style="1" customWidth="1"/>
    <col min="17" max="18" width="4.25" style="1" customWidth="1"/>
    <col min="19" max="24" width="2.125" style="1" customWidth="1"/>
    <col min="25" max="31" width="3" style="1" customWidth="1"/>
    <col min="32" max="37" width="2.625" style="1" customWidth="1"/>
    <col min="38" max="41" width="2.125" style="1" customWidth="1"/>
    <col min="42" max="45" width="3.875" style="1" customWidth="1"/>
    <col min="46" max="50" width="2.125" style="1" customWidth="1"/>
    <col min="51" max="51" width="3.625" style="1" customWidth="1"/>
    <col min="52" max="52" width="3.375" style="2" customWidth="1"/>
    <col min="53" max="53" width="6" style="2" customWidth="1"/>
    <col min="54" max="55" width="2.125" style="1" customWidth="1"/>
    <col min="56" max="57" width="2.125" style="2" customWidth="1"/>
    <col min="58" max="59" width="2.125" style="1" customWidth="1"/>
    <col min="60" max="67" width="2.125" style="2" customWidth="1"/>
    <col min="68" max="68" width="2.75" style="1" customWidth="1"/>
    <col min="69" max="70" width="2.125" style="1" customWidth="1"/>
    <col min="71" max="77" width="2.625" style="1" customWidth="1"/>
    <col min="78" max="117" width="2.75" style="1" customWidth="1"/>
    <col min="118" max="118" width="3.625" style="1" customWidth="1"/>
    <col min="119" max="119" width="2.125" style="1" hidden="1" customWidth="1"/>
    <col min="120" max="120" width="3.625" style="3" hidden="1" customWidth="1"/>
    <col min="121" max="122" width="3.625" style="4" hidden="1" customWidth="1"/>
    <col min="123" max="123" width="2.125" style="4" hidden="1" customWidth="1"/>
    <col min="124" max="124" width="2.625" style="4" hidden="1" customWidth="1"/>
    <col min="125" max="129" width="4.625" style="4" hidden="1" customWidth="1"/>
    <col min="130" max="130" width="3.625" style="4" customWidth="1"/>
    <col min="131" max="131" width="15.625" style="4" customWidth="1"/>
    <col min="132" max="133" width="5.625" style="4" hidden="1" customWidth="1"/>
    <col min="134" max="134" width="10.625" style="4" hidden="1" customWidth="1"/>
    <col min="135" max="135" width="7.625" style="4" hidden="1" customWidth="1"/>
    <col min="136" max="139" width="5.625" style="4" hidden="1" customWidth="1"/>
    <col min="140" max="140" width="7.625" style="5" hidden="1" customWidth="1"/>
    <col min="141" max="141" width="7.625" style="4" hidden="1" customWidth="1"/>
    <col min="142" max="143" width="5.625" style="5" hidden="1" customWidth="1"/>
    <col min="144" max="146" width="5.625" style="6" hidden="1" customWidth="1"/>
    <col min="147" max="149" width="5.625" style="5" hidden="1" customWidth="1"/>
    <col min="150" max="16384" width="9" style="5"/>
  </cols>
  <sheetData>
    <row r="1" spans="1:150" ht="36.75" customHeight="1"/>
    <row r="2" spans="1:150" ht="33" customHeight="1">
      <c r="B2" s="182" t="s">
        <v>0</v>
      </c>
      <c r="C2" s="182"/>
      <c r="D2" s="182"/>
      <c r="E2" s="182"/>
      <c r="F2" s="182"/>
      <c r="G2" s="183">
        <v>42837</v>
      </c>
      <c r="H2" s="184"/>
      <c r="I2" s="184"/>
      <c r="J2" s="184"/>
      <c r="K2" s="184"/>
      <c r="L2" s="184"/>
      <c r="M2" s="184"/>
      <c r="N2" s="184"/>
      <c r="O2" s="184"/>
      <c r="P2" s="184"/>
      <c r="Q2" s="185" t="s">
        <v>1</v>
      </c>
      <c r="R2" s="185"/>
      <c r="S2" s="185"/>
      <c r="T2" s="185"/>
      <c r="U2" s="184">
        <v>42837</v>
      </c>
      <c r="V2" s="184"/>
      <c r="W2" s="184"/>
      <c r="X2" s="184"/>
      <c r="Y2" s="184"/>
      <c r="Z2" s="184"/>
      <c r="AA2" s="184"/>
      <c r="AB2" s="184"/>
      <c r="AC2" s="184"/>
      <c r="AD2" s="186"/>
      <c r="AE2" s="187" t="s">
        <v>2</v>
      </c>
      <c r="AF2" s="187"/>
      <c r="AG2" s="187"/>
      <c r="AH2" s="187"/>
      <c r="AI2" s="187"/>
      <c r="AJ2" s="187"/>
      <c r="AK2" s="187"/>
      <c r="AL2" s="187"/>
      <c r="AM2" s="188">
        <v>42838</v>
      </c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73" t="s">
        <v>3</v>
      </c>
      <c r="BI2" s="174"/>
      <c r="BJ2" s="174"/>
      <c r="BK2" s="174"/>
      <c r="BL2" s="175"/>
      <c r="BM2" s="176" t="s">
        <v>4</v>
      </c>
      <c r="BN2" s="177"/>
      <c r="BO2" s="177"/>
      <c r="BP2" s="178"/>
      <c r="BQ2" s="173" t="s">
        <v>5</v>
      </c>
      <c r="BR2" s="174"/>
      <c r="BS2" s="174"/>
      <c r="BT2" s="174"/>
      <c r="BU2" s="175"/>
      <c r="BV2" s="176" t="s">
        <v>6</v>
      </c>
      <c r="BW2" s="177"/>
      <c r="BX2" s="177"/>
      <c r="BY2" s="177"/>
      <c r="BZ2" s="177"/>
      <c r="CA2" s="177"/>
      <c r="CB2" s="177"/>
      <c r="CC2" s="177"/>
      <c r="CD2" s="177"/>
      <c r="CE2" s="177"/>
      <c r="CF2" s="178"/>
      <c r="CG2" s="179" t="s">
        <v>7</v>
      </c>
      <c r="CH2" s="179"/>
      <c r="CI2" s="179"/>
      <c r="CJ2" s="179"/>
      <c r="CK2" s="179"/>
      <c r="CL2" s="180">
        <v>201601</v>
      </c>
      <c r="CM2" s="181"/>
      <c r="CN2" s="181"/>
      <c r="CO2" s="181"/>
      <c r="CP2" s="181"/>
      <c r="CQ2" s="181"/>
      <c r="CR2" s="181"/>
      <c r="CS2" s="160" t="s">
        <v>8</v>
      </c>
      <c r="CT2" s="161"/>
      <c r="CU2" s="161"/>
      <c r="CV2" s="161"/>
      <c r="CW2" s="162"/>
      <c r="CX2" s="163" t="s">
        <v>12</v>
      </c>
      <c r="CY2" s="164"/>
      <c r="CZ2" s="164"/>
      <c r="DA2" s="164"/>
      <c r="DB2" s="164"/>
      <c r="DC2" s="164"/>
      <c r="DD2" s="164"/>
      <c r="DE2" s="164"/>
      <c r="DF2" s="164"/>
      <c r="DG2" s="164"/>
      <c r="DH2" s="164"/>
      <c r="DI2" s="164"/>
      <c r="DJ2" s="164"/>
      <c r="DK2" s="164"/>
      <c r="DL2" s="164"/>
      <c r="DM2" s="165"/>
      <c r="DP2" s="1"/>
      <c r="DQ2" s="1"/>
      <c r="DR2" s="1"/>
      <c r="DS2" s="3"/>
      <c r="DT2" s="3"/>
      <c r="DU2" s="3"/>
      <c r="DV2" s="3"/>
      <c r="DW2" s="3"/>
      <c r="DX2" s="3"/>
      <c r="DY2" s="3"/>
      <c r="EJ2" s="4"/>
      <c r="EL2" s="4"/>
      <c r="EN2" s="4"/>
      <c r="EO2" s="5"/>
      <c r="EP2" s="5"/>
      <c r="EQ2" s="6"/>
      <c r="ER2" s="6"/>
      <c r="ES2" s="6"/>
    </row>
    <row r="3" spans="1:150" ht="33" customHeight="1">
      <c r="B3" s="166" t="s">
        <v>10</v>
      </c>
      <c r="C3" s="166"/>
      <c r="D3" s="166"/>
      <c r="E3" s="166"/>
      <c r="F3" s="166"/>
      <c r="G3" s="167" t="s">
        <v>105</v>
      </c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9"/>
      <c r="BH3" s="160" t="s">
        <v>11</v>
      </c>
      <c r="BI3" s="170"/>
      <c r="BJ3" s="170"/>
      <c r="BK3" s="170"/>
      <c r="BL3" s="171"/>
      <c r="BM3" s="172" t="s">
        <v>9</v>
      </c>
      <c r="BN3" s="168"/>
      <c r="BO3" s="168"/>
      <c r="BP3" s="168"/>
      <c r="BQ3" s="168"/>
      <c r="BR3" s="168"/>
      <c r="BS3" s="168"/>
      <c r="BT3" s="168"/>
      <c r="BU3" s="168"/>
      <c r="BV3" s="168"/>
      <c r="BW3" s="168"/>
      <c r="BX3" s="168"/>
      <c r="BY3" s="168"/>
      <c r="BZ3" s="168"/>
      <c r="CA3" s="168"/>
      <c r="CB3" s="168"/>
      <c r="CC3" s="168"/>
      <c r="CD3" s="168"/>
      <c r="CE3" s="168"/>
      <c r="CF3" s="168"/>
      <c r="CG3" s="168"/>
      <c r="CH3" s="168"/>
      <c r="CI3" s="168"/>
      <c r="CJ3" s="168"/>
      <c r="CK3" s="168"/>
      <c r="CL3" s="168"/>
      <c r="CM3" s="168"/>
      <c r="CN3" s="168"/>
      <c r="CO3" s="168"/>
      <c r="CP3" s="168"/>
      <c r="CQ3" s="168"/>
      <c r="CR3" s="168"/>
      <c r="CS3" s="168"/>
      <c r="CT3" s="168"/>
      <c r="CU3" s="168"/>
      <c r="CV3" s="168"/>
      <c r="CW3" s="168"/>
      <c r="CX3" s="168"/>
      <c r="CY3" s="168"/>
      <c r="CZ3" s="168"/>
      <c r="DA3" s="168"/>
      <c r="DB3" s="168"/>
      <c r="DC3" s="168"/>
      <c r="DD3" s="168"/>
      <c r="DE3" s="168"/>
      <c r="DF3" s="168"/>
      <c r="DG3" s="168"/>
      <c r="DH3" s="168"/>
      <c r="DI3" s="168"/>
      <c r="DJ3" s="168"/>
      <c r="DK3" s="168"/>
      <c r="DL3" s="168"/>
      <c r="DM3" s="169"/>
      <c r="DP3" s="7"/>
      <c r="DQ3" s="8"/>
      <c r="DR3" s="189"/>
      <c r="DS3" s="189"/>
      <c r="DT3" s="189"/>
      <c r="DU3" s="189"/>
      <c r="DV3" s="189"/>
      <c r="DW3" s="189"/>
      <c r="DX3" s="189"/>
      <c r="DY3" s="189"/>
      <c r="DZ3" s="189"/>
      <c r="EA3" s="189"/>
      <c r="EB3" s="189"/>
      <c r="EC3" s="189"/>
      <c r="EE3" s="7"/>
    </row>
    <row r="4" spans="1:150" ht="21.75" customHeight="1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1"/>
      <c r="AK4" s="11"/>
      <c r="AL4" s="11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9"/>
      <c r="AZ4" s="9"/>
      <c r="BA4" s="9"/>
      <c r="BB4" s="12"/>
      <c r="BC4" s="9"/>
      <c r="BD4" s="9"/>
      <c r="BE4" s="9"/>
      <c r="BF4" s="12"/>
      <c r="BG4" s="9"/>
      <c r="BH4" s="9"/>
      <c r="BI4" s="9"/>
      <c r="BJ4" s="13"/>
      <c r="BK4" s="13"/>
      <c r="BL4" s="13"/>
      <c r="BM4" s="13"/>
      <c r="BN4" s="13"/>
      <c r="BO4" s="13"/>
      <c r="BP4" s="9"/>
      <c r="BQ4" s="9"/>
      <c r="BR4" s="9"/>
      <c r="BS4" s="9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P4" s="7"/>
      <c r="DQ4" s="8"/>
      <c r="DR4" s="189"/>
      <c r="DS4" s="189"/>
      <c r="DT4" s="189"/>
      <c r="DU4" s="189"/>
      <c r="DV4" s="189"/>
      <c r="DW4" s="189"/>
      <c r="DX4" s="189"/>
      <c r="DY4" s="189"/>
      <c r="DZ4" s="189"/>
      <c r="EA4" s="190"/>
      <c r="EB4" s="190"/>
      <c r="EC4" s="190"/>
      <c r="EE4" s="7"/>
    </row>
    <row r="5" spans="1:150" ht="36.75" customHeight="1">
      <c r="B5" s="191" t="s">
        <v>13</v>
      </c>
      <c r="C5" s="191"/>
      <c r="D5" s="191"/>
      <c r="E5" s="192" t="s">
        <v>14</v>
      </c>
      <c r="F5" s="193"/>
      <c r="G5" s="196" t="s">
        <v>15</v>
      </c>
      <c r="H5" s="191"/>
      <c r="I5" s="191"/>
      <c r="J5" s="191"/>
      <c r="K5" s="191"/>
      <c r="L5" s="191"/>
      <c r="M5" s="191"/>
      <c r="N5" s="197"/>
      <c r="O5" s="198" t="s">
        <v>16</v>
      </c>
      <c r="P5" s="199"/>
      <c r="Q5" s="202" t="s">
        <v>17</v>
      </c>
      <c r="R5" s="203"/>
      <c r="S5" s="192" t="s">
        <v>18</v>
      </c>
      <c r="T5" s="206"/>
      <c r="U5" s="206"/>
      <c r="V5" s="206"/>
      <c r="W5" s="206"/>
      <c r="X5" s="206"/>
      <c r="Y5" s="192" t="s">
        <v>19</v>
      </c>
      <c r="Z5" s="206"/>
      <c r="AA5" s="206"/>
      <c r="AB5" s="206"/>
      <c r="AC5" s="206"/>
      <c r="AD5" s="206"/>
      <c r="AE5" s="209"/>
      <c r="AF5" s="191" t="s">
        <v>20</v>
      </c>
      <c r="AG5" s="191"/>
      <c r="AH5" s="191" t="s">
        <v>21</v>
      </c>
      <c r="AI5" s="191"/>
      <c r="AJ5" s="191" t="s">
        <v>22</v>
      </c>
      <c r="AK5" s="191"/>
      <c r="AL5" s="224" t="s">
        <v>23</v>
      </c>
      <c r="AM5" s="224"/>
      <c r="AN5" s="224"/>
      <c r="AO5" s="224"/>
      <c r="AP5" s="224"/>
      <c r="AQ5" s="224"/>
      <c r="AR5" s="224"/>
      <c r="AS5" s="224"/>
      <c r="AT5" s="225" t="s">
        <v>24</v>
      </c>
      <c r="AU5" s="226"/>
      <c r="AV5" s="226"/>
      <c r="AW5" s="226"/>
      <c r="AX5" s="226"/>
      <c r="AY5" s="226"/>
      <c r="AZ5" s="226"/>
      <c r="BA5" s="227"/>
      <c r="BB5" s="225" t="s">
        <v>25</v>
      </c>
      <c r="BC5" s="226"/>
      <c r="BD5" s="226"/>
      <c r="BE5" s="226"/>
      <c r="BF5" s="226"/>
      <c r="BG5" s="226"/>
      <c r="BH5" s="226"/>
      <c r="BI5" s="227"/>
      <c r="BJ5" s="192" t="s">
        <v>26</v>
      </c>
      <c r="BK5" s="228"/>
      <c r="BL5" s="229"/>
      <c r="BM5" s="233" t="s">
        <v>27</v>
      </c>
      <c r="BN5" s="234"/>
      <c r="BO5" s="234"/>
      <c r="BP5" s="233" t="s">
        <v>28</v>
      </c>
      <c r="BQ5" s="275"/>
      <c r="BR5" s="276"/>
      <c r="BS5" s="277"/>
      <c r="BT5" s="278"/>
      <c r="BU5" s="160"/>
      <c r="BV5" s="170"/>
      <c r="BW5" s="170"/>
      <c r="BX5" s="170"/>
      <c r="BY5" s="211"/>
      <c r="BZ5" s="212" t="s">
        <v>29</v>
      </c>
      <c r="CA5" s="213"/>
      <c r="CB5" s="213"/>
      <c r="CC5" s="214"/>
      <c r="CD5" s="218" t="s">
        <v>30</v>
      </c>
      <c r="CE5" s="219"/>
      <c r="CF5" s="219"/>
      <c r="CG5" s="219"/>
      <c r="CH5" s="222" t="s">
        <v>31</v>
      </c>
      <c r="CI5" s="223"/>
      <c r="CJ5" s="223"/>
      <c r="CK5" s="223"/>
      <c r="CL5" s="272" t="s">
        <v>32</v>
      </c>
      <c r="CM5" s="253"/>
      <c r="CN5" s="253"/>
      <c r="CO5" s="254"/>
      <c r="CP5" s="272" t="s">
        <v>33</v>
      </c>
      <c r="CQ5" s="253"/>
      <c r="CR5" s="253"/>
      <c r="CS5" s="254"/>
      <c r="CT5" s="272" t="s">
        <v>34</v>
      </c>
      <c r="CU5" s="253"/>
      <c r="CV5" s="253"/>
      <c r="CW5" s="254"/>
      <c r="CX5" s="272" t="s">
        <v>35</v>
      </c>
      <c r="CY5" s="273"/>
      <c r="CZ5" s="273"/>
      <c r="DA5" s="274"/>
      <c r="DB5" s="272" t="s">
        <v>36</v>
      </c>
      <c r="DC5" s="273"/>
      <c r="DD5" s="273"/>
      <c r="DE5" s="274"/>
      <c r="DF5" s="272" t="s">
        <v>37</v>
      </c>
      <c r="DG5" s="253"/>
      <c r="DH5" s="253"/>
      <c r="DI5" s="254"/>
      <c r="DJ5" s="252" t="s">
        <v>38</v>
      </c>
      <c r="DK5" s="253"/>
      <c r="DL5" s="253"/>
      <c r="DM5" s="254"/>
      <c r="DP5" s="1"/>
      <c r="DQ5" s="1"/>
      <c r="DR5" s="14"/>
      <c r="DS5" s="14"/>
      <c r="DT5" s="14"/>
      <c r="DU5" s="14"/>
      <c r="DV5" s="14"/>
      <c r="DW5" s="14"/>
      <c r="DX5" s="14"/>
      <c r="DY5" s="14"/>
      <c r="DZ5" s="15"/>
      <c r="EA5" s="16" t="s">
        <v>39</v>
      </c>
      <c r="EB5" s="17"/>
      <c r="EC5" s="18"/>
      <c r="ED5" s="19" t="s">
        <v>40</v>
      </c>
      <c r="EE5" s="19" t="s">
        <v>41</v>
      </c>
      <c r="EF5" s="19" t="s">
        <v>42</v>
      </c>
      <c r="EG5" s="20" t="s">
        <v>43</v>
      </c>
      <c r="EH5" s="21"/>
      <c r="EI5" s="18"/>
      <c r="EJ5" s="19" t="s">
        <v>40</v>
      </c>
      <c r="EK5" s="19" t="s">
        <v>41</v>
      </c>
      <c r="EL5" s="19" t="s">
        <v>42</v>
      </c>
      <c r="EM5" s="19" t="s">
        <v>43</v>
      </c>
      <c r="EN5" s="19" t="s">
        <v>44</v>
      </c>
      <c r="EO5" s="19"/>
      <c r="EP5" s="22" t="s">
        <v>45</v>
      </c>
      <c r="EQ5" s="23"/>
      <c r="ER5" s="17" t="s">
        <v>46</v>
      </c>
      <c r="ES5" s="23"/>
    </row>
    <row r="6" spans="1:150" ht="36.75" customHeight="1" thickBot="1">
      <c r="A6" s="24"/>
      <c r="B6" s="191"/>
      <c r="C6" s="191"/>
      <c r="D6" s="191"/>
      <c r="E6" s="194"/>
      <c r="F6" s="195"/>
      <c r="G6" s="191"/>
      <c r="H6" s="191"/>
      <c r="I6" s="191"/>
      <c r="J6" s="191"/>
      <c r="K6" s="191"/>
      <c r="L6" s="191"/>
      <c r="M6" s="191"/>
      <c r="N6" s="197"/>
      <c r="O6" s="200"/>
      <c r="P6" s="201"/>
      <c r="Q6" s="204"/>
      <c r="R6" s="205"/>
      <c r="S6" s="207"/>
      <c r="T6" s="208"/>
      <c r="U6" s="208"/>
      <c r="V6" s="208"/>
      <c r="W6" s="208"/>
      <c r="X6" s="208"/>
      <c r="Y6" s="207"/>
      <c r="Z6" s="208"/>
      <c r="AA6" s="208"/>
      <c r="AB6" s="208"/>
      <c r="AC6" s="208"/>
      <c r="AD6" s="208"/>
      <c r="AE6" s="210"/>
      <c r="AF6" s="191"/>
      <c r="AG6" s="191"/>
      <c r="AH6" s="191"/>
      <c r="AI6" s="191"/>
      <c r="AJ6" s="191"/>
      <c r="AK6" s="191"/>
      <c r="AL6" s="258" t="s">
        <v>47</v>
      </c>
      <c r="AM6" s="259"/>
      <c r="AN6" s="259"/>
      <c r="AO6" s="260"/>
      <c r="AP6" s="261" t="s">
        <v>48</v>
      </c>
      <c r="AQ6" s="259"/>
      <c r="AR6" s="259"/>
      <c r="AS6" s="262"/>
      <c r="AT6" s="258" t="s">
        <v>47</v>
      </c>
      <c r="AU6" s="259"/>
      <c r="AV6" s="259"/>
      <c r="AW6" s="260"/>
      <c r="AX6" s="263" t="s">
        <v>48</v>
      </c>
      <c r="AY6" s="264"/>
      <c r="AZ6" s="264"/>
      <c r="BA6" s="265"/>
      <c r="BB6" s="263" t="s">
        <v>49</v>
      </c>
      <c r="BC6" s="264"/>
      <c r="BD6" s="264"/>
      <c r="BE6" s="265"/>
      <c r="BF6" s="263" t="s">
        <v>50</v>
      </c>
      <c r="BG6" s="264"/>
      <c r="BH6" s="264"/>
      <c r="BI6" s="265"/>
      <c r="BJ6" s="230"/>
      <c r="BK6" s="231"/>
      <c r="BL6" s="232"/>
      <c r="BM6" s="235"/>
      <c r="BN6" s="236"/>
      <c r="BO6" s="236"/>
      <c r="BP6" s="25" t="s">
        <v>51</v>
      </c>
      <c r="BQ6" s="160" t="s">
        <v>52</v>
      </c>
      <c r="BR6" s="266"/>
      <c r="BS6" s="279"/>
      <c r="BT6" s="280"/>
      <c r="BU6" s="267"/>
      <c r="BV6" s="268"/>
      <c r="BW6" s="269"/>
      <c r="BX6" s="270"/>
      <c r="BY6" s="271"/>
      <c r="BZ6" s="215"/>
      <c r="CA6" s="216"/>
      <c r="CB6" s="216"/>
      <c r="CC6" s="217"/>
      <c r="CD6" s="220"/>
      <c r="CE6" s="221"/>
      <c r="CF6" s="221"/>
      <c r="CG6" s="221"/>
      <c r="CH6" s="223"/>
      <c r="CI6" s="223"/>
      <c r="CJ6" s="223"/>
      <c r="CK6" s="223"/>
      <c r="CL6" s="255"/>
      <c r="CM6" s="256"/>
      <c r="CN6" s="256"/>
      <c r="CO6" s="257"/>
      <c r="CP6" s="255"/>
      <c r="CQ6" s="256"/>
      <c r="CR6" s="256"/>
      <c r="CS6" s="257"/>
      <c r="CT6" s="255"/>
      <c r="CU6" s="256"/>
      <c r="CV6" s="256"/>
      <c r="CW6" s="257"/>
      <c r="CX6" s="258"/>
      <c r="CY6" s="259"/>
      <c r="CZ6" s="259"/>
      <c r="DA6" s="262"/>
      <c r="DB6" s="258"/>
      <c r="DC6" s="259"/>
      <c r="DD6" s="259"/>
      <c r="DE6" s="262"/>
      <c r="DF6" s="255"/>
      <c r="DG6" s="256"/>
      <c r="DH6" s="256"/>
      <c r="DI6" s="257"/>
      <c r="DJ6" s="255"/>
      <c r="DK6" s="256"/>
      <c r="DL6" s="256"/>
      <c r="DM6" s="257"/>
      <c r="DP6" s="1"/>
      <c r="DQ6" s="1"/>
      <c r="DR6" s="14"/>
      <c r="DS6" s="14"/>
      <c r="DT6" s="14"/>
      <c r="DU6" s="14"/>
      <c r="DV6" s="14"/>
      <c r="DW6" s="14"/>
      <c r="DX6" s="14"/>
      <c r="DY6" s="14"/>
      <c r="DZ6" s="15"/>
      <c r="EA6" s="26" t="s">
        <v>53</v>
      </c>
      <c r="EB6" s="27"/>
      <c r="EC6" s="28"/>
      <c r="ED6" s="29"/>
      <c r="EE6" s="29"/>
      <c r="EF6" s="29"/>
      <c r="EG6" s="30"/>
      <c r="EH6" s="31"/>
      <c r="EI6" s="28"/>
      <c r="EJ6" s="29"/>
      <c r="EK6" s="29"/>
      <c r="EL6" s="29"/>
      <c r="EM6" s="29"/>
      <c r="EN6" s="27"/>
      <c r="EO6" s="28"/>
      <c r="EP6" s="27"/>
      <c r="EQ6" s="28"/>
      <c r="ER6" s="27"/>
      <c r="ES6" s="28"/>
    </row>
    <row r="7" spans="1:150" ht="30" customHeight="1" thickTop="1" thickBot="1">
      <c r="B7" s="237">
        <v>42837</v>
      </c>
      <c r="C7" s="238"/>
      <c r="D7" s="239"/>
      <c r="E7" s="240">
        <f t="shared" ref="E7:E9" si="0">B7</f>
        <v>42837</v>
      </c>
      <c r="F7" s="241"/>
      <c r="G7" s="242" t="s">
        <v>104</v>
      </c>
      <c r="H7" s="243"/>
      <c r="I7" s="243"/>
      <c r="J7" s="243"/>
      <c r="K7" s="243"/>
      <c r="L7" s="243"/>
      <c r="M7" s="243"/>
      <c r="N7" s="244"/>
      <c r="O7" s="245"/>
      <c r="P7" s="246"/>
      <c r="Q7" s="247" t="s">
        <v>26</v>
      </c>
      <c r="R7" s="248"/>
      <c r="S7" s="249" t="s">
        <v>101</v>
      </c>
      <c r="T7" s="250"/>
      <c r="U7" s="250"/>
      <c r="V7" s="250"/>
      <c r="W7" s="250"/>
      <c r="X7" s="251"/>
      <c r="Y7" s="287" t="s">
        <v>106</v>
      </c>
      <c r="Z7" s="288"/>
      <c r="AA7" s="288"/>
      <c r="AB7" s="288"/>
      <c r="AC7" s="288"/>
      <c r="AD7" s="288"/>
      <c r="AE7" s="289"/>
      <c r="AF7" s="290" t="s">
        <v>54</v>
      </c>
      <c r="AG7" s="291"/>
      <c r="AH7" s="290" t="s">
        <v>54</v>
      </c>
      <c r="AI7" s="291"/>
      <c r="AJ7" s="290" t="s">
        <v>54</v>
      </c>
      <c r="AK7" s="291"/>
      <c r="AL7" s="292">
        <v>7</v>
      </c>
      <c r="AM7" s="293"/>
      <c r="AN7" s="281">
        <v>0</v>
      </c>
      <c r="AO7" s="282"/>
      <c r="AP7" s="283" t="s">
        <v>55</v>
      </c>
      <c r="AQ7" s="284"/>
      <c r="AR7" s="284"/>
      <c r="AS7" s="285"/>
      <c r="AT7" s="319">
        <v>9</v>
      </c>
      <c r="AU7" s="320"/>
      <c r="AV7" s="281">
        <v>30</v>
      </c>
      <c r="AW7" s="282"/>
      <c r="AX7" s="283" t="s">
        <v>101</v>
      </c>
      <c r="AY7" s="284"/>
      <c r="AZ7" s="284"/>
      <c r="BA7" s="285"/>
      <c r="BB7" s="286"/>
      <c r="BC7" s="284"/>
      <c r="BD7" s="284"/>
      <c r="BE7" s="285"/>
      <c r="BF7" s="286"/>
      <c r="BG7" s="284"/>
      <c r="BH7" s="284"/>
      <c r="BI7" s="285"/>
      <c r="BJ7" s="308">
        <f>IF(OR(AL7="",AN7="",AT7="",AV7=""),"",AT7-AL7+(AV7-AN7)/60)</f>
        <v>2.5</v>
      </c>
      <c r="BK7" s="309"/>
      <c r="BL7" s="310"/>
      <c r="BM7" s="311" t="str">
        <f>IF(OR(BB7="",BF7=""),"",(BF7-BB7)*24-BP7)</f>
        <v/>
      </c>
      <c r="BN7" s="312"/>
      <c r="BO7" s="312"/>
      <c r="BP7" s="32"/>
      <c r="BQ7" s="313"/>
      <c r="BR7" s="314"/>
      <c r="BS7" s="315"/>
      <c r="BT7" s="316"/>
      <c r="BU7" s="267"/>
      <c r="BV7" s="268"/>
      <c r="BW7" s="207"/>
      <c r="BX7" s="317"/>
      <c r="BY7" s="318"/>
      <c r="BZ7" s="301"/>
      <c r="CA7" s="302"/>
      <c r="CB7" s="302"/>
      <c r="CC7" s="303"/>
      <c r="CD7" s="304">
        <v>210000</v>
      </c>
      <c r="CE7" s="296"/>
      <c r="CF7" s="296"/>
      <c r="CG7" s="297"/>
      <c r="CH7" s="296"/>
      <c r="CI7" s="296"/>
      <c r="CJ7" s="296"/>
      <c r="CK7" s="297"/>
      <c r="CL7" s="296"/>
      <c r="CM7" s="296"/>
      <c r="CN7" s="296"/>
      <c r="CO7" s="297"/>
      <c r="CP7" s="296"/>
      <c r="CQ7" s="296"/>
      <c r="CR7" s="296"/>
      <c r="CS7" s="297"/>
      <c r="CT7" s="305"/>
      <c r="CU7" s="306"/>
      <c r="CV7" s="306"/>
      <c r="CW7" s="307"/>
      <c r="CX7" s="294"/>
      <c r="CY7" s="294"/>
      <c r="CZ7" s="294"/>
      <c r="DA7" s="295"/>
      <c r="DB7" s="296"/>
      <c r="DC7" s="296"/>
      <c r="DD7" s="296"/>
      <c r="DE7" s="297"/>
      <c r="DF7" s="296"/>
      <c r="DG7" s="296"/>
      <c r="DH7" s="296"/>
      <c r="DI7" s="297"/>
      <c r="DJ7" s="298">
        <f t="shared" ref="DJ7:DJ23" si="1">SUM(BZ7:DI7)</f>
        <v>210000</v>
      </c>
      <c r="DK7" s="299"/>
      <c r="DL7" s="299"/>
      <c r="DM7" s="300"/>
      <c r="DO7" s="1">
        <f t="shared" ref="DO7:DO18" si="2">IF(Q7="","0",VLOOKUP(Q7,EN$7:EO$18,2,FALSE))</f>
        <v>2</v>
      </c>
      <c r="DP7" s="1" t="e">
        <f t="shared" ref="DP7:DP18" si="3">IF(AF7="","0",VLOOKUP(AF7,EB$7:EC$28,2,FALSE))</f>
        <v>#N/A</v>
      </c>
      <c r="DQ7" s="1" t="e">
        <f t="shared" ref="DQ7:DQ18" si="4">IF(AH7="","0",VLOOKUP(AH7,EB$7:EC$28,2,FALSE))</f>
        <v>#N/A</v>
      </c>
      <c r="DR7" s="1" t="e">
        <f t="shared" ref="DR7:DR18" si="5">IF(AJ7="","0",VLOOKUP(AJ7,EH$7:EI$20,2,FALSE))</f>
        <v>#N/A</v>
      </c>
      <c r="DS7" s="1" t="str">
        <f t="shared" ref="DS7:DS18" si="6">IF(BS7="","0",VLOOKUP(BS7,EP$7:EQ$7,2,FALSE))</f>
        <v>0</v>
      </c>
      <c r="DT7" s="1" t="str">
        <f t="shared" ref="DT7:DT18" si="7">IF(BU7="","0",VLOOKUP(BU7,ER$7:ES$9,2,FALSE))</f>
        <v>0</v>
      </c>
      <c r="DU7" s="1">
        <f t="shared" ref="DU7:DU18" si="8">IF(OR(Q7="運転",Q7="同乗",Q7="移動"),(AT7-AL7) * 60 +(AV7-AN7)-DY7,0)</f>
        <v>0</v>
      </c>
      <c r="DV7" s="1">
        <f t="shared" ref="DV7:DV18" si="9">IF(Q7="作業",(AT7-AL7) * 60 +(AV7-AN7)-DY7,0)</f>
        <v>0</v>
      </c>
      <c r="DW7" s="1" t="str">
        <f>IF(DU7=0,"",TEXT(INT(DU7 / 60),"00")  &amp; ":" &amp; TEXT(DU7- INT(DU7 / 60)*60, "00"))</f>
        <v/>
      </c>
      <c r="DX7" s="1" t="str">
        <f>IF(DV7=0,"",TEXT(INT(DV7 / 60),"00")  &amp; ":" &amp; TEXT(DV7- INT(DV7 / 60)*60, "00"))</f>
        <v/>
      </c>
      <c r="DY7" s="1">
        <f t="shared" ref="DY7:DY18" si="10">BP7*60 +BQ7</f>
        <v>0</v>
      </c>
      <c r="DZ7" s="33"/>
      <c r="EA7" s="34" t="s">
        <v>57</v>
      </c>
      <c r="EB7" s="35" t="s">
        <v>58</v>
      </c>
      <c r="EC7" s="35">
        <v>2</v>
      </c>
      <c r="ED7" s="35" t="s">
        <v>59</v>
      </c>
      <c r="EE7" s="36">
        <v>0</v>
      </c>
      <c r="EF7" s="37">
        <f t="shared" ref="EF7:EF18" si="11">COUNTIF($AF$7:$AI$28,EB7)</f>
        <v>0</v>
      </c>
      <c r="EG7" s="38">
        <f t="shared" ref="EG7:EG18" si="12">EE7*EF7</f>
        <v>0</v>
      </c>
      <c r="EH7" s="39" t="s">
        <v>58</v>
      </c>
      <c r="EI7" s="35">
        <v>2</v>
      </c>
      <c r="EJ7" s="35" t="s">
        <v>59</v>
      </c>
      <c r="EK7" s="40">
        <v>0</v>
      </c>
      <c r="EL7" s="41">
        <f t="shared" ref="EL7:EL18" si="13">COUNTIF($AJ$7:$AK$28,EH7)</f>
        <v>0</v>
      </c>
      <c r="EM7" s="41">
        <f t="shared" ref="EM7:EM18" si="14">EK7*EL7</f>
        <v>0</v>
      </c>
      <c r="EN7" s="42" t="s">
        <v>27</v>
      </c>
      <c r="EO7" s="41">
        <v>1</v>
      </c>
      <c r="EP7" s="43" t="s">
        <v>60</v>
      </c>
      <c r="EQ7" s="44">
        <v>1</v>
      </c>
      <c r="ER7" s="45" t="s">
        <v>61</v>
      </c>
      <c r="ES7" s="45">
        <v>1</v>
      </c>
    </row>
    <row r="8" spans="1:150" ht="30" customHeight="1" thickTop="1">
      <c r="B8" s="237">
        <v>42837</v>
      </c>
      <c r="C8" s="238"/>
      <c r="D8" s="239"/>
      <c r="E8" s="240">
        <f t="shared" si="0"/>
        <v>42837</v>
      </c>
      <c r="F8" s="241"/>
      <c r="G8" s="242"/>
      <c r="H8" s="243"/>
      <c r="I8" s="243"/>
      <c r="J8" s="243"/>
      <c r="K8" s="243"/>
      <c r="L8" s="243"/>
      <c r="M8" s="243"/>
      <c r="N8" s="244"/>
      <c r="O8" s="245"/>
      <c r="P8" s="246"/>
      <c r="Q8" s="247" t="s">
        <v>27</v>
      </c>
      <c r="R8" s="248"/>
      <c r="S8" s="249" t="s">
        <v>101</v>
      </c>
      <c r="T8" s="250"/>
      <c r="U8" s="250"/>
      <c r="V8" s="250"/>
      <c r="W8" s="250"/>
      <c r="X8" s="251"/>
      <c r="Y8" s="287" t="s">
        <v>99</v>
      </c>
      <c r="Z8" s="288"/>
      <c r="AA8" s="288"/>
      <c r="AB8" s="288"/>
      <c r="AC8" s="288"/>
      <c r="AD8" s="288"/>
      <c r="AE8" s="289"/>
      <c r="AF8" s="290" t="s">
        <v>54</v>
      </c>
      <c r="AG8" s="291"/>
      <c r="AH8" s="290" t="s">
        <v>54</v>
      </c>
      <c r="AI8" s="291"/>
      <c r="AJ8" s="290" t="s">
        <v>54</v>
      </c>
      <c r="AK8" s="291"/>
      <c r="AL8" s="292"/>
      <c r="AM8" s="293"/>
      <c r="AN8" s="281"/>
      <c r="AO8" s="282"/>
      <c r="AP8" s="283"/>
      <c r="AQ8" s="284"/>
      <c r="AR8" s="284"/>
      <c r="AS8" s="285"/>
      <c r="AT8" s="319"/>
      <c r="AU8" s="320"/>
      <c r="AV8" s="281"/>
      <c r="AW8" s="282"/>
      <c r="AX8" s="283"/>
      <c r="AY8" s="284"/>
      <c r="AZ8" s="284"/>
      <c r="BA8" s="285"/>
      <c r="BB8" s="286">
        <v>0.39583333333333331</v>
      </c>
      <c r="BC8" s="284"/>
      <c r="BD8" s="284"/>
      <c r="BE8" s="285"/>
      <c r="BF8" s="286">
        <v>0.5</v>
      </c>
      <c r="BG8" s="284"/>
      <c r="BH8" s="284"/>
      <c r="BI8" s="285"/>
      <c r="BJ8" s="308" t="str">
        <f t="shared" ref="BJ8:BJ28" si="15">IF(OR(AL8="",AN8="",AT8="",AV8=""),"",AT8-AL8+(AV8-AN8)/60)</f>
        <v/>
      </c>
      <c r="BK8" s="309"/>
      <c r="BL8" s="310"/>
      <c r="BM8" s="311">
        <f>IF(OR(BB8="",BF8=""),"",(BF8-BB8)*24-BP8)</f>
        <v>2.5000000000000004</v>
      </c>
      <c r="BN8" s="312"/>
      <c r="BO8" s="312"/>
      <c r="BP8" s="32">
        <v>0</v>
      </c>
      <c r="BQ8" s="313">
        <v>30</v>
      </c>
      <c r="BR8" s="314"/>
      <c r="BS8" s="315"/>
      <c r="BT8" s="316"/>
      <c r="BU8" s="267"/>
      <c r="BV8" s="268"/>
      <c r="BW8" s="207"/>
      <c r="BX8" s="317"/>
      <c r="BY8" s="318"/>
      <c r="BZ8" s="301"/>
      <c r="CA8" s="302"/>
      <c r="CB8" s="302"/>
      <c r="CC8" s="303"/>
      <c r="CD8" s="304" t="s">
        <v>56</v>
      </c>
      <c r="CE8" s="296"/>
      <c r="CF8" s="296"/>
      <c r="CG8" s="297"/>
      <c r="CH8" s="296"/>
      <c r="CI8" s="296"/>
      <c r="CJ8" s="296"/>
      <c r="CK8" s="297"/>
      <c r="CL8" s="296"/>
      <c r="CM8" s="296"/>
      <c r="CN8" s="296"/>
      <c r="CO8" s="297"/>
      <c r="CP8" s="296"/>
      <c r="CQ8" s="296"/>
      <c r="CR8" s="296"/>
      <c r="CS8" s="297"/>
      <c r="CT8" s="305"/>
      <c r="CU8" s="306"/>
      <c r="CV8" s="306"/>
      <c r="CW8" s="307"/>
      <c r="CX8" s="294"/>
      <c r="CY8" s="294"/>
      <c r="CZ8" s="294"/>
      <c r="DA8" s="295"/>
      <c r="DB8" s="296"/>
      <c r="DC8" s="296"/>
      <c r="DD8" s="296"/>
      <c r="DE8" s="297"/>
      <c r="DF8" s="296"/>
      <c r="DG8" s="296"/>
      <c r="DH8" s="296"/>
      <c r="DI8" s="297"/>
      <c r="DJ8" s="298">
        <f t="shared" si="1"/>
        <v>0</v>
      </c>
      <c r="DK8" s="299"/>
      <c r="DL8" s="299"/>
      <c r="DM8" s="300"/>
      <c r="DO8" s="1">
        <f t="shared" si="2"/>
        <v>1</v>
      </c>
      <c r="DP8" s="1" t="e">
        <f t="shared" si="3"/>
        <v>#N/A</v>
      </c>
      <c r="DQ8" s="1" t="e">
        <f t="shared" si="4"/>
        <v>#N/A</v>
      </c>
      <c r="DR8" s="1" t="e">
        <f t="shared" si="5"/>
        <v>#N/A</v>
      </c>
      <c r="DS8" s="1" t="str">
        <f>IF(BS8="","0",VLOOKUP(BS8,EP$7:EQ$7,2,FALSE))</f>
        <v>0</v>
      </c>
      <c r="DT8" s="1" t="str">
        <f t="shared" si="7"/>
        <v>0</v>
      </c>
      <c r="DU8" s="1">
        <f>IF(OR(Q8="運転",Q8="同乗",Q8="移動"),(AT8-AL8) * 60 +(AV8-AN8)-DY8,0)</f>
        <v>0</v>
      </c>
      <c r="DV8" s="1">
        <f>IF(Q8="作業",(AT8-AL8) * 60 +(AV8-AN8)-DY8,0)</f>
        <v>0</v>
      </c>
      <c r="DW8" s="1" t="str">
        <f>IF(DU8=0,"",TEXT(INT(DU8 / 60),"00")  &amp; ":" &amp; TEXT(DU8- INT(DU8 / 60)*60, "00"))</f>
        <v/>
      </c>
      <c r="DX8" s="1" t="str">
        <f>IF(DV8=0,"",TEXT(INT(DV8 / 60),"00")  &amp; ":" &amp; TEXT(DV8- INT(DV8 / 60)*60, "00"))</f>
        <v/>
      </c>
      <c r="DY8" s="1">
        <f>BP8*60 +BQ8</f>
        <v>30</v>
      </c>
      <c r="DZ8" s="33"/>
      <c r="EA8" s="34" t="s">
        <v>57</v>
      </c>
      <c r="EB8" s="35" t="s">
        <v>58</v>
      </c>
      <c r="EC8" s="35">
        <v>2</v>
      </c>
      <c r="ED8" s="35" t="s">
        <v>59</v>
      </c>
      <c r="EE8" s="36">
        <v>0</v>
      </c>
      <c r="EF8" s="37">
        <f t="shared" si="11"/>
        <v>0</v>
      </c>
      <c r="EG8" s="38">
        <f>EE8*EF8</f>
        <v>0</v>
      </c>
      <c r="EH8" s="39" t="s">
        <v>58</v>
      </c>
      <c r="EI8" s="35">
        <v>2</v>
      </c>
      <c r="EJ8" s="35" t="s">
        <v>59</v>
      </c>
      <c r="EK8" s="40">
        <v>0</v>
      </c>
      <c r="EL8" s="41">
        <f t="shared" si="13"/>
        <v>0</v>
      </c>
      <c r="EM8" s="41">
        <f>EK8*EL8</f>
        <v>0</v>
      </c>
      <c r="EN8" s="42" t="s">
        <v>27</v>
      </c>
      <c r="EO8" s="41">
        <v>1</v>
      </c>
      <c r="EP8" s="43" t="s">
        <v>60</v>
      </c>
      <c r="EQ8" s="44">
        <v>1</v>
      </c>
      <c r="ER8" s="45" t="s">
        <v>61</v>
      </c>
      <c r="ES8" s="45">
        <v>1</v>
      </c>
    </row>
    <row r="9" spans="1:150" ht="30" customHeight="1">
      <c r="B9" s="237">
        <v>42837</v>
      </c>
      <c r="C9" s="238"/>
      <c r="D9" s="239"/>
      <c r="E9" s="240">
        <f t="shared" si="0"/>
        <v>42837</v>
      </c>
      <c r="F9" s="241"/>
      <c r="G9" s="242"/>
      <c r="H9" s="243"/>
      <c r="I9" s="243"/>
      <c r="J9" s="243"/>
      <c r="K9" s="243"/>
      <c r="L9" s="243"/>
      <c r="M9" s="243"/>
      <c r="N9" s="244"/>
      <c r="O9" s="245"/>
      <c r="P9" s="246"/>
      <c r="Q9" s="247" t="s">
        <v>26</v>
      </c>
      <c r="R9" s="248"/>
      <c r="S9" s="249" t="s">
        <v>102</v>
      </c>
      <c r="T9" s="250"/>
      <c r="U9" s="250"/>
      <c r="V9" s="250"/>
      <c r="W9" s="250"/>
      <c r="X9" s="251"/>
      <c r="Y9" s="287" t="s">
        <v>100</v>
      </c>
      <c r="Z9" s="288"/>
      <c r="AA9" s="288"/>
      <c r="AB9" s="288"/>
      <c r="AC9" s="288"/>
      <c r="AD9" s="288"/>
      <c r="AE9" s="289"/>
      <c r="AF9" s="290" t="s">
        <v>54</v>
      </c>
      <c r="AG9" s="291"/>
      <c r="AH9" s="290" t="s">
        <v>54</v>
      </c>
      <c r="AI9" s="291"/>
      <c r="AJ9" s="290" t="s">
        <v>54</v>
      </c>
      <c r="AK9" s="291"/>
      <c r="AL9" s="292">
        <v>12</v>
      </c>
      <c r="AM9" s="293"/>
      <c r="AN9" s="281">
        <v>30</v>
      </c>
      <c r="AO9" s="282"/>
      <c r="AP9" s="283" t="s">
        <v>101</v>
      </c>
      <c r="AQ9" s="284"/>
      <c r="AR9" s="284"/>
      <c r="AS9" s="285"/>
      <c r="AT9" s="319">
        <v>15</v>
      </c>
      <c r="AU9" s="320"/>
      <c r="AV9" s="281">
        <v>0</v>
      </c>
      <c r="AW9" s="282"/>
      <c r="AX9" s="283" t="s">
        <v>55</v>
      </c>
      <c r="AY9" s="284"/>
      <c r="AZ9" s="284"/>
      <c r="BA9" s="285"/>
      <c r="BB9" s="286"/>
      <c r="BC9" s="284"/>
      <c r="BD9" s="284"/>
      <c r="BE9" s="285"/>
      <c r="BF9" s="286"/>
      <c r="BG9" s="284"/>
      <c r="BH9" s="284"/>
      <c r="BI9" s="285"/>
      <c r="BJ9" s="308">
        <f t="shared" si="15"/>
        <v>2.5</v>
      </c>
      <c r="BK9" s="309"/>
      <c r="BL9" s="310"/>
      <c r="BM9" s="311" t="str">
        <f>IF(OR(BB9="",BF9=""),"",(BF9-BB9)*24-BP9)</f>
        <v/>
      </c>
      <c r="BN9" s="312"/>
      <c r="BO9" s="312"/>
      <c r="BP9" s="32"/>
      <c r="BQ9" s="313"/>
      <c r="BR9" s="314"/>
      <c r="BS9" s="315"/>
      <c r="BT9" s="316"/>
      <c r="BU9" s="267"/>
      <c r="BV9" s="268"/>
      <c r="BW9" s="207"/>
      <c r="BX9" s="317"/>
      <c r="BY9" s="318"/>
      <c r="BZ9" s="301"/>
      <c r="CA9" s="296"/>
      <c r="CB9" s="296"/>
      <c r="CC9" s="297"/>
      <c r="CD9" s="304" t="s">
        <v>56</v>
      </c>
      <c r="CE9" s="296"/>
      <c r="CF9" s="296"/>
      <c r="CG9" s="297"/>
      <c r="CH9" s="296"/>
      <c r="CI9" s="296"/>
      <c r="CJ9" s="296"/>
      <c r="CK9" s="297"/>
      <c r="CL9" s="296"/>
      <c r="CM9" s="296"/>
      <c r="CN9" s="296"/>
      <c r="CO9" s="297"/>
      <c r="CP9" s="296"/>
      <c r="CQ9" s="296"/>
      <c r="CR9" s="296"/>
      <c r="CS9" s="297"/>
      <c r="CT9" s="305"/>
      <c r="CU9" s="306"/>
      <c r="CV9" s="306"/>
      <c r="CW9" s="307"/>
      <c r="CX9" s="296"/>
      <c r="CY9" s="296"/>
      <c r="CZ9" s="296"/>
      <c r="DA9" s="297"/>
      <c r="DB9" s="304"/>
      <c r="DC9" s="296"/>
      <c r="DD9" s="296"/>
      <c r="DE9" s="297"/>
      <c r="DF9" s="296"/>
      <c r="DG9" s="296"/>
      <c r="DH9" s="296"/>
      <c r="DI9" s="297"/>
      <c r="DJ9" s="298">
        <f t="shared" si="1"/>
        <v>0</v>
      </c>
      <c r="DK9" s="321"/>
      <c r="DL9" s="321"/>
      <c r="DM9" s="322"/>
      <c r="DO9" s="1">
        <f t="shared" si="2"/>
        <v>2</v>
      </c>
      <c r="DP9" s="1" t="e">
        <f t="shared" si="3"/>
        <v>#N/A</v>
      </c>
      <c r="DQ9" s="1" t="e">
        <f t="shared" si="4"/>
        <v>#N/A</v>
      </c>
      <c r="DR9" s="1" t="e">
        <f t="shared" si="5"/>
        <v>#N/A</v>
      </c>
      <c r="DS9" s="1" t="str">
        <f t="shared" si="6"/>
        <v>0</v>
      </c>
      <c r="DT9" s="1" t="str">
        <f t="shared" si="7"/>
        <v>0</v>
      </c>
      <c r="DU9" s="1">
        <f t="shared" si="8"/>
        <v>0</v>
      </c>
      <c r="DV9" s="1">
        <f t="shared" si="9"/>
        <v>0</v>
      </c>
      <c r="DW9" s="1" t="str">
        <f t="shared" ref="DW9:DX18" si="16">IF(DU9=0,"",TEXT(INT(DU9 / 60),"00")  &amp; ":" &amp; TEXT(DU9- INT(DU9 / 60)*60, "00"))</f>
        <v/>
      </c>
      <c r="DX9" s="1" t="str">
        <f t="shared" si="16"/>
        <v/>
      </c>
      <c r="DY9" s="1">
        <f t="shared" si="10"/>
        <v>0</v>
      </c>
      <c r="DZ9" s="33"/>
      <c r="EA9" s="46"/>
      <c r="EB9" s="47" t="s">
        <v>62</v>
      </c>
      <c r="EC9" s="47">
        <v>100</v>
      </c>
      <c r="ED9" s="48" t="s">
        <v>63</v>
      </c>
      <c r="EE9" s="36">
        <v>500</v>
      </c>
      <c r="EF9" s="37">
        <f t="shared" si="11"/>
        <v>0</v>
      </c>
      <c r="EG9" s="38">
        <f t="shared" si="12"/>
        <v>0</v>
      </c>
      <c r="EH9" s="49" t="s">
        <v>64</v>
      </c>
      <c r="EI9" s="41">
        <v>850</v>
      </c>
      <c r="EJ9" s="50" t="s">
        <v>65</v>
      </c>
      <c r="EK9" s="40">
        <v>1000</v>
      </c>
      <c r="EL9" s="41">
        <f t="shared" si="13"/>
        <v>0</v>
      </c>
      <c r="EM9" s="41">
        <f t="shared" si="14"/>
        <v>0</v>
      </c>
      <c r="EN9" s="51" t="s">
        <v>26</v>
      </c>
      <c r="EO9" s="41">
        <v>2</v>
      </c>
      <c r="EP9" s="5" t="s">
        <v>66</v>
      </c>
      <c r="ER9" s="52" t="s">
        <v>67</v>
      </c>
      <c r="ES9" s="52">
        <v>2</v>
      </c>
    </row>
    <row r="10" spans="1:150" ht="30" customHeight="1">
      <c r="B10" s="237"/>
      <c r="C10" s="238"/>
      <c r="D10" s="239"/>
      <c r="E10" s="240"/>
      <c r="F10" s="241"/>
      <c r="G10" s="242"/>
      <c r="H10" s="243"/>
      <c r="I10" s="243"/>
      <c r="J10" s="243"/>
      <c r="K10" s="243"/>
      <c r="L10" s="243"/>
      <c r="M10" s="243"/>
      <c r="N10" s="244"/>
      <c r="O10" s="245"/>
      <c r="P10" s="246"/>
      <c r="Q10" s="247"/>
      <c r="R10" s="248"/>
      <c r="S10" s="249"/>
      <c r="T10" s="250"/>
      <c r="U10" s="250"/>
      <c r="V10" s="250"/>
      <c r="W10" s="250"/>
      <c r="X10" s="251"/>
      <c r="Y10" s="287"/>
      <c r="Z10" s="288"/>
      <c r="AA10" s="288"/>
      <c r="AB10" s="288"/>
      <c r="AC10" s="288"/>
      <c r="AD10" s="288"/>
      <c r="AE10" s="289"/>
      <c r="AF10" s="290"/>
      <c r="AG10" s="291"/>
      <c r="AH10" s="290"/>
      <c r="AI10" s="291"/>
      <c r="AJ10" s="290"/>
      <c r="AK10" s="291"/>
      <c r="AL10" s="292"/>
      <c r="AM10" s="293"/>
      <c r="AN10" s="281"/>
      <c r="AO10" s="282"/>
      <c r="AP10" s="323"/>
      <c r="AQ10" s="324"/>
      <c r="AR10" s="324"/>
      <c r="AS10" s="325"/>
      <c r="AT10" s="319"/>
      <c r="AU10" s="320"/>
      <c r="AV10" s="281"/>
      <c r="AW10" s="282"/>
      <c r="AX10" s="283"/>
      <c r="AY10" s="284"/>
      <c r="AZ10" s="284"/>
      <c r="BA10" s="285"/>
      <c r="BB10" s="286"/>
      <c r="BC10" s="284"/>
      <c r="BD10" s="284"/>
      <c r="BE10" s="285"/>
      <c r="BF10" s="286"/>
      <c r="BG10" s="284"/>
      <c r="BH10" s="284"/>
      <c r="BI10" s="285"/>
      <c r="BJ10" s="308" t="str">
        <f t="shared" si="15"/>
        <v/>
      </c>
      <c r="BK10" s="309"/>
      <c r="BL10" s="310"/>
      <c r="BM10" s="311" t="str">
        <f>IF(OR(BB10="",BF10=""),"",(BF10-BB10)*24-BP10)</f>
        <v/>
      </c>
      <c r="BN10" s="312"/>
      <c r="BO10" s="312"/>
      <c r="BP10" s="32"/>
      <c r="BQ10" s="313"/>
      <c r="BR10" s="314"/>
      <c r="BS10" s="315"/>
      <c r="BT10" s="316"/>
      <c r="BU10" s="267"/>
      <c r="BV10" s="268"/>
      <c r="BW10" s="207"/>
      <c r="BX10" s="317"/>
      <c r="BY10" s="318"/>
      <c r="BZ10" s="301"/>
      <c r="CA10" s="296"/>
      <c r="CB10" s="296"/>
      <c r="CC10" s="297"/>
      <c r="CD10" s="304"/>
      <c r="CE10" s="296"/>
      <c r="CF10" s="296"/>
      <c r="CG10" s="297"/>
      <c r="CH10" s="296"/>
      <c r="CI10" s="296"/>
      <c r="CJ10" s="296"/>
      <c r="CK10" s="297"/>
      <c r="CL10" s="296"/>
      <c r="CM10" s="296"/>
      <c r="CN10" s="296"/>
      <c r="CO10" s="297"/>
      <c r="CP10" s="296"/>
      <c r="CQ10" s="296"/>
      <c r="CR10" s="296"/>
      <c r="CS10" s="297"/>
      <c r="CT10" s="305"/>
      <c r="CU10" s="306"/>
      <c r="CV10" s="306"/>
      <c r="CW10" s="307"/>
      <c r="CX10" s="296"/>
      <c r="CY10" s="296"/>
      <c r="CZ10" s="296"/>
      <c r="DA10" s="297"/>
      <c r="DB10" s="296"/>
      <c r="DC10" s="296"/>
      <c r="DD10" s="296"/>
      <c r="DE10" s="297"/>
      <c r="DF10" s="296"/>
      <c r="DG10" s="296"/>
      <c r="DH10" s="296"/>
      <c r="DI10" s="297"/>
      <c r="DJ10" s="298">
        <f t="shared" si="1"/>
        <v>0</v>
      </c>
      <c r="DK10" s="321"/>
      <c r="DL10" s="321"/>
      <c r="DM10" s="322"/>
      <c r="DO10" s="1" t="str">
        <f t="shared" si="2"/>
        <v>0</v>
      </c>
      <c r="DP10" s="1" t="str">
        <f t="shared" si="3"/>
        <v>0</v>
      </c>
      <c r="DQ10" s="1" t="str">
        <f t="shared" si="4"/>
        <v>0</v>
      </c>
      <c r="DR10" s="1" t="str">
        <f t="shared" si="5"/>
        <v>0</v>
      </c>
      <c r="DS10" s="1" t="str">
        <f>IF(BS10="","0",VLOOKUP(BS10,EP$7:EQ$7,2,FALSE))</f>
        <v>0</v>
      </c>
      <c r="DT10" s="1" t="str">
        <f t="shared" si="7"/>
        <v>0</v>
      </c>
      <c r="DU10" s="1">
        <f>IF(OR(Q10="運転",Q10="同乗",Q10="移動"),(AT10-AL10) * 60 +(AV10-AN10)-DY10,0)</f>
        <v>0</v>
      </c>
      <c r="DV10" s="1">
        <f>IF(Q10="作業",(AT10-AL10) * 60 +(AV10-AN10)-DY10,0)</f>
        <v>0</v>
      </c>
      <c r="DW10" s="1" t="str">
        <f t="shared" si="16"/>
        <v/>
      </c>
      <c r="DX10" s="1" t="str">
        <f t="shared" si="16"/>
        <v/>
      </c>
      <c r="DY10" s="1">
        <f>BP10*60 +BQ10</f>
        <v>0</v>
      </c>
      <c r="DZ10" s="33"/>
      <c r="EA10" s="46"/>
      <c r="EB10" s="47" t="s">
        <v>62</v>
      </c>
      <c r="EC10" s="47">
        <v>100</v>
      </c>
      <c r="ED10" s="48" t="s">
        <v>63</v>
      </c>
      <c r="EE10" s="36">
        <v>500</v>
      </c>
      <c r="EF10" s="37">
        <f t="shared" si="11"/>
        <v>0</v>
      </c>
      <c r="EG10" s="38">
        <f>EE10*EF10</f>
        <v>0</v>
      </c>
      <c r="EH10" s="49" t="s">
        <v>64</v>
      </c>
      <c r="EI10" s="41">
        <v>850</v>
      </c>
      <c r="EJ10" s="50" t="s">
        <v>65</v>
      </c>
      <c r="EK10" s="40">
        <v>1000</v>
      </c>
      <c r="EL10" s="41">
        <f t="shared" si="13"/>
        <v>0</v>
      </c>
      <c r="EM10" s="41">
        <f>EK10*EL10</f>
        <v>0</v>
      </c>
      <c r="EN10" s="51" t="s">
        <v>26</v>
      </c>
      <c r="EO10" s="41">
        <v>2</v>
      </c>
      <c r="EP10" s="5" t="s">
        <v>66</v>
      </c>
      <c r="ER10" s="52" t="s">
        <v>67</v>
      </c>
      <c r="ES10" s="52">
        <v>2</v>
      </c>
    </row>
    <row r="11" spans="1:150" ht="30" customHeight="1">
      <c r="B11" s="237"/>
      <c r="C11" s="238"/>
      <c r="D11" s="239"/>
      <c r="E11" s="240"/>
      <c r="F11" s="241"/>
      <c r="G11" s="242"/>
      <c r="H11" s="243"/>
      <c r="I11" s="243"/>
      <c r="J11" s="243"/>
      <c r="K11" s="243"/>
      <c r="L11" s="243"/>
      <c r="M11" s="243"/>
      <c r="N11" s="244"/>
      <c r="O11" s="245"/>
      <c r="P11" s="246"/>
      <c r="Q11" s="247"/>
      <c r="R11" s="248"/>
      <c r="S11" s="249"/>
      <c r="T11" s="250"/>
      <c r="U11" s="250"/>
      <c r="V11" s="250"/>
      <c r="W11" s="250"/>
      <c r="X11" s="251"/>
      <c r="Y11" s="287"/>
      <c r="Z11" s="288"/>
      <c r="AA11" s="288"/>
      <c r="AB11" s="288"/>
      <c r="AC11" s="288"/>
      <c r="AD11" s="288"/>
      <c r="AE11" s="289"/>
      <c r="AF11" s="290"/>
      <c r="AG11" s="291"/>
      <c r="AH11" s="290"/>
      <c r="AI11" s="291"/>
      <c r="AJ11" s="290"/>
      <c r="AK11" s="291"/>
      <c r="AL11" s="292"/>
      <c r="AM11" s="293"/>
      <c r="AN11" s="281"/>
      <c r="AO11" s="282"/>
      <c r="AP11" s="323"/>
      <c r="AQ11" s="324"/>
      <c r="AR11" s="324"/>
      <c r="AS11" s="325"/>
      <c r="AT11" s="319"/>
      <c r="AU11" s="320"/>
      <c r="AV11" s="281"/>
      <c r="AW11" s="282"/>
      <c r="AX11" s="283"/>
      <c r="AY11" s="284"/>
      <c r="AZ11" s="284"/>
      <c r="BA11" s="285"/>
      <c r="BB11" s="286"/>
      <c r="BC11" s="284"/>
      <c r="BD11" s="284"/>
      <c r="BE11" s="285"/>
      <c r="BF11" s="286"/>
      <c r="BG11" s="284"/>
      <c r="BH11" s="284"/>
      <c r="BI11" s="285"/>
      <c r="BJ11" s="308" t="str">
        <f t="shared" si="15"/>
        <v/>
      </c>
      <c r="BK11" s="309"/>
      <c r="BL11" s="310"/>
      <c r="BM11" s="311" t="str">
        <f t="shared" ref="BM11:BM28" si="17">IF(OR(BB11="",BF11=""),"",(BF11-BB11)*24-BP11)</f>
        <v/>
      </c>
      <c r="BN11" s="312"/>
      <c r="BO11" s="312"/>
      <c r="BP11" s="32"/>
      <c r="BQ11" s="313"/>
      <c r="BR11" s="314"/>
      <c r="BS11" s="315"/>
      <c r="BT11" s="316"/>
      <c r="BU11" s="267"/>
      <c r="BV11" s="268"/>
      <c r="BW11" s="207"/>
      <c r="BX11" s="317"/>
      <c r="BY11" s="318"/>
      <c r="BZ11" s="301"/>
      <c r="CA11" s="296"/>
      <c r="CB11" s="296"/>
      <c r="CC11" s="297"/>
      <c r="CD11" s="304"/>
      <c r="CE11" s="296"/>
      <c r="CF11" s="296"/>
      <c r="CG11" s="297"/>
      <c r="CH11" s="296"/>
      <c r="CI11" s="296"/>
      <c r="CJ11" s="296"/>
      <c r="CK11" s="297"/>
      <c r="CL11" s="296"/>
      <c r="CM11" s="296"/>
      <c r="CN11" s="296"/>
      <c r="CO11" s="297"/>
      <c r="CP11" s="296"/>
      <c r="CQ11" s="296"/>
      <c r="CR11" s="296"/>
      <c r="CS11" s="297"/>
      <c r="CT11" s="326"/>
      <c r="CU11" s="327"/>
      <c r="CV11" s="327"/>
      <c r="CW11" s="328"/>
      <c r="CX11" s="304"/>
      <c r="CY11" s="296"/>
      <c r="CZ11" s="296"/>
      <c r="DA11" s="297"/>
      <c r="DB11" s="296"/>
      <c r="DC11" s="296"/>
      <c r="DD11" s="296"/>
      <c r="DE11" s="297"/>
      <c r="DF11" s="296"/>
      <c r="DG11" s="296"/>
      <c r="DH11" s="296"/>
      <c r="DI11" s="297"/>
      <c r="DJ11" s="298">
        <f t="shared" si="1"/>
        <v>0</v>
      </c>
      <c r="DK11" s="321"/>
      <c r="DL11" s="321"/>
      <c r="DM11" s="322"/>
      <c r="DO11" s="1" t="str">
        <f t="shared" si="2"/>
        <v>0</v>
      </c>
      <c r="DP11" s="1" t="str">
        <f t="shared" si="3"/>
        <v>0</v>
      </c>
      <c r="DQ11" s="1" t="str">
        <f t="shared" si="4"/>
        <v>0</v>
      </c>
      <c r="DR11" s="1" t="str">
        <f t="shared" si="5"/>
        <v>0</v>
      </c>
      <c r="DS11" s="1" t="str">
        <f>IF(BS11="","0",VLOOKUP(BS11,EP$7:EQ$7,2,FALSE))</f>
        <v>0</v>
      </c>
      <c r="DT11" s="1" t="str">
        <f t="shared" si="7"/>
        <v>0</v>
      </c>
      <c r="DU11" s="1">
        <f>IF(OR(Q11="運転",Q11="同乗",Q11="移動"),(AT11-AL11) * 60 +(AV11-AN11)-DY11,0)</f>
        <v>0</v>
      </c>
      <c r="DV11" s="1">
        <f>IF(Q11="作業",(AT11-AL11) * 60 +(AV11-AN11)-DY11,0)</f>
        <v>0</v>
      </c>
      <c r="DW11" s="1" t="str">
        <f t="shared" si="16"/>
        <v/>
      </c>
      <c r="DX11" s="1" t="str">
        <f t="shared" si="16"/>
        <v/>
      </c>
      <c r="DY11" s="1">
        <f>BP11*60 +BQ11</f>
        <v>0</v>
      </c>
      <c r="DZ11" s="33"/>
      <c r="EA11" s="46"/>
      <c r="EB11" s="47" t="s">
        <v>62</v>
      </c>
      <c r="EC11" s="47">
        <v>100</v>
      </c>
      <c r="ED11" s="48" t="s">
        <v>63</v>
      </c>
      <c r="EE11" s="36">
        <v>500</v>
      </c>
      <c r="EF11" s="37">
        <f t="shared" si="11"/>
        <v>0</v>
      </c>
      <c r="EG11" s="38">
        <f>EE11*EF11</f>
        <v>0</v>
      </c>
      <c r="EH11" s="49" t="s">
        <v>64</v>
      </c>
      <c r="EI11" s="41">
        <v>850</v>
      </c>
      <c r="EJ11" s="50" t="s">
        <v>65</v>
      </c>
      <c r="EK11" s="40">
        <v>1000</v>
      </c>
      <c r="EL11" s="41">
        <f t="shared" si="13"/>
        <v>0</v>
      </c>
      <c r="EM11" s="41">
        <f>EK11*EL11</f>
        <v>0</v>
      </c>
      <c r="EN11" s="51" t="s">
        <v>26</v>
      </c>
      <c r="EO11" s="41">
        <v>2</v>
      </c>
      <c r="EP11" s="5" t="s">
        <v>66</v>
      </c>
      <c r="ER11" s="52" t="s">
        <v>67</v>
      </c>
      <c r="ES11" s="52">
        <v>2</v>
      </c>
      <c r="ET11" s="53"/>
    </row>
    <row r="12" spans="1:150" ht="30" customHeight="1">
      <c r="B12" s="237"/>
      <c r="C12" s="238"/>
      <c r="D12" s="239"/>
      <c r="E12" s="240"/>
      <c r="F12" s="241"/>
      <c r="G12" s="242"/>
      <c r="H12" s="243"/>
      <c r="I12" s="243"/>
      <c r="J12" s="243"/>
      <c r="K12" s="243"/>
      <c r="L12" s="243"/>
      <c r="M12" s="243"/>
      <c r="N12" s="244"/>
      <c r="O12" s="245"/>
      <c r="P12" s="246"/>
      <c r="Q12" s="247"/>
      <c r="R12" s="248"/>
      <c r="S12" s="249"/>
      <c r="T12" s="250"/>
      <c r="U12" s="250"/>
      <c r="V12" s="250"/>
      <c r="W12" s="250"/>
      <c r="X12" s="251"/>
      <c r="Y12" s="287"/>
      <c r="Z12" s="250"/>
      <c r="AA12" s="250"/>
      <c r="AB12" s="250"/>
      <c r="AC12" s="250"/>
      <c r="AD12" s="250"/>
      <c r="AE12" s="251"/>
      <c r="AF12" s="290"/>
      <c r="AG12" s="291"/>
      <c r="AH12" s="290"/>
      <c r="AI12" s="291"/>
      <c r="AJ12" s="290"/>
      <c r="AK12" s="291"/>
      <c r="AL12" s="292"/>
      <c r="AM12" s="293"/>
      <c r="AN12" s="281"/>
      <c r="AO12" s="282"/>
      <c r="AP12" s="283"/>
      <c r="AQ12" s="284"/>
      <c r="AR12" s="284"/>
      <c r="AS12" s="285"/>
      <c r="AT12" s="319"/>
      <c r="AU12" s="320"/>
      <c r="AV12" s="281"/>
      <c r="AW12" s="282"/>
      <c r="AX12" s="323"/>
      <c r="AY12" s="324"/>
      <c r="AZ12" s="324"/>
      <c r="BA12" s="325"/>
      <c r="BB12" s="286"/>
      <c r="BC12" s="284"/>
      <c r="BD12" s="284"/>
      <c r="BE12" s="285"/>
      <c r="BF12" s="329"/>
      <c r="BG12" s="330"/>
      <c r="BH12" s="330"/>
      <c r="BI12" s="331"/>
      <c r="BJ12" s="308" t="str">
        <f t="shared" si="15"/>
        <v/>
      </c>
      <c r="BK12" s="309"/>
      <c r="BL12" s="310"/>
      <c r="BM12" s="311" t="str">
        <f t="shared" si="17"/>
        <v/>
      </c>
      <c r="BN12" s="312"/>
      <c r="BO12" s="312"/>
      <c r="BP12" s="32"/>
      <c r="BQ12" s="313"/>
      <c r="BR12" s="314"/>
      <c r="BS12" s="315"/>
      <c r="BT12" s="316"/>
      <c r="BU12" s="267"/>
      <c r="BV12" s="268"/>
      <c r="BW12" s="207"/>
      <c r="BX12" s="317"/>
      <c r="BY12" s="318"/>
      <c r="BZ12" s="301"/>
      <c r="CA12" s="296"/>
      <c r="CB12" s="296"/>
      <c r="CC12" s="297"/>
      <c r="CD12" s="304"/>
      <c r="CE12" s="296"/>
      <c r="CF12" s="296"/>
      <c r="CG12" s="297"/>
      <c r="CH12" s="296"/>
      <c r="CI12" s="296"/>
      <c r="CJ12" s="296"/>
      <c r="CK12" s="297"/>
      <c r="CL12" s="296"/>
      <c r="CM12" s="296"/>
      <c r="CN12" s="296"/>
      <c r="CO12" s="297"/>
      <c r="CP12" s="296"/>
      <c r="CQ12" s="296"/>
      <c r="CR12" s="296"/>
      <c r="CS12" s="297"/>
      <c r="CT12" s="305"/>
      <c r="CU12" s="306"/>
      <c r="CV12" s="306"/>
      <c r="CW12" s="307"/>
      <c r="CX12" s="304"/>
      <c r="CY12" s="296"/>
      <c r="CZ12" s="296"/>
      <c r="DA12" s="297"/>
      <c r="DB12" s="296"/>
      <c r="DC12" s="296"/>
      <c r="DD12" s="296"/>
      <c r="DE12" s="297"/>
      <c r="DF12" s="296"/>
      <c r="DG12" s="296"/>
      <c r="DH12" s="296"/>
      <c r="DI12" s="297"/>
      <c r="DJ12" s="298">
        <f t="shared" si="1"/>
        <v>0</v>
      </c>
      <c r="DK12" s="321"/>
      <c r="DL12" s="321"/>
      <c r="DM12" s="322"/>
      <c r="DO12" s="1" t="str">
        <f t="shared" si="2"/>
        <v>0</v>
      </c>
      <c r="DP12" s="1" t="str">
        <f t="shared" si="3"/>
        <v>0</v>
      </c>
      <c r="DQ12" s="1" t="str">
        <f t="shared" si="4"/>
        <v>0</v>
      </c>
      <c r="DR12" s="1" t="str">
        <f t="shared" si="5"/>
        <v>0</v>
      </c>
      <c r="DS12" s="1" t="str">
        <f>IF(BS12="","0",VLOOKUP(BS12,EP$7:EQ$7,2,FALSE))</f>
        <v>0</v>
      </c>
      <c r="DT12" s="1" t="str">
        <f t="shared" si="7"/>
        <v>0</v>
      </c>
      <c r="DU12" s="1">
        <f>IF(OR(Q12="運転",Q12="同乗",Q12="移動"),(AT12-AL12) * 60 +(AV12-AN12)-DY12,0)</f>
        <v>0</v>
      </c>
      <c r="DV12" s="1">
        <f>IF(Q12="作業",(AT12-AL12) * 60 +(AV12-AN12)-DY12,0)</f>
        <v>0</v>
      </c>
      <c r="DW12" s="1" t="str">
        <f t="shared" si="16"/>
        <v/>
      </c>
      <c r="DX12" s="1" t="str">
        <f t="shared" si="16"/>
        <v/>
      </c>
      <c r="DY12" s="1">
        <f>BP12*60 +BQ12</f>
        <v>0</v>
      </c>
      <c r="DZ12" s="33"/>
      <c r="EA12" s="46"/>
      <c r="EB12" s="54" t="s">
        <v>68</v>
      </c>
      <c r="EC12" s="47">
        <v>200</v>
      </c>
      <c r="ED12" s="55" t="s">
        <v>69</v>
      </c>
      <c r="EE12" s="56">
        <v>800</v>
      </c>
      <c r="EF12" s="37">
        <f t="shared" si="11"/>
        <v>0</v>
      </c>
      <c r="EG12" s="57">
        <f>EE12*EF12</f>
        <v>0</v>
      </c>
      <c r="EH12" s="49" t="s">
        <v>70</v>
      </c>
      <c r="EI12" s="58">
        <v>851</v>
      </c>
      <c r="EJ12" s="52" t="s">
        <v>71</v>
      </c>
      <c r="EK12" s="59">
        <v>1500</v>
      </c>
      <c r="EL12" s="41">
        <f t="shared" si="13"/>
        <v>0</v>
      </c>
      <c r="EM12" s="41">
        <f>EK12*EL12</f>
        <v>0</v>
      </c>
      <c r="EN12" s="51" t="s">
        <v>72</v>
      </c>
      <c r="EO12" s="41">
        <v>3</v>
      </c>
      <c r="EP12" s="5"/>
      <c r="ET12" s="53"/>
    </row>
    <row r="13" spans="1:150" ht="30" customHeight="1">
      <c r="B13" s="237"/>
      <c r="C13" s="238"/>
      <c r="D13" s="239"/>
      <c r="E13" s="240"/>
      <c r="F13" s="241"/>
      <c r="G13" s="242"/>
      <c r="H13" s="243"/>
      <c r="I13" s="243"/>
      <c r="J13" s="243"/>
      <c r="K13" s="243"/>
      <c r="L13" s="243"/>
      <c r="M13" s="243"/>
      <c r="N13" s="244"/>
      <c r="O13" s="245"/>
      <c r="P13" s="246"/>
      <c r="Q13" s="247"/>
      <c r="R13" s="248"/>
      <c r="S13" s="249"/>
      <c r="T13" s="250"/>
      <c r="U13" s="250"/>
      <c r="V13" s="250"/>
      <c r="W13" s="250"/>
      <c r="X13" s="251"/>
      <c r="Y13" s="287"/>
      <c r="Z13" s="250"/>
      <c r="AA13" s="250"/>
      <c r="AB13" s="250"/>
      <c r="AC13" s="250"/>
      <c r="AD13" s="250"/>
      <c r="AE13" s="251"/>
      <c r="AF13" s="290"/>
      <c r="AG13" s="291"/>
      <c r="AH13" s="290"/>
      <c r="AI13" s="291"/>
      <c r="AJ13" s="290"/>
      <c r="AK13" s="291"/>
      <c r="AL13" s="292"/>
      <c r="AM13" s="293"/>
      <c r="AN13" s="281"/>
      <c r="AO13" s="282"/>
      <c r="AP13" s="283"/>
      <c r="AQ13" s="284"/>
      <c r="AR13" s="284"/>
      <c r="AS13" s="285"/>
      <c r="AT13" s="319"/>
      <c r="AU13" s="320"/>
      <c r="AV13" s="281"/>
      <c r="AW13" s="282"/>
      <c r="AX13" s="332"/>
      <c r="AY13" s="330"/>
      <c r="AZ13" s="330"/>
      <c r="BA13" s="331"/>
      <c r="BB13" s="286"/>
      <c r="BC13" s="284"/>
      <c r="BD13" s="284"/>
      <c r="BE13" s="285"/>
      <c r="BF13" s="329"/>
      <c r="BG13" s="330"/>
      <c r="BH13" s="330"/>
      <c r="BI13" s="331"/>
      <c r="BJ13" s="308" t="str">
        <f t="shared" si="15"/>
        <v/>
      </c>
      <c r="BK13" s="309"/>
      <c r="BL13" s="310"/>
      <c r="BM13" s="311" t="str">
        <f t="shared" si="17"/>
        <v/>
      </c>
      <c r="BN13" s="312"/>
      <c r="BO13" s="312"/>
      <c r="BP13" s="32"/>
      <c r="BQ13" s="313"/>
      <c r="BR13" s="314"/>
      <c r="BS13" s="315"/>
      <c r="BT13" s="316"/>
      <c r="BU13" s="267"/>
      <c r="BV13" s="268"/>
      <c r="BW13" s="207"/>
      <c r="BX13" s="317"/>
      <c r="BY13" s="318"/>
      <c r="BZ13" s="301"/>
      <c r="CA13" s="296"/>
      <c r="CB13" s="296"/>
      <c r="CC13" s="297"/>
      <c r="CD13" s="304"/>
      <c r="CE13" s="296"/>
      <c r="CF13" s="296"/>
      <c r="CG13" s="297"/>
      <c r="CH13" s="296"/>
      <c r="CI13" s="296"/>
      <c r="CJ13" s="296"/>
      <c r="CK13" s="297"/>
      <c r="CL13" s="296"/>
      <c r="CM13" s="296"/>
      <c r="CN13" s="296"/>
      <c r="CO13" s="297"/>
      <c r="CP13" s="296"/>
      <c r="CQ13" s="296"/>
      <c r="CR13" s="296"/>
      <c r="CS13" s="297"/>
      <c r="CT13" s="305"/>
      <c r="CU13" s="306"/>
      <c r="CV13" s="306"/>
      <c r="CW13" s="307"/>
      <c r="CX13" s="304"/>
      <c r="CY13" s="296"/>
      <c r="CZ13" s="296"/>
      <c r="DA13" s="297"/>
      <c r="DB13" s="296"/>
      <c r="DC13" s="296"/>
      <c r="DD13" s="296"/>
      <c r="DE13" s="297"/>
      <c r="DF13" s="296"/>
      <c r="DG13" s="296"/>
      <c r="DH13" s="296"/>
      <c r="DI13" s="297"/>
      <c r="DJ13" s="298">
        <f t="shared" si="1"/>
        <v>0</v>
      </c>
      <c r="DK13" s="321"/>
      <c r="DL13" s="321"/>
      <c r="DM13" s="322"/>
      <c r="DO13" s="1" t="str">
        <f t="shared" si="2"/>
        <v>0</v>
      </c>
      <c r="DP13" s="1" t="str">
        <f t="shared" si="3"/>
        <v>0</v>
      </c>
      <c r="DQ13" s="1" t="str">
        <f t="shared" si="4"/>
        <v>0</v>
      </c>
      <c r="DR13" s="1" t="str">
        <f t="shared" si="5"/>
        <v>0</v>
      </c>
      <c r="DS13" s="1" t="str">
        <f t="shared" si="6"/>
        <v>0</v>
      </c>
      <c r="DT13" s="1" t="str">
        <f t="shared" si="7"/>
        <v>0</v>
      </c>
      <c r="DU13" s="1">
        <f t="shared" si="8"/>
        <v>0</v>
      </c>
      <c r="DV13" s="1">
        <f t="shared" si="9"/>
        <v>0</v>
      </c>
      <c r="DW13" s="1" t="str">
        <f t="shared" si="16"/>
        <v/>
      </c>
      <c r="DX13" s="1" t="str">
        <f t="shared" si="16"/>
        <v/>
      </c>
      <c r="DY13" s="1">
        <f t="shared" si="10"/>
        <v>0</v>
      </c>
      <c r="DZ13" s="33"/>
      <c r="EA13" s="46"/>
      <c r="EB13" s="54" t="s">
        <v>68</v>
      </c>
      <c r="EC13" s="47">
        <v>200</v>
      </c>
      <c r="ED13" s="55" t="s">
        <v>69</v>
      </c>
      <c r="EE13" s="56">
        <v>800</v>
      </c>
      <c r="EF13" s="37">
        <f t="shared" si="11"/>
        <v>0</v>
      </c>
      <c r="EG13" s="57">
        <f t="shared" si="12"/>
        <v>0</v>
      </c>
      <c r="EH13" s="49" t="s">
        <v>70</v>
      </c>
      <c r="EI13" s="58">
        <v>851</v>
      </c>
      <c r="EJ13" s="52" t="s">
        <v>71</v>
      </c>
      <c r="EK13" s="59">
        <v>1500</v>
      </c>
      <c r="EL13" s="41">
        <f t="shared" si="13"/>
        <v>0</v>
      </c>
      <c r="EM13" s="41">
        <f t="shared" si="14"/>
        <v>0</v>
      </c>
      <c r="EN13" s="51" t="s">
        <v>72</v>
      </c>
      <c r="EO13" s="41">
        <v>3</v>
      </c>
      <c r="EP13" s="5"/>
    </row>
    <row r="14" spans="1:150" ht="30" customHeight="1">
      <c r="B14" s="237"/>
      <c r="C14" s="238"/>
      <c r="D14" s="239"/>
      <c r="E14" s="240"/>
      <c r="F14" s="241"/>
      <c r="G14" s="242"/>
      <c r="H14" s="243"/>
      <c r="I14" s="243"/>
      <c r="J14" s="243"/>
      <c r="K14" s="243"/>
      <c r="L14" s="243"/>
      <c r="M14" s="243"/>
      <c r="N14" s="244"/>
      <c r="O14" s="245"/>
      <c r="P14" s="246"/>
      <c r="Q14" s="247"/>
      <c r="R14" s="248"/>
      <c r="S14" s="249"/>
      <c r="T14" s="250"/>
      <c r="U14" s="250"/>
      <c r="V14" s="250"/>
      <c r="W14" s="250"/>
      <c r="X14" s="251"/>
      <c r="Y14" s="287"/>
      <c r="Z14" s="288"/>
      <c r="AA14" s="288"/>
      <c r="AB14" s="288"/>
      <c r="AC14" s="288"/>
      <c r="AD14" s="288"/>
      <c r="AE14" s="289"/>
      <c r="AF14" s="290"/>
      <c r="AG14" s="291"/>
      <c r="AH14" s="290"/>
      <c r="AI14" s="291"/>
      <c r="AJ14" s="290"/>
      <c r="AK14" s="291"/>
      <c r="AL14" s="292"/>
      <c r="AM14" s="293"/>
      <c r="AN14" s="281"/>
      <c r="AO14" s="282"/>
      <c r="AP14" s="283"/>
      <c r="AQ14" s="284"/>
      <c r="AR14" s="284"/>
      <c r="AS14" s="285"/>
      <c r="AT14" s="319"/>
      <c r="AU14" s="320"/>
      <c r="AV14" s="281"/>
      <c r="AW14" s="282"/>
      <c r="AX14" s="332"/>
      <c r="AY14" s="330"/>
      <c r="AZ14" s="330"/>
      <c r="BA14" s="331"/>
      <c r="BB14" s="286"/>
      <c r="BC14" s="284"/>
      <c r="BD14" s="284"/>
      <c r="BE14" s="285"/>
      <c r="BF14" s="329"/>
      <c r="BG14" s="330"/>
      <c r="BH14" s="330"/>
      <c r="BI14" s="331"/>
      <c r="BJ14" s="308" t="str">
        <f t="shared" si="15"/>
        <v/>
      </c>
      <c r="BK14" s="309"/>
      <c r="BL14" s="310"/>
      <c r="BM14" s="311" t="str">
        <f t="shared" si="17"/>
        <v/>
      </c>
      <c r="BN14" s="312"/>
      <c r="BO14" s="312"/>
      <c r="BP14" s="32"/>
      <c r="BQ14" s="313"/>
      <c r="BR14" s="314"/>
      <c r="BS14" s="315"/>
      <c r="BT14" s="316"/>
      <c r="BU14" s="267"/>
      <c r="BV14" s="268"/>
      <c r="BW14" s="207"/>
      <c r="BX14" s="317"/>
      <c r="BY14" s="318"/>
      <c r="BZ14" s="301"/>
      <c r="CA14" s="296"/>
      <c r="CB14" s="296"/>
      <c r="CC14" s="297"/>
      <c r="CD14" s="304"/>
      <c r="CE14" s="296"/>
      <c r="CF14" s="296"/>
      <c r="CG14" s="297"/>
      <c r="CH14" s="296"/>
      <c r="CI14" s="296"/>
      <c r="CJ14" s="296"/>
      <c r="CK14" s="297"/>
      <c r="CL14" s="296"/>
      <c r="CM14" s="296"/>
      <c r="CN14" s="296"/>
      <c r="CO14" s="297"/>
      <c r="CP14" s="296"/>
      <c r="CQ14" s="296"/>
      <c r="CR14" s="296"/>
      <c r="CS14" s="297"/>
      <c r="CT14" s="305"/>
      <c r="CU14" s="306"/>
      <c r="CV14" s="306"/>
      <c r="CW14" s="307"/>
      <c r="CX14" s="304"/>
      <c r="CY14" s="296"/>
      <c r="CZ14" s="296"/>
      <c r="DA14" s="297"/>
      <c r="DB14" s="304"/>
      <c r="DC14" s="296"/>
      <c r="DD14" s="296"/>
      <c r="DE14" s="297"/>
      <c r="DF14" s="296"/>
      <c r="DG14" s="296"/>
      <c r="DH14" s="296"/>
      <c r="DI14" s="297"/>
      <c r="DJ14" s="298">
        <f t="shared" si="1"/>
        <v>0</v>
      </c>
      <c r="DK14" s="321"/>
      <c r="DL14" s="321"/>
      <c r="DM14" s="322"/>
      <c r="DO14" s="1" t="str">
        <f t="shared" si="2"/>
        <v>0</v>
      </c>
      <c r="DP14" s="1" t="str">
        <f t="shared" si="3"/>
        <v>0</v>
      </c>
      <c r="DQ14" s="1" t="str">
        <f t="shared" si="4"/>
        <v>0</v>
      </c>
      <c r="DR14" s="1" t="str">
        <f t="shared" si="5"/>
        <v>0</v>
      </c>
      <c r="DS14" s="1" t="str">
        <f>IF(BS14="","0",VLOOKUP(BS14,EP$7:EQ$7,2,FALSE))</f>
        <v>0</v>
      </c>
      <c r="DT14" s="1" t="str">
        <f t="shared" si="7"/>
        <v>0</v>
      </c>
      <c r="DU14" s="1">
        <f>IF(OR(Q14="運転",Q14="同乗",Q14="移動"),(AT14-AL14) * 60 +(AV14-AN14)-DY14,0)</f>
        <v>0</v>
      </c>
      <c r="DV14" s="1">
        <f>IF(Q14="作業",(AT14-AL14) * 60 +(AV14-AN14)-DY14,0)</f>
        <v>0</v>
      </c>
      <c r="DW14" s="1" t="str">
        <f>IF(DU14=0,"",TEXT(INT(DU14 / 60),"00")  &amp; ":" &amp; TEXT(DU14- INT(DU14 / 60)*60, "00"))</f>
        <v/>
      </c>
      <c r="DX14" s="1" t="str">
        <f>IF(DV14=0,"",TEXT(INT(DV14 / 60),"00")  &amp; ":" &amp; TEXT(DV14- INT(DV14 / 60)*60, "00"))</f>
        <v/>
      </c>
      <c r="DY14" s="1">
        <f>BP14*60 +BQ14</f>
        <v>0</v>
      </c>
      <c r="DZ14" s="33"/>
      <c r="EA14" s="46"/>
      <c r="EB14" s="54" t="s">
        <v>68</v>
      </c>
      <c r="EC14" s="47">
        <v>200</v>
      </c>
      <c r="ED14" s="55" t="s">
        <v>69</v>
      </c>
      <c r="EE14" s="56">
        <v>800</v>
      </c>
      <c r="EF14" s="37">
        <f t="shared" si="11"/>
        <v>0</v>
      </c>
      <c r="EG14" s="57">
        <f>EE14*EF14</f>
        <v>0</v>
      </c>
      <c r="EH14" s="49" t="s">
        <v>70</v>
      </c>
      <c r="EI14" s="58">
        <v>851</v>
      </c>
      <c r="EJ14" s="52" t="s">
        <v>71</v>
      </c>
      <c r="EK14" s="59">
        <v>1500</v>
      </c>
      <c r="EL14" s="41">
        <f t="shared" si="13"/>
        <v>0</v>
      </c>
      <c r="EM14" s="41">
        <f>EK14*EL14</f>
        <v>0</v>
      </c>
      <c r="EN14" s="51" t="s">
        <v>72</v>
      </c>
      <c r="EO14" s="41">
        <v>3</v>
      </c>
      <c r="EP14" s="5"/>
    </row>
    <row r="15" spans="1:150" ht="30" customHeight="1">
      <c r="B15" s="237"/>
      <c r="C15" s="238"/>
      <c r="D15" s="239"/>
      <c r="E15" s="240"/>
      <c r="F15" s="241"/>
      <c r="G15" s="242"/>
      <c r="H15" s="243"/>
      <c r="I15" s="243"/>
      <c r="J15" s="243"/>
      <c r="K15" s="243"/>
      <c r="L15" s="243"/>
      <c r="M15" s="243"/>
      <c r="N15" s="244"/>
      <c r="O15" s="245"/>
      <c r="P15" s="246"/>
      <c r="Q15" s="247"/>
      <c r="R15" s="248"/>
      <c r="S15" s="249"/>
      <c r="T15" s="250"/>
      <c r="U15" s="250"/>
      <c r="V15" s="250"/>
      <c r="W15" s="250"/>
      <c r="X15" s="251"/>
      <c r="Y15" s="287"/>
      <c r="Z15" s="288"/>
      <c r="AA15" s="288"/>
      <c r="AB15" s="288"/>
      <c r="AC15" s="288"/>
      <c r="AD15" s="288"/>
      <c r="AE15" s="289"/>
      <c r="AF15" s="290"/>
      <c r="AG15" s="291"/>
      <c r="AH15" s="290"/>
      <c r="AI15" s="291"/>
      <c r="AJ15" s="290"/>
      <c r="AK15" s="291"/>
      <c r="AL15" s="292"/>
      <c r="AM15" s="293"/>
      <c r="AN15" s="281"/>
      <c r="AO15" s="282"/>
      <c r="AP15" s="283"/>
      <c r="AQ15" s="284"/>
      <c r="AR15" s="284"/>
      <c r="AS15" s="285"/>
      <c r="AT15" s="319"/>
      <c r="AU15" s="320"/>
      <c r="AV15" s="281"/>
      <c r="AW15" s="282"/>
      <c r="AX15" s="332"/>
      <c r="AY15" s="330"/>
      <c r="AZ15" s="330"/>
      <c r="BA15" s="331"/>
      <c r="BB15" s="286"/>
      <c r="BC15" s="284"/>
      <c r="BD15" s="284"/>
      <c r="BE15" s="285"/>
      <c r="BF15" s="329"/>
      <c r="BG15" s="330"/>
      <c r="BH15" s="330"/>
      <c r="BI15" s="331"/>
      <c r="BJ15" s="308" t="str">
        <f t="shared" si="15"/>
        <v/>
      </c>
      <c r="BK15" s="309"/>
      <c r="BL15" s="310"/>
      <c r="BM15" s="311" t="str">
        <f t="shared" si="17"/>
        <v/>
      </c>
      <c r="BN15" s="312"/>
      <c r="BO15" s="312"/>
      <c r="BP15" s="32"/>
      <c r="BQ15" s="313"/>
      <c r="BR15" s="314"/>
      <c r="BS15" s="315"/>
      <c r="BT15" s="316"/>
      <c r="BU15" s="267"/>
      <c r="BV15" s="268"/>
      <c r="BW15" s="207"/>
      <c r="BX15" s="317"/>
      <c r="BY15" s="318"/>
      <c r="BZ15" s="301"/>
      <c r="CA15" s="296"/>
      <c r="CB15" s="296"/>
      <c r="CC15" s="297"/>
      <c r="CD15" s="304"/>
      <c r="CE15" s="296"/>
      <c r="CF15" s="296"/>
      <c r="CG15" s="297"/>
      <c r="CH15" s="296"/>
      <c r="CI15" s="296"/>
      <c r="CJ15" s="296"/>
      <c r="CK15" s="297"/>
      <c r="CL15" s="296"/>
      <c r="CM15" s="296"/>
      <c r="CN15" s="296"/>
      <c r="CO15" s="297"/>
      <c r="CP15" s="296"/>
      <c r="CQ15" s="296"/>
      <c r="CR15" s="296"/>
      <c r="CS15" s="297"/>
      <c r="CT15" s="333"/>
      <c r="CU15" s="334"/>
      <c r="CV15" s="334"/>
      <c r="CW15" s="335"/>
      <c r="CX15" s="305"/>
      <c r="CY15" s="306"/>
      <c r="CZ15" s="306"/>
      <c r="DA15" s="307"/>
      <c r="DB15" s="296"/>
      <c r="DC15" s="296"/>
      <c r="DD15" s="296"/>
      <c r="DE15" s="297"/>
      <c r="DF15" s="296"/>
      <c r="DG15" s="296"/>
      <c r="DH15" s="296"/>
      <c r="DI15" s="297"/>
      <c r="DJ15" s="298">
        <f t="shared" si="1"/>
        <v>0</v>
      </c>
      <c r="DK15" s="321"/>
      <c r="DL15" s="321"/>
      <c r="DM15" s="322"/>
      <c r="DO15" s="1" t="str">
        <f t="shared" si="2"/>
        <v>0</v>
      </c>
      <c r="DP15" s="1" t="str">
        <f t="shared" si="3"/>
        <v>0</v>
      </c>
      <c r="DQ15" s="1" t="str">
        <f t="shared" si="4"/>
        <v>0</v>
      </c>
      <c r="DR15" s="1" t="str">
        <f t="shared" si="5"/>
        <v>0</v>
      </c>
      <c r="DS15" s="1" t="str">
        <f t="shared" si="6"/>
        <v>0</v>
      </c>
      <c r="DT15" s="1" t="str">
        <f t="shared" si="7"/>
        <v>0</v>
      </c>
      <c r="DU15" s="1">
        <f t="shared" si="8"/>
        <v>0</v>
      </c>
      <c r="DV15" s="1">
        <f t="shared" si="9"/>
        <v>0</v>
      </c>
      <c r="DW15" s="1" t="str">
        <f>IF(DU15=0,"",TEXT(INT(DU15 / 60),"00")  &amp; ":" &amp; TEXT(DU15- INT(DU15 / 60)*60, "00"))</f>
        <v/>
      </c>
      <c r="DX15" s="1" t="str">
        <f>IF(DV15=0,"",TEXT(INT(DV15 / 60),"00")  &amp; ":" &amp; TEXT(DV15- INT(DV15 / 60)*60, "00"))</f>
        <v/>
      </c>
      <c r="DY15" s="1">
        <f t="shared" si="10"/>
        <v>0</v>
      </c>
      <c r="DZ15" s="33"/>
      <c r="EA15" s="46"/>
      <c r="EB15" s="54" t="s">
        <v>68</v>
      </c>
      <c r="EC15" s="47">
        <v>200</v>
      </c>
      <c r="ED15" s="55" t="s">
        <v>69</v>
      </c>
      <c r="EE15" s="56">
        <v>800</v>
      </c>
      <c r="EF15" s="37">
        <f t="shared" si="11"/>
        <v>0</v>
      </c>
      <c r="EG15" s="57">
        <f t="shared" si="12"/>
        <v>0</v>
      </c>
      <c r="EH15" s="49" t="s">
        <v>70</v>
      </c>
      <c r="EI15" s="58">
        <v>851</v>
      </c>
      <c r="EJ15" s="52" t="s">
        <v>71</v>
      </c>
      <c r="EK15" s="59">
        <v>1500</v>
      </c>
      <c r="EL15" s="41">
        <f t="shared" si="13"/>
        <v>0</v>
      </c>
      <c r="EM15" s="41">
        <f t="shared" si="14"/>
        <v>0</v>
      </c>
      <c r="EN15" s="51" t="s">
        <v>72</v>
      </c>
      <c r="EO15" s="41">
        <v>3</v>
      </c>
      <c r="EP15" s="5"/>
    </row>
    <row r="16" spans="1:150" ht="30" customHeight="1">
      <c r="B16" s="237"/>
      <c r="C16" s="238"/>
      <c r="D16" s="239"/>
      <c r="E16" s="240"/>
      <c r="F16" s="241"/>
      <c r="G16" s="242"/>
      <c r="H16" s="243"/>
      <c r="I16" s="243"/>
      <c r="J16" s="243"/>
      <c r="K16" s="243"/>
      <c r="L16" s="243"/>
      <c r="M16" s="243"/>
      <c r="N16" s="244"/>
      <c r="O16" s="245"/>
      <c r="P16" s="246"/>
      <c r="Q16" s="247"/>
      <c r="R16" s="248"/>
      <c r="S16" s="249"/>
      <c r="T16" s="250"/>
      <c r="U16" s="250"/>
      <c r="V16" s="250"/>
      <c r="W16" s="250"/>
      <c r="X16" s="251"/>
      <c r="Y16" s="287"/>
      <c r="Z16" s="288"/>
      <c r="AA16" s="288"/>
      <c r="AB16" s="288"/>
      <c r="AC16" s="288"/>
      <c r="AD16" s="288"/>
      <c r="AE16" s="289"/>
      <c r="AF16" s="290"/>
      <c r="AG16" s="291"/>
      <c r="AH16" s="290"/>
      <c r="AI16" s="291"/>
      <c r="AJ16" s="290"/>
      <c r="AK16" s="291"/>
      <c r="AL16" s="292"/>
      <c r="AM16" s="293"/>
      <c r="AN16" s="281"/>
      <c r="AO16" s="282"/>
      <c r="AP16" s="283"/>
      <c r="AQ16" s="284"/>
      <c r="AR16" s="284"/>
      <c r="AS16" s="285"/>
      <c r="AT16" s="319"/>
      <c r="AU16" s="320"/>
      <c r="AV16" s="281"/>
      <c r="AW16" s="282"/>
      <c r="AX16" s="332"/>
      <c r="AY16" s="330"/>
      <c r="AZ16" s="330"/>
      <c r="BA16" s="331"/>
      <c r="BB16" s="286"/>
      <c r="BC16" s="284"/>
      <c r="BD16" s="284"/>
      <c r="BE16" s="285"/>
      <c r="BF16" s="329"/>
      <c r="BG16" s="330"/>
      <c r="BH16" s="330"/>
      <c r="BI16" s="331"/>
      <c r="BJ16" s="308" t="str">
        <f t="shared" si="15"/>
        <v/>
      </c>
      <c r="BK16" s="309"/>
      <c r="BL16" s="310"/>
      <c r="BM16" s="311" t="str">
        <f t="shared" si="17"/>
        <v/>
      </c>
      <c r="BN16" s="312"/>
      <c r="BO16" s="312"/>
      <c r="BP16" s="32"/>
      <c r="BQ16" s="313"/>
      <c r="BR16" s="314"/>
      <c r="BS16" s="315"/>
      <c r="BT16" s="316"/>
      <c r="BU16" s="267"/>
      <c r="BV16" s="268"/>
      <c r="BW16" s="207"/>
      <c r="BX16" s="317"/>
      <c r="BY16" s="318"/>
      <c r="BZ16" s="301"/>
      <c r="CA16" s="296"/>
      <c r="CB16" s="296"/>
      <c r="CC16" s="297"/>
      <c r="CD16" s="304"/>
      <c r="CE16" s="296"/>
      <c r="CF16" s="296"/>
      <c r="CG16" s="297"/>
      <c r="CH16" s="296"/>
      <c r="CI16" s="296"/>
      <c r="CJ16" s="296"/>
      <c r="CK16" s="297"/>
      <c r="CL16" s="296"/>
      <c r="CM16" s="296"/>
      <c r="CN16" s="296"/>
      <c r="CO16" s="297"/>
      <c r="CP16" s="296"/>
      <c r="CQ16" s="296"/>
      <c r="CR16" s="296"/>
      <c r="CS16" s="297"/>
      <c r="CT16" s="333"/>
      <c r="CU16" s="334"/>
      <c r="CV16" s="334"/>
      <c r="CW16" s="335"/>
      <c r="CX16" s="304"/>
      <c r="CY16" s="296"/>
      <c r="CZ16" s="296"/>
      <c r="DA16" s="297"/>
      <c r="DB16" s="296"/>
      <c r="DC16" s="296"/>
      <c r="DD16" s="296"/>
      <c r="DE16" s="297"/>
      <c r="DF16" s="296"/>
      <c r="DG16" s="296"/>
      <c r="DH16" s="296"/>
      <c r="DI16" s="297"/>
      <c r="DJ16" s="298">
        <f t="shared" si="1"/>
        <v>0</v>
      </c>
      <c r="DK16" s="321"/>
      <c r="DL16" s="321"/>
      <c r="DM16" s="322"/>
      <c r="DO16" s="1" t="str">
        <f t="shared" si="2"/>
        <v>0</v>
      </c>
      <c r="DP16" s="1" t="str">
        <f t="shared" si="3"/>
        <v>0</v>
      </c>
      <c r="DQ16" s="1" t="str">
        <f t="shared" si="4"/>
        <v>0</v>
      </c>
      <c r="DR16" s="1" t="str">
        <f t="shared" si="5"/>
        <v>0</v>
      </c>
      <c r="DS16" s="1" t="str">
        <f t="shared" si="6"/>
        <v>0</v>
      </c>
      <c r="DT16" s="1" t="str">
        <f t="shared" si="7"/>
        <v>0</v>
      </c>
      <c r="DU16" s="1">
        <f t="shared" si="8"/>
        <v>0</v>
      </c>
      <c r="DV16" s="1">
        <f t="shared" si="9"/>
        <v>0</v>
      </c>
      <c r="DW16" s="1" t="str">
        <f t="shared" si="16"/>
        <v/>
      </c>
      <c r="DX16" s="1" t="str">
        <f t="shared" si="16"/>
        <v/>
      </c>
      <c r="DY16" s="1">
        <f t="shared" si="10"/>
        <v>0</v>
      </c>
      <c r="DZ16" s="33"/>
      <c r="EA16" s="46"/>
      <c r="EB16" s="54" t="s">
        <v>68</v>
      </c>
      <c r="EC16" s="47">
        <v>200</v>
      </c>
      <c r="ED16" s="55" t="s">
        <v>69</v>
      </c>
      <c r="EE16" s="56">
        <v>800</v>
      </c>
      <c r="EF16" s="37">
        <f t="shared" si="11"/>
        <v>0</v>
      </c>
      <c r="EG16" s="57">
        <f t="shared" si="12"/>
        <v>0</v>
      </c>
      <c r="EH16" s="49" t="s">
        <v>70</v>
      </c>
      <c r="EI16" s="58">
        <v>851</v>
      </c>
      <c r="EJ16" s="52" t="s">
        <v>71</v>
      </c>
      <c r="EK16" s="59">
        <v>1500</v>
      </c>
      <c r="EL16" s="41">
        <f t="shared" si="13"/>
        <v>0</v>
      </c>
      <c r="EM16" s="41">
        <f t="shared" si="14"/>
        <v>0</v>
      </c>
      <c r="EN16" s="51" t="s">
        <v>72</v>
      </c>
      <c r="EO16" s="41">
        <v>3</v>
      </c>
      <c r="EP16" s="5"/>
    </row>
    <row r="17" spans="2:151" ht="30" customHeight="1">
      <c r="B17" s="237"/>
      <c r="C17" s="238"/>
      <c r="D17" s="239"/>
      <c r="E17" s="240"/>
      <c r="F17" s="241"/>
      <c r="G17" s="242"/>
      <c r="H17" s="243"/>
      <c r="I17" s="243"/>
      <c r="J17" s="243"/>
      <c r="K17" s="243"/>
      <c r="L17" s="243"/>
      <c r="M17" s="243"/>
      <c r="N17" s="244"/>
      <c r="O17" s="245"/>
      <c r="P17" s="246"/>
      <c r="Q17" s="247"/>
      <c r="R17" s="248"/>
      <c r="S17" s="249"/>
      <c r="T17" s="250"/>
      <c r="U17" s="250"/>
      <c r="V17" s="250"/>
      <c r="W17" s="250"/>
      <c r="X17" s="251"/>
      <c r="Y17" s="287"/>
      <c r="Z17" s="288"/>
      <c r="AA17" s="288"/>
      <c r="AB17" s="288"/>
      <c r="AC17" s="288"/>
      <c r="AD17" s="288"/>
      <c r="AE17" s="289"/>
      <c r="AF17" s="290"/>
      <c r="AG17" s="291"/>
      <c r="AH17" s="290"/>
      <c r="AI17" s="291"/>
      <c r="AJ17" s="290"/>
      <c r="AK17" s="291"/>
      <c r="AL17" s="292"/>
      <c r="AM17" s="293"/>
      <c r="AN17" s="281"/>
      <c r="AO17" s="282"/>
      <c r="AP17" s="283"/>
      <c r="AQ17" s="284"/>
      <c r="AR17" s="284"/>
      <c r="AS17" s="285"/>
      <c r="AT17" s="319"/>
      <c r="AU17" s="320"/>
      <c r="AV17" s="281"/>
      <c r="AW17" s="282"/>
      <c r="AX17" s="332"/>
      <c r="AY17" s="330"/>
      <c r="AZ17" s="330"/>
      <c r="BA17" s="331"/>
      <c r="BB17" s="286"/>
      <c r="BC17" s="284"/>
      <c r="BD17" s="284"/>
      <c r="BE17" s="285"/>
      <c r="BF17" s="329"/>
      <c r="BG17" s="330"/>
      <c r="BH17" s="330"/>
      <c r="BI17" s="331"/>
      <c r="BJ17" s="308" t="str">
        <f t="shared" si="15"/>
        <v/>
      </c>
      <c r="BK17" s="309"/>
      <c r="BL17" s="310"/>
      <c r="BM17" s="311" t="str">
        <f t="shared" si="17"/>
        <v/>
      </c>
      <c r="BN17" s="312"/>
      <c r="BO17" s="312"/>
      <c r="BP17" s="60"/>
      <c r="BQ17" s="313"/>
      <c r="BR17" s="314"/>
      <c r="BS17" s="315"/>
      <c r="BT17" s="316"/>
      <c r="BU17" s="267"/>
      <c r="BV17" s="268"/>
      <c r="BW17" s="207"/>
      <c r="BX17" s="317"/>
      <c r="BY17" s="318"/>
      <c r="BZ17" s="301"/>
      <c r="CA17" s="296"/>
      <c r="CB17" s="296"/>
      <c r="CC17" s="297"/>
      <c r="CD17" s="304"/>
      <c r="CE17" s="296"/>
      <c r="CF17" s="296"/>
      <c r="CG17" s="297"/>
      <c r="CH17" s="296"/>
      <c r="CI17" s="296"/>
      <c r="CJ17" s="296"/>
      <c r="CK17" s="297"/>
      <c r="CL17" s="296"/>
      <c r="CM17" s="296"/>
      <c r="CN17" s="296"/>
      <c r="CO17" s="297"/>
      <c r="CP17" s="296"/>
      <c r="CQ17" s="296"/>
      <c r="CR17" s="296"/>
      <c r="CS17" s="297"/>
      <c r="CT17" s="296"/>
      <c r="CU17" s="296"/>
      <c r="CV17" s="296"/>
      <c r="CW17" s="297"/>
      <c r="CX17" s="296"/>
      <c r="CY17" s="296"/>
      <c r="CZ17" s="296"/>
      <c r="DA17" s="297"/>
      <c r="DB17" s="296"/>
      <c r="DC17" s="296"/>
      <c r="DD17" s="296"/>
      <c r="DE17" s="297"/>
      <c r="DF17" s="296"/>
      <c r="DG17" s="296"/>
      <c r="DH17" s="296"/>
      <c r="DI17" s="297"/>
      <c r="DJ17" s="298">
        <f t="shared" si="1"/>
        <v>0</v>
      </c>
      <c r="DK17" s="321"/>
      <c r="DL17" s="321"/>
      <c r="DM17" s="322"/>
      <c r="DO17" s="1" t="str">
        <f t="shared" si="2"/>
        <v>0</v>
      </c>
      <c r="DP17" s="1" t="str">
        <f t="shared" si="3"/>
        <v>0</v>
      </c>
      <c r="DQ17" s="1" t="str">
        <f t="shared" si="4"/>
        <v>0</v>
      </c>
      <c r="DR17" s="1" t="str">
        <f t="shared" si="5"/>
        <v>0</v>
      </c>
      <c r="DS17" s="1" t="str">
        <f t="shared" si="6"/>
        <v>0</v>
      </c>
      <c r="DT17" s="1" t="str">
        <f t="shared" si="7"/>
        <v>0</v>
      </c>
      <c r="DU17" s="1">
        <f t="shared" si="8"/>
        <v>0</v>
      </c>
      <c r="DV17" s="1">
        <f t="shared" si="9"/>
        <v>0</v>
      </c>
      <c r="DW17" s="1" t="str">
        <f t="shared" si="16"/>
        <v/>
      </c>
      <c r="DX17" s="1" t="str">
        <f t="shared" si="16"/>
        <v/>
      </c>
      <c r="DY17" s="1">
        <f t="shared" si="10"/>
        <v>0</v>
      </c>
      <c r="DZ17" s="33"/>
      <c r="EA17" s="46"/>
      <c r="EB17" s="54" t="s">
        <v>73</v>
      </c>
      <c r="EC17" s="54">
        <v>300</v>
      </c>
      <c r="ED17" s="55" t="s">
        <v>74</v>
      </c>
      <c r="EE17" s="56">
        <v>800</v>
      </c>
      <c r="EF17" s="37">
        <f t="shared" si="11"/>
        <v>0</v>
      </c>
      <c r="EG17" s="57">
        <f t="shared" si="12"/>
        <v>0</v>
      </c>
      <c r="EH17" s="49" t="s">
        <v>75</v>
      </c>
      <c r="EI17" s="58">
        <v>852</v>
      </c>
      <c r="EJ17" s="52" t="s">
        <v>76</v>
      </c>
      <c r="EK17" s="59">
        <v>2000</v>
      </c>
      <c r="EL17" s="41">
        <f t="shared" si="13"/>
        <v>0</v>
      </c>
      <c r="EM17" s="41">
        <f t="shared" si="14"/>
        <v>0</v>
      </c>
      <c r="EN17" s="51" t="s">
        <v>77</v>
      </c>
      <c r="EO17" s="41">
        <v>4</v>
      </c>
      <c r="EP17" s="5"/>
    </row>
    <row r="18" spans="2:151" ht="30" customHeight="1">
      <c r="B18" s="237"/>
      <c r="C18" s="238"/>
      <c r="D18" s="239"/>
      <c r="E18" s="240"/>
      <c r="F18" s="241"/>
      <c r="G18" s="242"/>
      <c r="H18" s="243"/>
      <c r="I18" s="243"/>
      <c r="J18" s="243"/>
      <c r="K18" s="243"/>
      <c r="L18" s="243"/>
      <c r="M18" s="243"/>
      <c r="N18" s="244"/>
      <c r="O18" s="245"/>
      <c r="P18" s="246"/>
      <c r="Q18" s="247"/>
      <c r="R18" s="248"/>
      <c r="S18" s="249"/>
      <c r="T18" s="250"/>
      <c r="U18" s="250"/>
      <c r="V18" s="250"/>
      <c r="W18" s="250"/>
      <c r="X18" s="251"/>
      <c r="Y18" s="287"/>
      <c r="Z18" s="288"/>
      <c r="AA18" s="288"/>
      <c r="AB18" s="288"/>
      <c r="AC18" s="288"/>
      <c r="AD18" s="288"/>
      <c r="AE18" s="289"/>
      <c r="AF18" s="290"/>
      <c r="AG18" s="291"/>
      <c r="AH18" s="290"/>
      <c r="AI18" s="291"/>
      <c r="AJ18" s="290"/>
      <c r="AK18" s="291"/>
      <c r="AL18" s="292"/>
      <c r="AM18" s="293"/>
      <c r="AN18" s="281"/>
      <c r="AO18" s="282"/>
      <c r="AP18" s="283"/>
      <c r="AQ18" s="284"/>
      <c r="AR18" s="284"/>
      <c r="AS18" s="285"/>
      <c r="AT18" s="319"/>
      <c r="AU18" s="320"/>
      <c r="AV18" s="281"/>
      <c r="AW18" s="282"/>
      <c r="AX18" s="332"/>
      <c r="AY18" s="330"/>
      <c r="AZ18" s="330"/>
      <c r="BA18" s="331"/>
      <c r="BB18" s="286"/>
      <c r="BC18" s="284"/>
      <c r="BD18" s="284"/>
      <c r="BE18" s="285"/>
      <c r="BF18" s="329"/>
      <c r="BG18" s="330"/>
      <c r="BH18" s="330"/>
      <c r="BI18" s="331"/>
      <c r="BJ18" s="308" t="str">
        <f t="shared" si="15"/>
        <v/>
      </c>
      <c r="BK18" s="309"/>
      <c r="BL18" s="310"/>
      <c r="BM18" s="311" t="str">
        <f t="shared" si="17"/>
        <v/>
      </c>
      <c r="BN18" s="312"/>
      <c r="BO18" s="312"/>
      <c r="BP18" s="60"/>
      <c r="BQ18" s="313"/>
      <c r="BR18" s="314"/>
      <c r="BS18" s="315"/>
      <c r="BT18" s="316"/>
      <c r="BU18" s="267"/>
      <c r="BV18" s="268"/>
      <c r="BW18" s="207"/>
      <c r="BX18" s="317"/>
      <c r="BY18" s="318"/>
      <c r="BZ18" s="301"/>
      <c r="CA18" s="296"/>
      <c r="CB18" s="296"/>
      <c r="CC18" s="297"/>
      <c r="CD18" s="304"/>
      <c r="CE18" s="296"/>
      <c r="CF18" s="296"/>
      <c r="CG18" s="297"/>
      <c r="CH18" s="296"/>
      <c r="CI18" s="296"/>
      <c r="CJ18" s="296"/>
      <c r="CK18" s="297"/>
      <c r="CL18" s="296"/>
      <c r="CM18" s="296"/>
      <c r="CN18" s="296"/>
      <c r="CO18" s="297"/>
      <c r="CP18" s="296"/>
      <c r="CQ18" s="296"/>
      <c r="CR18" s="296"/>
      <c r="CS18" s="297"/>
      <c r="CT18" s="296"/>
      <c r="CU18" s="296"/>
      <c r="CV18" s="296"/>
      <c r="CW18" s="297"/>
      <c r="CX18" s="296"/>
      <c r="CY18" s="296"/>
      <c r="CZ18" s="296"/>
      <c r="DA18" s="297"/>
      <c r="DB18" s="296"/>
      <c r="DC18" s="296"/>
      <c r="DD18" s="296"/>
      <c r="DE18" s="297"/>
      <c r="DF18" s="296"/>
      <c r="DG18" s="296"/>
      <c r="DH18" s="296"/>
      <c r="DI18" s="297"/>
      <c r="DJ18" s="298">
        <f t="shared" si="1"/>
        <v>0</v>
      </c>
      <c r="DK18" s="321"/>
      <c r="DL18" s="321"/>
      <c r="DM18" s="322"/>
      <c r="DO18" s="1" t="str">
        <f t="shared" si="2"/>
        <v>0</v>
      </c>
      <c r="DP18" s="1" t="str">
        <f t="shared" si="3"/>
        <v>0</v>
      </c>
      <c r="DQ18" s="1" t="str">
        <f t="shared" si="4"/>
        <v>0</v>
      </c>
      <c r="DR18" s="1" t="str">
        <f t="shared" si="5"/>
        <v>0</v>
      </c>
      <c r="DS18" s="1" t="str">
        <f t="shared" si="6"/>
        <v>0</v>
      </c>
      <c r="DT18" s="1" t="str">
        <f t="shared" si="7"/>
        <v>0</v>
      </c>
      <c r="DU18" s="1">
        <f t="shared" si="8"/>
        <v>0</v>
      </c>
      <c r="DV18" s="1">
        <f t="shared" si="9"/>
        <v>0</v>
      </c>
      <c r="DW18" s="1" t="str">
        <f t="shared" si="16"/>
        <v/>
      </c>
      <c r="DX18" s="1" t="str">
        <f t="shared" si="16"/>
        <v/>
      </c>
      <c r="DY18" s="1">
        <f t="shared" si="10"/>
        <v>0</v>
      </c>
      <c r="DZ18" s="33"/>
      <c r="EA18" s="46"/>
      <c r="EB18" s="54" t="s">
        <v>78</v>
      </c>
      <c r="EC18" s="54">
        <v>400</v>
      </c>
      <c r="ED18" s="55" t="s">
        <v>79</v>
      </c>
      <c r="EE18" s="56">
        <v>800</v>
      </c>
      <c r="EF18" s="37">
        <f t="shared" si="11"/>
        <v>0</v>
      </c>
      <c r="EG18" s="57">
        <f t="shared" si="12"/>
        <v>0</v>
      </c>
      <c r="EH18" s="49" t="s">
        <v>80</v>
      </c>
      <c r="EI18" s="58">
        <v>853</v>
      </c>
      <c r="EJ18" s="52" t="s">
        <v>81</v>
      </c>
      <c r="EK18" s="59">
        <v>2500</v>
      </c>
      <c r="EL18" s="41">
        <f t="shared" si="13"/>
        <v>0</v>
      </c>
      <c r="EM18" s="41">
        <f t="shared" si="14"/>
        <v>0</v>
      </c>
      <c r="EN18" s="51" t="s">
        <v>28</v>
      </c>
      <c r="EO18" s="41">
        <v>5</v>
      </c>
      <c r="EP18" s="5"/>
    </row>
    <row r="19" spans="2:151" ht="30" customHeight="1">
      <c r="B19" s="237"/>
      <c r="C19" s="238"/>
      <c r="D19" s="239"/>
      <c r="E19" s="240"/>
      <c r="F19" s="241"/>
      <c r="G19" s="242"/>
      <c r="H19" s="243"/>
      <c r="I19" s="243"/>
      <c r="J19" s="243"/>
      <c r="K19" s="243"/>
      <c r="L19" s="243"/>
      <c r="M19" s="243"/>
      <c r="N19" s="244"/>
      <c r="O19" s="245"/>
      <c r="P19" s="246"/>
      <c r="Q19" s="247"/>
      <c r="R19" s="248"/>
      <c r="S19" s="249"/>
      <c r="T19" s="250"/>
      <c r="U19" s="250"/>
      <c r="V19" s="250"/>
      <c r="W19" s="250"/>
      <c r="X19" s="251"/>
      <c r="Y19" s="287"/>
      <c r="Z19" s="288"/>
      <c r="AA19" s="288"/>
      <c r="AB19" s="288"/>
      <c r="AC19" s="288"/>
      <c r="AD19" s="288"/>
      <c r="AE19" s="289"/>
      <c r="AF19" s="290"/>
      <c r="AG19" s="291"/>
      <c r="AH19" s="290"/>
      <c r="AI19" s="291"/>
      <c r="AJ19" s="290"/>
      <c r="AK19" s="291"/>
      <c r="AL19" s="292"/>
      <c r="AM19" s="293"/>
      <c r="AN19" s="281"/>
      <c r="AO19" s="282"/>
      <c r="AP19" s="283"/>
      <c r="AQ19" s="284"/>
      <c r="AR19" s="284"/>
      <c r="AS19" s="285"/>
      <c r="AT19" s="319"/>
      <c r="AU19" s="320"/>
      <c r="AV19" s="281"/>
      <c r="AW19" s="282"/>
      <c r="AX19" s="332"/>
      <c r="AY19" s="330"/>
      <c r="AZ19" s="330"/>
      <c r="BA19" s="331"/>
      <c r="BB19" s="286"/>
      <c r="BC19" s="284"/>
      <c r="BD19" s="284"/>
      <c r="BE19" s="285"/>
      <c r="BF19" s="329"/>
      <c r="BG19" s="330"/>
      <c r="BH19" s="330"/>
      <c r="BI19" s="331"/>
      <c r="BJ19" s="308" t="str">
        <f t="shared" si="15"/>
        <v/>
      </c>
      <c r="BK19" s="309"/>
      <c r="BL19" s="310"/>
      <c r="BM19" s="311" t="str">
        <f t="shared" si="17"/>
        <v/>
      </c>
      <c r="BN19" s="312"/>
      <c r="BO19" s="312"/>
      <c r="BP19" s="60"/>
      <c r="BQ19" s="313"/>
      <c r="BR19" s="314"/>
      <c r="BS19" s="315"/>
      <c r="BT19" s="316"/>
      <c r="BU19" s="267"/>
      <c r="BV19" s="268"/>
      <c r="BW19" s="207"/>
      <c r="BX19" s="317"/>
      <c r="BY19" s="318"/>
      <c r="BZ19" s="301"/>
      <c r="CA19" s="296"/>
      <c r="CB19" s="296"/>
      <c r="CC19" s="297"/>
      <c r="CD19" s="304"/>
      <c r="CE19" s="296"/>
      <c r="CF19" s="296"/>
      <c r="CG19" s="297"/>
      <c r="CH19" s="296"/>
      <c r="CI19" s="296"/>
      <c r="CJ19" s="296"/>
      <c r="CK19" s="297"/>
      <c r="CL19" s="296"/>
      <c r="CM19" s="296"/>
      <c r="CN19" s="296"/>
      <c r="CO19" s="297"/>
      <c r="CP19" s="296"/>
      <c r="CQ19" s="296"/>
      <c r="CR19" s="296"/>
      <c r="CS19" s="297"/>
      <c r="CT19" s="296"/>
      <c r="CU19" s="296"/>
      <c r="CV19" s="296"/>
      <c r="CW19" s="297"/>
      <c r="CX19" s="296"/>
      <c r="CY19" s="296"/>
      <c r="CZ19" s="296"/>
      <c r="DA19" s="297"/>
      <c r="DB19" s="296"/>
      <c r="DC19" s="296"/>
      <c r="DD19" s="296"/>
      <c r="DE19" s="297"/>
      <c r="DF19" s="296"/>
      <c r="DG19" s="296"/>
      <c r="DH19" s="296"/>
      <c r="DI19" s="297"/>
      <c r="DJ19" s="298">
        <f>SUM(BZ19:DI19)</f>
        <v>0</v>
      </c>
      <c r="DK19" s="321"/>
      <c r="DL19" s="321"/>
      <c r="DM19" s="322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33"/>
      <c r="EA19" s="46"/>
      <c r="EB19" s="54"/>
      <c r="EC19" s="54"/>
      <c r="ED19" s="61"/>
      <c r="EE19" s="56"/>
      <c r="EF19" s="37"/>
      <c r="EG19" s="57"/>
      <c r="EH19" s="49"/>
      <c r="EI19" s="58"/>
      <c r="EJ19" s="62"/>
      <c r="EK19" s="59"/>
      <c r="EL19" s="41"/>
      <c r="EM19" s="41"/>
      <c r="EN19" s="5"/>
      <c r="EO19" s="63"/>
      <c r="EP19" s="5"/>
    </row>
    <row r="20" spans="2:151" ht="30" customHeight="1">
      <c r="B20" s="237"/>
      <c r="C20" s="238"/>
      <c r="D20" s="239"/>
      <c r="E20" s="240"/>
      <c r="F20" s="241"/>
      <c r="G20" s="242"/>
      <c r="H20" s="243"/>
      <c r="I20" s="243"/>
      <c r="J20" s="243"/>
      <c r="K20" s="243"/>
      <c r="L20" s="243"/>
      <c r="M20" s="243"/>
      <c r="N20" s="244"/>
      <c r="O20" s="245"/>
      <c r="P20" s="246"/>
      <c r="Q20" s="247"/>
      <c r="R20" s="248"/>
      <c r="S20" s="249"/>
      <c r="T20" s="250"/>
      <c r="U20" s="250"/>
      <c r="V20" s="250"/>
      <c r="W20" s="250"/>
      <c r="X20" s="251"/>
      <c r="Y20" s="287"/>
      <c r="Z20" s="250"/>
      <c r="AA20" s="250"/>
      <c r="AB20" s="250"/>
      <c r="AC20" s="250"/>
      <c r="AD20" s="250"/>
      <c r="AE20" s="251"/>
      <c r="AF20" s="290"/>
      <c r="AG20" s="291"/>
      <c r="AH20" s="290"/>
      <c r="AI20" s="291"/>
      <c r="AJ20" s="290"/>
      <c r="AK20" s="291"/>
      <c r="AL20" s="292"/>
      <c r="AM20" s="293"/>
      <c r="AN20" s="281"/>
      <c r="AO20" s="282"/>
      <c r="AP20" s="283"/>
      <c r="AQ20" s="284"/>
      <c r="AR20" s="284"/>
      <c r="AS20" s="285"/>
      <c r="AT20" s="319"/>
      <c r="AU20" s="320"/>
      <c r="AV20" s="281"/>
      <c r="AW20" s="282"/>
      <c r="AX20" s="332"/>
      <c r="AY20" s="330"/>
      <c r="AZ20" s="330"/>
      <c r="BA20" s="331"/>
      <c r="BB20" s="286"/>
      <c r="BC20" s="284"/>
      <c r="BD20" s="284"/>
      <c r="BE20" s="285"/>
      <c r="BF20" s="329"/>
      <c r="BG20" s="330"/>
      <c r="BH20" s="330"/>
      <c r="BI20" s="331"/>
      <c r="BJ20" s="308" t="str">
        <f t="shared" si="15"/>
        <v/>
      </c>
      <c r="BK20" s="309"/>
      <c r="BL20" s="310"/>
      <c r="BM20" s="311" t="str">
        <f t="shared" si="17"/>
        <v/>
      </c>
      <c r="BN20" s="312"/>
      <c r="BO20" s="312"/>
      <c r="BP20" s="60"/>
      <c r="BQ20" s="313"/>
      <c r="BR20" s="314"/>
      <c r="BS20" s="315"/>
      <c r="BT20" s="316"/>
      <c r="BU20" s="267"/>
      <c r="BV20" s="268"/>
      <c r="BW20" s="207"/>
      <c r="BX20" s="317"/>
      <c r="BY20" s="318"/>
      <c r="BZ20" s="301"/>
      <c r="CA20" s="296"/>
      <c r="CB20" s="296"/>
      <c r="CC20" s="297"/>
      <c r="CD20" s="304"/>
      <c r="CE20" s="296"/>
      <c r="CF20" s="296"/>
      <c r="CG20" s="297"/>
      <c r="CH20" s="296"/>
      <c r="CI20" s="296"/>
      <c r="CJ20" s="296"/>
      <c r="CK20" s="297"/>
      <c r="CL20" s="296"/>
      <c r="CM20" s="296"/>
      <c r="CN20" s="296"/>
      <c r="CO20" s="297"/>
      <c r="CP20" s="296"/>
      <c r="CQ20" s="296"/>
      <c r="CR20" s="296"/>
      <c r="CS20" s="297"/>
      <c r="CT20" s="296"/>
      <c r="CU20" s="296"/>
      <c r="CV20" s="296"/>
      <c r="CW20" s="297"/>
      <c r="CX20" s="296"/>
      <c r="CY20" s="296"/>
      <c r="CZ20" s="296"/>
      <c r="DA20" s="297"/>
      <c r="DB20" s="296"/>
      <c r="DC20" s="296"/>
      <c r="DD20" s="296"/>
      <c r="DE20" s="297"/>
      <c r="DF20" s="296"/>
      <c r="DG20" s="296"/>
      <c r="DH20" s="296"/>
      <c r="DI20" s="297"/>
      <c r="DJ20" s="298">
        <f t="shared" si="1"/>
        <v>0</v>
      </c>
      <c r="DK20" s="321"/>
      <c r="DL20" s="321"/>
      <c r="DM20" s="322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33"/>
      <c r="EA20" s="46"/>
      <c r="EB20" s="54"/>
      <c r="EC20" s="54"/>
      <c r="ED20" s="61"/>
      <c r="EE20" s="56"/>
      <c r="EF20" s="37"/>
      <c r="EG20" s="57"/>
      <c r="EH20" s="49"/>
      <c r="EI20" s="58"/>
      <c r="EJ20" s="62"/>
      <c r="EK20" s="59"/>
      <c r="EL20" s="41"/>
      <c r="EM20" s="41"/>
      <c r="EN20" s="5"/>
      <c r="EO20" s="63"/>
      <c r="EP20" s="5"/>
    </row>
    <row r="21" spans="2:151" ht="30" customHeight="1">
      <c r="B21" s="237"/>
      <c r="C21" s="238"/>
      <c r="D21" s="239"/>
      <c r="E21" s="240"/>
      <c r="F21" s="241"/>
      <c r="G21" s="242"/>
      <c r="H21" s="243"/>
      <c r="I21" s="243"/>
      <c r="J21" s="243"/>
      <c r="K21" s="243"/>
      <c r="L21" s="243"/>
      <c r="M21" s="243"/>
      <c r="N21" s="244"/>
      <c r="O21" s="245"/>
      <c r="P21" s="246"/>
      <c r="Q21" s="247"/>
      <c r="R21" s="248"/>
      <c r="S21" s="249"/>
      <c r="T21" s="250"/>
      <c r="U21" s="250"/>
      <c r="V21" s="250"/>
      <c r="W21" s="250"/>
      <c r="X21" s="251"/>
      <c r="Y21" s="287"/>
      <c r="Z21" s="250"/>
      <c r="AA21" s="250"/>
      <c r="AB21" s="250"/>
      <c r="AC21" s="250"/>
      <c r="AD21" s="250"/>
      <c r="AE21" s="251"/>
      <c r="AF21" s="290"/>
      <c r="AG21" s="291"/>
      <c r="AH21" s="290"/>
      <c r="AI21" s="291"/>
      <c r="AJ21" s="290"/>
      <c r="AK21" s="291"/>
      <c r="AL21" s="292"/>
      <c r="AM21" s="293"/>
      <c r="AN21" s="281"/>
      <c r="AO21" s="282"/>
      <c r="AP21" s="283"/>
      <c r="AQ21" s="284"/>
      <c r="AR21" s="284"/>
      <c r="AS21" s="285"/>
      <c r="AT21" s="319"/>
      <c r="AU21" s="320"/>
      <c r="AV21" s="281"/>
      <c r="AW21" s="282"/>
      <c r="AX21" s="332"/>
      <c r="AY21" s="330"/>
      <c r="AZ21" s="330"/>
      <c r="BA21" s="331"/>
      <c r="BB21" s="286"/>
      <c r="BC21" s="284"/>
      <c r="BD21" s="284"/>
      <c r="BE21" s="285"/>
      <c r="BF21" s="329"/>
      <c r="BG21" s="330"/>
      <c r="BH21" s="330"/>
      <c r="BI21" s="331"/>
      <c r="BJ21" s="308" t="str">
        <f t="shared" si="15"/>
        <v/>
      </c>
      <c r="BK21" s="309"/>
      <c r="BL21" s="310"/>
      <c r="BM21" s="311" t="str">
        <f t="shared" si="17"/>
        <v/>
      </c>
      <c r="BN21" s="312"/>
      <c r="BO21" s="312"/>
      <c r="BP21" s="60"/>
      <c r="BQ21" s="313"/>
      <c r="BR21" s="314"/>
      <c r="BS21" s="315"/>
      <c r="BT21" s="316"/>
      <c r="BU21" s="267"/>
      <c r="BV21" s="268"/>
      <c r="BW21" s="207"/>
      <c r="BX21" s="317"/>
      <c r="BY21" s="318"/>
      <c r="BZ21" s="301"/>
      <c r="CA21" s="296"/>
      <c r="CB21" s="296"/>
      <c r="CC21" s="297"/>
      <c r="CD21" s="304"/>
      <c r="CE21" s="296"/>
      <c r="CF21" s="296"/>
      <c r="CG21" s="297"/>
      <c r="CH21" s="296"/>
      <c r="CI21" s="296"/>
      <c r="CJ21" s="296"/>
      <c r="CK21" s="297"/>
      <c r="CL21" s="296"/>
      <c r="CM21" s="296"/>
      <c r="CN21" s="296"/>
      <c r="CO21" s="297"/>
      <c r="CP21" s="296"/>
      <c r="CQ21" s="296"/>
      <c r="CR21" s="296"/>
      <c r="CS21" s="297"/>
      <c r="CT21" s="296"/>
      <c r="CU21" s="296"/>
      <c r="CV21" s="296"/>
      <c r="CW21" s="297"/>
      <c r="CX21" s="305"/>
      <c r="CY21" s="306"/>
      <c r="CZ21" s="306"/>
      <c r="DA21" s="307"/>
      <c r="DB21" s="296"/>
      <c r="DC21" s="296"/>
      <c r="DD21" s="296"/>
      <c r="DE21" s="297"/>
      <c r="DF21" s="296"/>
      <c r="DG21" s="296"/>
      <c r="DH21" s="296"/>
      <c r="DI21" s="297"/>
      <c r="DJ21" s="298">
        <f t="shared" si="1"/>
        <v>0</v>
      </c>
      <c r="DK21" s="321"/>
      <c r="DL21" s="321"/>
      <c r="DM21" s="322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33"/>
      <c r="EA21" s="46"/>
      <c r="EB21" s="54"/>
      <c r="EC21" s="54"/>
      <c r="ED21" s="55"/>
      <c r="EE21" s="56"/>
      <c r="EF21" s="37"/>
      <c r="EG21" s="57"/>
      <c r="EH21" s="64"/>
      <c r="EI21" s="65"/>
      <c r="EJ21" s="66"/>
      <c r="EK21" s="67"/>
      <c r="EL21" s="65"/>
      <c r="EM21" s="68"/>
      <c r="EN21" s="7"/>
      <c r="EO21" s="63"/>
      <c r="EP21" s="5"/>
    </row>
    <row r="22" spans="2:151" ht="30" customHeight="1">
      <c r="B22" s="237"/>
      <c r="C22" s="238"/>
      <c r="D22" s="239"/>
      <c r="E22" s="240"/>
      <c r="F22" s="241"/>
      <c r="G22" s="242"/>
      <c r="H22" s="243"/>
      <c r="I22" s="243"/>
      <c r="J22" s="243"/>
      <c r="K22" s="243"/>
      <c r="L22" s="243"/>
      <c r="M22" s="243"/>
      <c r="N22" s="244"/>
      <c r="O22" s="245"/>
      <c r="P22" s="246"/>
      <c r="Q22" s="247"/>
      <c r="R22" s="248"/>
      <c r="S22" s="249"/>
      <c r="T22" s="250"/>
      <c r="U22" s="250"/>
      <c r="V22" s="250"/>
      <c r="W22" s="250"/>
      <c r="X22" s="251"/>
      <c r="Y22" s="287"/>
      <c r="Z22" s="250"/>
      <c r="AA22" s="250"/>
      <c r="AB22" s="250"/>
      <c r="AC22" s="250"/>
      <c r="AD22" s="250"/>
      <c r="AE22" s="251"/>
      <c r="AF22" s="290"/>
      <c r="AG22" s="291"/>
      <c r="AH22" s="290"/>
      <c r="AI22" s="291"/>
      <c r="AJ22" s="290"/>
      <c r="AK22" s="291"/>
      <c r="AL22" s="292"/>
      <c r="AM22" s="293"/>
      <c r="AN22" s="281"/>
      <c r="AO22" s="282"/>
      <c r="AP22" s="283"/>
      <c r="AQ22" s="284"/>
      <c r="AR22" s="284"/>
      <c r="AS22" s="285"/>
      <c r="AT22" s="319"/>
      <c r="AU22" s="320"/>
      <c r="AV22" s="281"/>
      <c r="AW22" s="282"/>
      <c r="AX22" s="332"/>
      <c r="AY22" s="330"/>
      <c r="AZ22" s="330"/>
      <c r="BA22" s="331"/>
      <c r="BB22" s="286"/>
      <c r="BC22" s="284"/>
      <c r="BD22" s="284"/>
      <c r="BE22" s="285"/>
      <c r="BF22" s="329"/>
      <c r="BG22" s="330"/>
      <c r="BH22" s="330"/>
      <c r="BI22" s="331"/>
      <c r="BJ22" s="308" t="str">
        <f t="shared" si="15"/>
        <v/>
      </c>
      <c r="BK22" s="309"/>
      <c r="BL22" s="310"/>
      <c r="BM22" s="311" t="str">
        <f t="shared" si="17"/>
        <v/>
      </c>
      <c r="BN22" s="312"/>
      <c r="BO22" s="312"/>
      <c r="BP22" s="60"/>
      <c r="BQ22" s="313"/>
      <c r="BR22" s="314"/>
      <c r="BS22" s="315"/>
      <c r="BT22" s="316"/>
      <c r="BU22" s="267"/>
      <c r="BV22" s="268"/>
      <c r="BW22" s="207"/>
      <c r="BX22" s="317"/>
      <c r="BY22" s="318"/>
      <c r="BZ22" s="301"/>
      <c r="CA22" s="296"/>
      <c r="CB22" s="296"/>
      <c r="CC22" s="297"/>
      <c r="CD22" s="304"/>
      <c r="CE22" s="296"/>
      <c r="CF22" s="296"/>
      <c r="CG22" s="297"/>
      <c r="CH22" s="296"/>
      <c r="CI22" s="296"/>
      <c r="CJ22" s="296"/>
      <c r="CK22" s="297"/>
      <c r="CL22" s="296"/>
      <c r="CM22" s="296"/>
      <c r="CN22" s="296"/>
      <c r="CO22" s="297"/>
      <c r="CP22" s="296"/>
      <c r="CQ22" s="296"/>
      <c r="CR22" s="296"/>
      <c r="CS22" s="297"/>
      <c r="CT22" s="305"/>
      <c r="CU22" s="306"/>
      <c r="CV22" s="306"/>
      <c r="CW22" s="307"/>
      <c r="CX22" s="333"/>
      <c r="CY22" s="334"/>
      <c r="CZ22" s="334"/>
      <c r="DA22" s="335"/>
      <c r="DB22" s="296"/>
      <c r="DC22" s="296"/>
      <c r="DD22" s="296"/>
      <c r="DE22" s="297"/>
      <c r="DF22" s="296"/>
      <c r="DG22" s="296"/>
      <c r="DH22" s="296"/>
      <c r="DI22" s="297"/>
      <c r="DJ22" s="298">
        <f t="shared" si="1"/>
        <v>0</v>
      </c>
      <c r="DK22" s="321"/>
      <c r="DL22" s="321"/>
      <c r="DM22" s="322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33"/>
      <c r="EA22" s="46"/>
      <c r="EB22" s="54"/>
      <c r="EC22" s="54"/>
      <c r="ED22" s="55"/>
      <c r="EE22" s="56"/>
      <c r="EF22" s="37"/>
      <c r="EG22" s="57"/>
      <c r="EH22" s="7"/>
      <c r="EI22" s="8"/>
      <c r="EJ22" s="69"/>
      <c r="EK22" s="70"/>
      <c r="EL22" s="8"/>
      <c r="EM22" s="63"/>
      <c r="EN22" s="5"/>
      <c r="EO22" s="63"/>
      <c r="EP22" s="5"/>
    </row>
    <row r="23" spans="2:151" ht="30" customHeight="1">
      <c r="B23" s="237"/>
      <c r="C23" s="238"/>
      <c r="D23" s="239"/>
      <c r="E23" s="240"/>
      <c r="F23" s="241"/>
      <c r="G23" s="242"/>
      <c r="H23" s="243"/>
      <c r="I23" s="243"/>
      <c r="J23" s="243"/>
      <c r="K23" s="243"/>
      <c r="L23" s="243"/>
      <c r="M23" s="243"/>
      <c r="N23" s="244"/>
      <c r="O23" s="245"/>
      <c r="P23" s="246"/>
      <c r="Q23" s="247"/>
      <c r="R23" s="248"/>
      <c r="S23" s="249"/>
      <c r="T23" s="250"/>
      <c r="U23" s="250"/>
      <c r="V23" s="250"/>
      <c r="W23" s="250"/>
      <c r="X23" s="251"/>
      <c r="Y23" s="287"/>
      <c r="Z23" s="250"/>
      <c r="AA23" s="250"/>
      <c r="AB23" s="250"/>
      <c r="AC23" s="250"/>
      <c r="AD23" s="250"/>
      <c r="AE23" s="251"/>
      <c r="AF23" s="290"/>
      <c r="AG23" s="291"/>
      <c r="AH23" s="290"/>
      <c r="AI23" s="291"/>
      <c r="AJ23" s="290"/>
      <c r="AK23" s="291"/>
      <c r="AL23" s="292"/>
      <c r="AM23" s="293"/>
      <c r="AN23" s="281"/>
      <c r="AO23" s="282"/>
      <c r="AP23" s="283"/>
      <c r="AQ23" s="284"/>
      <c r="AR23" s="284"/>
      <c r="AS23" s="285"/>
      <c r="AT23" s="319"/>
      <c r="AU23" s="320"/>
      <c r="AV23" s="281"/>
      <c r="AW23" s="282"/>
      <c r="AX23" s="332"/>
      <c r="AY23" s="330"/>
      <c r="AZ23" s="330"/>
      <c r="BA23" s="331"/>
      <c r="BB23" s="286"/>
      <c r="BC23" s="284"/>
      <c r="BD23" s="284"/>
      <c r="BE23" s="285"/>
      <c r="BF23" s="329"/>
      <c r="BG23" s="330"/>
      <c r="BH23" s="330"/>
      <c r="BI23" s="331"/>
      <c r="BJ23" s="308" t="str">
        <f>IF(OR(AL23="",AN23="",AT23="",AV23=""),"",AT23-AL23+(AV23-AN23)/60)</f>
        <v/>
      </c>
      <c r="BK23" s="309"/>
      <c r="BL23" s="310"/>
      <c r="BM23" s="311" t="str">
        <f>IF(OR(BB23="",BF23=""),"",(BF23-BB23)*24-BP23)</f>
        <v/>
      </c>
      <c r="BN23" s="312"/>
      <c r="BO23" s="312"/>
      <c r="BP23" s="60"/>
      <c r="BQ23" s="313"/>
      <c r="BR23" s="314"/>
      <c r="BS23" s="315"/>
      <c r="BT23" s="316"/>
      <c r="BU23" s="267"/>
      <c r="BV23" s="268"/>
      <c r="BW23" s="207"/>
      <c r="BX23" s="317"/>
      <c r="BY23" s="318"/>
      <c r="BZ23" s="301"/>
      <c r="CA23" s="296"/>
      <c r="CB23" s="296"/>
      <c r="CC23" s="297"/>
      <c r="CD23" s="304"/>
      <c r="CE23" s="296"/>
      <c r="CF23" s="296"/>
      <c r="CG23" s="297"/>
      <c r="CH23" s="296"/>
      <c r="CI23" s="296"/>
      <c r="CJ23" s="296"/>
      <c r="CK23" s="297"/>
      <c r="CL23" s="296"/>
      <c r="CM23" s="296"/>
      <c r="CN23" s="296"/>
      <c r="CO23" s="297"/>
      <c r="CP23" s="296"/>
      <c r="CQ23" s="296"/>
      <c r="CR23" s="296"/>
      <c r="CS23" s="297"/>
      <c r="CT23" s="296"/>
      <c r="CU23" s="296"/>
      <c r="CV23" s="296"/>
      <c r="CW23" s="297"/>
      <c r="CX23" s="296"/>
      <c r="CY23" s="296"/>
      <c r="CZ23" s="296"/>
      <c r="DA23" s="297"/>
      <c r="DB23" s="296"/>
      <c r="DC23" s="296"/>
      <c r="DD23" s="296"/>
      <c r="DE23" s="297"/>
      <c r="DF23" s="296"/>
      <c r="DG23" s="296"/>
      <c r="DH23" s="296"/>
      <c r="DI23" s="297"/>
      <c r="DJ23" s="298">
        <f t="shared" si="1"/>
        <v>0</v>
      </c>
      <c r="DK23" s="321"/>
      <c r="DL23" s="321"/>
      <c r="DM23" s="322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33"/>
      <c r="EA23" s="46"/>
      <c r="EB23" s="54"/>
      <c r="EC23" s="54"/>
      <c r="ED23" s="55"/>
      <c r="EE23" s="56"/>
      <c r="EF23" s="37"/>
      <c r="EG23" s="57"/>
      <c r="EH23" s="7"/>
      <c r="EI23" s="8"/>
      <c r="EJ23" s="69"/>
      <c r="EK23" s="70"/>
      <c r="EL23" s="8"/>
      <c r="EM23" s="63"/>
      <c r="EN23" s="5"/>
      <c r="EO23" s="63"/>
      <c r="EP23" s="5"/>
    </row>
    <row r="24" spans="2:151" ht="30" customHeight="1">
      <c r="B24" s="237"/>
      <c r="C24" s="238"/>
      <c r="D24" s="239"/>
      <c r="E24" s="240"/>
      <c r="F24" s="241"/>
      <c r="G24" s="242"/>
      <c r="H24" s="243"/>
      <c r="I24" s="243"/>
      <c r="J24" s="243"/>
      <c r="K24" s="243"/>
      <c r="L24" s="243"/>
      <c r="M24" s="243"/>
      <c r="N24" s="244"/>
      <c r="O24" s="245"/>
      <c r="P24" s="246"/>
      <c r="Q24" s="247"/>
      <c r="R24" s="248"/>
      <c r="S24" s="249"/>
      <c r="T24" s="250"/>
      <c r="U24" s="250"/>
      <c r="V24" s="250"/>
      <c r="W24" s="250"/>
      <c r="X24" s="251"/>
      <c r="Y24" s="287"/>
      <c r="Z24" s="250"/>
      <c r="AA24" s="250"/>
      <c r="AB24" s="250"/>
      <c r="AC24" s="250"/>
      <c r="AD24" s="250"/>
      <c r="AE24" s="251"/>
      <c r="AF24" s="290"/>
      <c r="AG24" s="291"/>
      <c r="AH24" s="290"/>
      <c r="AI24" s="291"/>
      <c r="AJ24" s="290"/>
      <c r="AK24" s="291"/>
      <c r="AL24" s="292"/>
      <c r="AM24" s="293"/>
      <c r="AN24" s="281"/>
      <c r="AO24" s="282"/>
      <c r="AP24" s="332"/>
      <c r="AQ24" s="330"/>
      <c r="AR24" s="330"/>
      <c r="AS24" s="331"/>
      <c r="AT24" s="319"/>
      <c r="AU24" s="320"/>
      <c r="AV24" s="281"/>
      <c r="AW24" s="282"/>
      <c r="AX24" s="332"/>
      <c r="AY24" s="330"/>
      <c r="AZ24" s="330"/>
      <c r="BA24" s="331"/>
      <c r="BB24" s="286"/>
      <c r="BC24" s="284"/>
      <c r="BD24" s="284"/>
      <c r="BE24" s="285"/>
      <c r="BF24" s="329"/>
      <c r="BG24" s="330"/>
      <c r="BH24" s="330"/>
      <c r="BI24" s="331"/>
      <c r="BJ24" s="308" t="str">
        <f>IF(OR(AL24="",AN24="",AT24="",AV24=""),"",AT24-AL24+(AV24-AN24)/60)</f>
        <v/>
      </c>
      <c r="BK24" s="309"/>
      <c r="BL24" s="310"/>
      <c r="BM24" s="311" t="str">
        <f>IF(OR(BB24="",BF24=""),"",(BF24-BB24)*24-BP24)</f>
        <v/>
      </c>
      <c r="BN24" s="312"/>
      <c r="BO24" s="312"/>
      <c r="BP24" s="60"/>
      <c r="BQ24" s="313"/>
      <c r="BR24" s="314"/>
      <c r="BS24" s="315"/>
      <c r="BT24" s="316"/>
      <c r="BU24" s="267"/>
      <c r="BV24" s="268"/>
      <c r="BW24" s="207"/>
      <c r="BX24" s="317"/>
      <c r="BY24" s="318"/>
      <c r="BZ24" s="301"/>
      <c r="CA24" s="296"/>
      <c r="CB24" s="296"/>
      <c r="CC24" s="297"/>
      <c r="CD24" s="304"/>
      <c r="CE24" s="296"/>
      <c r="CF24" s="296"/>
      <c r="CG24" s="297"/>
      <c r="CH24" s="296"/>
      <c r="CI24" s="296"/>
      <c r="CJ24" s="296"/>
      <c r="CK24" s="297"/>
      <c r="CL24" s="296"/>
      <c r="CM24" s="296"/>
      <c r="CN24" s="296"/>
      <c r="CO24" s="297"/>
      <c r="CP24" s="296"/>
      <c r="CQ24" s="296"/>
      <c r="CR24" s="296"/>
      <c r="CS24" s="297"/>
      <c r="CT24" s="296"/>
      <c r="CU24" s="296"/>
      <c r="CV24" s="296"/>
      <c r="CW24" s="297"/>
      <c r="CX24" s="296"/>
      <c r="CY24" s="296"/>
      <c r="CZ24" s="296"/>
      <c r="DA24" s="297"/>
      <c r="DB24" s="296"/>
      <c r="DC24" s="296"/>
      <c r="DD24" s="296"/>
      <c r="DE24" s="297"/>
      <c r="DF24" s="296"/>
      <c r="DG24" s="296"/>
      <c r="DH24" s="296"/>
      <c r="DI24" s="297"/>
      <c r="DJ24" s="298">
        <f>SUM(BZ24:DI24)</f>
        <v>0</v>
      </c>
      <c r="DK24" s="321"/>
      <c r="DL24" s="321"/>
      <c r="DM24" s="322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33"/>
      <c r="EA24" s="46"/>
      <c r="EB24" s="54"/>
      <c r="EC24" s="54"/>
      <c r="ED24" s="61"/>
      <c r="EE24" s="56"/>
      <c r="EF24" s="37"/>
      <c r="EG24" s="57"/>
      <c r="EH24" s="8"/>
      <c r="EI24" s="8"/>
      <c r="EJ24" s="71"/>
      <c r="EK24" s="70"/>
      <c r="EL24" s="8"/>
      <c r="EM24" s="63"/>
      <c r="EN24" s="5"/>
      <c r="EO24" s="63"/>
      <c r="EP24" s="5"/>
    </row>
    <row r="25" spans="2:151" ht="30" customHeight="1">
      <c r="B25" s="237"/>
      <c r="C25" s="238"/>
      <c r="D25" s="239"/>
      <c r="E25" s="240"/>
      <c r="F25" s="241"/>
      <c r="G25" s="242"/>
      <c r="H25" s="243"/>
      <c r="I25" s="243"/>
      <c r="J25" s="243"/>
      <c r="K25" s="243"/>
      <c r="L25" s="243"/>
      <c r="M25" s="243"/>
      <c r="N25" s="244"/>
      <c r="O25" s="245"/>
      <c r="P25" s="246"/>
      <c r="Q25" s="247"/>
      <c r="R25" s="248"/>
      <c r="S25" s="249"/>
      <c r="T25" s="250"/>
      <c r="U25" s="250"/>
      <c r="V25" s="250"/>
      <c r="W25" s="250"/>
      <c r="X25" s="251"/>
      <c r="Y25" s="287"/>
      <c r="Z25" s="250"/>
      <c r="AA25" s="250"/>
      <c r="AB25" s="250"/>
      <c r="AC25" s="250"/>
      <c r="AD25" s="250"/>
      <c r="AE25" s="251"/>
      <c r="AF25" s="290"/>
      <c r="AG25" s="291"/>
      <c r="AH25" s="290"/>
      <c r="AI25" s="291"/>
      <c r="AJ25" s="290"/>
      <c r="AK25" s="291"/>
      <c r="AL25" s="292"/>
      <c r="AM25" s="293"/>
      <c r="AN25" s="281"/>
      <c r="AO25" s="282"/>
      <c r="AP25" s="283"/>
      <c r="AQ25" s="284"/>
      <c r="AR25" s="284"/>
      <c r="AS25" s="285"/>
      <c r="AT25" s="319"/>
      <c r="AU25" s="320"/>
      <c r="AV25" s="281"/>
      <c r="AW25" s="282"/>
      <c r="AX25" s="332"/>
      <c r="AY25" s="330"/>
      <c r="AZ25" s="330"/>
      <c r="BA25" s="331"/>
      <c r="BB25" s="286"/>
      <c r="BC25" s="284"/>
      <c r="BD25" s="284"/>
      <c r="BE25" s="285"/>
      <c r="BF25" s="329"/>
      <c r="BG25" s="330"/>
      <c r="BH25" s="330"/>
      <c r="BI25" s="331"/>
      <c r="BJ25" s="308" t="str">
        <f>IF(OR(AL25="",AN25="",AT25="",AV25=""),"",AT25-AL25+(AV25-AN25)/60)</f>
        <v/>
      </c>
      <c r="BK25" s="309"/>
      <c r="BL25" s="310"/>
      <c r="BM25" s="311" t="str">
        <f>IF(OR(BB25="",BF25=""),"",(BF25-BB25)*24-BP25)</f>
        <v/>
      </c>
      <c r="BN25" s="312"/>
      <c r="BO25" s="312"/>
      <c r="BP25" s="60"/>
      <c r="BQ25" s="313"/>
      <c r="BR25" s="314"/>
      <c r="BS25" s="315"/>
      <c r="BT25" s="316"/>
      <c r="BU25" s="267"/>
      <c r="BV25" s="268"/>
      <c r="BW25" s="207"/>
      <c r="BX25" s="317"/>
      <c r="BY25" s="318"/>
      <c r="BZ25" s="301"/>
      <c r="CA25" s="296"/>
      <c r="CB25" s="296"/>
      <c r="CC25" s="297"/>
      <c r="CD25" s="304"/>
      <c r="CE25" s="296"/>
      <c r="CF25" s="296"/>
      <c r="CG25" s="297"/>
      <c r="CH25" s="296"/>
      <c r="CI25" s="296"/>
      <c r="CJ25" s="296"/>
      <c r="CK25" s="297"/>
      <c r="CL25" s="296"/>
      <c r="CM25" s="296"/>
      <c r="CN25" s="296"/>
      <c r="CO25" s="297"/>
      <c r="CP25" s="296"/>
      <c r="CQ25" s="296"/>
      <c r="CR25" s="296"/>
      <c r="CS25" s="297"/>
      <c r="CT25" s="296"/>
      <c r="CU25" s="296"/>
      <c r="CV25" s="296"/>
      <c r="CW25" s="297"/>
      <c r="CX25" s="296"/>
      <c r="CY25" s="296"/>
      <c r="CZ25" s="296"/>
      <c r="DA25" s="297"/>
      <c r="DB25" s="296"/>
      <c r="DC25" s="296"/>
      <c r="DD25" s="296"/>
      <c r="DE25" s="297"/>
      <c r="DF25" s="296"/>
      <c r="DG25" s="296"/>
      <c r="DH25" s="296"/>
      <c r="DI25" s="297"/>
      <c r="DJ25" s="298">
        <f>SUM(BZ25:DI25)</f>
        <v>0</v>
      </c>
      <c r="DK25" s="321"/>
      <c r="DL25" s="321"/>
      <c r="DM25" s="322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33"/>
      <c r="EA25" s="46"/>
      <c r="EB25" s="54"/>
      <c r="EC25" s="54"/>
      <c r="ED25" s="61"/>
      <c r="EE25" s="56"/>
      <c r="EF25" s="37"/>
      <c r="EG25" s="57"/>
      <c r="EH25" s="8"/>
      <c r="EI25" s="8"/>
      <c r="EJ25" s="71"/>
      <c r="EK25" s="70"/>
      <c r="EL25" s="8"/>
      <c r="EM25" s="63"/>
      <c r="EN25" s="5"/>
      <c r="EO25" s="63"/>
      <c r="EP25" s="5"/>
    </row>
    <row r="26" spans="2:151" ht="30" customHeight="1">
      <c r="B26" s="237"/>
      <c r="C26" s="238"/>
      <c r="D26" s="239"/>
      <c r="E26" s="240"/>
      <c r="F26" s="241"/>
      <c r="G26" s="242"/>
      <c r="H26" s="243"/>
      <c r="I26" s="243"/>
      <c r="J26" s="243"/>
      <c r="K26" s="243"/>
      <c r="L26" s="243"/>
      <c r="M26" s="243"/>
      <c r="N26" s="244"/>
      <c r="O26" s="245"/>
      <c r="P26" s="246"/>
      <c r="Q26" s="247"/>
      <c r="R26" s="248"/>
      <c r="S26" s="249"/>
      <c r="T26" s="250"/>
      <c r="U26" s="250"/>
      <c r="V26" s="250"/>
      <c r="W26" s="250"/>
      <c r="X26" s="251"/>
      <c r="Y26" s="287"/>
      <c r="Z26" s="250"/>
      <c r="AA26" s="250"/>
      <c r="AB26" s="250"/>
      <c r="AC26" s="250"/>
      <c r="AD26" s="250"/>
      <c r="AE26" s="251"/>
      <c r="AF26" s="290"/>
      <c r="AG26" s="291"/>
      <c r="AH26" s="290"/>
      <c r="AI26" s="291"/>
      <c r="AJ26" s="290"/>
      <c r="AK26" s="291"/>
      <c r="AL26" s="292"/>
      <c r="AM26" s="293"/>
      <c r="AN26" s="281"/>
      <c r="AO26" s="282"/>
      <c r="AP26" s="283"/>
      <c r="AQ26" s="284"/>
      <c r="AR26" s="284"/>
      <c r="AS26" s="285"/>
      <c r="AT26" s="319"/>
      <c r="AU26" s="320"/>
      <c r="AV26" s="281"/>
      <c r="AW26" s="282"/>
      <c r="AX26" s="332"/>
      <c r="AY26" s="330"/>
      <c r="AZ26" s="330"/>
      <c r="BA26" s="331"/>
      <c r="BB26" s="286"/>
      <c r="BC26" s="284"/>
      <c r="BD26" s="284"/>
      <c r="BE26" s="285"/>
      <c r="BF26" s="329"/>
      <c r="BG26" s="330"/>
      <c r="BH26" s="330"/>
      <c r="BI26" s="331"/>
      <c r="BJ26" s="308" t="str">
        <f>IF(OR(AL26="",AN26="",AT26="",AV26=""),"",AT26-AL26+(AV26-AN26)/60)</f>
        <v/>
      </c>
      <c r="BK26" s="309"/>
      <c r="BL26" s="310"/>
      <c r="BM26" s="311" t="str">
        <f>IF(OR(BB26="",BF26=""),"",(BF26-BB26)*24-BP26)</f>
        <v/>
      </c>
      <c r="BN26" s="312"/>
      <c r="BO26" s="312"/>
      <c r="BP26" s="60"/>
      <c r="BQ26" s="313"/>
      <c r="BR26" s="314"/>
      <c r="BS26" s="315"/>
      <c r="BT26" s="316"/>
      <c r="BU26" s="267"/>
      <c r="BV26" s="268"/>
      <c r="BW26" s="207"/>
      <c r="BX26" s="317"/>
      <c r="BY26" s="318"/>
      <c r="BZ26" s="301"/>
      <c r="CA26" s="296"/>
      <c r="CB26" s="296"/>
      <c r="CC26" s="297"/>
      <c r="CD26" s="304"/>
      <c r="CE26" s="296"/>
      <c r="CF26" s="296"/>
      <c r="CG26" s="297"/>
      <c r="CH26" s="296"/>
      <c r="CI26" s="296"/>
      <c r="CJ26" s="296"/>
      <c r="CK26" s="297"/>
      <c r="CL26" s="296"/>
      <c r="CM26" s="296"/>
      <c r="CN26" s="296"/>
      <c r="CO26" s="297"/>
      <c r="CP26" s="296"/>
      <c r="CQ26" s="296"/>
      <c r="CR26" s="296"/>
      <c r="CS26" s="297"/>
      <c r="CT26" s="296"/>
      <c r="CU26" s="296"/>
      <c r="CV26" s="296"/>
      <c r="CW26" s="297"/>
      <c r="CX26" s="296"/>
      <c r="CY26" s="296"/>
      <c r="CZ26" s="296"/>
      <c r="DA26" s="297"/>
      <c r="DB26" s="296"/>
      <c r="DC26" s="296"/>
      <c r="DD26" s="296"/>
      <c r="DE26" s="297"/>
      <c r="DF26" s="296"/>
      <c r="DG26" s="296"/>
      <c r="DH26" s="296"/>
      <c r="DI26" s="297"/>
      <c r="DJ26" s="298">
        <f>SUM(BZ26:DI26)</f>
        <v>0</v>
      </c>
      <c r="DK26" s="321"/>
      <c r="DL26" s="321"/>
      <c r="DM26" s="322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33"/>
      <c r="EA26" s="46"/>
      <c r="EB26" s="54"/>
      <c r="EC26" s="54"/>
      <c r="ED26" s="61"/>
      <c r="EE26" s="56"/>
      <c r="EF26" s="37"/>
      <c r="EG26" s="57"/>
      <c r="EH26" s="8"/>
      <c r="EI26" s="8"/>
      <c r="EJ26" s="71"/>
      <c r="EK26" s="70"/>
      <c r="EL26" s="8"/>
      <c r="EM26" s="63"/>
      <c r="EN26" s="5"/>
      <c r="EO26" s="63"/>
      <c r="EP26" s="5"/>
    </row>
    <row r="27" spans="2:151" ht="30" customHeight="1">
      <c r="B27" s="237"/>
      <c r="C27" s="238"/>
      <c r="D27" s="239"/>
      <c r="E27" s="240"/>
      <c r="F27" s="241"/>
      <c r="G27" s="242"/>
      <c r="H27" s="243"/>
      <c r="I27" s="243"/>
      <c r="J27" s="243"/>
      <c r="K27" s="243"/>
      <c r="L27" s="243"/>
      <c r="M27" s="243"/>
      <c r="N27" s="244"/>
      <c r="O27" s="245"/>
      <c r="P27" s="246"/>
      <c r="Q27" s="247"/>
      <c r="R27" s="248"/>
      <c r="S27" s="249"/>
      <c r="T27" s="250"/>
      <c r="U27" s="250"/>
      <c r="V27" s="250"/>
      <c r="W27" s="250"/>
      <c r="X27" s="251"/>
      <c r="Y27" s="287"/>
      <c r="Z27" s="250"/>
      <c r="AA27" s="250"/>
      <c r="AB27" s="250"/>
      <c r="AC27" s="250"/>
      <c r="AD27" s="250"/>
      <c r="AE27" s="251"/>
      <c r="AF27" s="290"/>
      <c r="AG27" s="291"/>
      <c r="AH27" s="290"/>
      <c r="AI27" s="291"/>
      <c r="AJ27" s="290"/>
      <c r="AK27" s="291"/>
      <c r="AL27" s="292"/>
      <c r="AM27" s="293"/>
      <c r="AN27" s="281"/>
      <c r="AO27" s="282"/>
      <c r="AP27" s="332"/>
      <c r="AQ27" s="330"/>
      <c r="AR27" s="330"/>
      <c r="AS27" s="331"/>
      <c r="AT27" s="319"/>
      <c r="AU27" s="320"/>
      <c r="AV27" s="281"/>
      <c r="AW27" s="282"/>
      <c r="AX27" s="332"/>
      <c r="AY27" s="330"/>
      <c r="AZ27" s="330"/>
      <c r="BA27" s="331"/>
      <c r="BB27" s="286"/>
      <c r="BC27" s="284"/>
      <c r="BD27" s="284"/>
      <c r="BE27" s="285"/>
      <c r="BF27" s="329"/>
      <c r="BG27" s="330"/>
      <c r="BH27" s="330"/>
      <c r="BI27" s="331"/>
      <c r="BJ27" s="308" t="str">
        <f t="shared" si="15"/>
        <v/>
      </c>
      <c r="BK27" s="309"/>
      <c r="BL27" s="310"/>
      <c r="BM27" s="311" t="str">
        <f t="shared" si="17"/>
        <v/>
      </c>
      <c r="BN27" s="312"/>
      <c r="BO27" s="312"/>
      <c r="BP27" s="60"/>
      <c r="BQ27" s="313"/>
      <c r="BR27" s="314"/>
      <c r="BS27" s="315"/>
      <c r="BT27" s="316"/>
      <c r="BU27" s="267"/>
      <c r="BV27" s="268"/>
      <c r="BW27" s="207"/>
      <c r="BX27" s="317"/>
      <c r="BY27" s="318"/>
      <c r="BZ27" s="301"/>
      <c r="CA27" s="296"/>
      <c r="CB27" s="296"/>
      <c r="CC27" s="297"/>
      <c r="CD27" s="304"/>
      <c r="CE27" s="296"/>
      <c r="CF27" s="296"/>
      <c r="CG27" s="297"/>
      <c r="CH27" s="296"/>
      <c r="CI27" s="296"/>
      <c r="CJ27" s="296"/>
      <c r="CK27" s="297"/>
      <c r="CL27" s="296"/>
      <c r="CM27" s="296"/>
      <c r="CN27" s="296"/>
      <c r="CO27" s="297"/>
      <c r="CP27" s="296"/>
      <c r="CQ27" s="296"/>
      <c r="CR27" s="296"/>
      <c r="CS27" s="297"/>
      <c r="CT27" s="296"/>
      <c r="CU27" s="296"/>
      <c r="CV27" s="296"/>
      <c r="CW27" s="297"/>
      <c r="CX27" s="296"/>
      <c r="CY27" s="296"/>
      <c r="CZ27" s="296"/>
      <c r="DA27" s="297"/>
      <c r="DB27" s="296"/>
      <c r="DC27" s="296"/>
      <c r="DD27" s="296"/>
      <c r="DE27" s="297"/>
      <c r="DF27" s="296"/>
      <c r="DG27" s="296"/>
      <c r="DH27" s="296"/>
      <c r="DI27" s="297"/>
      <c r="DJ27" s="298">
        <f>SUM(BZ27:DI27)</f>
        <v>0</v>
      </c>
      <c r="DK27" s="321"/>
      <c r="DL27" s="321"/>
      <c r="DM27" s="322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33"/>
      <c r="EA27" s="46"/>
      <c r="EB27" s="54"/>
      <c r="EC27" s="54"/>
      <c r="ED27" s="61"/>
      <c r="EE27" s="56"/>
      <c r="EF27" s="37"/>
      <c r="EG27" s="57"/>
      <c r="EH27" s="8"/>
      <c r="EI27" s="8"/>
      <c r="EJ27" s="71"/>
      <c r="EK27" s="70"/>
      <c r="EL27" s="8"/>
      <c r="EM27" s="63"/>
      <c r="EN27" s="5"/>
      <c r="EO27" s="4"/>
      <c r="EP27" s="5"/>
    </row>
    <row r="28" spans="2:151" ht="30" customHeight="1">
      <c r="B28" s="237"/>
      <c r="C28" s="238"/>
      <c r="D28" s="239"/>
      <c r="E28" s="240"/>
      <c r="F28" s="241"/>
      <c r="G28" s="242"/>
      <c r="H28" s="243"/>
      <c r="I28" s="243"/>
      <c r="J28" s="243"/>
      <c r="K28" s="243"/>
      <c r="L28" s="243"/>
      <c r="M28" s="243"/>
      <c r="N28" s="244"/>
      <c r="O28" s="245"/>
      <c r="P28" s="246"/>
      <c r="Q28" s="247"/>
      <c r="R28" s="248"/>
      <c r="S28" s="249"/>
      <c r="T28" s="250"/>
      <c r="U28" s="250"/>
      <c r="V28" s="250"/>
      <c r="W28" s="250"/>
      <c r="X28" s="251"/>
      <c r="Y28" s="287"/>
      <c r="Z28" s="250"/>
      <c r="AA28" s="250"/>
      <c r="AB28" s="250"/>
      <c r="AC28" s="250"/>
      <c r="AD28" s="250"/>
      <c r="AE28" s="251"/>
      <c r="AF28" s="290"/>
      <c r="AG28" s="291"/>
      <c r="AH28" s="290"/>
      <c r="AI28" s="291"/>
      <c r="AJ28" s="290"/>
      <c r="AK28" s="291"/>
      <c r="AL28" s="292"/>
      <c r="AM28" s="293"/>
      <c r="AN28" s="281"/>
      <c r="AO28" s="282"/>
      <c r="AP28" s="332"/>
      <c r="AQ28" s="330"/>
      <c r="AR28" s="330"/>
      <c r="AS28" s="331"/>
      <c r="AT28" s="319"/>
      <c r="AU28" s="320"/>
      <c r="AV28" s="281"/>
      <c r="AW28" s="282"/>
      <c r="AX28" s="332"/>
      <c r="AY28" s="330"/>
      <c r="AZ28" s="330"/>
      <c r="BA28" s="331"/>
      <c r="BB28" s="286"/>
      <c r="BC28" s="284"/>
      <c r="BD28" s="284"/>
      <c r="BE28" s="285"/>
      <c r="BF28" s="329"/>
      <c r="BG28" s="330"/>
      <c r="BH28" s="330"/>
      <c r="BI28" s="331"/>
      <c r="BJ28" s="308" t="str">
        <f t="shared" si="15"/>
        <v/>
      </c>
      <c r="BK28" s="309"/>
      <c r="BL28" s="310"/>
      <c r="BM28" s="311" t="str">
        <f t="shared" si="17"/>
        <v/>
      </c>
      <c r="BN28" s="312"/>
      <c r="BO28" s="312"/>
      <c r="BP28" s="60"/>
      <c r="BQ28" s="313"/>
      <c r="BR28" s="314"/>
      <c r="BS28" s="315"/>
      <c r="BT28" s="316"/>
      <c r="BU28" s="267"/>
      <c r="BV28" s="268"/>
      <c r="BW28" s="207"/>
      <c r="BX28" s="317"/>
      <c r="BY28" s="318"/>
      <c r="BZ28" s="301"/>
      <c r="CA28" s="296"/>
      <c r="CB28" s="296"/>
      <c r="CC28" s="297"/>
      <c r="CD28" s="304"/>
      <c r="CE28" s="296"/>
      <c r="CF28" s="296"/>
      <c r="CG28" s="297"/>
      <c r="CH28" s="296"/>
      <c r="CI28" s="296"/>
      <c r="CJ28" s="296"/>
      <c r="CK28" s="297"/>
      <c r="CL28" s="296"/>
      <c r="CM28" s="296"/>
      <c r="CN28" s="296"/>
      <c r="CO28" s="297"/>
      <c r="CP28" s="296"/>
      <c r="CQ28" s="296"/>
      <c r="CR28" s="296"/>
      <c r="CS28" s="297"/>
      <c r="CT28" s="296"/>
      <c r="CU28" s="296"/>
      <c r="CV28" s="296"/>
      <c r="CW28" s="297"/>
      <c r="CX28" s="296"/>
      <c r="CY28" s="296"/>
      <c r="CZ28" s="296"/>
      <c r="DA28" s="297"/>
      <c r="DB28" s="296"/>
      <c r="DC28" s="296"/>
      <c r="DD28" s="296"/>
      <c r="DE28" s="297"/>
      <c r="DF28" s="296"/>
      <c r="DG28" s="296"/>
      <c r="DH28" s="296"/>
      <c r="DI28" s="297"/>
      <c r="DJ28" s="298">
        <f>SUM(BZ28:DI28)</f>
        <v>0</v>
      </c>
      <c r="DK28" s="321"/>
      <c r="DL28" s="321"/>
      <c r="DM28" s="322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33"/>
      <c r="EA28" s="72"/>
      <c r="EB28" s="54"/>
      <c r="EC28" s="54"/>
      <c r="ED28" s="61"/>
      <c r="EE28" s="56"/>
      <c r="EF28" s="37"/>
      <c r="EG28" s="57"/>
      <c r="EI28" s="8"/>
      <c r="EJ28" s="4"/>
      <c r="EL28" s="4"/>
      <c r="EM28" s="4"/>
      <c r="EN28" s="5"/>
      <c r="EO28" s="4"/>
      <c r="EP28" s="5"/>
    </row>
    <row r="29" spans="2:151" ht="30" customHeight="1">
      <c r="B29" s="336" t="s">
        <v>38</v>
      </c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  <c r="V29" s="337"/>
      <c r="W29" s="337"/>
      <c r="X29" s="337"/>
      <c r="Y29" s="337"/>
      <c r="Z29" s="337"/>
      <c r="AA29" s="337"/>
      <c r="AB29" s="337"/>
      <c r="AC29" s="337"/>
      <c r="AD29" s="337"/>
      <c r="AE29" s="337"/>
      <c r="AF29" s="337"/>
      <c r="AG29" s="337"/>
      <c r="AH29" s="337"/>
      <c r="AI29" s="337"/>
      <c r="AJ29" s="337"/>
      <c r="AK29" s="337"/>
      <c r="AL29" s="337"/>
      <c r="AM29" s="337"/>
      <c r="AN29" s="337"/>
      <c r="AO29" s="337"/>
      <c r="AP29" s="337"/>
      <c r="AQ29" s="337"/>
      <c r="AR29" s="337"/>
      <c r="AS29" s="337"/>
      <c r="AT29" s="337"/>
      <c r="AU29" s="337"/>
      <c r="AV29" s="337"/>
      <c r="AW29" s="337"/>
      <c r="AX29" s="338"/>
      <c r="AY29" s="339"/>
      <c r="AZ29" s="339"/>
      <c r="BA29" s="340"/>
      <c r="BB29" s="338"/>
      <c r="BC29" s="339"/>
      <c r="BD29" s="339"/>
      <c r="BE29" s="340"/>
      <c r="BF29" s="338"/>
      <c r="BG29" s="339"/>
      <c r="BH29" s="339"/>
      <c r="BI29" s="340"/>
      <c r="BJ29" s="341">
        <f>SUM(BJ7:BL28)</f>
        <v>5</v>
      </c>
      <c r="BK29" s="342"/>
      <c r="BL29" s="342"/>
      <c r="BM29" s="341">
        <f>SUM(BM7:BO28)</f>
        <v>2.5000000000000004</v>
      </c>
      <c r="BN29" s="342"/>
      <c r="BO29" s="343"/>
      <c r="BP29" s="342">
        <f>SUM(BP7:BP28)</f>
        <v>0</v>
      </c>
      <c r="BQ29" s="342"/>
      <c r="BR29" s="359"/>
      <c r="BS29" s="360"/>
      <c r="BT29" s="361"/>
      <c r="BU29" s="362"/>
      <c r="BV29" s="363"/>
      <c r="BW29" s="364"/>
      <c r="BX29" s="365"/>
      <c r="BY29" s="366"/>
      <c r="BZ29" s="367">
        <f>SUM(BZ7:CC28)</f>
        <v>0</v>
      </c>
      <c r="CA29" s="368"/>
      <c r="CB29" s="368"/>
      <c r="CC29" s="369"/>
      <c r="CD29" s="298">
        <f>SUM(CD7:CG28)</f>
        <v>210000</v>
      </c>
      <c r="CE29" s="344"/>
      <c r="CF29" s="344"/>
      <c r="CG29" s="345"/>
      <c r="CH29" s="298">
        <f>SUM(CH7:CK28)</f>
        <v>0</v>
      </c>
      <c r="CI29" s="344"/>
      <c r="CJ29" s="344"/>
      <c r="CK29" s="345"/>
      <c r="CL29" s="298">
        <f>SUM(CL7:CO28)</f>
        <v>0</v>
      </c>
      <c r="CM29" s="344"/>
      <c r="CN29" s="344"/>
      <c r="CO29" s="345"/>
      <c r="CP29" s="298">
        <f>SUM(CP7:CS28)</f>
        <v>0</v>
      </c>
      <c r="CQ29" s="344"/>
      <c r="CR29" s="344"/>
      <c r="CS29" s="345"/>
      <c r="CT29" s="298">
        <f>SUM(CT7:CW28)</f>
        <v>0</v>
      </c>
      <c r="CU29" s="344"/>
      <c r="CV29" s="344"/>
      <c r="CW29" s="345"/>
      <c r="CX29" s="298">
        <f>SUM(CX7:DA28)</f>
        <v>0</v>
      </c>
      <c r="CY29" s="344"/>
      <c r="CZ29" s="344"/>
      <c r="DA29" s="345"/>
      <c r="DB29" s="298">
        <f>SUM(DB7:DE28)</f>
        <v>0</v>
      </c>
      <c r="DC29" s="344"/>
      <c r="DD29" s="344"/>
      <c r="DE29" s="345"/>
      <c r="DF29" s="298">
        <f>SUM(DF7:DI28)</f>
        <v>0</v>
      </c>
      <c r="DG29" s="344"/>
      <c r="DH29" s="344"/>
      <c r="DI29" s="345"/>
      <c r="DJ29" s="298">
        <f>SUM(DJ7:DM28)</f>
        <v>210000</v>
      </c>
      <c r="DK29" s="321"/>
      <c r="DL29" s="321"/>
      <c r="DM29" s="322"/>
      <c r="DN29" s="73" t="s">
        <v>82</v>
      </c>
      <c r="DO29" s="1" t="str">
        <f>IF(Q29="","",VLOOKUP(Q29,EN$7:EO$18,2,FALSE))</f>
        <v/>
      </c>
      <c r="DP29" s="1" t="str">
        <f>IF(AF29="","",VLOOKUP(AF29,EB$9:EC$28,2,FALSE))</f>
        <v/>
      </c>
      <c r="DQ29" s="1" t="str">
        <f>IF(AH29="","",VLOOKUP(AH29,EB$9:EC$28,2,FALSE))</f>
        <v/>
      </c>
      <c r="DR29" s="1" t="str">
        <f>IF(AJ29="","",VLOOKUP(AJ29,EH$9:EI$20,2,FALSE))</f>
        <v/>
      </c>
      <c r="DS29" s="1"/>
      <c r="DT29" s="1"/>
      <c r="DU29" s="1">
        <f>SUM(DU7:DU28)</f>
        <v>0</v>
      </c>
      <c r="DV29" s="1">
        <f>SUM(DV7:DV28)</f>
        <v>0</v>
      </c>
      <c r="DW29" s="1" t="str">
        <f>IF(DU29=0,"",TEXT(INT(DU29 / 60),"00")  &amp; ":" &amp; TEXT(DU29- INT(DU29 / 60)*60, "00"))</f>
        <v/>
      </c>
      <c r="DX29" s="1" t="str">
        <f>IF(DV29=0,"",TEXT(INT(DV29 / 60),"00")  &amp; ":" &amp; TEXT(DV29- INT(DV29 / 60)*60, "00"))</f>
        <v/>
      </c>
      <c r="DY29" s="1">
        <f>SUM(DY7:DY28)</f>
        <v>30</v>
      </c>
      <c r="DZ29" s="33"/>
      <c r="EA29" s="72"/>
      <c r="EB29" s="63"/>
      <c r="EC29" s="63"/>
      <c r="ED29" s="63"/>
      <c r="EJ29" s="4"/>
      <c r="EL29" s="4"/>
      <c r="EM29" s="4"/>
      <c r="EN29" s="5"/>
      <c r="EO29" s="4"/>
      <c r="EP29" s="5"/>
      <c r="EQ29" s="74"/>
      <c r="ER29" s="74"/>
      <c r="ES29" s="74"/>
      <c r="ET29" s="346"/>
      <c r="EU29" s="346"/>
    </row>
    <row r="30" spans="2:151" ht="12" customHeight="1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7"/>
      <c r="DE30" s="77"/>
      <c r="DF30" s="77"/>
      <c r="DG30" s="77"/>
      <c r="DH30" s="77"/>
      <c r="DI30" s="77"/>
      <c r="DP30" s="33"/>
      <c r="DQ30" s="63"/>
      <c r="DR30" s="63"/>
      <c r="DS30" s="63"/>
      <c r="DT30" s="63"/>
      <c r="DU30" s="63"/>
      <c r="DV30" s="63"/>
      <c r="DW30" s="1" t="str">
        <f>TEXT(INT((DU29+DV29) / 60),"00")  &amp; ":" &amp; TEXT((DU29+DV29)- INT((DU29+DV29) / 60)*60, "00")</f>
        <v>00:00</v>
      </c>
      <c r="DX30" s="1" t="str">
        <f>TEXT(INT(DY29 / 60),"00")  &amp; ":" &amp; TEXT(DY29- INT(DY29 / 60)*60, "00")</f>
        <v>00:30</v>
      </c>
      <c r="DY30" s="63"/>
      <c r="DZ30" s="63"/>
      <c r="EB30" s="63"/>
      <c r="EC30" s="63"/>
      <c r="ED30" s="63"/>
      <c r="EJ30" s="4"/>
      <c r="EL30" s="4"/>
      <c r="EM30" s="4"/>
      <c r="EN30" s="78"/>
      <c r="EO30" s="78"/>
      <c r="EP30" s="78"/>
      <c r="EQ30" s="78"/>
    </row>
    <row r="31" spans="2:151" ht="33" customHeight="1">
      <c r="B31" s="347" t="s">
        <v>83</v>
      </c>
      <c r="C31" s="348"/>
      <c r="D31" s="353" t="s">
        <v>15</v>
      </c>
      <c r="E31" s="354"/>
      <c r="F31" s="354"/>
      <c r="G31" s="354"/>
      <c r="H31" s="354"/>
      <c r="I31" s="354"/>
      <c r="J31" s="354"/>
      <c r="K31" s="355"/>
      <c r="L31" s="356" t="s">
        <v>16</v>
      </c>
      <c r="M31" s="357"/>
      <c r="N31" s="173" t="s">
        <v>84</v>
      </c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5"/>
      <c r="AD31" s="173" t="s">
        <v>85</v>
      </c>
      <c r="AE31" s="174"/>
      <c r="AF31" s="174"/>
      <c r="AG31" s="174"/>
      <c r="AH31" s="175"/>
      <c r="AI31" s="79"/>
      <c r="AJ31" s="166" t="s">
        <v>86</v>
      </c>
      <c r="AK31" s="166"/>
      <c r="AL31" s="166"/>
      <c r="AM31" s="166"/>
      <c r="AN31" s="166"/>
      <c r="AO31" s="166"/>
      <c r="AP31" s="166"/>
      <c r="AQ31" s="166"/>
      <c r="AR31" s="166"/>
      <c r="AS31" s="166"/>
      <c r="AT31" s="358" t="s">
        <v>87</v>
      </c>
      <c r="AU31" s="358"/>
      <c r="AV31" s="358"/>
      <c r="AW31" s="370" t="s">
        <v>88</v>
      </c>
      <c r="AX31" s="370"/>
      <c r="AY31" s="370"/>
      <c r="AZ31" s="370"/>
      <c r="BA31" s="370"/>
      <c r="BB31" s="370"/>
      <c r="BC31" s="370"/>
      <c r="BD31" s="370"/>
      <c r="BE31" s="370"/>
      <c r="BF31" s="370"/>
      <c r="BG31" s="14"/>
      <c r="BH31" s="166" t="s">
        <v>86</v>
      </c>
      <c r="BI31" s="166"/>
      <c r="BJ31" s="166"/>
      <c r="BK31" s="166"/>
      <c r="BL31" s="166"/>
      <c r="BM31" s="166"/>
      <c r="BN31" s="166"/>
      <c r="BO31" s="166"/>
      <c r="BP31" s="166"/>
      <c r="BQ31" s="166"/>
      <c r="BR31" s="358" t="s">
        <v>87</v>
      </c>
      <c r="BS31" s="358"/>
      <c r="BT31" s="358"/>
      <c r="BU31" s="370" t="s">
        <v>88</v>
      </c>
      <c r="BV31" s="370"/>
      <c r="BW31" s="14"/>
      <c r="BX31" s="371" t="s">
        <v>89</v>
      </c>
      <c r="BY31" s="372"/>
      <c r="BZ31" s="372"/>
      <c r="CA31" s="372"/>
      <c r="CB31" s="372"/>
      <c r="CC31" s="372"/>
      <c r="CD31" s="372"/>
      <c r="CE31" s="372"/>
      <c r="CF31" s="372"/>
      <c r="CG31" s="372"/>
      <c r="CH31" s="372"/>
      <c r="CI31" s="372"/>
      <c r="CJ31" s="372"/>
      <c r="CK31" s="372"/>
      <c r="CL31" s="372"/>
      <c r="CM31" s="372"/>
      <c r="CN31" s="372"/>
      <c r="CO31" s="372"/>
      <c r="CP31" s="372"/>
      <c r="CQ31" s="372"/>
      <c r="CR31" s="372"/>
      <c r="CS31" s="372"/>
      <c r="CT31" s="372"/>
      <c r="CU31" s="372"/>
      <c r="CV31" s="372"/>
      <c r="CW31" s="372"/>
      <c r="CX31" s="372"/>
      <c r="CY31" s="372"/>
      <c r="CZ31" s="372"/>
      <c r="DA31" s="372"/>
      <c r="DB31" s="372"/>
      <c r="DC31" s="372"/>
      <c r="DD31" s="372"/>
      <c r="DE31" s="372"/>
      <c r="DF31" s="372"/>
      <c r="DG31" s="372"/>
      <c r="DH31" s="372"/>
      <c r="DI31" s="372"/>
      <c r="DJ31" s="372"/>
      <c r="DK31" s="372"/>
      <c r="DL31" s="372"/>
      <c r="DM31" s="373"/>
      <c r="DP31" s="8"/>
      <c r="DQ31" s="80"/>
      <c r="DR31" s="63"/>
      <c r="DS31" s="80"/>
      <c r="DT31" s="80"/>
      <c r="DU31" s="80"/>
      <c r="DV31" s="80"/>
      <c r="DW31" s="80"/>
      <c r="DX31" s="80"/>
      <c r="DY31" s="80"/>
      <c r="DZ31" s="63"/>
      <c r="EN31" s="78"/>
      <c r="EO31" s="78"/>
      <c r="EP31" s="78"/>
      <c r="EQ31" s="78"/>
    </row>
    <row r="32" spans="2:151" ht="30" customHeight="1">
      <c r="B32" s="349"/>
      <c r="C32" s="350"/>
      <c r="D32" s="242"/>
      <c r="E32" s="243"/>
      <c r="F32" s="243"/>
      <c r="G32" s="243"/>
      <c r="H32" s="243"/>
      <c r="I32" s="243"/>
      <c r="J32" s="243"/>
      <c r="K32" s="244"/>
      <c r="L32" s="245"/>
      <c r="M32" s="374"/>
      <c r="N32" s="375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7"/>
      <c r="AD32" s="378"/>
      <c r="AE32" s="379"/>
      <c r="AF32" s="379"/>
      <c r="AG32" s="379"/>
      <c r="AH32" s="380"/>
      <c r="AI32" s="79"/>
      <c r="AJ32" s="370"/>
      <c r="AK32" s="370"/>
      <c r="AL32" s="370"/>
      <c r="AM32" s="370"/>
      <c r="AN32" s="166" t="str">
        <f>IF(EF9&gt;0,"@"&amp;EE9&amp;"×"&amp;EF9&amp;"日分","")</f>
        <v/>
      </c>
      <c r="AO32" s="166"/>
      <c r="AP32" s="166"/>
      <c r="AQ32" s="166"/>
      <c r="AR32" s="166"/>
      <c r="AS32" s="166"/>
      <c r="AT32" s="387" t="str">
        <f>IF(EG9&gt;0,EG9,"")</f>
        <v/>
      </c>
      <c r="AU32" s="387"/>
      <c r="AV32" s="387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4"/>
      <c r="BH32" s="173"/>
      <c r="BI32" s="174"/>
      <c r="BJ32" s="174"/>
      <c r="BK32" s="175"/>
      <c r="BL32" s="166" t="str">
        <f>IF(EF26&gt;0,"@"&amp;EE26&amp;"×"&amp;EF26&amp;"日分","")</f>
        <v/>
      </c>
      <c r="BM32" s="166"/>
      <c r="BN32" s="166"/>
      <c r="BO32" s="166"/>
      <c r="BP32" s="166"/>
      <c r="BQ32" s="166"/>
      <c r="BR32" s="387" t="str">
        <f>IF(EG26&gt;0,EG26,"")</f>
        <v/>
      </c>
      <c r="BS32" s="387"/>
      <c r="BT32" s="387"/>
      <c r="BU32" s="179"/>
      <c r="BV32" s="179"/>
      <c r="BW32" s="81"/>
      <c r="BX32" s="381"/>
      <c r="BY32" s="382"/>
      <c r="BZ32" s="382"/>
      <c r="CA32" s="382"/>
      <c r="CB32" s="382"/>
      <c r="CC32" s="382"/>
      <c r="CD32" s="382"/>
      <c r="CE32" s="382"/>
      <c r="CF32" s="382"/>
      <c r="CG32" s="382"/>
      <c r="CH32" s="382"/>
      <c r="CI32" s="382"/>
      <c r="CJ32" s="382"/>
      <c r="CK32" s="382"/>
      <c r="CL32" s="382"/>
      <c r="CM32" s="382"/>
      <c r="CN32" s="382"/>
      <c r="CO32" s="382"/>
      <c r="CP32" s="382"/>
      <c r="CQ32" s="382"/>
      <c r="CR32" s="382"/>
      <c r="CS32" s="382"/>
      <c r="CT32" s="382"/>
      <c r="CU32" s="382"/>
      <c r="CV32" s="382"/>
      <c r="CW32" s="382"/>
      <c r="CX32" s="382"/>
      <c r="CY32" s="382"/>
      <c r="CZ32" s="382"/>
      <c r="DA32" s="382"/>
      <c r="DB32" s="382"/>
      <c r="DC32" s="382"/>
      <c r="DD32" s="382"/>
      <c r="DE32" s="382"/>
      <c r="DF32" s="382"/>
      <c r="DG32" s="382"/>
      <c r="DH32" s="382"/>
      <c r="DI32" s="382"/>
      <c r="DJ32" s="382"/>
      <c r="DK32" s="382"/>
      <c r="DL32" s="382"/>
      <c r="DM32" s="383"/>
      <c r="DP32" s="82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4"/>
      <c r="EN32" s="78"/>
      <c r="EO32" s="78"/>
      <c r="EP32" s="78"/>
      <c r="EQ32" s="78"/>
    </row>
    <row r="33" spans="1:149" ht="30" customHeight="1">
      <c r="B33" s="349"/>
      <c r="C33" s="350"/>
      <c r="D33" s="242"/>
      <c r="E33" s="243"/>
      <c r="F33" s="243"/>
      <c r="G33" s="243"/>
      <c r="H33" s="243"/>
      <c r="I33" s="243"/>
      <c r="J33" s="243"/>
      <c r="K33" s="244"/>
      <c r="L33" s="245"/>
      <c r="M33" s="374"/>
      <c r="N33" s="375"/>
      <c r="O33" s="376"/>
      <c r="P33" s="376"/>
      <c r="Q33" s="376"/>
      <c r="R33" s="376"/>
      <c r="S33" s="376"/>
      <c r="T33" s="376"/>
      <c r="U33" s="376"/>
      <c r="V33" s="376"/>
      <c r="W33" s="376"/>
      <c r="X33" s="376"/>
      <c r="Y33" s="376"/>
      <c r="Z33" s="376"/>
      <c r="AA33" s="376"/>
      <c r="AB33" s="376"/>
      <c r="AC33" s="377"/>
      <c r="AD33" s="378"/>
      <c r="AE33" s="379"/>
      <c r="AF33" s="379"/>
      <c r="AG33" s="379"/>
      <c r="AH33" s="380"/>
      <c r="AI33" s="79"/>
      <c r="AJ33" s="370"/>
      <c r="AK33" s="370"/>
      <c r="AL33" s="370"/>
      <c r="AM33" s="370"/>
      <c r="AN33" s="166" t="str">
        <f>IF(EF16&gt;0,"@"&amp;EE16&amp;"×"&amp;EF16&amp;"日分","")</f>
        <v/>
      </c>
      <c r="AO33" s="166"/>
      <c r="AP33" s="166"/>
      <c r="AQ33" s="166"/>
      <c r="AR33" s="166"/>
      <c r="AS33" s="166"/>
      <c r="AT33" s="387" t="str">
        <f>IF(EG16&gt;0,EG16,"")</f>
        <v/>
      </c>
      <c r="AU33" s="387"/>
      <c r="AV33" s="387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4"/>
      <c r="BH33" s="173"/>
      <c r="BI33" s="174"/>
      <c r="BJ33" s="174"/>
      <c r="BK33" s="175"/>
      <c r="BL33" s="166" t="str">
        <f>IF(EF27&gt;0,"@"&amp;EE27&amp;"×"&amp;EF27&amp;"日分","")</f>
        <v/>
      </c>
      <c r="BM33" s="166"/>
      <c r="BN33" s="166"/>
      <c r="BO33" s="166"/>
      <c r="BP33" s="166"/>
      <c r="BQ33" s="166"/>
      <c r="BR33" s="387" t="str">
        <f>IF(EG27&gt;0,EG27,"")</f>
        <v/>
      </c>
      <c r="BS33" s="387"/>
      <c r="BT33" s="387"/>
      <c r="BU33" s="179"/>
      <c r="BV33" s="179"/>
      <c r="BW33" s="81"/>
      <c r="BX33" s="384"/>
      <c r="BY33" s="385"/>
      <c r="BZ33" s="385"/>
      <c r="CA33" s="385"/>
      <c r="CB33" s="385"/>
      <c r="CC33" s="385"/>
      <c r="CD33" s="385"/>
      <c r="CE33" s="385"/>
      <c r="CF33" s="385"/>
      <c r="CG33" s="385"/>
      <c r="CH33" s="385"/>
      <c r="CI33" s="385"/>
      <c r="CJ33" s="385"/>
      <c r="CK33" s="385"/>
      <c r="CL33" s="385"/>
      <c r="CM33" s="385"/>
      <c r="CN33" s="385"/>
      <c r="CO33" s="385"/>
      <c r="CP33" s="385"/>
      <c r="CQ33" s="385"/>
      <c r="CR33" s="385"/>
      <c r="CS33" s="385"/>
      <c r="CT33" s="385"/>
      <c r="CU33" s="385"/>
      <c r="CV33" s="385"/>
      <c r="CW33" s="385"/>
      <c r="CX33" s="385"/>
      <c r="CY33" s="385"/>
      <c r="CZ33" s="385"/>
      <c r="DA33" s="385"/>
      <c r="DB33" s="385"/>
      <c r="DC33" s="385"/>
      <c r="DD33" s="385"/>
      <c r="DE33" s="385"/>
      <c r="DF33" s="385"/>
      <c r="DG33" s="385"/>
      <c r="DH33" s="385"/>
      <c r="DI33" s="385"/>
      <c r="DJ33" s="385"/>
      <c r="DK33" s="385"/>
      <c r="DL33" s="385"/>
      <c r="DM33" s="386"/>
      <c r="DP33" s="82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N33" s="78"/>
      <c r="EO33" s="78"/>
      <c r="EP33" s="78"/>
      <c r="EQ33" s="78"/>
    </row>
    <row r="34" spans="1:149" ht="30" customHeight="1" thickBot="1">
      <c r="B34" s="349"/>
      <c r="C34" s="350"/>
      <c r="D34" s="242"/>
      <c r="E34" s="243"/>
      <c r="F34" s="243"/>
      <c r="G34" s="243"/>
      <c r="H34" s="243"/>
      <c r="I34" s="243"/>
      <c r="J34" s="243"/>
      <c r="K34" s="244"/>
      <c r="L34" s="245"/>
      <c r="M34" s="374"/>
      <c r="N34" s="375"/>
      <c r="O34" s="376"/>
      <c r="P34" s="376"/>
      <c r="Q34" s="376"/>
      <c r="R34" s="376"/>
      <c r="S34" s="376"/>
      <c r="T34" s="376"/>
      <c r="U34" s="376"/>
      <c r="V34" s="376"/>
      <c r="W34" s="376"/>
      <c r="X34" s="376"/>
      <c r="Y34" s="376"/>
      <c r="Z34" s="376"/>
      <c r="AA34" s="376"/>
      <c r="AB34" s="376"/>
      <c r="AC34" s="377"/>
      <c r="AD34" s="378"/>
      <c r="AE34" s="379"/>
      <c r="AF34" s="379"/>
      <c r="AG34" s="379"/>
      <c r="AH34" s="380"/>
      <c r="AI34" s="79"/>
      <c r="AJ34" s="370"/>
      <c r="AK34" s="370"/>
      <c r="AL34" s="370"/>
      <c r="AM34" s="370"/>
      <c r="AN34" s="166" t="str">
        <f>IF(EF17&gt;0,"@"&amp;EE17&amp;"×"&amp;EF17&amp;"日分","")</f>
        <v/>
      </c>
      <c r="AO34" s="166"/>
      <c r="AP34" s="166"/>
      <c r="AQ34" s="166"/>
      <c r="AR34" s="166"/>
      <c r="AS34" s="166"/>
      <c r="AT34" s="387" t="str">
        <f>IF(EG17&gt;0,EG17,"")</f>
        <v/>
      </c>
      <c r="AU34" s="387"/>
      <c r="AV34" s="387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4"/>
      <c r="BH34" s="388"/>
      <c r="BI34" s="389"/>
      <c r="BJ34" s="389"/>
      <c r="BK34" s="390"/>
      <c r="BL34" s="166" t="str">
        <f>IF(EF28&gt;0,"@"&amp;EE28&amp;"×"&amp;EF28&amp;"日分","")</f>
        <v/>
      </c>
      <c r="BM34" s="166"/>
      <c r="BN34" s="166"/>
      <c r="BO34" s="166"/>
      <c r="BP34" s="166"/>
      <c r="BQ34" s="166"/>
      <c r="BR34" s="387" t="str">
        <f>IF(EG28&gt;0,EG28,"")</f>
        <v/>
      </c>
      <c r="BS34" s="387"/>
      <c r="BT34" s="387"/>
      <c r="BU34" s="179"/>
      <c r="BV34" s="179"/>
      <c r="BW34" s="81"/>
      <c r="BX34" s="86"/>
      <c r="BY34" s="86"/>
      <c r="BZ34" s="86"/>
      <c r="CA34" s="86"/>
      <c r="CB34" s="86"/>
      <c r="CC34" s="86"/>
      <c r="CD34" s="86"/>
      <c r="CE34" s="87"/>
      <c r="CF34" s="88"/>
      <c r="CG34" s="88"/>
      <c r="CH34" s="88"/>
      <c r="CI34" s="88"/>
      <c r="CJ34" s="88"/>
      <c r="CK34" s="88"/>
      <c r="CL34" s="14"/>
      <c r="CM34" s="14"/>
      <c r="CN34" s="14"/>
      <c r="CO34" s="14"/>
      <c r="CP34" s="14"/>
      <c r="CQ34" s="14"/>
      <c r="CR34" s="89"/>
      <c r="CS34" s="89"/>
      <c r="CT34" s="89"/>
      <c r="CU34" s="89"/>
      <c r="CV34" s="89"/>
      <c r="CW34" s="89"/>
      <c r="CX34" s="14"/>
      <c r="CY34" s="14"/>
      <c r="CZ34" s="14"/>
      <c r="DA34" s="14"/>
      <c r="DB34" s="14"/>
      <c r="DC34" s="14"/>
      <c r="DD34" s="89"/>
      <c r="DE34" s="89"/>
      <c r="DF34" s="89"/>
      <c r="DG34" s="89"/>
      <c r="DH34" s="89"/>
      <c r="DI34" s="89"/>
      <c r="DP34" s="82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N34" s="78"/>
      <c r="EO34" s="78"/>
      <c r="EP34" s="78"/>
      <c r="EQ34" s="78"/>
    </row>
    <row r="35" spans="1:149" ht="30" customHeight="1" thickBot="1">
      <c r="B35" s="349"/>
      <c r="C35" s="350"/>
      <c r="D35" s="242"/>
      <c r="E35" s="243"/>
      <c r="F35" s="243"/>
      <c r="G35" s="243"/>
      <c r="H35" s="243"/>
      <c r="I35" s="243"/>
      <c r="J35" s="243"/>
      <c r="K35" s="244"/>
      <c r="L35" s="245"/>
      <c r="M35" s="374"/>
      <c r="N35" s="375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76"/>
      <c r="AA35" s="376"/>
      <c r="AB35" s="376"/>
      <c r="AC35" s="377"/>
      <c r="AD35" s="378"/>
      <c r="AE35" s="379"/>
      <c r="AF35" s="379"/>
      <c r="AG35" s="379"/>
      <c r="AH35" s="380"/>
      <c r="AI35" s="79"/>
      <c r="AJ35" s="370"/>
      <c r="AK35" s="370"/>
      <c r="AL35" s="370"/>
      <c r="AM35" s="370"/>
      <c r="AN35" s="166" t="str">
        <f>IF(EF18&gt;0,"@"&amp;EE18&amp;"×"&amp;EF18&amp;"日分","")</f>
        <v/>
      </c>
      <c r="AO35" s="166"/>
      <c r="AP35" s="166"/>
      <c r="AQ35" s="166"/>
      <c r="AR35" s="166"/>
      <c r="AS35" s="166"/>
      <c r="AT35" s="387" t="str">
        <f>IF(EG18&gt;0,EG18,"")</f>
        <v/>
      </c>
      <c r="AU35" s="387"/>
      <c r="AV35" s="387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4"/>
      <c r="BH35" s="388"/>
      <c r="BI35" s="389"/>
      <c r="BJ35" s="389"/>
      <c r="BK35" s="390"/>
      <c r="BL35" s="166" t="str">
        <f>IF(EL9&gt;0,"@"&amp;EK9&amp;"×"&amp;EL9&amp;"日分","")</f>
        <v/>
      </c>
      <c r="BM35" s="166"/>
      <c r="BN35" s="166"/>
      <c r="BO35" s="166"/>
      <c r="BP35" s="166"/>
      <c r="BQ35" s="166"/>
      <c r="BR35" s="387" t="str">
        <f>IF(EM9&gt;0,EM9,"")</f>
        <v/>
      </c>
      <c r="BS35" s="387"/>
      <c r="BT35" s="387"/>
      <c r="BU35" s="179"/>
      <c r="BV35" s="179"/>
      <c r="BW35" s="81"/>
      <c r="BX35" s="90"/>
      <c r="BY35" s="91"/>
      <c r="BZ35" s="391" t="s">
        <v>90</v>
      </c>
      <c r="CA35" s="391"/>
      <c r="CB35" s="391"/>
      <c r="CC35" s="391"/>
      <c r="CD35" s="391"/>
      <c r="CE35" s="92"/>
      <c r="CF35" s="93"/>
      <c r="CG35" s="93"/>
      <c r="CH35" s="392" t="s">
        <v>91</v>
      </c>
      <c r="CI35" s="392"/>
      <c r="CJ35" s="392"/>
      <c r="CK35" s="392"/>
      <c r="CL35" s="392"/>
      <c r="CM35" s="392"/>
      <c r="CN35" s="392"/>
      <c r="CO35" s="93"/>
      <c r="CP35" s="392" t="s">
        <v>92</v>
      </c>
      <c r="CQ35" s="392"/>
      <c r="CR35" s="392"/>
      <c r="CS35" s="392"/>
      <c r="CT35" s="392"/>
      <c r="CU35" s="392"/>
      <c r="CV35" s="94"/>
      <c r="CW35" s="95"/>
      <c r="CX35" s="96"/>
      <c r="CY35" s="96"/>
      <c r="CZ35" s="96"/>
      <c r="DA35" s="393" t="s">
        <v>93</v>
      </c>
      <c r="DB35" s="394"/>
      <c r="DC35" s="394"/>
      <c r="DD35" s="394"/>
      <c r="DE35" s="394"/>
      <c r="DF35" s="394"/>
      <c r="DG35" s="394"/>
      <c r="DH35" s="394"/>
      <c r="DI35" s="394"/>
      <c r="DJ35" s="394"/>
      <c r="DK35" s="394"/>
      <c r="DL35" s="394"/>
      <c r="DM35" s="395"/>
      <c r="DP35" s="82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N35" s="78"/>
      <c r="EO35" s="78"/>
      <c r="EP35" s="78"/>
      <c r="EQ35" s="78"/>
    </row>
    <row r="36" spans="1:149" ht="30" customHeight="1">
      <c r="B36" s="349"/>
      <c r="C36" s="350"/>
      <c r="D36" s="242"/>
      <c r="E36" s="243"/>
      <c r="F36" s="243"/>
      <c r="G36" s="243"/>
      <c r="H36" s="243"/>
      <c r="I36" s="243"/>
      <c r="J36" s="243"/>
      <c r="K36" s="244"/>
      <c r="L36" s="245"/>
      <c r="M36" s="374"/>
      <c r="N36" s="375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376"/>
      <c r="AA36" s="376"/>
      <c r="AB36" s="376"/>
      <c r="AC36" s="377"/>
      <c r="AD36" s="378"/>
      <c r="AE36" s="379"/>
      <c r="AF36" s="379"/>
      <c r="AG36" s="379"/>
      <c r="AH36" s="380"/>
      <c r="AI36" s="79"/>
      <c r="AJ36" s="396"/>
      <c r="AK36" s="397"/>
      <c r="AL36" s="397"/>
      <c r="AM36" s="397"/>
      <c r="AN36" s="166" t="str">
        <f t="shared" ref="AN36:AN41" si="18">IF(EF20&gt;0,"@"&amp;EE20&amp;"×"&amp;EF20&amp;"日分","")</f>
        <v/>
      </c>
      <c r="AO36" s="166"/>
      <c r="AP36" s="166"/>
      <c r="AQ36" s="166"/>
      <c r="AR36" s="166"/>
      <c r="AS36" s="166"/>
      <c r="AT36" s="387" t="str">
        <f t="shared" ref="AT36:AT41" si="19">IF(EG20&gt;0,EG20,"")</f>
        <v/>
      </c>
      <c r="AU36" s="387"/>
      <c r="AV36" s="387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4"/>
      <c r="BH36" s="388"/>
      <c r="BI36" s="389"/>
      <c r="BJ36" s="389"/>
      <c r="BK36" s="390"/>
      <c r="BL36" s="166" t="str">
        <f>IF(EL16&gt;0,"@"&amp;EK16&amp;"×"&amp;EL16&amp;"日分","")</f>
        <v/>
      </c>
      <c r="BM36" s="166"/>
      <c r="BN36" s="166"/>
      <c r="BO36" s="166"/>
      <c r="BP36" s="166"/>
      <c r="BQ36" s="166"/>
      <c r="BR36" s="387" t="str">
        <f>IF(EM16&gt;0,EM16,"")</f>
        <v/>
      </c>
      <c r="BS36" s="387"/>
      <c r="BT36" s="387"/>
      <c r="BU36" s="179"/>
      <c r="BV36" s="179"/>
      <c r="BW36" s="97"/>
      <c r="BX36" s="98"/>
      <c r="BY36" s="99"/>
      <c r="BZ36" s="99"/>
      <c r="CA36" s="99"/>
      <c r="CB36" s="79"/>
      <c r="CC36" s="79"/>
      <c r="CD36" s="79"/>
      <c r="CE36" s="87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89"/>
      <c r="CT36" s="89"/>
      <c r="CU36" s="89"/>
      <c r="CV36" s="89"/>
      <c r="CW36" s="101"/>
      <c r="CX36" s="100"/>
      <c r="CY36" s="100"/>
      <c r="CZ36" s="100"/>
      <c r="DA36" s="398">
        <f>DJ29+AD41</f>
        <v>210000</v>
      </c>
      <c r="DB36" s="399"/>
      <c r="DC36" s="399"/>
      <c r="DD36" s="399"/>
      <c r="DE36" s="399"/>
      <c r="DF36" s="399"/>
      <c r="DG36" s="399"/>
      <c r="DH36" s="399"/>
      <c r="DI36" s="399"/>
      <c r="DJ36" s="399"/>
      <c r="DK36" s="399"/>
      <c r="DL36" s="399"/>
      <c r="DM36" s="400"/>
      <c r="DP36" s="8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N36" s="78"/>
      <c r="EO36" s="78"/>
      <c r="EP36" s="78"/>
      <c r="EQ36" s="78"/>
    </row>
    <row r="37" spans="1:149" ht="30" customHeight="1" thickBot="1">
      <c r="B37" s="349"/>
      <c r="C37" s="350"/>
      <c r="D37" s="242"/>
      <c r="E37" s="243"/>
      <c r="F37" s="243"/>
      <c r="G37" s="243"/>
      <c r="H37" s="243"/>
      <c r="I37" s="243"/>
      <c r="J37" s="243"/>
      <c r="K37" s="244"/>
      <c r="L37" s="245"/>
      <c r="M37" s="374"/>
      <c r="N37" s="375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7"/>
      <c r="AD37" s="378"/>
      <c r="AE37" s="379"/>
      <c r="AF37" s="379"/>
      <c r="AG37" s="379"/>
      <c r="AH37" s="380"/>
      <c r="AI37" s="79"/>
      <c r="AJ37" s="370"/>
      <c r="AK37" s="370"/>
      <c r="AL37" s="370"/>
      <c r="AM37" s="370"/>
      <c r="AN37" s="166" t="str">
        <f t="shared" si="18"/>
        <v/>
      </c>
      <c r="AO37" s="166"/>
      <c r="AP37" s="166"/>
      <c r="AQ37" s="166"/>
      <c r="AR37" s="166"/>
      <c r="AS37" s="166"/>
      <c r="AT37" s="387" t="str">
        <f t="shared" si="19"/>
        <v/>
      </c>
      <c r="AU37" s="387"/>
      <c r="AV37" s="387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4"/>
      <c r="BH37" s="388"/>
      <c r="BI37" s="389"/>
      <c r="BJ37" s="389"/>
      <c r="BK37" s="390"/>
      <c r="BL37" s="166" t="str">
        <f>IF(EL17&gt;0,"@"&amp;EK17&amp;"×"&amp;EL17&amp;"日分","")</f>
        <v/>
      </c>
      <c r="BM37" s="166"/>
      <c r="BN37" s="166"/>
      <c r="BO37" s="166"/>
      <c r="BP37" s="166"/>
      <c r="BQ37" s="166"/>
      <c r="BR37" s="387" t="str">
        <f>IF(EM17&gt;0,EM17,"")</f>
        <v/>
      </c>
      <c r="BS37" s="387"/>
      <c r="BT37" s="387"/>
      <c r="BU37" s="179"/>
      <c r="BV37" s="179"/>
      <c r="BW37" s="97"/>
      <c r="BX37" s="103"/>
      <c r="BY37" s="104"/>
      <c r="BZ37" s="104"/>
      <c r="CA37" s="104"/>
      <c r="CB37" s="10"/>
      <c r="CC37" s="10"/>
      <c r="CD37" s="10"/>
      <c r="CE37" s="105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7"/>
      <c r="CT37" s="107"/>
      <c r="CU37" s="107"/>
      <c r="CV37" s="107"/>
      <c r="CW37" s="108"/>
      <c r="CX37" s="100"/>
      <c r="CY37" s="100"/>
      <c r="CZ37" s="100"/>
      <c r="DA37" s="401"/>
      <c r="DB37" s="402"/>
      <c r="DC37" s="402"/>
      <c r="DD37" s="402"/>
      <c r="DE37" s="402"/>
      <c r="DF37" s="402"/>
      <c r="DG37" s="402"/>
      <c r="DH37" s="402"/>
      <c r="DI37" s="402"/>
      <c r="DJ37" s="402"/>
      <c r="DK37" s="402"/>
      <c r="DL37" s="402"/>
      <c r="DM37" s="403"/>
      <c r="DP37" s="82"/>
      <c r="DQ37" s="85" t="s">
        <v>94</v>
      </c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N37" s="78"/>
      <c r="EO37" s="78"/>
      <c r="EP37" s="78"/>
      <c r="EQ37" s="78"/>
    </row>
    <row r="38" spans="1:149" ht="30" hidden="1" customHeight="1">
      <c r="B38" s="349"/>
      <c r="C38" s="350"/>
      <c r="D38" s="242"/>
      <c r="E38" s="243"/>
      <c r="F38" s="243"/>
      <c r="G38" s="243"/>
      <c r="H38" s="243"/>
      <c r="I38" s="243"/>
      <c r="J38" s="243"/>
      <c r="K38" s="244"/>
      <c r="L38" s="245"/>
      <c r="M38" s="374"/>
      <c r="N38" s="375"/>
      <c r="O38" s="376"/>
      <c r="P38" s="376"/>
      <c r="Q38" s="376"/>
      <c r="R38" s="376"/>
      <c r="S38" s="376"/>
      <c r="T38" s="376"/>
      <c r="U38" s="376"/>
      <c r="V38" s="376"/>
      <c r="W38" s="376"/>
      <c r="X38" s="376"/>
      <c r="Y38" s="376"/>
      <c r="Z38" s="376"/>
      <c r="AA38" s="376"/>
      <c r="AB38" s="376"/>
      <c r="AC38" s="377"/>
      <c r="AD38" s="378"/>
      <c r="AE38" s="379"/>
      <c r="AF38" s="379"/>
      <c r="AG38" s="379"/>
      <c r="AH38" s="380"/>
      <c r="AI38" s="79"/>
      <c r="AJ38" s="404"/>
      <c r="AK38" s="370"/>
      <c r="AL38" s="370"/>
      <c r="AM38" s="370"/>
      <c r="AN38" s="166" t="str">
        <f t="shared" si="18"/>
        <v/>
      </c>
      <c r="AO38" s="166"/>
      <c r="AP38" s="166"/>
      <c r="AQ38" s="166"/>
      <c r="AR38" s="166"/>
      <c r="AS38" s="166"/>
      <c r="AT38" s="387" t="str">
        <f t="shared" si="19"/>
        <v/>
      </c>
      <c r="AU38" s="387"/>
      <c r="AV38" s="387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4"/>
      <c r="BH38" s="405"/>
      <c r="BI38" s="406"/>
      <c r="BJ38" s="406"/>
      <c r="BK38" s="407"/>
      <c r="BL38" s="166" t="str">
        <f>IF(EL18&gt;0,"@"&amp;EK18&amp;"×"&amp;EL18&amp;"日分","")</f>
        <v/>
      </c>
      <c r="BM38" s="166"/>
      <c r="BN38" s="166"/>
      <c r="BO38" s="166"/>
      <c r="BP38" s="166"/>
      <c r="BQ38" s="166"/>
      <c r="BR38" s="387" t="str">
        <f>IF(EM18&gt;0,EM18,"")</f>
        <v/>
      </c>
      <c r="BS38" s="387"/>
      <c r="BT38" s="387"/>
      <c r="BU38" s="179"/>
      <c r="BV38" s="179"/>
      <c r="BW38" s="97"/>
      <c r="BX38" s="99"/>
      <c r="BY38" s="99"/>
      <c r="BZ38" s="99"/>
      <c r="CA38" s="99"/>
      <c r="CB38" s="79"/>
      <c r="CC38" s="79"/>
      <c r="CD38" s="79"/>
      <c r="CE38" s="87"/>
      <c r="CF38" s="88"/>
      <c r="CG38" s="88"/>
      <c r="CH38" s="88"/>
      <c r="CI38" s="88"/>
      <c r="CJ38" s="88"/>
      <c r="CK38" s="88"/>
      <c r="CL38" s="14"/>
      <c r="CM38" s="14"/>
      <c r="CN38" s="14"/>
      <c r="CO38" s="14"/>
      <c r="CP38" s="14"/>
      <c r="CQ38" s="14"/>
      <c r="CR38" s="89"/>
      <c r="CS38" s="89"/>
      <c r="CT38" s="89"/>
      <c r="CU38" s="89"/>
      <c r="CV38" s="89"/>
      <c r="CW38" s="89"/>
      <c r="CX38" s="14"/>
      <c r="CY38" s="14"/>
      <c r="CZ38" s="14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P38" s="82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78"/>
      <c r="EO38" s="78"/>
      <c r="EP38" s="78"/>
      <c r="EQ38" s="78"/>
    </row>
    <row r="39" spans="1:149" ht="30" customHeight="1">
      <c r="B39" s="349"/>
      <c r="C39" s="350"/>
      <c r="D39" s="242"/>
      <c r="E39" s="243"/>
      <c r="F39" s="243"/>
      <c r="G39" s="243"/>
      <c r="H39" s="243"/>
      <c r="I39" s="243"/>
      <c r="J39" s="243"/>
      <c r="K39" s="244"/>
      <c r="L39" s="245"/>
      <c r="M39" s="374"/>
      <c r="N39" s="375"/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6"/>
      <c r="Z39" s="376"/>
      <c r="AA39" s="376"/>
      <c r="AB39" s="376"/>
      <c r="AC39" s="377"/>
      <c r="AD39" s="378"/>
      <c r="AE39" s="379"/>
      <c r="AF39" s="379"/>
      <c r="AG39" s="379"/>
      <c r="AH39" s="380"/>
      <c r="AI39" s="79"/>
      <c r="AJ39" s="404"/>
      <c r="AK39" s="370"/>
      <c r="AL39" s="370"/>
      <c r="AM39" s="370"/>
      <c r="AN39" s="166" t="str">
        <f t="shared" si="18"/>
        <v/>
      </c>
      <c r="AO39" s="166"/>
      <c r="AP39" s="166"/>
      <c r="AQ39" s="166"/>
      <c r="AR39" s="166"/>
      <c r="AS39" s="166"/>
      <c r="AT39" s="387" t="str">
        <f t="shared" si="19"/>
        <v/>
      </c>
      <c r="AU39" s="387"/>
      <c r="AV39" s="387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4"/>
      <c r="BH39" s="405"/>
      <c r="BI39" s="406"/>
      <c r="BJ39" s="406"/>
      <c r="BK39" s="407"/>
      <c r="BL39" s="166" t="str">
        <f>IF(EL20&gt;0,"@"&amp;EK20&amp;"×"&amp;EL20&amp;"日分","")</f>
        <v/>
      </c>
      <c r="BM39" s="166"/>
      <c r="BN39" s="166"/>
      <c r="BO39" s="166"/>
      <c r="BP39" s="166"/>
      <c r="BQ39" s="166"/>
      <c r="BR39" s="387" t="str">
        <f>IF(EM20&gt;0,EM20,"")</f>
        <v/>
      </c>
      <c r="BS39" s="387"/>
      <c r="BT39" s="387"/>
      <c r="BU39" s="179"/>
      <c r="BV39" s="179"/>
      <c r="BW39" s="110"/>
      <c r="BX39" s="111"/>
      <c r="BY39" s="111"/>
      <c r="BZ39" s="111"/>
      <c r="CA39" s="111"/>
      <c r="CB39" s="111"/>
      <c r="CC39" s="111"/>
      <c r="CD39" s="111"/>
      <c r="CE39" s="111"/>
      <c r="CF39" s="111"/>
      <c r="CG39" s="111"/>
      <c r="CH39" s="111"/>
      <c r="CI39" s="111"/>
      <c r="CJ39" s="111"/>
      <c r="CK39" s="111"/>
      <c r="CL39" s="74"/>
      <c r="CM39" s="112"/>
      <c r="CN39" s="112"/>
      <c r="CO39" s="112"/>
      <c r="CP39" s="112"/>
      <c r="CQ39" s="112"/>
      <c r="CR39" s="112"/>
      <c r="CS39" s="112"/>
      <c r="CT39" s="112"/>
      <c r="CU39" s="112"/>
      <c r="CV39" s="112"/>
      <c r="CW39" s="112"/>
      <c r="CX39" s="113"/>
      <c r="CY39" s="113"/>
      <c r="CZ39" s="113"/>
      <c r="DA39" s="114"/>
      <c r="DB39" s="114"/>
      <c r="DC39" s="114"/>
      <c r="DD39" s="114"/>
      <c r="DE39" s="114"/>
      <c r="DF39" s="114"/>
      <c r="DG39" s="114"/>
      <c r="DH39" s="114"/>
      <c r="DI39" s="114"/>
      <c r="DJ39" s="114"/>
      <c r="DK39" s="114"/>
      <c r="DL39" s="114"/>
      <c r="DM39" s="114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82"/>
      <c r="EA39" s="102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5"/>
      <c r="ER39" s="115"/>
      <c r="ES39" s="115"/>
    </row>
    <row r="40" spans="1:149" ht="30" customHeight="1">
      <c r="B40" s="349"/>
      <c r="C40" s="350"/>
      <c r="D40" s="242"/>
      <c r="E40" s="243"/>
      <c r="F40" s="243"/>
      <c r="G40" s="243"/>
      <c r="H40" s="243"/>
      <c r="I40" s="243"/>
      <c r="J40" s="243"/>
      <c r="K40" s="244"/>
      <c r="L40" s="245"/>
      <c r="M40" s="374"/>
      <c r="N40" s="375"/>
      <c r="O40" s="376"/>
      <c r="P40" s="376"/>
      <c r="Q40" s="376"/>
      <c r="R40" s="376"/>
      <c r="S40" s="376"/>
      <c r="T40" s="376"/>
      <c r="U40" s="376"/>
      <c r="V40" s="376"/>
      <c r="W40" s="376"/>
      <c r="X40" s="376"/>
      <c r="Y40" s="376"/>
      <c r="Z40" s="376"/>
      <c r="AA40" s="376"/>
      <c r="AB40" s="376"/>
      <c r="AC40" s="377"/>
      <c r="AD40" s="378"/>
      <c r="AE40" s="379"/>
      <c r="AF40" s="379"/>
      <c r="AG40" s="379"/>
      <c r="AH40" s="380"/>
      <c r="AI40" s="79"/>
      <c r="AJ40" s="397"/>
      <c r="AK40" s="397"/>
      <c r="AL40" s="397"/>
      <c r="AM40" s="397"/>
      <c r="AN40" s="166" t="str">
        <f t="shared" si="18"/>
        <v/>
      </c>
      <c r="AO40" s="166"/>
      <c r="AP40" s="166"/>
      <c r="AQ40" s="166"/>
      <c r="AR40" s="166"/>
      <c r="AS40" s="166"/>
      <c r="AT40" s="387" t="str">
        <f t="shared" si="19"/>
        <v/>
      </c>
      <c r="AU40" s="387"/>
      <c r="AV40" s="387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14"/>
      <c r="BH40" s="397"/>
      <c r="BI40" s="397"/>
      <c r="BJ40" s="397"/>
      <c r="BK40" s="397"/>
      <c r="BL40" s="166"/>
      <c r="BM40" s="166"/>
      <c r="BN40" s="166"/>
      <c r="BO40" s="166"/>
      <c r="BP40" s="166"/>
      <c r="BQ40" s="166"/>
      <c r="BR40" s="387"/>
      <c r="BS40" s="387"/>
      <c r="BT40" s="387"/>
      <c r="BU40" s="179"/>
      <c r="BV40" s="179"/>
      <c r="BW40" s="14"/>
      <c r="BX40" s="111"/>
      <c r="BY40" s="116"/>
      <c r="BZ40" s="116"/>
      <c r="CA40" s="116"/>
      <c r="CB40" s="116"/>
      <c r="CC40" s="116"/>
      <c r="CD40" s="97"/>
      <c r="CE40" s="97"/>
      <c r="CF40" s="97"/>
      <c r="CG40" s="97"/>
      <c r="CH40" s="97"/>
      <c r="CI40" s="97"/>
      <c r="CJ40" s="97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59"/>
      <c r="DB40" s="159"/>
      <c r="DC40" s="159"/>
      <c r="DD40" s="159"/>
      <c r="DE40" s="159"/>
      <c r="DF40" s="159"/>
      <c r="DG40" s="159"/>
      <c r="DH40" s="159"/>
      <c r="DI40" s="159"/>
      <c r="DJ40" s="159"/>
      <c r="DK40" s="159"/>
      <c r="DL40" s="159"/>
      <c r="DM40" s="159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82"/>
      <c r="EA40" s="85" t="s">
        <v>94</v>
      </c>
      <c r="EB40" s="85"/>
      <c r="EC40" s="102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</row>
    <row r="41" spans="1:149" ht="33" customHeight="1">
      <c r="B41" s="351"/>
      <c r="C41" s="352"/>
      <c r="D41" s="117" t="s">
        <v>95</v>
      </c>
      <c r="E41" s="118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410" t="s">
        <v>96</v>
      </c>
      <c r="Y41" s="411"/>
      <c r="Z41" s="411"/>
      <c r="AA41" s="411"/>
      <c r="AB41" s="411"/>
      <c r="AC41" s="412"/>
      <c r="AD41" s="413">
        <f>SUM(AD32:AH40)</f>
        <v>0</v>
      </c>
      <c r="AE41" s="414"/>
      <c r="AF41" s="414"/>
      <c r="AG41" s="414"/>
      <c r="AH41" s="415"/>
      <c r="AI41" s="120"/>
      <c r="AJ41" s="397"/>
      <c r="AK41" s="397"/>
      <c r="AL41" s="397"/>
      <c r="AM41" s="397"/>
      <c r="AN41" s="166" t="str">
        <f t="shared" si="18"/>
        <v/>
      </c>
      <c r="AO41" s="166"/>
      <c r="AP41" s="166"/>
      <c r="AQ41" s="166"/>
      <c r="AR41" s="166"/>
      <c r="AS41" s="166"/>
      <c r="AT41" s="387" t="str">
        <f t="shared" si="19"/>
        <v/>
      </c>
      <c r="AU41" s="387"/>
      <c r="AV41" s="387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4"/>
      <c r="BH41" s="397"/>
      <c r="BI41" s="397"/>
      <c r="BJ41" s="397"/>
      <c r="BK41" s="397"/>
      <c r="BL41" s="166"/>
      <c r="BM41" s="166"/>
      <c r="BN41" s="166"/>
      <c r="BO41" s="166"/>
      <c r="BP41" s="166"/>
      <c r="BQ41" s="166"/>
      <c r="BR41" s="387"/>
      <c r="BS41" s="387"/>
      <c r="BT41" s="387"/>
      <c r="BU41" s="179"/>
      <c r="BV41" s="179"/>
      <c r="BW41" s="14"/>
      <c r="BX41" s="116"/>
      <c r="BY41" s="116"/>
      <c r="BZ41" s="116"/>
      <c r="CA41" s="116"/>
      <c r="CB41" s="116"/>
      <c r="CC41" s="116"/>
      <c r="CD41" s="97"/>
      <c r="CE41" s="97"/>
      <c r="CF41" s="97"/>
      <c r="CG41" s="97"/>
      <c r="CH41" s="97"/>
      <c r="CI41" s="97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3"/>
      <c r="DA41" s="113"/>
      <c r="DB41" s="113"/>
      <c r="DC41" s="113"/>
      <c r="DD41" s="113"/>
      <c r="DE41" s="113"/>
      <c r="DF41" s="113"/>
      <c r="DG41" s="113"/>
      <c r="DH41" s="121"/>
      <c r="DI41" s="121"/>
      <c r="DJ41" s="121"/>
      <c r="DK41" s="121"/>
      <c r="DL41" s="121"/>
      <c r="DM41" s="12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3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</row>
    <row r="42" spans="1:149" ht="15" customHeight="1">
      <c r="B42" s="122"/>
      <c r="C42" s="122"/>
      <c r="D42" s="122"/>
      <c r="E42" s="123"/>
      <c r="F42" s="123"/>
      <c r="G42" s="124"/>
      <c r="H42" s="124"/>
      <c r="I42" s="124"/>
      <c r="J42" s="124"/>
      <c r="K42" s="124"/>
      <c r="L42" s="124"/>
      <c r="M42" s="124"/>
      <c r="N42" s="124"/>
      <c r="O42" s="125"/>
      <c r="P42" s="125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7"/>
      <c r="AD42" s="127"/>
      <c r="AE42" s="127"/>
      <c r="AF42" s="127"/>
      <c r="AG42" s="127"/>
      <c r="AH42" s="127"/>
      <c r="AI42" s="14"/>
      <c r="AJ42" s="127"/>
      <c r="AK42" s="127"/>
      <c r="AL42" s="128"/>
      <c r="AM42" s="128"/>
      <c r="AN42" s="128"/>
      <c r="AO42" s="128"/>
      <c r="AP42" s="128"/>
      <c r="AQ42" s="127"/>
      <c r="AR42" s="14"/>
      <c r="AS42" s="14"/>
      <c r="AT42" s="14"/>
      <c r="AU42" s="14"/>
      <c r="AV42" s="14"/>
      <c r="AW42" s="14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30"/>
      <c r="BK42" s="131"/>
      <c r="BL42" s="131"/>
      <c r="BM42" s="131"/>
      <c r="BN42" s="132"/>
      <c r="BO42" s="132"/>
      <c r="BP42" s="133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97"/>
      <c r="CG42" s="97"/>
      <c r="CH42" s="14"/>
      <c r="CI42" s="14"/>
      <c r="CJ42" s="14"/>
      <c r="CK42" s="14"/>
      <c r="CL42" s="134"/>
      <c r="CM42" s="134"/>
      <c r="CN42" s="134"/>
      <c r="CO42" s="134"/>
      <c r="CP42" s="134"/>
      <c r="CQ42" s="134"/>
      <c r="CR42" s="97"/>
      <c r="CS42" s="97"/>
      <c r="CT42" s="97"/>
      <c r="CU42" s="97"/>
      <c r="CV42" s="97"/>
      <c r="CW42" s="97"/>
      <c r="CX42" s="97"/>
      <c r="CY42" s="97"/>
      <c r="CZ42" s="97"/>
      <c r="DA42" s="97"/>
      <c r="DB42" s="97"/>
      <c r="DC42" s="97"/>
      <c r="DD42" s="76"/>
      <c r="DE42" s="76"/>
      <c r="DF42" s="76"/>
      <c r="DG42" s="76"/>
      <c r="DH42" s="76"/>
      <c r="DI42" s="76"/>
      <c r="DJ42" s="74"/>
      <c r="DK42" s="408" t="s">
        <v>103</v>
      </c>
      <c r="DL42" s="409"/>
      <c r="DM42" s="74"/>
      <c r="DN42" s="74"/>
      <c r="DO42" s="74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</row>
    <row r="43" spans="1:149" ht="36.75" customHeight="1">
      <c r="B43" s="1" t="s">
        <v>97</v>
      </c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DM43" s="136" t="s">
        <v>98</v>
      </c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3"/>
      <c r="EA43" s="84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5"/>
      <c r="EO43" s="4"/>
      <c r="EP43" s="5"/>
      <c r="ER43" s="6"/>
      <c r="ES43" s="6"/>
    </row>
    <row r="44" spans="1:149" ht="14.25">
      <c r="AY44" s="3"/>
      <c r="AZ44" s="4"/>
      <c r="BA44" s="4"/>
      <c r="BC44" s="3"/>
      <c r="BD44" s="4"/>
      <c r="BE44" s="4"/>
      <c r="BG44" s="3"/>
      <c r="BH44" s="4"/>
      <c r="BI44" s="4"/>
      <c r="BJ44" s="137"/>
      <c r="BK44" s="137"/>
      <c r="BL44" s="137"/>
      <c r="BM44" s="137"/>
      <c r="BN44" s="137"/>
      <c r="BO44" s="137"/>
      <c r="BP44" s="4"/>
      <c r="BQ44" s="4"/>
      <c r="BR44" s="4"/>
      <c r="BS44" s="4"/>
      <c r="BT44" s="8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6"/>
      <c r="CF44" s="6"/>
      <c r="CG44" s="6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K44" s="5"/>
      <c r="EN44" s="5"/>
      <c r="EO44" s="5"/>
      <c r="EP44" s="5"/>
    </row>
    <row r="45" spans="1:149" ht="4.5" customHeight="1">
      <c r="B45" s="74"/>
      <c r="AY45" s="3"/>
      <c r="AZ45" s="4"/>
      <c r="BA45" s="4"/>
      <c r="BC45" s="3"/>
      <c r="BD45" s="4"/>
      <c r="BE45" s="4"/>
      <c r="BG45" s="3"/>
      <c r="BH45" s="4"/>
      <c r="BI45" s="4"/>
      <c r="BJ45" s="137"/>
      <c r="BK45" s="137"/>
      <c r="BL45" s="137"/>
      <c r="BM45" s="137"/>
      <c r="BN45" s="137"/>
      <c r="BO45" s="137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5"/>
      <c r="CB45" s="4"/>
      <c r="CC45" s="5"/>
      <c r="CD45" s="5"/>
      <c r="CE45" s="6"/>
      <c r="CF45" s="6"/>
      <c r="CG45" s="6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K45" s="5"/>
      <c r="EN45" s="5"/>
      <c r="EO45" s="5"/>
      <c r="EP45" s="5"/>
    </row>
    <row r="46" spans="1:149" ht="13.5" customHeight="1">
      <c r="B46" s="74"/>
      <c r="AY46" s="3"/>
      <c r="AZ46" s="4"/>
      <c r="BA46" s="85"/>
      <c r="BC46" s="3"/>
      <c r="BD46" s="4"/>
      <c r="BE46" s="85"/>
      <c r="BG46" s="3"/>
      <c r="BH46" s="4"/>
      <c r="BI46" s="85"/>
      <c r="BJ46" s="137"/>
      <c r="BK46" s="137"/>
      <c r="BL46" s="137"/>
      <c r="BM46" s="137"/>
      <c r="BN46" s="137"/>
      <c r="BO46" s="137"/>
      <c r="BP46" s="4"/>
      <c r="BQ46" s="85"/>
      <c r="BR46" s="85"/>
      <c r="BS46" s="4"/>
      <c r="BT46" s="4"/>
      <c r="BU46" s="4"/>
      <c r="BV46" s="4"/>
      <c r="BW46" s="4"/>
      <c r="BX46" s="4"/>
      <c r="BY46" s="4"/>
      <c r="BZ46" s="4"/>
      <c r="CA46" s="5"/>
      <c r="CB46" s="4"/>
      <c r="CC46" s="5"/>
      <c r="CD46" s="5"/>
      <c r="CE46" s="138"/>
      <c r="CF46" s="138"/>
      <c r="CG46" s="138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K46" s="5"/>
      <c r="EN46" s="5"/>
      <c r="EO46" s="5"/>
      <c r="EP46" s="5"/>
    </row>
    <row r="47" spans="1:149" s="141" customFormat="1" ht="18.95" customHeight="1">
      <c r="A47" s="139"/>
      <c r="B47" s="140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40"/>
      <c r="AB47" s="7"/>
      <c r="AC47" s="140"/>
      <c r="AD47" s="140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BA47" s="142"/>
      <c r="BB47" s="139"/>
      <c r="BC47" s="139"/>
      <c r="BE47" s="142"/>
      <c r="BF47" s="139"/>
      <c r="BG47" s="139"/>
      <c r="BI47" s="142"/>
      <c r="BJ47" s="143"/>
      <c r="BK47" s="143"/>
      <c r="BL47" s="143"/>
      <c r="BM47" s="143"/>
      <c r="BN47" s="143"/>
      <c r="BO47" s="143"/>
      <c r="BQ47" s="142"/>
      <c r="BR47" s="142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144"/>
      <c r="CF47" s="144"/>
      <c r="CG47" s="144"/>
    </row>
    <row r="48" spans="1:149" s="141" customFormat="1" ht="18.95" customHeight="1">
      <c r="B48" s="140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40"/>
      <c r="AB48" s="74"/>
      <c r="AC48" s="140"/>
      <c r="AD48" s="140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BA48" s="142"/>
      <c r="BB48" s="139"/>
      <c r="BC48" s="139"/>
      <c r="BE48" s="142"/>
      <c r="BF48" s="139"/>
      <c r="BG48" s="139"/>
      <c r="BI48" s="142"/>
      <c r="BJ48" s="143"/>
      <c r="BK48" s="143"/>
      <c r="BL48" s="143"/>
      <c r="BM48" s="143"/>
      <c r="BN48" s="143"/>
      <c r="BO48" s="143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4"/>
      <c r="CF48" s="144"/>
      <c r="CG48" s="144"/>
    </row>
    <row r="49" spans="1:85" s="141" customFormat="1" ht="18.95" customHeight="1">
      <c r="B49" s="140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40"/>
      <c r="AB49" s="74"/>
      <c r="AC49" s="140"/>
      <c r="AD49" s="140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BA49" s="142"/>
      <c r="BB49" s="139"/>
      <c r="BC49" s="139"/>
      <c r="BE49" s="142"/>
      <c r="BF49" s="139"/>
      <c r="BG49" s="139"/>
      <c r="BI49" s="142"/>
      <c r="BJ49" s="143"/>
      <c r="BK49" s="143"/>
      <c r="BL49" s="143"/>
      <c r="BM49" s="143"/>
      <c r="BN49" s="143"/>
      <c r="BO49" s="143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4"/>
      <c r="CF49" s="144"/>
      <c r="CG49" s="144"/>
    </row>
    <row r="50" spans="1:85" s="141" customFormat="1" ht="18.95" customHeight="1">
      <c r="B50" s="140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40"/>
      <c r="AB50" s="74"/>
      <c r="AC50" s="140"/>
      <c r="AD50" s="140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BA50" s="142"/>
      <c r="BB50" s="139"/>
      <c r="BC50" s="139"/>
      <c r="BE50" s="142"/>
      <c r="BF50" s="139"/>
      <c r="BG50" s="139"/>
      <c r="BI50" s="142"/>
      <c r="BJ50" s="143"/>
      <c r="BK50" s="143"/>
      <c r="BL50" s="143"/>
      <c r="BM50" s="143"/>
      <c r="BN50" s="143"/>
      <c r="BO50" s="143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4"/>
      <c r="CF50" s="144"/>
      <c r="CG50" s="144"/>
    </row>
    <row r="51" spans="1:85" s="141" customFormat="1" ht="18.95" customHeight="1">
      <c r="B51" s="140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40"/>
      <c r="AB51" s="74"/>
      <c r="AC51" s="140"/>
      <c r="AD51" s="140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BA51" s="142"/>
      <c r="BB51" s="139"/>
      <c r="BC51" s="139"/>
      <c r="BE51" s="142"/>
      <c r="BF51" s="139"/>
      <c r="BG51" s="139"/>
      <c r="BI51" s="142"/>
      <c r="BJ51" s="143"/>
      <c r="BK51" s="143"/>
      <c r="BL51" s="143"/>
      <c r="BM51" s="143"/>
      <c r="BN51" s="143"/>
      <c r="BO51" s="143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4"/>
      <c r="CF51" s="144"/>
      <c r="CG51" s="144"/>
    </row>
    <row r="52" spans="1:85" s="141" customFormat="1" ht="18.95" customHeight="1">
      <c r="B52" s="140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40"/>
      <c r="AB52" s="74"/>
      <c r="AC52" s="140"/>
      <c r="AD52" s="140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BA52" s="142"/>
      <c r="BB52" s="139"/>
      <c r="BC52" s="139"/>
      <c r="BE52" s="142"/>
      <c r="BF52" s="139"/>
      <c r="BG52" s="139"/>
      <c r="BI52" s="142"/>
      <c r="BJ52" s="143"/>
      <c r="BK52" s="143"/>
      <c r="BL52" s="143"/>
      <c r="BM52" s="143"/>
      <c r="BN52" s="143"/>
      <c r="BO52" s="143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4"/>
      <c r="CF52" s="144"/>
      <c r="CG52" s="144"/>
    </row>
    <row r="53" spans="1:85" s="141" customFormat="1" ht="18.95" customHeight="1">
      <c r="A53" s="139"/>
      <c r="B53" s="140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BB53" s="139"/>
      <c r="BC53" s="139"/>
      <c r="BF53" s="139"/>
      <c r="BG53" s="139"/>
      <c r="BJ53" s="143"/>
      <c r="BK53" s="143"/>
      <c r="BL53" s="143"/>
      <c r="BM53" s="143"/>
      <c r="BN53" s="143"/>
      <c r="BO53" s="143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5"/>
      <c r="CF53" s="145"/>
      <c r="CG53" s="145"/>
    </row>
    <row r="54" spans="1:85" s="141" customFormat="1" ht="18.95" customHeight="1"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BB54" s="139"/>
      <c r="BC54" s="139"/>
      <c r="BF54" s="139"/>
      <c r="BG54" s="139"/>
      <c r="BJ54" s="143"/>
      <c r="BK54" s="143"/>
      <c r="BL54" s="143"/>
      <c r="BM54" s="143"/>
      <c r="BN54" s="143"/>
      <c r="BO54" s="143"/>
      <c r="CE54" s="145"/>
      <c r="CF54" s="145"/>
      <c r="CG54" s="145"/>
    </row>
    <row r="55" spans="1:85" s="141" customFormat="1" ht="18.95" customHeight="1">
      <c r="A55" s="139"/>
      <c r="B55" s="140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40"/>
      <c r="AB55" s="74"/>
      <c r="AC55" s="140"/>
      <c r="AD55" s="140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BB55" s="139"/>
      <c r="BC55" s="139"/>
      <c r="BF55" s="139"/>
      <c r="BG55" s="139"/>
      <c r="BJ55" s="143"/>
      <c r="BK55" s="143"/>
      <c r="BL55" s="143"/>
      <c r="BM55" s="143"/>
      <c r="BN55" s="143"/>
      <c r="BO55" s="143"/>
      <c r="CE55" s="145"/>
      <c r="CF55" s="145"/>
      <c r="CG55" s="145"/>
    </row>
    <row r="56" spans="1:85" s="141" customFormat="1" ht="18.95" customHeight="1">
      <c r="A56" s="139"/>
      <c r="B56" s="140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40"/>
      <c r="AB56" s="140"/>
      <c r="AC56" s="140"/>
      <c r="AD56" s="140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BB56" s="139"/>
      <c r="BC56" s="139"/>
      <c r="BF56" s="139"/>
      <c r="BG56" s="139"/>
      <c r="BJ56" s="143"/>
      <c r="BK56" s="143"/>
      <c r="BL56" s="143"/>
      <c r="BM56" s="143"/>
      <c r="BN56" s="143"/>
      <c r="BO56" s="143"/>
      <c r="CE56" s="145"/>
      <c r="CF56" s="145"/>
      <c r="CG56" s="145"/>
    </row>
    <row r="57" spans="1:85" s="141" customFormat="1" ht="18.95" customHeight="1">
      <c r="A57" s="139"/>
      <c r="B57" s="140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40"/>
      <c r="AB57" s="140"/>
      <c r="AC57" s="140"/>
      <c r="AD57" s="140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BB57" s="139"/>
      <c r="BC57" s="139"/>
      <c r="BF57" s="139"/>
      <c r="BG57" s="139"/>
      <c r="BJ57" s="143"/>
      <c r="BK57" s="143"/>
      <c r="BL57" s="143"/>
      <c r="BM57" s="143"/>
      <c r="BN57" s="143"/>
      <c r="BO57" s="143"/>
      <c r="CE57" s="145"/>
      <c r="CF57" s="145"/>
      <c r="CG57" s="145"/>
    </row>
    <row r="58" spans="1:85" s="141" customFormat="1" ht="18.95" customHeight="1">
      <c r="A58" s="139"/>
      <c r="B58" s="140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BB58" s="139"/>
      <c r="BC58" s="139"/>
      <c r="BF58" s="139"/>
      <c r="BG58" s="139"/>
      <c r="BJ58" s="143"/>
      <c r="BK58" s="143"/>
      <c r="BL58" s="143"/>
      <c r="BM58" s="143"/>
      <c r="BN58" s="143"/>
      <c r="BO58" s="143"/>
      <c r="CE58" s="145"/>
      <c r="CF58" s="145"/>
      <c r="CG58" s="145"/>
    </row>
    <row r="59" spans="1:85" s="141" customFormat="1" ht="18.95" customHeight="1">
      <c r="A59" s="139"/>
      <c r="B59" s="140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BB59" s="139"/>
      <c r="BC59" s="139"/>
      <c r="BF59" s="139"/>
      <c r="BG59" s="139"/>
      <c r="BJ59" s="143"/>
      <c r="BK59" s="143"/>
      <c r="BL59" s="143"/>
      <c r="BM59" s="143"/>
      <c r="BN59" s="143"/>
      <c r="BO59" s="143"/>
      <c r="CE59" s="145"/>
      <c r="CF59" s="145"/>
      <c r="CG59" s="145"/>
    </row>
    <row r="60" spans="1:85" s="141" customFormat="1" ht="18.95" customHeight="1">
      <c r="A60" s="139"/>
      <c r="B60" s="140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BB60" s="139"/>
      <c r="BC60" s="139"/>
      <c r="BF60" s="139"/>
      <c r="BG60" s="139"/>
      <c r="BJ60" s="143"/>
      <c r="BK60" s="143"/>
      <c r="BL60" s="143"/>
      <c r="BM60" s="143"/>
      <c r="BN60" s="143"/>
      <c r="BO60" s="143"/>
      <c r="CE60" s="145"/>
      <c r="CF60" s="145"/>
      <c r="CG60" s="145"/>
    </row>
    <row r="61" spans="1:85" s="141" customFormat="1" ht="18.95" customHeight="1">
      <c r="A61" s="139"/>
      <c r="B61" s="140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BB61" s="139"/>
      <c r="BC61" s="139"/>
      <c r="BF61" s="139"/>
      <c r="BG61" s="139"/>
      <c r="BJ61" s="143"/>
      <c r="BK61" s="143"/>
      <c r="BL61" s="143"/>
      <c r="BM61" s="143"/>
      <c r="BN61" s="143"/>
      <c r="BO61" s="143"/>
      <c r="CE61" s="145"/>
      <c r="CF61" s="145"/>
      <c r="CG61" s="145"/>
    </row>
    <row r="62" spans="1:85" s="141" customFormat="1" ht="18.95" customHeight="1">
      <c r="B62" s="140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40"/>
      <c r="AB62" s="74"/>
      <c r="AC62" s="140"/>
      <c r="AD62" s="140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BA62" s="142"/>
      <c r="BB62" s="139"/>
      <c r="BC62" s="139"/>
      <c r="BE62" s="142"/>
      <c r="BF62" s="139"/>
      <c r="BG62" s="139"/>
      <c r="BI62" s="142"/>
      <c r="BJ62" s="143"/>
      <c r="BK62" s="143"/>
      <c r="BL62" s="143"/>
      <c r="BM62" s="143"/>
      <c r="BN62" s="143"/>
      <c r="BO62" s="143"/>
      <c r="BQ62" s="142"/>
      <c r="BR62" s="142"/>
      <c r="CE62" s="144"/>
      <c r="CF62" s="144"/>
      <c r="CG62" s="144"/>
    </row>
    <row r="63" spans="1:85" s="141" customFormat="1" ht="18.95" customHeight="1"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BB63" s="139"/>
      <c r="BC63" s="139"/>
      <c r="BF63" s="139"/>
      <c r="BG63" s="139"/>
      <c r="BJ63" s="143"/>
      <c r="BK63" s="143"/>
      <c r="BL63" s="143"/>
      <c r="BM63" s="143"/>
      <c r="BN63" s="143"/>
      <c r="BO63" s="143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5"/>
      <c r="CF63" s="145"/>
      <c r="CG63" s="145"/>
    </row>
    <row r="64" spans="1:85" s="141" customFormat="1" ht="18.9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BB64" s="139"/>
      <c r="BC64" s="139"/>
      <c r="BF64" s="139"/>
      <c r="BG64" s="139"/>
      <c r="BJ64" s="143"/>
      <c r="BK64" s="143"/>
      <c r="BL64" s="143"/>
      <c r="BM64" s="143"/>
      <c r="BN64" s="143"/>
      <c r="BO64" s="143"/>
      <c r="CE64" s="145"/>
      <c r="CF64" s="145"/>
      <c r="CG64" s="145"/>
    </row>
    <row r="65" spans="1:146" s="141" customFormat="1" ht="18.9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BB65" s="139"/>
      <c r="BC65" s="139"/>
      <c r="BF65" s="139"/>
      <c r="BG65" s="139"/>
      <c r="BJ65" s="143"/>
      <c r="BK65" s="143"/>
      <c r="BL65" s="143"/>
      <c r="BM65" s="143"/>
      <c r="BN65" s="143"/>
      <c r="BO65" s="143"/>
      <c r="CE65" s="145"/>
      <c r="CF65" s="145"/>
      <c r="CG65" s="145"/>
    </row>
    <row r="66" spans="1:146" s="141" customFormat="1" ht="18.9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BB66" s="139"/>
      <c r="BC66" s="139"/>
      <c r="BF66" s="139"/>
      <c r="BG66" s="139"/>
      <c r="BJ66" s="143"/>
      <c r="BK66" s="143"/>
      <c r="BL66" s="143"/>
      <c r="BM66" s="143"/>
      <c r="BN66" s="143"/>
      <c r="BO66" s="143"/>
      <c r="CE66" s="145"/>
      <c r="CF66" s="145"/>
      <c r="CG66" s="145"/>
    </row>
    <row r="67" spans="1:146" s="141" customFormat="1" ht="18.9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BB67" s="139"/>
      <c r="BC67" s="139"/>
      <c r="BF67" s="139"/>
      <c r="BG67" s="139"/>
      <c r="BJ67" s="143"/>
      <c r="BK67" s="143"/>
      <c r="BL67" s="143"/>
      <c r="BM67" s="143"/>
      <c r="BN67" s="143"/>
      <c r="BO67" s="143"/>
      <c r="CE67" s="145"/>
      <c r="CF67" s="145"/>
      <c r="CG67" s="145"/>
    </row>
    <row r="68" spans="1:146" s="141" customFormat="1" ht="18.9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BB68" s="139"/>
      <c r="BC68" s="139"/>
      <c r="BF68" s="139"/>
      <c r="BG68" s="139"/>
      <c r="BJ68" s="143"/>
      <c r="BK68" s="143"/>
      <c r="BL68" s="143"/>
      <c r="BM68" s="143"/>
      <c r="BN68" s="143"/>
      <c r="BO68" s="143"/>
      <c r="CE68" s="145"/>
      <c r="CF68" s="145"/>
      <c r="CG68" s="145"/>
    </row>
    <row r="69" spans="1:146" s="141" customFormat="1" ht="18.9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BB69" s="139"/>
      <c r="BC69" s="139"/>
      <c r="BF69" s="139"/>
      <c r="BG69" s="139"/>
      <c r="BJ69" s="143"/>
      <c r="BK69" s="143"/>
      <c r="BL69" s="143"/>
      <c r="BM69" s="143"/>
      <c r="BN69" s="143"/>
      <c r="BO69" s="143"/>
      <c r="CE69" s="145"/>
      <c r="CF69" s="145"/>
      <c r="CG69" s="145"/>
    </row>
    <row r="70" spans="1:146" s="141" customFormat="1" ht="18.9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BB70" s="139"/>
      <c r="BC70" s="139"/>
      <c r="BF70" s="139"/>
      <c r="BG70" s="139"/>
      <c r="BJ70" s="143"/>
      <c r="BK70" s="143"/>
      <c r="BL70" s="143"/>
      <c r="BM70" s="143"/>
      <c r="BN70" s="143"/>
      <c r="BO70" s="143"/>
      <c r="CE70" s="145"/>
      <c r="CF70" s="145"/>
      <c r="CG70" s="145"/>
    </row>
    <row r="71" spans="1:146" s="147" customFormat="1" ht="18.95" customHeight="1">
      <c r="A71" s="146"/>
      <c r="B71" s="139"/>
      <c r="C71" s="139"/>
      <c r="D71" s="139"/>
      <c r="E71" s="139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  <c r="AW71" s="146"/>
      <c r="AX71" s="146"/>
      <c r="AY71" s="146"/>
      <c r="BB71" s="146"/>
      <c r="BC71" s="146"/>
      <c r="BF71" s="146"/>
      <c r="BG71" s="146"/>
      <c r="BJ71" s="148"/>
      <c r="BK71" s="148"/>
      <c r="BL71" s="148"/>
      <c r="BM71" s="148"/>
      <c r="BN71" s="148"/>
      <c r="BO71" s="148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9"/>
      <c r="CF71" s="149"/>
      <c r="CG71" s="149"/>
    </row>
    <row r="72" spans="1:146" s="141" customFormat="1" ht="18.95" customHeight="1">
      <c r="B72" s="140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40"/>
      <c r="AB72" s="74"/>
      <c r="AC72" s="140"/>
      <c r="AD72" s="140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BA72" s="142"/>
      <c r="BB72" s="139"/>
      <c r="BC72" s="139"/>
      <c r="BE72" s="142"/>
      <c r="BF72" s="139"/>
      <c r="BG72" s="139"/>
      <c r="BI72" s="142"/>
      <c r="BJ72" s="143"/>
      <c r="BK72" s="143"/>
      <c r="BL72" s="143"/>
      <c r="BM72" s="143"/>
      <c r="BN72" s="143"/>
      <c r="BO72" s="143"/>
      <c r="BQ72" s="142"/>
      <c r="BR72" s="142"/>
      <c r="BS72" s="147"/>
      <c r="BT72" s="147"/>
      <c r="BU72" s="147"/>
      <c r="BV72" s="147"/>
      <c r="BW72" s="147"/>
      <c r="BX72" s="147"/>
      <c r="BY72" s="147"/>
      <c r="BZ72" s="147"/>
      <c r="CA72" s="147"/>
      <c r="CB72" s="147"/>
      <c r="CC72" s="147"/>
      <c r="CD72" s="147"/>
      <c r="CE72" s="144"/>
      <c r="CF72" s="144"/>
      <c r="CG72" s="144"/>
    </row>
    <row r="73" spans="1:146" s="147" customFormat="1" ht="18.95" customHeight="1">
      <c r="A73" s="146"/>
      <c r="B73" s="139"/>
      <c r="C73" s="139"/>
      <c r="D73" s="139"/>
      <c r="E73" s="139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  <c r="AW73" s="146"/>
      <c r="AX73" s="146"/>
      <c r="AY73" s="146"/>
      <c r="BB73" s="146"/>
      <c r="BC73" s="146"/>
      <c r="BF73" s="146"/>
      <c r="BG73" s="146"/>
      <c r="BJ73" s="148"/>
      <c r="BK73" s="148"/>
      <c r="BL73" s="148"/>
      <c r="BM73" s="148"/>
      <c r="BN73" s="148"/>
      <c r="BO73" s="148"/>
      <c r="BS73" s="142"/>
      <c r="BT73" s="142"/>
      <c r="BU73" s="142"/>
      <c r="BV73" s="142"/>
      <c r="BW73" s="142"/>
      <c r="BX73" s="142"/>
      <c r="BY73" s="142"/>
      <c r="BZ73" s="142"/>
      <c r="CA73" s="142"/>
      <c r="CB73" s="142"/>
      <c r="CC73" s="142"/>
      <c r="CD73" s="142"/>
      <c r="CE73" s="149"/>
      <c r="CF73" s="149"/>
      <c r="CG73" s="149"/>
    </row>
    <row r="74" spans="1:146" s="147" customFormat="1" ht="18.95" customHeight="1">
      <c r="A74" s="146"/>
      <c r="B74" s="139"/>
      <c r="C74" s="139"/>
      <c r="D74" s="139"/>
      <c r="E74" s="139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BB74" s="146"/>
      <c r="BC74" s="146"/>
      <c r="BF74" s="146"/>
      <c r="BG74" s="146"/>
      <c r="BJ74" s="148"/>
      <c r="BK74" s="148"/>
      <c r="BL74" s="148"/>
      <c r="BM74" s="148"/>
      <c r="BN74" s="148"/>
      <c r="BO74" s="148"/>
      <c r="CE74" s="149"/>
      <c r="CF74" s="149"/>
      <c r="CG74" s="149"/>
    </row>
    <row r="75" spans="1:146" s="147" customFormat="1" ht="18" customHeight="1">
      <c r="A75" s="146"/>
      <c r="B75" s="139"/>
      <c r="C75" s="139"/>
      <c r="D75" s="139"/>
      <c r="E75" s="139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BB75" s="146"/>
      <c r="BC75" s="146"/>
      <c r="BF75" s="146"/>
      <c r="BG75" s="146"/>
      <c r="BJ75" s="148"/>
      <c r="BK75" s="148"/>
      <c r="BL75" s="148"/>
      <c r="BM75" s="148"/>
      <c r="BN75" s="148"/>
      <c r="BO75" s="148"/>
      <c r="CE75" s="149"/>
      <c r="CF75" s="149"/>
      <c r="CG75" s="149"/>
    </row>
    <row r="76" spans="1:146" s="152" customFormat="1" ht="14.25">
      <c r="A76" s="150"/>
      <c r="B76" s="151"/>
      <c r="C76" s="151"/>
      <c r="D76" s="151"/>
      <c r="E76" s="151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150"/>
      <c r="AW76" s="150"/>
      <c r="AX76" s="150"/>
      <c r="AY76" s="150"/>
      <c r="BB76" s="150"/>
      <c r="BC76" s="150"/>
      <c r="BF76" s="150"/>
      <c r="BG76" s="150"/>
      <c r="BJ76" s="153"/>
      <c r="BK76" s="153"/>
      <c r="BL76" s="153"/>
      <c r="BM76" s="153"/>
      <c r="BN76" s="153"/>
      <c r="BO76" s="153"/>
      <c r="BS76" s="147"/>
      <c r="BT76" s="147"/>
      <c r="BU76" s="147"/>
      <c r="BV76" s="147"/>
      <c r="BW76" s="147"/>
      <c r="BX76" s="147"/>
      <c r="BY76" s="147"/>
      <c r="BZ76" s="147"/>
      <c r="CA76" s="147"/>
      <c r="CB76" s="147"/>
      <c r="CC76" s="147"/>
      <c r="CD76" s="147"/>
      <c r="CE76" s="154"/>
      <c r="CF76" s="154"/>
      <c r="CG76" s="154"/>
    </row>
    <row r="77" spans="1:146" s="152" customFormat="1" ht="14.25">
      <c r="A77" s="150"/>
      <c r="B77" s="151"/>
      <c r="C77" s="151"/>
      <c r="D77" s="151"/>
      <c r="E77" s="151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AY77" s="150"/>
      <c r="BB77" s="150"/>
      <c r="BC77" s="150"/>
      <c r="BF77" s="150"/>
      <c r="BG77" s="150"/>
      <c r="BJ77" s="153"/>
      <c r="BK77" s="153"/>
      <c r="BL77" s="153"/>
      <c r="BM77" s="153"/>
      <c r="BN77" s="153"/>
      <c r="BO77" s="153"/>
      <c r="CE77" s="154"/>
      <c r="CF77" s="154"/>
      <c r="CG77" s="154"/>
    </row>
    <row r="78" spans="1:146" ht="14.25">
      <c r="B78" s="82"/>
      <c r="C78" s="82"/>
      <c r="D78" s="82"/>
      <c r="E78" s="82"/>
      <c r="AY78" s="3"/>
      <c r="AZ78" s="4"/>
      <c r="BA78" s="4"/>
      <c r="BC78" s="3"/>
      <c r="BD78" s="4"/>
      <c r="BE78" s="4"/>
      <c r="BG78" s="3"/>
      <c r="BH78" s="4"/>
      <c r="BI78" s="4"/>
      <c r="BJ78" s="137"/>
      <c r="BK78" s="137"/>
      <c r="BL78" s="137"/>
      <c r="BM78" s="137"/>
      <c r="BN78" s="137"/>
      <c r="BO78" s="137"/>
      <c r="BP78" s="4"/>
      <c r="BQ78" s="4"/>
      <c r="BR78" s="4"/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6"/>
      <c r="CF78" s="6"/>
      <c r="CG78" s="6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K78" s="5"/>
      <c r="EN78" s="5"/>
      <c r="EO78" s="5"/>
      <c r="EP78" s="5"/>
    </row>
    <row r="79" spans="1:146" ht="14.25">
      <c r="B79" s="82"/>
      <c r="C79" s="82"/>
      <c r="D79" s="82"/>
      <c r="E79" s="82"/>
      <c r="AY79" s="3"/>
      <c r="AZ79" s="4"/>
      <c r="BA79" s="4"/>
      <c r="BC79" s="3"/>
      <c r="BD79" s="4"/>
      <c r="BE79" s="4"/>
      <c r="BG79" s="3"/>
      <c r="BH79" s="4"/>
      <c r="BI79" s="4"/>
      <c r="BJ79" s="137"/>
      <c r="BK79" s="137"/>
      <c r="BL79" s="137"/>
      <c r="BM79" s="137"/>
      <c r="BN79" s="137"/>
      <c r="BO79" s="137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5"/>
      <c r="CB79" s="4"/>
      <c r="CC79" s="5"/>
      <c r="CD79" s="5"/>
      <c r="CE79" s="6"/>
      <c r="CF79" s="6"/>
      <c r="CG79" s="6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K79" s="5"/>
      <c r="EN79" s="5"/>
      <c r="EO79" s="5"/>
      <c r="EP79" s="5"/>
    </row>
    <row r="80" spans="1:146" ht="14.25">
      <c r="B80" s="82"/>
      <c r="C80" s="82"/>
      <c r="D80" s="82"/>
      <c r="E80" s="82"/>
      <c r="AY80" s="3"/>
      <c r="AZ80" s="4"/>
      <c r="BA80" s="4"/>
      <c r="BC80" s="3"/>
      <c r="BD80" s="4"/>
      <c r="BE80" s="4"/>
      <c r="BG80" s="3"/>
      <c r="BH80" s="4"/>
      <c r="BI80" s="4"/>
      <c r="BJ80" s="137"/>
      <c r="BK80" s="137"/>
      <c r="BL80" s="137"/>
      <c r="BM80" s="137"/>
      <c r="BN80" s="137"/>
      <c r="BO80" s="137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5"/>
      <c r="CB80" s="4"/>
      <c r="CC80" s="5"/>
      <c r="CD80" s="5"/>
      <c r="CE80" s="6"/>
      <c r="CF80" s="6"/>
      <c r="CG80" s="6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K80" s="5"/>
      <c r="EN80" s="5"/>
      <c r="EO80" s="5"/>
      <c r="EP80" s="5"/>
    </row>
    <row r="81" spans="2:146" ht="14.25">
      <c r="B81" s="82"/>
      <c r="C81" s="82"/>
      <c r="D81" s="82"/>
      <c r="E81" s="82"/>
      <c r="AY81" s="3"/>
      <c r="AZ81" s="4"/>
      <c r="BA81" s="4"/>
      <c r="BC81" s="3"/>
      <c r="BD81" s="4"/>
      <c r="BE81" s="4"/>
      <c r="BG81" s="3"/>
      <c r="BH81" s="4"/>
      <c r="BI81" s="4"/>
      <c r="BJ81" s="137"/>
      <c r="BK81" s="137"/>
      <c r="BL81" s="137"/>
      <c r="BM81" s="137"/>
      <c r="BN81" s="137"/>
      <c r="BO81" s="137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5"/>
      <c r="CB81" s="4"/>
      <c r="CC81" s="5"/>
      <c r="CD81" s="5"/>
      <c r="CE81" s="6"/>
      <c r="CF81" s="6"/>
      <c r="CG81" s="6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K81" s="5"/>
      <c r="EN81" s="5"/>
      <c r="EO81" s="5"/>
      <c r="EP81" s="5"/>
    </row>
    <row r="82" spans="2:146" ht="14.25">
      <c r="B82" s="82"/>
      <c r="C82" s="82"/>
      <c r="D82" s="82"/>
      <c r="E82" s="82"/>
      <c r="AY82" s="3"/>
      <c r="AZ82" s="4"/>
      <c r="BA82" s="4"/>
      <c r="BC82" s="3"/>
      <c r="BD82" s="4"/>
      <c r="BE82" s="4"/>
      <c r="BG82" s="3"/>
      <c r="BH82" s="4"/>
      <c r="BI82" s="4"/>
      <c r="BJ82" s="137"/>
      <c r="BK82" s="137"/>
      <c r="BL82" s="137"/>
      <c r="BM82" s="137"/>
      <c r="BN82" s="137"/>
      <c r="BO82" s="137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5"/>
      <c r="CB82" s="4"/>
      <c r="CC82" s="5"/>
      <c r="CD82" s="5"/>
      <c r="CE82" s="6"/>
      <c r="CF82" s="6"/>
      <c r="CG82" s="6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K82" s="5"/>
      <c r="EN82" s="5"/>
      <c r="EO82" s="5"/>
      <c r="EP82" s="5"/>
    </row>
    <row r="83" spans="2:146" ht="14.25">
      <c r="B83" s="82"/>
      <c r="C83" s="82"/>
      <c r="D83" s="82"/>
      <c r="E83" s="82"/>
      <c r="AY83" s="3"/>
      <c r="AZ83" s="4"/>
      <c r="BA83" s="4"/>
      <c r="BC83" s="3"/>
      <c r="BD83" s="4"/>
      <c r="BE83" s="4"/>
      <c r="BG83" s="3"/>
      <c r="BH83" s="4"/>
      <c r="BI83" s="4"/>
      <c r="BJ83" s="137"/>
      <c r="BK83" s="137"/>
      <c r="BL83" s="137"/>
      <c r="BM83" s="137"/>
      <c r="BN83" s="137"/>
      <c r="BO83" s="137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5"/>
      <c r="CB83" s="4"/>
      <c r="CC83" s="5"/>
      <c r="CD83" s="5"/>
      <c r="CE83" s="6"/>
      <c r="CF83" s="6"/>
      <c r="CG83" s="6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K83" s="5"/>
      <c r="EN83" s="5"/>
      <c r="EO83" s="5"/>
      <c r="EP83" s="5"/>
    </row>
    <row r="84" spans="2:146" ht="14.25">
      <c r="B84" s="82"/>
      <c r="C84" s="82"/>
      <c r="D84" s="82"/>
      <c r="E84" s="82"/>
      <c r="AY84" s="3"/>
      <c r="AZ84" s="4"/>
      <c r="BA84" s="4"/>
      <c r="BC84" s="3"/>
      <c r="BD84" s="4"/>
      <c r="BE84" s="4"/>
      <c r="BG84" s="3"/>
      <c r="BH84" s="4"/>
      <c r="BI84" s="4"/>
      <c r="BJ84" s="137"/>
      <c r="BK84" s="137"/>
      <c r="BL84" s="137"/>
      <c r="BM84" s="137"/>
      <c r="BN84" s="137"/>
      <c r="BO84" s="137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5"/>
      <c r="CB84" s="4"/>
      <c r="CC84" s="5"/>
      <c r="CD84" s="5"/>
      <c r="CE84" s="6"/>
      <c r="CF84" s="6"/>
      <c r="CG84" s="6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K84" s="5"/>
      <c r="EN84" s="5"/>
      <c r="EO84" s="5"/>
      <c r="EP84" s="5"/>
    </row>
    <row r="85" spans="2:146" ht="14.25">
      <c r="B85" s="82"/>
      <c r="C85" s="82"/>
      <c r="D85" s="82"/>
      <c r="E85" s="82"/>
      <c r="AY85" s="3"/>
      <c r="AZ85" s="4"/>
      <c r="BA85" s="4"/>
      <c r="BC85" s="3"/>
      <c r="BD85" s="4"/>
      <c r="BE85" s="4"/>
      <c r="BG85" s="3"/>
      <c r="BH85" s="4"/>
      <c r="BI85" s="4"/>
      <c r="BJ85" s="137"/>
      <c r="BK85" s="137"/>
      <c r="BL85" s="137"/>
      <c r="BM85" s="137"/>
      <c r="BN85" s="137"/>
      <c r="BO85" s="137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5"/>
      <c r="CB85" s="4"/>
      <c r="CC85" s="5"/>
      <c r="CD85" s="5"/>
      <c r="CE85" s="6"/>
      <c r="CF85" s="6"/>
      <c r="CG85" s="6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K85" s="5"/>
      <c r="EN85" s="5"/>
      <c r="EO85" s="5"/>
      <c r="EP85" s="5"/>
    </row>
    <row r="86" spans="2:146" ht="14.25">
      <c r="B86" s="82"/>
      <c r="C86" s="82"/>
      <c r="D86" s="82"/>
      <c r="E86" s="82"/>
      <c r="AY86" s="3"/>
      <c r="AZ86" s="4"/>
      <c r="BA86" s="4"/>
      <c r="BC86" s="3"/>
      <c r="BD86" s="4"/>
      <c r="BE86" s="4"/>
      <c r="BG86" s="3"/>
      <c r="BH86" s="4"/>
      <c r="BI86" s="4"/>
      <c r="BJ86" s="137"/>
      <c r="BK86" s="137"/>
      <c r="BL86" s="137"/>
      <c r="BM86" s="137"/>
      <c r="BN86" s="137"/>
      <c r="BO86" s="137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5"/>
      <c r="CB86" s="4"/>
      <c r="CC86" s="5"/>
      <c r="CD86" s="5"/>
      <c r="CE86" s="6"/>
      <c r="CF86" s="6"/>
      <c r="CG86" s="6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K86" s="5"/>
      <c r="EN86" s="5"/>
      <c r="EO86" s="5"/>
      <c r="EP86" s="5"/>
    </row>
    <row r="87" spans="2:146" ht="14.25">
      <c r="B87" s="82"/>
      <c r="C87" s="82"/>
      <c r="D87" s="82"/>
      <c r="E87" s="82"/>
      <c r="AY87" s="3"/>
      <c r="AZ87" s="4"/>
      <c r="BA87" s="4"/>
      <c r="BC87" s="3"/>
      <c r="BD87" s="4"/>
      <c r="BE87" s="4"/>
      <c r="BG87" s="3"/>
      <c r="BH87" s="4"/>
      <c r="BI87" s="4"/>
      <c r="BJ87" s="137"/>
      <c r="BK87" s="137"/>
      <c r="BL87" s="137"/>
      <c r="BM87" s="137"/>
      <c r="BN87" s="137"/>
      <c r="BO87" s="137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5"/>
      <c r="CB87" s="4"/>
      <c r="CC87" s="5"/>
      <c r="CD87" s="5"/>
      <c r="CE87" s="6"/>
      <c r="CF87" s="6"/>
      <c r="CG87" s="6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K87" s="5"/>
      <c r="EN87" s="5"/>
      <c r="EO87" s="5"/>
      <c r="EP87" s="5"/>
    </row>
    <row r="88" spans="2:146" ht="14.25">
      <c r="B88" s="82"/>
      <c r="C88" s="82"/>
      <c r="D88" s="82"/>
      <c r="E88" s="82"/>
      <c r="AY88" s="3"/>
      <c r="AZ88" s="4"/>
      <c r="BA88" s="4"/>
      <c r="BC88" s="3"/>
      <c r="BD88" s="4"/>
      <c r="BE88" s="4"/>
      <c r="BG88" s="3"/>
      <c r="BH88" s="4"/>
      <c r="BI88" s="4"/>
      <c r="BJ88" s="137"/>
      <c r="BK88" s="137"/>
      <c r="BL88" s="137"/>
      <c r="BM88" s="137"/>
      <c r="BN88" s="137"/>
      <c r="BO88" s="137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5"/>
      <c r="CB88" s="4"/>
      <c r="CC88" s="5"/>
      <c r="CD88" s="5"/>
      <c r="CE88" s="6"/>
      <c r="CF88" s="6"/>
      <c r="CG88" s="6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K88" s="5"/>
      <c r="EN88" s="5"/>
      <c r="EO88" s="5"/>
      <c r="EP88" s="5"/>
    </row>
    <row r="89" spans="2:146" ht="14.25">
      <c r="B89" s="82"/>
      <c r="C89" s="82"/>
      <c r="D89" s="82"/>
      <c r="E89" s="82"/>
      <c r="AY89" s="3"/>
      <c r="AZ89" s="4"/>
      <c r="BA89" s="4"/>
      <c r="BC89" s="3"/>
      <c r="BD89" s="4"/>
      <c r="BE89" s="4"/>
      <c r="BG89" s="3"/>
      <c r="BH89" s="4"/>
      <c r="BI89" s="4"/>
      <c r="BJ89" s="137"/>
      <c r="BK89" s="137"/>
      <c r="BL89" s="137"/>
      <c r="BM89" s="137"/>
      <c r="BN89" s="137"/>
      <c r="BO89" s="137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5"/>
      <c r="CB89" s="4"/>
      <c r="CC89" s="5"/>
      <c r="CD89" s="5"/>
      <c r="CE89" s="6"/>
      <c r="CF89" s="6"/>
      <c r="CG89" s="6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K89" s="5"/>
      <c r="EN89" s="5"/>
      <c r="EO89" s="5"/>
      <c r="EP89" s="5"/>
    </row>
    <row r="90" spans="2:146" ht="15.75"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5"/>
      <c r="AW90" s="155"/>
      <c r="AX90" s="155"/>
      <c r="AY90" s="155"/>
      <c r="AZ90" s="156"/>
      <c r="BA90" s="156"/>
      <c r="BB90" s="155"/>
      <c r="BC90" s="155"/>
      <c r="BD90" s="156"/>
      <c r="BE90" s="156"/>
      <c r="BF90" s="155"/>
      <c r="BG90" s="155"/>
      <c r="BH90" s="156"/>
      <c r="BI90" s="156"/>
      <c r="BJ90" s="156"/>
      <c r="BK90" s="156"/>
      <c r="BL90" s="156"/>
      <c r="BM90" s="156"/>
      <c r="BN90" s="156"/>
      <c r="BO90" s="156"/>
      <c r="BP90" s="155"/>
      <c r="BQ90" s="155"/>
      <c r="BR90" s="82"/>
      <c r="BS90" s="82"/>
      <c r="BT90" s="82"/>
      <c r="BU90" s="82"/>
      <c r="BV90" s="82"/>
    </row>
    <row r="91" spans="2:146" ht="15.75"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  <c r="AI91" s="155"/>
      <c r="AJ91" s="155"/>
      <c r="AK91" s="155"/>
      <c r="AL91" s="155"/>
      <c r="AM91" s="155"/>
      <c r="AN91" s="155"/>
      <c r="AO91" s="155"/>
      <c r="AP91" s="155"/>
      <c r="AQ91" s="155"/>
      <c r="AR91" s="155"/>
      <c r="AS91" s="155"/>
      <c r="AT91" s="155"/>
      <c r="AU91" s="155"/>
      <c r="AV91" s="155"/>
      <c r="AW91" s="155"/>
      <c r="AX91" s="155"/>
      <c r="AY91" s="155"/>
      <c r="AZ91" s="156"/>
      <c r="BA91" s="156"/>
      <c r="BB91" s="155"/>
      <c r="BC91" s="155"/>
      <c r="BD91" s="156"/>
      <c r="BE91" s="156"/>
      <c r="BF91" s="155"/>
      <c r="BG91" s="155"/>
      <c r="BH91" s="156"/>
      <c r="BI91" s="156"/>
      <c r="BJ91" s="156"/>
      <c r="BK91" s="156"/>
      <c r="BL91" s="156"/>
      <c r="BM91" s="156"/>
      <c r="BN91" s="156"/>
      <c r="BO91" s="156"/>
      <c r="BP91" s="155"/>
      <c r="BQ91" s="155"/>
      <c r="BR91" s="82"/>
      <c r="BS91" s="82"/>
      <c r="BT91" s="82"/>
      <c r="BU91" s="82"/>
      <c r="BV91" s="82"/>
    </row>
    <row r="92" spans="2:146" ht="15.75"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  <c r="AK92" s="155"/>
      <c r="AL92" s="155"/>
      <c r="AM92" s="155"/>
      <c r="AN92" s="155"/>
      <c r="AO92" s="155"/>
      <c r="AP92" s="155"/>
      <c r="AQ92" s="155"/>
      <c r="AR92" s="155"/>
      <c r="AS92" s="155"/>
      <c r="AT92" s="155"/>
      <c r="AU92" s="155"/>
      <c r="AV92" s="155"/>
      <c r="AW92" s="155"/>
      <c r="AX92" s="155"/>
      <c r="AY92" s="155"/>
      <c r="AZ92" s="156"/>
      <c r="BA92" s="156"/>
      <c r="BB92" s="155"/>
      <c r="BC92" s="155"/>
      <c r="BD92" s="156"/>
      <c r="BE92" s="156"/>
      <c r="BF92" s="155"/>
      <c r="BG92" s="155"/>
      <c r="BH92" s="156"/>
      <c r="BI92" s="156"/>
      <c r="BJ92" s="156"/>
      <c r="BK92" s="156"/>
      <c r="BL92" s="156"/>
      <c r="BM92" s="156"/>
      <c r="BN92" s="156"/>
      <c r="BO92" s="156"/>
      <c r="BP92" s="155"/>
      <c r="BQ92" s="155"/>
      <c r="BR92" s="82"/>
      <c r="BS92" s="82"/>
      <c r="BT92" s="82"/>
      <c r="BU92" s="82"/>
      <c r="BV92" s="82"/>
    </row>
    <row r="93" spans="2:146" ht="15.75"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  <c r="AI93" s="155"/>
      <c r="AJ93" s="155"/>
      <c r="AK93" s="155"/>
      <c r="AL93" s="155"/>
      <c r="AM93" s="155"/>
      <c r="AN93" s="155"/>
      <c r="AO93" s="155"/>
      <c r="AP93" s="155"/>
      <c r="AQ93" s="155"/>
      <c r="AR93" s="155"/>
      <c r="AS93" s="155"/>
      <c r="AT93" s="155"/>
      <c r="AU93" s="155"/>
      <c r="AV93" s="155"/>
      <c r="AW93" s="155"/>
      <c r="AX93" s="155"/>
      <c r="AY93" s="155"/>
      <c r="AZ93" s="156"/>
      <c r="BA93" s="156"/>
      <c r="BB93" s="155"/>
      <c r="BC93" s="155"/>
      <c r="BD93" s="156"/>
      <c r="BE93" s="156"/>
      <c r="BF93" s="155"/>
      <c r="BG93" s="155"/>
      <c r="BH93" s="156"/>
      <c r="BI93" s="156"/>
      <c r="BJ93" s="156"/>
      <c r="BK93" s="156"/>
      <c r="BL93" s="156"/>
      <c r="BM93" s="156"/>
      <c r="BN93" s="156"/>
      <c r="BO93" s="156"/>
      <c r="BP93" s="155"/>
      <c r="BQ93" s="155"/>
      <c r="BR93" s="82"/>
      <c r="BS93" s="82"/>
      <c r="BT93" s="82"/>
      <c r="BU93" s="82"/>
      <c r="BV93" s="82"/>
    </row>
    <row r="94" spans="2:146" ht="15.75"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  <c r="AI94" s="155"/>
      <c r="AJ94" s="155"/>
      <c r="AK94" s="155"/>
      <c r="AL94" s="155"/>
      <c r="AM94" s="155"/>
      <c r="AN94" s="155"/>
      <c r="AO94" s="155"/>
      <c r="AP94" s="155"/>
      <c r="AQ94" s="155"/>
      <c r="AR94" s="155"/>
      <c r="AS94" s="155"/>
      <c r="AT94" s="155"/>
      <c r="AU94" s="155"/>
      <c r="AV94" s="155"/>
      <c r="AW94" s="155"/>
      <c r="AX94" s="155"/>
      <c r="AY94" s="155"/>
      <c r="AZ94" s="156"/>
      <c r="BA94" s="156"/>
      <c r="BB94" s="155"/>
      <c r="BC94" s="155"/>
      <c r="BD94" s="156"/>
      <c r="BE94" s="156"/>
      <c r="BF94" s="155"/>
      <c r="BG94" s="155"/>
      <c r="BH94" s="156"/>
      <c r="BI94" s="156"/>
      <c r="BJ94" s="156"/>
      <c r="BK94" s="156"/>
      <c r="BL94" s="156"/>
      <c r="BM94" s="156"/>
      <c r="BN94" s="156"/>
      <c r="BO94" s="156"/>
      <c r="BP94" s="155"/>
      <c r="BQ94" s="155"/>
      <c r="BR94" s="82"/>
      <c r="BS94" s="82"/>
      <c r="BT94" s="82"/>
      <c r="BU94" s="82"/>
      <c r="BV94" s="82"/>
    </row>
    <row r="95" spans="2:146" ht="15.75"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  <c r="AL95" s="155"/>
      <c r="AM95" s="155"/>
      <c r="AN95" s="155"/>
      <c r="AO95" s="155"/>
      <c r="AP95" s="155"/>
      <c r="AQ95" s="155"/>
      <c r="AR95" s="155"/>
      <c r="AS95" s="155"/>
      <c r="AT95" s="155"/>
      <c r="AU95" s="155"/>
      <c r="AV95" s="155"/>
      <c r="AW95" s="155"/>
      <c r="AX95" s="155"/>
      <c r="AY95" s="155"/>
      <c r="AZ95" s="156"/>
      <c r="BA95" s="156"/>
      <c r="BB95" s="155"/>
      <c r="BC95" s="155"/>
      <c r="BD95" s="156"/>
      <c r="BE95" s="156"/>
      <c r="BF95" s="155"/>
      <c r="BG95" s="155"/>
      <c r="BH95" s="156"/>
      <c r="BI95" s="156"/>
      <c r="BJ95" s="156"/>
      <c r="BK95" s="156"/>
      <c r="BL95" s="156"/>
      <c r="BM95" s="156"/>
      <c r="BN95" s="156"/>
      <c r="BO95" s="156"/>
      <c r="BP95" s="155"/>
      <c r="BQ95" s="155"/>
      <c r="BR95" s="82"/>
      <c r="BS95" s="82"/>
      <c r="BT95" s="82"/>
      <c r="BU95" s="82"/>
      <c r="BV95" s="82"/>
    </row>
    <row r="96" spans="2:146" ht="15.75"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  <c r="AK96" s="155"/>
      <c r="AL96" s="155"/>
      <c r="AM96" s="155"/>
      <c r="AN96" s="155"/>
      <c r="AO96" s="155"/>
      <c r="AP96" s="155"/>
      <c r="AQ96" s="155"/>
      <c r="AR96" s="155"/>
      <c r="AS96" s="155"/>
      <c r="AT96" s="155"/>
      <c r="AU96" s="155"/>
      <c r="AV96" s="155"/>
      <c r="AW96" s="155"/>
      <c r="AX96" s="155"/>
      <c r="AY96" s="155"/>
      <c r="AZ96" s="156"/>
      <c r="BA96" s="156"/>
      <c r="BB96" s="155"/>
      <c r="BC96" s="155"/>
      <c r="BD96" s="156"/>
      <c r="BE96" s="156"/>
      <c r="BF96" s="155"/>
      <c r="BG96" s="155"/>
      <c r="BH96" s="156"/>
      <c r="BI96" s="156"/>
      <c r="BJ96" s="156"/>
      <c r="BK96" s="156"/>
      <c r="BL96" s="156"/>
      <c r="BM96" s="156"/>
      <c r="BN96" s="156"/>
      <c r="BO96" s="156"/>
      <c r="BP96" s="155"/>
      <c r="BQ96" s="155"/>
      <c r="BR96" s="82"/>
      <c r="BS96" s="82"/>
      <c r="BT96" s="82"/>
      <c r="BU96" s="82"/>
      <c r="BV96" s="82"/>
    </row>
    <row r="97" spans="6:74" ht="15.75"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  <c r="AQ97" s="155"/>
      <c r="AR97" s="155"/>
      <c r="AS97" s="155"/>
      <c r="AT97" s="155"/>
      <c r="AU97" s="155"/>
      <c r="AV97" s="155"/>
      <c r="AW97" s="155"/>
      <c r="AX97" s="155"/>
      <c r="AY97" s="155"/>
      <c r="AZ97" s="156"/>
      <c r="BA97" s="156"/>
      <c r="BB97" s="155"/>
      <c r="BC97" s="155"/>
      <c r="BD97" s="156"/>
      <c r="BE97" s="156"/>
      <c r="BF97" s="155"/>
      <c r="BG97" s="155"/>
      <c r="BH97" s="156"/>
      <c r="BI97" s="156"/>
      <c r="BJ97" s="156"/>
      <c r="BK97" s="156"/>
      <c r="BL97" s="156"/>
      <c r="BM97" s="156"/>
      <c r="BN97" s="156"/>
      <c r="BO97" s="156"/>
      <c r="BP97" s="155"/>
      <c r="BQ97" s="155"/>
      <c r="BR97" s="82"/>
      <c r="BS97" s="82"/>
      <c r="BT97" s="82"/>
      <c r="BU97" s="82"/>
      <c r="BV97" s="82"/>
    </row>
    <row r="98" spans="6:74" ht="15.75"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5"/>
      <c r="AI98" s="155"/>
      <c r="AJ98" s="155"/>
      <c r="AK98" s="155"/>
      <c r="AL98" s="155"/>
      <c r="AM98" s="155"/>
      <c r="AN98" s="155"/>
      <c r="AO98" s="155"/>
      <c r="AP98" s="155"/>
      <c r="AQ98" s="155"/>
      <c r="AR98" s="155"/>
      <c r="AS98" s="155"/>
      <c r="AT98" s="155"/>
      <c r="AU98" s="155"/>
      <c r="AV98" s="155"/>
      <c r="AW98" s="155"/>
      <c r="AX98" s="155"/>
      <c r="AY98" s="155"/>
      <c r="AZ98" s="156"/>
      <c r="BA98" s="156"/>
      <c r="BB98" s="155"/>
      <c r="BC98" s="155"/>
      <c r="BD98" s="156"/>
      <c r="BE98" s="156"/>
      <c r="BF98" s="155"/>
      <c r="BG98" s="155"/>
      <c r="BH98" s="156"/>
      <c r="BI98" s="156"/>
      <c r="BJ98" s="156"/>
      <c r="BK98" s="156"/>
      <c r="BL98" s="156"/>
      <c r="BM98" s="156"/>
      <c r="BN98" s="156"/>
      <c r="BO98" s="156"/>
      <c r="BP98" s="155"/>
      <c r="BQ98" s="155"/>
      <c r="BR98" s="82"/>
      <c r="BS98" s="82"/>
      <c r="BT98" s="82"/>
      <c r="BU98" s="82"/>
      <c r="BV98" s="82"/>
    </row>
    <row r="99" spans="6:74" ht="15.75"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  <c r="AK99" s="155"/>
      <c r="AL99" s="155"/>
      <c r="AM99" s="155"/>
      <c r="AN99" s="155"/>
      <c r="AO99" s="155"/>
      <c r="AP99" s="155"/>
      <c r="AQ99" s="155"/>
      <c r="AR99" s="155"/>
      <c r="AS99" s="155"/>
      <c r="AT99" s="155"/>
      <c r="AU99" s="155"/>
      <c r="AV99" s="155"/>
      <c r="AW99" s="155"/>
      <c r="AX99" s="155"/>
      <c r="AY99" s="155"/>
      <c r="AZ99" s="156"/>
      <c r="BA99" s="156"/>
      <c r="BB99" s="155"/>
      <c r="BC99" s="155"/>
      <c r="BD99" s="156"/>
      <c r="BE99" s="156"/>
      <c r="BF99" s="155"/>
      <c r="BG99" s="155"/>
      <c r="BH99" s="156"/>
      <c r="BI99" s="156"/>
      <c r="BJ99" s="156"/>
      <c r="BK99" s="156"/>
      <c r="BL99" s="156"/>
      <c r="BM99" s="156"/>
      <c r="BN99" s="156"/>
      <c r="BO99" s="156"/>
      <c r="BP99" s="155"/>
      <c r="BQ99" s="155"/>
      <c r="BR99" s="82"/>
      <c r="BS99" s="82"/>
      <c r="BT99" s="82"/>
      <c r="BU99" s="82"/>
      <c r="BV99" s="82"/>
    </row>
    <row r="100" spans="6:74" ht="15.75"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  <c r="AK100" s="155"/>
      <c r="AL100" s="155"/>
      <c r="AM100" s="155"/>
      <c r="AN100" s="155"/>
      <c r="AO100" s="155"/>
      <c r="AP100" s="155"/>
      <c r="AQ100" s="155"/>
      <c r="AR100" s="155"/>
      <c r="AS100" s="155"/>
      <c r="AT100" s="155"/>
      <c r="AU100" s="155"/>
      <c r="AV100" s="155"/>
      <c r="AW100" s="155"/>
      <c r="AX100" s="155"/>
      <c r="AY100" s="155"/>
      <c r="AZ100" s="156"/>
      <c r="BA100" s="156"/>
      <c r="BB100" s="155"/>
      <c r="BC100" s="155"/>
      <c r="BD100" s="156"/>
      <c r="BE100" s="156"/>
      <c r="BF100" s="155"/>
      <c r="BG100" s="155"/>
      <c r="BH100" s="156"/>
      <c r="BI100" s="156"/>
      <c r="BJ100" s="156"/>
      <c r="BK100" s="156"/>
      <c r="BL100" s="156"/>
      <c r="BM100" s="156"/>
      <c r="BN100" s="156"/>
      <c r="BO100" s="156"/>
      <c r="BP100" s="155"/>
      <c r="BQ100" s="155"/>
      <c r="BR100" s="82"/>
      <c r="BS100" s="82"/>
      <c r="BT100" s="82"/>
      <c r="BU100" s="82"/>
      <c r="BV100" s="82"/>
    </row>
    <row r="101" spans="6:74" ht="15.75"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155"/>
      <c r="AJ101" s="155"/>
      <c r="AK101" s="155"/>
      <c r="AL101" s="155"/>
      <c r="AM101" s="155"/>
      <c r="AN101" s="155"/>
      <c r="AO101" s="155"/>
      <c r="AP101" s="155"/>
      <c r="AQ101" s="155"/>
      <c r="AR101" s="155"/>
      <c r="AS101" s="155"/>
      <c r="AT101" s="155"/>
      <c r="AU101" s="155"/>
      <c r="AV101" s="155"/>
      <c r="AW101" s="155"/>
      <c r="AX101" s="155"/>
      <c r="AY101" s="155"/>
      <c r="AZ101" s="156"/>
      <c r="BA101" s="156"/>
      <c r="BB101" s="155"/>
      <c r="BC101" s="155"/>
      <c r="BD101" s="156"/>
      <c r="BE101" s="156"/>
      <c r="BF101" s="155"/>
      <c r="BG101" s="155"/>
      <c r="BH101" s="156"/>
      <c r="BI101" s="156"/>
      <c r="BJ101" s="156"/>
      <c r="BK101" s="156"/>
      <c r="BL101" s="156"/>
      <c r="BM101" s="156"/>
      <c r="BN101" s="156"/>
      <c r="BO101" s="156"/>
      <c r="BP101" s="155"/>
      <c r="BQ101" s="155"/>
      <c r="BR101" s="82"/>
      <c r="BS101" s="82"/>
      <c r="BT101" s="82"/>
      <c r="BU101" s="82"/>
      <c r="BV101" s="82"/>
    </row>
    <row r="102" spans="6:74" ht="15.75"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  <c r="AK102" s="155"/>
      <c r="AL102" s="155"/>
      <c r="AM102" s="155"/>
      <c r="AN102" s="155"/>
      <c r="AO102" s="155"/>
      <c r="AP102" s="155"/>
      <c r="AQ102" s="155"/>
      <c r="AR102" s="155"/>
      <c r="AS102" s="155"/>
      <c r="AT102" s="155"/>
      <c r="AU102" s="155"/>
      <c r="AV102" s="155"/>
      <c r="AW102" s="155"/>
      <c r="AX102" s="155"/>
      <c r="AY102" s="155"/>
      <c r="AZ102" s="156"/>
      <c r="BA102" s="156"/>
      <c r="BB102" s="155"/>
      <c r="BC102" s="155"/>
      <c r="BD102" s="156"/>
      <c r="BE102" s="156"/>
      <c r="BF102" s="155"/>
      <c r="BG102" s="155"/>
      <c r="BH102" s="156"/>
      <c r="BI102" s="156"/>
      <c r="BJ102" s="156"/>
      <c r="BK102" s="156"/>
      <c r="BL102" s="156"/>
      <c r="BM102" s="156"/>
      <c r="BN102" s="156"/>
      <c r="BO102" s="156"/>
      <c r="BP102" s="155"/>
      <c r="BQ102" s="155"/>
      <c r="BR102" s="82"/>
      <c r="BS102" s="82"/>
      <c r="BT102" s="82"/>
      <c r="BU102" s="82"/>
      <c r="BV102" s="82"/>
    </row>
    <row r="103" spans="6:74" ht="15.75"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  <c r="AK103" s="155"/>
      <c r="AL103" s="155"/>
      <c r="AM103" s="155"/>
      <c r="AN103" s="155"/>
      <c r="AO103" s="155"/>
      <c r="AP103" s="155"/>
      <c r="AQ103" s="155"/>
      <c r="AR103" s="155"/>
      <c r="AS103" s="155"/>
      <c r="AT103" s="155"/>
      <c r="AU103" s="155"/>
      <c r="AV103" s="155"/>
      <c r="AW103" s="155"/>
      <c r="AX103" s="155"/>
      <c r="AY103" s="155"/>
      <c r="AZ103" s="156"/>
      <c r="BA103" s="156"/>
      <c r="BB103" s="155"/>
      <c r="BC103" s="155"/>
      <c r="BD103" s="156"/>
      <c r="BE103" s="156"/>
      <c r="BF103" s="155"/>
      <c r="BG103" s="155"/>
      <c r="BH103" s="156"/>
      <c r="BI103" s="156"/>
      <c r="BJ103" s="156"/>
      <c r="BK103" s="156"/>
      <c r="BL103" s="156"/>
      <c r="BM103" s="156"/>
      <c r="BN103" s="156"/>
      <c r="BO103" s="156"/>
      <c r="BP103" s="155"/>
      <c r="BQ103" s="155"/>
      <c r="BR103" s="82"/>
      <c r="BS103" s="82"/>
      <c r="BT103" s="82"/>
      <c r="BU103" s="82"/>
      <c r="BV103" s="82"/>
    </row>
    <row r="104" spans="6:74" ht="15.75"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  <c r="AK104" s="155"/>
      <c r="AL104" s="155"/>
      <c r="AM104" s="155"/>
      <c r="AN104" s="155"/>
      <c r="AO104" s="155"/>
      <c r="AP104" s="155"/>
      <c r="AQ104" s="155"/>
      <c r="AR104" s="155"/>
      <c r="AS104" s="155"/>
      <c r="AT104" s="155"/>
      <c r="AU104" s="155"/>
      <c r="AV104" s="155"/>
      <c r="AW104" s="155"/>
      <c r="AX104" s="155"/>
      <c r="AY104" s="155"/>
      <c r="AZ104" s="156"/>
      <c r="BA104" s="156"/>
      <c r="BB104" s="155"/>
      <c r="BC104" s="155"/>
      <c r="BD104" s="156"/>
      <c r="BE104" s="156"/>
      <c r="BF104" s="155"/>
      <c r="BG104" s="155"/>
      <c r="BH104" s="156"/>
      <c r="BI104" s="156"/>
      <c r="BJ104" s="156"/>
      <c r="BK104" s="156"/>
      <c r="BL104" s="156"/>
      <c r="BM104" s="156"/>
      <c r="BN104" s="156"/>
      <c r="BO104" s="156"/>
      <c r="BP104" s="155"/>
      <c r="BQ104" s="155"/>
      <c r="BR104" s="82"/>
      <c r="BS104" s="82"/>
      <c r="BT104" s="82"/>
      <c r="BU104" s="82"/>
      <c r="BV104" s="82"/>
    </row>
    <row r="105" spans="6:74" ht="15.75"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5"/>
      <c r="AL105" s="155"/>
      <c r="AM105" s="155"/>
      <c r="AN105" s="155"/>
      <c r="AO105" s="155"/>
      <c r="AP105" s="155"/>
      <c r="AQ105" s="155"/>
      <c r="AR105" s="155"/>
      <c r="AS105" s="155"/>
      <c r="AT105" s="155"/>
      <c r="AU105" s="155"/>
      <c r="AV105" s="155"/>
      <c r="AW105" s="155"/>
      <c r="AX105" s="155"/>
      <c r="AY105" s="155"/>
      <c r="AZ105" s="156"/>
      <c r="BA105" s="156"/>
      <c r="BB105" s="155"/>
      <c r="BC105" s="155"/>
      <c r="BD105" s="156"/>
      <c r="BE105" s="156"/>
      <c r="BF105" s="155"/>
      <c r="BG105" s="155"/>
      <c r="BH105" s="156"/>
      <c r="BI105" s="156"/>
      <c r="BJ105" s="156"/>
      <c r="BK105" s="156"/>
      <c r="BL105" s="156"/>
      <c r="BM105" s="156"/>
      <c r="BN105" s="156"/>
      <c r="BO105" s="156"/>
      <c r="BP105" s="155"/>
      <c r="BQ105" s="155"/>
      <c r="BR105" s="82"/>
      <c r="BS105" s="82"/>
      <c r="BT105" s="82"/>
      <c r="BU105" s="82"/>
      <c r="BV105" s="82"/>
    </row>
    <row r="106" spans="6:74" ht="15.75"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  <c r="AK106" s="155"/>
      <c r="AL106" s="155"/>
      <c r="AM106" s="155"/>
      <c r="AN106" s="155"/>
      <c r="AO106" s="155"/>
      <c r="AP106" s="155"/>
      <c r="AQ106" s="155"/>
      <c r="AR106" s="155"/>
      <c r="AS106" s="155"/>
      <c r="AT106" s="155"/>
      <c r="AU106" s="155"/>
      <c r="AV106" s="155"/>
      <c r="AW106" s="155"/>
      <c r="AX106" s="155"/>
      <c r="AY106" s="155"/>
      <c r="AZ106" s="156"/>
      <c r="BA106" s="156"/>
      <c r="BB106" s="155"/>
      <c r="BC106" s="155"/>
      <c r="BD106" s="156"/>
      <c r="BE106" s="156"/>
      <c r="BF106" s="155"/>
      <c r="BG106" s="155"/>
      <c r="BH106" s="156"/>
      <c r="BI106" s="156"/>
      <c r="BJ106" s="156"/>
      <c r="BK106" s="156"/>
      <c r="BL106" s="156"/>
      <c r="BM106" s="156"/>
      <c r="BN106" s="156"/>
      <c r="BO106" s="156"/>
      <c r="BP106" s="155"/>
      <c r="BQ106" s="155"/>
      <c r="BR106" s="82"/>
      <c r="BS106" s="82"/>
      <c r="BT106" s="82"/>
      <c r="BU106" s="82"/>
      <c r="BV106" s="82"/>
    </row>
    <row r="107" spans="6:74" ht="15.75"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  <c r="AI107" s="155"/>
      <c r="AJ107" s="155"/>
      <c r="AK107" s="155"/>
      <c r="AL107" s="155"/>
      <c r="AM107" s="155"/>
      <c r="AN107" s="155"/>
      <c r="AO107" s="155"/>
      <c r="AP107" s="155"/>
      <c r="AQ107" s="155"/>
      <c r="AR107" s="155"/>
      <c r="AS107" s="155"/>
      <c r="AT107" s="155"/>
      <c r="AU107" s="155"/>
      <c r="AV107" s="155"/>
      <c r="AW107" s="155"/>
      <c r="AX107" s="155"/>
      <c r="AY107" s="155"/>
      <c r="AZ107" s="156"/>
      <c r="BA107" s="156"/>
      <c r="BB107" s="155"/>
      <c r="BC107" s="155"/>
      <c r="BD107" s="156"/>
      <c r="BE107" s="156"/>
      <c r="BF107" s="155"/>
      <c r="BG107" s="155"/>
      <c r="BH107" s="156"/>
      <c r="BI107" s="156"/>
      <c r="BJ107" s="156"/>
      <c r="BK107" s="156"/>
      <c r="BL107" s="156"/>
      <c r="BM107" s="156"/>
      <c r="BN107" s="156"/>
      <c r="BO107" s="156"/>
      <c r="BP107" s="155"/>
      <c r="BQ107" s="155"/>
      <c r="BR107" s="82"/>
      <c r="BS107" s="82"/>
      <c r="BT107" s="82"/>
      <c r="BU107" s="82"/>
      <c r="BV107" s="82"/>
    </row>
    <row r="108" spans="6:74" ht="15.75"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155"/>
      <c r="AG108" s="155"/>
      <c r="AH108" s="155"/>
      <c r="AI108" s="155"/>
      <c r="AJ108" s="155"/>
      <c r="AK108" s="155"/>
      <c r="AL108" s="155"/>
      <c r="AM108" s="155"/>
      <c r="AN108" s="155"/>
      <c r="AO108" s="155"/>
      <c r="AP108" s="155"/>
      <c r="AQ108" s="155"/>
      <c r="AR108" s="155"/>
      <c r="AS108" s="155"/>
      <c r="AT108" s="155"/>
      <c r="AU108" s="155"/>
      <c r="AV108" s="155"/>
      <c r="AW108" s="155"/>
      <c r="AX108" s="155"/>
      <c r="AY108" s="155"/>
      <c r="AZ108" s="156"/>
      <c r="BA108" s="156"/>
      <c r="BB108" s="155"/>
      <c r="BC108" s="155"/>
      <c r="BD108" s="156"/>
      <c r="BE108" s="156"/>
      <c r="BF108" s="155"/>
      <c r="BG108" s="155"/>
      <c r="BH108" s="156"/>
      <c r="BI108" s="156"/>
      <c r="BJ108" s="156"/>
      <c r="BK108" s="156"/>
      <c r="BL108" s="156"/>
      <c r="BM108" s="156"/>
      <c r="BN108" s="156"/>
      <c r="BO108" s="156"/>
      <c r="BP108" s="155"/>
      <c r="BQ108" s="155"/>
      <c r="BR108" s="82"/>
      <c r="BS108" s="82"/>
      <c r="BT108" s="82"/>
      <c r="BU108" s="82"/>
      <c r="BV108" s="82"/>
    </row>
    <row r="109" spans="6:74" ht="15.75"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6"/>
      <c r="BA109" s="156"/>
      <c r="BB109" s="155"/>
      <c r="BC109" s="155"/>
      <c r="BD109" s="156"/>
      <c r="BE109" s="156"/>
      <c r="BF109" s="155"/>
      <c r="BG109" s="155"/>
      <c r="BH109" s="156"/>
      <c r="BI109" s="156"/>
      <c r="BJ109" s="156"/>
      <c r="BK109" s="156"/>
      <c r="BL109" s="156"/>
      <c r="BM109" s="156"/>
      <c r="BN109" s="156"/>
      <c r="BO109" s="156"/>
      <c r="BP109" s="155"/>
      <c r="BQ109" s="155"/>
      <c r="BR109" s="82"/>
      <c r="BS109" s="82"/>
      <c r="BT109" s="82"/>
      <c r="BU109" s="82"/>
      <c r="BV109" s="82"/>
    </row>
    <row r="110" spans="6:74" ht="15.75"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  <c r="AK110" s="155"/>
      <c r="AL110" s="155"/>
      <c r="AM110" s="155"/>
      <c r="AN110" s="155"/>
      <c r="AO110" s="155"/>
      <c r="AP110" s="155"/>
      <c r="AQ110" s="155"/>
      <c r="AR110" s="155"/>
      <c r="AS110" s="155"/>
      <c r="AT110" s="155"/>
      <c r="AU110" s="155"/>
      <c r="AV110" s="155"/>
      <c r="AW110" s="155"/>
      <c r="AX110" s="155"/>
      <c r="AY110" s="155"/>
      <c r="AZ110" s="156"/>
      <c r="BA110" s="156"/>
      <c r="BB110" s="155"/>
      <c r="BC110" s="155"/>
      <c r="BD110" s="156"/>
      <c r="BE110" s="156"/>
      <c r="BF110" s="155"/>
      <c r="BG110" s="155"/>
      <c r="BH110" s="156"/>
      <c r="BI110" s="156"/>
      <c r="BJ110" s="156"/>
      <c r="BK110" s="156"/>
      <c r="BL110" s="156"/>
      <c r="BM110" s="156"/>
      <c r="BN110" s="156"/>
      <c r="BO110" s="156"/>
      <c r="BP110" s="155"/>
      <c r="BQ110" s="155"/>
      <c r="BR110" s="82"/>
      <c r="BS110" s="82"/>
      <c r="BT110" s="82"/>
      <c r="BU110" s="82"/>
      <c r="BV110" s="82"/>
    </row>
    <row r="111" spans="6:74" ht="15.75"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/>
      <c r="AL111" s="155"/>
      <c r="AM111" s="155"/>
      <c r="AN111" s="155"/>
      <c r="AO111" s="155"/>
      <c r="AP111" s="155"/>
      <c r="AQ111" s="155"/>
      <c r="AR111" s="155"/>
      <c r="AS111" s="155"/>
      <c r="AT111" s="155"/>
      <c r="AU111" s="155"/>
      <c r="AV111" s="155"/>
      <c r="AW111" s="155"/>
      <c r="AX111" s="155"/>
      <c r="AY111" s="155"/>
      <c r="AZ111" s="156"/>
      <c r="BA111" s="156"/>
      <c r="BB111" s="155"/>
      <c r="BC111" s="155"/>
      <c r="BD111" s="156"/>
      <c r="BE111" s="156"/>
      <c r="BF111" s="155"/>
      <c r="BG111" s="155"/>
      <c r="BH111" s="156"/>
      <c r="BI111" s="156"/>
      <c r="BJ111" s="156"/>
      <c r="BK111" s="156"/>
      <c r="BL111" s="156"/>
      <c r="BM111" s="156"/>
      <c r="BN111" s="156"/>
      <c r="BO111" s="156"/>
      <c r="BP111" s="155"/>
      <c r="BQ111" s="155"/>
      <c r="BR111" s="82"/>
      <c r="BS111" s="82"/>
      <c r="BT111" s="82"/>
      <c r="BU111" s="82"/>
      <c r="BV111" s="82"/>
    </row>
    <row r="112" spans="6:74" ht="15.75"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  <c r="AK112" s="155"/>
      <c r="AL112" s="155"/>
      <c r="AM112" s="155"/>
      <c r="AN112" s="155"/>
      <c r="AO112" s="155"/>
      <c r="AP112" s="155"/>
      <c r="AQ112" s="155"/>
      <c r="AR112" s="155"/>
      <c r="AS112" s="155"/>
      <c r="AT112" s="155"/>
      <c r="AU112" s="155"/>
      <c r="AV112" s="155"/>
      <c r="AW112" s="155"/>
      <c r="AX112" s="155"/>
      <c r="AY112" s="155"/>
      <c r="AZ112" s="156"/>
      <c r="BA112" s="156"/>
      <c r="BB112" s="155"/>
      <c r="BC112" s="155"/>
      <c r="BD112" s="156"/>
      <c r="BE112" s="156"/>
      <c r="BF112" s="155"/>
      <c r="BG112" s="155"/>
      <c r="BH112" s="156"/>
      <c r="BI112" s="156"/>
      <c r="BJ112" s="156"/>
      <c r="BK112" s="156"/>
      <c r="BL112" s="156"/>
      <c r="BM112" s="156"/>
      <c r="BN112" s="156"/>
      <c r="BO112" s="156"/>
      <c r="BP112" s="155"/>
      <c r="BQ112" s="155"/>
      <c r="BR112" s="82"/>
      <c r="BS112" s="82"/>
      <c r="BT112" s="82"/>
      <c r="BU112" s="82"/>
      <c r="BV112" s="82"/>
    </row>
    <row r="113" spans="6:69"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8"/>
      <c r="BA113" s="158"/>
      <c r="BB113" s="157"/>
      <c r="BC113" s="157"/>
      <c r="BD113" s="158"/>
      <c r="BE113" s="158"/>
      <c r="BF113" s="157"/>
      <c r="BG113" s="157"/>
      <c r="BH113" s="158"/>
      <c r="BI113" s="158"/>
      <c r="BJ113" s="158"/>
      <c r="BK113" s="158"/>
      <c r="BL113" s="158"/>
      <c r="BM113" s="158"/>
      <c r="BN113" s="158"/>
      <c r="BO113" s="158"/>
      <c r="BP113" s="157"/>
      <c r="BQ113" s="157"/>
    </row>
    <row r="114" spans="6:69"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8"/>
      <c r="BA114" s="158"/>
      <c r="BB114" s="157"/>
      <c r="BC114" s="157"/>
      <c r="BD114" s="158"/>
      <c r="BE114" s="158"/>
      <c r="BF114" s="157"/>
      <c r="BG114" s="157"/>
      <c r="BH114" s="158"/>
      <c r="BI114" s="158"/>
      <c r="BJ114" s="158"/>
      <c r="BK114" s="158"/>
      <c r="BL114" s="158"/>
      <c r="BM114" s="158"/>
      <c r="BN114" s="158"/>
      <c r="BO114" s="158"/>
      <c r="BP114" s="157"/>
      <c r="BQ114" s="157"/>
    </row>
    <row r="115" spans="6:69"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8"/>
      <c r="BA115" s="158"/>
      <c r="BB115" s="157"/>
      <c r="BC115" s="157"/>
      <c r="BD115" s="158"/>
      <c r="BE115" s="158"/>
      <c r="BF115" s="157"/>
      <c r="BG115" s="157"/>
      <c r="BH115" s="158"/>
      <c r="BI115" s="158"/>
      <c r="BJ115" s="158"/>
      <c r="BK115" s="158"/>
      <c r="BL115" s="158"/>
      <c r="BM115" s="158"/>
      <c r="BN115" s="158"/>
      <c r="BO115" s="158"/>
      <c r="BP115" s="157"/>
      <c r="BQ115" s="157"/>
    </row>
    <row r="116" spans="6:69"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8"/>
      <c r="BA116" s="158"/>
      <c r="BB116" s="157"/>
      <c r="BC116" s="157"/>
      <c r="BD116" s="158"/>
      <c r="BE116" s="158"/>
      <c r="BF116" s="157"/>
      <c r="BG116" s="157"/>
      <c r="BH116" s="158"/>
      <c r="BI116" s="158"/>
      <c r="BJ116" s="158"/>
      <c r="BK116" s="158"/>
      <c r="BL116" s="158"/>
      <c r="BM116" s="158"/>
      <c r="BN116" s="158"/>
      <c r="BO116" s="158"/>
      <c r="BP116" s="157"/>
      <c r="BQ116" s="157"/>
    </row>
    <row r="117" spans="6:69"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8"/>
      <c r="BA117" s="158"/>
      <c r="BB117" s="157"/>
      <c r="BC117" s="157"/>
      <c r="BD117" s="158"/>
      <c r="BE117" s="158"/>
      <c r="BF117" s="157"/>
      <c r="BG117" s="157"/>
      <c r="BH117" s="158"/>
      <c r="BI117" s="158"/>
      <c r="BJ117" s="158"/>
      <c r="BK117" s="158"/>
      <c r="BL117" s="158"/>
      <c r="BM117" s="158"/>
      <c r="BN117" s="158"/>
      <c r="BO117" s="158"/>
      <c r="BP117" s="157"/>
      <c r="BQ117" s="157"/>
    </row>
    <row r="118" spans="6:69"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8"/>
      <c r="BA118" s="158"/>
      <c r="BB118" s="157"/>
      <c r="BC118" s="157"/>
      <c r="BD118" s="158"/>
      <c r="BE118" s="158"/>
      <c r="BF118" s="157"/>
      <c r="BG118" s="157"/>
      <c r="BH118" s="158"/>
      <c r="BI118" s="158"/>
      <c r="BJ118" s="158"/>
      <c r="BK118" s="158"/>
      <c r="BL118" s="158"/>
      <c r="BM118" s="158"/>
      <c r="BN118" s="158"/>
      <c r="BO118" s="158"/>
      <c r="BP118" s="157"/>
      <c r="BQ118" s="157"/>
    </row>
    <row r="119" spans="6:69"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8"/>
      <c r="BA119" s="158"/>
      <c r="BB119" s="157"/>
      <c r="BC119" s="157"/>
      <c r="BD119" s="158"/>
      <c r="BE119" s="158"/>
      <c r="BF119" s="157"/>
      <c r="BG119" s="157"/>
      <c r="BH119" s="158"/>
      <c r="BI119" s="158"/>
      <c r="BJ119" s="158"/>
      <c r="BK119" s="158"/>
      <c r="BL119" s="158"/>
      <c r="BM119" s="158"/>
      <c r="BN119" s="158"/>
      <c r="BO119" s="158"/>
      <c r="BP119" s="157"/>
      <c r="BQ119" s="157"/>
    </row>
    <row r="120" spans="6:69"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8"/>
      <c r="BA120" s="158"/>
      <c r="BB120" s="157"/>
      <c r="BC120" s="157"/>
      <c r="BD120" s="158"/>
      <c r="BE120" s="158"/>
      <c r="BF120" s="157"/>
      <c r="BG120" s="157"/>
      <c r="BH120" s="158"/>
      <c r="BI120" s="158"/>
      <c r="BJ120" s="158"/>
      <c r="BK120" s="158"/>
      <c r="BL120" s="158"/>
      <c r="BM120" s="158"/>
      <c r="BN120" s="158"/>
      <c r="BO120" s="158"/>
      <c r="BP120" s="157"/>
      <c r="BQ120" s="157"/>
    </row>
    <row r="121" spans="6:69"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  <c r="AN121" s="157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8"/>
      <c r="BA121" s="158"/>
      <c r="BB121" s="157"/>
      <c r="BC121" s="157"/>
      <c r="BD121" s="158"/>
      <c r="BE121" s="158"/>
      <c r="BF121" s="157"/>
      <c r="BG121" s="157"/>
      <c r="BH121" s="158"/>
      <c r="BI121" s="158"/>
      <c r="BJ121" s="158"/>
      <c r="BK121" s="158"/>
      <c r="BL121" s="158"/>
      <c r="BM121" s="158"/>
      <c r="BN121" s="158"/>
      <c r="BO121" s="158"/>
      <c r="BP121" s="157"/>
      <c r="BQ121" s="157"/>
    </row>
    <row r="122" spans="6:69"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8"/>
      <c r="BA122" s="158"/>
      <c r="BB122" s="157"/>
      <c r="BC122" s="157"/>
      <c r="BD122" s="158"/>
      <c r="BE122" s="158"/>
      <c r="BF122" s="157"/>
      <c r="BG122" s="157"/>
      <c r="BH122" s="158"/>
      <c r="BI122" s="158"/>
      <c r="BJ122" s="158"/>
      <c r="BK122" s="158"/>
      <c r="BL122" s="158"/>
      <c r="BM122" s="158"/>
      <c r="BN122" s="158"/>
      <c r="BO122" s="158"/>
      <c r="BP122" s="157"/>
      <c r="BQ122" s="157"/>
    </row>
    <row r="123" spans="6:69"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  <c r="AM123" s="157"/>
      <c r="AN123" s="157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8"/>
      <c r="BA123" s="158"/>
      <c r="BB123" s="157"/>
      <c r="BC123" s="157"/>
      <c r="BD123" s="158"/>
      <c r="BE123" s="158"/>
      <c r="BF123" s="157"/>
      <c r="BG123" s="157"/>
      <c r="BH123" s="158"/>
      <c r="BI123" s="158"/>
      <c r="BJ123" s="158"/>
      <c r="BK123" s="158"/>
      <c r="BL123" s="158"/>
      <c r="BM123" s="158"/>
      <c r="BN123" s="158"/>
      <c r="BO123" s="158"/>
      <c r="BP123" s="157"/>
      <c r="BQ123" s="157"/>
    </row>
    <row r="124" spans="6:69"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8"/>
      <c r="BA124" s="158"/>
      <c r="BB124" s="157"/>
      <c r="BC124" s="157"/>
      <c r="BD124" s="158"/>
      <c r="BE124" s="158"/>
      <c r="BF124" s="157"/>
      <c r="BG124" s="157"/>
      <c r="BH124" s="158"/>
      <c r="BI124" s="158"/>
      <c r="BJ124" s="158"/>
      <c r="BK124" s="158"/>
      <c r="BL124" s="158"/>
      <c r="BM124" s="158"/>
      <c r="BN124" s="158"/>
      <c r="BO124" s="158"/>
      <c r="BP124" s="157"/>
      <c r="BQ124" s="157"/>
    </row>
    <row r="125" spans="6:69"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8"/>
      <c r="BA125" s="158"/>
      <c r="BB125" s="157"/>
      <c r="BC125" s="157"/>
      <c r="BD125" s="158"/>
      <c r="BE125" s="158"/>
      <c r="BF125" s="157"/>
      <c r="BG125" s="157"/>
      <c r="BH125" s="158"/>
      <c r="BI125" s="158"/>
      <c r="BJ125" s="158"/>
      <c r="BK125" s="158"/>
      <c r="BL125" s="158"/>
      <c r="BM125" s="158"/>
      <c r="BN125" s="158"/>
      <c r="BO125" s="158"/>
      <c r="BP125" s="157"/>
      <c r="BQ125" s="157"/>
    </row>
    <row r="126" spans="6:69"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8"/>
      <c r="BA126" s="158"/>
      <c r="BB126" s="157"/>
      <c r="BC126" s="157"/>
      <c r="BD126" s="158"/>
      <c r="BE126" s="158"/>
      <c r="BF126" s="157"/>
      <c r="BG126" s="157"/>
      <c r="BH126" s="158"/>
      <c r="BI126" s="158"/>
      <c r="BJ126" s="158"/>
      <c r="BK126" s="158"/>
      <c r="BL126" s="158"/>
      <c r="BM126" s="158"/>
      <c r="BN126" s="158"/>
      <c r="BO126" s="158"/>
      <c r="BP126" s="157"/>
      <c r="BQ126" s="157"/>
    </row>
    <row r="127" spans="6:69"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8"/>
      <c r="BA127" s="158"/>
      <c r="BB127" s="157"/>
      <c r="BC127" s="157"/>
      <c r="BD127" s="158"/>
      <c r="BE127" s="158"/>
      <c r="BF127" s="157"/>
      <c r="BG127" s="157"/>
      <c r="BH127" s="158"/>
      <c r="BI127" s="158"/>
      <c r="BJ127" s="158"/>
      <c r="BK127" s="158"/>
      <c r="BL127" s="158"/>
      <c r="BM127" s="158"/>
      <c r="BN127" s="158"/>
      <c r="BO127" s="158"/>
      <c r="BP127" s="157"/>
      <c r="BQ127" s="157"/>
    </row>
    <row r="128" spans="6:69"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8"/>
      <c r="BA128" s="158"/>
      <c r="BB128" s="157"/>
      <c r="BC128" s="157"/>
      <c r="BD128" s="158"/>
      <c r="BE128" s="158"/>
      <c r="BF128" s="157"/>
      <c r="BG128" s="157"/>
      <c r="BH128" s="158"/>
      <c r="BI128" s="158"/>
      <c r="BJ128" s="158"/>
      <c r="BK128" s="158"/>
      <c r="BL128" s="158"/>
      <c r="BM128" s="158"/>
      <c r="BN128" s="158"/>
      <c r="BO128" s="158"/>
      <c r="BP128" s="157"/>
      <c r="BQ128" s="157"/>
    </row>
    <row r="129" spans="6:69"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8"/>
      <c r="BA129" s="158"/>
      <c r="BB129" s="157"/>
      <c r="BC129" s="157"/>
      <c r="BD129" s="158"/>
      <c r="BE129" s="158"/>
      <c r="BF129" s="157"/>
      <c r="BG129" s="157"/>
      <c r="BH129" s="158"/>
      <c r="BI129" s="158"/>
      <c r="BJ129" s="158"/>
      <c r="BK129" s="158"/>
      <c r="BL129" s="158"/>
      <c r="BM129" s="158"/>
      <c r="BN129" s="158"/>
      <c r="BO129" s="158"/>
      <c r="BP129" s="157"/>
      <c r="BQ129" s="157"/>
    </row>
    <row r="130" spans="6:69"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8"/>
      <c r="BA130" s="158"/>
      <c r="BB130" s="157"/>
      <c r="BC130" s="157"/>
      <c r="BD130" s="158"/>
      <c r="BE130" s="158"/>
      <c r="BF130" s="157"/>
      <c r="BG130" s="157"/>
      <c r="BH130" s="158"/>
      <c r="BI130" s="158"/>
      <c r="BJ130" s="158"/>
      <c r="BK130" s="158"/>
      <c r="BL130" s="158"/>
      <c r="BM130" s="158"/>
      <c r="BN130" s="158"/>
      <c r="BO130" s="158"/>
      <c r="BP130" s="157"/>
      <c r="BQ130" s="157"/>
    </row>
    <row r="131" spans="6:69"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8"/>
      <c r="BA131" s="158"/>
      <c r="BB131" s="157"/>
      <c r="BC131" s="157"/>
      <c r="BD131" s="158"/>
      <c r="BE131" s="158"/>
      <c r="BF131" s="157"/>
      <c r="BG131" s="157"/>
      <c r="BH131" s="158"/>
      <c r="BI131" s="158"/>
      <c r="BJ131" s="158"/>
      <c r="BK131" s="158"/>
      <c r="BL131" s="158"/>
      <c r="BM131" s="158"/>
      <c r="BN131" s="158"/>
      <c r="BO131" s="158"/>
      <c r="BP131" s="157"/>
      <c r="BQ131" s="157"/>
    </row>
    <row r="132" spans="6:69"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8"/>
      <c r="BA132" s="158"/>
      <c r="BB132" s="157"/>
      <c r="BC132" s="157"/>
      <c r="BD132" s="158"/>
      <c r="BE132" s="158"/>
      <c r="BF132" s="157"/>
      <c r="BG132" s="157"/>
      <c r="BH132" s="158"/>
      <c r="BI132" s="158"/>
      <c r="BJ132" s="158"/>
      <c r="BK132" s="158"/>
      <c r="BL132" s="158"/>
      <c r="BM132" s="158"/>
      <c r="BN132" s="158"/>
      <c r="BO132" s="158"/>
      <c r="BP132" s="157"/>
      <c r="BQ132" s="157"/>
    </row>
    <row r="133" spans="6:69"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  <c r="AN133" s="157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8"/>
      <c r="BA133" s="158"/>
      <c r="BB133" s="157"/>
      <c r="BC133" s="157"/>
      <c r="BD133" s="158"/>
      <c r="BE133" s="158"/>
      <c r="BF133" s="157"/>
      <c r="BG133" s="157"/>
      <c r="BH133" s="158"/>
      <c r="BI133" s="158"/>
      <c r="BJ133" s="158"/>
      <c r="BK133" s="158"/>
      <c r="BL133" s="158"/>
      <c r="BM133" s="158"/>
      <c r="BN133" s="158"/>
      <c r="BO133" s="158"/>
      <c r="BP133" s="157"/>
      <c r="BQ133" s="157"/>
    </row>
    <row r="134" spans="6:69"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8"/>
      <c r="BA134" s="158"/>
      <c r="BB134" s="157"/>
      <c r="BC134" s="157"/>
      <c r="BD134" s="158"/>
      <c r="BE134" s="158"/>
      <c r="BF134" s="157"/>
      <c r="BG134" s="157"/>
      <c r="BH134" s="158"/>
      <c r="BI134" s="158"/>
      <c r="BJ134" s="158"/>
      <c r="BK134" s="158"/>
      <c r="BL134" s="158"/>
      <c r="BM134" s="158"/>
      <c r="BN134" s="158"/>
      <c r="BO134" s="158"/>
      <c r="BP134" s="157"/>
      <c r="BQ134" s="157"/>
    </row>
    <row r="135" spans="6:69"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8"/>
      <c r="BA135" s="158"/>
      <c r="BB135" s="157"/>
      <c r="BC135" s="157"/>
      <c r="BD135" s="158"/>
      <c r="BE135" s="158"/>
      <c r="BF135" s="157"/>
      <c r="BG135" s="157"/>
      <c r="BH135" s="158"/>
      <c r="BI135" s="158"/>
      <c r="BJ135" s="158"/>
      <c r="BK135" s="158"/>
      <c r="BL135" s="158"/>
      <c r="BM135" s="158"/>
      <c r="BN135" s="158"/>
      <c r="BO135" s="158"/>
      <c r="BP135" s="157"/>
      <c r="BQ135" s="157"/>
    </row>
    <row r="136" spans="6:69"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8"/>
      <c r="BA136" s="158"/>
      <c r="BB136" s="157"/>
      <c r="BC136" s="157"/>
      <c r="BD136" s="158"/>
      <c r="BE136" s="158"/>
      <c r="BF136" s="157"/>
      <c r="BG136" s="157"/>
      <c r="BH136" s="158"/>
      <c r="BI136" s="158"/>
      <c r="BJ136" s="158"/>
      <c r="BK136" s="158"/>
      <c r="BL136" s="158"/>
      <c r="BM136" s="158"/>
      <c r="BN136" s="158"/>
      <c r="BO136" s="158"/>
      <c r="BP136" s="157"/>
      <c r="BQ136" s="157"/>
    </row>
    <row r="137" spans="6:69"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8"/>
      <c r="BA137" s="158"/>
      <c r="BB137" s="157"/>
      <c r="BC137" s="157"/>
      <c r="BD137" s="158"/>
      <c r="BE137" s="158"/>
      <c r="BF137" s="157"/>
      <c r="BG137" s="157"/>
      <c r="BH137" s="158"/>
      <c r="BI137" s="158"/>
      <c r="BJ137" s="158"/>
      <c r="BK137" s="158"/>
      <c r="BL137" s="158"/>
      <c r="BM137" s="158"/>
      <c r="BN137" s="158"/>
      <c r="BO137" s="158"/>
      <c r="BP137" s="157"/>
      <c r="BQ137" s="157"/>
    </row>
    <row r="138" spans="6:69"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8"/>
      <c r="BA138" s="158"/>
      <c r="BB138" s="157"/>
      <c r="BC138" s="157"/>
      <c r="BD138" s="158"/>
      <c r="BE138" s="158"/>
      <c r="BF138" s="157"/>
      <c r="BG138" s="157"/>
      <c r="BH138" s="158"/>
      <c r="BI138" s="158"/>
      <c r="BJ138" s="158"/>
      <c r="BK138" s="158"/>
      <c r="BL138" s="158"/>
      <c r="BM138" s="158"/>
      <c r="BN138" s="158"/>
      <c r="BO138" s="158"/>
      <c r="BP138" s="157"/>
      <c r="BQ138" s="157"/>
    </row>
    <row r="139" spans="6:69"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8"/>
      <c r="BA139" s="158"/>
      <c r="BB139" s="157"/>
      <c r="BC139" s="157"/>
      <c r="BD139" s="158"/>
      <c r="BE139" s="158"/>
      <c r="BF139" s="157"/>
      <c r="BG139" s="157"/>
      <c r="BH139" s="158"/>
      <c r="BI139" s="158"/>
      <c r="BJ139" s="158"/>
      <c r="BK139" s="158"/>
      <c r="BL139" s="158"/>
      <c r="BM139" s="158"/>
      <c r="BN139" s="158"/>
      <c r="BO139" s="158"/>
      <c r="BP139" s="157"/>
      <c r="BQ139" s="157"/>
    </row>
    <row r="140" spans="6:69"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  <c r="AN140" s="157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8"/>
      <c r="BA140" s="158"/>
      <c r="BB140" s="157"/>
      <c r="BC140" s="157"/>
      <c r="BD140" s="158"/>
      <c r="BE140" s="158"/>
      <c r="BF140" s="157"/>
      <c r="BG140" s="157"/>
      <c r="BH140" s="158"/>
      <c r="BI140" s="158"/>
      <c r="BJ140" s="158"/>
      <c r="BK140" s="158"/>
      <c r="BL140" s="158"/>
      <c r="BM140" s="158"/>
      <c r="BN140" s="158"/>
      <c r="BO140" s="158"/>
      <c r="BP140" s="157"/>
      <c r="BQ140" s="157"/>
    </row>
    <row r="141" spans="6:69"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/>
      <c r="AL141" s="157"/>
      <c r="AM141" s="157"/>
      <c r="AN141" s="157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8"/>
      <c r="BA141" s="158"/>
      <c r="BB141" s="157"/>
      <c r="BC141" s="157"/>
      <c r="BD141" s="158"/>
      <c r="BE141" s="158"/>
      <c r="BF141" s="157"/>
      <c r="BG141" s="157"/>
      <c r="BH141" s="158"/>
      <c r="BI141" s="158"/>
      <c r="BJ141" s="158"/>
      <c r="BK141" s="158"/>
      <c r="BL141" s="158"/>
      <c r="BM141" s="158"/>
      <c r="BN141" s="158"/>
      <c r="BO141" s="158"/>
      <c r="BP141" s="157"/>
      <c r="BQ141" s="157"/>
    </row>
    <row r="142" spans="6:69"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8"/>
      <c r="BA142" s="158"/>
      <c r="BB142" s="157"/>
      <c r="BC142" s="157"/>
      <c r="BD142" s="158"/>
      <c r="BE142" s="158"/>
      <c r="BF142" s="157"/>
      <c r="BG142" s="157"/>
      <c r="BH142" s="158"/>
      <c r="BI142" s="158"/>
      <c r="BJ142" s="158"/>
      <c r="BK142" s="158"/>
      <c r="BL142" s="158"/>
      <c r="BM142" s="158"/>
      <c r="BN142" s="158"/>
      <c r="BO142" s="158"/>
      <c r="BP142" s="157"/>
      <c r="BQ142" s="157"/>
    </row>
    <row r="143" spans="6:69"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  <c r="AN143" s="157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8"/>
      <c r="BA143" s="158"/>
      <c r="BB143" s="157"/>
      <c r="BC143" s="157"/>
      <c r="BD143" s="158"/>
      <c r="BE143" s="158"/>
      <c r="BF143" s="157"/>
      <c r="BG143" s="157"/>
      <c r="BH143" s="158"/>
      <c r="BI143" s="158"/>
      <c r="BJ143" s="158"/>
      <c r="BK143" s="158"/>
      <c r="BL143" s="158"/>
      <c r="BM143" s="158"/>
      <c r="BN143" s="158"/>
      <c r="BO143" s="158"/>
      <c r="BP143" s="157"/>
      <c r="BQ143" s="157"/>
    </row>
    <row r="144" spans="6:69"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8"/>
      <c r="BA144" s="158"/>
      <c r="BB144" s="157"/>
      <c r="BC144" s="157"/>
      <c r="BD144" s="158"/>
      <c r="BE144" s="158"/>
      <c r="BF144" s="157"/>
      <c r="BG144" s="157"/>
      <c r="BH144" s="158"/>
      <c r="BI144" s="158"/>
      <c r="BJ144" s="158"/>
      <c r="BK144" s="158"/>
      <c r="BL144" s="158"/>
      <c r="BM144" s="158"/>
      <c r="BN144" s="158"/>
      <c r="BO144" s="158"/>
      <c r="BP144" s="157"/>
      <c r="BQ144" s="157"/>
    </row>
    <row r="145" spans="6:69"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8"/>
      <c r="BA145" s="158"/>
      <c r="BB145" s="157"/>
      <c r="BC145" s="157"/>
      <c r="BD145" s="158"/>
      <c r="BE145" s="158"/>
      <c r="BF145" s="157"/>
      <c r="BG145" s="157"/>
      <c r="BH145" s="158"/>
      <c r="BI145" s="158"/>
      <c r="BJ145" s="158"/>
      <c r="BK145" s="158"/>
      <c r="BL145" s="158"/>
      <c r="BM145" s="158"/>
      <c r="BN145" s="158"/>
      <c r="BO145" s="158"/>
      <c r="BP145" s="157"/>
      <c r="BQ145" s="157"/>
    </row>
    <row r="146" spans="6:69"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7"/>
      <c r="AN146" s="157"/>
      <c r="AO146" s="157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8"/>
      <c r="BA146" s="158"/>
      <c r="BB146" s="157"/>
      <c r="BC146" s="157"/>
      <c r="BD146" s="158"/>
      <c r="BE146" s="158"/>
      <c r="BF146" s="157"/>
      <c r="BG146" s="157"/>
      <c r="BH146" s="158"/>
      <c r="BI146" s="158"/>
      <c r="BJ146" s="158"/>
      <c r="BK146" s="158"/>
      <c r="BL146" s="158"/>
      <c r="BM146" s="158"/>
      <c r="BN146" s="158"/>
      <c r="BO146" s="158"/>
      <c r="BP146" s="157"/>
      <c r="BQ146" s="157"/>
    </row>
    <row r="147" spans="6:69"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8"/>
      <c r="BA147" s="158"/>
      <c r="BB147" s="157"/>
      <c r="BC147" s="157"/>
      <c r="BD147" s="158"/>
      <c r="BE147" s="158"/>
      <c r="BF147" s="157"/>
      <c r="BG147" s="157"/>
      <c r="BH147" s="158"/>
      <c r="BI147" s="158"/>
      <c r="BJ147" s="158"/>
      <c r="BK147" s="158"/>
      <c r="BL147" s="158"/>
      <c r="BM147" s="158"/>
      <c r="BN147" s="158"/>
      <c r="BO147" s="158"/>
      <c r="BP147" s="157"/>
      <c r="BQ147" s="157"/>
    </row>
    <row r="148" spans="6:69"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8"/>
      <c r="BA148" s="158"/>
      <c r="BB148" s="157"/>
      <c r="BC148" s="157"/>
      <c r="BD148" s="158"/>
      <c r="BE148" s="158"/>
      <c r="BF148" s="157"/>
      <c r="BG148" s="157"/>
      <c r="BH148" s="158"/>
      <c r="BI148" s="158"/>
      <c r="BJ148" s="158"/>
      <c r="BK148" s="158"/>
      <c r="BL148" s="158"/>
      <c r="BM148" s="158"/>
      <c r="BN148" s="158"/>
      <c r="BO148" s="158"/>
      <c r="BP148" s="157"/>
      <c r="BQ148" s="157"/>
    </row>
    <row r="149" spans="6:69"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  <c r="AN149" s="157"/>
      <c r="AO149" s="157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8"/>
      <c r="BA149" s="158"/>
      <c r="BB149" s="157"/>
      <c r="BC149" s="157"/>
      <c r="BD149" s="158"/>
      <c r="BE149" s="158"/>
      <c r="BF149" s="157"/>
      <c r="BG149" s="157"/>
      <c r="BH149" s="158"/>
      <c r="BI149" s="158"/>
      <c r="BJ149" s="158"/>
      <c r="BK149" s="158"/>
      <c r="BL149" s="158"/>
      <c r="BM149" s="158"/>
      <c r="BN149" s="158"/>
      <c r="BO149" s="158"/>
      <c r="BP149" s="157"/>
      <c r="BQ149" s="157"/>
    </row>
    <row r="150" spans="6:69"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  <c r="AN150" s="157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8"/>
      <c r="BA150" s="158"/>
      <c r="BB150" s="157"/>
      <c r="BC150" s="157"/>
      <c r="BD150" s="158"/>
      <c r="BE150" s="158"/>
      <c r="BF150" s="157"/>
      <c r="BG150" s="157"/>
      <c r="BH150" s="158"/>
      <c r="BI150" s="158"/>
      <c r="BJ150" s="158"/>
      <c r="BK150" s="158"/>
      <c r="BL150" s="158"/>
      <c r="BM150" s="158"/>
      <c r="BN150" s="158"/>
      <c r="BO150" s="158"/>
      <c r="BP150" s="157"/>
      <c r="BQ150" s="157"/>
    </row>
    <row r="151" spans="6:69"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  <c r="AN151" s="157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8"/>
      <c r="BA151" s="158"/>
      <c r="BB151" s="157"/>
      <c r="BC151" s="157"/>
      <c r="BD151" s="158"/>
      <c r="BE151" s="158"/>
      <c r="BF151" s="157"/>
      <c r="BG151" s="157"/>
      <c r="BH151" s="158"/>
      <c r="BI151" s="158"/>
      <c r="BJ151" s="158"/>
      <c r="BK151" s="158"/>
      <c r="BL151" s="158"/>
      <c r="BM151" s="158"/>
      <c r="BN151" s="158"/>
      <c r="BO151" s="158"/>
      <c r="BP151" s="157"/>
      <c r="BQ151" s="157"/>
    </row>
    <row r="152" spans="6:69"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  <c r="AN152" s="157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8"/>
      <c r="BA152" s="158"/>
      <c r="BB152" s="157"/>
      <c r="BC152" s="157"/>
      <c r="BD152" s="158"/>
      <c r="BE152" s="158"/>
      <c r="BF152" s="157"/>
      <c r="BG152" s="157"/>
      <c r="BH152" s="158"/>
      <c r="BI152" s="158"/>
      <c r="BJ152" s="158"/>
      <c r="BK152" s="158"/>
      <c r="BL152" s="158"/>
      <c r="BM152" s="158"/>
      <c r="BN152" s="158"/>
      <c r="BO152" s="158"/>
      <c r="BP152" s="157"/>
      <c r="BQ152" s="157"/>
    </row>
    <row r="153" spans="6:69"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  <c r="AN153" s="157"/>
      <c r="AO153" s="157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8"/>
      <c r="BA153" s="158"/>
      <c r="BB153" s="157"/>
      <c r="BC153" s="157"/>
      <c r="BD153" s="158"/>
      <c r="BE153" s="158"/>
      <c r="BF153" s="157"/>
      <c r="BG153" s="157"/>
      <c r="BH153" s="158"/>
      <c r="BI153" s="158"/>
      <c r="BJ153" s="158"/>
      <c r="BK153" s="158"/>
      <c r="BL153" s="158"/>
      <c r="BM153" s="158"/>
      <c r="BN153" s="158"/>
      <c r="BO153" s="158"/>
      <c r="BP153" s="157"/>
      <c r="BQ153" s="157"/>
    </row>
    <row r="154" spans="6:69"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8"/>
      <c r="BA154" s="158"/>
      <c r="BB154" s="157"/>
      <c r="BC154" s="157"/>
      <c r="BD154" s="158"/>
      <c r="BE154" s="158"/>
      <c r="BF154" s="157"/>
      <c r="BG154" s="157"/>
      <c r="BH154" s="158"/>
      <c r="BI154" s="158"/>
      <c r="BJ154" s="158"/>
      <c r="BK154" s="158"/>
      <c r="BL154" s="158"/>
      <c r="BM154" s="158"/>
      <c r="BN154" s="158"/>
      <c r="BO154" s="158"/>
      <c r="BP154" s="157"/>
      <c r="BQ154" s="157"/>
    </row>
    <row r="155" spans="6:69"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8"/>
      <c r="BA155" s="158"/>
      <c r="BB155" s="157"/>
      <c r="BC155" s="157"/>
      <c r="BD155" s="158"/>
      <c r="BE155" s="158"/>
      <c r="BF155" s="157"/>
      <c r="BG155" s="157"/>
      <c r="BH155" s="158"/>
      <c r="BI155" s="158"/>
      <c r="BJ155" s="158"/>
      <c r="BK155" s="158"/>
      <c r="BL155" s="158"/>
      <c r="BM155" s="158"/>
      <c r="BN155" s="158"/>
      <c r="BO155" s="158"/>
      <c r="BP155" s="157"/>
      <c r="BQ155" s="157"/>
    </row>
    <row r="156" spans="6:69"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8"/>
      <c r="BA156" s="158"/>
      <c r="BB156" s="157"/>
      <c r="BC156" s="157"/>
      <c r="BD156" s="158"/>
      <c r="BE156" s="158"/>
      <c r="BF156" s="157"/>
      <c r="BG156" s="157"/>
      <c r="BH156" s="158"/>
      <c r="BI156" s="158"/>
      <c r="BJ156" s="158"/>
      <c r="BK156" s="158"/>
      <c r="BL156" s="158"/>
      <c r="BM156" s="158"/>
      <c r="BN156" s="158"/>
      <c r="BO156" s="158"/>
      <c r="BP156" s="157"/>
      <c r="BQ156" s="157"/>
    </row>
    <row r="157" spans="6:69"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  <c r="AK157" s="157"/>
      <c r="AL157" s="157"/>
      <c r="AM157" s="157"/>
      <c r="AN157" s="157"/>
      <c r="AO157" s="157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8"/>
      <c r="BA157" s="158"/>
      <c r="BB157" s="157"/>
      <c r="BC157" s="157"/>
      <c r="BD157" s="158"/>
      <c r="BE157" s="158"/>
      <c r="BF157" s="157"/>
      <c r="BG157" s="157"/>
      <c r="BH157" s="158"/>
      <c r="BI157" s="158"/>
      <c r="BJ157" s="158"/>
      <c r="BK157" s="158"/>
      <c r="BL157" s="158"/>
      <c r="BM157" s="158"/>
      <c r="BN157" s="158"/>
      <c r="BO157" s="158"/>
      <c r="BP157" s="157"/>
      <c r="BQ157" s="157"/>
    </row>
    <row r="158" spans="6:69"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8"/>
      <c r="BA158" s="158"/>
      <c r="BB158" s="157"/>
      <c r="BC158" s="157"/>
      <c r="BD158" s="158"/>
      <c r="BE158" s="158"/>
      <c r="BF158" s="157"/>
      <c r="BG158" s="157"/>
      <c r="BH158" s="158"/>
      <c r="BI158" s="158"/>
      <c r="BJ158" s="158"/>
      <c r="BK158" s="158"/>
      <c r="BL158" s="158"/>
      <c r="BM158" s="158"/>
      <c r="BN158" s="158"/>
      <c r="BO158" s="158"/>
      <c r="BP158" s="157"/>
      <c r="BQ158" s="157"/>
    </row>
    <row r="159" spans="6:69"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8"/>
      <c r="BA159" s="158"/>
      <c r="BB159" s="157"/>
      <c r="BC159" s="157"/>
      <c r="BD159" s="158"/>
      <c r="BE159" s="158"/>
      <c r="BF159" s="157"/>
      <c r="BG159" s="157"/>
      <c r="BH159" s="158"/>
      <c r="BI159" s="158"/>
      <c r="BJ159" s="158"/>
      <c r="BK159" s="158"/>
      <c r="BL159" s="158"/>
      <c r="BM159" s="158"/>
      <c r="BN159" s="158"/>
      <c r="BO159" s="158"/>
      <c r="BP159" s="157"/>
      <c r="BQ159" s="157"/>
    </row>
    <row r="160" spans="6:69"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8"/>
      <c r="BA160" s="158"/>
      <c r="BB160" s="157"/>
      <c r="BC160" s="157"/>
      <c r="BD160" s="158"/>
      <c r="BE160" s="158"/>
      <c r="BF160" s="157"/>
      <c r="BG160" s="157"/>
      <c r="BH160" s="158"/>
      <c r="BI160" s="158"/>
      <c r="BJ160" s="158"/>
      <c r="BK160" s="158"/>
      <c r="BL160" s="158"/>
      <c r="BM160" s="158"/>
      <c r="BN160" s="158"/>
      <c r="BO160" s="158"/>
      <c r="BP160" s="157"/>
      <c r="BQ160" s="157"/>
    </row>
    <row r="161" spans="6:69"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8"/>
      <c r="BA161" s="158"/>
      <c r="BB161" s="157"/>
      <c r="BC161" s="157"/>
      <c r="BD161" s="158"/>
      <c r="BE161" s="158"/>
      <c r="BF161" s="157"/>
      <c r="BG161" s="157"/>
      <c r="BH161" s="158"/>
      <c r="BI161" s="158"/>
      <c r="BJ161" s="158"/>
      <c r="BK161" s="158"/>
      <c r="BL161" s="158"/>
      <c r="BM161" s="158"/>
      <c r="BN161" s="158"/>
      <c r="BO161" s="158"/>
      <c r="BP161" s="157"/>
      <c r="BQ161" s="157"/>
    </row>
    <row r="162" spans="6:69"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8"/>
      <c r="BA162" s="158"/>
      <c r="BB162" s="157"/>
      <c r="BC162" s="157"/>
      <c r="BD162" s="158"/>
      <c r="BE162" s="158"/>
      <c r="BF162" s="157"/>
      <c r="BG162" s="157"/>
      <c r="BH162" s="158"/>
      <c r="BI162" s="158"/>
      <c r="BJ162" s="158"/>
      <c r="BK162" s="158"/>
      <c r="BL162" s="158"/>
      <c r="BM162" s="158"/>
      <c r="BN162" s="158"/>
      <c r="BO162" s="158"/>
      <c r="BP162" s="157"/>
      <c r="BQ162" s="157"/>
    </row>
    <row r="163" spans="6:69"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8"/>
      <c r="BA163" s="158"/>
      <c r="BB163" s="157"/>
      <c r="BC163" s="157"/>
      <c r="BD163" s="158"/>
      <c r="BE163" s="158"/>
      <c r="BF163" s="157"/>
      <c r="BG163" s="157"/>
      <c r="BH163" s="158"/>
      <c r="BI163" s="158"/>
      <c r="BJ163" s="158"/>
      <c r="BK163" s="158"/>
      <c r="BL163" s="158"/>
      <c r="BM163" s="158"/>
      <c r="BN163" s="158"/>
      <c r="BO163" s="158"/>
      <c r="BP163" s="157"/>
      <c r="BQ163" s="157"/>
    </row>
    <row r="164" spans="6:69"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8"/>
      <c r="BA164" s="158"/>
      <c r="BB164" s="157"/>
      <c r="BC164" s="157"/>
      <c r="BD164" s="158"/>
      <c r="BE164" s="158"/>
      <c r="BF164" s="157"/>
      <c r="BG164" s="157"/>
      <c r="BH164" s="158"/>
      <c r="BI164" s="158"/>
      <c r="BJ164" s="158"/>
      <c r="BK164" s="158"/>
      <c r="BL164" s="158"/>
      <c r="BM164" s="158"/>
      <c r="BN164" s="158"/>
      <c r="BO164" s="158"/>
      <c r="BP164" s="157"/>
      <c r="BQ164" s="157"/>
    </row>
    <row r="165" spans="6:69"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8"/>
      <c r="BA165" s="158"/>
      <c r="BB165" s="157"/>
      <c r="BC165" s="157"/>
      <c r="BD165" s="158"/>
      <c r="BE165" s="158"/>
      <c r="BF165" s="157"/>
      <c r="BG165" s="157"/>
      <c r="BH165" s="158"/>
      <c r="BI165" s="158"/>
      <c r="BJ165" s="158"/>
      <c r="BK165" s="158"/>
      <c r="BL165" s="158"/>
      <c r="BM165" s="158"/>
      <c r="BN165" s="158"/>
      <c r="BO165" s="158"/>
      <c r="BP165" s="157"/>
      <c r="BQ165" s="157"/>
    </row>
    <row r="166" spans="6:69"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8"/>
      <c r="BA166" s="158"/>
      <c r="BB166" s="157"/>
      <c r="BC166" s="157"/>
      <c r="BD166" s="158"/>
      <c r="BE166" s="158"/>
      <c r="BF166" s="157"/>
      <c r="BG166" s="157"/>
      <c r="BH166" s="158"/>
      <c r="BI166" s="158"/>
      <c r="BJ166" s="158"/>
      <c r="BK166" s="158"/>
      <c r="BL166" s="158"/>
      <c r="BM166" s="158"/>
      <c r="BN166" s="158"/>
      <c r="BO166" s="158"/>
      <c r="BP166" s="157"/>
      <c r="BQ166" s="157"/>
    </row>
    <row r="167" spans="6:69"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8"/>
      <c r="BA167" s="158"/>
      <c r="BB167" s="157"/>
      <c r="BC167" s="157"/>
      <c r="BD167" s="158"/>
      <c r="BE167" s="158"/>
      <c r="BF167" s="157"/>
      <c r="BG167" s="157"/>
      <c r="BH167" s="158"/>
      <c r="BI167" s="158"/>
      <c r="BJ167" s="158"/>
      <c r="BK167" s="158"/>
      <c r="BL167" s="158"/>
      <c r="BM167" s="158"/>
      <c r="BN167" s="158"/>
      <c r="BO167" s="158"/>
      <c r="BP167" s="157"/>
      <c r="BQ167" s="157"/>
    </row>
    <row r="168" spans="6:69"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8"/>
      <c r="BA168" s="158"/>
      <c r="BB168" s="157"/>
      <c r="BC168" s="157"/>
      <c r="BD168" s="158"/>
      <c r="BE168" s="158"/>
      <c r="BF168" s="157"/>
      <c r="BG168" s="157"/>
      <c r="BH168" s="158"/>
      <c r="BI168" s="158"/>
      <c r="BJ168" s="158"/>
      <c r="BK168" s="158"/>
      <c r="BL168" s="158"/>
      <c r="BM168" s="158"/>
      <c r="BN168" s="158"/>
      <c r="BO168" s="158"/>
      <c r="BP168" s="157"/>
      <c r="BQ168" s="157"/>
    </row>
    <row r="169" spans="6:69"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8"/>
      <c r="BA169" s="158"/>
      <c r="BB169" s="157"/>
      <c r="BC169" s="157"/>
      <c r="BD169" s="158"/>
      <c r="BE169" s="158"/>
      <c r="BF169" s="157"/>
      <c r="BG169" s="157"/>
      <c r="BH169" s="158"/>
      <c r="BI169" s="158"/>
      <c r="BJ169" s="158"/>
      <c r="BK169" s="158"/>
      <c r="BL169" s="158"/>
      <c r="BM169" s="158"/>
      <c r="BN169" s="158"/>
      <c r="BO169" s="158"/>
      <c r="BP169" s="157"/>
      <c r="BQ169" s="157"/>
    </row>
    <row r="170" spans="6:69"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8"/>
      <c r="BA170" s="158"/>
      <c r="BB170" s="157"/>
      <c r="BC170" s="157"/>
      <c r="BD170" s="158"/>
      <c r="BE170" s="158"/>
      <c r="BF170" s="157"/>
      <c r="BG170" s="157"/>
      <c r="BH170" s="158"/>
      <c r="BI170" s="158"/>
      <c r="BJ170" s="158"/>
      <c r="BK170" s="158"/>
      <c r="BL170" s="158"/>
      <c r="BM170" s="158"/>
      <c r="BN170" s="158"/>
      <c r="BO170" s="158"/>
      <c r="BP170" s="157"/>
      <c r="BQ170" s="157"/>
    </row>
    <row r="171" spans="6:69"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8"/>
      <c r="BA171" s="158"/>
      <c r="BB171" s="157"/>
      <c r="BC171" s="157"/>
      <c r="BD171" s="158"/>
      <c r="BE171" s="158"/>
      <c r="BF171" s="157"/>
      <c r="BG171" s="157"/>
      <c r="BH171" s="158"/>
      <c r="BI171" s="158"/>
      <c r="BJ171" s="158"/>
      <c r="BK171" s="158"/>
      <c r="BL171" s="158"/>
      <c r="BM171" s="158"/>
      <c r="BN171" s="158"/>
      <c r="BO171" s="158"/>
      <c r="BP171" s="157"/>
      <c r="BQ171" s="157"/>
    </row>
    <row r="172" spans="6:69"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8"/>
      <c r="BA172" s="158"/>
      <c r="BB172" s="157"/>
      <c r="BC172" s="157"/>
      <c r="BD172" s="158"/>
      <c r="BE172" s="158"/>
      <c r="BF172" s="157"/>
      <c r="BG172" s="157"/>
      <c r="BH172" s="158"/>
      <c r="BI172" s="158"/>
      <c r="BJ172" s="158"/>
      <c r="BK172" s="158"/>
      <c r="BL172" s="158"/>
      <c r="BM172" s="158"/>
      <c r="BN172" s="158"/>
      <c r="BO172" s="158"/>
      <c r="BP172" s="157"/>
      <c r="BQ172" s="157"/>
    </row>
    <row r="173" spans="6:69"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8"/>
      <c r="BA173" s="158"/>
      <c r="BB173" s="157"/>
      <c r="BC173" s="157"/>
      <c r="BD173" s="158"/>
      <c r="BE173" s="158"/>
      <c r="BF173" s="157"/>
      <c r="BG173" s="157"/>
      <c r="BH173" s="158"/>
      <c r="BI173" s="158"/>
      <c r="BJ173" s="158"/>
      <c r="BK173" s="158"/>
      <c r="BL173" s="158"/>
      <c r="BM173" s="158"/>
      <c r="BN173" s="158"/>
      <c r="BO173" s="158"/>
      <c r="BP173" s="157"/>
      <c r="BQ173" s="157"/>
    </row>
    <row r="174" spans="6:69"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8"/>
      <c r="BA174" s="158"/>
      <c r="BB174" s="157"/>
      <c r="BC174" s="157"/>
      <c r="BD174" s="158"/>
      <c r="BE174" s="158"/>
      <c r="BF174" s="157"/>
      <c r="BG174" s="157"/>
      <c r="BH174" s="158"/>
      <c r="BI174" s="158"/>
      <c r="BJ174" s="158"/>
      <c r="BK174" s="158"/>
      <c r="BL174" s="158"/>
      <c r="BM174" s="158"/>
      <c r="BN174" s="158"/>
      <c r="BO174" s="158"/>
      <c r="BP174" s="157"/>
      <c r="BQ174" s="157"/>
    </row>
    <row r="175" spans="6:69"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8"/>
      <c r="BA175" s="158"/>
      <c r="BB175" s="157"/>
      <c r="BC175" s="157"/>
      <c r="BD175" s="158"/>
      <c r="BE175" s="158"/>
      <c r="BF175" s="157"/>
      <c r="BG175" s="157"/>
      <c r="BH175" s="158"/>
      <c r="BI175" s="158"/>
      <c r="BJ175" s="158"/>
      <c r="BK175" s="158"/>
      <c r="BL175" s="158"/>
      <c r="BM175" s="158"/>
      <c r="BN175" s="158"/>
      <c r="BO175" s="158"/>
      <c r="BP175" s="157"/>
      <c r="BQ175" s="157"/>
    </row>
    <row r="176" spans="6:69"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8"/>
      <c r="BA176" s="158"/>
      <c r="BB176" s="157"/>
      <c r="BC176" s="157"/>
      <c r="BD176" s="158"/>
      <c r="BE176" s="158"/>
      <c r="BF176" s="157"/>
      <c r="BG176" s="157"/>
      <c r="BH176" s="158"/>
      <c r="BI176" s="158"/>
      <c r="BJ176" s="158"/>
      <c r="BK176" s="158"/>
      <c r="BL176" s="158"/>
      <c r="BM176" s="158"/>
      <c r="BN176" s="158"/>
      <c r="BO176" s="158"/>
      <c r="BP176" s="157"/>
      <c r="BQ176" s="157"/>
    </row>
    <row r="177" spans="6:69"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8"/>
      <c r="BA177" s="158"/>
      <c r="BB177" s="157"/>
      <c r="BC177" s="157"/>
      <c r="BD177" s="158"/>
      <c r="BE177" s="158"/>
      <c r="BF177" s="157"/>
      <c r="BG177" s="157"/>
      <c r="BH177" s="158"/>
      <c r="BI177" s="158"/>
      <c r="BJ177" s="158"/>
      <c r="BK177" s="158"/>
      <c r="BL177" s="158"/>
      <c r="BM177" s="158"/>
      <c r="BN177" s="158"/>
      <c r="BO177" s="158"/>
      <c r="BP177" s="157"/>
      <c r="BQ177" s="157"/>
    </row>
    <row r="178" spans="6:69"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8"/>
      <c r="BA178" s="158"/>
      <c r="BB178" s="157"/>
      <c r="BC178" s="157"/>
      <c r="BD178" s="158"/>
      <c r="BE178" s="158"/>
      <c r="BF178" s="157"/>
      <c r="BG178" s="157"/>
      <c r="BH178" s="158"/>
      <c r="BI178" s="158"/>
      <c r="BJ178" s="158"/>
      <c r="BK178" s="158"/>
      <c r="BL178" s="158"/>
      <c r="BM178" s="158"/>
      <c r="BN178" s="158"/>
      <c r="BO178" s="158"/>
      <c r="BP178" s="157"/>
      <c r="BQ178" s="157"/>
    </row>
    <row r="179" spans="6:69"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8"/>
      <c r="BA179" s="158"/>
      <c r="BB179" s="157"/>
      <c r="BC179" s="157"/>
      <c r="BD179" s="158"/>
      <c r="BE179" s="158"/>
      <c r="BF179" s="157"/>
      <c r="BG179" s="157"/>
      <c r="BH179" s="158"/>
      <c r="BI179" s="158"/>
      <c r="BJ179" s="158"/>
      <c r="BK179" s="158"/>
      <c r="BL179" s="158"/>
      <c r="BM179" s="158"/>
      <c r="BN179" s="158"/>
      <c r="BO179" s="158"/>
      <c r="BP179" s="157"/>
      <c r="BQ179" s="157"/>
    </row>
    <row r="180" spans="6:69"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8"/>
      <c r="BA180" s="158"/>
      <c r="BB180" s="157"/>
      <c r="BC180" s="157"/>
      <c r="BD180" s="158"/>
      <c r="BE180" s="158"/>
      <c r="BF180" s="157"/>
      <c r="BG180" s="157"/>
      <c r="BH180" s="158"/>
      <c r="BI180" s="158"/>
      <c r="BJ180" s="158"/>
      <c r="BK180" s="158"/>
      <c r="BL180" s="158"/>
      <c r="BM180" s="158"/>
      <c r="BN180" s="158"/>
      <c r="BO180" s="158"/>
      <c r="BP180" s="157"/>
      <c r="BQ180" s="157"/>
    </row>
    <row r="181" spans="6:69"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8"/>
      <c r="BA181" s="158"/>
      <c r="BB181" s="157"/>
      <c r="BC181" s="157"/>
      <c r="BD181" s="158"/>
      <c r="BE181" s="158"/>
      <c r="BF181" s="157"/>
      <c r="BG181" s="157"/>
      <c r="BH181" s="158"/>
      <c r="BI181" s="158"/>
      <c r="BJ181" s="158"/>
      <c r="BK181" s="158"/>
      <c r="BL181" s="158"/>
      <c r="BM181" s="158"/>
      <c r="BN181" s="158"/>
      <c r="BO181" s="158"/>
      <c r="BP181" s="157"/>
      <c r="BQ181" s="157"/>
    </row>
    <row r="182" spans="6:69"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8"/>
      <c r="BA182" s="158"/>
      <c r="BB182" s="157"/>
      <c r="BC182" s="157"/>
      <c r="BD182" s="158"/>
      <c r="BE182" s="158"/>
      <c r="BF182" s="157"/>
      <c r="BG182" s="157"/>
      <c r="BH182" s="158"/>
      <c r="BI182" s="158"/>
      <c r="BJ182" s="158"/>
      <c r="BK182" s="158"/>
      <c r="BL182" s="158"/>
      <c r="BM182" s="158"/>
      <c r="BN182" s="158"/>
      <c r="BO182" s="158"/>
      <c r="BP182" s="157"/>
      <c r="BQ182" s="157"/>
    </row>
    <row r="183" spans="6:69"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8"/>
      <c r="BA183" s="158"/>
      <c r="BB183" s="157"/>
      <c r="BC183" s="157"/>
      <c r="BD183" s="158"/>
      <c r="BE183" s="158"/>
      <c r="BF183" s="157"/>
      <c r="BG183" s="157"/>
      <c r="BH183" s="158"/>
      <c r="BI183" s="158"/>
      <c r="BJ183" s="158"/>
      <c r="BK183" s="158"/>
      <c r="BL183" s="158"/>
      <c r="BM183" s="158"/>
      <c r="BN183" s="158"/>
      <c r="BO183" s="158"/>
      <c r="BP183" s="157"/>
      <c r="BQ183" s="157"/>
    </row>
    <row r="184" spans="6:69"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8"/>
      <c r="BA184" s="158"/>
      <c r="BB184" s="157"/>
      <c r="BC184" s="157"/>
      <c r="BD184" s="158"/>
      <c r="BE184" s="158"/>
      <c r="BF184" s="157"/>
      <c r="BG184" s="157"/>
      <c r="BH184" s="158"/>
      <c r="BI184" s="158"/>
      <c r="BJ184" s="158"/>
      <c r="BK184" s="158"/>
      <c r="BL184" s="158"/>
      <c r="BM184" s="158"/>
      <c r="BN184" s="158"/>
      <c r="BO184" s="158"/>
      <c r="BP184" s="157"/>
      <c r="BQ184" s="157"/>
    </row>
    <row r="185" spans="6:69"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8"/>
      <c r="BA185" s="158"/>
      <c r="BB185" s="157"/>
      <c r="BC185" s="157"/>
      <c r="BD185" s="158"/>
      <c r="BE185" s="158"/>
      <c r="BF185" s="157"/>
      <c r="BG185" s="157"/>
      <c r="BH185" s="158"/>
      <c r="BI185" s="158"/>
      <c r="BJ185" s="158"/>
      <c r="BK185" s="158"/>
      <c r="BL185" s="158"/>
      <c r="BM185" s="158"/>
      <c r="BN185" s="158"/>
      <c r="BO185" s="158"/>
      <c r="BP185" s="157"/>
      <c r="BQ185" s="157"/>
    </row>
    <row r="186" spans="6:69"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157"/>
      <c r="AK186" s="157"/>
      <c r="AL186" s="157"/>
      <c r="AM186" s="157"/>
      <c r="AN186" s="157"/>
      <c r="AO186" s="157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8"/>
      <c r="BA186" s="158"/>
      <c r="BB186" s="157"/>
      <c r="BC186" s="157"/>
      <c r="BD186" s="158"/>
      <c r="BE186" s="158"/>
      <c r="BF186" s="157"/>
      <c r="BG186" s="157"/>
      <c r="BH186" s="158"/>
      <c r="BI186" s="158"/>
      <c r="BJ186" s="158"/>
      <c r="BK186" s="158"/>
      <c r="BL186" s="158"/>
      <c r="BM186" s="158"/>
      <c r="BN186" s="158"/>
      <c r="BO186" s="158"/>
      <c r="BP186" s="157"/>
      <c r="BQ186" s="157"/>
    </row>
    <row r="187" spans="6:69"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8"/>
      <c r="BA187" s="158"/>
      <c r="BB187" s="157"/>
      <c r="BC187" s="157"/>
      <c r="BD187" s="158"/>
      <c r="BE187" s="158"/>
      <c r="BF187" s="157"/>
      <c r="BG187" s="157"/>
      <c r="BH187" s="158"/>
      <c r="BI187" s="158"/>
      <c r="BJ187" s="158"/>
      <c r="BK187" s="158"/>
      <c r="BL187" s="158"/>
      <c r="BM187" s="158"/>
      <c r="BN187" s="158"/>
      <c r="BO187" s="158"/>
      <c r="BP187" s="157"/>
      <c r="BQ187" s="157"/>
    </row>
    <row r="188" spans="6:69"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157"/>
      <c r="AK188" s="157"/>
      <c r="AL188" s="157"/>
      <c r="AM188" s="157"/>
      <c r="AN188" s="157"/>
      <c r="AO188" s="157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8"/>
      <c r="BA188" s="158"/>
      <c r="BB188" s="157"/>
      <c r="BC188" s="157"/>
      <c r="BD188" s="158"/>
      <c r="BE188" s="158"/>
      <c r="BF188" s="157"/>
      <c r="BG188" s="157"/>
      <c r="BH188" s="158"/>
      <c r="BI188" s="158"/>
      <c r="BJ188" s="158"/>
      <c r="BK188" s="158"/>
      <c r="BL188" s="158"/>
      <c r="BM188" s="158"/>
      <c r="BN188" s="158"/>
      <c r="BO188" s="158"/>
      <c r="BP188" s="157"/>
      <c r="BQ188" s="157"/>
    </row>
    <row r="189" spans="6:69"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8"/>
      <c r="BA189" s="158"/>
      <c r="BB189" s="157"/>
      <c r="BC189" s="157"/>
      <c r="BD189" s="158"/>
      <c r="BE189" s="158"/>
      <c r="BF189" s="157"/>
      <c r="BG189" s="157"/>
      <c r="BH189" s="158"/>
      <c r="BI189" s="158"/>
      <c r="BJ189" s="158"/>
      <c r="BK189" s="158"/>
      <c r="BL189" s="158"/>
      <c r="BM189" s="158"/>
      <c r="BN189" s="158"/>
      <c r="BO189" s="158"/>
      <c r="BP189" s="157"/>
      <c r="BQ189" s="157"/>
    </row>
    <row r="190" spans="6:69"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  <c r="AK190" s="157"/>
      <c r="AL190" s="157"/>
      <c r="AM190" s="157"/>
      <c r="AN190" s="157"/>
      <c r="AO190" s="157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8"/>
      <c r="BA190" s="158"/>
      <c r="BB190" s="157"/>
      <c r="BC190" s="157"/>
      <c r="BD190" s="158"/>
      <c r="BE190" s="158"/>
      <c r="BF190" s="157"/>
      <c r="BG190" s="157"/>
      <c r="BH190" s="158"/>
      <c r="BI190" s="158"/>
      <c r="BJ190" s="158"/>
      <c r="BK190" s="158"/>
      <c r="BL190" s="158"/>
      <c r="BM190" s="158"/>
      <c r="BN190" s="158"/>
      <c r="BO190" s="158"/>
      <c r="BP190" s="157"/>
      <c r="BQ190" s="157"/>
    </row>
    <row r="191" spans="6:69"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8"/>
      <c r="BA191" s="158"/>
      <c r="BB191" s="157"/>
      <c r="BC191" s="157"/>
      <c r="BD191" s="158"/>
      <c r="BE191" s="158"/>
      <c r="BF191" s="157"/>
      <c r="BG191" s="157"/>
      <c r="BH191" s="158"/>
      <c r="BI191" s="158"/>
      <c r="BJ191" s="158"/>
      <c r="BK191" s="158"/>
      <c r="BL191" s="158"/>
      <c r="BM191" s="158"/>
      <c r="BN191" s="158"/>
      <c r="BO191" s="158"/>
      <c r="BP191" s="157"/>
      <c r="BQ191" s="157"/>
    </row>
    <row r="192" spans="6:69"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8"/>
      <c r="BA192" s="158"/>
      <c r="BB192" s="157"/>
      <c r="BC192" s="157"/>
      <c r="BD192" s="158"/>
      <c r="BE192" s="158"/>
      <c r="BF192" s="157"/>
      <c r="BG192" s="157"/>
      <c r="BH192" s="158"/>
      <c r="BI192" s="158"/>
      <c r="BJ192" s="158"/>
      <c r="BK192" s="158"/>
      <c r="BL192" s="158"/>
      <c r="BM192" s="158"/>
      <c r="BN192" s="158"/>
      <c r="BO192" s="158"/>
      <c r="BP192" s="157"/>
      <c r="BQ192" s="157"/>
    </row>
    <row r="193" spans="6:69"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8"/>
      <c r="BA193" s="158"/>
      <c r="BB193" s="157"/>
      <c r="BC193" s="157"/>
      <c r="BD193" s="158"/>
      <c r="BE193" s="158"/>
      <c r="BF193" s="157"/>
      <c r="BG193" s="157"/>
      <c r="BH193" s="158"/>
      <c r="BI193" s="158"/>
      <c r="BJ193" s="158"/>
      <c r="BK193" s="158"/>
      <c r="BL193" s="158"/>
      <c r="BM193" s="158"/>
      <c r="BN193" s="158"/>
      <c r="BO193" s="158"/>
      <c r="BP193" s="157"/>
      <c r="BQ193" s="157"/>
    </row>
  </sheetData>
  <sheetProtection selectLockedCells="1"/>
  <mergeCells count="962">
    <mergeCell ref="BH41:BK41"/>
    <mergeCell ref="BL41:BQ41"/>
    <mergeCell ref="BR41:BT41"/>
    <mergeCell ref="BU41:BV41"/>
    <mergeCell ref="DK42:DL42"/>
    <mergeCell ref="BL40:BQ40"/>
    <mergeCell ref="BR40:BT40"/>
    <mergeCell ref="BU40:BV40"/>
    <mergeCell ref="X41:AC41"/>
    <mergeCell ref="AD41:AH41"/>
    <mergeCell ref="AJ41:AM41"/>
    <mergeCell ref="AN41:AS41"/>
    <mergeCell ref="AT41:AV41"/>
    <mergeCell ref="AW41:BF41"/>
    <mergeCell ref="D40:K40"/>
    <mergeCell ref="L40:M40"/>
    <mergeCell ref="N40:AC40"/>
    <mergeCell ref="AD40:AH40"/>
    <mergeCell ref="AJ40:AM40"/>
    <mergeCell ref="AN40:AS40"/>
    <mergeCell ref="AT40:AV40"/>
    <mergeCell ref="AW40:BF40"/>
    <mergeCell ref="BH40:BK40"/>
    <mergeCell ref="BL38:BQ38"/>
    <mergeCell ref="BR38:BT38"/>
    <mergeCell ref="BU38:BV38"/>
    <mergeCell ref="D39:K39"/>
    <mergeCell ref="L39:M39"/>
    <mergeCell ref="N39:AC39"/>
    <mergeCell ref="AD39:AH39"/>
    <mergeCell ref="AJ39:AM39"/>
    <mergeCell ref="BU39:BV39"/>
    <mergeCell ref="AN39:AS39"/>
    <mergeCell ref="AT39:AV39"/>
    <mergeCell ref="AW39:BF39"/>
    <mergeCell ref="BH39:BK39"/>
    <mergeCell ref="BL39:BQ39"/>
    <mergeCell ref="BR39:BT39"/>
    <mergeCell ref="D38:K38"/>
    <mergeCell ref="L38:M38"/>
    <mergeCell ref="N38:AC38"/>
    <mergeCell ref="AD38:AH38"/>
    <mergeCell ref="AJ38:AM38"/>
    <mergeCell ref="AN38:AS38"/>
    <mergeCell ref="AT38:AV38"/>
    <mergeCell ref="AW38:BF38"/>
    <mergeCell ref="BH38:BK38"/>
    <mergeCell ref="DA36:DM37"/>
    <mergeCell ref="D37:K37"/>
    <mergeCell ref="L37:M37"/>
    <mergeCell ref="N37:AC37"/>
    <mergeCell ref="AD37:AH37"/>
    <mergeCell ref="AJ37:AM37"/>
    <mergeCell ref="AN37:AS37"/>
    <mergeCell ref="AT37:AV37"/>
    <mergeCell ref="AW37:BF37"/>
    <mergeCell ref="BH37:BK37"/>
    <mergeCell ref="AT36:AV36"/>
    <mergeCell ref="AW36:BF36"/>
    <mergeCell ref="BH36:BK36"/>
    <mergeCell ref="BL36:BQ36"/>
    <mergeCell ref="BR36:BT36"/>
    <mergeCell ref="BU36:BV36"/>
    <mergeCell ref="BL37:BQ37"/>
    <mergeCell ref="BR37:BT37"/>
    <mergeCell ref="BU37:BV37"/>
    <mergeCell ref="D36:K36"/>
    <mergeCell ref="L36:M36"/>
    <mergeCell ref="N36:AC36"/>
    <mergeCell ref="AD36:AH36"/>
    <mergeCell ref="AJ36:AM36"/>
    <mergeCell ref="AN36:AS36"/>
    <mergeCell ref="AT35:AV35"/>
    <mergeCell ref="AW35:BF35"/>
    <mergeCell ref="BH35:BK35"/>
    <mergeCell ref="D35:K35"/>
    <mergeCell ref="L35:M35"/>
    <mergeCell ref="N35:AC35"/>
    <mergeCell ref="AD35:AH35"/>
    <mergeCell ref="AJ35:AM35"/>
    <mergeCell ref="AN35:AS35"/>
    <mergeCell ref="BU34:BV34"/>
    <mergeCell ref="BH33:BK33"/>
    <mergeCell ref="BL33:BQ33"/>
    <mergeCell ref="BR33:BT33"/>
    <mergeCell ref="BU33:BV33"/>
    <mergeCell ref="BZ35:CD35"/>
    <mergeCell ref="CH35:CN35"/>
    <mergeCell ref="CP35:CU35"/>
    <mergeCell ref="DA35:DM35"/>
    <mergeCell ref="BL35:BQ35"/>
    <mergeCell ref="BR35:BT35"/>
    <mergeCell ref="BU35:BV35"/>
    <mergeCell ref="AN32:AS32"/>
    <mergeCell ref="AT32:AV32"/>
    <mergeCell ref="AW32:BF32"/>
    <mergeCell ref="BH32:BK32"/>
    <mergeCell ref="BL32:BQ32"/>
    <mergeCell ref="BR32:BT32"/>
    <mergeCell ref="AT34:AV34"/>
    <mergeCell ref="AW34:BF34"/>
    <mergeCell ref="BH34:BK34"/>
    <mergeCell ref="BL34:BQ34"/>
    <mergeCell ref="BR34:BT34"/>
    <mergeCell ref="BR31:BT31"/>
    <mergeCell ref="BU31:BV31"/>
    <mergeCell ref="BX31:DM31"/>
    <mergeCell ref="D32:K32"/>
    <mergeCell ref="L32:M32"/>
    <mergeCell ref="N32:AC32"/>
    <mergeCell ref="AD32:AH32"/>
    <mergeCell ref="AJ32:AM32"/>
    <mergeCell ref="D34:K34"/>
    <mergeCell ref="L34:M34"/>
    <mergeCell ref="N34:AC34"/>
    <mergeCell ref="AD34:AH34"/>
    <mergeCell ref="AJ34:AM34"/>
    <mergeCell ref="AN34:AS34"/>
    <mergeCell ref="BU32:BV32"/>
    <mergeCell ref="BX32:DM33"/>
    <mergeCell ref="D33:K33"/>
    <mergeCell ref="L33:M33"/>
    <mergeCell ref="N33:AC33"/>
    <mergeCell ref="AD33:AH33"/>
    <mergeCell ref="AJ33:AM33"/>
    <mergeCell ref="AN33:AS33"/>
    <mergeCell ref="AT33:AV33"/>
    <mergeCell ref="AW33:BF33"/>
    <mergeCell ref="DF29:DI29"/>
    <mergeCell ref="DJ29:DM29"/>
    <mergeCell ref="ET29:EU29"/>
    <mergeCell ref="B31:C41"/>
    <mergeCell ref="D31:K31"/>
    <mergeCell ref="L31:M31"/>
    <mergeCell ref="N31:AC31"/>
    <mergeCell ref="AD31:AH31"/>
    <mergeCell ref="AJ31:AS31"/>
    <mergeCell ref="AT31:AV31"/>
    <mergeCell ref="CH29:CK29"/>
    <mergeCell ref="CL29:CO29"/>
    <mergeCell ref="CP29:CS29"/>
    <mergeCell ref="CT29:CW29"/>
    <mergeCell ref="CX29:DA29"/>
    <mergeCell ref="DB29:DE29"/>
    <mergeCell ref="BP29:BR29"/>
    <mergeCell ref="BS29:BT29"/>
    <mergeCell ref="BU29:BV29"/>
    <mergeCell ref="BW29:BY29"/>
    <mergeCell ref="BZ29:CC29"/>
    <mergeCell ref="CD29:CG29"/>
    <mergeCell ref="AW31:BF31"/>
    <mergeCell ref="BH31:BQ31"/>
    <mergeCell ref="CX28:DA28"/>
    <mergeCell ref="DB28:DE28"/>
    <mergeCell ref="DF28:DI28"/>
    <mergeCell ref="DJ28:DM28"/>
    <mergeCell ref="B29:AW29"/>
    <mergeCell ref="AX29:BA29"/>
    <mergeCell ref="BB29:BE29"/>
    <mergeCell ref="BF29:BI29"/>
    <mergeCell ref="BJ29:BL29"/>
    <mergeCell ref="BM29:BO29"/>
    <mergeCell ref="BZ28:CC28"/>
    <mergeCell ref="CD28:CG28"/>
    <mergeCell ref="CH28:CK28"/>
    <mergeCell ref="CL28:CO28"/>
    <mergeCell ref="CP28:CS28"/>
    <mergeCell ref="CT28:CW28"/>
    <mergeCell ref="BJ28:BL28"/>
    <mergeCell ref="BM28:BO28"/>
    <mergeCell ref="BQ28:BR28"/>
    <mergeCell ref="BS28:BT28"/>
    <mergeCell ref="BU28:BV28"/>
    <mergeCell ref="BW28:BY28"/>
    <mergeCell ref="AP28:AS28"/>
    <mergeCell ref="AT28:AU28"/>
    <mergeCell ref="AV28:AW28"/>
    <mergeCell ref="AX28:BA28"/>
    <mergeCell ref="BB28:BE28"/>
    <mergeCell ref="BF28:BI28"/>
    <mergeCell ref="Y28:AE28"/>
    <mergeCell ref="AF28:AG28"/>
    <mergeCell ref="AH28:AI28"/>
    <mergeCell ref="AJ28:AK28"/>
    <mergeCell ref="AL28:AM28"/>
    <mergeCell ref="AN28:AO28"/>
    <mergeCell ref="CX27:DA27"/>
    <mergeCell ref="DB27:DE27"/>
    <mergeCell ref="DF27:DI27"/>
    <mergeCell ref="DJ27:DM27"/>
    <mergeCell ref="B28:D28"/>
    <mergeCell ref="E28:F28"/>
    <mergeCell ref="G28:N28"/>
    <mergeCell ref="O28:P28"/>
    <mergeCell ref="Q28:R28"/>
    <mergeCell ref="S28:X28"/>
    <mergeCell ref="BZ27:CC27"/>
    <mergeCell ref="CD27:CG27"/>
    <mergeCell ref="CH27:CK27"/>
    <mergeCell ref="CL27:CO27"/>
    <mergeCell ref="CP27:CS27"/>
    <mergeCell ref="CT27:CW27"/>
    <mergeCell ref="BJ27:BL27"/>
    <mergeCell ref="BM27:BO27"/>
    <mergeCell ref="BQ27:BR27"/>
    <mergeCell ref="BS27:BT27"/>
    <mergeCell ref="BU27:BV27"/>
    <mergeCell ref="BW27:BY27"/>
    <mergeCell ref="AP27:AS27"/>
    <mergeCell ref="AT27:AU27"/>
    <mergeCell ref="AV27:AW27"/>
    <mergeCell ref="AX27:BA27"/>
    <mergeCell ref="BB27:BE27"/>
    <mergeCell ref="BF27:BI27"/>
    <mergeCell ref="Y27:AE27"/>
    <mergeCell ref="AF27:AG27"/>
    <mergeCell ref="AH27:AI27"/>
    <mergeCell ref="AJ27:AK27"/>
    <mergeCell ref="AL27:AM27"/>
    <mergeCell ref="AN27:AO27"/>
    <mergeCell ref="CX26:DA26"/>
    <mergeCell ref="DB26:DE26"/>
    <mergeCell ref="DF26:DI26"/>
    <mergeCell ref="DJ26:DM26"/>
    <mergeCell ref="B27:D27"/>
    <mergeCell ref="E27:F27"/>
    <mergeCell ref="G27:N27"/>
    <mergeCell ref="O27:P27"/>
    <mergeCell ref="Q27:R27"/>
    <mergeCell ref="S27:X27"/>
    <mergeCell ref="BZ26:CC26"/>
    <mergeCell ref="CD26:CG26"/>
    <mergeCell ref="CH26:CK26"/>
    <mergeCell ref="CL26:CO26"/>
    <mergeCell ref="CP26:CS26"/>
    <mergeCell ref="CT26:CW26"/>
    <mergeCell ref="BJ26:BL26"/>
    <mergeCell ref="BM26:BO26"/>
    <mergeCell ref="BQ26:BR26"/>
    <mergeCell ref="BS26:BT26"/>
    <mergeCell ref="BU26:BV26"/>
    <mergeCell ref="BW26:BY26"/>
    <mergeCell ref="AP26:AS26"/>
    <mergeCell ref="AT26:AU26"/>
    <mergeCell ref="AV26:AW26"/>
    <mergeCell ref="AX26:BA26"/>
    <mergeCell ref="BB26:BE26"/>
    <mergeCell ref="BF26:BI26"/>
    <mergeCell ref="Y26:AE26"/>
    <mergeCell ref="AF26:AG26"/>
    <mergeCell ref="AH26:AI26"/>
    <mergeCell ref="AJ26:AK26"/>
    <mergeCell ref="AL26:AM26"/>
    <mergeCell ref="AN26:AO26"/>
    <mergeCell ref="CX25:DA25"/>
    <mergeCell ref="DB25:DE25"/>
    <mergeCell ref="DF25:DI25"/>
    <mergeCell ref="DJ25:DM25"/>
    <mergeCell ref="B26:D26"/>
    <mergeCell ref="E26:F26"/>
    <mergeCell ref="G26:N26"/>
    <mergeCell ref="O26:P26"/>
    <mergeCell ref="Q26:R26"/>
    <mergeCell ref="S26:X26"/>
    <mergeCell ref="BZ25:CC25"/>
    <mergeCell ref="CD25:CG25"/>
    <mergeCell ref="CH25:CK25"/>
    <mergeCell ref="CL25:CO25"/>
    <mergeCell ref="CP25:CS25"/>
    <mergeCell ref="CT25:CW25"/>
    <mergeCell ref="BJ25:BL25"/>
    <mergeCell ref="BM25:BO25"/>
    <mergeCell ref="BQ25:BR25"/>
    <mergeCell ref="BS25:BT25"/>
    <mergeCell ref="BU25:BV25"/>
    <mergeCell ref="BW25:BY25"/>
    <mergeCell ref="AP25:AS25"/>
    <mergeCell ref="AT25:AU25"/>
    <mergeCell ref="AV25:AW25"/>
    <mergeCell ref="AX25:BA25"/>
    <mergeCell ref="BB25:BE25"/>
    <mergeCell ref="BF25:BI25"/>
    <mergeCell ref="Y25:AE25"/>
    <mergeCell ref="AF25:AG25"/>
    <mergeCell ref="AH25:AI25"/>
    <mergeCell ref="AJ25:AK25"/>
    <mergeCell ref="AL25:AM25"/>
    <mergeCell ref="AN25:AO25"/>
    <mergeCell ref="CX24:DA24"/>
    <mergeCell ref="DB24:DE24"/>
    <mergeCell ref="DF24:DI24"/>
    <mergeCell ref="DJ24:DM24"/>
    <mergeCell ref="B25:D25"/>
    <mergeCell ref="E25:F25"/>
    <mergeCell ref="G25:N25"/>
    <mergeCell ref="O25:P25"/>
    <mergeCell ref="Q25:R25"/>
    <mergeCell ref="S25:X25"/>
    <mergeCell ref="BZ24:CC24"/>
    <mergeCell ref="CD24:CG24"/>
    <mergeCell ref="CH24:CK24"/>
    <mergeCell ref="CL24:CO24"/>
    <mergeCell ref="CP24:CS24"/>
    <mergeCell ref="CT24:CW24"/>
    <mergeCell ref="BJ24:BL24"/>
    <mergeCell ref="BM24:BO24"/>
    <mergeCell ref="BQ24:BR24"/>
    <mergeCell ref="BS24:BT24"/>
    <mergeCell ref="BU24:BV24"/>
    <mergeCell ref="BW24:BY24"/>
    <mergeCell ref="AP24:AS24"/>
    <mergeCell ref="AT24:AU24"/>
    <mergeCell ref="AV24:AW24"/>
    <mergeCell ref="AX24:BA24"/>
    <mergeCell ref="BB24:BE24"/>
    <mergeCell ref="BF24:BI24"/>
    <mergeCell ref="Y24:AE24"/>
    <mergeCell ref="AF24:AG24"/>
    <mergeCell ref="AH24:AI24"/>
    <mergeCell ref="AJ24:AK24"/>
    <mergeCell ref="AL24:AM24"/>
    <mergeCell ref="AN24:AO24"/>
    <mergeCell ref="CX23:DA23"/>
    <mergeCell ref="DB23:DE23"/>
    <mergeCell ref="DF23:DI23"/>
    <mergeCell ref="DJ23:DM23"/>
    <mergeCell ref="B24:D24"/>
    <mergeCell ref="E24:F24"/>
    <mergeCell ref="G24:N24"/>
    <mergeCell ref="O24:P24"/>
    <mergeCell ref="Q24:R24"/>
    <mergeCell ref="S24:X24"/>
    <mergeCell ref="BZ23:CC23"/>
    <mergeCell ref="CD23:CG23"/>
    <mergeCell ref="CH23:CK23"/>
    <mergeCell ref="CL23:CO23"/>
    <mergeCell ref="CP23:CS23"/>
    <mergeCell ref="CT23:CW23"/>
    <mergeCell ref="BJ23:BL23"/>
    <mergeCell ref="BM23:BO23"/>
    <mergeCell ref="BQ23:BR23"/>
    <mergeCell ref="BS23:BT23"/>
    <mergeCell ref="BU23:BV23"/>
    <mergeCell ref="BW23:BY23"/>
    <mergeCell ref="AP23:AS23"/>
    <mergeCell ref="AT23:AU23"/>
    <mergeCell ref="AV23:AW23"/>
    <mergeCell ref="AX23:BA23"/>
    <mergeCell ref="BB23:BE23"/>
    <mergeCell ref="BF23:BI23"/>
    <mergeCell ref="Y23:AE23"/>
    <mergeCell ref="AF23:AG23"/>
    <mergeCell ref="AH23:AI23"/>
    <mergeCell ref="AJ23:AK23"/>
    <mergeCell ref="AL23:AM23"/>
    <mergeCell ref="AN23:AO23"/>
    <mergeCell ref="CX22:DA22"/>
    <mergeCell ref="DB22:DE22"/>
    <mergeCell ref="DF22:DI22"/>
    <mergeCell ref="DJ22:DM22"/>
    <mergeCell ref="B23:D23"/>
    <mergeCell ref="E23:F23"/>
    <mergeCell ref="G23:N23"/>
    <mergeCell ref="O23:P23"/>
    <mergeCell ref="Q23:R23"/>
    <mergeCell ref="S23:X23"/>
    <mergeCell ref="BZ22:CC22"/>
    <mergeCell ref="CD22:CG22"/>
    <mergeCell ref="CH22:CK22"/>
    <mergeCell ref="CL22:CO22"/>
    <mergeCell ref="CP22:CS22"/>
    <mergeCell ref="CT22:CW22"/>
    <mergeCell ref="BJ22:BL22"/>
    <mergeCell ref="BM22:BO22"/>
    <mergeCell ref="BQ22:BR22"/>
    <mergeCell ref="BS22:BT22"/>
    <mergeCell ref="BU22:BV22"/>
    <mergeCell ref="BW22:BY22"/>
    <mergeCell ref="AP22:AS22"/>
    <mergeCell ref="AT22:AU22"/>
    <mergeCell ref="AV22:AW22"/>
    <mergeCell ref="AX22:BA22"/>
    <mergeCell ref="BB22:BE22"/>
    <mergeCell ref="BF22:BI22"/>
    <mergeCell ref="Y22:AE22"/>
    <mergeCell ref="AF22:AG22"/>
    <mergeCell ref="AH22:AI22"/>
    <mergeCell ref="AJ22:AK22"/>
    <mergeCell ref="AL22:AM22"/>
    <mergeCell ref="AN22:AO22"/>
    <mergeCell ref="CX21:DA21"/>
    <mergeCell ref="DB21:DE21"/>
    <mergeCell ref="DF21:DI21"/>
    <mergeCell ref="DJ21:DM21"/>
    <mergeCell ref="B22:D22"/>
    <mergeCell ref="E22:F22"/>
    <mergeCell ref="G22:N22"/>
    <mergeCell ref="O22:P22"/>
    <mergeCell ref="Q22:R22"/>
    <mergeCell ref="S22:X22"/>
    <mergeCell ref="BZ21:CC21"/>
    <mergeCell ref="CD21:CG21"/>
    <mergeCell ref="CH21:CK21"/>
    <mergeCell ref="CL21:CO21"/>
    <mergeCell ref="CP21:CS21"/>
    <mergeCell ref="CT21:CW21"/>
    <mergeCell ref="BJ21:BL21"/>
    <mergeCell ref="BM21:BO21"/>
    <mergeCell ref="BQ21:BR21"/>
    <mergeCell ref="BS21:BT21"/>
    <mergeCell ref="BU21:BV21"/>
    <mergeCell ref="BW21:BY21"/>
    <mergeCell ref="AP21:AS21"/>
    <mergeCell ref="AT21:AU21"/>
    <mergeCell ref="AV21:AW21"/>
    <mergeCell ref="AX21:BA21"/>
    <mergeCell ref="BB21:BE21"/>
    <mergeCell ref="BF21:BI21"/>
    <mergeCell ref="Y21:AE21"/>
    <mergeCell ref="AF21:AG21"/>
    <mergeCell ref="AH21:AI21"/>
    <mergeCell ref="AJ21:AK21"/>
    <mergeCell ref="AL21:AM21"/>
    <mergeCell ref="AN21:AO21"/>
    <mergeCell ref="CX20:DA20"/>
    <mergeCell ref="DB20:DE20"/>
    <mergeCell ref="DF20:DI20"/>
    <mergeCell ref="DJ20:DM20"/>
    <mergeCell ref="B21:D21"/>
    <mergeCell ref="E21:F21"/>
    <mergeCell ref="G21:N21"/>
    <mergeCell ref="O21:P21"/>
    <mergeCell ref="Q21:R21"/>
    <mergeCell ref="S21:X21"/>
    <mergeCell ref="BZ20:CC20"/>
    <mergeCell ref="CD20:CG20"/>
    <mergeCell ref="CH20:CK20"/>
    <mergeCell ref="CL20:CO20"/>
    <mergeCell ref="CP20:CS20"/>
    <mergeCell ref="CT20:CW20"/>
    <mergeCell ref="BJ20:BL20"/>
    <mergeCell ref="BM20:BO20"/>
    <mergeCell ref="BQ20:BR20"/>
    <mergeCell ref="BS20:BT20"/>
    <mergeCell ref="BU20:BV20"/>
    <mergeCell ref="BW20:BY20"/>
    <mergeCell ref="AP20:AS20"/>
    <mergeCell ref="AT20:AU20"/>
    <mergeCell ref="AV20:AW20"/>
    <mergeCell ref="AX20:BA20"/>
    <mergeCell ref="BB20:BE20"/>
    <mergeCell ref="BF20:BI20"/>
    <mergeCell ref="Y20:AE20"/>
    <mergeCell ref="AF20:AG20"/>
    <mergeCell ref="AH20:AI20"/>
    <mergeCell ref="AJ20:AK20"/>
    <mergeCell ref="AL20:AM20"/>
    <mergeCell ref="AN20:AO20"/>
    <mergeCell ref="CX19:DA19"/>
    <mergeCell ref="DB19:DE19"/>
    <mergeCell ref="DF19:DI19"/>
    <mergeCell ref="DJ19:DM19"/>
    <mergeCell ref="B20:D20"/>
    <mergeCell ref="E20:F20"/>
    <mergeCell ref="G20:N20"/>
    <mergeCell ref="O20:P20"/>
    <mergeCell ref="Q20:R20"/>
    <mergeCell ref="S20:X20"/>
    <mergeCell ref="BZ19:CC19"/>
    <mergeCell ref="CD19:CG19"/>
    <mergeCell ref="CH19:CK19"/>
    <mergeCell ref="CL19:CO19"/>
    <mergeCell ref="CP19:CS19"/>
    <mergeCell ref="CT19:CW19"/>
    <mergeCell ref="BJ19:BL19"/>
    <mergeCell ref="BM19:BO19"/>
    <mergeCell ref="BQ19:BR19"/>
    <mergeCell ref="BS19:BT19"/>
    <mergeCell ref="BU19:BV19"/>
    <mergeCell ref="BW19:BY19"/>
    <mergeCell ref="AP19:AS19"/>
    <mergeCell ref="AT19:AU19"/>
    <mergeCell ref="AV19:AW19"/>
    <mergeCell ref="AX19:BA19"/>
    <mergeCell ref="BB19:BE19"/>
    <mergeCell ref="BF19:BI19"/>
    <mergeCell ref="Y19:AE19"/>
    <mergeCell ref="AF19:AG19"/>
    <mergeCell ref="AH19:AI19"/>
    <mergeCell ref="AJ19:AK19"/>
    <mergeCell ref="AL19:AM19"/>
    <mergeCell ref="AN19:AO19"/>
    <mergeCell ref="CX18:DA18"/>
    <mergeCell ref="DB18:DE18"/>
    <mergeCell ref="DF18:DI18"/>
    <mergeCell ref="DJ18:DM18"/>
    <mergeCell ref="B19:D19"/>
    <mergeCell ref="E19:F19"/>
    <mergeCell ref="G19:N19"/>
    <mergeCell ref="O19:P19"/>
    <mergeCell ref="Q19:R19"/>
    <mergeCell ref="S19:X19"/>
    <mergeCell ref="BZ18:CC18"/>
    <mergeCell ref="CD18:CG18"/>
    <mergeCell ref="CH18:CK18"/>
    <mergeCell ref="CL18:CO18"/>
    <mergeCell ref="CP18:CS18"/>
    <mergeCell ref="CT18:CW18"/>
    <mergeCell ref="BJ18:BL18"/>
    <mergeCell ref="BM18:BO18"/>
    <mergeCell ref="BQ18:BR18"/>
    <mergeCell ref="BS18:BT18"/>
    <mergeCell ref="BU18:BV18"/>
    <mergeCell ref="BW18:BY18"/>
    <mergeCell ref="AP18:AS18"/>
    <mergeCell ref="AT18:AU18"/>
    <mergeCell ref="AV18:AW18"/>
    <mergeCell ref="AX18:BA18"/>
    <mergeCell ref="BB18:BE18"/>
    <mergeCell ref="BF18:BI18"/>
    <mergeCell ref="Y18:AE18"/>
    <mergeCell ref="AF18:AG18"/>
    <mergeCell ref="AH18:AI18"/>
    <mergeCell ref="AJ18:AK18"/>
    <mergeCell ref="AL18:AM18"/>
    <mergeCell ref="AN18:AO18"/>
    <mergeCell ref="CX17:DA17"/>
    <mergeCell ref="DB17:DE17"/>
    <mergeCell ref="DF17:DI17"/>
    <mergeCell ref="DJ17:DM17"/>
    <mergeCell ref="B18:D18"/>
    <mergeCell ref="E18:F18"/>
    <mergeCell ref="G18:N18"/>
    <mergeCell ref="O18:P18"/>
    <mergeCell ref="Q18:R18"/>
    <mergeCell ref="S18:X18"/>
    <mergeCell ref="BZ17:CC17"/>
    <mergeCell ref="CD17:CG17"/>
    <mergeCell ref="CH17:CK17"/>
    <mergeCell ref="CL17:CO17"/>
    <mergeCell ref="CP17:CS17"/>
    <mergeCell ref="CT17:CW17"/>
    <mergeCell ref="BJ17:BL17"/>
    <mergeCell ref="BM17:BO17"/>
    <mergeCell ref="BQ17:BR17"/>
    <mergeCell ref="BS17:BT17"/>
    <mergeCell ref="BU17:BV17"/>
    <mergeCell ref="BW17:BY17"/>
    <mergeCell ref="AP17:AS17"/>
    <mergeCell ref="AT17:AU17"/>
    <mergeCell ref="AV17:AW17"/>
    <mergeCell ref="AX17:BA17"/>
    <mergeCell ref="BB17:BE17"/>
    <mergeCell ref="BF17:BI17"/>
    <mergeCell ref="Y17:AE17"/>
    <mergeCell ref="AF17:AG17"/>
    <mergeCell ref="AH17:AI17"/>
    <mergeCell ref="AJ17:AK17"/>
    <mergeCell ref="AL17:AM17"/>
    <mergeCell ref="AN17:AO17"/>
    <mergeCell ref="CX16:DA16"/>
    <mergeCell ref="DB16:DE16"/>
    <mergeCell ref="DF16:DI16"/>
    <mergeCell ref="DJ16:DM16"/>
    <mergeCell ref="B17:D17"/>
    <mergeCell ref="E17:F17"/>
    <mergeCell ref="G17:N17"/>
    <mergeCell ref="O17:P17"/>
    <mergeCell ref="Q17:R17"/>
    <mergeCell ref="S17:X17"/>
    <mergeCell ref="BZ16:CC16"/>
    <mergeCell ref="CD16:CG16"/>
    <mergeCell ref="CH16:CK16"/>
    <mergeCell ref="CL16:CO16"/>
    <mergeCell ref="CP16:CS16"/>
    <mergeCell ref="CT16:CW16"/>
    <mergeCell ref="BJ16:BL16"/>
    <mergeCell ref="BM16:BO16"/>
    <mergeCell ref="BQ16:BR16"/>
    <mergeCell ref="BS16:BT16"/>
    <mergeCell ref="BU16:BV16"/>
    <mergeCell ref="BW16:BY16"/>
    <mergeCell ref="AP16:AS16"/>
    <mergeCell ref="AT16:AU16"/>
    <mergeCell ref="AV16:AW16"/>
    <mergeCell ref="AX16:BA16"/>
    <mergeCell ref="BB16:BE16"/>
    <mergeCell ref="BF16:BI16"/>
    <mergeCell ref="Y16:AE16"/>
    <mergeCell ref="AF16:AG16"/>
    <mergeCell ref="AH16:AI16"/>
    <mergeCell ref="AJ16:AK16"/>
    <mergeCell ref="AL16:AM16"/>
    <mergeCell ref="AN16:AO16"/>
    <mergeCell ref="CX15:DA15"/>
    <mergeCell ref="DB15:DE15"/>
    <mergeCell ref="DF15:DI15"/>
    <mergeCell ref="DJ15:DM15"/>
    <mergeCell ref="B16:D16"/>
    <mergeCell ref="E16:F16"/>
    <mergeCell ref="G16:N16"/>
    <mergeCell ref="O16:P16"/>
    <mergeCell ref="Q16:R16"/>
    <mergeCell ref="S16:X16"/>
    <mergeCell ref="BZ15:CC15"/>
    <mergeCell ref="CD15:CG15"/>
    <mergeCell ref="CH15:CK15"/>
    <mergeCell ref="CL15:CO15"/>
    <mergeCell ref="CP15:CS15"/>
    <mergeCell ref="CT15:CW15"/>
    <mergeCell ref="BJ15:BL15"/>
    <mergeCell ref="BM15:BO15"/>
    <mergeCell ref="BQ15:BR15"/>
    <mergeCell ref="BS15:BT15"/>
    <mergeCell ref="BU15:BV15"/>
    <mergeCell ref="BW15:BY15"/>
    <mergeCell ref="AP15:AS15"/>
    <mergeCell ref="AT15:AU15"/>
    <mergeCell ref="AV15:AW15"/>
    <mergeCell ref="AX15:BA15"/>
    <mergeCell ref="BB15:BE15"/>
    <mergeCell ref="BF15:BI15"/>
    <mergeCell ref="Y15:AE15"/>
    <mergeCell ref="AF15:AG15"/>
    <mergeCell ref="AH15:AI15"/>
    <mergeCell ref="AJ15:AK15"/>
    <mergeCell ref="AL15:AM15"/>
    <mergeCell ref="AN15:AO15"/>
    <mergeCell ref="CX14:DA14"/>
    <mergeCell ref="DB14:DE14"/>
    <mergeCell ref="DF14:DI14"/>
    <mergeCell ref="DJ14:DM14"/>
    <mergeCell ref="B15:D15"/>
    <mergeCell ref="E15:F15"/>
    <mergeCell ref="G15:N15"/>
    <mergeCell ref="O15:P15"/>
    <mergeCell ref="Q15:R15"/>
    <mergeCell ref="S15:X15"/>
    <mergeCell ref="BZ14:CC14"/>
    <mergeCell ref="CD14:CG14"/>
    <mergeCell ref="CH14:CK14"/>
    <mergeCell ref="CL14:CO14"/>
    <mergeCell ref="CP14:CS14"/>
    <mergeCell ref="CT14:CW14"/>
    <mergeCell ref="BJ14:BL14"/>
    <mergeCell ref="BM14:BO14"/>
    <mergeCell ref="BQ14:BR14"/>
    <mergeCell ref="BS14:BT14"/>
    <mergeCell ref="BU14:BV14"/>
    <mergeCell ref="BW14:BY14"/>
    <mergeCell ref="AP14:AS14"/>
    <mergeCell ref="AT14:AU14"/>
    <mergeCell ref="AV14:AW14"/>
    <mergeCell ref="AX14:BA14"/>
    <mergeCell ref="BB14:BE14"/>
    <mergeCell ref="BF14:BI14"/>
    <mergeCell ref="Y14:AE14"/>
    <mergeCell ref="AF14:AG14"/>
    <mergeCell ref="AH14:AI14"/>
    <mergeCell ref="AJ14:AK14"/>
    <mergeCell ref="AL14:AM14"/>
    <mergeCell ref="AN14:AO14"/>
    <mergeCell ref="CX13:DA13"/>
    <mergeCell ref="DB13:DE13"/>
    <mergeCell ref="DF13:DI13"/>
    <mergeCell ref="DJ13:DM13"/>
    <mergeCell ref="B14:D14"/>
    <mergeCell ref="E14:F14"/>
    <mergeCell ref="G14:N14"/>
    <mergeCell ref="O14:P14"/>
    <mergeCell ref="Q14:R14"/>
    <mergeCell ref="S14:X14"/>
    <mergeCell ref="BZ13:CC13"/>
    <mergeCell ref="CD13:CG13"/>
    <mergeCell ref="CH13:CK13"/>
    <mergeCell ref="CL13:CO13"/>
    <mergeCell ref="CP13:CS13"/>
    <mergeCell ref="CT13:CW13"/>
    <mergeCell ref="BJ13:BL13"/>
    <mergeCell ref="BM13:BO13"/>
    <mergeCell ref="BQ13:BR13"/>
    <mergeCell ref="BS13:BT13"/>
    <mergeCell ref="BU13:BV13"/>
    <mergeCell ref="BW13:BY13"/>
    <mergeCell ref="AP13:AS13"/>
    <mergeCell ref="AT13:AU13"/>
    <mergeCell ref="AV13:AW13"/>
    <mergeCell ref="AX13:BA13"/>
    <mergeCell ref="BB13:BE13"/>
    <mergeCell ref="BF13:BI13"/>
    <mergeCell ref="Y13:AE13"/>
    <mergeCell ref="AF13:AG13"/>
    <mergeCell ref="AH13:AI13"/>
    <mergeCell ref="AJ13:AK13"/>
    <mergeCell ref="AL13:AM13"/>
    <mergeCell ref="AN13:AO13"/>
    <mergeCell ref="CX12:DA12"/>
    <mergeCell ref="DB12:DE12"/>
    <mergeCell ref="DF12:DI12"/>
    <mergeCell ref="DJ12:DM12"/>
    <mergeCell ref="B13:D13"/>
    <mergeCell ref="E13:F13"/>
    <mergeCell ref="G13:N13"/>
    <mergeCell ref="O13:P13"/>
    <mergeCell ref="Q13:R13"/>
    <mergeCell ref="S13:X13"/>
    <mergeCell ref="BZ12:CC12"/>
    <mergeCell ref="CD12:CG12"/>
    <mergeCell ref="CH12:CK12"/>
    <mergeCell ref="CL12:CO12"/>
    <mergeCell ref="CP12:CS12"/>
    <mergeCell ref="CT12:CW12"/>
    <mergeCell ref="BJ12:BL12"/>
    <mergeCell ref="BM12:BO12"/>
    <mergeCell ref="BQ12:BR12"/>
    <mergeCell ref="BS12:BT12"/>
    <mergeCell ref="BU12:BV12"/>
    <mergeCell ref="BW12:BY12"/>
    <mergeCell ref="AP12:AS12"/>
    <mergeCell ref="AT12:AU12"/>
    <mergeCell ref="AV12:AW12"/>
    <mergeCell ref="AX12:BA12"/>
    <mergeCell ref="BB12:BE12"/>
    <mergeCell ref="BF12:BI12"/>
    <mergeCell ref="Y12:AE12"/>
    <mergeCell ref="AF12:AG12"/>
    <mergeCell ref="AH12:AI12"/>
    <mergeCell ref="AJ12:AK12"/>
    <mergeCell ref="AL12:AM12"/>
    <mergeCell ref="AN12:AO12"/>
    <mergeCell ref="CX11:DA11"/>
    <mergeCell ref="DB11:DE11"/>
    <mergeCell ref="DF11:DI11"/>
    <mergeCell ref="DJ11:DM11"/>
    <mergeCell ref="B12:D12"/>
    <mergeCell ref="E12:F12"/>
    <mergeCell ref="G12:N12"/>
    <mergeCell ref="O12:P12"/>
    <mergeCell ref="Q12:R12"/>
    <mergeCell ref="S12:X12"/>
    <mergeCell ref="BZ11:CC11"/>
    <mergeCell ref="CD11:CG11"/>
    <mergeCell ref="CH11:CK11"/>
    <mergeCell ref="CL11:CO11"/>
    <mergeCell ref="CP11:CS11"/>
    <mergeCell ref="CT11:CW11"/>
    <mergeCell ref="BJ11:BL11"/>
    <mergeCell ref="BM11:BO11"/>
    <mergeCell ref="BQ11:BR11"/>
    <mergeCell ref="BS11:BT11"/>
    <mergeCell ref="BU11:BV11"/>
    <mergeCell ref="BW11:BY11"/>
    <mergeCell ref="AP11:AS11"/>
    <mergeCell ref="AT11:AU11"/>
    <mergeCell ref="AV11:AW11"/>
    <mergeCell ref="AX11:BA11"/>
    <mergeCell ref="BB11:BE11"/>
    <mergeCell ref="BF11:BI11"/>
    <mergeCell ref="Y11:AE11"/>
    <mergeCell ref="AF11:AG11"/>
    <mergeCell ref="AH11:AI11"/>
    <mergeCell ref="AJ11:AK11"/>
    <mergeCell ref="AL11:AM11"/>
    <mergeCell ref="AN11:AO11"/>
    <mergeCell ref="CX10:DA10"/>
    <mergeCell ref="DB10:DE10"/>
    <mergeCell ref="DF10:DI10"/>
    <mergeCell ref="DJ10:DM10"/>
    <mergeCell ref="B11:D11"/>
    <mergeCell ref="E11:F11"/>
    <mergeCell ref="G11:N11"/>
    <mergeCell ref="O11:P11"/>
    <mergeCell ref="Q11:R11"/>
    <mergeCell ref="S11:X11"/>
    <mergeCell ref="BZ10:CC10"/>
    <mergeCell ref="CD10:CG10"/>
    <mergeCell ref="CH10:CK10"/>
    <mergeCell ref="CL10:CO10"/>
    <mergeCell ref="CP10:CS10"/>
    <mergeCell ref="CT10:CW10"/>
    <mergeCell ref="BJ10:BL10"/>
    <mergeCell ref="BM10:BO10"/>
    <mergeCell ref="BQ10:BR10"/>
    <mergeCell ref="BS10:BT10"/>
    <mergeCell ref="BU10:BV10"/>
    <mergeCell ref="BW10:BY10"/>
    <mergeCell ref="AP10:AS10"/>
    <mergeCell ref="AT10:AU10"/>
    <mergeCell ref="AV10:AW10"/>
    <mergeCell ref="AX10:BA10"/>
    <mergeCell ref="BB10:BE10"/>
    <mergeCell ref="BF10:BI10"/>
    <mergeCell ref="Y10:AE10"/>
    <mergeCell ref="AF10:AG10"/>
    <mergeCell ref="AH10:AI10"/>
    <mergeCell ref="AJ10:AK10"/>
    <mergeCell ref="AL10:AM10"/>
    <mergeCell ref="AN10:AO10"/>
    <mergeCell ref="CX9:DA9"/>
    <mergeCell ref="DB9:DE9"/>
    <mergeCell ref="DF9:DI9"/>
    <mergeCell ref="DJ9:DM9"/>
    <mergeCell ref="B10:D10"/>
    <mergeCell ref="E10:F10"/>
    <mergeCell ref="G10:N10"/>
    <mergeCell ref="O10:P10"/>
    <mergeCell ref="Q10:R10"/>
    <mergeCell ref="S10:X10"/>
    <mergeCell ref="BZ9:CC9"/>
    <mergeCell ref="CD9:CG9"/>
    <mergeCell ref="CH9:CK9"/>
    <mergeCell ref="CL9:CO9"/>
    <mergeCell ref="CP9:CS9"/>
    <mergeCell ref="CT9:CW9"/>
    <mergeCell ref="BJ9:BL9"/>
    <mergeCell ref="BM9:BO9"/>
    <mergeCell ref="BQ9:BR9"/>
    <mergeCell ref="BS9:BT9"/>
    <mergeCell ref="BU9:BV9"/>
    <mergeCell ref="BW9:BY9"/>
    <mergeCell ref="AP9:AS9"/>
    <mergeCell ref="AT9:AU9"/>
    <mergeCell ref="AV9:AW9"/>
    <mergeCell ref="AX9:BA9"/>
    <mergeCell ref="BB9:BE9"/>
    <mergeCell ref="BF9:BI9"/>
    <mergeCell ref="Y9:AE9"/>
    <mergeCell ref="AF9:AG9"/>
    <mergeCell ref="AH9:AI9"/>
    <mergeCell ref="AJ9:AK9"/>
    <mergeCell ref="AL9:AM9"/>
    <mergeCell ref="AN9:AO9"/>
    <mergeCell ref="CX8:DA8"/>
    <mergeCell ref="DB8:DE8"/>
    <mergeCell ref="DF8:DI8"/>
    <mergeCell ref="DJ8:DM8"/>
    <mergeCell ref="B9:D9"/>
    <mergeCell ref="E9:F9"/>
    <mergeCell ref="G9:N9"/>
    <mergeCell ref="O9:P9"/>
    <mergeCell ref="Q9:R9"/>
    <mergeCell ref="S9:X9"/>
    <mergeCell ref="BZ8:CC8"/>
    <mergeCell ref="CD8:CG8"/>
    <mergeCell ref="CH8:CK8"/>
    <mergeCell ref="CL8:CO8"/>
    <mergeCell ref="CP8:CS8"/>
    <mergeCell ref="CT8:CW8"/>
    <mergeCell ref="BJ8:BL8"/>
    <mergeCell ref="BM8:BO8"/>
    <mergeCell ref="BQ8:BR8"/>
    <mergeCell ref="BS8:BT8"/>
    <mergeCell ref="BU8:BV8"/>
    <mergeCell ref="BW8:BY8"/>
    <mergeCell ref="AP8:AS8"/>
    <mergeCell ref="AT8:AU8"/>
    <mergeCell ref="AV8:AW8"/>
    <mergeCell ref="AX8:BA8"/>
    <mergeCell ref="BB8:BE8"/>
    <mergeCell ref="BF8:BI8"/>
    <mergeCell ref="Y8:AE8"/>
    <mergeCell ref="AF8:AG8"/>
    <mergeCell ref="AH8:AI8"/>
    <mergeCell ref="AJ8:AK8"/>
    <mergeCell ref="AL8:AM8"/>
    <mergeCell ref="AN8:AO8"/>
    <mergeCell ref="CX7:DA7"/>
    <mergeCell ref="DB7:DE7"/>
    <mergeCell ref="DF7:DI7"/>
    <mergeCell ref="DJ7:DM7"/>
    <mergeCell ref="B8:D8"/>
    <mergeCell ref="E8:F8"/>
    <mergeCell ref="G8:N8"/>
    <mergeCell ref="O8:P8"/>
    <mergeCell ref="Q8:R8"/>
    <mergeCell ref="S8:X8"/>
    <mergeCell ref="BZ7:CC7"/>
    <mergeCell ref="CD7:CG7"/>
    <mergeCell ref="CH7:CK7"/>
    <mergeCell ref="CL7:CO7"/>
    <mergeCell ref="CP7:CS7"/>
    <mergeCell ref="CT7:CW7"/>
    <mergeCell ref="BJ7:BL7"/>
    <mergeCell ref="BM7:BO7"/>
    <mergeCell ref="BQ7:BR7"/>
    <mergeCell ref="BS7:BT7"/>
    <mergeCell ref="BU7:BV7"/>
    <mergeCell ref="BW7:BY7"/>
    <mergeCell ref="AP7:AS7"/>
    <mergeCell ref="AT7:AU7"/>
    <mergeCell ref="AV7:AW7"/>
    <mergeCell ref="AX7:BA7"/>
    <mergeCell ref="BB7:BE7"/>
    <mergeCell ref="BF7:BI7"/>
    <mergeCell ref="Y7:AE7"/>
    <mergeCell ref="AF7:AG7"/>
    <mergeCell ref="AH7:AI7"/>
    <mergeCell ref="AJ7:AK7"/>
    <mergeCell ref="AL7:AM7"/>
    <mergeCell ref="AN7:AO7"/>
    <mergeCell ref="B7:D7"/>
    <mergeCell ref="E7:F7"/>
    <mergeCell ref="G7:N7"/>
    <mergeCell ref="O7:P7"/>
    <mergeCell ref="Q7:R7"/>
    <mergeCell ref="S7:X7"/>
    <mergeCell ref="DJ5:DM6"/>
    <mergeCell ref="AL6:AO6"/>
    <mergeCell ref="AP6:AS6"/>
    <mergeCell ref="AT6:AW6"/>
    <mergeCell ref="AX6:BA6"/>
    <mergeCell ref="BB6:BE6"/>
    <mergeCell ref="BF6:BI6"/>
    <mergeCell ref="BQ6:BR6"/>
    <mergeCell ref="BU6:BV6"/>
    <mergeCell ref="BW6:BY6"/>
    <mergeCell ref="CL5:CO6"/>
    <mergeCell ref="CP5:CS6"/>
    <mergeCell ref="CT5:CW6"/>
    <mergeCell ref="CX5:DA6"/>
    <mergeCell ref="DB5:DE6"/>
    <mergeCell ref="DF5:DI6"/>
    <mergeCell ref="BP5:BR5"/>
    <mergeCell ref="BS5:BT6"/>
    <mergeCell ref="DR3:EC4"/>
    <mergeCell ref="B5:D6"/>
    <mergeCell ref="E5:F6"/>
    <mergeCell ref="G5:N6"/>
    <mergeCell ref="O5:P6"/>
    <mergeCell ref="Q5:R6"/>
    <mergeCell ref="S5:X6"/>
    <mergeCell ref="Y5:AE6"/>
    <mergeCell ref="AF5:AG6"/>
    <mergeCell ref="AH5:AI6"/>
    <mergeCell ref="BU5:BY5"/>
    <mergeCell ref="BZ5:CC6"/>
    <mergeCell ref="CD5:CG6"/>
    <mergeCell ref="CH5:CK6"/>
    <mergeCell ref="AJ5:AK6"/>
    <mergeCell ref="AL5:AS5"/>
    <mergeCell ref="AT5:BA5"/>
    <mergeCell ref="BB5:BI5"/>
    <mergeCell ref="BJ5:BL6"/>
    <mergeCell ref="BM5:BO6"/>
    <mergeCell ref="CS2:CW2"/>
    <mergeCell ref="CX2:DM2"/>
    <mergeCell ref="B3:F3"/>
    <mergeCell ref="G3:BG3"/>
    <mergeCell ref="BH3:BL3"/>
    <mergeCell ref="BM3:DM3"/>
    <mergeCell ref="BH2:BL2"/>
    <mergeCell ref="BM2:BP2"/>
    <mergeCell ref="BQ2:BU2"/>
    <mergeCell ref="BV2:CF2"/>
    <mergeCell ref="CG2:CK2"/>
    <mergeCell ref="CL2:CR2"/>
    <mergeCell ref="B2:F2"/>
    <mergeCell ref="G2:P2"/>
    <mergeCell ref="Q2:T2"/>
    <mergeCell ref="U2:AD2"/>
    <mergeCell ref="AE2:AL2"/>
    <mergeCell ref="AM2:BG2"/>
  </mergeCells>
  <conditionalFormatting sqref="E13:F28">
    <cfRule type="expression" dxfId="5" priority="4" stopIfTrue="1">
      <formula>$B13=""</formula>
    </cfRule>
    <cfRule type="expression" dxfId="4" priority="5" stopIfTrue="1">
      <formula>WEEKDAY($B13)=7</formula>
    </cfRule>
    <cfRule type="expression" dxfId="3" priority="6" stopIfTrue="1">
      <formula>WEEKDAY($B13)=1</formula>
    </cfRule>
  </conditionalFormatting>
  <conditionalFormatting sqref="E7:F12">
    <cfRule type="expression" dxfId="2" priority="1" stopIfTrue="1">
      <formula>$B7=""</formula>
    </cfRule>
    <cfRule type="expression" dxfId="1" priority="2" stopIfTrue="1">
      <formula>WEEKDAY($B7)=7</formula>
    </cfRule>
    <cfRule type="expression" dxfId="0" priority="3" stopIfTrue="1">
      <formula>WEEKDAY($B7)=1</formula>
    </cfRule>
  </conditionalFormatting>
  <dataValidations count="5">
    <dataValidation type="list" allowBlank="1" showInputMessage="1" sqref="AX10:BA28 BB12:BI28 AP10:AS28">
      <formula1>$EA$6:$EA$29</formula1>
    </dataValidation>
    <dataValidation type="list" allowBlank="1" showInputMessage="1" sqref="BB7:BI11 AP7:AS9 AX7:BA9">
      <formula1>$EA$6:$EA$24</formula1>
    </dataValidation>
    <dataValidation type="list" allowBlank="1" showInputMessage="1" showErrorMessage="1" sqref="Q7:R28">
      <formula1>$EN$6:$EN$18</formula1>
    </dataValidation>
    <dataValidation showInputMessage="1" showErrorMessage="1" sqref="AT7:AW28 AF7:AO28"/>
    <dataValidation type="whole" allowBlank="1" showInputMessage="1" showErrorMessage="1" sqref="BF42 AX42 BB42">
      <formula1>0</formula1>
      <formula2>9999999</formula2>
    </dataValidation>
  </dataValidations>
  <pageMargins left="0.48" right="0.196850393700787" top="0.61" bottom="0.31496062992126" header="0.43" footer="0.27559055118110198"/>
  <pageSetup paperSize="9" scale="46" fitToHeight="0" orientation="landscape" horizontalDpi="4294967295" verticalDpi="4294967295" r:id="rId1"/>
  <headerFooter alignWithMargins="0">
    <oddHeader>&amp;C&amp;18Work Document and Statement of Trip Account</oddHeader>
  </headerFooter>
  <rowBreaks count="1" manualBreakCount="1">
    <brk id="43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1</vt:lpstr>
      <vt:lpstr>'1'!Passage</vt:lpstr>
      <vt:lpstr>Passage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2017-04-14T08:29:02Z</cp:lastPrinted>
  <dcterms:created xsi:type="dcterms:W3CDTF">2017-04-13T04:10:35Z</dcterms:created>
  <dcterms:modified xsi:type="dcterms:W3CDTF">2017-04-14T10:35:53Z</dcterms:modified>
</cp:coreProperties>
</file>