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9990" windowHeight="7680"/>
  </bookViews>
  <sheets>
    <sheet name="Sheet1" sheetId="1" r:id="rId1"/>
    <sheet name="Sheet2" sheetId="2" r:id="rId2"/>
  </sheets>
  <definedNames>
    <definedName name="_xlnm.Print_Area" localSheetId="0">Sheet1!$L$1:$T$43</definedName>
  </definedNames>
  <calcPr calcId="152511"/>
</workbook>
</file>

<file path=xl/calcChain.xml><?xml version="1.0" encoding="utf-8"?>
<calcChain xmlns="http://schemas.openxmlformats.org/spreadsheetml/2006/main">
  <c r="Z9" i="1" l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8" i="1"/>
  <c r="AC42" i="1"/>
  <c r="AC40" i="1"/>
  <c r="AC38" i="1"/>
  <c r="AC36" i="1"/>
  <c r="AC34" i="1"/>
  <c r="AC32" i="1"/>
  <c r="AC30" i="1"/>
  <c r="AC28" i="1"/>
  <c r="AC26" i="1"/>
  <c r="AC24" i="1"/>
  <c r="AC22" i="1"/>
  <c r="AC20" i="1"/>
  <c r="AC18" i="1"/>
  <c r="AC16" i="1"/>
  <c r="AC14" i="1"/>
  <c r="AC12" i="1"/>
  <c r="AC10" i="1"/>
  <c r="AC8" i="1"/>
  <c r="I40" i="1" l="1"/>
  <c r="I41" i="1"/>
  <c r="I18" i="1"/>
  <c r="I19" i="1"/>
  <c r="I17" i="1"/>
  <c r="I16" i="1"/>
  <c r="J16" i="1" l="1"/>
  <c r="O17" i="1" s="1"/>
  <c r="J40" i="1"/>
  <c r="O40" i="1" s="1"/>
  <c r="J18" i="1"/>
  <c r="O18" i="1" s="1"/>
  <c r="T10" i="1"/>
  <c r="T12" i="1"/>
  <c r="T14" i="1"/>
  <c r="T16" i="1"/>
  <c r="T18" i="1"/>
  <c r="T20" i="1"/>
  <c r="T22" i="1"/>
  <c r="T24" i="1"/>
  <c r="T26" i="1"/>
  <c r="T28" i="1"/>
  <c r="T30" i="1"/>
  <c r="T32" i="1"/>
  <c r="T34" i="1"/>
  <c r="T36" i="1"/>
  <c r="T38" i="1"/>
  <c r="T40" i="1"/>
  <c r="T42" i="1"/>
  <c r="T8" i="1"/>
  <c r="O41" i="1" l="1"/>
  <c r="O16" i="1"/>
  <c r="O19" i="1"/>
  <c r="C39" i="2"/>
  <c r="D39" i="2" s="1"/>
  <c r="E39" i="2" s="1"/>
  <c r="D38" i="2"/>
  <c r="E38" i="2" s="1"/>
  <c r="C38" i="2"/>
  <c r="C37" i="2"/>
  <c r="C36" i="2"/>
  <c r="C35" i="2"/>
  <c r="D35" i="2" s="1"/>
  <c r="E35" i="2" s="1"/>
  <c r="D34" i="2"/>
  <c r="E34" i="2" s="1"/>
  <c r="C34" i="2"/>
  <c r="C33" i="2"/>
  <c r="C32" i="2"/>
  <c r="C31" i="2"/>
  <c r="D31" i="2" s="1"/>
  <c r="E31" i="2" s="1"/>
  <c r="D30" i="2"/>
  <c r="E30" i="2" s="1"/>
  <c r="C30" i="2"/>
  <c r="C29" i="2"/>
  <c r="C28" i="2"/>
  <c r="C27" i="2"/>
  <c r="D27" i="2" s="1"/>
  <c r="E27" i="2" s="1"/>
  <c r="D26" i="2"/>
  <c r="E26" i="2" s="1"/>
  <c r="C26" i="2"/>
  <c r="C25" i="2"/>
  <c r="C24" i="2"/>
  <c r="C23" i="2"/>
  <c r="D23" i="2" s="1"/>
  <c r="E23" i="2" s="1"/>
  <c r="D22" i="2"/>
  <c r="E22" i="2" s="1"/>
  <c r="C22" i="2"/>
  <c r="C21" i="2"/>
  <c r="C20" i="2"/>
  <c r="C19" i="2"/>
  <c r="D19" i="2" s="1"/>
  <c r="E19" i="2" s="1"/>
  <c r="D18" i="2"/>
  <c r="E18" i="2" s="1"/>
  <c r="C18" i="2"/>
  <c r="C17" i="2"/>
  <c r="C16" i="2"/>
  <c r="C15" i="2"/>
  <c r="D15" i="2" s="1"/>
  <c r="E15" i="2" s="1"/>
  <c r="D14" i="2"/>
  <c r="E14" i="2" s="1"/>
  <c r="C14" i="2"/>
  <c r="C13" i="2"/>
  <c r="C12" i="2"/>
  <c r="C11" i="2"/>
  <c r="D11" i="2" s="1"/>
  <c r="E11" i="2" s="1"/>
  <c r="D10" i="2"/>
  <c r="E10" i="2" s="1"/>
  <c r="C10" i="2"/>
  <c r="C9" i="2"/>
  <c r="C8" i="2"/>
  <c r="C7" i="2"/>
  <c r="D7" i="2" s="1"/>
  <c r="E7" i="2" s="1"/>
  <c r="D6" i="2"/>
  <c r="E6" i="2" s="1"/>
  <c r="C6" i="2"/>
  <c r="C5" i="2"/>
  <c r="C4" i="2"/>
  <c r="E28" i="2" l="1"/>
  <c r="E29" i="2"/>
  <c r="E32" i="2"/>
  <c r="E33" i="2"/>
  <c r="E8" i="2"/>
  <c r="E21" i="2"/>
  <c r="D5" i="2"/>
  <c r="E5" i="2" s="1"/>
  <c r="D9" i="2"/>
  <c r="E9" i="2" s="1"/>
  <c r="D13" i="2"/>
  <c r="E13" i="2" s="1"/>
  <c r="D17" i="2"/>
  <c r="E17" i="2" s="1"/>
  <c r="D21" i="2"/>
  <c r="D25" i="2"/>
  <c r="E25" i="2" s="1"/>
  <c r="D29" i="2"/>
  <c r="D33" i="2"/>
  <c r="D37" i="2"/>
  <c r="E37" i="2" s="1"/>
  <c r="D4" i="2"/>
  <c r="E4" i="2" s="1"/>
  <c r="D8" i="2"/>
  <c r="D12" i="2"/>
  <c r="E12" i="2" s="1"/>
  <c r="D16" i="2"/>
  <c r="E16" i="2" s="1"/>
  <c r="D20" i="2"/>
  <c r="E20" i="2" s="1"/>
  <c r="D24" i="2"/>
  <c r="E24" i="2" s="1"/>
  <c r="D28" i="2"/>
  <c r="D32" i="2"/>
  <c r="D36" i="2"/>
  <c r="E36" i="2" s="1"/>
  <c r="I36" i="1" l="1"/>
  <c r="I22" i="1"/>
  <c r="I9" i="1" l="1"/>
  <c r="I10" i="1"/>
  <c r="I11" i="1"/>
  <c r="I12" i="1"/>
  <c r="I13" i="1"/>
  <c r="I14" i="1"/>
  <c r="I15" i="1"/>
  <c r="I20" i="1"/>
  <c r="I21" i="1"/>
  <c r="I23" i="1"/>
  <c r="J22" i="1" s="1"/>
  <c r="I24" i="1"/>
  <c r="I25" i="1"/>
  <c r="I26" i="1"/>
  <c r="I27" i="1"/>
  <c r="I28" i="1"/>
  <c r="I29" i="1"/>
  <c r="I30" i="1"/>
  <c r="I31" i="1"/>
  <c r="I32" i="1"/>
  <c r="I33" i="1"/>
  <c r="I34" i="1"/>
  <c r="I35" i="1"/>
  <c r="I37" i="1"/>
  <c r="J36" i="1" s="1"/>
  <c r="I38" i="1"/>
  <c r="I39" i="1"/>
  <c r="I42" i="1"/>
  <c r="I43" i="1"/>
  <c r="I8" i="1"/>
  <c r="J8" i="1" l="1"/>
  <c r="J32" i="1"/>
  <c r="O32" i="1" s="1"/>
  <c r="J24" i="1"/>
  <c r="O24" i="1" s="1"/>
  <c r="P24" i="1" s="1"/>
  <c r="Q24" i="1" s="1"/>
  <c r="P40" i="1"/>
  <c r="Q40" i="1" s="1"/>
  <c r="P18" i="1"/>
  <c r="Q18" i="1" s="1"/>
  <c r="J14" i="1"/>
  <c r="O14" i="1" s="1"/>
  <c r="J10" i="1"/>
  <c r="O11" i="1" s="1"/>
  <c r="P11" i="1" s="1"/>
  <c r="Q11" i="1" s="1"/>
  <c r="J42" i="1"/>
  <c r="O43" i="1" s="1"/>
  <c r="P43" i="1" s="1"/>
  <c r="Q43" i="1" s="1"/>
  <c r="J38" i="1"/>
  <c r="O38" i="1" s="1"/>
  <c r="J20" i="1"/>
  <c r="O20" i="1" s="1"/>
  <c r="P20" i="1" s="1"/>
  <c r="Q20" i="1" s="1"/>
  <c r="J12" i="1"/>
  <c r="O13" i="1" s="1"/>
  <c r="P13" i="1" s="1"/>
  <c r="Q13" i="1" s="1"/>
  <c r="J34" i="1"/>
  <c r="O35" i="1" s="1"/>
  <c r="P35" i="1" s="1"/>
  <c r="Q35" i="1" s="1"/>
  <c r="J26" i="1"/>
  <c r="O27" i="1" s="1"/>
  <c r="P27" i="1" s="1"/>
  <c r="Q27" i="1" s="1"/>
  <c r="J30" i="1"/>
  <c r="O31" i="1" s="1"/>
  <c r="P31" i="1" s="1"/>
  <c r="Q31" i="1" s="1"/>
  <c r="J28" i="1"/>
  <c r="O28" i="1" s="1"/>
  <c r="O34" i="1"/>
  <c r="P34" i="1" s="1"/>
  <c r="Q34" i="1" s="1"/>
  <c r="O9" i="1"/>
  <c r="P9" i="1" s="1"/>
  <c r="Q9" i="1" s="1"/>
  <c r="O8" i="1"/>
  <c r="P8" i="1" s="1"/>
  <c r="Q8" i="1" s="1"/>
  <c r="O10" i="1"/>
  <c r="P10" i="1" s="1"/>
  <c r="Q10" i="1" s="1"/>
  <c r="O36" i="1"/>
  <c r="P36" i="1" s="1"/>
  <c r="Q36" i="1" s="1"/>
  <c r="O37" i="1"/>
  <c r="P37" i="1" s="1"/>
  <c r="Q37" i="1" s="1"/>
  <c r="O23" i="1"/>
  <c r="P23" i="1" s="1"/>
  <c r="Q23" i="1" s="1"/>
  <c r="O22" i="1"/>
  <c r="O42" i="1"/>
  <c r="P42" i="1" s="1"/>
  <c r="Q42" i="1" s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8" i="1"/>
  <c r="O25" i="1" l="1"/>
  <c r="P25" i="1" s="1"/>
  <c r="Q25" i="1" s="1"/>
  <c r="O29" i="1"/>
  <c r="P29" i="1" s="1"/>
  <c r="Q29" i="1" s="1"/>
  <c r="O12" i="1"/>
  <c r="P12" i="1" s="1"/>
  <c r="Q12" i="1" s="1"/>
  <c r="H8" i="1"/>
  <c r="H36" i="1"/>
  <c r="H32" i="1"/>
  <c r="H28" i="1"/>
  <c r="H24" i="1"/>
  <c r="H20" i="1"/>
  <c r="H12" i="1"/>
  <c r="O15" i="1"/>
  <c r="P15" i="1" s="1"/>
  <c r="Q15" i="1" s="1"/>
  <c r="O33" i="1"/>
  <c r="P33" i="1" s="1"/>
  <c r="Q33" i="1" s="1"/>
  <c r="O21" i="1"/>
  <c r="P21" i="1" s="1"/>
  <c r="Q21" i="1" s="1"/>
  <c r="H40" i="1"/>
  <c r="P41" i="1"/>
  <c r="Q41" i="1" s="1"/>
  <c r="H16" i="1"/>
  <c r="P17" i="1"/>
  <c r="Q17" i="1" s="1"/>
  <c r="O26" i="1"/>
  <c r="P26" i="1" s="1"/>
  <c r="Q26" i="1" s="1"/>
  <c r="O39" i="1"/>
  <c r="P39" i="1" s="1"/>
  <c r="Q39" i="1" s="1"/>
  <c r="P19" i="1"/>
  <c r="Q19" i="1" s="1"/>
  <c r="O30" i="1"/>
  <c r="P30" i="1" s="1"/>
  <c r="Q30" i="1" s="1"/>
  <c r="P38" i="1"/>
  <c r="Q38" i="1" s="1"/>
  <c r="P14" i="1"/>
  <c r="Q14" i="1" s="1"/>
  <c r="H38" i="1"/>
  <c r="H34" i="1"/>
  <c r="H30" i="1"/>
  <c r="H26" i="1"/>
  <c r="H22" i="1"/>
  <c r="H18" i="1"/>
  <c r="H14" i="1"/>
  <c r="H10" i="1"/>
  <c r="P22" i="1"/>
  <c r="Q22" i="1" s="1"/>
  <c r="P16" i="1"/>
  <c r="Q16" i="1" s="1"/>
  <c r="P28" i="1"/>
  <c r="Q28" i="1" s="1"/>
  <c r="P32" i="1"/>
  <c r="Q32" i="1" s="1"/>
  <c r="H42" i="1"/>
</calcChain>
</file>

<file path=xl/sharedStrings.xml><?xml version="1.0" encoding="utf-8"?>
<sst xmlns="http://schemas.openxmlformats.org/spreadsheetml/2006/main" count="122" uniqueCount="55">
  <si>
    <t>ma</t>
    <phoneticPr fontId="1"/>
  </si>
  <si>
    <t>mc</t>
    <phoneticPr fontId="1"/>
  </si>
  <si>
    <t>24h</t>
    <phoneticPr fontId="1"/>
  </si>
  <si>
    <t>48h</t>
    <phoneticPr fontId="1"/>
  </si>
  <si>
    <t>(g)</t>
    <phoneticPr fontId="1"/>
  </si>
  <si>
    <t>mb</t>
    <phoneticPr fontId="1"/>
  </si>
  <si>
    <t>Moisture</t>
    <phoneticPr fontId="1"/>
  </si>
  <si>
    <t>(%)</t>
    <phoneticPr fontId="1"/>
  </si>
  <si>
    <t>Average</t>
    <phoneticPr fontId="1"/>
  </si>
  <si>
    <t>No.</t>
    <phoneticPr fontId="1"/>
  </si>
  <si>
    <t>m</t>
  </si>
  <si>
    <t>g</t>
  </si>
  <si>
    <t>ms</t>
  </si>
  <si>
    <t>Vw</t>
  </si>
  <si>
    <t>mL</t>
  </si>
  <si>
    <t>Rw</t>
  </si>
  <si>
    <t>No</t>
  </si>
  <si>
    <t>Mẫu</t>
  </si>
  <si>
    <t>Mẫu khô tính toán</t>
  </si>
  <si>
    <t>Nước thêm</t>
  </si>
  <si>
    <t>(mL)</t>
  </si>
  <si>
    <t>-</t>
  </si>
  <si>
    <t>pH</t>
  </si>
  <si>
    <t>Sample</t>
  </si>
  <si>
    <t>Average</t>
  </si>
  <si>
    <t>UD 1 (3)</t>
  </si>
  <si>
    <t>UD 1 (1)</t>
  </si>
  <si>
    <t>UD 1 (2)</t>
  </si>
  <si>
    <t>UD 2-1</t>
  </si>
  <si>
    <t>UD 2-2</t>
  </si>
  <si>
    <t>UD 2-3</t>
  </si>
  <si>
    <t>UD 3-1</t>
  </si>
  <si>
    <t>UD 3-2</t>
  </si>
  <si>
    <t>UD 3-3</t>
  </si>
  <si>
    <t>UD 4-1</t>
  </si>
  <si>
    <t>UD 4-2</t>
  </si>
  <si>
    <t>UD 4-3</t>
  </si>
  <si>
    <t>UD 5-1</t>
  </si>
  <si>
    <t>UD 5-2</t>
  </si>
  <si>
    <t>UD 5-3</t>
  </si>
  <si>
    <t>UD 6-1</t>
  </si>
  <si>
    <t>UD 6-2</t>
  </si>
  <si>
    <t>UD 6-3</t>
  </si>
  <si>
    <t>Fukken Soil moisture</t>
  </si>
  <si>
    <t>Fukken Soil pH in water</t>
  </si>
  <si>
    <t>Wet sample mass</t>
  </si>
  <si>
    <t>Additonal water amount</t>
  </si>
  <si>
    <t>Temperature</t>
  </si>
  <si>
    <t>(℃)</t>
  </si>
  <si>
    <t>Dry sample mass by calculation</t>
  </si>
  <si>
    <t>Fukken Soil pH in hydrogen peroxide</t>
  </si>
  <si>
    <t>Dry sample mass</t>
  </si>
  <si>
    <t>Beaker and sample mass</t>
  </si>
  <si>
    <t>mt</t>
  </si>
  <si>
    <t>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</si>
</sst>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4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3"/>
  <sheetViews>
    <sheetView tabSelected="1" view="pageBreakPreview" topLeftCell="J1" zoomScaleNormal="100" zoomScaleSheetLayoutView="100" zoomScalePageLayoutView="40" workbookViewId="0">
      <selection activeCell="O10" sqref="O10"/>
    </sheetView>
  </sheetViews>
  <sheetFormatPr defaultRowHeight="15"/>
  <cols>
    <col min="1" max="1" width="13" style="4" customWidth="1"/>
    <col min="2" max="2" width="6.5703125" style="7" customWidth="1"/>
    <col min="3" max="3" width="9" style="16"/>
    <col min="4" max="4" width="9" style="17"/>
    <col min="5" max="5" width="9.140625" style="4"/>
    <col min="6" max="6" width="9" style="17"/>
    <col min="7" max="7" width="9.140625" style="4"/>
    <col min="8" max="8" width="9" style="4"/>
    <col min="9" max="10" width="9.140625" style="4"/>
    <col min="11" max="11" width="2" style="4" customWidth="1"/>
    <col min="12" max="12" width="13" style="4" customWidth="1"/>
    <col min="13" max="13" width="6.5703125" style="7" customWidth="1"/>
    <col min="14" max="14" width="13.28515625" style="4" customWidth="1"/>
    <col min="15" max="15" width="18.5703125" style="9" customWidth="1"/>
    <col min="16" max="16" width="17" style="9" customWidth="1"/>
    <col min="17" max="17" width="7.42578125" style="4" customWidth="1"/>
    <col min="18" max="18" width="13" style="7" customWidth="1"/>
    <col min="19" max="19" width="9.140625" style="7"/>
    <col min="20" max="20" width="10" style="4" bestFit="1" customWidth="1"/>
    <col min="21" max="21" width="2" style="4" customWidth="1"/>
    <col min="22" max="22" width="13" style="4" customWidth="1"/>
    <col min="23" max="23" width="6.5703125" style="7" customWidth="1"/>
    <col min="24" max="25" width="18.28515625" style="4" customWidth="1"/>
    <col min="26" max="26" width="17" style="9" customWidth="1"/>
    <col min="27" max="27" width="13" style="7" customWidth="1"/>
    <col min="28" max="28" width="9.140625" style="7"/>
    <col min="29" max="29" width="10" style="4" bestFit="1" customWidth="1"/>
    <col min="30" max="16384" width="9.140625" style="4"/>
  </cols>
  <sheetData>
    <row r="1" spans="1:29">
      <c r="A1" s="32" t="s">
        <v>43</v>
      </c>
      <c r="B1" s="33"/>
      <c r="C1" s="33"/>
      <c r="D1" s="33"/>
      <c r="E1" s="33"/>
      <c r="F1" s="33"/>
      <c r="G1" s="33"/>
      <c r="H1" s="33"/>
      <c r="I1" s="33"/>
      <c r="J1" s="34"/>
      <c r="L1" s="32" t="s">
        <v>44</v>
      </c>
      <c r="M1" s="33"/>
      <c r="N1" s="33"/>
      <c r="O1" s="33"/>
      <c r="P1" s="33"/>
      <c r="Q1" s="33"/>
      <c r="R1" s="33"/>
      <c r="S1" s="33"/>
      <c r="T1" s="34"/>
      <c r="V1" s="32" t="s">
        <v>50</v>
      </c>
      <c r="W1" s="33"/>
      <c r="X1" s="33"/>
      <c r="Y1" s="33"/>
      <c r="Z1" s="33"/>
      <c r="AA1" s="33"/>
      <c r="AB1" s="33"/>
      <c r="AC1" s="34"/>
    </row>
    <row r="2" spans="1:29">
      <c r="A2" s="35"/>
      <c r="B2" s="36"/>
      <c r="C2" s="36"/>
      <c r="D2" s="36"/>
      <c r="E2" s="36"/>
      <c r="F2" s="36"/>
      <c r="G2" s="36"/>
      <c r="H2" s="36"/>
      <c r="I2" s="36"/>
      <c r="J2" s="37"/>
      <c r="L2" s="35"/>
      <c r="M2" s="36"/>
      <c r="N2" s="36"/>
      <c r="O2" s="36"/>
      <c r="P2" s="36"/>
      <c r="Q2" s="36"/>
      <c r="R2" s="36"/>
      <c r="S2" s="36"/>
      <c r="T2" s="37"/>
      <c r="V2" s="35"/>
      <c r="W2" s="36"/>
      <c r="X2" s="36"/>
      <c r="Y2" s="36"/>
      <c r="Z2" s="36"/>
      <c r="AA2" s="36"/>
      <c r="AB2" s="36"/>
      <c r="AC2" s="37"/>
    </row>
    <row r="4" spans="1:29" ht="6" customHeight="1"/>
    <row r="5" spans="1:29" ht="27" customHeight="1">
      <c r="A5" s="30" t="s">
        <v>23</v>
      </c>
      <c r="B5" s="30" t="s">
        <v>9</v>
      </c>
      <c r="C5" s="27" t="s">
        <v>0</v>
      </c>
      <c r="D5" s="28" t="s">
        <v>5</v>
      </c>
      <c r="E5" s="28"/>
      <c r="F5" s="28" t="s">
        <v>1</v>
      </c>
      <c r="G5" s="30" t="s">
        <v>6</v>
      </c>
      <c r="H5" s="30"/>
      <c r="I5" s="30"/>
      <c r="J5" s="30"/>
      <c r="L5" s="30" t="s">
        <v>23</v>
      </c>
      <c r="M5" s="30" t="s">
        <v>9</v>
      </c>
      <c r="N5" s="18" t="s">
        <v>45</v>
      </c>
      <c r="O5" s="19" t="s">
        <v>49</v>
      </c>
      <c r="P5" s="19" t="s">
        <v>46</v>
      </c>
      <c r="Q5" s="38" t="s">
        <v>15</v>
      </c>
      <c r="R5" s="40" t="s">
        <v>47</v>
      </c>
      <c r="S5" s="38" t="s">
        <v>22</v>
      </c>
      <c r="T5" s="42" t="s">
        <v>24</v>
      </c>
      <c r="V5" s="30" t="s">
        <v>23</v>
      </c>
      <c r="W5" s="30" t="s">
        <v>9</v>
      </c>
      <c r="X5" s="25" t="s">
        <v>51</v>
      </c>
      <c r="Y5" s="25" t="s">
        <v>52</v>
      </c>
      <c r="Z5" s="19" t="s">
        <v>46</v>
      </c>
      <c r="AA5" s="40" t="s">
        <v>47</v>
      </c>
      <c r="AB5" s="38" t="s">
        <v>22</v>
      </c>
      <c r="AC5" s="42" t="s">
        <v>24</v>
      </c>
    </row>
    <row r="6" spans="1:29" ht="15" customHeight="1">
      <c r="A6" s="30"/>
      <c r="B6" s="30"/>
      <c r="C6" s="27"/>
      <c r="D6" s="8" t="s">
        <v>2</v>
      </c>
      <c r="E6" s="5" t="s">
        <v>3</v>
      </c>
      <c r="F6" s="28"/>
      <c r="G6" s="5" t="s">
        <v>2</v>
      </c>
      <c r="H6" s="5" t="s">
        <v>8</v>
      </c>
      <c r="I6" s="5" t="s">
        <v>3</v>
      </c>
      <c r="J6" s="5" t="s">
        <v>24</v>
      </c>
      <c r="L6" s="30"/>
      <c r="M6" s="30"/>
      <c r="N6" s="18" t="s">
        <v>10</v>
      </c>
      <c r="O6" s="19" t="s">
        <v>12</v>
      </c>
      <c r="P6" s="19" t="s">
        <v>13</v>
      </c>
      <c r="Q6" s="39"/>
      <c r="R6" s="41"/>
      <c r="S6" s="39"/>
      <c r="T6" s="42"/>
      <c r="V6" s="30"/>
      <c r="W6" s="30"/>
      <c r="X6" s="25" t="s">
        <v>12</v>
      </c>
      <c r="Y6" s="25" t="s">
        <v>53</v>
      </c>
      <c r="Z6" s="19" t="s">
        <v>13</v>
      </c>
      <c r="AA6" s="41"/>
      <c r="AB6" s="39"/>
      <c r="AC6" s="42"/>
    </row>
    <row r="7" spans="1:29">
      <c r="A7" s="30"/>
      <c r="B7" s="30"/>
      <c r="C7" s="10" t="s">
        <v>4</v>
      </c>
      <c r="D7" s="10" t="s">
        <v>4</v>
      </c>
      <c r="E7" s="10" t="s">
        <v>4</v>
      </c>
      <c r="F7" s="10" t="s">
        <v>4</v>
      </c>
      <c r="G7" s="5" t="s">
        <v>7</v>
      </c>
      <c r="H7" s="5" t="s">
        <v>7</v>
      </c>
      <c r="I7" s="5" t="s">
        <v>7</v>
      </c>
      <c r="J7" s="5" t="s">
        <v>7</v>
      </c>
      <c r="L7" s="30"/>
      <c r="M7" s="30"/>
      <c r="N7" s="20" t="s">
        <v>4</v>
      </c>
      <c r="O7" s="20" t="s">
        <v>4</v>
      </c>
      <c r="P7" s="21" t="s">
        <v>20</v>
      </c>
      <c r="Q7" s="18" t="s">
        <v>21</v>
      </c>
      <c r="R7" s="18" t="s">
        <v>48</v>
      </c>
      <c r="S7" s="18" t="s">
        <v>21</v>
      </c>
      <c r="T7" s="42"/>
      <c r="V7" s="30"/>
      <c r="W7" s="30"/>
      <c r="X7" s="20" t="s">
        <v>4</v>
      </c>
      <c r="Y7" s="20" t="s">
        <v>54</v>
      </c>
      <c r="Z7" s="21" t="s">
        <v>20</v>
      </c>
      <c r="AA7" s="25" t="s">
        <v>48</v>
      </c>
      <c r="AB7" s="25" t="s">
        <v>21</v>
      </c>
      <c r="AC7" s="42"/>
    </row>
    <row r="8" spans="1:29">
      <c r="A8" s="30" t="s">
        <v>26</v>
      </c>
      <c r="B8" s="5">
        <v>1</v>
      </c>
      <c r="C8" s="12">
        <v>10.781000000000001</v>
      </c>
      <c r="D8" s="13">
        <v>9.4600000000000009</v>
      </c>
      <c r="E8" s="11">
        <v>9.4570000000000007</v>
      </c>
      <c r="F8" s="13">
        <v>0.71799999999999997</v>
      </c>
      <c r="G8" s="13">
        <f>ROUND((C8-D8)/(D8-F8)*100,3)</f>
        <v>15.111000000000001</v>
      </c>
      <c r="H8" s="29">
        <f>ROUND(AVERAGE(G8:G9),2)</f>
        <v>15.06</v>
      </c>
      <c r="I8" s="13">
        <f>ROUND((C8-E8)/(E8-F8)*100,3)</f>
        <v>15.15</v>
      </c>
      <c r="J8" s="29">
        <f>ROUND(AVERAGE(I8:I9),2)</f>
        <v>15.09</v>
      </c>
      <c r="L8" s="30" t="s">
        <v>26</v>
      </c>
      <c r="M8" s="23">
        <v>1</v>
      </c>
      <c r="N8" s="8">
        <v>10.021000000000001</v>
      </c>
      <c r="O8" s="6">
        <f>ROUND((N8/(1+J8/100)),1)</f>
        <v>8.6999999999999993</v>
      </c>
      <c r="P8" s="6">
        <f>O8*5-(N8-O8)</f>
        <v>42.179000000000002</v>
      </c>
      <c r="Q8" s="5">
        <f>ROUND(((N8-O8+P8)/O8),1)</f>
        <v>5</v>
      </c>
      <c r="R8" s="6">
        <v>22.3</v>
      </c>
      <c r="S8" s="22">
        <v>7.77</v>
      </c>
      <c r="T8" s="31">
        <f>ROUND(AVERAGE(S8:S9),2)</f>
        <v>7.74</v>
      </c>
      <c r="V8" s="30" t="s">
        <v>26</v>
      </c>
      <c r="W8" s="23">
        <v>1</v>
      </c>
      <c r="X8" s="26">
        <v>2.0379999999999998</v>
      </c>
      <c r="Y8" s="26">
        <v>50.014000000000003</v>
      </c>
      <c r="Z8" s="6">
        <f>ROUND(10*X8,1)</f>
        <v>20.399999999999999</v>
      </c>
      <c r="AA8" s="6">
        <v>24</v>
      </c>
      <c r="AB8" s="24">
        <v>7.28</v>
      </c>
      <c r="AC8" s="31">
        <f>ROUND(AVERAGE(AB8:AB9),2)</f>
        <v>7.26</v>
      </c>
    </row>
    <row r="9" spans="1:29">
      <c r="A9" s="30"/>
      <c r="B9" s="5">
        <v>2</v>
      </c>
      <c r="C9" s="14">
        <v>10.76</v>
      </c>
      <c r="D9" s="13">
        <v>9.4489999999999998</v>
      </c>
      <c r="E9" s="11">
        <v>9.4459999999999997</v>
      </c>
      <c r="F9" s="13">
        <v>0.70899999999999996</v>
      </c>
      <c r="G9" s="13">
        <f t="shared" ref="G9:G43" si="0">ROUND((C9-D9)/(D9-F9)*100,3)</f>
        <v>15</v>
      </c>
      <c r="H9" s="29"/>
      <c r="I9" s="13">
        <f t="shared" ref="I9:I43" si="1">ROUND((C9-E9)/(E9-F9)*100,3)</f>
        <v>15.039</v>
      </c>
      <c r="J9" s="29"/>
      <c r="L9" s="30"/>
      <c r="M9" s="23">
        <v>2</v>
      </c>
      <c r="N9" s="8">
        <v>10.047000000000001</v>
      </c>
      <c r="O9" s="6">
        <f>ROUND((N9/(1+J8/100)),1)</f>
        <v>8.6999999999999993</v>
      </c>
      <c r="P9" s="6">
        <f t="shared" ref="P9:P43" si="2">O9*5-(N9-O9)</f>
        <v>42.152999999999999</v>
      </c>
      <c r="Q9" s="5">
        <f t="shared" ref="Q9:Q43" si="3">ROUND(((N9-O9+P9)/O9),1)</f>
        <v>5</v>
      </c>
      <c r="R9" s="6">
        <v>22.1</v>
      </c>
      <c r="S9" s="22">
        <v>7.7</v>
      </c>
      <c r="T9" s="31"/>
      <c r="V9" s="30"/>
      <c r="W9" s="23">
        <v>2</v>
      </c>
      <c r="X9" s="26">
        <v>2.0569999999999999</v>
      </c>
      <c r="Y9" s="26">
        <v>50.976999999999997</v>
      </c>
      <c r="Z9" s="6">
        <f t="shared" ref="Z9:Z43" si="4">ROUND(10*X9,1)</f>
        <v>20.6</v>
      </c>
      <c r="AA9" s="6">
        <v>24.1</v>
      </c>
      <c r="AB9" s="24">
        <v>7.23</v>
      </c>
      <c r="AC9" s="31"/>
    </row>
    <row r="10" spans="1:29">
      <c r="A10" s="30" t="s">
        <v>27</v>
      </c>
      <c r="B10" s="5">
        <v>3</v>
      </c>
      <c r="C10" s="12">
        <v>10.734999999999999</v>
      </c>
      <c r="D10" s="13">
        <v>9.5210000000000008</v>
      </c>
      <c r="E10" s="11">
        <v>9.5169999999999995</v>
      </c>
      <c r="F10" s="13">
        <v>0.71199999999999997</v>
      </c>
      <c r="G10" s="13">
        <f t="shared" si="0"/>
        <v>13.781000000000001</v>
      </c>
      <c r="H10" s="29">
        <f t="shared" ref="H10" si="5">ROUND(AVERAGE(G10:G11),2)</f>
        <v>13.83</v>
      </c>
      <c r="I10" s="13">
        <f t="shared" si="1"/>
        <v>13.833</v>
      </c>
      <c r="J10" s="29">
        <f t="shared" ref="J10" si="6">ROUND(AVERAGE(I10:I11),2)</f>
        <v>13.89</v>
      </c>
      <c r="L10" s="30" t="s">
        <v>27</v>
      </c>
      <c r="M10" s="23">
        <v>3</v>
      </c>
      <c r="N10" s="8">
        <v>10.019</v>
      </c>
      <c r="O10" s="6">
        <f>ROUND((N10/(1+J10/100)),1)</f>
        <v>8.8000000000000007</v>
      </c>
      <c r="P10" s="6">
        <f t="shared" si="2"/>
        <v>42.780999999999999</v>
      </c>
      <c r="Q10" s="5">
        <f t="shared" si="3"/>
        <v>5</v>
      </c>
      <c r="R10" s="6">
        <v>21.9</v>
      </c>
      <c r="S10" s="22">
        <v>7.85</v>
      </c>
      <c r="T10" s="31">
        <f t="shared" ref="T10" si="7">ROUND(AVERAGE(S10:S11),2)</f>
        <v>7.92</v>
      </c>
      <c r="V10" s="30" t="s">
        <v>27</v>
      </c>
      <c r="W10" s="23">
        <v>3</v>
      </c>
      <c r="X10" s="26">
        <v>2.0089999999999999</v>
      </c>
      <c r="Y10" s="26">
        <v>50.048999999999999</v>
      </c>
      <c r="Z10" s="6">
        <f t="shared" si="4"/>
        <v>20.100000000000001</v>
      </c>
      <c r="AA10" s="6">
        <v>23.4</v>
      </c>
      <c r="AB10" s="24">
        <v>7.82</v>
      </c>
      <c r="AC10" s="31">
        <f t="shared" ref="AC10" si="8">ROUND(AVERAGE(AB10:AB11),2)</f>
        <v>7.8</v>
      </c>
    </row>
    <row r="11" spans="1:29">
      <c r="A11" s="30"/>
      <c r="B11" s="5">
        <v>4</v>
      </c>
      <c r="C11" s="12">
        <v>10.727</v>
      </c>
      <c r="D11" s="13">
        <v>9.5069999999999997</v>
      </c>
      <c r="E11" s="11">
        <v>9.5020000000000007</v>
      </c>
      <c r="F11" s="13">
        <v>0.71699999999999997</v>
      </c>
      <c r="G11" s="13">
        <f t="shared" si="0"/>
        <v>13.879</v>
      </c>
      <c r="H11" s="29"/>
      <c r="I11" s="13">
        <f t="shared" si="1"/>
        <v>13.944000000000001</v>
      </c>
      <c r="J11" s="29"/>
      <c r="L11" s="30"/>
      <c r="M11" s="23">
        <v>4</v>
      </c>
      <c r="N11" s="8">
        <v>10.013</v>
      </c>
      <c r="O11" s="6">
        <f>ROUND((N11/(1+J10/100)),1)</f>
        <v>8.8000000000000007</v>
      </c>
      <c r="P11" s="6">
        <f t="shared" si="2"/>
        <v>42.786999999999999</v>
      </c>
      <c r="Q11" s="5">
        <f t="shared" si="3"/>
        <v>5</v>
      </c>
      <c r="R11" s="6">
        <v>21.6</v>
      </c>
      <c r="S11" s="22">
        <v>7.99</v>
      </c>
      <c r="T11" s="31"/>
      <c r="V11" s="30"/>
      <c r="W11" s="23">
        <v>4</v>
      </c>
      <c r="X11" s="26">
        <v>2.0619999999999998</v>
      </c>
      <c r="Y11" s="26">
        <v>50.026000000000003</v>
      </c>
      <c r="Z11" s="6">
        <f t="shared" si="4"/>
        <v>20.6</v>
      </c>
      <c r="AA11" s="6">
        <v>23.8</v>
      </c>
      <c r="AB11" s="24">
        <v>7.78</v>
      </c>
      <c r="AC11" s="31"/>
    </row>
    <row r="12" spans="1:29">
      <c r="A12" s="30" t="s">
        <v>25</v>
      </c>
      <c r="B12" s="5">
        <v>5</v>
      </c>
      <c r="C12" s="12">
        <v>10.786</v>
      </c>
      <c r="D12" s="13">
        <v>9.5079999999999991</v>
      </c>
      <c r="E12" s="11">
        <v>9.5039999999999996</v>
      </c>
      <c r="F12" s="13">
        <v>0.70899999999999996</v>
      </c>
      <c r="G12" s="13">
        <f t="shared" si="0"/>
        <v>14.523999999999999</v>
      </c>
      <c r="H12" s="29">
        <f t="shared" ref="H12" si="9">ROUND(AVERAGE(G12:G13),2)</f>
        <v>14.12</v>
      </c>
      <c r="I12" s="13">
        <f t="shared" si="1"/>
        <v>14.576000000000001</v>
      </c>
      <c r="J12" s="29">
        <f t="shared" ref="J12" si="10">ROUND(AVERAGE(I12:I13),2)</f>
        <v>14.17</v>
      </c>
      <c r="L12" s="30" t="s">
        <v>25</v>
      </c>
      <c r="M12" s="23">
        <v>5</v>
      </c>
      <c r="N12" s="8">
        <v>10.023999999999999</v>
      </c>
      <c r="O12" s="6">
        <f>ROUND((N12/(1+J12/100)),1)</f>
        <v>8.8000000000000007</v>
      </c>
      <c r="P12" s="6">
        <f t="shared" si="2"/>
        <v>42.776000000000003</v>
      </c>
      <c r="Q12" s="5">
        <f t="shared" si="3"/>
        <v>5</v>
      </c>
      <c r="R12" s="6">
        <v>22.8</v>
      </c>
      <c r="S12" s="22">
        <v>8.67</v>
      </c>
      <c r="T12" s="31">
        <f t="shared" ref="T12" si="11">ROUND(AVERAGE(S12:S13),2)</f>
        <v>8.67</v>
      </c>
      <c r="V12" s="30" t="s">
        <v>25</v>
      </c>
      <c r="W12" s="23">
        <v>5</v>
      </c>
      <c r="X12" s="26">
        <v>2.0539999999999998</v>
      </c>
      <c r="Y12" s="26">
        <v>47.854999999999997</v>
      </c>
      <c r="Z12" s="6">
        <f t="shared" si="4"/>
        <v>20.5</v>
      </c>
      <c r="AA12" s="6">
        <v>23.5</v>
      </c>
      <c r="AB12" s="24">
        <v>8.4</v>
      </c>
      <c r="AC12" s="31">
        <f t="shared" ref="AC12" si="12">ROUND(AVERAGE(AB12:AB13),2)</f>
        <v>8.41</v>
      </c>
    </row>
    <row r="13" spans="1:29">
      <c r="A13" s="30"/>
      <c r="B13" s="5">
        <v>6</v>
      </c>
      <c r="C13" s="12">
        <v>10.722</v>
      </c>
      <c r="D13" s="13">
        <v>9.5150000000000006</v>
      </c>
      <c r="E13" s="11">
        <v>9.5120000000000005</v>
      </c>
      <c r="F13" s="13">
        <v>0.71699999999999997</v>
      </c>
      <c r="G13" s="13">
        <f t="shared" si="0"/>
        <v>13.718999999999999</v>
      </c>
      <c r="H13" s="29"/>
      <c r="I13" s="13">
        <f t="shared" si="1"/>
        <v>13.757999999999999</v>
      </c>
      <c r="J13" s="29"/>
      <c r="L13" s="30"/>
      <c r="M13" s="23">
        <v>6</v>
      </c>
      <c r="N13" s="8">
        <v>10.048999999999999</v>
      </c>
      <c r="O13" s="6">
        <f>ROUND((N13/(1+J12/100)),1)</f>
        <v>8.8000000000000007</v>
      </c>
      <c r="P13" s="6">
        <f t="shared" si="2"/>
        <v>42.751000000000005</v>
      </c>
      <c r="Q13" s="5">
        <f t="shared" si="3"/>
        <v>5</v>
      </c>
      <c r="R13" s="6">
        <v>22.1</v>
      </c>
      <c r="S13" s="22">
        <v>8.66</v>
      </c>
      <c r="T13" s="31"/>
      <c r="V13" s="30"/>
      <c r="W13" s="23">
        <v>6</v>
      </c>
      <c r="X13" s="26">
        <v>2.0179999999999998</v>
      </c>
      <c r="Y13" s="26">
        <v>50.469000000000001</v>
      </c>
      <c r="Z13" s="6">
        <f t="shared" si="4"/>
        <v>20.2</v>
      </c>
      <c r="AA13" s="6">
        <v>23.5</v>
      </c>
      <c r="AB13" s="24">
        <v>8.42</v>
      </c>
      <c r="AC13" s="31"/>
    </row>
    <row r="14" spans="1:29">
      <c r="A14" s="30" t="s">
        <v>28</v>
      </c>
      <c r="B14" s="5">
        <v>7</v>
      </c>
      <c r="C14" s="14">
        <v>10.77</v>
      </c>
      <c r="D14" s="13">
        <v>5.6210000000000004</v>
      </c>
      <c r="E14" s="11">
        <v>5.6310000000000002</v>
      </c>
      <c r="F14" s="13">
        <v>0.72399999999999998</v>
      </c>
      <c r="G14" s="13">
        <f t="shared" si="0"/>
        <v>105.146</v>
      </c>
      <c r="H14" s="29">
        <f t="shared" ref="H14" si="13">ROUND(AVERAGE(G14:G15),2)</f>
        <v>105.54</v>
      </c>
      <c r="I14" s="13">
        <f t="shared" si="1"/>
        <v>104.72799999999999</v>
      </c>
      <c r="J14" s="29">
        <f t="shared" ref="J14:J18" si="14">ROUND(AVERAGE(I14:I15),2)</f>
        <v>105.17</v>
      </c>
      <c r="L14" s="30" t="s">
        <v>28</v>
      </c>
      <c r="M14" s="23">
        <v>7</v>
      </c>
      <c r="N14" s="8">
        <v>10.079000000000001</v>
      </c>
      <c r="O14" s="6">
        <f>ROUND((N14/(1+J14/100)),1)</f>
        <v>4.9000000000000004</v>
      </c>
      <c r="P14" s="6">
        <f t="shared" si="2"/>
        <v>19.320999999999998</v>
      </c>
      <c r="Q14" s="5">
        <f t="shared" si="3"/>
        <v>5</v>
      </c>
      <c r="R14" s="6">
        <v>22.6</v>
      </c>
      <c r="S14" s="22">
        <v>7.78</v>
      </c>
      <c r="T14" s="31">
        <f t="shared" ref="T14" si="15">ROUND(AVERAGE(S14:S15),2)</f>
        <v>7.78</v>
      </c>
      <c r="V14" s="30" t="s">
        <v>28</v>
      </c>
      <c r="W14" s="23">
        <v>7</v>
      </c>
      <c r="X14" s="26">
        <v>2.016</v>
      </c>
      <c r="Y14" s="26">
        <v>147.59800000000001</v>
      </c>
      <c r="Z14" s="6">
        <f t="shared" si="4"/>
        <v>20.2</v>
      </c>
      <c r="AA14" s="6">
        <v>24.7</v>
      </c>
      <c r="AB14" s="24">
        <v>1.56</v>
      </c>
      <c r="AC14" s="31">
        <f t="shared" ref="AC14" si="16">ROUND(AVERAGE(AB14:AB15),2)</f>
        <v>1.54</v>
      </c>
    </row>
    <row r="15" spans="1:29">
      <c r="A15" s="30"/>
      <c r="B15" s="5">
        <v>8</v>
      </c>
      <c r="C15" s="12">
        <v>10.808</v>
      </c>
      <c r="D15" s="13">
        <v>5.6180000000000003</v>
      </c>
      <c r="E15" s="11">
        <v>5.6260000000000003</v>
      </c>
      <c r="F15" s="13">
        <v>0.71899999999999997</v>
      </c>
      <c r="G15" s="13">
        <f t="shared" si="0"/>
        <v>105.94</v>
      </c>
      <c r="H15" s="29"/>
      <c r="I15" s="13">
        <f t="shared" si="1"/>
        <v>105.604</v>
      </c>
      <c r="J15" s="29"/>
      <c r="L15" s="30"/>
      <c r="M15" s="23">
        <v>8</v>
      </c>
      <c r="N15" s="8">
        <v>10.067</v>
      </c>
      <c r="O15" s="6">
        <f>ROUND((N15/(1+J14/100)),1)</f>
        <v>4.9000000000000004</v>
      </c>
      <c r="P15" s="6">
        <f t="shared" si="2"/>
        <v>19.332999999999998</v>
      </c>
      <c r="Q15" s="5">
        <f t="shared" si="3"/>
        <v>5</v>
      </c>
      <c r="R15" s="6">
        <v>22.6</v>
      </c>
      <c r="S15" s="22">
        <v>7.78</v>
      </c>
      <c r="T15" s="31"/>
      <c r="V15" s="30"/>
      <c r="W15" s="23">
        <v>8</v>
      </c>
      <c r="X15" s="26">
        <v>2.008</v>
      </c>
      <c r="Y15" s="26">
        <v>142.11500000000001</v>
      </c>
      <c r="Z15" s="6">
        <f t="shared" si="4"/>
        <v>20.100000000000001</v>
      </c>
      <c r="AA15" s="6">
        <v>23.8</v>
      </c>
      <c r="AB15" s="24">
        <v>1.52</v>
      </c>
      <c r="AC15" s="31"/>
    </row>
    <row r="16" spans="1:29">
      <c r="A16" s="30" t="s">
        <v>29</v>
      </c>
      <c r="B16" s="5">
        <v>9</v>
      </c>
      <c r="C16" s="12">
        <v>10.788</v>
      </c>
      <c r="D16" s="13">
        <v>5.23</v>
      </c>
      <c r="E16" s="13">
        <v>5.24</v>
      </c>
      <c r="F16" s="14">
        <v>0.73099999999999998</v>
      </c>
      <c r="G16" s="14">
        <f t="shared" si="0"/>
        <v>123.539</v>
      </c>
      <c r="H16" s="29">
        <f t="shared" ref="H16" si="17">ROUND(AVERAGE(G16:G17),2)</f>
        <v>123.69</v>
      </c>
      <c r="I16" s="13">
        <f t="shared" si="1"/>
        <v>123.04300000000001</v>
      </c>
      <c r="J16" s="29">
        <f t="shared" si="14"/>
        <v>123.24</v>
      </c>
      <c r="L16" s="30" t="s">
        <v>29</v>
      </c>
      <c r="M16" s="23">
        <v>9</v>
      </c>
      <c r="N16" s="8">
        <v>10.029999999999999</v>
      </c>
      <c r="O16" s="6">
        <f>ROUND((N16/(1+J16/100)),1)</f>
        <v>4.5</v>
      </c>
      <c r="P16" s="6">
        <f t="shared" si="2"/>
        <v>16.97</v>
      </c>
      <c r="Q16" s="5">
        <f t="shared" si="3"/>
        <v>5</v>
      </c>
      <c r="R16" s="6">
        <v>22.2</v>
      </c>
      <c r="S16" s="22">
        <v>7.5</v>
      </c>
      <c r="T16" s="31">
        <f t="shared" ref="T16" si="18">ROUND(AVERAGE(S16:S17),2)</f>
        <v>7.49</v>
      </c>
      <c r="V16" s="30" t="s">
        <v>29</v>
      </c>
      <c r="W16" s="23">
        <v>9</v>
      </c>
      <c r="X16" s="26">
        <v>2.0129999999999999</v>
      </c>
      <c r="Y16" s="26">
        <v>141.84299999999999</v>
      </c>
      <c r="Z16" s="6">
        <f t="shared" si="4"/>
        <v>20.100000000000001</v>
      </c>
      <c r="AA16" s="6">
        <v>23.4</v>
      </c>
      <c r="AB16" s="24">
        <v>1.26</v>
      </c>
      <c r="AC16" s="31">
        <f t="shared" ref="AC16" si="19">ROUND(AVERAGE(AB16:AB17),2)</f>
        <v>1.25</v>
      </c>
    </row>
    <row r="17" spans="1:29">
      <c r="A17" s="30"/>
      <c r="B17" s="5">
        <v>10</v>
      </c>
      <c r="C17" s="12">
        <v>10.772</v>
      </c>
      <c r="D17" s="13">
        <v>5.2119999999999997</v>
      </c>
      <c r="E17" s="13">
        <v>5.22</v>
      </c>
      <c r="F17" s="14">
        <v>0.72199999999999998</v>
      </c>
      <c r="G17" s="14">
        <f t="shared" si="0"/>
        <v>123.831</v>
      </c>
      <c r="H17" s="29"/>
      <c r="I17" s="13">
        <f t="shared" si="1"/>
        <v>123.43300000000001</v>
      </c>
      <c r="J17" s="29"/>
      <c r="L17" s="30"/>
      <c r="M17" s="23">
        <v>10</v>
      </c>
      <c r="N17" s="8">
        <v>10.039</v>
      </c>
      <c r="O17" s="6">
        <f>ROUND((N17/(1+J16/100)),1)</f>
        <v>4.5</v>
      </c>
      <c r="P17" s="6">
        <f t="shared" si="2"/>
        <v>16.960999999999999</v>
      </c>
      <c r="Q17" s="5">
        <f t="shared" si="3"/>
        <v>5</v>
      </c>
      <c r="R17" s="6">
        <v>21.9</v>
      </c>
      <c r="S17" s="22">
        <v>7.47</v>
      </c>
      <c r="T17" s="31"/>
      <c r="V17" s="30"/>
      <c r="W17" s="23">
        <v>10</v>
      </c>
      <c r="X17" s="26">
        <v>2.0059999999999998</v>
      </c>
      <c r="Y17" s="26">
        <v>141.55199999999999</v>
      </c>
      <c r="Z17" s="6">
        <f t="shared" si="4"/>
        <v>20.100000000000001</v>
      </c>
      <c r="AA17" s="6">
        <v>23.2</v>
      </c>
      <c r="AB17" s="24">
        <v>1.23</v>
      </c>
      <c r="AC17" s="31"/>
    </row>
    <row r="18" spans="1:29">
      <c r="A18" s="30" t="s">
        <v>30</v>
      </c>
      <c r="B18" s="5">
        <v>11</v>
      </c>
      <c r="C18" s="12">
        <v>10.782</v>
      </c>
      <c r="D18" s="13">
        <v>5.6609999999999996</v>
      </c>
      <c r="E18" s="13">
        <v>5.6689999999999996</v>
      </c>
      <c r="F18" s="14">
        <v>0.71099999999999997</v>
      </c>
      <c r="G18" s="14">
        <f t="shared" si="0"/>
        <v>103.455</v>
      </c>
      <c r="H18" s="29">
        <f t="shared" ref="H18" si="20">ROUND(AVERAGE(G18:G19),2)</f>
        <v>104.32</v>
      </c>
      <c r="I18" s="13">
        <f t="shared" si="1"/>
        <v>103.126</v>
      </c>
      <c r="J18" s="29">
        <f t="shared" si="14"/>
        <v>103.98</v>
      </c>
      <c r="L18" s="30" t="s">
        <v>30</v>
      </c>
      <c r="M18" s="23">
        <v>11</v>
      </c>
      <c r="N18" s="8">
        <v>10.021000000000001</v>
      </c>
      <c r="O18" s="6">
        <f>ROUND((N18/(1+J18/100)),1)</f>
        <v>4.9000000000000004</v>
      </c>
      <c r="P18" s="6">
        <f t="shared" si="2"/>
        <v>19.378999999999998</v>
      </c>
      <c r="Q18" s="5">
        <f t="shared" si="3"/>
        <v>5</v>
      </c>
      <c r="R18" s="6">
        <v>22.3</v>
      </c>
      <c r="S18" s="22">
        <v>7.43</v>
      </c>
      <c r="T18" s="31">
        <f t="shared" ref="T18" si="21">ROUND(AVERAGE(S18:S19),2)</f>
        <v>7.46</v>
      </c>
      <c r="V18" s="30" t="s">
        <v>30</v>
      </c>
      <c r="W18" s="23">
        <v>11</v>
      </c>
      <c r="X18" s="26">
        <v>2.036</v>
      </c>
      <c r="Y18" s="26">
        <v>142.95099999999999</v>
      </c>
      <c r="Z18" s="6">
        <f t="shared" si="4"/>
        <v>20.399999999999999</v>
      </c>
      <c r="AA18" s="6">
        <v>23.7</v>
      </c>
      <c r="AB18" s="24">
        <v>1.46</v>
      </c>
      <c r="AC18" s="31">
        <f t="shared" ref="AC18" si="22">ROUND(AVERAGE(AB18:AB19),2)</f>
        <v>1.49</v>
      </c>
    </row>
    <row r="19" spans="1:29">
      <c r="A19" s="30"/>
      <c r="B19" s="5">
        <v>12</v>
      </c>
      <c r="C19" s="12">
        <v>10.742000000000001</v>
      </c>
      <c r="D19" s="13">
        <v>5.6029999999999998</v>
      </c>
      <c r="E19" s="13">
        <v>5.6109999999999998</v>
      </c>
      <c r="F19" s="14">
        <v>0.71699999999999997</v>
      </c>
      <c r="G19" s="14">
        <f t="shared" si="0"/>
        <v>105.178</v>
      </c>
      <c r="H19" s="29"/>
      <c r="I19" s="13">
        <f t="shared" si="1"/>
        <v>104.843</v>
      </c>
      <c r="J19" s="29"/>
      <c r="L19" s="30"/>
      <c r="M19" s="23">
        <v>12</v>
      </c>
      <c r="N19" s="8">
        <v>10.012</v>
      </c>
      <c r="O19" s="6">
        <f>ROUND((N19/(1+J18/100)),1)</f>
        <v>4.9000000000000004</v>
      </c>
      <c r="P19" s="6">
        <f t="shared" si="2"/>
        <v>19.387999999999998</v>
      </c>
      <c r="Q19" s="5">
        <f t="shared" si="3"/>
        <v>5</v>
      </c>
      <c r="R19" s="6">
        <v>22.2</v>
      </c>
      <c r="S19" s="22">
        <v>7.48</v>
      </c>
      <c r="T19" s="31"/>
      <c r="V19" s="30"/>
      <c r="W19" s="23">
        <v>12</v>
      </c>
      <c r="X19" s="26">
        <v>2.0110000000000001</v>
      </c>
      <c r="Y19" s="26">
        <v>143.68100000000001</v>
      </c>
      <c r="Z19" s="6">
        <f t="shared" si="4"/>
        <v>20.100000000000001</v>
      </c>
      <c r="AA19" s="6">
        <v>23.7</v>
      </c>
      <c r="AB19" s="24">
        <v>1.52</v>
      </c>
      <c r="AC19" s="31"/>
    </row>
    <row r="20" spans="1:29">
      <c r="A20" s="30" t="s">
        <v>31</v>
      </c>
      <c r="B20" s="5">
        <v>13</v>
      </c>
      <c r="C20" s="12">
        <v>10.718999999999999</v>
      </c>
      <c r="D20" s="13">
        <v>5.6890000000000001</v>
      </c>
      <c r="E20" s="11">
        <v>5.6920000000000002</v>
      </c>
      <c r="F20" s="13">
        <v>0.70099999999999996</v>
      </c>
      <c r="G20" s="13">
        <f t="shared" si="0"/>
        <v>100.842</v>
      </c>
      <c r="H20" s="29">
        <f t="shared" ref="H20" si="23">ROUND(AVERAGE(G20:G21),2)</f>
        <v>100.41</v>
      </c>
      <c r="I20" s="13">
        <f t="shared" si="1"/>
        <v>100.721</v>
      </c>
      <c r="J20" s="29">
        <f t="shared" ref="J20" si="24">ROUND(AVERAGE(I20:I21),2)</f>
        <v>100.35</v>
      </c>
      <c r="L20" s="30" t="s">
        <v>31</v>
      </c>
      <c r="M20" s="23">
        <v>13</v>
      </c>
      <c r="N20" s="8">
        <v>10.019</v>
      </c>
      <c r="O20" s="6">
        <f>ROUND((N20/(1+J20/100)),1)</f>
        <v>5</v>
      </c>
      <c r="P20" s="6">
        <f t="shared" si="2"/>
        <v>19.981000000000002</v>
      </c>
      <c r="Q20" s="5">
        <f t="shared" si="3"/>
        <v>5</v>
      </c>
      <c r="R20" s="6">
        <v>22.2</v>
      </c>
      <c r="S20" s="22">
        <v>7.49</v>
      </c>
      <c r="T20" s="31">
        <f t="shared" ref="T20" si="25">ROUND(AVERAGE(S20:S21),2)</f>
        <v>7.51</v>
      </c>
      <c r="V20" s="30" t="s">
        <v>31</v>
      </c>
      <c r="W20" s="23">
        <v>13</v>
      </c>
      <c r="X20" s="26">
        <v>2.0110000000000001</v>
      </c>
      <c r="Y20" s="26">
        <v>144.04</v>
      </c>
      <c r="Z20" s="6">
        <f t="shared" si="4"/>
        <v>20.100000000000001</v>
      </c>
      <c r="AA20" s="6">
        <v>23.1</v>
      </c>
      <c r="AB20" s="24">
        <v>1.48</v>
      </c>
      <c r="AC20" s="31">
        <f t="shared" ref="AC20" si="26">ROUND(AVERAGE(AB20:AB21),2)</f>
        <v>1.48</v>
      </c>
    </row>
    <row r="21" spans="1:29">
      <c r="A21" s="30"/>
      <c r="B21" s="5">
        <v>14</v>
      </c>
      <c r="C21" s="12">
        <v>10.804</v>
      </c>
      <c r="D21" s="13">
        <v>5.7629999999999999</v>
      </c>
      <c r="E21" s="11">
        <v>5.7629999999999999</v>
      </c>
      <c r="F21" s="13">
        <v>0.72099999999999997</v>
      </c>
      <c r="G21" s="13">
        <f t="shared" si="0"/>
        <v>99.98</v>
      </c>
      <c r="H21" s="29"/>
      <c r="I21" s="13">
        <f t="shared" si="1"/>
        <v>99.98</v>
      </c>
      <c r="J21" s="29"/>
      <c r="L21" s="30"/>
      <c r="M21" s="23">
        <v>14</v>
      </c>
      <c r="N21" s="8">
        <v>10.032</v>
      </c>
      <c r="O21" s="6">
        <f>ROUND((N21/(1+J20/100)),1)</f>
        <v>5</v>
      </c>
      <c r="P21" s="6">
        <f t="shared" si="2"/>
        <v>19.968</v>
      </c>
      <c r="Q21" s="5">
        <f t="shared" si="3"/>
        <v>5</v>
      </c>
      <c r="R21" s="6">
        <v>22.7</v>
      </c>
      <c r="S21" s="22">
        <v>7.52</v>
      </c>
      <c r="T21" s="31"/>
      <c r="V21" s="30"/>
      <c r="W21" s="23">
        <v>14</v>
      </c>
      <c r="X21" s="26">
        <v>2.0169999999999999</v>
      </c>
      <c r="Y21" s="26">
        <v>143.678</v>
      </c>
      <c r="Z21" s="6">
        <f t="shared" si="4"/>
        <v>20.2</v>
      </c>
      <c r="AA21" s="6">
        <v>22.8</v>
      </c>
      <c r="AB21" s="24">
        <v>1.48</v>
      </c>
      <c r="AC21" s="31"/>
    </row>
    <row r="22" spans="1:29">
      <c r="A22" s="30" t="s">
        <v>32</v>
      </c>
      <c r="B22" s="5">
        <v>15</v>
      </c>
      <c r="C22" s="14">
        <v>10.72</v>
      </c>
      <c r="D22" s="13">
        <v>5.7270000000000003</v>
      </c>
      <c r="E22" s="11">
        <v>5.7240000000000002</v>
      </c>
      <c r="F22" s="13">
        <v>0.70799999999999996</v>
      </c>
      <c r="G22" s="13">
        <f t="shared" si="0"/>
        <v>99.481999999999999</v>
      </c>
      <c r="H22" s="29">
        <f t="shared" ref="H22" si="27">ROUND(AVERAGE(G22:G23),2)</f>
        <v>98.85</v>
      </c>
      <c r="I22" s="13">
        <f>ROUND((C22-E22)/(E22-F22)*100,3)</f>
        <v>99.600999999999999</v>
      </c>
      <c r="J22" s="29">
        <f>ROUND(AVERAGE(I22:I23),2)</f>
        <v>98.97</v>
      </c>
      <c r="L22" s="30" t="s">
        <v>32</v>
      </c>
      <c r="M22" s="23">
        <v>15</v>
      </c>
      <c r="N22" s="8">
        <v>10.074999999999999</v>
      </c>
      <c r="O22" s="6">
        <f>ROUND((N22/(1+J22/100)),1)</f>
        <v>5.0999999999999996</v>
      </c>
      <c r="P22" s="6">
        <f t="shared" si="2"/>
        <v>20.524999999999999</v>
      </c>
      <c r="Q22" s="5">
        <f t="shared" si="3"/>
        <v>5</v>
      </c>
      <c r="R22" s="6">
        <v>22.8</v>
      </c>
      <c r="S22" s="22">
        <v>7.4</v>
      </c>
      <c r="T22" s="31">
        <f t="shared" ref="T22" si="28">ROUND(AVERAGE(S22:S23),2)</f>
        <v>7.42</v>
      </c>
      <c r="V22" s="30" t="s">
        <v>32</v>
      </c>
      <c r="W22" s="23">
        <v>15</v>
      </c>
      <c r="X22" s="26">
        <v>2.024</v>
      </c>
      <c r="Y22" s="26">
        <v>144.90199999999999</v>
      </c>
      <c r="Z22" s="6">
        <f t="shared" si="4"/>
        <v>20.2</v>
      </c>
      <c r="AA22" s="6">
        <v>23.12</v>
      </c>
      <c r="AB22" s="24">
        <v>1.38</v>
      </c>
      <c r="AC22" s="31">
        <f t="shared" ref="AC22" si="29">ROUND(AVERAGE(AB22:AB23),2)</f>
        <v>1.37</v>
      </c>
    </row>
    <row r="23" spans="1:29">
      <c r="A23" s="30"/>
      <c r="B23" s="5">
        <v>16</v>
      </c>
      <c r="C23" s="12">
        <v>10.771000000000001</v>
      </c>
      <c r="D23" s="13">
        <v>5.7880000000000003</v>
      </c>
      <c r="E23" s="11">
        <v>5.7850000000000001</v>
      </c>
      <c r="F23" s="13">
        <v>0.71499999999999997</v>
      </c>
      <c r="G23" s="13">
        <f t="shared" si="0"/>
        <v>98.225999999999999</v>
      </c>
      <c r="H23" s="29"/>
      <c r="I23" s="13">
        <f t="shared" si="1"/>
        <v>98.343000000000004</v>
      </c>
      <c r="J23" s="29"/>
      <c r="L23" s="30"/>
      <c r="M23" s="23">
        <v>16</v>
      </c>
      <c r="N23" s="8">
        <v>10.042</v>
      </c>
      <c r="O23" s="6">
        <f>ROUND((N23/(1+J22/100)),1)</f>
        <v>5</v>
      </c>
      <c r="P23" s="6">
        <f t="shared" si="2"/>
        <v>19.957999999999998</v>
      </c>
      <c r="Q23" s="5">
        <f t="shared" si="3"/>
        <v>5</v>
      </c>
      <c r="R23" s="6">
        <v>22.8</v>
      </c>
      <c r="S23" s="22">
        <v>7.43</v>
      </c>
      <c r="T23" s="31"/>
      <c r="V23" s="30"/>
      <c r="W23" s="23">
        <v>16</v>
      </c>
      <c r="X23" s="26">
        <v>2.0710000000000002</v>
      </c>
      <c r="Y23" s="26">
        <v>143.881</v>
      </c>
      <c r="Z23" s="6">
        <f t="shared" si="4"/>
        <v>20.7</v>
      </c>
      <c r="AA23" s="6">
        <v>23.1</v>
      </c>
      <c r="AB23" s="24">
        <v>1.36</v>
      </c>
      <c r="AC23" s="31"/>
    </row>
    <row r="24" spans="1:29">
      <c r="A24" s="30" t="s">
        <v>33</v>
      </c>
      <c r="B24" s="5">
        <v>17</v>
      </c>
      <c r="C24" s="12">
        <v>10.718999999999999</v>
      </c>
      <c r="D24" s="13">
        <v>7.093</v>
      </c>
      <c r="E24" s="11">
        <v>7.0739999999999998</v>
      </c>
      <c r="F24" s="13">
        <v>0.71899999999999997</v>
      </c>
      <c r="G24" s="13">
        <f t="shared" si="0"/>
        <v>56.887</v>
      </c>
      <c r="H24" s="29">
        <f t="shared" ref="H24" si="30">ROUND(AVERAGE(G24:G25),2)</f>
        <v>56.83</v>
      </c>
      <c r="I24" s="13">
        <f t="shared" si="1"/>
        <v>57.356000000000002</v>
      </c>
      <c r="J24" s="29">
        <f t="shared" ref="J24" si="31">ROUND(AVERAGE(I24:I25),2)</f>
        <v>57.3</v>
      </c>
      <c r="L24" s="30" t="s">
        <v>33</v>
      </c>
      <c r="M24" s="23">
        <v>17</v>
      </c>
      <c r="N24" s="8">
        <v>10.037000000000001</v>
      </c>
      <c r="O24" s="6">
        <f>ROUND((N24/(1+J24/100)),1)</f>
        <v>6.4</v>
      </c>
      <c r="P24" s="6">
        <f t="shared" si="2"/>
        <v>28.363</v>
      </c>
      <c r="Q24" s="5">
        <f t="shared" si="3"/>
        <v>5</v>
      </c>
      <c r="R24" s="6">
        <v>22.6</v>
      </c>
      <c r="S24" s="22">
        <v>8.02</v>
      </c>
      <c r="T24" s="31">
        <f t="shared" ref="T24" si="32">ROUND(AVERAGE(S24:S25),2)</f>
        <v>8.02</v>
      </c>
      <c r="V24" s="30" t="s">
        <v>33</v>
      </c>
      <c r="W24" s="23">
        <v>17</v>
      </c>
      <c r="X24" s="26">
        <v>2.0699999999999998</v>
      </c>
      <c r="Y24" s="26">
        <v>144.10400000000001</v>
      </c>
      <c r="Z24" s="6">
        <f t="shared" si="4"/>
        <v>20.7</v>
      </c>
      <c r="AA24" s="6">
        <v>22.6</v>
      </c>
      <c r="AB24" s="24">
        <v>1.56</v>
      </c>
      <c r="AC24" s="31">
        <f t="shared" ref="AC24" si="33">ROUND(AVERAGE(AB24:AB25),2)</f>
        <v>1.57</v>
      </c>
    </row>
    <row r="25" spans="1:29">
      <c r="A25" s="30"/>
      <c r="B25" s="5">
        <v>18</v>
      </c>
      <c r="C25" s="12">
        <v>10.792999999999999</v>
      </c>
      <c r="D25" s="13">
        <v>7.1479999999999997</v>
      </c>
      <c r="E25" s="11">
        <v>7.1289999999999996</v>
      </c>
      <c r="F25" s="13">
        <v>0.72799999999999998</v>
      </c>
      <c r="G25" s="13">
        <f t="shared" si="0"/>
        <v>56.776000000000003</v>
      </c>
      <c r="H25" s="29"/>
      <c r="I25" s="13">
        <f t="shared" si="1"/>
        <v>57.241</v>
      </c>
      <c r="J25" s="29"/>
      <c r="L25" s="30"/>
      <c r="M25" s="23">
        <v>18</v>
      </c>
      <c r="N25" s="8">
        <v>10.087999999999999</v>
      </c>
      <c r="O25" s="6">
        <f>ROUND((N25/(1+J24/100)),1)</f>
        <v>6.4</v>
      </c>
      <c r="P25" s="6">
        <f t="shared" si="2"/>
        <v>28.312000000000001</v>
      </c>
      <c r="Q25" s="5">
        <f t="shared" si="3"/>
        <v>5</v>
      </c>
      <c r="R25" s="6">
        <v>23</v>
      </c>
      <c r="S25" s="22">
        <v>8.01</v>
      </c>
      <c r="T25" s="31"/>
      <c r="V25" s="30"/>
      <c r="W25" s="23">
        <v>18</v>
      </c>
      <c r="X25" s="26">
        <v>2.0219999999999998</v>
      </c>
      <c r="Y25" s="26">
        <v>145.029</v>
      </c>
      <c r="Z25" s="6">
        <f t="shared" si="4"/>
        <v>20.2</v>
      </c>
      <c r="AA25" s="6">
        <v>22.4</v>
      </c>
      <c r="AB25" s="24">
        <v>1.57</v>
      </c>
      <c r="AC25" s="31"/>
    </row>
    <row r="26" spans="1:29">
      <c r="A26" s="30" t="s">
        <v>34</v>
      </c>
      <c r="B26" s="5">
        <v>19</v>
      </c>
      <c r="C26" s="12">
        <v>10.765000000000001</v>
      </c>
      <c r="D26" s="13">
        <v>6.9539999999999997</v>
      </c>
      <c r="E26" s="11">
        <v>6.9290000000000003</v>
      </c>
      <c r="F26" s="13">
        <v>0.72899999999999998</v>
      </c>
      <c r="G26" s="13">
        <f t="shared" si="0"/>
        <v>61.220999999999997</v>
      </c>
      <c r="H26" s="29">
        <f t="shared" ref="H26" si="34">ROUND(AVERAGE(G26:G27),2)</f>
        <v>60.3</v>
      </c>
      <c r="I26" s="13">
        <f t="shared" si="1"/>
        <v>61.871000000000002</v>
      </c>
      <c r="J26" s="29">
        <f t="shared" ref="J26" si="35">ROUND(AVERAGE(I26:I27),2)</f>
        <v>60.89</v>
      </c>
      <c r="L26" s="30" t="s">
        <v>34</v>
      </c>
      <c r="M26" s="23">
        <v>19</v>
      </c>
      <c r="N26" s="8">
        <v>10.007999999999999</v>
      </c>
      <c r="O26" s="6">
        <f>ROUND((N26/(1+J26/100)),1)</f>
        <v>6.2</v>
      </c>
      <c r="P26" s="6">
        <f t="shared" si="2"/>
        <v>27.192</v>
      </c>
      <c r="Q26" s="5">
        <f t="shared" si="3"/>
        <v>5</v>
      </c>
      <c r="R26" s="6">
        <v>22.4</v>
      </c>
      <c r="S26" s="22">
        <v>8.51</v>
      </c>
      <c r="T26" s="31">
        <f t="shared" ref="T26" si="36">ROUND(AVERAGE(S26:S27),2)</f>
        <v>8.52</v>
      </c>
      <c r="V26" s="30" t="s">
        <v>34</v>
      </c>
      <c r="W26" s="23">
        <v>19</v>
      </c>
      <c r="X26" s="26">
        <v>2.0259999999999998</v>
      </c>
      <c r="Y26" s="26">
        <v>143.36000000000001</v>
      </c>
      <c r="Z26" s="6">
        <f t="shared" si="4"/>
        <v>20.3</v>
      </c>
      <c r="AA26" s="6">
        <v>23</v>
      </c>
      <c r="AB26" s="24">
        <v>2.17</v>
      </c>
      <c r="AC26" s="31">
        <f t="shared" ref="AC26" si="37">ROUND(AVERAGE(AB26:AB27),2)</f>
        <v>2.15</v>
      </c>
    </row>
    <row r="27" spans="1:29">
      <c r="A27" s="30"/>
      <c r="B27" s="5">
        <v>20</v>
      </c>
      <c r="C27" s="12">
        <v>10.757999999999999</v>
      </c>
      <c r="D27" s="13">
        <v>7.0179999999999998</v>
      </c>
      <c r="E27" s="11">
        <v>6.9969999999999999</v>
      </c>
      <c r="F27" s="13">
        <v>0.71899999999999997</v>
      </c>
      <c r="G27" s="13">
        <f t="shared" si="0"/>
        <v>59.375</v>
      </c>
      <c r="H27" s="29"/>
      <c r="I27" s="13">
        <f t="shared" si="1"/>
        <v>59.908000000000001</v>
      </c>
      <c r="J27" s="29"/>
      <c r="L27" s="30"/>
      <c r="M27" s="23">
        <v>20</v>
      </c>
      <c r="N27" s="8">
        <v>10.007</v>
      </c>
      <c r="O27" s="6">
        <f>ROUND((N27/(1+J26/100)),1)</f>
        <v>6.2</v>
      </c>
      <c r="P27" s="6">
        <f t="shared" si="2"/>
        <v>27.193000000000001</v>
      </c>
      <c r="Q27" s="5">
        <f t="shared" si="3"/>
        <v>5</v>
      </c>
      <c r="R27" s="6">
        <v>22.5</v>
      </c>
      <c r="S27" s="22">
        <v>8.52</v>
      </c>
      <c r="T27" s="31"/>
      <c r="V27" s="30"/>
      <c r="W27" s="23">
        <v>20</v>
      </c>
      <c r="X27" s="26">
        <v>2.004</v>
      </c>
      <c r="Y27" s="26">
        <v>143.471</v>
      </c>
      <c r="Z27" s="6">
        <f t="shared" si="4"/>
        <v>20</v>
      </c>
      <c r="AA27" s="6">
        <v>22.3</v>
      </c>
      <c r="AB27" s="24">
        <v>2.13</v>
      </c>
      <c r="AC27" s="31"/>
    </row>
    <row r="28" spans="1:29">
      <c r="A28" s="30" t="s">
        <v>35</v>
      </c>
      <c r="B28" s="5">
        <v>21</v>
      </c>
      <c r="C28" s="12">
        <v>10.769</v>
      </c>
      <c r="D28" s="13">
        <v>7.2309999999999999</v>
      </c>
      <c r="E28" s="11">
        <v>7.2089999999999996</v>
      </c>
      <c r="F28" s="13">
        <v>0.71799999999999997</v>
      </c>
      <c r="G28" s="13">
        <f t="shared" si="0"/>
        <v>54.322000000000003</v>
      </c>
      <c r="H28" s="29">
        <f t="shared" ref="H28" si="38">ROUND(AVERAGE(G28:G29),2)</f>
        <v>54.27</v>
      </c>
      <c r="I28" s="13">
        <f t="shared" si="1"/>
        <v>54.844999999999999</v>
      </c>
      <c r="J28" s="29">
        <f t="shared" ref="J28" si="39">ROUND(AVERAGE(I28:I29),2)</f>
        <v>54.78</v>
      </c>
      <c r="L28" s="30" t="s">
        <v>35</v>
      </c>
      <c r="M28" s="23">
        <v>21</v>
      </c>
      <c r="N28" s="8">
        <v>10.02</v>
      </c>
      <c r="O28" s="6">
        <f>ROUND((N28/(1+J28/100)),1)</f>
        <v>6.5</v>
      </c>
      <c r="P28" s="6">
        <f t="shared" si="2"/>
        <v>28.98</v>
      </c>
      <c r="Q28" s="5">
        <f t="shared" si="3"/>
        <v>5</v>
      </c>
      <c r="R28" s="6">
        <v>23</v>
      </c>
      <c r="S28" s="22">
        <v>8.6300000000000008</v>
      </c>
      <c r="T28" s="31">
        <f t="shared" ref="T28" si="40">ROUND(AVERAGE(S28:S29),2)</f>
        <v>8.65</v>
      </c>
      <c r="V28" s="30" t="s">
        <v>35</v>
      </c>
      <c r="W28" s="23">
        <v>21</v>
      </c>
      <c r="X28" s="26">
        <v>2.0030000000000001</v>
      </c>
      <c r="Y28" s="26">
        <v>144.142</v>
      </c>
      <c r="Z28" s="6">
        <f t="shared" si="4"/>
        <v>20</v>
      </c>
      <c r="AA28" s="6">
        <v>21.8</v>
      </c>
      <c r="AB28" s="24">
        <v>2.48</v>
      </c>
      <c r="AC28" s="31">
        <f t="shared" ref="AC28" si="41">ROUND(AVERAGE(AB28:AB29),2)</f>
        <v>2.5</v>
      </c>
    </row>
    <row r="29" spans="1:29">
      <c r="A29" s="30"/>
      <c r="B29" s="5">
        <v>22</v>
      </c>
      <c r="C29" s="12">
        <v>10.781000000000001</v>
      </c>
      <c r="D29" s="13">
        <v>7.2439999999999998</v>
      </c>
      <c r="E29" s="11">
        <v>7.2229999999999999</v>
      </c>
      <c r="F29" s="13">
        <v>0.72099999999999997</v>
      </c>
      <c r="G29" s="13">
        <f t="shared" si="0"/>
        <v>54.223999999999997</v>
      </c>
      <c r="H29" s="29"/>
      <c r="I29" s="13">
        <f t="shared" si="1"/>
        <v>54.722000000000001</v>
      </c>
      <c r="J29" s="29"/>
      <c r="L29" s="30"/>
      <c r="M29" s="23">
        <v>22</v>
      </c>
      <c r="N29" s="8">
        <v>10.006</v>
      </c>
      <c r="O29" s="6">
        <f>ROUND((N29/(1+J28/100)),1)</f>
        <v>6.5</v>
      </c>
      <c r="P29" s="6">
        <f t="shared" si="2"/>
        <v>28.994</v>
      </c>
      <c r="Q29" s="5">
        <f t="shared" si="3"/>
        <v>5</v>
      </c>
      <c r="R29" s="6">
        <v>22.4</v>
      </c>
      <c r="S29" s="22">
        <v>8.66</v>
      </c>
      <c r="T29" s="31"/>
      <c r="V29" s="30"/>
      <c r="W29" s="23">
        <v>22</v>
      </c>
      <c r="X29" s="26">
        <v>2.0190000000000001</v>
      </c>
      <c r="Y29" s="26">
        <v>144.47999999999999</v>
      </c>
      <c r="Z29" s="6">
        <f t="shared" si="4"/>
        <v>20.2</v>
      </c>
      <c r="AA29" s="6">
        <v>21.5</v>
      </c>
      <c r="AB29" s="24">
        <v>2.52</v>
      </c>
      <c r="AC29" s="31"/>
    </row>
    <row r="30" spans="1:29">
      <c r="A30" s="30" t="s">
        <v>36</v>
      </c>
      <c r="B30" s="5">
        <v>23</v>
      </c>
      <c r="C30" s="12">
        <v>10.727</v>
      </c>
      <c r="D30" s="13">
        <v>7.3810000000000002</v>
      </c>
      <c r="E30" s="11">
        <v>7.3570000000000002</v>
      </c>
      <c r="F30" s="13">
        <v>0.72399999999999998</v>
      </c>
      <c r="G30" s="13">
        <f t="shared" si="0"/>
        <v>50.262999999999998</v>
      </c>
      <c r="H30" s="29">
        <f t="shared" ref="H30" si="42">ROUND(AVERAGE(G30:G31),2)</f>
        <v>50.14</v>
      </c>
      <c r="I30" s="13">
        <f t="shared" si="1"/>
        <v>50.807000000000002</v>
      </c>
      <c r="J30" s="29">
        <f t="shared" ref="J30" si="43">ROUND(AVERAGE(I30:I31),2)</f>
        <v>50.69</v>
      </c>
      <c r="L30" s="30" t="s">
        <v>36</v>
      </c>
      <c r="M30" s="23">
        <v>23</v>
      </c>
      <c r="N30" s="8">
        <v>10.022</v>
      </c>
      <c r="O30" s="6">
        <f>ROUND((N30/(1+J30/100)),1)</f>
        <v>6.7</v>
      </c>
      <c r="P30" s="6">
        <f t="shared" si="2"/>
        <v>30.178000000000001</v>
      </c>
      <c r="Q30" s="5">
        <f t="shared" si="3"/>
        <v>5</v>
      </c>
      <c r="R30" s="6">
        <v>23.1</v>
      </c>
      <c r="S30" s="22">
        <v>8.67</v>
      </c>
      <c r="T30" s="31">
        <f t="shared" ref="T30" si="44">ROUND(AVERAGE(S30:S31),2)</f>
        <v>8.68</v>
      </c>
      <c r="V30" s="30" t="s">
        <v>36</v>
      </c>
      <c r="W30" s="23">
        <v>23</v>
      </c>
      <c r="X30" s="26">
        <v>2.0139999999999998</v>
      </c>
      <c r="Y30" s="26">
        <v>143.21</v>
      </c>
      <c r="Z30" s="6">
        <f t="shared" si="4"/>
        <v>20.100000000000001</v>
      </c>
      <c r="AA30" s="6">
        <v>21.4</v>
      </c>
      <c r="AB30" s="24">
        <v>3.44</v>
      </c>
      <c r="AC30" s="31">
        <f t="shared" ref="AC30" si="45">ROUND(AVERAGE(AB30:AB31),2)</f>
        <v>3.49</v>
      </c>
    </row>
    <row r="31" spans="1:29">
      <c r="A31" s="30"/>
      <c r="B31" s="5">
        <v>24</v>
      </c>
      <c r="C31" s="12">
        <v>10.782999999999999</v>
      </c>
      <c r="D31" s="13">
        <v>7.43</v>
      </c>
      <c r="E31" s="11">
        <v>7.4050000000000002</v>
      </c>
      <c r="F31" s="13">
        <v>0.72599999999999998</v>
      </c>
      <c r="G31" s="13">
        <f t="shared" si="0"/>
        <v>50.015000000000001</v>
      </c>
      <c r="H31" s="29"/>
      <c r="I31" s="13">
        <f t="shared" si="1"/>
        <v>50.576000000000001</v>
      </c>
      <c r="J31" s="29"/>
      <c r="L31" s="30"/>
      <c r="M31" s="23">
        <v>24</v>
      </c>
      <c r="N31" s="8">
        <v>10.058999999999999</v>
      </c>
      <c r="O31" s="6">
        <f>ROUND((N31/(1+J30/100)),1)</f>
        <v>6.7</v>
      </c>
      <c r="P31" s="6">
        <f t="shared" si="2"/>
        <v>30.141000000000002</v>
      </c>
      <c r="Q31" s="5">
        <f t="shared" si="3"/>
        <v>5</v>
      </c>
      <c r="R31" s="6">
        <v>23.1</v>
      </c>
      <c r="S31" s="22">
        <v>8.68</v>
      </c>
      <c r="T31" s="31"/>
      <c r="V31" s="30"/>
      <c r="W31" s="23">
        <v>24</v>
      </c>
      <c r="X31" s="26">
        <v>2.0150000000000001</v>
      </c>
      <c r="Y31" s="26">
        <v>143.755</v>
      </c>
      <c r="Z31" s="6">
        <f t="shared" si="4"/>
        <v>20.2</v>
      </c>
      <c r="AA31" s="6">
        <v>21.4</v>
      </c>
      <c r="AB31" s="24">
        <v>3.53</v>
      </c>
      <c r="AC31" s="31"/>
    </row>
    <row r="32" spans="1:29">
      <c r="A32" s="30" t="s">
        <v>37</v>
      </c>
      <c r="B32" s="5">
        <v>25</v>
      </c>
      <c r="C32" s="12">
        <v>10.754</v>
      </c>
      <c r="D32" s="13">
        <v>6.4279999999999999</v>
      </c>
      <c r="E32" s="11">
        <v>6.4480000000000004</v>
      </c>
      <c r="F32" s="13">
        <v>0.72499999999999998</v>
      </c>
      <c r="G32" s="13">
        <f t="shared" si="0"/>
        <v>75.855000000000004</v>
      </c>
      <c r="H32" s="29">
        <f t="shared" ref="H32" si="46">ROUND(AVERAGE(G32:G33),2)</f>
        <v>76.34</v>
      </c>
      <c r="I32" s="13">
        <f t="shared" si="1"/>
        <v>75.239999999999995</v>
      </c>
      <c r="J32" s="29">
        <f t="shared" ref="J32" si="47">ROUND(AVERAGE(I32:I33),2)</f>
        <v>75.739999999999995</v>
      </c>
      <c r="L32" s="30" t="s">
        <v>37</v>
      </c>
      <c r="M32" s="23">
        <v>25</v>
      </c>
      <c r="N32" s="8">
        <v>10.016</v>
      </c>
      <c r="O32" s="6">
        <f>ROUND((N32/(1+J32/100)),1)</f>
        <v>5.7</v>
      </c>
      <c r="P32" s="6">
        <f t="shared" si="2"/>
        <v>24.184000000000001</v>
      </c>
      <c r="Q32" s="5">
        <f t="shared" si="3"/>
        <v>5</v>
      </c>
      <c r="R32" s="6">
        <v>22.9</v>
      </c>
      <c r="S32" s="22">
        <v>8.5</v>
      </c>
      <c r="T32" s="31">
        <f t="shared" ref="T32" si="48">ROUND(AVERAGE(S32:S33),2)</f>
        <v>8.5</v>
      </c>
      <c r="V32" s="30" t="s">
        <v>37</v>
      </c>
      <c r="W32" s="23">
        <v>25</v>
      </c>
      <c r="X32" s="26">
        <v>2.04</v>
      </c>
      <c r="Y32" s="26">
        <v>143.79300000000001</v>
      </c>
      <c r="Z32" s="6">
        <f t="shared" si="4"/>
        <v>20.399999999999999</v>
      </c>
      <c r="AA32" s="6">
        <v>23.6</v>
      </c>
      <c r="AB32" s="24">
        <v>6.08</v>
      </c>
      <c r="AC32" s="31">
        <f t="shared" ref="AC32" si="49">ROUND(AVERAGE(AB32:AB33),2)</f>
        <v>6.11</v>
      </c>
    </row>
    <row r="33" spans="1:34">
      <c r="A33" s="30"/>
      <c r="B33" s="5">
        <v>26</v>
      </c>
      <c r="C33" s="12">
        <v>10.811</v>
      </c>
      <c r="D33" s="13">
        <v>6.4249999999999998</v>
      </c>
      <c r="E33" s="11">
        <v>6.444</v>
      </c>
      <c r="F33" s="13">
        <v>0.71599999999999997</v>
      </c>
      <c r="G33" s="13">
        <f t="shared" si="0"/>
        <v>76.825999999999993</v>
      </c>
      <c r="H33" s="29"/>
      <c r="I33" s="13">
        <f t="shared" si="1"/>
        <v>76.239999999999995</v>
      </c>
      <c r="J33" s="29"/>
      <c r="L33" s="30"/>
      <c r="M33" s="23">
        <v>26</v>
      </c>
      <c r="N33" s="8">
        <v>10.029</v>
      </c>
      <c r="O33" s="6">
        <f>ROUND((N33/(1+J32/100)),1)</f>
        <v>5.7</v>
      </c>
      <c r="P33" s="6">
        <f t="shared" si="2"/>
        <v>24.170999999999999</v>
      </c>
      <c r="Q33" s="5">
        <f t="shared" si="3"/>
        <v>5</v>
      </c>
      <c r="R33" s="6">
        <v>23</v>
      </c>
      <c r="S33" s="22">
        <v>8.5</v>
      </c>
      <c r="T33" s="31"/>
      <c r="V33" s="30"/>
      <c r="W33" s="23">
        <v>26</v>
      </c>
      <c r="X33" s="26">
        <v>2.0449999999999999</v>
      </c>
      <c r="Y33" s="26">
        <v>141.57400000000001</v>
      </c>
      <c r="Z33" s="6">
        <f t="shared" si="4"/>
        <v>20.5</v>
      </c>
      <c r="AA33" s="6">
        <v>23.1</v>
      </c>
      <c r="AB33" s="24">
        <v>6.14</v>
      </c>
      <c r="AC33" s="31"/>
    </row>
    <row r="34" spans="1:34">
      <c r="A34" s="30" t="s">
        <v>38</v>
      </c>
      <c r="B34" s="5">
        <v>27</v>
      </c>
      <c r="C34" s="12">
        <v>10.712</v>
      </c>
      <c r="D34" s="13">
        <v>6.3380000000000001</v>
      </c>
      <c r="E34" s="11">
        <v>6.3570000000000002</v>
      </c>
      <c r="F34" s="13">
        <v>0.70899999999999996</v>
      </c>
      <c r="G34" s="13">
        <f t="shared" si="0"/>
        <v>77.704999999999998</v>
      </c>
      <c r="H34" s="29">
        <f t="shared" ref="H34" si="50">ROUND(AVERAGE(G34:G35),2)</f>
        <v>77.62</v>
      </c>
      <c r="I34" s="13">
        <f t="shared" si="1"/>
        <v>77.106999999999999</v>
      </c>
      <c r="J34" s="29">
        <f t="shared" ref="J34" si="51">ROUND(AVERAGE(I34:I35),2)</f>
        <v>77</v>
      </c>
      <c r="L34" s="30" t="s">
        <v>38</v>
      </c>
      <c r="M34" s="23">
        <v>27</v>
      </c>
      <c r="N34" s="8">
        <v>10.06</v>
      </c>
      <c r="O34" s="6">
        <f>ROUND((N34/(1+J34/100)),1)</f>
        <v>5.7</v>
      </c>
      <c r="P34" s="6">
        <f t="shared" si="2"/>
        <v>24.14</v>
      </c>
      <c r="Q34" s="5">
        <f t="shared" si="3"/>
        <v>5</v>
      </c>
      <c r="R34" s="6">
        <v>22.7</v>
      </c>
      <c r="S34" s="22">
        <v>8.52</v>
      </c>
      <c r="T34" s="31">
        <f t="shared" ref="T34" si="52">ROUND(AVERAGE(S34:S35),2)</f>
        <v>8.5299999999999994</v>
      </c>
      <c r="V34" s="30" t="s">
        <v>38</v>
      </c>
      <c r="W34" s="23">
        <v>27</v>
      </c>
      <c r="X34" s="26">
        <v>2.016</v>
      </c>
      <c r="Y34" s="26">
        <v>144.02600000000001</v>
      </c>
      <c r="Z34" s="6">
        <f t="shared" si="4"/>
        <v>20.2</v>
      </c>
      <c r="AA34" s="6">
        <v>23.4</v>
      </c>
      <c r="AB34" s="24">
        <v>4.67</v>
      </c>
      <c r="AC34" s="31">
        <f t="shared" ref="AC34" si="53">ROUND(AVERAGE(AB34:AB35),2)</f>
        <v>4.7</v>
      </c>
    </row>
    <row r="35" spans="1:34">
      <c r="A35" s="30"/>
      <c r="B35" s="5">
        <v>28</v>
      </c>
      <c r="C35" s="12">
        <v>10.738</v>
      </c>
      <c r="D35" s="13">
        <v>6.36</v>
      </c>
      <c r="E35" s="11">
        <v>6.3810000000000002</v>
      </c>
      <c r="F35" s="13">
        <v>0.71399999999999997</v>
      </c>
      <c r="G35" s="13">
        <f t="shared" si="0"/>
        <v>77.542000000000002</v>
      </c>
      <c r="H35" s="29"/>
      <c r="I35" s="13">
        <f t="shared" si="1"/>
        <v>76.884</v>
      </c>
      <c r="J35" s="29"/>
      <c r="L35" s="30"/>
      <c r="M35" s="23">
        <v>28</v>
      </c>
      <c r="N35" s="8">
        <v>10.031000000000001</v>
      </c>
      <c r="O35" s="6">
        <f>ROUND((N35/(1+J34/100)),1)</f>
        <v>5.7</v>
      </c>
      <c r="P35" s="6">
        <f t="shared" si="2"/>
        <v>24.169</v>
      </c>
      <c r="Q35" s="5">
        <f t="shared" si="3"/>
        <v>5</v>
      </c>
      <c r="R35" s="6">
        <v>23</v>
      </c>
      <c r="S35" s="22">
        <v>8.5299999999999994</v>
      </c>
      <c r="T35" s="31"/>
      <c r="V35" s="30"/>
      <c r="W35" s="23">
        <v>28</v>
      </c>
      <c r="X35" s="26">
        <v>2.0760000000000001</v>
      </c>
      <c r="Y35" s="26">
        <v>143.27500000000001</v>
      </c>
      <c r="Z35" s="6">
        <f t="shared" si="4"/>
        <v>20.8</v>
      </c>
      <c r="AA35" s="6">
        <v>23.4</v>
      </c>
      <c r="AB35" s="24">
        <v>4.72</v>
      </c>
      <c r="AC35" s="31"/>
    </row>
    <row r="36" spans="1:34">
      <c r="A36" s="30" t="s">
        <v>39</v>
      </c>
      <c r="B36" s="5">
        <v>29</v>
      </c>
      <c r="C36" s="12">
        <v>10.753</v>
      </c>
      <c r="D36" s="13">
        <v>6.3579999999999997</v>
      </c>
      <c r="E36" s="11">
        <v>6.3789999999999996</v>
      </c>
      <c r="F36" s="13">
        <v>0.70599999999999996</v>
      </c>
      <c r="G36" s="13">
        <f t="shared" si="0"/>
        <v>77.760000000000005</v>
      </c>
      <c r="H36" s="29">
        <f t="shared" ref="H36" si="54">ROUND(AVERAGE(G36:G37),2)</f>
        <v>77.209999999999994</v>
      </c>
      <c r="I36" s="13">
        <f>ROUND((C36-E36)/(E36-F36)*100,3)</f>
        <v>77.102000000000004</v>
      </c>
      <c r="J36" s="29">
        <f t="shared" ref="J36" si="55">ROUND(AVERAGE(I36:I37),2)</f>
        <v>76.569999999999993</v>
      </c>
      <c r="L36" s="30" t="s">
        <v>39</v>
      </c>
      <c r="M36" s="23">
        <v>29</v>
      </c>
      <c r="N36" s="8">
        <v>10.038</v>
      </c>
      <c r="O36" s="6">
        <f>ROUND((N36/(1+J36/100)),1)</f>
        <v>5.7</v>
      </c>
      <c r="P36" s="6">
        <f t="shared" si="2"/>
        <v>24.161999999999999</v>
      </c>
      <c r="Q36" s="5">
        <f t="shared" si="3"/>
        <v>5</v>
      </c>
      <c r="R36" s="6">
        <v>22.3</v>
      </c>
      <c r="S36" s="22">
        <v>8.49</v>
      </c>
      <c r="T36" s="31">
        <f t="shared" ref="T36" si="56">ROUND(AVERAGE(S36:S37),2)</f>
        <v>8.51</v>
      </c>
      <c r="V36" s="30" t="s">
        <v>39</v>
      </c>
      <c r="W36" s="23">
        <v>29</v>
      </c>
      <c r="X36" s="26">
        <v>2.0070000000000001</v>
      </c>
      <c r="Y36" s="26">
        <v>144.137</v>
      </c>
      <c r="Z36" s="6">
        <f t="shared" si="4"/>
        <v>20.100000000000001</v>
      </c>
      <c r="AA36" s="6">
        <v>22.8</v>
      </c>
      <c r="AB36" s="24">
        <v>7.76</v>
      </c>
      <c r="AC36" s="31">
        <f t="shared" ref="AC36" si="57">ROUND(AVERAGE(AB36:AB37),2)</f>
        <v>7.77</v>
      </c>
    </row>
    <row r="37" spans="1:34">
      <c r="A37" s="30"/>
      <c r="B37" s="5">
        <v>30</v>
      </c>
      <c r="C37" s="12">
        <v>10.747</v>
      </c>
      <c r="D37" s="13">
        <v>6.391</v>
      </c>
      <c r="E37" s="11">
        <v>6.4109999999999996</v>
      </c>
      <c r="F37" s="13">
        <v>0.70899999999999996</v>
      </c>
      <c r="G37" s="13">
        <f t="shared" si="0"/>
        <v>76.662999999999997</v>
      </c>
      <c r="H37" s="29"/>
      <c r="I37" s="13">
        <f t="shared" si="1"/>
        <v>76.043000000000006</v>
      </c>
      <c r="J37" s="29"/>
      <c r="L37" s="30"/>
      <c r="M37" s="23">
        <v>30</v>
      </c>
      <c r="N37" s="8">
        <v>10.045999999999999</v>
      </c>
      <c r="O37" s="6">
        <f>ROUND((N37/(1+J36/100)),1)</f>
        <v>5.7</v>
      </c>
      <c r="P37" s="6">
        <f t="shared" si="2"/>
        <v>24.154</v>
      </c>
      <c r="Q37" s="5">
        <f t="shared" si="3"/>
        <v>5</v>
      </c>
      <c r="R37" s="6">
        <v>21.9</v>
      </c>
      <c r="S37" s="22">
        <v>8.52</v>
      </c>
      <c r="T37" s="31"/>
      <c r="V37" s="30"/>
      <c r="W37" s="23">
        <v>30</v>
      </c>
      <c r="X37" s="26">
        <v>2.0089999999999999</v>
      </c>
      <c r="Y37" s="26">
        <v>143.666</v>
      </c>
      <c r="Z37" s="6">
        <f t="shared" si="4"/>
        <v>20.100000000000001</v>
      </c>
      <c r="AA37" s="6">
        <v>22.4</v>
      </c>
      <c r="AB37" s="24">
        <v>7.78</v>
      </c>
      <c r="AC37" s="31"/>
    </row>
    <row r="38" spans="1:34">
      <c r="A38" s="30" t="s">
        <v>40</v>
      </c>
      <c r="B38" s="5">
        <v>31</v>
      </c>
      <c r="C38" s="12">
        <v>10.726000000000001</v>
      </c>
      <c r="D38" s="13">
        <v>6.9130000000000003</v>
      </c>
      <c r="E38" s="11">
        <v>6.9370000000000003</v>
      </c>
      <c r="F38" s="13">
        <v>0.70099999999999996</v>
      </c>
      <c r="G38" s="13">
        <f t="shared" si="0"/>
        <v>61.381</v>
      </c>
      <c r="H38" s="29">
        <f t="shared" ref="H38" si="58">ROUND(AVERAGE(G38:G39),2)</f>
        <v>61.3</v>
      </c>
      <c r="I38" s="13">
        <f t="shared" si="1"/>
        <v>60.76</v>
      </c>
      <c r="J38" s="29">
        <f t="shared" ref="J38:J40" si="59">ROUND(AVERAGE(I38:I39),2)</f>
        <v>60.68</v>
      </c>
      <c r="L38" s="30" t="s">
        <v>40</v>
      </c>
      <c r="M38" s="23">
        <v>31</v>
      </c>
      <c r="N38" s="8">
        <v>10.068</v>
      </c>
      <c r="O38" s="6">
        <f>ROUND((N38/(1+J38/100)),1)</f>
        <v>6.3</v>
      </c>
      <c r="P38" s="6">
        <f t="shared" si="2"/>
        <v>27.731999999999999</v>
      </c>
      <c r="Q38" s="5">
        <f t="shared" si="3"/>
        <v>5</v>
      </c>
      <c r="R38" s="6">
        <v>22.6</v>
      </c>
      <c r="S38" s="22">
        <v>8.39</v>
      </c>
      <c r="T38" s="31">
        <f t="shared" ref="T38" si="60">ROUND(AVERAGE(S38:S39),2)</f>
        <v>8.39</v>
      </c>
      <c r="V38" s="30" t="s">
        <v>40</v>
      </c>
      <c r="W38" s="23">
        <v>31</v>
      </c>
      <c r="X38" s="26">
        <v>2.02</v>
      </c>
      <c r="Y38" s="26">
        <v>143.67500000000001</v>
      </c>
      <c r="Z38" s="6">
        <f t="shared" si="4"/>
        <v>20.2</v>
      </c>
      <c r="AA38" s="6">
        <v>22.3</v>
      </c>
      <c r="AB38" s="24">
        <v>3.41</v>
      </c>
      <c r="AC38" s="31">
        <f t="shared" ref="AC38" si="61">ROUND(AVERAGE(AB38:AB39),2)</f>
        <v>3.37</v>
      </c>
      <c r="AD38" s="7"/>
      <c r="AE38" s="7"/>
      <c r="AF38" s="7"/>
      <c r="AG38" s="7"/>
      <c r="AH38" s="7"/>
    </row>
    <row r="39" spans="1:34">
      <c r="A39" s="30"/>
      <c r="B39" s="5">
        <v>32</v>
      </c>
      <c r="C39" s="14">
        <v>10.81</v>
      </c>
      <c r="D39" s="13">
        <v>6.9829999999999997</v>
      </c>
      <c r="E39" s="11">
        <v>7.0069999999999997</v>
      </c>
      <c r="F39" s="13">
        <v>0.73099999999999998</v>
      </c>
      <c r="G39" s="13">
        <f t="shared" si="0"/>
        <v>61.212000000000003</v>
      </c>
      <c r="H39" s="29"/>
      <c r="I39" s="13">
        <f t="shared" si="1"/>
        <v>60.595999999999997</v>
      </c>
      <c r="J39" s="29"/>
      <c r="L39" s="30"/>
      <c r="M39" s="23">
        <v>32</v>
      </c>
      <c r="N39" s="8">
        <v>10.058</v>
      </c>
      <c r="O39" s="6">
        <f>ROUND((N39/(1+J38/100)),1)</f>
        <v>6.3</v>
      </c>
      <c r="P39" s="6">
        <f t="shared" si="2"/>
        <v>27.742000000000001</v>
      </c>
      <c r="Q39" s="5">
        <f t="shared" si="3"/>
        <v>5</v>
      </c>
      <c r="R39" s="6">
        <v>22.7</v>
      </c>
      <c r="S39" s="22">
        <v>8.3800000000000008</v>
      </c>
      <c r="T39" s="31"/>
      <c r="V39" s="30"/>
      <c r="W39" s="23">
        <v>32</v>
      </c>
      <c r="X39" s="26">
        <v>2.02</v>
      </c>
      <c r="Y39" s="26">
        <v>144.46700000000001</v>
      </c>
      <c r="Z39" s="6">
        <f t="shared" si="4"/>
        <v>20.2</v>
      </c>
      <c r="AA39" s="6">
        <v>21.6</v>
      </c>
      <c r="AB39" s="24">
        <v>3.33</v>
      </c>
      <c r="AC39" s="31"/>
      <c r="AD39" s="7"/>
      <c r="AE39" s="7"/>
      <c r="AF39" s="7"/>
      <c r="AG39" s="7"/>
      <c r="AH39" s="7"/>
    </row>
    <row r="40" spans="1:34">
      <c r="A40" s="30" t="s">
        <v>41</v>
      </c>
      <c r="B40" s="5">
        <v>33</v>
      </c>
      <c r="C40" s="12">
        <v>10.756</v>
      </c>
      <c r="D40" s="13">
        <v>6.9050000000000002</v>
      </c>
      <c r="E40" s="11">
        <v>6.9109999999999996</v>
      </c>
      <c r="F40" s="13">
        <v>0.72299999999999998</v>
      </c>
      <c r="G40" s="13">
        <f t="shared" si="0"/>
        <v>62.293999999999997</v>
      </c>
      <c r="H40" s="29">
        <f t="shared" ref="H40" si="62">ROUND(AVERAGE(G40:G41),2)</f>
        <v>62.57</v>
      </c>
      <c r="I40" s="13">
        <f t="shared" si="1"/>
        <v>62.136000000000003</v>
      </c>
      <c r="J40" s="29">
        <f t="shared" si="59"/>
        <v>62.42</v>
      </c>
      <c r="L40" s="30" t="s">
        <v>41</v>
      </c>
      <c r="M40" s="23">
        <v>33</v>
      </c>
      <c r="N40" s="8">
        <v>10.009</v>
      </c>
      <c r="O40" s="6">
        <f>ROUND((N40/(1+J40/100)),1)</f>
        <v>6.2</v>
      </c>
      <c r="P40" s="6">
        <f t="shared" si="2"/>
        <v>27.190999999999999</v>
      </c>
      <c r="Q40" s="5">
        <f t="shared" si="3"/>
        <v>5</v>
      </c>
      <c r="R40" s="6">
        <v>22.8</v>
      </c>
      <c r="S40" s="22">
        <v>8.33</v>
      </c>
      <c r="T40" s="31">
        <f t="shared" ref="T40" si="63">ROUND(AVERAGE(S40:S41),2)</f>
        <v>8.33</v>
      </c>
      <c r="V40" s="30" t="s">
        <v>41</v>
      </c>
      <c r="W40" s="23">
        <v>33</v>
      </c>
      <c r="X40" s="26">
        <v>2.0270000000000001</v>
      </c>
      <c r="Y40" s="26">
        <v>143.35300000000001</v>
      </c>
      <c r="Z40" s="6">
        <f t="shared" si="4"/>
        <v>20.3</v>
      </c>
      <c r="AA40" s="6">
        <v>21.8</v>
      </c>
      <c r="AB40" s="24">
        <v>3.62</v>
      </c>
      <c r="AC40" s="31">
        <f t="shared" ref="AC40" si="64">ROUND(AVERAGE(AB40:AB41),2)</f>
        <v>3.65</v>
      </c>
      <c r="AD40" s="7"/>
      <c r="AE40" s="15"/>
      <c r="AF40" s="15"/>
      <c r="AG40" s="15"/>
      <c r="AH40" s="7"/>
    </row>
    <row r="41" spans="1:34">
      <c r="A41" s="30"/>
      <c r="B41" s="5">
        <v>34</v>
      </c>
      <c r="C41" s="12">
        <v>10.779</v>
      </c>
      <c r="D41" s="13">
        <v>6.899</v>
      </c>
      <c r="E41" s="11">
        <v>6.9050000000000002</v>
      </c>
      <c r="F41" s="13">
        <v>0.72599999999999998</v>
      </c>
      <c r="G41" s="13">
        <f t="shared" si="0"/>
        <v>62.853999999999999</v>
      </c>
      <c r="H41" s="29"/>
      <c r="I41" s="13">
        <f t="shared" si="1"/>
        <v>62.695999999999998</v>
      </c>
      <c r="J41" s="29"/>
      <c r="L41" s="30"/>
      <c r="M41" s="23">
        <v>34</v>
      </c>
      <c r="N41" s="8">
        <v>10.009</v>
      </c>
      <c r="O41" s="6">
        <f>ROUND((N41/(1+J40/100)),1)</f>
        <v>6.2</v>
      </c>
      <c r="P41" s="6">
        <f t="shared" si="2"/>
        <v>27.190999999999999</v>
      </c>
      <c r="Q41" s="5">
        <f t="shared" si="3"/>
        <v>5</v>
      </c>
      <c r="R41" s="6">
        <v>22.7</v>
      </c>
      <c r="S41" s="22">
        <v>8.33</v>
      </c>
      <c r="T41" s="31"/>
      <c r="V41" s="30"/>
      <c r="W41" s="23">
        <v>34</v>
      </c>
      <c r="X41" s="26">
        <v>2.0720000000000001</v>
      </c>
      <c r="Y41" s="26">
        <v>142.52000000000001</v>
      </c>
      <c r="Z41" s="6">
        <f t="shared" si="4"/>
        <v>20.7</v>
      </c>
      <c r="AA41" s="6">
        <v>21.7</v>
      </c>
      <c r="AB41" s="24">
        <v>3.68</v>
      </c>
      <c r="AC41" s="31"/>
    </row>
    <row r="42" spans="1:34">
      <c r="A42" s="30" t="s">
        <v>42</v>
      </c>
      <c r="B42" s="5">
        <v>35</v>
      </c>
      <c r="C42" s="12">
        <v>10.772</v>
      </c>
      <c r="D42" s="13">
        <v>6.6680000000000001</v>
      </c>
      <c r="E42" s="11">
        <v>6.6879999999999997</v>
      </c>
      <c r="F42" s="13">
        <v>0.70799999999999996</v>
      </c>
      <c r="G42" s="13">
        <f t="shared" si="0"/>
        <v>68.858999999999995</v>
      </c>
      <c r="H42" s="29">
        <f t="shared" ref="H42" si="65">ROUND(AVERAGE(G42:G43),2)</f>
        <v>68.989999999999995</v>
      </c>
      <c r="I42" s="13">
        <f t="shared" si="1"/>
        <v>68.293999999999997</v>
      </c>
      <c r="J42" s="29">
        <f t="shared" ref="J42" si="66">ROUND(AVERAGE(I42:I43),2)</f>
        <v>68.459999999999994</v>
      </c>
      <c r="L42" s="30" t="s">
        <v>42</v>
      </c>
      <c r="M42" s="23">
        <v>35</v>
      </c>
      <c r="N42" s="8">
        <v>10.071</v>
      </c>
      <c r="O42" s="6">
        <f>ROUND((N42/(1+J42/100)),1)</f>
        <v>6</v>
      </c>
      <c r="P42" s="6">
        <f t="shared" si="2"/>
        <v>25.929000000000002</v>
      </c>
      <c r="Q42" s="5">
        <f t="shared" si="3"/>
        <v>5</v>
      </c>
      <c r="R42" s="6">
        <v>22.9</v>
      </c>
      <c r="S42" s="22">
        <v>8.2899999999999991</v>
      </c>
      <c r="T42" s="31">
        <f t="shared" ref="T42" si="67">ROUND(AVERAGE(S42:S43),2)</f>
        <v>8.3000000000000007</v>
      </c>
      <c r="V42" s="30" t="s">
        <v>42</v>
      </c>
      <c r="W42" s="23">
        <v>35</v>
      </c>
      <c r="X42" s="26">
        <v>2.008</v>
      </c>
      <c r="Y42" s="26">
        <v>143.80000000000001</v>
      </c>
      <c r="Z42" s="6">
        <f t="shared" si="4"/>
        <v>20.100000000000001</v>
      </c>
      <c r="AA42" s="6">
        <v>21.8</v>
      </c>
      <c r="AB42" s="24">
        <v>3.54</v>
      </c>
      <c r="AC42" s="31">
        <f t="shared" ref="AC42" si="68">ROUND(AVERAGE(AB42:AB43),2)</f>
        <v>3.53</v>
      </c>
    </row>
    <row r="43" spans="1:34">
      <c r="A43" s="30"/>
      <c r="B43" s="5">
        <v>36</v>
      </c>
      <c r="C43" s="12">
        <v>10.737</v>
      </c>
      <c r="D43" s="13">
        <v>6.6349999999999998</v>
      </c>
      <c r="E43" s="11">
        <v>6.6520000000000001</v>
      </c>
      <c r="F43" s="13">
        <v>0.7</v>
      </c>
      <c r="G43" s="13">
        <f t="shared" si="0"/>
        <v>69.114999999999995</v>
      </c>
      <c r="H43" s="29"/>
      <c r="I43" s="13">
        <f t="shared" si="1"/>
        <v>68.632000000000005</v>
      </c>
      <c r="J43" s="29"/>
      <c r="L43" s="30"/>
      <c r="M43" s="23">
        <v>36</v>
      </c>
      <c r="N43" s="8">
        <v>10.077999999999999</v>
      </c>
      <c r="O43" s="6">
        <f>ROUND((N43/(1+J42/100)),1)</f>
        <v>6</v>
      </c>
      <c r="P43" s="6">
        <f t="shared" si="2"/>
        <v>25.922000000000001</v>
      </c>
      <c r="Q43" s="5">
        <f t="shared" si="3"/>
        <v>5</v>
      </c>
      <c r="R43" s="6">
        <v>23</v>
      </c>
      <c r="S43" s="22">
        <v>8.3000000000000007</v>
      </c>
      <c r="T43" s="31"/>
      <c r="V43" s="30"/>
      <c r="W43" s="23">
        <v>36</v>
      </c>
      <c r="X43" s="26">
        <v>2.0270000000000001</v>
      </c>
      <c r="Y43" s="26">
        <v>142.922</v>
      </c>
      <c r="Z43" s="6">
        <f t="shared" si="4"/>
        <v>20.3</v>
      </c>
      <c r="AA43" s="6">
        <v>21.2</v>
      </c>
      <c r="AB43" s="24">
        <v>3.52</v>
      </c>
      <c r="AC43" s="31"/>
    </row>
  </sheetData>
  <mergeCells count="146">
    <mergeCell ref="L32:L33"/>
    <mergeCell ref="L34:L35"/>
    <mergeCell ref="L36:L37"/>
    <mergeCell ref="L38:L39"/>
    <mergeCell ref="V38:V39"/>
    <mergeCell ref="V40:V41"/>
    <mergeCell ref="V42:V43"/>
    <mergeCell ref="V1:AC2"/>
    <mergeCell ref="L5:L7"/>
    <mergeCell ref="M5:M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V28:V29"/>
    <mergeCell ref="V30:V31"/>
    <mergeCell ref="V32:V33"/>
    <mergeCell ref="V34:V35"/>
    <mergeCell ref="V36:V37"/>
    <mergeCell ref="AC38:AC39"/>
    <mergeCell ref="AC40:AC41"/>
    <mergeCell ref="AC42:AC43"/>
    <mergeCell ref="V5:V7"/>
    <mergeCell ref="W5:W7"/>
    <mergeCell ref="V8:V9"/>
    <mergeCell ref="V10:V11"/>
    <mergeCell ref="V12:V13"/>
    <mergeCell ref="V14:V15"/>
    <mergeCell ref="V16:V17"/>
    <mergeCell ref="V18:V19"/>
    <mergeCell ref="V20:V21"/>
    <mergeCell ref="V22:V23"/>
    <mergeCell ref="V24:V25"/>
    <mergeCell ref="V26:V27"/>
    <mergeCell ref="AC28:AC29"/>
    <mergeCell ref="AC30:AC31"/>
    <mergeCell ref="AC32:AC33"/>
    <mergeCell ref="AC34:AC35"/>
    <mergeCell ref="AC36:AC37"/>
    <mergeCell ref="AC18:AC19"/>
    <mergeCell ref="AC20:AC21"/>
    <mergeCell ref="AC22:AC23"/>
    <mergeCell ref="AC24:AC25"/>
    <mergeCell ref="AC26:AC27"/>
    <mergeCell ref="AC8:AC9"/>
    <mergeCell ref="AC10:AC11"/>
    <mergeCell ref="AC12:AC13"/>
    <mergeCell ref="AC14:AC15"/>
    <mergeCell ref="AC16:AC17"/>
    <mergeCell ref="AA5:AA6"/>
    <mergeCell ref="AB5:AB6"/>
    <mergeCell ref="AC5:AC7"/>
    <mergeCell ref="L1:T2"/>
    <mergeCell ref="A1:J2"/>
    <mergeCell ref="Q5:Q6"/>
    <mergeCell ref="S5:S6"/>
    <mergeCell ref="A34:A35"/>
    <mergeCell ref="A5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T12:T13"/>
    <mergeCell ref="T14:T15"/>
    <mergeCell ref="T16:T17"/>
    <mergeCell ref="R5:R6"/>
    <mergeCell ref="T5:T7"/>
    <mergeCell ref="A40:A41"/>
    <mergeCell ref="A42:A43"/>
    <mergeCell ref="T42:T43"/>
    <mergeCell ref="T40:T41"/>
    <mergeCell ref="H40:H41"/>
    <mergeCell ref="H42:H43"/>
    <mergeCell ref="J42:J43"/>
    <mergeCell ref="J40:J41"/>
    <mergeCell ref="L40:L41"/>
    <mergeCell ref="L42:L43"/>
    <mergeCell ref="A36:A37"/>
    <mergeCell ref="A38:A39"/>
    <mergeCell ref="L28:L29"/>
    <mergeCell ref="T24:T25"/>
    <mergeCell ref="T26:T27"/>
    <mergeCell ref="T28:T29"/>
    <mergeCell ref="T18:T19"/>
    <mergeCell ref="T20:T21"/>
    <mergeCell ref="T22:T23"/>
    <mergeCell ref="H22:H23"/>
    <mergeCell ref="H24:H25"/>
    <mergeCell ref="H26:H27"/>
    <mergeCell ref="H28:H29"/>
    <mergeCell ref="T36:T37"/>
    <mergeCell ref="T38:T39"/>
    <mergeCell ref="T30:T31"/>
    <mergeCell ref="T32:T33"/>
    <mergeCell ref="T34:T35"/>
    <mergeCell ref="H36:H37"/>
    <mergeCell ref="H38:H39"/>
    <mergeCell ref="J36:J37"/>
    <mergeCell ref="J38:J39"/>
    <mergeCell ref="H30:H31"/>
    <mergeCell ref="L30:L31"/>
    <mergeCell ref="J12:J13"/>
    <mergeCell ref="J14:J15"/>
    <mergeCell ref="J16:J17"/>
    <mergeCell ref="H34:H35"/>
    <mergeCell ref="H32:H33"/>
    <mergeCell ref="H10:H11"/>
    <mergeCell ref="H12:H13"/>
    <mergeCell ref="H14:H15"/>
    <mergeCell ref="H16:H17"/>
    <mergeCell ref="H18:H19"/>
    <mergeCell ref="H20:H21"/>
    <mergeCell ref="J30:J31"/>
    <mergeCell ref="J32:J33"/>
    <mergeCell ref="J34:J35"/>
    <mergeCell ref="J18:J19"/>
    <mergeCell ref="J20:J21"/>
    <mergeCell ref="J22:J23"/>
    <mergeCell ref="J24:J25"/>
    <mergeCell ref="J26:J27"/>
    <mergeCell ref="J28:J29"/>
    <mergeCell ref="C5:C6"/>
    <mergeCell ref="D5:E5"/>
    <mergeCell ref="F5:F6"/>
    <mergeCell ref="H8:H9"/>
    <mergeCell ref="J8:J9"/>
    <mergeCell ref="G5:J5"/>
    <mergeCell ref="T8:T9"/>
    <mergeCell ref="T10:T11"/>
    <mergeCell ref="B5:B7"/>
    <mergeCell ref="J10:J11"/>
  </mergeCells>
  <phoneticPr fontId="1"/>
  <printOptions horizontalCentered="1"/>
  <pageMargins left="0.62" right="0.39" top="0.4" bottom="0.41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selection activeCell="A5" sqref="A5"/>
    </sheetView>
  </sheetViews>
  <sheetFormatPr defaultRowHeight="15"/>
  <sheetData>
    <row r="1" spans="1:5">
      <c r="A1" s="3"/>
      <c r="B1" s="3" t="s">
        <v>17</v>
      </c>
      <c r="C1" s="3" t="s">
        <v>18</v>
      </c>
      <c r="D1" s="3" t="s">
        <v>19</v>
      </c>
      <c r="E1" s="3"/>
    </row>
    <row r="2" spans="1:5">
      <c r="A2" s="3" t="s">
        <v>16</v>
      </c>
      <c r="B2" s="3" t="s">
        <v>10</v>
      </c>
      <c r="C2" s="3" t="s">
        <v>12</v>
      </c>
      <c r="D2" s="3" t="s">
        <v>13</v>
      </c>
      <c r="E2" s="3" t="s">
        <v>15</v>
      </c>
    </row>
    <row r="3" spans="1:5">
      <c r="A3" s="1"/>
      <c r="B3" s="2" t="s">
        <v>11</v>
      </c>
      <c r="C3" s="2" t="s">
        <v>11</v>
      </c>
      <c r="D3" s="2" t="s">
        <v>14</v>
      </c>
      <c r="E3" s="1"/>
    </row>
    <row r="4" spans="1:5">
      <c r="A4">
        <v>1</v>
      </c>
      <c r="B4">
        <v>10</v>
      </c>
      <c r="C4" t="e">
        <f>ROUND((B4/(1+#REF!/100)),1)</f>
        <v>#REF!</v>
      </c>
      <c r="D4" t="e">
        <f>C4*5-(B4-C4)</f>
        <v>#REF!</v>
      </c>
      <c r="E4" t="e">
        <f>ROUND(((B4-C4+D4)/C4),1)</f>
        <v>#REF!</v>
      </c>
    </row>
    <row r="5" spans="1:5">
      <c r="A5">
        <v>2</v>
      </c>
      <c r="B5">
        <v>10</v>
      </c>
      <c r="C5" t="e">
        <f>ROUND((B5/(1+#REF!/100)),1)</f>
        <v>#REF!</v>
      </c>
      <c r="D5" t="e">
        <f t="shared" ref="D5:D39" si="0">C5*5-(B5-C5)</f>
        <v>#REF!</v>
      </c>
      <c r="E5" t="e">
        <f t="shared" ref="E5:E39" si="1">ROUND(((B5-C5+D5)/C5),1)</f>
        <v>#REF!</v>
      </c>
    </row>
    <row r="6" spans="1:5">
      <c r="A6">
        <v>3</v>
      </c>
      <c r="B6">
        <v>10</v>
      </c>
      <c r="C6" t="e">
        <f>ROUND((B6/(1+#REF!/100)),1)</f>
        <v>#REF!</v>
      </c>
      <c r="D6" t="e">
        <f t="shared" si="0"/>
        <v>#REF!</v>
      </c>
      <c r="E6" t="e">
        <f t="shared" si="1"/>
        <v>#REF!</v>
      </c>
    </row>
    <row r="7" spans="1:5">
      <c r="A7">
        <v>4</v>
      </c>
      <c r="B7">
        <v>10</v>
      </c>
      <c r="C7" t="e">
        <f t="shared" ref="C7" si="2">ROUND((B7/(1+#REF!/100)),1)</f>
        <v>#REF!</v>
      </c>
      <c r="D7" t="e">
        <f t="shared" si="0"/>
        <v>#REF!</v>
      </c>
      <c r="E7" t="e">
        <f t="shared" si="1"/>
        <v>#REF!</v>
      </c>
    </row>
    <row r="8" spans="1:5">
      <c r="A8">
        <v>5</v>
      </c>
      <c r="B8">
        <v>10</v>
      </c>
      <c r="C8" t="e">
        <f>ROUND((B8/(1+#REF!/100)),1)</f>
        <v>#REF!</v>
      </c>
      <c r="D8" t="e">
        <f t="shared" si="0"/>
        <v>#REF!</v>
      </c>
      <c r="E8" t="e">
        <f t="shared" si="1"/>
        <v>#REF!</v>
      </c>
    </row>
    <row r="9" spans="1:5">
      <c r="A9">
        <v>6</v>
      </c>
      <c r="B9">
        <v>10</v>
      </c>
      <c r="C9" t="e">
        <f t="shared" ref="C9" si="3">ROUND((B9/(1+#REF!/100)),1)</f>
        <v>#REF!</v>
      </c>
      <c r="D9" t="e">
        <f t="shared" si="0"/>
        <v>#REF!</v>
      </c>
      <c r="E9" t="e">
        <f t="shared" si="1"/>
        <v>#REF!</v>
      </c>
    </row>
    <row r="10" spans="1:5">
      <c r="A10">
        <v>7</v>
      </c>
      <c r="B10">
        <v>10</v>
      </c>
      <c r="C10" t="e">
        <f>ROUND((B10/(1+#REF!/100)),1)</f>
        <v>#REF!</v>
      </c>
      <c r="D10" t="e">
        <f t="shared" si="0"/>
        <v>#REF!</v>
      </c>
      <c r="E10" t="e">
        <f t="shared" si="1"/>
        <v>#REF!</v>
      </c>
    </row>
    <row r="11" spans="1:5">
      <c r="A11">
        <v>8</v>
      </c>
      <c r="B11">
        <v>10</v>
      </c>
      <c r="C11" t="e">
        <f>ROUND((B11/(1+#REF!/100)),1)</f>
        <v>#REF!</v>
      </c>
      <c r="D11" t="e">
        <f t="shared" si="0"/>
        <v>#REF!</v>
      </c>
      <c r="E11" t="e">
        <f t="shared" si="1"/>
        <v>#REF!</v>
      </c>
    </row>
    <row r="12" spans="1:5">
      <c r="A12">
        <v>9</v>
      </c>
      <c r="B12">
        <v>10</v>
      </c>
      <c r="C12" t="e">
        <f>ROUND((B12/(1+#REF!/100)),1)</f>
        <v>#REF!</v>
      </c>
      <c r="D12" t="e">
        <f t="shared" si="0"/>
        <v>#REF!</v>
      </c>
      <c r="E12" t="e">
        <f t="shared" si="1"/>
        <v>#REF!</v>
      </c>
    </row>
    <row r="13" spans="1:5">
      <c r="A13">
        <v>10</v>
      </c>
      <c r="B13">
        <v>10</v>
      </c>
      <c r="C13" t="e">
        <f t="shared" ref="C13" si="4">ROUND((B13/(1+#REF!/100)),1)</f>
        <v>#REF!</v>
      </c>
      <c r="D13" t="e">
        <f t="shared" si="0"/>
        <v>#REF!</v>
      </c>
      <c r="E13" t="e">
        <f t="shared" si="1"/>
        <v>#REF!</v>
      </c>
    </row>
    <row r="14" spans="1:5">
      <c r="A14">
        <v>11</v>
      </c>
      <c r="B14">
        <v>10</v>
      </c>
      <c r="C14" t="e">
        <f>ROUND((B14/(1+#REF!/100)),1)</f>
        <v>#REF!</v>
      </c>
      <c r="D14" t="e">
        <f t="shared" si="0"/>
        <v>#REF!</v>
      </c>
      <c r="E14" t="e">
        <f t="shared" si="1"/>
        <v>#REF!</v>
      </c>
    </row>
    <row r="15" spans="1:5">
      <c r="A15">
        <v>12</v>
      </c>
      <c r="B15">
        <v>10</v>
      </c>
      <c r="C15" t="e">
        <f t="shared" ref="C15" si="5">ROUND((B15/(1+#REF!/100)),1)</f>
        <v>#REF!</v>
      </c>
      <c r="D15" t="e">
        <f t="shared" si="0"/>
        <v>#REF!</v>
      </c>
      <c r="E15" t="e">
        <f t="shared" si="1"/>
        <v>#REF!</v>
      </c>
    </row>
    <row r="16" spans="1:5">
      <c r="A16">
        <v>13</v>
      </c>
      <c r="B16">
        <v>10</v>
      </c>
      <c r="C16" t="e">
        <f>ROUND((B16/(1+#REF!/100)),1)</f>
        <v>#REF!</v>
      </c>
      <c r="D16" t="e">
        <f t="shared" si="0"/>
        <v>#REF!</v>
      </c>
      <c r="E16" t="e">
        <f t="shared" si="1"/>
        <v>#REF!</v>
      </c>
    </row>
    <row r="17" spans="1:5">
      <c r="A17">
        <v>14</v>
      </c>
      <c r="B17">
        <v>10</v>
      </c>
      <c r="C17" t="e">
        <f t="shared" ref="C17" si="6">ROUND((B17/(1+#REF!/100)),1)</f>
        <v>#REF!</v>
      </c>
      <c r="D17" t="e">
        <f t="shared" si="0"/>
        <v>#REF!</v>
      </c>
      <c r="E17" t="e">
        <f t="shared" si="1"/>
        <v>#REF!</v>
      </c>
    </row>
    <row r="18" spans="1:5">
      <c r="A18">
        <v>15</v>
      </c>
      <c r="B18">
        <v>10</v>
      </c>
      <c r="C18" t="e">
        <f>ROUND((B18/(1+#REF!/100)),1)</f>
        <v>#REF!</v>
      </c>
      <c r="D18" t="e">
        <f t="shared" si="0"/>
        <v>#REF!</v>
      </c>
      <c r="E18" t="e">
        <f t="shared" si="1"/>
        <v>#REF!</v>
      </c>
    </row>
    <row r="19" spans="1:5">
      <c r="A19">
        <v>16</v>
      </c>
      <c r="B19">
        <v>10</v>
      </c>
      <c r="C19" t="e">
        <f t="shared" ref="C19" si="7">ROUND((B19/(1+#REF!/100)),1)</f>
        <v>#REF!</v>
      </c>
      <c r="D19" t="e">
        <f t="shared" si="0"/>
        <v>#REF!</v>
      </c>
      <c r="E19" t="e">
        <f t="shared" si="1"/>
        <v>#REF!</v>
      </c>
    </row>
    <row r="20" spans="1:5">
      <c r="A20">
        <v>17</v>
      </c>
      <c r="B20">
        <v>10</v>
      </c>
      <c r="C20" t="e">
        <f>ROUND((B20/(1+#REF!/100)),1)</f>
        <v>#REF!</v>
      </c>
      <c r="D20" t="e">
        <f t="shared" si="0"/>
        <v>#REF!</v>
      </c>
      <c r="E20" t="e">
        <f t="shared" si="1"/>
        <v>#REF!</v>
      </c>
    </row>
    <row r="21" spans="1:5">
      <c r="A21">
        <v>18</v>
      </c>
      <c r="B21">
        <v>10</v>
      </c>
      <c r="C21" t="e">
        <f t="shared" ref="C21" si="8">ROUND((B21/(1+#REF!/100)),1)</f>
        <v>#REF!</v>
      </c>
      <c r="D21" t="e">
        <f t="shared" si="0"/>
        <v>#REF!</v>
      </c>
      <c r="E21" t="e">
        <f t="shared" si="1"/>
        <v>#REF!</v>
      </c>
    </row>
    <row r="22" spans="1:5">
      <c r="A22">
        <v>19</v>
      </c>
      <c r="B22">
        <v>10</v>
      </c>
      <c r="C22" t="e">
        <f>ROUND((B22/(1+#REF!/100)),1)</f>
        <v>#REF!</v>
      </c>
      <c r="D22" t="e">
        <f t="shared" si="0"/>
        <v>#REF!</v>
      </c>
      <c r="E22" t="e">
        <f t="shared" si="1"/>
        <v>#REF!</v>
      </c>
    </row>
    <row r="23" spans="1:5">
      <c r="A23">
        <v>20</v>
      </c>
      <c r="B23">
        <v>10</v>
      </c>
      <c r="C23" t="e">
        <f t="shared" ref="C23" si="9">ROUND((B23/(1+#REF!/100)),1)</f>
        <v>#REF!</v>
      </c>
      <c r="D23" t="e">
        <f t="shared" si="0"/>
        <v>#REF!</v>
      </c>
      <c r="E23" t="e">
        <f t="shared" si="1"/>
        <v>#REF!</v>
      </c>
    </row>
    <row r="24" spans="1:5">
      <c r="A24">
        <v>21</v>
      </c>
      <c r="B24">
        <v>10</v>
      </c>
      <c r="C24" t="e">
        <f>ROUND((B24/(1+#REF!/100)),1)</f>
        <v>#REF!</v>
      </c>
      <c r="D24" t="e">
        <f t="shared" si="0"/>
        <v>#REF!</v>
      </c>
      <c r="E24" t="e">
        <f t="shared" si="1"/>
        <v>#REF!</v>
      </c>
    </row>
    <row r="25" spans="1:5">
      <c r="A25">
        <v>22</v>
      </c>
      <c r="B25">
        <v>10</v>
      </c>
      <c r="C25" t="e">
        <f t="shared" ref="C25" si="10">ROUND((B25/(1+#REF!/100)),1)</f>
        <v>#REF!</v>
      </c>
      <c r="D25" t="e">
        <f t="shared" si="0"/>
        <v>#REF!</v>
      </c>
      <c r="E25" t="e">
        <f t="shared" si="1"/>
        <v>#REF!</v>
      </c>
    </row>
    <row r="26" spans="1:5">
      <c r="A26">
        <v>23</v>
      </c>
      <c r="B26">
        <v>10</v>
      </c>
      <c r="C26" t="e">
        <f>ROUND((B26/(1+#REF!/100)),1)</f>
        <v>#REF!</v>
      </c>
      <c r="D26" t="e">
        <f t="shared" si="0"/>
        <v>#REF!</v>
      </c>
      <c r="E26" t="e">
        <f t="shared" si="1"/>
        <v>#REF!</v>
      </c>
    </row>
    <row r="27" spans="1:5">
      <c r="A27">
        <v>24</v>
      </c>
      <c r="B27">
        <v>10</v>
      </c>
      <c r="C27" t="e">
        <f t="shared" ref="C27" si="11">ROUND((B27/(1+#REF!/100)),1)</f>
        <v>#REF!</v>
      </c>
      <c r="D27" t="e">
        <f t="shared" si="0"/>
        <v>#REF!</v>
      </c>
      <c r="E27" t="e">
        <f t="shared" si="1"/>
        <v>#REF!</v>
      </c>
    </row>
    <row r="28" spans="1:5">
      <c r="A28">
        <v>25</v>
      </c>
      <c r="B28">
        <v>10</v>
      </c>
      <c r="C28" t="e">
        <f>ROUND((B28/(1+#REF!/100)),1)</f>
        <v>#REF!</v>
      </c>
      <c r="D28" t="e">
        <f t="shared" si="0"/>
        <v>#REF!</v>
      </c>
      <c r="E28" t="e">
        <f t="shared" si="1"/>
        <v>#REF!</v>
      </c>
    </row>
    <row r="29" spans="1:5">
      <c r="A29">
        <v>26</v>
      </c>
      <c r="B29">
        <v>10</v>
      </c>
      <c r="C29" t="e">
        <f t="shared" ref="C29" si="12">ROUND((B29/(1+#REF!/100)),1)</f>
        <v>#REF!</v>
      </c>
      <c r="D29" t="e">
        <f t="shared" si="0"/>
        <v>#REF!</v>
      </c>
      <c r="E29" t="e">
        <f t="shared" si="1"/>
        <v>#REF!</v>
      </c>
    </row>
    <row r="30" spans="1:5">
      <c r="A30">
        <v>27</v>
      </c>
      <c r="B30">
        <v>10</v>
      </c>
      <c r="C30" t="e">
        <f>ROUND((B30/(1+#REF!/100)),1)</f>
        <v>#REF!</v>
      </c>
      <c r="D30" t="e">
        <f t="shared" si="0"/>
        <v>#REF!</v>
      </c>
      <c r="E30" t="e">
        <f t="shared" si="1"/>
        <v>#REF!</v>
      </c>
    </row>
    <row r="31" spans="1:5">
      <c r="A31">
        <v>28</v>
      </c>
      <c r="B31">
        <v>10</v>
      </c>
      <c r="C31" t="e">
        <f t="shared" ref="C31" si="13">ROUND((B31/(1+#REF!/100)),1)</f>
        <v>#REF!</v>
      </c>
      <c r="D31" t="e">
        <f t="shared" si="0"/>
        <v>#REF!</v>
      </c>
      <c r="E31" t="e">
        <f t="shared" si="1"/>
        <v>#REF!</v>
      </c>
    </row>
    <row r="32" spans="1:5">
      <c r="A32">
        <v>29</v>
      </c>
      <c r="B32">
        <v>10</v>
      </c>
      <c r="C32" t="e">
        <f>ROUND((B32/(1+#REF!/100)),1)</f>
        <v>#REF!</v>
      </c>
      <c r="D32" t="e">
        <f t="shared" si="0"/>
        <v>#REF!</v>
      </c>
      <c r="E32" t="e">
        <f t="shared" si="1"/>
        <v>#REF!</v>
      </c>
    </row>
    <row r="33" spans="1:5">
      <c r="A33">
        <v>30</v>
      </c>
      <c r="B33">
        <v>10</v>
      </c>
      <c r="C33" t="e">
        <f t="shared" ref="C33" si="14">ROUND((B33/(1+#REF!/100)),1)</f>
        <v>#REF!</v>
      </c>
      <c r="D33" t="e">
        <f t="shared" si="0"/>
        <v>#REF!</v>
      </c>
      <c r="E33" t="e">
        <f t="shared" si="1"/>
        <v>#REF!</v>
      </c>
    </row>
    <row r="34" spans="1:5">
      <c r="A34">
        <v>31</v>
      </c>
      <c r="B34">
        <v>10</v>
      </c>
      <c r="C34" t="e">
        <f>ROUND((B34/(1+#REF!/100)),1)</f>
        <v>#REF!</v>
      </c>
      <c r="D34" t="e">
        <f t="shared" si="0"/>
        <v>#REF!</v>
      </c>
      <c r="E34" t="e">
        <f t="shared" si="1"/>
        <v>#REF!</v>
      </c>
    </row>
    <row r="35" spans="1:5">
      <c r="A35">
        <v>32</v>
      </c>
      <c r="B35">
        <v>10</v>
      </c>
      <c r="C35" t="e">
        <f t="shared" ref="C35" si="15">ROUND((B35/(1+#REF!/100)),1)</f>
        <v>#REF!</v>
      </c>
      <c r="D35" t="e">
        <f t="shared" si="0"/>
        <v>#REF!</v>
      </c>
      <c r="E35" t="e">
        <f t="shared" si="1"/>
        <v>#REF!</v>
      </c>
    </row>
    <row r="36" spans="1:5">
      <c r="A36">
        <v>33</v>
      </c>
      <c r="B36">
        <v>10</v>
      </c>
      <c r="C36" t="e">
        <f>ROUND((B36/(1+#REF!/100)),1)</f>
        <v>#REF!</v>
      </c>
      <c r="D36" t="e">
        <f t="shared" si="0"/>
        <v>#REF!</v>
      </c>
      <c r="E36" t="e">
        <f t="shared" si="1"/>
        <v>#REF!</v>
      </c>
    </row>
    <row r="37" spans="1:5">
      <c r="A37">
        <v>34</v>
      </c>
      <c r="B37">
        <v>10</v>
      </c>
      <c r="C37" t="e">
        <f t="shared" ref="C37" si="16">ROUND((B37/(1+#REF!/100)),1)</f>
        <v>#REF!</v>
      </c>
      <c r="D37" t="e">
        <f t="shared" si="0"/>
        <v>#REF!</v>
      </c>
      <c r="E37" t="e">
        <f t="shared" si="1"/>
        <v>#REF!</v>
      </c>
    </row>
    <row r="38" spans="1:5">
      <c r="A38">
        <v>35</v>
      </c>
      <c r="B38">
        <v>10</v>
      </c>
      <c r="C38" t="e">
        <f>ROUND((B38/(1+#REF!/100)),1)</f>
        <v>#REF!</v>
      </c>
      <c r="D38" t="e">
        <f t="shared" si="0"/>
        <v>#REF!</v>
      </c>
      <c r="E38" t="e">
        <f t="shared" si="1"/>
        <v>#REF!</v>
      </c>
    </row>
    <row r="39" spans="1:5">
      <c r="A39">
        <v>36</v>
      </c>
      <c r="B39">
        <v>10</v>
      </c>
      <c r="C39" t="e">
        <f t="shared" ref="C39" si="17">ROUND((B39/(1+#REF!/100)),1)</f>
        <v>#REF!</v>
      </c>
      <c r="D39" t="e">
        <f t="shared" si="0"/>
        <v>#REF!</v>
      </c>
      <c r="E39" t="e">
        <f t="shared" si="1"/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2017-04-17T09:09:56Z</dcterms:modified>
</cp:coreProperties>
</file>