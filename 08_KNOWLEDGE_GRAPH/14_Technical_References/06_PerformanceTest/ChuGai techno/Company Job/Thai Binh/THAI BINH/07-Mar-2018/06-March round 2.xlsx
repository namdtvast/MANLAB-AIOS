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Company Job\Thai Binh\THAI BINH\07-Mar-2018\"/>
    </mc:Choice>
  </mc:AlternateContent>
  <bookViews>
    <workbookView xWindow="0" yWindow="0" windowWidth="19365" windowHeight="9390" firstSheet="4" activeTab="11"/>
  </bookViews>
  <sheets>
    <sheet name="Input" sheetId="50" state="hidden" r:id="rId1"/>
    <sheet name="Certificate" sheetId="51" state="hidden" r:id="rId2"/>
    <sheet name="Table" sheetId="52" state="hidden" r:id="rId3"/>
    <sheet name="Fig" sheetId="53" state="hidden" r:id="rId4"/>
    <sheet name="Drawing" sheetId="45" r:id="rId5"/>
    <sheet name="IN-A" sheetId="76" r:id="rId6"/>
    <sheet name="IN-B" sheetId="77" r:id="rId7"/>
    <sheet name="OUT-A " sheetId="58" r:id="rId8"/>
    <sheet name="OUT-B" sheetId="75" r:id="rId9"/>
    <sheet name="Dust IN-A" sheetId="2" r:id="rId10"/>
    <sheet name="Dust IN-B" sheetId="71" r:id="rId11"/>
    <sheet name="Dust OUT-A" sheetId="72" r:id="rId12"/>
    <sheet name="Dust OUT-B" sheetId="74" r:id="rId13"/>
    <sheet name="DUST-RESULT-1" sheetId="47" r:id="rId14"/>
    <sheet name="Summary Result" sheetId="48" r:id="rId15"/>
    <sheet name="Measurement Act" sheetId="46" state="hidden" r:id="rId16"/>
  </sheets>
  <externalReferences>
    <externalReference r:id="rId17"/>
    <externalReference r:id="rId18"/>
  </externalReferences>
  <definedNames>
    <definedName name="_" localSheetId="10">#REF!,#REF!,#REF!,#REF!</definedName>
    <definedName name="_" localSheetId="11">#REF!,#REF!,#REF!,#REF!</definedName>
    <definedName name="_" localSheetId="12">#REF!,#REF!,#REF!,#REF!</definedName>
    <definedName name="_" localSheetId="13">#REF!,#REF!,#REF!,#REF!</definedName>
    <definedName name="_" localSheetId="3">#REF!,#REF!,#REF!,#REF!</definedName>
    <definedName name="_" localSheetId="5">#REF!,#REF!,#REF!,#REF!</definedName>
    <definedName name="_" localSheetId="6">#REF!,#REF!,#REF!,#REF!</definedName>
    <definedName name="_" localSheetId="7">#REF!,#REF!,#REF!,#REF!</definedName>
    <definedName name="_" localSheetId="8">#REF!,#REF!,#REF!,#REF!</definedName>
    <definedName name="_" localSheetId="14">#REF!,#REF!,#REF!,#REF!</definedName>
    <definedName name="_">#REF!,#REF!,#REF!,#REF!</definedName>
    <definedName name="__" localSheetId="10">#REF!,#REF!,#REF!,#REF!</definedName>
    <definedName name="__" localSheetId="11">#REF!,#REF!,#REF!,#REF!</definedName>
    <definedName name="__" localSheetId="12">#REF!,#REF!,#REF!,#REF!</definedName>
    <definedName name="__" localSheetId="5">#REF!,#REF!,#REF!,#REF!</definedName>
    <definedName name="__" localSheetId="6">#REF!,#REF!,#REF!,#REF!</definedName>
    <definedName name="__" localSheetId="7">#REF!,#REF!,#REF!,#REF!</definedName>
    <definedName name="__" localSheetId="8">#REF!,#REF!,#REF!,#REF!</definedName>
    <definedName name="__">#REF!,#REF!,#REF!,#REF!</definedName>
    <definedName name="_1W_一" localSheetId="10">#REF!,#REF!,#REF!,#REF!</definedName>
    <definedName name="_1W_一" localSheetId="11">#REF!,#REF!,#REF!,#REF!</definedName>
    <definedName name="_1W_一" localSheetId="12">#REF!,#REF!,#REF!,#REF!</definedName>
    <definedName name="_1W_一" localSheetId="13">#REF!,#REF!,#REF!,#REF!</definedName>
    <definedName name="_1W_一" localSheetId="5">#REF!,#REF!,#REF!,#REF!</definedName>
    <definedName name="_1W_一" localSheetId="6">#REF!,#REF!,#REF!,#REF!</definedName>
    <definedName name="_1W_一" localSheetId="7">#REF!,#REF!,#REF!,#REF!</definedName>
    <definedName name="_1W_一" localSheetId="8">#REF!,#REF!,#REF!,#REF!</definedName>
    <definedName name="_1W_一" localSheetId="14">#REF!,#REF!,#REF!,#REF!</definedName>
    <definedName name="_1W_一">#REF!,#REF!,#REF!,#REF!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14">#REF!</definedName>
    <definedName name="A">#REF!</definedName>
    <definedName name="Pa" localSheetId="10">#REF!</definedName>
    <definedName name="Pa" localSheetId="11">#REF!</definedName>
    <definedName name="Pa" localSheetId="12">#REF!</definedName>
    <definedName name="Pa" localSheetId="13">#REF!</definedName>
    <definedName name="Pa" localSheetId="5">#REF!</definedName>
    <definedName name="Pa" localSheetId="6">#REF!</definedName>
    <definedName name="Pa" localSheetId="7">#REF!</definedName>
    <definedName name="Pa" localSheetId="8">#REF!</definedName>
    <definedName name="Pa" localSheetId="14">#REF!</definedName>
    <definedName name="Pa">#REF!</definedName>
    <definedName name="_xlnm.Print_Area" localSheetId="1">Certificate!$A$1:$BE$55</definedName>
    <definedName name="_xlnm.Print_Area" localSheetId="4">Drawing!$A$1:$AX$65</definedName>
    <definedName name="_xlnm.Print_Area" localSheetId="9">'Dust IN-A'!$A$1:$BJ$50</definedName>
    <definedName name="_xlnm.Print_Area" localSheetId="10">'Dust IN-B'!$A$1:$BJ$50</definedName>
    <definedName name="_xlnm.Print_Area" localSheetId="11">'Dust OUT-A'!$A$1:$BJ$50</definedName>
    <definedName name="_xlnm.Print_Area" localSheetId="12">'Dust OUT-B'!$A$1:$BJ$50</definedName>
    <definedName name="_xlnm.Print_Area" localSheetId="13">'DUST-RESULT-1'!$A$1:$AX$64</definedName>
    <definedName name="_xlnm.Print_Area" localSheetId="3">Fig!$A$1:$AO$93</definedName>
    <definedName name="_xlnm.Print_Area" localSheetId="5">'IN-A'!$A$1:$BJ$57</definedName>
    <definedName name="_xlnm.Print_Area" localSheetId="6">'IN-B'!$A$1:$BJ$57</definedName>
    <definedName name="_xlnm.Print_Area" localSheetId="15">'Measurement Act'!$E:$H</definedName>
    <definedName name="_xlnm.Print_Area" localSheetId="7">'OUT-A '!$A$1:$BJ$57</definedName>
    <definedName name="_xlnm.Print_Area" localSheetId="8">'OUT-B'!$A$1:$BJ$57</definedName>
    <definedName name="_xlnm.Print_Area" localSheetId="14">'Summary Result'!$A$1:$AX$25</definedName>
    <definedName name="_xlnm.Print_Area" localSheetId="2">Table!$A:$I</definedName>
    <definedName name="_xlnm.Print_Titles" localSheetId="1">Certificate!$5:$29</definedName>
    <definedName name="_xlnm.Print_Titles" localSheetId="15">'Measurement Act'!$1:$1</definedName>
    <definedName name="あ">[1]水蒸気圧!$M$2:$M$9,[1]水蒸気圧!$S$1:$S$3,[1]水蒸気圧!$I$22:$I$28,[1]水蒸気圧!$M$1</definedName>
    <definedName name="一般入力">[1]水蒸気圧!$M$2:$M$9,[1]水蒸気圧!$S$1:$S$3,[1]水蒸気圧!$I$22:$I$28,[1]水蒸気圧!$M$1</definedName>
    <definedName name="図案2">[2]水蒸気圧!$M$2:$M$9,[2]水蒸気圧!$S$1:$S$3,[2]水蒸気圧!$I$22:$I$28,[2]水蒸気圧!$M$1</definedName>
    <definedName name="水蒸気圧表" localSheetId="10">#REF!</definedName>
    <definedName name="水蒸気圧表" localSheetId="11">#REF!</definedName>
    <definedName name="水蒸気圧表" localSheetId="12">#REF!</definedName>
    <definedName name="水蒸気圧表" localSheetId="13">#REF!</definedName>
    <definedName name="水蒸気圧表" localSheetId="5">#REF!</definedName>
    <definedName name="水蒸気圧表" localSheetId="6">#REF!</definedName>
    <definedName name="水蒸気圧表" localSheetId="15">'Measurement Act'!$A$1:$C$204</definedName>
    <definedName name="水蒸気圧表" localSheetId="7">#REF!</definedName>
    <definedName name="水蒸気圧表" localSheetId="8">#REF!</definedName>
    <definedName name="水蒸気圧表" localSheetId="14">#REF!</definedName>
    <definedName name="水蒸気圧表">#REF!</definedName>
    <definedName name="測定者" localSheetId="10">#REF!</definedName>
    <definedName name="測定者" localSheetId="11">#REF!</definedName>
    <definedName name="測定者" localSheetId="12">#REF!</definedName>
    <definedName name="測定者" localSheetId="13">#REF!</definedName>
    <definedName name="測定者" localSheetId="5">#REF!</definedName>
    <definedName name="測定者" localSheetId="6">#REF!</definedName>
    <definedName name="測定者" localSheetId="7">#REF!</definedName>
    <definedName name="測定者" localSheetId="8">#REF!</definedName>
    <definedName name="測定者" localSheetId="14">#REF!</definedName>
    <definedName name="測定者">#REF!</definedName>
    <definedName name="計量法１" localSheetId="10">#REF!</definedName>
    <definedName name="計量法１" localSheetId="11">#REF!</definedName>
    <definedName name="計量法１" localSheetId="12">#REF!</definedName>
    <definedName name="計量法１" localSheetId="13">#REF!</definedName>
    <definedName name="計量法１" localSheetId="5">#REF!</definedName>
    <definedName name="計量法１" localSheetId="6">#REF!</definedName>
    <definedName name="計量法１" localSheetId="15">'Measurement Act'!$E$1:$H$100</definedName>
    <definedName name="計量法１" localSheetId="7">#REF!</definedName>
    <definedName name="計量法１" localSheetId="8">#REF!</definedName>
    <definedName name="計量法１" localSheetId="14">#REF!</definedName>
    <definedName name="計量法１">#REF!</definedName>
    <definedName name="金属入力">[1]水蒸気圧!$T$102:$T$106,[1]水蒸気圧!$T$101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0" i="72" l="1"/>
  <c r="AU19" i="72" l="1"/>
  <c r="AU18" i="72"/>
  <c r="AU17" i="72"/>
  <c r="AU16" i="72"/>
  <c r="AU15" i="72"/>
  <c r="AB49" i="77" l="1"/>
  <c r="X49" i="77"/>
  <c r="AR47" i="77"/>
  <c r="AR46" i="77"/>
  <c r="AR45" i="77"/>
  <c r="AR44" i="77"/>
  <c r="AR43" i="77"/>
  <c r="AR42" i="77"/>
  <c r="AR41" i="77"/>
  <c r="AR40" i="77"/>
  <c r="AR39" i="77"/>
  <c r="AR38" i="77"/>
  <c r="AR37" i="77"/>
  <c r="AR36" i="77"/>
  <c r="AR35" i="77"/>
  <c r="AR34" i="77"/>
  <c r="AR33" i="77"/>
  <c r="AR49" i="77" s="1"/>
  <c r="W25" i="77"/>
  <c r="P25" i="77"/>
  <c r="AK24" i="77"/>
  <c r="AK23" i="77"/>
  <c r="BK15" i="77"/>
  <c r="AV15" i="77"/>
  <c r="BK14" i="77"/>
  <c r="AV14" i="77" s="1"/>
  <c r="BK13" i="77"/>
  <c r="AV13" i="77" s="1"/>
  <c r="AB49" i="76"/>
  <c r="X49" i="76"/>
  <c r="AR47" i="76"/>
  <c r="AR46" i="76"/>
  <c r="AR45" i="76"/>
  <c r="AR44" i="76"/>
  <c r="AR43" i="76"/>
  <c r="AR42" i="76"/>
  <c r="AR41" i="76"/>
  <c r="AR40" i="76"/>
  <c r="AR39" i="76"/>
  <c r="AR38" i="76"/>
  <c r="AR37" i="76"/>
  <c r="AR36" i="76"/>
  <c r="AR35" i="76"/>
  <c r="AR34" i="76"/>
  <c r="AR33" i="76"/>
  <c r="W25" i="76"/>
  <c r="P25" i="76"/>
  <c r="AK25" i="76" s="1"/>
  <c r="AK24" i="76"/>
  <c r="AK23" i="76"/>
  <c r="BK15" i="76"/>
  <c r="AV15" i="76"/>
  <c r="BK14" i="76"/>
  <c r="AV14" i="76" s="1"/>
  <c r="BK13" i="76"/>
  <c r="AV13" i="76" s="1"/>
  <c r="AB49" i="75"/>
  <c r="X49" i="75"/>
  <c r="AR47" i="75"/>
  <c r="AR46" i="75"/>
  <c r="AR45" i="75"/>
  <c r="AR44" i="75"/>
  <c r="AR43" i="75"/>
  <c r="AR42" i="75"/>
  <c r="AR41" i="75"/>
  <c r="AR40" i="75"/>
  <c r="AR39" i="75"/>
  <c r="AR38" i="75"/>
  <c r="AR37" i="75"/>
  <c r="AR36" i="75"/>
  <c r="AR35" i="75"/>
  <c r="AR34" i="75"/>
  <c r="AR33" i="75"/>
  <c r="W25" i="75"/>
  <c r="AK25" i="75" s="1"/>
  <c r="P25" i="75"/>
  <c r="AK24" i="75"/>
  <c r="AK23" i="75"/>
  <c r="BK15" i="75"/>
  <c r="AV15" i="75"/>
  <c r="BK14" i="75"/>
  <c r="AV14" i="75" s="1"/>
  <c r="BK13" i="75"/>
  <c r="AV13" i="75"/>
  <c r="BK19" i="74"/>
  <c r="AU19" i="74"/>
  <c r="AK19" i="74"/>
  <c r="BK18" i="74"/>
  <c r="AU18" i="74"/>
  <c r="AK18" i="74"/>
  <c r="BK17" i="74"/>
  <c r="AK17" i="74" s="1"/>
  <c r="AU17" i="74"/>
  <c r="BK16" i="74"/>
  <c r="AK16" i="74" s="1"/>
  <c r="AU16" i="74"/>
  <c r="BK15" i="74"/>
  <c r="AK15" i="74"/>
  <c r="AU15" i="74" s="1"/>
  <c r="AK25" i="77" l="1"/>
  <c r="BC13" i="77"/>
  <c r="BA48" i="77" s="1"/>
  <c r="BA43" i="77"/>
  <c r="BA38" i="77"/>
  <c r="AR49" i="76"/>
  <c r="BC13" i="76"/>
  <c r="AR23" i="76" s="1"/>
  <c r="AR24" i="76"/>
  <c r="BA43" i="76"/>
  <c r="BA38" i="76"/>
  <c r="AR49" i="75"/>
  <c r="BA38" i="75" s="1"/>
  <c r="BC13" i="75"/>
  <c r="AR23" i="75" s="1"/>
  <c r="AU20" i="74"/>
  <c r="BK19" i="72"/>
  <c r="BK18" i="72"/>
  <c r="BK17" i="72"/>
  <c r="BK16" i="72"/>
  <c r="BK15" i="72"/>
  <c r="BK19" i="71"/>
  <c r="AK19" i="71" s="1"/>
  <c r="AU19" i="71" s="1"/>
  <c r="BK18" i="71"/>
  <c r="AK18" i="71" s="1"/>
  <c r="AU18" i="71" s="1"/>
  <c r="BK17" i="71"/>
  <c r="AK17" i="71" s="1"/>
  <c r="AU17" i="71" s="1"/>
  <c r="BK16" i="71"/>
  <c r="AK16" i="71" s="1"/>
  <c r="AU16" i="71" s="1"/>
  <c r="BK15" i="71"/>
  <c r="AK15" i="71" s="1"/>
  <c r="AU15" i="71" s="1"/>
  <c r="AK16" i="72" l="1"/>
  <c r="AK17" i="72"/>
  <c r="AK15" i="72"/>
  <c r="AK18" i="72"/>
  <c r="AK19" i="72"/>
  <c r="AR24" i="77"/>
  <c r="AR23" i="77"/>
  <c r="BA48" i="76"/>
  <c r="AR25" i="76"/>
  <c r="AV33" i="76" s="1"/>
  <c r="BA43" i="75"/>
  <c r="BA48" i="75"/>
  <c r="AR24" i="75"/>
  <c r="AR25" i="75" s="1"/>
  <c r="AU20" i="71"/>
  <c r="AB49" i="58"/>
  <c r="X49" i="58"/>
  <c r="AR47" i="58"/>
  <c r="AR46" i="58"/>
  <c r="AR45" i="58"/>
  <c r="AR44" i="58"/>
  <c r="AR43" i="58"/>
  <c r="AR42" i="58"/>
  <c r="AR41" i="58"/>
  <c r="AR40" i="58"/>
  <c r="AR39" i="58"/>
  <c r="AR38" i="58"/>
  <c r="AR37" i="58"/>
  <c r="AR36" i="58"/>
  <c r="AR35" i="58"/>
  <c r="AR34" i="58"/>
  <c r="AR33" i="58"/>
  <c r="W25" i="58"/>
  <c r="P25" i="58"/>
  <c r="AK25" i="58" s="1"/>
  <c r="AK24" i="58"/>
  <c r="AK23" i="58"/>
  <c r="BK15" i="58"/>
  <c r="AV15" i="58"/>
  <c r="BK14" i="58"/>
  <c r="AV14" i="58" s="1"/>
  <c r="BK13" i="58"/>
  <c r="AV13" i="58" s="1"/>
  <c r="BC33" i="76"/>
  <c r="AR25" i="77" l="1"/>
  <c r="AV33" i="77" s="1"/>
  <c r="AN47" i="76"/>
  <c r="AN45" i="76"/>
  <c r="AN39" i="76"/>
  <c r="AN36" i="76"/>
  <c r="AN34" i="76"/>
  <c r="AN33" i="76"/>
  <c r="AN42" i="76"/>
  <c r="AN40" i="76"/>
  <c r="AN46" i="76"/>
  <c r="AN43" i="76"/>
  <c r="AN37" i="76"/>
  <c r="AN35" i="76"/>
  <c r="AN44" i="76"/>
  <c r="AN41" i="76"/>
  <c r="AN38" i="76"/>
  <c r="AV33" i="75"/>
  <c r="BC13" i="58"/>
  <c r="AR24" i="58" s="1"/>
  <c r="AR49" i="58"/>
  <c r="AR23" i="58"/>
  <c r="AR25" i="58" s="1"/>
  <c r="BC33" i="77"/>
  <c r="BC33" i="75"/>
  <c r="AN47" i="77" l="1"/>
  <c r="AN45" i="77"/>
  <c r="AN39" i="77"/>
  <c r="AN36" i="77"/>
  <c r="AN34" i="77"/>
  <c r="AN33" i="77"/>
  <c r="AN42" i="77"/>
  <c r="AN40" i="77"/>
  <c r="AN46" i="77"/>
  <c r="AN43" i="77"/>
  <c r="AN37" i="77"/>
  <c r="AN35" i="77"/>
  <c r="AN44" i="77"/>
  <c r="AN41" i="77"/>
  <c r="AN38" i="77"/>
  <c r="AN49" i="76"/>
  <c r="AN47" i="75"/>
  <c r="AN45" i="75"/>
  <c r="AN39" i="75"/>
  <c r="AN36" i="75"/>
  <c r="AN34" i="75"/>
  <c r="AN33" i="75"/>
  <c r="AN42" i="75"/>
  <c r="AN40" i="75"/>
  <c r="AN46" i="75"/>
  <c r="AN43" i="75"/>
  <c r="AN37" i="75"/>
  <c r="AN35" i="75"/>
  <c r="AN44" i="75"/>
  <c r="AN41" i="75"/>
  <c r="AN38" i="75"/>
  <c r="BA48" i="58"/>
  <c r="BA38" i="58"/>
  <c r="BA43" i="58"/>
  <c r="AV33" i="58"/>
  <c r="AM86" i="53"/>
  <c r="AD84" i="53"/>
  <c r="AD82" i="53"/>
  <c r="C34" i="52"/>
  <c r="V40" i="51"/>
  <c r="V31" i="51"/>
  <c r="E7" i="52"/>
  <c r="E6" i="52"/>
  <c r="E5" i="52"/>
  <c r="V43" i="51"/>
  <c r="V42" i="51"/>
  <c r="V41" i="51"/>
  <c r="AE40" i="51"/>
  <c r="V39" i="51"/>
  <c r="AE38" i="51"/>
  <c r="V38" i="51" s="1"/>
  <c r="V37" i="51"/>
  <c r="AE36" i="51"/>
  <c r="V36" i="51"/>
  <c r="V35" i="51"/>
  <c r="AE34" i="51"/>
  <c r="V34" i="51"/>
  <c r="V33" i="51"/>
  <c r="AE32" i="51"/>
  <c r="V32" i="51"/>
  <c r="L27" i="51"/>
  <c r="L25" i="51"/>
  <c r="AN24" i="51"/>
  <c r="AU20" i="51"/>
  <c r="AU18" i="51"/>
  <c r="N13" i="51"/>
  <c r="N12" i="51"/>
  <c r="N11" i="51"/>
  <c r="E9" i="51"/>
  <c r="AO8" i="51"/>
  <c r="AO7" i="51"/>
  <c r="AO6" i="51"/>
  <c r="BC33" i="58"/>
  <c r="AN49" i="77" l="1"/>
  <c r="BA37" i="76"/>
  <c r="BA39" i="76" s="1"/>
  <c r="BA47" i="76"/>
  <c r="BA49" i="76" s="1"/>
  <c r="BA42" i="76"/>
  <c r="BA44" i="76" s="1"/>
  <c r="AN49" i="75"/>
  <c r="AN43" i="58"/>
  <c r="AN47" i="58"/>
  <c r="AN44" i="58"/>
  <c r="AN45" i="58"/>
  <c r="AN42" i="58"/>
  <c r="AN46" i="58"/>
  <c r="AN37" i="58"/>
  <c r="AN35" i="58"/>
  <c r="AN41" i="58"/>
  <c r="AN38" i="58"/>
  <c r="AN39" i="58"/>
  <c r="AN36" i="58"/>
  <c r="AN34" i="58"/>
  <c r="AN33" i="58"/>
  <c r="AN40" i="58"/>
  <c r="BK19" i="2"/>
  <c r="AK19" i="2" s="1"/>
  <c r="AU19" i="2" s="1"/>
  <c r="BK18" i="2"/>
  <c r="AK18" i="2" s="1"/>
  <c r="AU18" i="2" s="1"/>
  <c r="BK17" i="2"/>
  <c r="AK17" i="2" s="1"/>
  <c r="AU17" i="2" s="1"/>
  <c r="BK16" i="2"/>
  <c r="AK16" i="2" s="1"/>
  <c r="AU16" i="2" s="1"/>
  <c r="BK15" i="2"/>
  <c r="AK15" i="2" s="1"/>
  <c r="AU15" i="2" s="1"/>
  <c r="BA37" i="77" l="1"/>
  <c r="BA39" i="77" s="1"/>
  <c r="BA47" i="77"/>
  <c r="BA49" i="77" s="1"/>
  <c r="BA42" i="77"/>
  <c r="BA44" i="77" s="1"/>
  <c r="BA37" i="75"/>
  <c r="BA39" i="75" s="1"/>
  <c r="BA47" i="75"/>
  <c r="BA49" i="75" s="1"/>
  <c r="BA42" i="75"/>
  <c r="BA44" i="75" s="1"/>
  <c r="AU20" i="2"/>
  <c r="AN49" i="58"/>
  <c r="BA47" i="58" s="1"/>
  <c r="BA49" i="58" s="1"/>
  <c r="BA37" i="58" l="1"/>
  <c r="BA39" i="58" s="1"/>
  <c r="BA42" i="58"/>
  <c r="BA44" i="58" s="1"/>
  <c r="C201" i="46" l="1"/>
  <c r="C199" i="46"/>
  <c r="C197" i="46"/>
  <c r="C195" i="46"/>
  <c r="C193" i="46"/>
  <c r="C191" i="46"/>
  <c r="C189" i="46"/>
  <c r="C187" i="46"/>
  <c r="C185" i="46"/>
  <c r="C183" i="46"/>
  <c r="C181" i="46"/>
  <c r="C179" i="46"/>
  <c r="C177" i="46"/>
  <c r="C175" i="46"/>
  <c r="C173" i="46"/>
  <c r="C171" i="46"/>
  <c r="C169" i="46"/>
  <c r="C167" i="46"/>
  <c r="C165" i="46"/>
  <c r="C163" i="46"/>
  <c r="C161" i="46"/>
  <c r="C159" i="46"/>
  <c r="C157" i="46"/>
  <c r="C155" i="46"/>
  <c r="C153" i="46"/>
  <c r="C151" i="46"/>
  <c r="C149" i="46"/>
  <c r="C147" i="46"/>
  <c r="C145" i="46"/>
  <c r="C143" i="46"/>
  <c r="C141" i="46"/>
  <c r="C139" i="46"/>
  <c r="C137" i="46"/>
  <c r="C135" i="46"/>
  <c r="C133" i="46"/>
  <c r="C131" i="46"/>
  <c r="C129" i="46"/>
  <c r="C127" i="46"/>
  <c r="C125" i="46"/>
  <c r="C123" i="46"/>
  <c r="C121" i="46"/>
  <c r="C119" i="46"/>
  <c r="C117" i="46"/>
  <c r="C115" i="46"/>
  <c r="C113" i="46"/>
  <c r="C111" i="46"/>
  <c r="C109" i="46"/>
  <c r="C107" i="46"/>
  <c r="C105" i="46"/>
  <c r="C103" i="46"/>
  <c r="C101" i="46"/>
  <c r="C99" i="46"/>
  <c r="C97" i="46"/>
  <c r="C95" i="46"/>
  <c r="C93" i="46"/>
  <c r="C91" i="46"/>
  <c r="C89" i="46"/>
  <c r="C87" i="46"/>
  <c r="C85" i="46"/>
  <c r="C83" i="46"/>
  <c r="C81" i="46"/>
  <c r="C79" i="46"/>
  <c r="C77" i="46"/>
  <c r="C75" i="46"/>
  <c r="C73" i="46"/>
  <c r="C71" i="46"/>
  <c r="C69" i="46"/>
  <c r="C67" i="46"/>
  <c r="C65" i="46"/>
  <c r="C63" i="46"/>
  <c r="C61" i="46"/>
  <c r="C59" i="46"/>
  <c r="C57" i="46"/>
  <c r="C55" i="46"/>
  <c r="C53" i="46"/>
  <c r="C51" i="46"/>
  <c r="C49" i="46"/>
  <c r="C47" i="46"/>
  <c r="C45" i="46"/>
  <c r="C43" i="46"/>
  <c r="C41" i="46"/>
  <c r="C39" i="46"/>
  <c r="C37" i="46"/>
  <c r="C35" i="46"/>
  <c r="C33" i="46"/>
  <c r="C31" i="46"/>
  <c r="C29" i="46"/>
  <c r="C27" i="46"/>
  <c r="C25" i="46"/>
  <c r="C23" i="46"/>
  <c r="C21" i="46"/>
  <c r="C19" i="46"/>
  <c r="C17" i="46"/>
  <c r="C15" i="46"/>
  <c r="C13" i="46"/>
  <c r="C11" i="46"/>
  <c r="C9" i="46"/>
  <c r="C7" i="46"/>
  <c r="C5" i="46"/>
  <c r="C3" i="46"/>
  <c r="C1" i="46"/>
</calcChain>
</file>

<file path=xl/sharedStrings.xml><?xml version="1.0" encoding="utf-8"?>
<sst xmlns="http://schemas.openxmlformats.org/spreadsheetml/2006/main" count="1996" uniqueCount="605">
  <si>
    <t>kPa</t>
    <phoneticPr fontId="0"/>
  </si>
  <si>
    <t>V</t>
    <phoneticPr fontId="0"/>
  </si>
  <si>
    <t>m</t>
    <phoneticPr fontId="0"/>
  </si>
  <si>
    <t>L</t>
    <phoneticPr fontId="0"/>
  </si>
  <si>
    <t>℃</t>
    <phoneticPr fontId="0"/>
  </si>
  <si>
    <t>g</t>
    <phoneticPr fontId="0"/>
  </si>
  <si>
    <t>－</t>
    <phoneticPr fontId="0"/>
  </si>
  <si>
    <t>CO</t>
    <phoneticPr fontId="0"/>
  </si>
  <si>
    <t>v</t>
    <phoneticPr fontId="0"/>
  </si>
  <si>
    <t>Pa</t>
    <phoneticPr fontId="0"/>
  </si>
  <si>
    <t>m/s</t>
    <phoneticPr fontId="0"/>
  </si>
  <si>
    <t>①</t>
    <phoneticPr fontId="0"/>
  </si>
  <si>
    <t>②</t>
    <phoneticPr fontId="0"/>
  </si>
  <si>
    <t>C</t>
    <phoneticPr fontId="0"/>
  </si>
  <si>
    <t>A</t>
    <phoneticPr fontId="0"/>
  </si>
  <si>
    <t>□</t>
    <phoneticPr fontId="0"/>
  </si>
  <si>
    <t>QMA</t>
    <phoneticPr fontId="0"/>
  </si>
  <si>
    <t>PF-020</t>
    <phoneticPr fontId="0"/>
  </si>
  <si>
    <t>89S</t>
    <phoneticPr fontId="0"/>
  </si>
  <si>
    <t>d</t>
    <phoneticPr fontId="0"/>
  </si>
  <si>
    <t>t</t>
    <phoneticPr fontId="0"/>
  </si>
  <si>
    <t>mm</t>
    <phoneticPr fontId="0"/>
  </si>
  <si>
    <t>min</t>
    <phoneticPr fontId="0"/>
  </si>
  <si>
    <t>V-20</t>
    <phoneticPr fontId="0"/>
  </si>
  <si>
    <t>a</t>
    <phoneticPr fontId="0"/>
  </si>
  <si>
    <t>b</t>
    <phoneticPr fontId="0"/>
  </si>
  <si>
    <t>mL</t>
    <phoneticPr fontId="0"/>
  </si>
  <si>
    <t>mg/L</t>
    <phoneticPr fontId="0"/>
  </si>
  <si>
    <t>ppm</t>
    <phoneticPr fontId="0"/>
  </si>
  <si>
    <r>
      <t>P</t>
    </r>
    <r>
      <rPr>
        <i/>
        <vertAlign val="subscript"/>
        <sz val="10"/>
        <rFont val="Arial"/>
        <family val="2"/>
      </rPr>
      <t>a</t>
    </r>
  </si>
  <si>
    <r>
      <t>CO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</si>
  <si>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</si>
  <si>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</si>
  <si>
    <r>
      <t>kg/m</t>
    </r>
    <r>
      <rPr>
        <vertAlign val="superscript"/>
        <sz val="10"/>
        <rFont val="Arial"/>
        <family val="2"/>
      </rPr>
      <t>3</t>
    </r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</si>
  <si>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</si>
  <si>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r>
      <t>m</t>
    </r>
    <r>
      <rPr>
        <vertAlign val="superscript"/>
        <sz val="10"/>
        <rFont val="Arial"/>
        <family val="2"/>
      </rPr>
      <t>2</t>
    </r>
  </si>
  <si>
    <r>
      <t>O</t>
    </r>
    <r>
      <rPr>
        <i/>
        <vertAlign val="subscript"/>
        <sz val="10"/>
        <rFont val="Arial"/>
        <family val="2"/>
      </rPr>
      <t>n</t>
    </r>
  </si>
  <si>
    <t>MOISTURE CONTENT IN FLUE GAS</t>
  </si>
  <si>
    <t>Measuring point</t>
  </si>
  <si>
    <t>Measuring time</t>
  </si>
  <si>
    <t>U - tube
No.</t>
  </si>
  <si>
    <t>Gas meter</t>
  </si>
  <si>
    <t>Suction volume</t>
  </si>
  <si>
    <t>Temperature</t>
  </si>
  <si>
    <t>Pressure</t>
  </si>
  <si>
    <t>Atmospheric pressure</t>
  </si>
  <si>
    <r>
      <t>θ</t>
    </r>
    <r>
      <rPr>
        <i/>
        <vertAlign val="subscript"/>
        <sz val="10"/>
        <rFont val="Arial"/>
        <family val="2"/>
      </rPr>
      <t>m</t>
    </r>
  </si>
  <si>
    <r>
      <t>P</t>
    </r>
    <r>
      <rPr>
        <i/>
        <vertAlign val="subscript"/>
        <sz val="10"/>
        <rFont val="Arial"/>
        <family val="2"/>
      </rPr>
      <t>m</t>
    </r>
  </si>
  <si>
    <t>Mass of moisture</t>
  </si>
  <si>
    <t>Equipment No.</t>
  </si>
  <si>
    <t>Barometer</t>
  </si>
  <si>
    <t>vol%</t>
  </si>
  <si>
    <t>Measuring date</t>
  </si>
  <si>
    <t>Measuring position</t>
  </si>
  <si>
    <t>Average</t>
  </si>
  <si>
    <r>
      <t>X</t>
    </r>
    <r>
      <rPr>
        <i/>
        <vertAlign val="subscript"/>
        <sz val="10"/>
        <rFont val="Arial"/>
        <family val="2"/>
      </rPr>
      <t>w</t>
    </r>
  </si>
  <si>
    <t xml:space="preserve">Gas composition </t>
  </si>
  <si>
    <t>Density of wet flue gas in standard condition</t>
  </si>
  <si>
    <t>Measuring
point</t>
  </si>
  <si>
    <t>Measuring
time</t>
  </si>
  <si>
    <t>Dynamic
pressure</t>
  </si>
  <si>
    <t>Static
pressure</t>
  </si>
  <si>
    <t>Velocity</t>
  </si>
  <si>
    <t>Gas density</t>
  </si>
  <si>
    <t>Gas flow rate</t>
  </si>
  <si>
    <t>Wet</t>
  </si>
  <si>
    <t>Dry</t>
  </si>
  <si>
    <t>Cross-sectional area</t>
  </si>
  <si>
    <t>Manostar gauge</t>
  </si>
  <si>
    <t>Thermometer</t>
  </si>
  <si>
    <t>MEASURING DATA SHEET (1)</t>
  </si>
  <si>
    <t>MEASURING DATA SHEET (2)</t>
  </si>
  <si>
    <t>Measuring person</t>
  </si>
  <si>
    <t>DUST CONCENTRATION IN FLUE GAS</t>
  </si>
  <si>
    <t>Circular filter paper</t>
  </si>
  <si>
    <t>Cylindrical filter paper</t>
  </si>
  <si>
    <t>Form 1</t>
  </si>
  <si>
    <t>Form 2</t>
  </si>
  <si>
    <t>Whatman</t>
  </si>
  <si>
    <t>%</t>
  </si>
  <si>
    <t>Oxygen standard concentration</t>
  </si>
  <si>
    <t>Number of
 points</t>
  </si>
  <si>
    <t>Suction
volume</t>
  </si>
  <si>
    <t>Temp.</t>
  </si>
  <si>
    <t>Suction 
volume at standard condition</t>
  </si>
  <si>
    <t>Mass of collected dust</t>
  </si>
  <si>
    <t>Dust concentration</t>
  </si>
  <si>
    <t>Measured
value</t>
  </si>
  <si>
    <t>Conversion value</t>
  </si>
  <si>
    <t>Suction  pump</t>
  </si>
  <si>
    <t>Calculated by</t>
  </si>
  <si>
    <t>Checked by</t>
  </si>
  <si>
    <t>PC Input</t>
  </si>
  <si>
    <r>
      <t>ρ</t>
    </r>
    <r>
      <rPr>
        <i/>
        <vertAlign val="subscript"/>
        <sz val="10"/>
        <rFont val="Arial"/>
        <family val="2"/>
      </rPr>
      <t>0</t>
    </r>
  </si>
  <si>
    <t>Collated by</t>
  </si>
  <si>
    <t>Value</t>
  </si>
  <si>
    <r>
      <t>P</t>
    </r>
    <r>
      <rPr>
        <i/>
        <vertAlign val="subscript"/>
        <sz val="10"/>
        <rFont val="Arial"/>
        <family val="2"/>
      </rPr>
      <t>d</t>
    </r>
  </si>
  <si>
    <r>
      <t>θ</t>
    </r>
    <r>
      <rPr>
        <i/>
        <vertAlign val="subscript"/>
        <sz val="10"/>
        <rFont val="Arial"/>
        <family val="2"/>
      </rPr>
      <t>s</t>
    </r>
  </si>
  <si>
    <r>
      <t>P</t>
    </r>
    <r>
      <rPr>
        <i/>
        <vertAlign val="subscript"/>
        <sz val="10"/>
        <rFont val="Arial"/>
        <family val="2"/>
      </rPr>
      <t>s</t>
    </r>
  </si>
  <si>
    <r>
      <t>Q</t>
    </r>
    <r>
      <rPr>
        <i/>
        <vertAlign val="subscript"/>
        <sz val="10"/>
        <rFont val="Arial"/>
        <family val="2"/>
      </rPr>
      <t>N</t>
    </r>
  </si>
  <si>
    <r>
      <t>Q'</t>
    </r>
    <r>
      <rPr>
        <i/>
        <vertAlign val="subscript"/>
        <sz val="10"/>
        <rFont val="Arial"/>
        <family val="2"/>
      </rPr>
      <t>N</t>
    </r>
  </si>
  <si>
    <r>
      <t>Q</t>
    </r>
    <r>
      <rPr>
        <i/>
        <vertAlign val="subscript"/>
        <sz val="10"/>
        <rFont val="Arial"/>
        <family val="2"/>
      </rPr>
      <t>A</t>
    </r>
  </si>
  <si>
    <t>Orsat apparatus</t>
  </si>
  <si>
    <t>No.</t>
  </si>
  <si>
    <t>Before sampling</t>
  </si>
  <si>
    <t>After sampling</t>
  </si>
  <si>
    <r>
      <t>O</t>
    </r>
    <r>
      <rPr>
        <i/>
        <vertAlign val="subscript"/>
        <sz val="8"/>
        <rFont val="Arial"/>
        <family val="2"/>
      </rPr>
      <t>s</t>
    </r>
  </si>
  <si>
    <r>
      <t>θ</t>
    </r>
    <r>
      <rPr>
        <i/>
        <vertAlign val="subscript"/>
        <sz val="8"/>
        <rFont val="Arial"/>
        <family val="2"/>
      </rPr>
      <t>m</t>
    </r>
  </si>
  <si>
    <r>
      <t>C</t>
    </r>
    <r>
      <rPr>
        <i/>
        <vertAlign val="subscript"/>
        <sz val="8"/>
        <rFont val="Arial"/>
        <family val="2"/>
      </rPr>
      <t>s</t>
    </r>
  </si>
  <si>
    <r>
      <t>P</t>
    </r>
    <r>
      <rPr>
        <i/>
        <vertAlign val="subscript"/>
        <sz val="8"/>
        <rFont val="Arial"/>
        <family val="2"/>
      </rPr>
      <t>m</t>
    </r>
  </si>
  <si>
    <r>
      <t>V</t>
    </r>
    <r>
      <rPr>
        <i/>
        <vertAlign val="subscript"/>
        <sz val="8"/>
        <rFont val="Arial"/>
        <family val="2"/>
      </rPr>
      <t>s</t>
    </r>
  </si>
  <si>
    <t>Filter
paper
No.</t>
  </si>
  <si>
    <t>Mighty pump</t>
  </si>
  <si>
    <t>Manometer</t>
  </si>
  <si>
    <t>NITROGEN OXIDE CONCENTRATION IN FLUE GAS</t>
  </si>
  <si>
    <t>Absolute pressure</t>
  </si>
  <si>
    <t>Saturated vapor pressure</t>
  </si>
  <si>
    <t>Volume</t>
  </si>
  <si>
    <t>Suction volume at standard condition</t>
  </si>
  <si>
    <t>Nitrogen oxide concentration</t>
  </si>
  <si>
    <r>
      <t>NO</t>
    </r>
    <r>
      <rPr>
        <vertAlign val="subscript"/>
        <sz val="8"/>
        <rFont val="Arial"/>
        <family val="2"/>
      </rPr>
      <t>3</t>
    </r>
  </si>
  <si>
    <r>
      <t>NO</t>
    </r>
    <r>
      <rPr>
        <vertAlign val="subscript"/>
        <sz val="8"/>
        <rFont val="Arial"/>
        <family val="2"/>
      </rPr>
      <t>2</t>
    </r>
  </si>
  <si>
    <t>Residual pressure</t>
  </si>
  <si>
    <r>
      <t>P</t>
    </r>
    <r>
      <rPr>
        <i/>
        <vertAlign val="subscript"/>
        <sz val="10"/>
        <rFont val="Arial"/>
        <family val="2"/>
      </rPr>
      <t>i</t>
    </r>
  </si>
  <si>
    <r>
      <t>t</t>
    </r>
    <r>
      <rPr>
        <i/>
        <vertAlign val="subscript"/>
        <sz val="10"/>
        <rFont val="Arial"/>
        <family val="2"/>
      </rPr>
      <t>i</t>
    </r>
  </si>
  <si>
    <r>
      <t>P</t>
    </r>
    <r>
      <rPr>
        <i/>
        <vertAlign val="subscript"/>
        <sz val="10"/>
        <rFont val="Arial"/>
        <family val="2"/>
      </rPr>
      <t>ni</t>
    </r>
  </si>
  <si>
    <r>
      <t>P</t>
    </r>
    <r>
      <rPr>
        <i/>
        <vertAlign val="subscript"/>
        <sz val="10"/>
        <rFont val="Arial"/>
        <family val="2"/>
      </rPr>
      <t>f</t>
    </r>
  </si>
  <si>
    <r>
      <t>t</t>
    </r>
    <r>
      <rPr>
        <i/>
        <vertAlign val="subscript"/>
        <sz val="10"/>
        <rFont val="Arial"/>
        <family val="2"/>
      </rPr>
      <t>f</t>
    </r>
  </si>
  <si>
    <r>
      <t>P</t>
    </r>
    <r>
      <rPr>
        <i/>
        <vertAlign val="subscript"/>
        <sz val="10"/>
        <rFont val="Arial"/>
        <family val="2"/>
      </rPr>
      <t>nf</t>
    </r>
  </si>
  <si>
    <r>
      <t>V</t>
    </r>
    <r>
      <rPr>
        <i/>
        <vertAlign val="subscript"/>
        <sz val="10"/>
        <rFont val="Arial"/>
        <family val="2"/>
      </rPr>
      <t>s</t>
    </r>
  </si>
  <si>
    <r>
      <t>C</t>
    </r>
    <r>
      <rPr>
        <i/>
        <vertAlign val="subscript"/>
        <sz val="10"/>
        <rFont val="Arial"/>
        <family val="2"/>
      </rPr>
      <t>s</t>
    </r>
  </si>
  <si>
    <r>
      <t>O</t>
    </r>
    <r>
      <rPr>
        <i/>
        <vertAlign val="subscript"/>
        <sz val="10"/>
        <rFont val="Arial"/>
        <family val="2"/>
      </rPr>
      <t>s</t>
    </r>
  </si>
  <si>
    <t>Measured value</t>
  </si>
  <si>
    <t>Flask (After collecting)</t>
  </si>
  <si>
    <t>Diameter of nozzle</t>
  </si>
  <si>
    <t>Sheathed thermocouple</t>
  </si>
  <si>
    <t>Moisture content</t>
  </si>
  <si>
    <t>COMPOSITION AND DENSITY OF FLUE GAS</t>
  </si>
  <si>
    <t>VELOCITY AND FLOW RATE OF FLUE GAS</t>
  </si>
  <si>
    <t>DVM －</t>
  </si>
  <si>
    <t>Pitot  tube</t>
  </si>
  <si>
    <t>Oxygen concentration</t>
  </si>
  <si>
    <t>Ion concentration determined from the working curve</t>
  </si>
  <si>
    <t>DVM －    　－</t>
  </si>
  <si>
    <t>DVM－ 029 －</t>
  </si>
  <si>
    <t>Suction 
duration</t>
  </si>
  <si>
    <t>Pitot tube co-efficient</t>
  </si>
  <si>
    <t>Retention period</t>
  </si>
  <si>
    <t>5 years</t>
  </si>
  <si>
    <t>Storage department</t>
  </si>
  <si>
    <r>
      <t>NO</t>
    </r>
    <r>
      <rPr>
        <vertAlign val="subscript"/>
        <sz val="8"/>
        <rFont val="Arial"/>
        <family val="2"/>
      </rPr>
      <t>x</t>
    </r>
    <r>
      <rPr>
        <sz val="8"/>
        <rFont val="Arial"/>
        <family val="2"/>
      </rPr>
      <t xml:space="preserve"> flask</t>
    </r>
  </si>
  <si>
    <t>DVM － 016 －</t>
  </si>
  <si>
    <t>Customer</t>
  </si>
  <si>
    <t>Measuring
points</t>
  </si>
  <si>
    <t>ρ</t>
  </si>
  <si>
    <t>THAI BINH 1 THERMAL POWER PLANT</t>
  </si>
  <si>
    <t>Measuring condition</t>
  </si>
  <si>
    <t>DATE:</t>
  </si>
  <si>
    <t>Gas direction</t>
  </si>
  <si>
    <t>CONDITION:</t>
  </si>
  <si>
    <t>Measuring objects</t>
    <phoneticPr fontId="2"/>
  </si>
  <si>
    <t>Measuring method 1,JIS number</t>
    <phoneticPr fontId="2"/>
  </si>
  <si>
    <t>Measuring method 2</t>
    <phoneticPr fontId="2"/>
  </si>
  <si>
    <t>blank as below</t>
    <phoneticPr fontId="2"/>
  </si>
  <si>
    <t>Dust concentration</t>
    <phoneticPr fontId="2"/>
  </si>
  <si>
    <t>JIS Z 8808(2013)</t>
    <phoneticPr fontId="2"/>
  </si>
  <si>
    <t>(Circular filter paper)</t>
    <phoneticPr fontId="2"/>
  </si>
  <si>
    <t>(Cylinder filter paper)</t>
    <phoneticPr fontId="2"/>
  </si>
  <si>
    <t>Sulfur oxides concentration</t>
    <phoneticPr fontId="2"/>
  </si>
  <si>
    <t>JIS K 0103(2011)-7.1</t>
    <phoneticPr fontId="2"/>
  </si>
  <si>
    <t>Ion chromatography</t>
    <phoneticPr fontId="2"/>
  </si>
  <si>
    <t>JIS K 0103(2011)-7.2</t>
    <phoneticPr fontId="2"/>
  </si>
  <si>
    <r>
      <t>Precipitation titrimetry (arsenazo</t>
    </r>
    <r>
      <rPr>
        <sz val="11"/>
        <rFont val="ＭＳ Ｐ明朝"/>
        <family val="1"/>
        <charset val="128"/>
      </rPr>
      <t>Ⅲ</t>
    </r>
    <r>
      <rPr>
        <sz val="11"/>
        <rFont val="Times New Roman"/>
        <family val="1"/>
      </rPr>
      <t>method)</t>
    </r>
  </si>
  <si>
    <t>JIS K 0103(2011)-8</t>
    <phoneticPr fontId="2"/>
  </si>
  <si>
    <t>Automated measuring method</t>
    <phoneticPr fontId="2"/>
  </si>
  <si>
    <t>JIS K 0103(2011)-Annex JA (normative)</t>
    <phoneticPr fontId="2"/>
  </si>
  <si>
    <t>Turbidimetry (light scattering method)</t>
    <phoneticPr fontId="2"/>
  </si>
  <si>
    <t>Nitrogen oxides concentration</t>
    <phoneticPr fontId="2"/>
  </si>
  <si>
    <t>JIS K 0104(2011)-7.1</t>
    <phoneticPr fontId="2"/>
  </si>
  <si>
    <t>Zinc reduction naphthyethylenediamine absorptiometry (Zn-NEDA method)</t>
    <phoneticPr fontId="2"/>
  </si>
  <si>
    <t>JIS K 0104(2011)-7.3</t>
    <phoneticPr fontId="2"/>
  </si>
  <si>
    <t>JIS K 0104(2011)-7.4</t>
    <phoneticPr fontId="2"/>
  </si>
  <si>
    <t>Phenol disulfonic acid absorptiometry (PDS method)</t>
    <phoneticPr fontId="2"/>
  </si>
  <si>
    <t>JIS K 0104(2011)-7.5</t>
    <phoneticPr fontId="2"/>
  </si>
  <si>
    <t>Saltzman absorptiometry</t>
    <phoneticPr fontId="2"/>
  </si>
  <si>
    <t>JIS K 0104(2011)-8</t>
    <phoneticPr fontId="2"/>
  </si>
  <si>
    <r>
      <t>Automated measuring method</t>
    </r>
    <r>
      <rPr>
        <sz val="11"/>
        <rFont val="ＭＳ Ｐ明朝"/>
        <family val="1"/>
        <charset val="128"/>
      </rPr>
      <t>：</t>
    </r>
    <r>
      <rPr>
        <sz val="11"/>
        <rFont val="Times New Roman"/>
        <family val="1"/>
      </rPr>
      <t>Chemiluminescence method</t>
    </r>
  </si>
  <si>
    <t>Oxygen concentration</t>
    <phoneticPr fontId="2"/>
  </si>
  <si>
    <t>JIS K 0301(1998)-5.1</t>
    <phoneticPr fontId="2"/>
  </si>
  <si>
    <r>
      <t>Chemical analysis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Orsat</t>
    </r>
  </si>
  <si>
    <t>JIS K 0301(1998)-6</t>
    <phoneticPr fontId="2"/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</si>
  <si>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Zirconia</t>
    </r>
  </si>
  <si>
    <r>
      <t>Automated measuring method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 xml:space="preserve">Magnetic force </t>
    </r>
  </si>
  <si>
    <t>Ammonia concentration</t>
    <phoneticPr fontId="2"/>
  </si>
  <si>
    <t>JIS K 0099(2004)-7.1</t>
    <phoneticPr fontId="2"/>
  </si>
  <si>
    <t>Indophenol blue absorption spectrophotometry</t>
    <phoneticPr fontId="6"/>
  </si>
  <si>
    <t>JIS K 0099(2004)-7.2</t>
    <phoneticPr fontId="2"/>
  </si>
  <si>
    <t>Gas chromatography</t>
    <phoneticPr fontId="2"/>
  </si>
  <si>
    <t>Fluorine concentration</t>
    <phoneticPr fontId="2"/>
  </si>
  <si>
    <t>JIS K 0105(1998)-6.1</t>
    <phoneticPr fontId="2"/>
  </si>
  <si>
    <t>Lanthanum-Alizarin complexone absorptiometry</t>
    <phoneticPr fontId="2"/>
  </si>
  <si>
    <t>Hydrogen fluoride concentration</t>
    <phoneticPr fontId="2"/>
  </si>
  <si>
    <t>Chlorine concentration</t>
    <phoneticPr fontId="2"/>
  </si>
  <si>
    <t>JIS K 0106(2010)-7.1</t>
    <phoneticPr fontId="2"/>
  </si>
  <si>
    <t>ABTS</t>
    <phoneticPr fontId="2"/>
  </si>
  <si>
    <t>JIS K 0106(2010)-7.2</t>
    <phoneticPr fontId="2"/>
  </si>
  <si>
    <t>PCP</t>
    <phoneticPr fontId="2"/>
  </si>
  <si>
    <t>JIS K 0106(2010)-7.3</t>
    <phoneticPr fontId="2"/>
  </si>
  <si>
    <t>JIS K 0106(2010)-Annex A (normative)</t>
    <phoneticPr fontId="2"/>
  </si>
  <si>
    <r>
      <t>o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Tolidine colorimetry</t>
    </r>
  </si>
  <si>
    <t>Hydrogen chloride concentration</t>
    <phoneticPr fontId="2"/>
  </si>
  <si>
    <t>JIS K 0107(2002)-7.1</t>
    <phoneticPr fontId="2"/>
  </si>
  <si>
    <t>JIS K 0107(2002)-7.2</t>
    <phoneticPr fontId="2"/>
  </si>
  <si>
    <t>Silver-nitrate titration method</t>
    <phoneticPr fontId="2"/>
  </si>
  <si>
    <t>JIS K 0107(2002)-Annex D (normative)</t>
    <phoneticPr fontId="2"/>
  </si>
  <si>
    <r>
      <t>Mercury (</t>
    </r>
    <r>
      <rPr>
        <sz val="11"/>
        <rFont val="ＭＳ 明朝"/>
        <family val="1"/>
        <charset val="128"/>
      </rPr>
      <t>Ⅱ</t>
    </r>
    <r>
      <rPr>
        <sz val="11"/>
        <rFont val="Times New Roman"/>
        <family val="1"/>
      </rPr>
      <t>) thiocyanate absorptiometry</t>
    </r>
  </si>
  <si>
    <t>Carbon monoxide concentration</t>
    <phoneticPr fontId="2"/>
  </si>
  <si>
    <t>JIS K 0098(1998)-5</t>
    <phoneticPr fontId="2"/>
  </si>
  <si>
    <t>JIS K 0098(1998)-6</t>
    <phoneticPr fontId="2"/>
  </si>
  <si>
    <t>Detection tube</t>
    <phoneticPr fontId="2"/>
  </si>
  <si>
    <t>JIS K 0098(1998)-7</t>
    <phoneticPr fontId="2"/>
  </si>
  <si>
    <t>Infrared absorption spectrophotometry</t>
    <phoneticPr fontId="2"/>
  </si>
  <si>
    <t>Hydrogen sulfide concentration</t>
    <phoneticPr fontId="2"/>
  </si>
  <si>
    <t>JIS K 0108(2010)-8</t>
    <phoneticPr fontId="2"/>
  </si>
  <si>
    <t>JIS K 0108(2010)-9</t>
    <phoneticPr fontId="2"/>
  </si>
  <si>
    <t>Methylene blue absorptiometry</t>
    <phoneticPr fontId="2"/>
  </si>
  <si>
    <t>Hydrogen cyanide concentration</t>
    <phoneticPr fontId="2"/>
  </si>
  <si>
    <t>JIS K 0109(1998)-6</t>
    <phoneticPr fontId="2"/>
  </si>
  <si>
    <t>JIS K 0109(1998)-7</t>
    <phoneticPr fontId="2"/>
  </si>
  <si>
    <t>4-Pyridinecarboxylate-pyrazolone absorptiometry</t>
    <phoneticPr fontId="2"/>
  </si>
  <si>
    <t>Cadmium concentration</t>
    <phoneticPr fontId="2"/>
  </si>
  <si>
    <t>JIS K 0083(2006)-7.1</t>
    <phoneticPr fontId="2"/>
  </si>
  <si>
    <t>Flame atomic absorption spectrometry</t>
    <phoneticPr fontId="6"/>
  </si>
  <si>
    <t>JIS K 0083(2006)-7.3</t>
    <phoneticPr fontId="2"/>
  </si>
  <si>
    <t>ICP atomic emission spectroscopy</t>
    <phoneticPr fontId="6"/>
  </si>
  <si>
    <t>JIS K 0083(2006)-7.4</t>
    <phoneticPr fontId="2"/>
  </si>
  <si>
    <t>ICP mass spectrometry</t>
    <phoneticPr fontId="6"/>
  </si>
  <si>
    <t>Lead concentration</t>
    <phoneticPr fontId="2"/>
  </si>
  <si>
    <t>JIS K 0083(2006)-8.1</t>
    <phoneticPr fontId="2"/>
  </si>
  <si>
    <t>JIS K 0083(2006)-8.3</t>
    <phoneticPr fontId="2"/>
  </si>
  <si>
    <t>ICP atomic emission spectroscopy</t>
  </si>
  <si>
    <t>JIS K 0083(2006)-8.4</t>
    <phoneticPr fontId="2"/>
  </si>
  <si>
    <t>Nickel concentration</t>
    <phoneticPr fontId="2"/>
  </si>
  <si>
    <t>JIS K 0083(2006)-9.1</t>
    <phoneticPr fontId="2"/>
  </si>
  <si>
    <t>Dimethylglyoxime absorptiometry</t>
    <phoneticPr fontId="6"/>
  </si>
  <si>
    <t>JIS K 0083(2006)-9.2</t>
    <phoneticPr fontId="2"/>
  </si>
  <si>
    <t>JIS K 0083(2006)-9.4</t>
    <phoneticPr fontId="2"/>
  </si>
  <si>
    <t>JIS K 0083(2006)-9.5</t>
    <phoneticPr fontId="2"/>
  </si>
  <si>
    <t>Manganese concentration</t>
    <phoneticPr fontId="2"/>
  </si>
  <si>
    <t>JIS K 0083(2006)-10.1</t>
    <phoneticPr fontId="2"/>
  </si>
  <si>
    <t>Periodic acid absorptiometry</t>
    <phoneticPr fontId="6"/>
  </si>
  <si>
    <t>JIS K 0083(2006)-10.2</t>
    <phoneticPr fontId="2"/>
  </si>
  <si>
    <t>JIS K 0083(2006)-10.4</t>
    <phoneticPr fontId="2"/>
  </si>
  <si>
    <t>JIS K 0083(2006)-10.5</t>
    <phoneticPr fontId="2"/>
  </si>
  <si>
    <t>Vanadium concentration</t>
    <phoneticPr fontId="2"/>
  </si>
  <si>
    <t>JIS K 0083(2006)-11.1</t>
    <phoneticPr fontId="2"/>
  </si>
  <si>
    <t>N-Phenylbenzohydroxamic acid absorptiometry</t>
    <phoneticPr fontId="6"/>
  </si>
  <si>
    <t>JIS K 0083(2006)-11.2</t>
    <phoneticPr fontId="2"/>
  </si>
  <si>
    <t>JIS K 0083(2006)-11.4</t>
    <phoneticPr fontId="2"/>
  </si>
  <si>
    <t>JIS K 0083(2006)-11.5</t>
    <phoneticPr fontId="2"/>
  </si>
  <si>
    <t>Chromium concentration</t>
    <phoneticPr fontId="2"/>
  </si>
  <si>
    <t>JIS K 0083(2006)-12.1</t>
    <phoneticPr fontId="2"/>
  </si>
  <si>
    <t>Diphenylcarbazide absorptiometry</t>
    <phoneticPr fontId="6"/>
  </si>
  <si>
    <t>JIS K 0083(2006)-12.2</t>
    <phoneticPr fontId="2"/>
  </si>
  <si>
    <t>JIS K 0083(2006)-12.4</t>
    <phoneticPr fontId="2"/>
  </si>
  <si>
    <t>JIS K 0083(2006)-12.5</t>
    <phoneticPr fontId="2"/>
  </si>
  <si>
    <t>Beryllium concentration</t>
    <phoneticPr fontId="2"/>
  </si>
  <si>
    <t>JIS K 0083(2006)-13.1</t>
    <phoneticPr fontId="2"/>
  </si>
  <si>
    <t>JIS K 0083(2006)-13.3</t>
    <phoneticPr fontId="2"/>
  </si>
  <si>
    <t>ICP atomic emission spectroscopy</t>
    <phoneticPr fontId="2"/>
  </si>
  <si>
    <t>JIS K 0083(2006)-13.4</t>
    <phoneticPr fontId="2"/>
  </si>
  <si>
    <t>Arsenic concentration</t>
    <phoneticPr fontId="2"/>
  </si>
  <si>
    <t>JIS K 0083(2006)-14.1</t>
    <phoneticPr fontId="2"/>
  </si>
  <si>
    <t>Silver diethyldithiocarbamate spectrophotometric method</t>
    <phoneticPr fontId="6"/>
  </si>
  <si>
    <t>JIS K 0083(2006)-14.2</t>
    <phoneticPr fontId="2"/>
  </si>
  <si>
    <t>Atomic absorption spectrometry by hydride</t>
    <phoneticPr fontId="6"/>
  </si>
  <si>
    <t>JIS K 0083(2006)-14.4</t>
    <phoneticPr fontId="2"/>
  </si>
  <si>
    <t>ICP atomic emission spectroscopy by hydride</t>
    <phoneticPr fontId="6"/>
  </si>
  <si>
    <t>JIS K 0083(2006)-14.5</t>
    <phoneticPr fontId="2"/>
  </si>
  <si>
    <t>Selenium concentration</t>
    <phoneticPr fontId="6"/>
  </si>
  <si>
    <t>JIS K 0083(2006)-15.1</t>
    <phoneticPr fontId="2"/>
  </si>
  <si>
    <t>3,3'-Diaminobenzidine absorptiometry</t>
    <phoneticPr fontId="6"/>
  </si>
  <si>
    <t>JIS K 0083(2006)-15.2</t>
    <phoneticPr fontId="2"/>
  </si>
  <si>
    <t>JIS K 0083(2006)-15.5</t>
    <phoneticPr fontId="2"/>
  </si>
  <si>
    <t>JIS K 0083(2006)-15.6</t>
    <phoneticPr fontId="2"/>
  </si>
  <si>
    <t>Bromine concentration</t>
    <phoneticPr fontId="6"/>
  </si>
  <si>
    <t>JIS K 0085(1998)-6.1</t>
    <phoneticPr fontId="2"/>
  </si>
  <si>
    <t>Iodemetry</t>
    <phoneticPr fontId="2"/>
  </si>
  <si>
    <t>Bromine concentration</t>
    <phoneticPr fontId="2"/>
  </si>
  <si>
    <t>JIS K 0085(1998)-6.2</t>
    <phoneticPr fontId="2"/>
  </si>
  <si>
    <t>Phenols concentration</t>
    <phoneticPr fontId="2"/>
  </si>
  <si>
    <t>JIS K 0086(1998)-5.1</t>
    <phoneticPr fontId="2"/>
  </si>
  <si>
    <t>JIS K 0086(1998)-5.2</t>
    <phoneticPr fontId="2"/>
  </si>
  <si>
    <t>4 -aminoantipyrine absorptiometry</t>
    <phoneticPr fontId="2"/>
  </si>
  <si>
    <t>JIS K 0086(1998)-5.3</t>
    <phoneticPr fontId="2"/>
  </si>
  <si>
    <t xml:space="preserve">Ultraviolet spectrophotometry </t>
    <phoneticPr fontId="2"/>
  </si>
  <si>
    <t>Pyridine concentration</t>
    <phoneticPr fontId="2"/>
  </si>
  <si>
    <t>JIS K 0087(1998)-5.1</t>
    <phoneticPr fontId="2"/>
  </si>
  <si>
    <t>Diaminostibenedisulfonic acid absorptiometry</t>
    <phoneticPr fontId="2"/>
  </si>
  <si>
    <t>JIS K 0087(1998)-5.2</t>
    <phoneticPr fontId="2"/>
  </si>
  <si>
    <t>Benzene concentration</t>
    <phoneticPr fontId="2"/>
  </si>
  <si>
    <t>JIS K 0088(1997)-6.1</t>
    <phoneticPr fontId="2"/>
  </si>
  <si>
    <t>JIS K 0088(1997)-6.2</t>
    <phoneticPr fontId="2"/>
  </si>
  <si>
    <t>Dinitrobenzene absorptiometry</t>
    <phoneticPr fontId="2"/>
  </si>
  <si>
    <t>Acrolein concentration</t>
    <phoneticPr fontId="2"/>
  </si>
  <si>
    <t>JIS K 0089(1998)-5.1</t>
    <phoneticPr fontId="2"/>
  </si>
  <si>
    <t>JIS K 0089(1998)-5.2</t>
    <phoneticPr fontId="2"/>
  </si>
  <si>
    <t>Hexylresorcinol absorptiometry</t>
    <phoneticPr fontId="2"/>
  </si>
  <si>
    <t>Phosgene concentration</t>
    <phoneticPr fontId="2"/>
  </si>
  <si>
    <t>JIS K 0090(1998)</t>
  </si>
  <si>
    <t>1,3-Diphenylurea ultraviolet spectrophotometric method</t>
    <phoneticPr fontId="2"/>
  </si>
  <si>
    <t xml:space="preserve">Carbon disulfide concentration </t>
    <phoneticPr fontId="2"/>
  </si>
  <si>
    <t>JIS K 0091(1998)-5.1</t>
    <phoneticPr fontId="2"/>
  </si>
  <si>
    <t>Copper diethyldithiocarbamate absorptiometry</t>
    <phoneticPr fontId="2"/>
  </si>
  <si>
    <t>JIS K 0091(1998)-5.2</t>
    <phoneticPr fontId="2"/>
  </si>
  <si>
    <t>Mercaptan concentration</t>
    <phoneticPr fontId="2"/>
  </si>
  <si>
    <t>JIS K 0092(1998)-5.1</t>
    <phoneticPr fontId="2"/>
  </si>
  <si>
    <t>N,N'-Ditolyl-p-phenylenediamine</t>
    <phoneticPr fontId="2"/>
  </si>
  <si>
    <t>JIS K 0092(1998)-5.2</t>
    <phoneticPr fontId="2"/>
  </si>
  <si>
    <t>Mercury concentration</t>
    <phoneticPr fontId="2"/>
  </si>
  <si>
    <t>JIS K 0222(1997)-5</t>
    <phoneticPr fontId="2"/>
  </si>
  <si>
    <r>
      <t>Wet absorption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Reduced vaporized atomic absorption spectroscopy</t>
    </r>
  </si>
  <si>
    <t>JIS K 0222(1997)-6</t>
    <phoneticPr fontId="2"/>
  </si>
  <si>
    <r>
      <t>Gold amalgam collection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heating reduced vaporized atomic absorption spectroscopy</t>
    </r>
  </si>
  <si>
    <t>Formaldehyde concentration</t>
    <phoneticPr fontId="6"/>
  </si>
  <si>
    <t>JIS K 0303(2004)-6.1</t>
    <phoneticPr fontId="2"/>
  </si>
  <si>
    <t>AHMT absorptiometry</t>
    <phoneticPr fontId="6"/>
  </si>
  <si>
    <t>JIS K 0303(2004)-6.2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</si>
  <si>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GC</t>
    </r>
  </si>
  <si>
    <t>JIS K 0303(2004)-6.5</t>
    <phoneticPr fontId="2"/>
  </si>
  <si>
    <r>
      <t>DNPH</t>
    </r>
    <r>
      <rPr>
        <sz val="11"/>
        <rFont val="ＭＳ 明朝"/>
        <family val="1"/>
        <charset val="128"/>
      </rPr>
      <t>－</t>
    </r>
    <r>
      <rPr>
        <sz val="11"/>
        <rFont val="Times New Roman"/>
        <family val="1"/>
      </rPr>
      <t>HPLC</t>
    </r>
  </si>
  <si>
    <t>JIS K 0303(2004)-Annex (normative)</t>
    <phoneticPr fontId="2"/>
  </si>
  <si>
    <t>Chromotropic acid absorptiometry</t>
    <phoneticPr fontId="6"/>
  </si>
  <si>
    <t>Trichloroethylene and 
Tetrachloroethylene concentration</t>
    <phoneticPr fontId="6"/>
  </si>
  <si>
    <t>JIS K 0305(1997)</t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</si>
  <si>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FID</t>
    </r>
  </si>
  <si>
    <r>
      <t>GC</t>
    </r>
    <r>
      <rPr>
        <sz val="11"/>
        <rFont val="ＭＳ 明朝"/>
        <family val="1"/>
        <charset val="128"/>
      </rPr>
      <t>／</t>
    </r>
    <r>
      <rPr>
        <sz val="11"/>
        <rFont val="Times New Roman"/>
        <family val="1"/>
      </rPr>
      <t>ECD</t>
    </r>
  </si>
  <si>
    <t>-</t>
  </si>
  <si>
    <t>Flow rate (wet)</t>
  </si>
  <si>
    <t>Flow rate (dry)</t>
  </si>
  <si>
    <t>DUST CONCENTRATION</t>
  </si>
  <si>
    <t>FLUE GAS MEASUREMENT DATA SHEET</t>
  </si>
  <si>
    <t>ESP INLET</t>
  </si>
  <si>
    <t>ESP OUTLET</t>
  </si>
  <si>
    <t>DUCT A</t>
  </si>
  <si>
    <t>DUCT B</t>
  </si>
  <si>
    <t>Gas temperature</t>
  </si>
  <si>
    <t>Gas static pressure</t>
  </si>
  <si>
    <t>Gas composition</t>
  </si>
  <si>
    <t>Item</t>
  </si>
  <si>
    <t>℃</t>
  </si>
  <si>
    <t>Pa</t>
  </si>
  <si>
    <r>
      <t>CO</t>
    </r>
    <r>
      <rPr>
        <vertAlign val="subscript"/>
        <sz val="11"/>
        <rFont val="Arial"/>
        <family val="2"/>
      </rPr>
      <t>2</t>
    </r>
  </si>
  <si>
    <r>
      <t>O</t>
    </r>
    <r>
      <rPr>
        <vertAlign val="subscript"/>
        <sz val="11"/>
        <rFont val="Arial"/>
        <family val="2"/>
      </rPr>
      <t>2</t>
    </r>
  </si>
  <si>
    <t>CO</t>
  </si>
  <si>
    <r>
      <t>N</t>
    </r>
    <r>
      <rPr>
        <vertAlign val="subscript"/>
        <sz val="11"/>
        <rFont val="Arial"/>
        <family val="2"/>
      </rPr>
      <t>2</t>
    </r>
  </si>
  <si>
    <r>
      <t>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N/h</t>
    </r>
  </si>
  <si>
    <t>Job.No.</t>
  </si>
  <si>
    <t>Pitot tube coefficient</t>
  </si>
  <si>
    <t>C</t>
    <phoneticPr fontId="3"/>
  </si>
  <si>
    <t>Filter paper</t>
  </si>
  <si>
    <t>Cylindrical filter paper (Silica fiber filter type 1)</t>
  </si>
  <si>
    <t>Receipt number</t>
    <phoneticPr fontId="3"/>
  </si>
  <si>
    <t>Determination of SOx</t>
  </si>
  <si>
    <t>Precipitation titrimetry  f:factor of 5 mmol/L barium acetate solution</t>
  </si>
  <si>
    <t>Turbidimetry k value:the inclination of a calibration curve</t>
  </si>
  <si>
    <t>Determination of NOx</t>
  </si>
  <si>
    <t>PDS method  k value:the inclination of a calibration curve</t>
  </si>
  <si>
    <t>NEDA method k value:the inclination of a calibration curve</t>
  </si>
  <si>
    <t>Date of measurement</t>
    <phoneticPr fontId="3"/>
  </si>
  <si>
    <t>Determination of HCl</t>
  </si>
  <si>
    <t>Silver nitrate titrimetry  f:factor of 0.1 mol/L ammonium thiocyanate solution</t>
  </si>
  <si>
    <t>Mercury (Ⅱ) thiocyanate absorptiometry k value:the inclination of a calibration curve</t>
  </si>
  <si>
    <t>Certificate number</t>
    <phoneticPr fontId="3"/>
  </si>
  <si>
    <t>Date of issue</t>
    <phoneticPr fontId="3"/>
  </si>
  <si>
    <t>Responsibility of measurement</t>
    <phoneticPr fontId="3"/>
  </si>
  <si>
    <t>Kazuyoshi Morimoto</t>
  </si>
  <si>
    <t>Responsibility of the site</t>
    <phoneticPr fontId="3"/>
  </si>
  <si>
    <t xml:space="preserve">Fuel consumption </t>
  </si>
  <si>
    <t>－</t>
  </si>
  <si>
    <t xml:space="preserve"> </t>
    <phoneticPr fontId="8"/>
  </si>
  <si>
    <t>Addressee of a report 1</t>
    <phoneticPr fontId="3"/>
  </si>
  <si>
    <t>Addressee of a report 2</t>
    <phoneticPr fontId="3"/>
  </si>
  <si>
    <t>Place of measurement</t>
    <phoneticPr fontId="3"/>
  </si>
  <si>
    <t>Facility</t>
    <phoneticPr fontId="3"/>
  </si>
  <si>
    <t>Title of measurement</t>
    <phoneticPr fontId="3"/>
  </si>
  <si>
    <t xml:space="preserve">Measuring exhaust gas </t>
  </si>
  <si>
    <t>Place of measurement (The first column)</t>
  </si>
  <si>
    <t>(The second column)</t>
    <phoneticPr fontId="7"/>
  </si>
  <si>
    <t>Facility name (Data sheet)</t>
    <phoneticPr fontId="7"/>
  </si>
  <si>
    <t>Site name of list</t>
    <phoneticPr fontId="3"/>
  </si>
  <si>
    <t>Type of facility</t>
    <phoneticPr fontId="3"/>
  </si>
  <si>
    <t>Measuring position</t>
    <phoneticPr fontId="3"/>
  </si>
  <si>
    <r>
      <t>Sectional area of duct at measuring position m</t>
    </r>
    <r>
      <rPr>
        <vertAlign val="superscript"/>
        <sz val="11"/>
        <rFont val="Times New Roman"/>
        <family val="1"/>
      </rPr>
      <t>2</t>
    </r>
  </si>
  <si>
    <t>Height of stack (m)</t>
    <phoneticPr fontId="3"/>
  </si>
  <si>
    <r>
      <t>Sectional area of discharge port m</t>
    </r>
    <r>
      <rPr>
        <vertAlign val="superscript"/>
        <sz val="11"/>
        <rFont val="Times New Roman"/>
        <family val="1"/>
      </rPr>
      <t>2</t>
    </r>
  </si>
  <si>
    <t>Date of installation</t>
    <phoneticPr fontId="3"/>
  </si>
  <si>
    <t>Type of fuel</t>
    <phoneticPr fontId="3"/>
  </si>
  <si>
    <t>Scale of the facility</t>
    <phoneticPr fontId="3"/>
  </si>
  <si>
    <r>
      <t>Dust (g/m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</si>
  <si>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Dust On(%)</t>
    <phoneticPr fontId="8"/>
  </si>
  <si>
    <t>SOx On (%)</t>
  </si>
  <si>
    <t>NOx  (ppm)</t>
    <phoneticPr fontId="8"/>
  </si>
  <si>
    <t>NOx On(%)</t>
    <phoneticPr fontId="8"/>
  </si>
  <si>
    <r>
      <t>HCl (mg/m</t>
    </r>
    <r>
      <rPr>
        <vertAlign val="superscript"/>
        <sz val="11"/>
        <rFont val="Times New Roman"/>
        <family val="1"/>
      </rPr>
      <t>3</t>
    </r>
    <r>
      <rPr>
        <sz val="8"/>
        <rFont val="Times New Roman"/>
        <family val="1"/>
      </rPr>
      <t>N)</t>
    </r>
  </si>
  <si>
    <t>HCL On(%)</t>
    <phoneticPr fontId="8"/>
  </si>
  <si>
    <t>Precauyions</t>
    <phoneticPr fontId="7"/>
  </si>
  <si>
    <t>CERTIFICATE OF MEASUREMENT RESULT</t>
  </si>
  <si>
    <t>Certificate number</t>
  </si>
  <si>
    <r>
      <rPr>
        <sz val="10"/>
        <rFont val="ＭＳ 明朝"/>
        <family val="1"/>
        <charset val="128"/>
      </rPr>
      <t>：</t>
    </r>
  </si>
  <si>
    <t>Receipt number</t>
  </si>
  <si>
    <t>Date of issue</t>
  </si>
  <si>
    <t>To:</t>
  </si>
  <si>
    <t>Company</t>
    <phoneticPr fontId="4"/>
  </si>
  <si>
    <r>
      <rPr>
        <sz val="10"/>
        <color indexed="10"/>
        <rFont val="ＭＳ 明朝"/>
        <family val="1"/>
        <charset val="128"/>
      </rPr>
      <t>：</t>
    </r>
  </si>
  <si>
    <t>CHUGAI TECHNOS VIETNAM CO., LTD</t>
  </si>
  <si>
    <t>Title of measurement:</t>
  </si>
  <si>
    <t>Address</t>
    <phoneticPr fontId="4"/>
  </si>
  <si>
    <t>66 Cao Trieu Phat, Hung Gia 4 Area, Tan Phong Ward, District 7, Ho Chi Minh City</t>
    <phoneticPr fontId="4"/>
  </si>
  <si>
    <t>Telephone</t>
  </si>
  <si>
    <t>+84-28-541 09111</t>
  </si>
  <si>
    <t>Fax</t>
  </si>
  <si>
    <t>+84-28-541 09222</t>
  </si>
  <si>
    <t>VIMCERTS No.</t>
  </si>
  <si>
    <r>
      <rPr>
        <sz val="10"/>
        <color indexed="8"/>
        <rFont val="ＭＳ 明朝"/>
        <family val="1"/>
        <charset val="128"/>
      </rPr>
      <t>：</t>
    </r>
  </si>
  <si>
    <t>086</t>
    <phoneticPr fontId="3"/>
  </si>
  <si>
    <t>Responsibility of measurement</t>
    <phoneticPr fontId="4"/>
  </si>
  <si>
    <t>Responsibility of the site</t>
    <phoneticPr fontId="4"/>
  </si>
  <si>
    <t>We would like to certify measurement result which you requested as follows.</t>
    <phoneticPr fontId="3"/>
  </si>
  <si>
    <t>Type of samples</t>
    <phoneticPr fontId="3"/>
  </si>
  <si>
    <t>Flue gas</t>
    <phoneticPr fontId="3"/>
  </si>
  <si>
    <t>Measuring objects</t>
    <phoneticPr fontId="3"/>
  </si>
  <si>
    <t>Unit</t>
    <phoneticPr fontId="3"/>
  </si>
  <si>
    <t>Result of measurement</t>
    <phoneticPr fontId="3"/>
  </si>
  <si>
    <t>LOQ</t>
    <phoneticPr fontId="3"/>
  </si>
  <si>
    <t>Methods for measurement</t>
    <phoneticPr fontId="3"/>
  </si>
  <si>
    <r>
      <t>mg/Nm</t>
    </r>
    <r>
      <rPr>
        <vertAlign val="superscript"/>
        <sz val="10"/>
        <rFont val="Times New Roman"/>
        <family val="1"/>
      </rPr>
      <t>3</t>
    </r>
  </si>
  <si>
    <t>Actual value</t>
  </si>
  <si>
    <t xml:space="preserve"> JIS Z 8808:2013
 Cylindrical filter paper method</t>
  </si>
  <si>
    <t>Vs = 0.141</t>
  </si>
  <si>
    <t>Dust (Circular filter paper)</t>
    <phoneticPr fontId="4"/>
  </si>
  <si>
    <t>1mg/Corrected volume</t>
    <phoneticPr fontId="4"/>
  </si>
  <si>
    <r>
      <t>Unit:g/m</t>
    </r>
    <r>
      <rPr>
        <vertAlign val="superscript"/>
        <sz val="10"/>
        <rFont val="Times New Roman"/>
        <family val="1"/>
      </rPr>
      <t>3</t>
    </r>
    <r>
      <rPr>
        <vertAlign val="subscript"/>
        <sz val="10"/>
        <rFont val="Times New Roman"/>
        <family val="1"/>
      </rPr>
      <t xml:space="preserve">N </t>
    </r>
  </si>
  <si>
    <t>Dust (Cyrinder filter paper)</t>
    <phoneticPr fontId="4"/>
  </si>
  <si>
    <t>5mg/Corrected volume</t>
    <phoneticPr fontId="4"/>
  </si>
  <si>
    <t>3 digits after the decimal point</t>
    <phoneticPr fontId="4"/>
  </si>
  <si>
    <t>Sulfur oxides concentration</t>
  </si>
  <si>
    <t xml:space="preserve"> JIS K 0103:2011 -7.1
 Ion chromatography method</t>
  </si>
  <si>
    <t>HCl</t>
    <phoneticPr fontId="4"/>
  </si>
  <si>
    <t>0.6mg/m3N</t>
    <phoneticPr fontId="4"/>
  </si>
  <si>
    <t>0.4ppm</t>
    <phoneticPr fontId="4"/>
  </si>
  <si>
    <t>Sulfur dioxide concentration</t>
  </si>
  <si>
    <t>Average value</t>
  </si>
  <si>
    <t xml:space="preserve"> JIS B 7981:2002
 Non-dispersive infrared absorption method</t>
  </si>
  <si>
    <t>SOx</t>
    <phoneticPr fontId="4"/>
  </si>
  <si>
    <t>0.5ppm</t>
    <phoneticPr fontId="4"/>
  </si>
  <si>
    <t>NOx</t>
    <phoneticPr fontId="4"/>
  </si>
  <si>
    <t>4ppm</t>
    <phoneticPr fontId="4"/>
  </si>
  <si>
    <t>Nitrogen oxides concentration</t>
  </si>
  <si>
    <t xml:space="preserve"> JIS K 0104:2011 -7.3
 Ion chromatography method</t>
  </si>
  <si>
    <t xml:space="preserve"> JIS B 7982:2002
 Chemiluminescence method</t>
  </si>
  <si>
    <t>Carbon monoxide concentration</t>
  </si>
  <si>
    <t xml:space="preserve"> JIS B 7987:2006
 Non-dispersive infrared absorption method</t>
  </si>
  <si>
    <t>Carbon dioxide concentration</t>
  </si>
  <si>
    <t xml:space="preserve"> JIS B 7986:2006
 Non-dispersive infrared absorption method</t>
  </si>
  <si>
    <t xml:space="preserve"> JIS B 7983:1994
 Magnetic method </t>
  </si>
  <si>
    <t>Special note:</t>
  </si>
  <si>
    <t>Address and name of company that carried out specific  processes or some parts of measuring process.</t>
    <phoneticPr fontId="3"/>
  </si>
  <si>
    <t>―――</t>
  </si>
  <si>
    <t>The items not covered by Measurement Certification under Article 107 of Japanese Measurement Act.</t>
    <phoneticPr fontId="3"/>
  </si>
  <si>
    <t>Conversion value is not covered by Measurement Certification under Article 107 of Japanese Measurement Act.</t>
    <phoneticPr fontId="3"/>
  </si>
  <si>
    <t>Please do not reprint a part of this certificate without permission.</t>
    <phoneticPr fontId="3"/>
  </si>
  <si>
    <t>TABLE OF MEASUREMENT RESULT</t>
  </si>
  <si>
    <t>Place of measurement</t>
  </si>
  <si>
    <t>Facility and measuring position</t>
    <phoneticPr fontId="3"/>
  </si>
  <si>
    <t>Measuring date and Measuring time</t>
    <phoneticPr fontId="3"/>
  </si>
  <si>
    <r>
      <t>09:25</t>
    </r>
    <r>
      <rPr>
        <sz val="10"/>
        <color indexed="12"/>
        <rFont val="ＭＳ 明朝"/>
        <family val="1"/>
        <charset val="128"/>
      </rPr>
      <t>～</t>
    </r>
    <r>
      <rPr>
        <sz val="10"/>
        <color indexed="12"/>
        <rFont val="Times New Roman"/>
        <family val="1"/>
      </rPr>
      <t>14:15</t>
    </r>
  </si>
  <si>
    <t>Items</t>
    <phoneticPr fontId="3"/>
  </si>
  <si>
    <t>Mark</t>
    <phoneticPr fontId="3"/>
  </si>
  <si>
    <t>Measurement result</t>
    <phoneticPr fontId="3"/>
  </si>
  <si>
    <t>Emission standard</t>
  </si>
  <si>
    <t>Flow rate of wet flue gas</t>
    <phoneticPr fontId="3"/>
  </si>
  <si>
    <t>Q</t>
    <phoneticPr fontId="3"/>
  </si>
  <si>
    <r>
      <t>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/h</t>
    </r>
  </si>
  <si>
    <t>Flow rate of dry flue gas</t>
    <phoneticPr fontId="3"/>
  </si>
  <si>
    <t>Q'</t>
    <phoneticPr fontId="3"/>
  </si>
  <si>
    <t>Flow velocity</t>
    <phoneticPr fontId="3"/>
  </si>
  <si>
    <r>
      <rPr>
        <sz val="10"/>
        <rFont val="ＭＳ 明朝"/>
        <family val="1"/>
        <charset val="128"/>
      </rPr>
      <t>ｖ</t>
    </r>
  </si>
  <si>
    <t>m/s</t>
    <phoneticPr fontId="3"/>
  </si>
  <si>
    <t>Temperature of flue gas</t>
    <phoneticPr fontId="3"/>
  </si>
  <si>
    <t>θs</t>
    <phoneticPr fontId="3"/>
  </si>
  <si>
    <r>
      <rPr>
        <sz val="10"/>
        <rFont val="ＭＳ 明朝"/>
        <family val="1"/>
        <charset val="128"/>
      </rPr>
      <t>℃</t>
    </r>
  </si>
  <si>
    <t>Static pressure of flue gas</t>
    <phoneticPr fontId="3"/>
  </si>
  <si>
    <t>Ps</t>
    <phoneticPr fontId="3"/>
  </si>
  <si>
    <t>Pa</t>
    <phoneticPr fontId="3"/>
  </si>
  <si>
    <r>
      <t>CO</t>
    </r>
    <r>
      <rPr>
        <vertAlign val="subscript"/>
        <sz val="10"/>
        <rFont val="Times New Roman"/>
        <family val="1"/>
      </rPr>
      <t>2</t>
    </r>
  </si>
  <si>
    <r>
      <t>vol</t>
    </r>
    <r>
      <rPr>
        <sz val="10"/>
        <color indexed="10"/>
        <rFont val="ＭＳ 明朝"/>
        <family val="1"/>
        <charset val="128"/>
      </rPr>
      <t>％</t>
    </r>
  </si>
  <si>
    <r>
      <t>O</t>
    </r>
    <r>
      <rPr>
        <vertAlign val="subscript"/>
        <sz val="10"/>
        <rFont val="Times New Roman"/>
        <family val="1"/>
      </rPr>
      <t>2</t>
    </r>
  </si>
  <si>
    <t>CO</t>
    <phoneticPr fontId="3"/>
  </si>
  <si>
    <r>
      <t>N</t>
    </r>
    <r>
      <rPr>
        <vertAlign val="subscript"/>
        <sz val="10"/>
        <rFont val="Times New Roman"/>
        <family val="1"/>
      </rPr>
      <t>2</t>
    </r>
  </si>
  <si>
    <t>Moisture content</t>
    <phoneticPr fontId="3"/>
  </si>
  <si>
    <r>
      <t>X</t>
    </r>
    <r>
      <rPr>
        <vertAlign val="subscript"/>
        <sz val="10"/>
        <rFont val="Times New Roman"/>
        <family val="1"/>
      </rPr>
      <t>w</t>
    </r>
  </si>
  <si>
    <r>
      <t>C</t>
    </r>
    <r>
      <rPr>
        <vertAlign val="subscript"/>
        <sz val="10"/>
        <rFont val="Times New Roman"/>
        <family val="1"/>
      </rPr>
      <t>s</t>
    </r>
  </si>
  <si>
    <t>Actual value</t>
    <phoneticPr fontId="3"/>
  </si>
  <si>
    <r>
      <t xml:space="preserve">Sulfur dioxide concentration
</t>
    </r>
    <r>
      <rPr>
        <sz val="9"/>
        <rFont val="Times New Roman"/>
        <family val="1"/>
      </rPr>
      <t>(Continuous measuring method)</t>
    </r>
  </si>
  <si>
    <t>Sulfur oxides emission amount</t>
    <phoneticPr fontId="3"/>
  </si>
  <si>
    <r>
      <t xml:space="preserve">Nitrogen oxides concentration
</t>
    </r>
    <r>
      <rPr>
        <sz val="9"/>
        <rFont val="Times New Roman"/>
        <family val="1"/>
      </rPr>
      <t>(Continuous measuring method)</t>
    </r>
  </si>
  <si>
    <r>
      <t xml:space="preserve">Carbon monoxide concentration
</t>
    </r>
    <r>
      <rPr>
        <sz val="9"/>
        <rFont val="Times New Roman"/>
        <family val="1"/>
      </rPr>
      <t>(Continuous measuring method)</t>
    </r>
  </si>
  <si>
    <r>
      <t xml:space="preserve">Carbon dioxide concentration
</t>
    </r>
    <r>
      <rPr>
        <sz val="8"/>
        <rFont val="Times New Roman"/>
        <family val="1"/>
      </rPr>
      <t>(Continuous analysis method)</t>
    </r>
  </si>
  <si>
    <t>Conversion value</t>
    <phoneticPr fontId="4"/>
  </si>
  <si>
    <r>
      <t xml:space="preserve">Oxygen concentration
</t>
    </r>
    <r>
      <rPr>
        <sz val="8"/>
        <rFont val="Times New Roman"/>
        <family val="1"/>
      </rPr>
      <t>(Continuous analysis method)</t>
    </r>
  </si>
  <si>
    <r>
      <t>O</t>
    </r>
    <r>
      <rPr>
        <vertAlign val="subscript"/>
        <sz val="10"/>
        <rFont val="Times New Roman"/>
        <family val="1"/>
      </rPr>
      <t>s</t>
    </r>
  </si>
  <si>
    <r>
      <t>Type of facility</t>
    </r>
    <r>
      <rPr>
        <sz val="10"/>
        <rFont val="ＭＳ Ｐ明朝"/>
        <family val="1"/>
        <charset val="128"/>
      </rPr>
      <t>：</t>
    </r>
  </si>
  <si>
    <r>
      <t>Note: The unit represent the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</t>
    </r>
  </si>
  <si>
    <t>DRAWING OF MEASURING POINT MEASURING LOCATION</t>
  </si>
  <si>
    <t>Diagram 1: Measuring position</t>
  </si>
  <si>
    <t>Diagram 2: Detailed measurement point drawing</t>
  </si>
  <si>
    <t>Diameter of duct 2R (m):</t>
  </si>
  <si>
    <t>Distance from center of duct to measuring point (m)</t>
    <phoneticPr fontId="5"/>
  </si>
  <si>
    <r>
      <t>r</t>
    </r>
    <r>
      <rPr>
        <vertAlign val="subscript"/>
        <sz val="11"/>
        <rFont val="Times New Roman"/>
        <family val="1"/>
      </rPr>
      <t>1</t>
    </r>
    <r>
      <rPr>
        <sz val="11"/>
        <rFont val="Times New Roman"/>
        <family val="1"/>
      </rPr>
      <t>( 0.500R)=</t>
    </r>
  </si>
  <si>
    <r>
      <t>r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(0.866R)=</t>
    </r>
  </si>
  <si>
    <t>Sectional area of duct at measuring position A (m)</t>
  </si>
  <si>
    <t>ESP</t>
  </si>
  <si>
    <t>My Loc Commune, Thai Thuy District, Thai Binh Province, Viet Nam</t>
  </si>
  <si>
    <t>4.5m x 3.0m</t>
  </si>
  <si>
    <t>Coal</t>
  </si>
  <si>
    <t>ESP Inlet</t>
  </si>
  <si>
    <r>
      <t xml:space="preserve"> (1) Units of volume are under standard condition (25</t>
    </r>
    <r>
      <rPr>
        <sz val="10"/>
        <rFont val="ＭＳ 明朝"/>
        <family val="1"/>
        <charset val="128"/>
      </rPr>
      <t>℃</t>
    </r>
    <r>
      <rPr>
        <sz val="10"/>
        <rFont val="Times New Roman"/>
        <family val="1"/>
      </rPr>
      <t>,101.32kPa).
 (2) Refer to table of measurement result in next page relating to general items such as flow rate etc which show flue gas property.</t>
    </r>
  </si>
  <si>
    <t>C-2</t>
  </si>
  <si>
    <t>B-1</t>
  </si>
  <si>
    <t>B-2</t>
  </si>
  <si>
    <t>B-3</t>
  </si>
  <si>
    <t>C-1</t>
  </si>
  <si>
    <t>D-1</t>
  </si>
  <si>
    <t>C-3</t>
  </si>
  <si>
    <t>D-2</t>
  </si>
  <si>
    <t>D-3</t>
  </si>
  <si>
    <t>023</t>
  </si>
  <si>
    <t>■</t>
  </si>
  <si>
    <t>B-1~3</t>
  </si>
  <si>
    <t>C-1~3</t>
  </si>
  <si>
    <t>D-1~3</t>
  </si>
  <si>
    <r>
      <t>g/m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N</t>
    </r>
  </si>
  <si>
    <t>A-1</t>
  </si>
  <si>
    <t>A-2</t>
  </si>
  <si>
    <t>A-3</t>
  </si>
  <si>
    <t>E-1</t>
  </si>
  <si>
    <t>E-2</t>
  </si>
  <si>
    <t>E-3</t>
  </si>
  <si>
    <t>□</t>
  </si>
  <si>
    <t>A-1~3</t>
  </si>
  <si>
    <t>E-1~3</t>
  </si>
  <si>
    <t>ESP FLUE GAS MEASUREMENT DATA SHEET</t>
  </si>
  <si>
    <t>INLET - Duct A</t>
  </si>
  <si>
    <t>INLET - Duct B</t>
  </si>
  <si>
    <t>OUTLET - Duct A</t>
  </si>
  <si>
    <t>OUTLET - Duct B</t>
  </si>
  <si>
    <t>ESP PERFORMANCE TEST</t>
  </si>
  <si>
    <t>DRAWING OF MEASURING POINT</t>
  </si>
  <si>
    <t>Recorded by</t>
  </si>
  <si>
    <r>
      <t>kg/Nm</t>
    </r>
    <r>
      <rPr>
        <vertAlign val="superscript"/>
        <sz val="10"/>
        <rFont val="Arial"/>
        <family val="2"/>
      </rPr>
      <t>3</t>
    </r>
  </si>
  <si>
    <r>
      <t>Nm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</si>
  <si>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MM-G-01.01</t>
  </si>
  <si>
    <t>Enacted date</t>
  </si>
  <si>
    <r>
      <t>Nm</t>
    </r>
    <r>
      <rPr>
        <vertAlign val="superscript"/>
        <sz val="8"/>
        <rFont val="Arial"/>
        <family val="2"/>
      </rPr>
      <t>3</t>
    </r>
  </si>
  <si>
    <r>
      <t>g/Nm</t>
    </r>
    <r>
      <rPr>
        <vertAlign val="superscript"/>
        <sz val="8"/>
        <rFont val="Arial"/>
        <family val="2"/>
      </rPr>
      <t>3</t>
    </r>
  </si>
  <si>
    <t>MM-G-02.01</t>
  </si>
  <si>
    <t>Technical department</t>
  </si>
  <si>
    <t>300MW</t>
  </si>
  <si>
    <t>Hoai, Khanh, Anh</t>
  </si>
  <si>
    <t>DVM －013 －004</t>
  </si>
  <si>
    <t>DVM －016 －004</t>
  </si>
  <si>
    <t>DVM － 027 －010</t>
  </si>
  <si>
    <t>004</t>
  </si>
  <si>
    <t>DVM － 010  －005</t>
  </si>
  <si>
    <t>DVM － 172  －024</t>
  </si>
  <si>
    <t>CVM － 018  －026</t>
  </si>
  <si>
    <t>DVM － 045  －</t>
  </si>
  <si>
    <t>Khanh, Anh</t>
  </si>
  <si>
    <t>DVM － 013  －003</t>
  </si>
  <si>
    <t>DVM － 027 －009</t>
  </si>
  <si>
    <t>DVM －013 －003</t>
  </si>
  <si>
    <t>Dung, Tuyen</t>
  </si>
  <si>
    <t>Unit 2 ESP Outlet Duct A</t>
  </si>
  <si>
    <t>Unit 2 ESP Outlet Duct B</t>
  </si>
  <si>
    <t>Unit 2 ESP Inlet Duct A</t>
  </si>
  <si>
    <t>DVM －045 －003</t>
  </si>
  <si>
    <t>D2    －013 －090</t>
  </si>
  <si>
    <t>DVM － 027 －002</t>
  </si>
  <si>
    <t>DVM －045 －001</t>
  </si>
  <si>
    <t>DVM － 010  －004</t>
  </si>
  <si>
    <t>DVM － 172  －020</t>
  </si>
  <si>
    <t>CVM － 018  －024</t>
  </si>
  <si>
    <t>003</t>
  </si>
  <si>
    <t>D2     － 013  －090</t>
  </si>
  <si>
    <t>Unit 2 ESP Inlet Duct B</t>
  </si>
  <si>
    <t>DVM － 027 －007</t>
  </si>
  <si>
    <t>Tuyen</t>
  </si>
  <si>
    <t>D2    － 013  －085</t>
  </si>
  <si>
    <t>Dung</t>
  </si>
  <si>
    <t>D2    －013 －085</t>
  </si>
  <si>
    <t>12-Feb-2018</t>
  </si>
  <si>
    <r>
      <t>g/Nm</t>
    </r>
    <r>
      <rPr>
        <vertAlign val="superscript"/>
        <sz val="11"/>
        <rFont val="Arial"/>
        <family val="2"/>
      </rPr>
      <t>3</t>
    </r>
  </si>
  <si>
    <t>DVM － 013  －003,004,090</t>
  </si>
  <si>
    <t>DVM － 027 －002,008,009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</si>
</sst>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(* #,##0.00_);_(* \(#,##0.00\);_(* &quot;-&quot;??_);_(@_)"/>
    <numFmt numFmtId="164" formatCode="[$-409]d\-mmm\-yyyy;@"/>
    <numFmt numFmtId="165" formatCode="0.0"/>
    <numFmt numFmtId="166" formatCode="0.000"/>
    <numFmt numFmtId="167" formatCode="0.0000"/>
    <numFmt numFmtId="168" formatCode="0.0\ &quot;kPa&quot;"/>
    <numFmt numFmtId="169" formatCode="[$-409]d\-mmm\-yy;@"/>
    <numFmt numFmtId="170" formatCode="0.00&quot; ㎡&quot;"/>
    <numFmt numFmtId="171" formatCode="0.00&quot; m&quot;"/>
    <numFmt numFmtId="172" formatCode="[$-411]ggge&quot;年&quot;m&quot;月&quot;d&quot;日&quot;;@"/>
    <numFmt numFmtId="173" formatCode="\+0;\-0;0"/>
    <numFmt numFmtId="174" formatCode="0.0&quot; m&quot;"/>
    <numFmt numFmtId="175" formatCode="0.000&quot; ㎡&quot;"/>
    <numFmt numFmtId="176" formatCode="0.000&quot; m&quot;"/>
    <numFmt numFmtId="177" formatCode="0.00000"/>
  </numFmts>
  <fonts count="56">
    <font>
      <sz val="11"/>
      <name val="ＭＳ 明朝"/>
      <family val="1"/>
      <charset val="128"/>
    </font>
    <font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i/>
      <vertAlign val="subscript"/>
      <sz val="8"/>
      <name val="Arial"/>
      <family val="2"/>
    </font>
    <font>
      <sz val="11"/>
      <name val="ＭＳ 明朝"/>
      <family val="1"/>
      <charset val="128"/>
    </font>
    <font>
      <sz val="9"/>
      <color theme="1"/>
      <name val="Arial"/>
      <family val="2"/>
    </font>
    <font>
      <sz val="18"/>
      <name val="Arial"/>
      <family val="2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sz val="10"/>
      <color theme="0"/>
      <name val="Arial"/>
      <family val="2"/>
    </font>
    <font>
      <sz val="11"/>
      <color indexed="12"/>
      <name val="Times New Roman"/>
      <family val="1"/>
    </font>
    <font>
      <sz val="14"/>
      <name val="Times New Roman"/>
      <family val="1"/>
    </font>
    <font>
      <sz val="11"/>
      <color indexed="10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vertAlign val="superscript"/>
      <sz val="11"/>
      <name val="Times New Roman"/>
      <family val="1"/>
    </font>
    <font>
      <sz val="8"/>
      <name val="Times New Roman"/>
      <family val="1"/>
    </font>
    <font>
      <sz val="10"/>
      <color indexed="10"/>
      <name val="Times New Roman"/>
      <family val="1"/>
    </font>
    <font>
      <sz val="22"/>
      <name val="Times New Roman"/>
      <family val="1"/>
    </font>
    <font>
      <sz val="10"/>
      <name val="Times New Roman"/>
      <family val="1"/>
    </font>
    <font>
      <sz val="10"/>
      <name val="ＭＳ 明朝"/>
      <family val="1"/>
      <charset val="128"/>
    </font>
    <font>
      <sz val="12"/>
      <name val="Times New Roman"/>
      <family val="1"/>
    </font>
    <font>
      <sz val="12"/>
      <color indexed="12"/>
      <name val="Times New Roman"/>
      <family val="1"/>
    </font>
    <font>
      <sz val="10"/>
      <color indexed="10"/>
      <name val="ＭＳ 明朝"/>
      <family val="1"/>
      <charset val="128"/>
    </font>
    <font>
      <sz val="9"/>
      <color indexed="1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ＭＳ 明朝"/>
      <family val="1"/>
      <charset val="128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b/>
      <u/>
      <sz val="16"/>
      <name val="Times New Roman"/>
      <family val="1"/>
    </font>
    <font>
      <u/>
      <sz val="11"/>
      <name val="Times New Roman"/>
      <family val="1"/>
    </font>
    <font>
      <sz val="10"/>
      <color indexed="12"/>
      <name val="Times New Roman"/>
      <family val="1"/>
    </font>
    <font>
      <sz val="10"/>
      <color indexed="12"/>
      <name val="ＭＳ 明朝"/>
      <family val="1"/>
      <charset val="128"/>
    </font>
    <font>
      <sz val="9"/>
      <name val="Times New Roman"/>
      <family val="1"/>
    </font>
    <font>
      <sz val="10"/>
      <name val="ＭＳ Ｐ明朝"/>
      <family val="1"/>
      <charset val="128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6"/>
      <name val="Times New Roman"/>
      <family val="1"/>
    </font>
    <font>
      <vertAlign val="subscript"/>
      <sz val="11"/>
      <name val="Times New Roman"/>
      <family val="1"/>
    </font>
    <font>
      <sz val="10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gray125">
        <fgColor indexed="12"/>
      </patternFill>
    </fill>
    <fill>
      <patternFill patternType="lightGray">
        <fgColor indexed="34"/>
      </patternFill>
    </fill>
  </fills>
  <borders count="1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 diagonalUp="1">
      <left/>
      <right/>
      <top style="medium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medium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/>
      <diagonal style="hair">
        <color indexed="64"/>
      </diagonal>
    </border>
    <border diagonalUp="1">
      <left/>
      <right/>
      <top/>
      <bottom/>
      <diagonal style="hair">
        <color indexed="64"/>
      </diagonal>
    </border>
    <border diagonalUp="1">
      <left/>
      <right style="thin">
        <color indexed="64"/>
      </right>
      <top/>
      <bottom/>
      <diagonal style="hair">
        <color indexed="64"/>
      </diagonal>
    </border>
    <border diagonalUp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Up="1">
      <left/>
      <right/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 diagonalUp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/>
      <bottom/>
      <diagonal style="hair">
        <color indexed="64"/>
      </diagonal>
    </border>
    <border diagonalUp="1">
      <left style="thin">
        <color indexed="64"/>
      </left>
      <right/>
      <top/>
      <bottom/>
      <diagonal style="hair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 diagonalUp="1">
      <left/>
      <right/>
      <top style="thin">
        <color indexed="64"/>
      </top>
      <bottom/>
      <diagonal style="hair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Up="1">
      <left/>
      <right style="medium">
        <color indexed="64"/>
      </right>
      <top style="thin">
        <color indexed="64"/>
      </top>
      <bottom/>
      <diagonal style="hair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Up="1">
      <left/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16" fillId="0" borderId="0"/>
  </cellStyleXfs>
  <cellXfs count="105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2" fillId="0" borderId="0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 applyBorder="1">
      <alignment vertical="center"/>
    </xf>
    <xf numFmtId="0" fontId="1" fillId="0" borderId="41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39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73" xfId="0" applyFont="1" applyBorder="1">
      <alignment vertical="center"/>
    </xf>
    <xf numFmtId="0" fontId="6" fillId="0" borderId="14" xfId="0" applyFont="1" applyBorder="1">
      <alignment vertical="center"/>
    </xf>
    <xf numFmtId="14" fontId="17" fillId="0" borderId="87" xfId="0" applyNumberFormat="1" applyFont="1" applyBorder="1" applyAlignment="1">
      <alignment vertical="center" wrapText="1"/>
    </xf>
    <xf numFmtId="0" fontId="6" fillId="0" borderId="0" xfId="0" applyFont="1">
      <alignment vertical="center"/>
    </xf>
    <xf numFmtId="0" fontId="1" fillId="0" borderId="50" xfId="0" applyFont="1" applyBorder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9" fillId="0" borderId="0" xfId="5" applyFont="1"/>
    <xf numFmtId="0" fontId="19" fillId="0" borderId="71" xfId="5" applyFont="1" applyBorder="1"/>
    <xf numFmtId="0" fontId="19" fillId="0" borderId="49" xfId="5" applyFont="1" applyBorder="1" applyAlignment="1">
      <alignment horizontal="center" vertical="center" shrinkToFit="1"/>
    </xf>
    <xf numFmtId="0" fontId="19" fillId="0" borderId="49" xfId="5" applyFont="1" applyBorder="1" applyAlignment="1">
      <alignment horizontal="center" vertical="center" wrapText="1"/>
    </xf>
    <xf numFmtId="0" fontId="19" fillId="0" borderId="49" xfId="5" applyFont="1" applyBorder="1" applyAlignment="1">
      <alignment horizontal="center" vertical="center"/>
    </xf>
    <xf numFmtId="0" fontId="19" fillId="0" borderId="22" xfId="5" applyFont="1" applyBorder="1"/>
    <xf numFmtId="0" fontId="19" fillId="0" borderId="45" xfId="5" applyFont="1" applyBorder="1" applyAlignment="1">
      <alignment horizontal="center" vertical="center" shrinkToFit="1"/>
    </xf>
    <xf numFmtId="0" fontId="19" fillId="0" borderId="45" xfId="5" applyFont="1" applyBorder="1" applyAlignment="1">
      <alignment horizontal="center" vertical="center" wrapText="1"/>
    </xf>
    <xf numFmtId="0" fontId="19" fillId="0" borderId="45" xfId="5" applyFont="1" applyBorder="1" applyAlignment="1">
      <alignment horizontal="center" vertical="center"/>
    </xf>
    <xf numFmtId="0" fontId="19" fillId="0" borderId="0" xfId="5" applyFont="1" applyBorder="1" applyAlignment="1">
      <alignment horizontal="center"/>
    </xf>
    <xf numFmtId="0" fontId="19" fillId="2" borderId="98" xfId="5" applyFont="1" applyFill="1" applyBorder="1"/>
    <xf numFmtId="0" fontId="19" fillId="2" borderId="99" xfId="5" applyFont="1" applyFill="1" applyBorder="1" applyAlignment="1">
      <alignment shrinkToFit="1"/>
    </xf>
    <xf numFmtId="0" fontId="19" fillId="2" borderId="99" xfId="5" applyFont="1" applyFill="1" applyBorder="1"/>
    <xf numFmtId="0" fontId="19" fillId="0" borderId="0" xfId="5" applyFont="1" applyBorder="1"/>
    <xf numFmtId="0" fontId="19" fillId="2" borderId="100" xfId="5" applyFont="1" applyFill="1" applyBorder="1"/>
    <xf numFmtId="0" fontId="19" fillId="2" borderId="101" xfId="5" applyFont="1" applyFill="1" applyBorder="1" applyAlignment="1">
      <alignment shrinkToFit="1"/>
    </xf>
    <xf numFmtId="0" fontId="19" fillId="2" borderId="101" xfId="5" applyFont="1" applyFill="1" applyBorder="1"/>
    <xf numFmtId="0" fontId="19" fillId="0" borderId="98" xfId="5" applyFont="1" applyBorder="1"/>
    <xf numFmtId="0" fontId="19" fillId="0" borderId="98" xfId="5" applyFont="1" applyBorder="1" applyAlignment="1">
      <alignment shrinkToFit="1"/>
    </xf>
    <xf numFmtId="0" fontId="19" fillId="0" borderId="99" xfId="5" applyFont="1" applyBorder="1"/>
    <xf numFmtId="0" fontId="19" fillId="0" borderId="102" xfId="5" applyFont="1" applyBorder="1"/>
    <xf numFmtId="0" fontId="19" fillId="0" borderId="102" xfId="5" applyFont="1" applyBorder="1" applyAlignment="1">
      <alignment shrinkToFit="1"/>
    </xf>
    <xf numFmtId="0" fontId="19" fillId="0" borderId="103" xfId="5" applyFont="1" applyBorder="1"/>
    <xf numFmtId="0" fontId="19" fillId="0" borderId="100" xfId="5" applyFont="1" applyBorder="1"/>
    <xf numFmtId="0" fontId="19" fillId="0" borderId="100" xfId="5" applyFont="1" applyBorder="1" applyAlignment="1">
      <alignment shrinkToFit="1"/>
    </xf>
    <xf numFmtId="0" fontId="19" fillId="0" borderId="101" xfId="5" applyFont="1" applyBorder="1"/>
    <xf numFmtId="0" fontId="19" fillId="2" borderId="102" xfId="5" applyFont="1" applyFill="1" applyBorder="1"/>
    <xf numFmtId="0" fontId="19" fillId="2" borderId="103" xfId="5" applyFont="1" applyFill="1" applyBorder="1" applyAlignment="1">
      <alignment shrinkToFit="1"/>
    </xf>
    <xf numFmtId="0" fontId="19" fillId="2" borderId="103" xfId="5" applyFont="1" applyFill="1" applyBorder="1"/>
    <xf numFmtId="0" fontId="19" fillId="0" borderId="99" xfId="5" applyFont="1" applyBorder="1" applyAlignment="1">
      <alignment shrinkToFit="1"/>
    </xf>
    <xf numFmtId="0" fontId="19" fillId="0" borderId="103" xfId="5" applyFont="1" applyBorder="1" applyAlignment="1">
      <alignment shrinkToFit="1"/>
    </xf>
    <xf numFmtId="0" fontId="19" fillId="0" borderId="101" xfId="5" applyFont="1" applyBorder="1" applyAlignment="1">
      <alignment shrinkToFit="1"/>
    </xf>
    <xf numFmtId="0" fontId="19" fillId="0" borderId="104" xfId="5" applyFont="1" applyBorder="1" applyAlignment="1">
      <alignment wrapText="1"/>
    </xf>
    <xf numFmtId="0" fontId="19" fillId="0" borderId="45" xfId="5" applyFont="1" applyBorder="1" applyAlignment="1">
      <alignment shrinkToFit="1"/>
    </xf>
    <xf numFmtId="0" fontId="19" fillId="0" borderId="45" xfId="5" applyFont="1" applyBorder="1"/>
    <xf numFmtId="0" fontId="19" fillId="2" borderId="99" xfId="5" applyFont="1" applyFill="1" applyBorder="1" applyAlignment="1">
      <alignment wrapText="1" shrinkToFit="1"/>
    </xf>
    <xf numFmtId="0" fontId="19" fillId="2" borderId="105" xfId="5" applyFont="1" applyFill="1" applyBorder="1"/>
    <xf numFmtId="0" fontId="19" fillId="2" borderId="106" xfId="5" applyFont="1" applyFill="1" applyBorder="1" applyAlignment="1">
      <alignment wrapText="1" shrinkToFit="1"/>
    </xf>
    <xf numFmtId="0" fontId="19" fillId="2" borderId="106" xfId="5" applyFont="1" applyFill="1" applyBorder="1"/>
    <xf numFmtId="0" fontId="19" fillId="0" borderId="0" xfId="5" applyFont="1" applyAlignment="1">
      <alignment shrinkToFit="1"/>
    </xf>
    <xf numFmtId="0" fontId="8" fillId="0" borderId="0" xfId="0" applyFont="1" applyBorder="1" applyAlignment="1">
      <alignment horizontal="center" vertical="center"/>
    </xf>
    <xf numFmtId="2" fontId="1" fillId="0" borderId="0" xfId="0" applyNumberFormat="1" applyFont="1">
      <alignment vertical="center"/>
    </xf>
    <xf numFmtId="2" fontId="8" fillId="0" borderId="91" xfId="0" applyNumberFormat="1" applyFont="1" applyBorder="1" applyAlignment="1">
      <alignment vertical="center"/>
    </xf>
    <xf numFmtId="2" fontId="8" fillId="0" borderId="92" xfId="0" applyNumberFormat="1" applyFont="1" applyBorder="1" applyAlignment="1">
      <alignment vertical="center"/>
    </xf>
    <xf numFmtId="2" fontId="8" fillId="0" borderId="14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93" xfId="0" applyNumberFormat="1" applyFont="1" applyBorder="1" applyAlignment="1">
      <alignment vertical="center"/>
    </xf>
    <xf numFmtId="2" fontId="8" fillId="0" borderId="45" xfId="0" applyNumberFormat="1" applyFont="1" applyBorder="1" applyAlignment="1">
      <alignment vertical="center"/>
    </xf>
    <xf numFmtId="2" fontId="8" fillId="0" borderId="68" xfId="0" applyNumberFormat="1" applyFont="1" applyBorder="1" applyAlignment="1">
      <alignment vertical="center"/>
    </xf>
    <xf numFmtId="2" fontId="8" fillId="0" borderId="69" xfId="0" applyNumberFormat="1" applyFont="1" applyBorder="1" applyAlignment="1">
      <alignment vertical="center"/>
    </xf>
    <xf numFmtId="2" fontId="8" fillId="0" borderId="125" xfId="0" applyNumberFormat="1" applyFont="1" applyBorder="1" applyAlignment="1">
      <alignment vertical="center"/>
    </xf>
    <xf numFmtId="2" fontId="8" fillId="0" borderId="114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128" xfId="0" applyNumberFormat="1" applyFont="1" applyBorder="1" applyAlignment="1">
      <alignment vertical="center"/>
    </xf>
    <xf numFmtId="2" fontId="8" fillId="0" borderId="94" xfId="0" applyNumberFormat="1" applyFont="1" applyBorder="1" applyAlignment="1">
      <alignment vertical="center"/>
    </xf>
    <xf numFmtId="2" fontId="8" fillId="0" borderId="15" xfId="0" applyNumberFormat="1" applyFont="1" applyBorder="1" applyAlignment="1">
      <alignment vertical="center"/>
    </xf>
    <xf numFmtId="2" fontId="8" fillId="0" borderId="70" xfId="0" applyNumberFormat="1" applyFont="1" applyBorder="1" applyAlignment="1">
      <alignment vertical="center"/>
    </xf>
    <xf numFmtId="1" fontId="8" fillId="0" borderId="0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9" fillId="0" borderId="0" xfId="6" applyFont="1"/>
    <xf numFmtId="0" fontId="19" fillId="0" borderId="71" xfId="6" applyFont="1" applyBorder="1" applyAlignment="1">
      <alignment horizontal="center" vertical="center"/>
    </xf>
    <xf numFmtId="0" fontId="19" fillId="0" borderId="33" xfId="6" applyFont="1" applyBorder="1" applyAlignment="1">
      <alignment horizontal="left" vertical="center"/>
    </xf>
    <xf numFmtId="0" fontId="19" fillId="0" borderId="39" xfId="6" applyFont="1" applyBorder="1" applyAlignment="1">
      <alignment horizontal="left" vertical="center"/>
    </xf>
    <xf numFmtId="0" fontId="19" fillId="0" borderId="51" xfId="6" applyFont="1" applyBorder="1" applyAlignment="1">
      <alignment horizontal="left" vertical="center"/>
    </xf>
    <xf numFmtId="14" fontId="19" fillId="0" borderId="0" xfId="6" applyNumberFormat="1" applyFont="1"/>
    <xf numFmtId="0" fontId="19" fillId="0" borderId="129" xfId="6" applyFont="1" applyBorder="1" applyAlignment="1">
      <alignment horizontal="center" vertical="center"/>
    </xf>
    <xf numFmtId="0" fontId="19" fillId="0" borderId="34" xfId="6" applyFont="1" applyBorder="1" applyAlignment="1">
      <alignment horizontal="left" vertical="center"/>
    </xf>
    <xf numFmtId="0" fontId="19" fillId="0" borderId="66" xfId="6" applyFont="1" applyBorder="1" applyAlignment="1">
      <alignment horizontal="left" vertical="center"/>
    </xf>
    <xf numFmtId="166" fontId="24" fillId="3" borderId="25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horizontal="left" vertical="center"/>
    </xf>
    <xf numFmtId="0" fontId="24" fillId="3" borderId="25" xfId="6" applyFont="1" applyFill="1" applyBorder="1" applyAlignment="1" applyProtection="1">
      <alignment vertical="center"/>
      <protection locked="0"/>
    </xf>
    <xf numFmtId="0" fontId="25" fillId="0" borderId="0" xfId="6" applyFont="1"/>
    <xf numFmtId="0" fontId="25" fillId="0" borderId="0" xfId="6" applyFont="1" applyBorder="1" applyAlignment="1">
      <alignment horizontal="center"/>
    </xf>
    <xf numFmtId="0" fontId="19" fillId="0" borderId="34" xfId="6" applyFont="1" applyBorder="1" applyAlignment="1">
      <alignment horizontal="center" vertical="center"/>
    </xf>
    <xf numFmtId="0" fontId="19" fillId="0" borderId="23" xfId="6" applyFont="1" applyBorder="1" applyAlignment="1">
      <alignment horizontal="center" vertical="center"/>
    </xf>
    <xf numFmtId="165" fontId="24" fillId="3" borderId="46" xfId="6" applyNumberFormat="1" applyFont="1" applyFill="1" applyBorder="1" applyAlignment="1" applyProtection="1">
      <alignment vertical="center"/>
      <protection locked="0"/>
    </xf>
    <xf numFmtId="0" fontId="19" fillId="0" borderId="23" xfId="6" applyFont="1" applyBorder="1" applyAlignment="1">
      <alignment vertical="center"/>
    </xf>
    <xf numFmtId="0" fontId="19" fillId="0" borderId="60" xfId="6" applyFont="1" applyFill="1" applyBorder="1" applyAlignment="1" applyProtection="1">
      <alignment horizontal="center"/>
      <protection locked="0"/>
    </xf>
    <xf numFmtId="0" fontId="19" fillId="0" borderId="60" xfId="6" applyFont="1" applyFill="1" applyBorder="1" applyAlignment="1" applyProtection="1">
      <alignment horizontal="center" vertical="center"/>
      <protection locked="0"/>
    </xf>
    <xf numFmtId="0" fontId="19" fillId="0" borderId="29" xfId="6" applyFont="1" applyBorder="1" applyAlignment="1">
      <alignment horizontal="center" vertical="center"/>
    </xf>
    <xf numFmtId="0" fontId="19" fillId="0" borderId="35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165" fontId="24" fillId="3" borderId="12" xfId="6" applyNumberFormat="1" applyFont="1" applyFill="1" applyBorder="1" applyAlignment="1" applyProtection="1">
      <alignment vertical="center"/>
      <protection locked="0"/>
    </xf>
    <xf numFmtId="0" fontId="19" fillId="0" borderId="10" xfId="6" applyFont="1" applyBorder="1" applyAlignment="1">
      <alignment vertical="center"/>
    </xf>
    <xf numFmtId="0" fontId="19" fillId="0" borderId="0" xfId="6" applyFont="1" applyAlignment="1">
      <alignment horizontal="center"/>
    </xf>
    <xf numFmtId="0" fontId="19" fillId="0" borderId="0" xfId="6" applyFont="1" applyBorder="1" applyAlignment="1">
      <alignment horizontal="center"/>
    </xf>
    <xf numFmtId="0" fontId="26" fillId="0" borderId="0" xfId="6" applyFont="1"/>
    <xf numFmtId="0" fontId="19" fillId="0" borderId="0" xfId="6" applyFont="1" applyAlignment="1">
      <alignment horizontal="left"/>
    </xf>
    <xf numFmtId="0" fontId="19" fillId="0" borderId="0" xfId="6" applyNumberFormat="1" applyFont="1"/>
    <xf numFmtId="0" fontId="19" fillId="0" borderId="0" xfId="6" applyFont="1" applyBorder="1"/>
    <xf numFmtId="0" fontId="24" fillId="0" borderId="20" xfId="6" applyFont="1" applyBorder="1" applyAlignment="1">
      <alignment horizontal="left" vertical="center"/>
    </xf>
    <xf numFmtId="0" fontId="24" fillId="0" borderId="9" xfId="6" applyFont="1" applyBorder="1"/>
    <xf numFmtId="0" fontId="19" fillId="0" borderId="9" xfId="6" applyFont="1" applyBorder="1"/>
    <xf numFmtId="0" fontId="27" fillId="0" borderId="9" xfId="6" quotePrefix="1" applyFont="1" applyBorder="1" applyAlignment="1">
      <alignment horizontal="center"/>
    </xf>
    <xf numFmtId="0" fontId="19" fillId="0" borderId="9" xfId="6" applyFont="1" applyBorder="1" applyAlignment="1">
      <alignment horizontal="centerContinuous"/>
    </xf>
    <xf numFmtId="0" fontId="19" fillId="0" borderId="21" xfId="6" applyFont="1" applyBorder="1"/>
    <xf numFmtId="0" fontId="24" fillId="0" borderId="59" xfId="6" applyFont="1" applyBorder="1" applyAlignment="1">
      <alignment horizontal="left" vertical="center"/>
    </xf>
    <xf numFmtId="0" fontId="24" fillId="0" borderId="59" xfId="6" applyFont="1" applyBorder="1"/>
    <xf numFmtId="0" fontId="19" fillId="0" borderId="27" xfId="6" applyFont="1" applyBorder="1"/>
    <xf numFmtId="0" fontId="27" fillId="0" borderId="27" xfId="6" quotePrefix="1" applyFont="1" applyBorder="1" applyAlignment="1">
      <alignment horizontal="center"/>
    </xf>
    <xf numFmtId="0" fontId="19" fillId="0" borderId="27" xfId="6" applyFont="1" applyBorder="1" applyAlignment="1">
      <alignment horizontal="centerContinuous"/>
    </xf>
    <xf numFmtId="0" fontId="19" fillId="0" borderId="28" xfId="6" applyFont="1" applyBorder="1"/>
    <xf numFmtId="0" fontId="19" fillId="0" borderId="27" xfId="6" applyFont="1" applyBorder="1" applyAlignment="1">
      <alignment horizontal="center"/>
    </xf>
    <xf numFmtId="0" fontId="28" fillId="0" borderId="59" xfId="6" applyFont="1" applyBorder="1" applyAlignment="1">
      <alignment vertical="center"/>
    </xf>
    <xf numFmtId="0" fontId="24" fillId="0" borderId="27" xfId="6" applyFont="1" applyFill="1" applyBorder="1" applyAlignment="1" applyProtection="1">
      <alignment vertical="center"/>
    </xf>
    <xf numFmtId="0" fontId="19" fillId="0" borderId="0" xfId="6" applyFont="1" applyBorder="1" applyAlignment="1">
      <alignment horizontal="center" vertical="center"/>
    </xf>
    <xf numFmtId="0" fontId="28" fillId="0" borderId="59" xfId="6" applyFont="1" applyBorder="1" applyAlignment="1">
      <alignment horizontal="left" vertical="center"/>
    </xf>
    <xf numFmtId="0" fontId="24" fillId="0" borderId="26" xfId="6" applyFont="1" applyBorder="1" applyAlignment="1">
      <alignment vertical="center"/>
    </xf>
    <xf numFmtId="0" fontId="24" fillId="0" borderId="27" xfId="6" applyFont="1" applyBorder="1" applyAlignment="1">
      <alignment vertical="center" shrinkToFit="1"/>
    </xf>
    <xf numFmtId="0" fontId="19" fillId="0" borderId="58" xfId="6" applyFont="1" applyBorder="1" applyAlignment="1">
      <alignment horizontal="right"/>
    </xf>
    <xf numFmtId="0" fontId="19" fillId="0" borderId="72" xfId="6" applyFont="1" applyBorder="1" applyAlignment="1">
      <alignment horizontal="right"/>
    </xf>
    <xf numFmtId="0" fontId="24" fillId="0" borderId="59" xfId="6" applyFont="1" applyBorder="1" applyAlignment="1"/>
    <xf numFmtId="0" fontId="24" fillId="0" borderId="59" xfId="6" applyFont="1" applyBorder="1" applyAlignment="1">
      <alignment horizontal="centerContinuous"/>
    </xf>
    <xf numFmtId="0" fontId="19" fillId="0" borderId="45" xfId="6" applyFont="1" applyBorder="1" applyAlignment="1">
      <alignment horizontal="center" vertical="center"/>
    </xf>
    <xf numFmtId="0" fontId="19" fillId="0" borderId="45" xfId="6" applyFont="1" applyFill="1" applyBorder="1" applyAlignment="1"/>
    <xf numFmtId="0" fontId="19" fillId="0" borderId="27" xfId="6" applyFont="1" applyBorder="1" applyAlignment="1"/>
    <xf numFmtId="0" fontId="28" fillId="0" borderId="26" xfId="6" applyFont="1" applyFill="1" applyBorder="1" applyAlignment="1" applyProtection="1">
      <alignment vertical="center"/>
    </xf>
    <xf numFmtId="170" fontId="28" fillId="0" borderId="59" xfId="6" applyNumberFormat="1" applyFont="1" applyBorder="1" applyAlignment="1">
      <alignment horizontal="left" vertical="center"/>
    </xf>
    <xf numFmtId="0" fontId="24" fillId="0" borderId="59" xfId="6" applyFont="1" applyBorder="1" applyAlignment="1">
      <alignment horizontal="right"/>
    </xf>
    <xf numFmtId="171" fontId="28" fillId="0" borderId="59" xfId="6" applyNumberFormat="1" applyFont="1" applyBorder="1" applyAlignment="1">
      <alignment horizontal="left"/>
    </xf>
    <xf numFmtId="0" fontId="19" fillId="0" borderId="0" xfId="6" applyFont="1" applyBorder="1" applyAlignment="1">
      <alignment horizontal="left" vertical="center"/>
    </xf>
    <xf numFmtId="170" fontId="24" fillId="0" borderId="59" xfId="6" applyNumberFormat="1" applyFont="1" applyBorder="1" applyAlignment="1">
      <alignment horizontal="left" vertical="center"/>
    </xf>
    <xf numFmtId="0" fontId="19" fillId="0" borderId="58" xfId="6" applyFont="1" applyBorder="1" applyAlignment="1">
      <alignment horizontal="right" vertical="center"/>
    </xf>
    <xf numFmtId="0" fontId="24" fillId="0" borderId="27" xfId="6" applyFont="1" applyFill="1" applyBorder="1" applyAlignment="1" applyProtection="1">
      <alignment horizontal="left" vertical="center"/>
    </xf>
    <xf numFmtId="172" fontId="24" fillId="0" borderId="26" xfId="6" applyNumberFormat="1" applyFont="1" applyFill="1" applyBorder="1" applyAlignment="1" applyProtection="1">
      <alignment vertical="center"/>
    </xf>
    <xf numFmtId="172" fontId="24" fillId="0" borderId="27" xfId="6" applyNumberFormat="1" applyFont="1" applyFill="1" applyBorder="1" applyAlignment="1" applyProtection="1">
      <alignment vertical="center"/>
    </xf>
    <xf numFmtId="0" fontId="27" fillId="0" borderId="27" xfId="6" applyFont="1" applyBorder="1" applyAlignment="1">
      <alignment horizont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24" fillId="0" borderId="41" xfId="6" applyFont="1" applyBorder="1" applyAlignment="1">
      <alignment horizontal="left" vertical="center"/>
    </xf>
    <xf numFmtId="0" fontId="24" fillId="0" borderId="41" xfId="6" applyFont="1" applyBorder="1"/>
    <xf numFmtId="0" fontId="19" fillId="0" borderId="13" xfId="6" applyFont="1" applyBorder="1"/>
    <xf numFmtId="0" fontId="19" fillId="0" borderId="32" xfId="6" applyFont="1" applyBorder="1"/>
    <xf numFmtId="0" fontId="31" fillId="0" borderId="0" xfId="3" applyFont="1"/>
    <xf numFmtId="0" fontId="19" fillId="0" borderId="0" xfId="3" applyFont="1"/>
    <xf numFmtId="0" fontId="19" fillId="0" borderId="0" xfId="3" applyFont="1" applyFill="1"/>
    <xf numFmtId="0" fontId="19" fillId="0" borderId="0" xfId="3" applyFont="1" applyFill="1" applyBorder="1" applyAlignment="1" applyProtection="1">
      <alignment horizontal="center"/>
      <protection locked="0"/>
    </xf>
    <xf numFmtId="0" fontId="33" fillId="0" borderId="0" xfId="3" applyFont="1"/>
    <xf numFmtId="0" fontId="19" fillId="0" borderId="0" xfId="3" applyFont="1" applyFill="1" applyBorder="1" applyAlignment="1">
      <alignment horizontal="center"/>
    </xf>
    <xf numFmtId="0" fontId="19" fillId="0" borderId="0" xfId="3" applyFont="1" applyFill="1" applyAlignment="1">
      <alignment horizontal="center"/>
    </xf>
    <xf numFmtId="0" fontId="33" fillId="0" borderId="0" xfId="3" applyFont="1" applyFill="1" applyAlignment="1">
      <alignment horizontal="center" vertical="center"/>
    </xf>
    <xf numFmtId="0" fontId="19" fillId="0" borderId="0" xfId="3" applyFont="1" applyFill="1" applyBorder="1" applyProtection="1">
      <protection locked="0"/>
    </xf>
    <xf numFmtId="0" fontId="35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Alignment="1" applyProtection="1">
      <alignment horizontal="center"/>
      <protection locked="0"/>
    </xf>
    <xf numFmtId="0" fontId="36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Alignment="1">
      <alignment vertical="center"/>
    </xf>
    <xf numFmtId="0" fontId="19" fillId="0" borderId="0" xfId="3" applyFont="1" applyFill="1" applyAlignment="1"/>
    <xf numFmtId="0" fontId="31" fillId="0" borderId="0" xfId="3" applyNumberFormat="1" applyFont="1" applyBorder="1" applyAlignment="1"/>
    <xf numFmtId="0" fontId="19" fillId="0" borderId="0" xfId="3" applyFont="1" applyFill="1" applyAlignment="1">
      <alignment horizontal="center" vertical="top"/>
    </xf>
    <xf numFmtId="0" fontId="19" fillId="0" borderId="0" xfId="3" applyFont="1" applyFill="1" applyAlignment="1" applyProtection="1">
      <alignment horizontal="justify" vertical="center"/>
      <protection locked="0"/>
    </xf>
    <xf numFmtId="0" fontId="19" fillId="0" borderId="0" xfId="3" applyFont="1" applyFill="1" applyBorder="1" applyAlignment="1" applyProtection="1">
      <alignment vertical="center"/>
      <protection locked="0"/>
    </xf>
    <xf numFmtId="0" fontId="19" fillId="0" borderId="0" xfId="3" applyFont="1" applyFill="1" applyBorder="1" applyAlignment="1">
      <alignment vertical="center"/>
    </xf>
    <xf numFmtId="0" fontId="19" fillId="0" borderId="0" xfId="3" applyFont="1" applyFill="1" applyAlignment="1">
      <alignment vertical="center"/>
    </xf>
    <xf numFmtId="0" fontId="31" fillId="0" borderId="0" xfId="3" applyFont="1" applyFill="1" applyAlignment="1">
      <alignment horizontal="center" vertical="center"/>
    </xf>
    <xf numFmtId="0" fontId="19" fillId="0" borderId="0" xfId="3" applyFont="1" applyFill="1" applyAlignment="1">
      <alignment horizontal="left" vertical="center"/>
    </xf>
    <xf numFmtId="0" fontId="19" fillId="0" borderId="0" xfId="3" applyFont="1" applyFill="1" applyBorder="1" applyAlignment="1" applyProtection="1">
      <protection locked="0"/>
    </xf>
    <xf numFmtId="0" fontId="19" fillId="0" borderId="0" xfId="3" applyFont="1" applyFill="1" applyBorder="1" applyAlignment="1" applyProtection="1">
      <alignment horizontal="justify"/>
      <protection locked="0"/>
    </xf>
    <xf numFmtId="0" fontId="19" fillId="0" borderId="0" xfId="3" applyFont="1" applyAlignment="1">
      <alignment vertical="center" shrinkToFit="1"/>
    </xf>
    <xf numFmtId="0" fontId="19" fillId="0" borderId="0" xfId="3" applyFont="1" applyAlignment="1">
      <alignment horizontal="left"/>
    </xf>
    <xf numFmtId="0" fontId="31" fillId="0" borderId="0" xfId="3" applyFont="1" applyAlignment="1">
      <alignment horizontal="center" vertical="center"/>
    </xf>
    <xf numFmtId="0" fontId="19" fillId="0" borderId="0" xfId="3" applyFont="1" applyFill="1" applyAlignment="1" applyProtection="1">
      <alignment horizontal="justify"/>
      <protection locked="0"/>
    </xf>
    <xf numFmtId="0" fontId="19" fillId="0" borderId="0" xfId="3" applyFont="1" applyFill="1" applyBorder="1" applyAlignment="1">
      <alignment vertical="center" shrinkToFit="1"/>
    </xf>
    <xf numFmtId="0" fontId="19" fillId="0" borderId="0" xfId="3" applyFont="1" applyFill="1" applyProtection="1">
      <protection locked="0"/>
    </xf>
    <xf numFmtId="0" fontId="30" fillId="0" borderId="0" xfId="3" applyFont="1" applyFill="1" applyBorder="1" applyAlignment="1">
      <alignment horizontal="center" vertical="center"/>
    </xf>
    <xf numFmtId="0" fontId="30" fillId="0" borderId="0" xfId="3" applyFont="1" applyFill="1" applyBorder="1" applyAlignment="1">
      <alignment horizontal="distributed" vertical="center"/>
    </xf>
    <xf numFmtId="0" fontId="19" fillId="0" borderId="0" xfId="3" applyFont="1" applyBorder="1" applyAlignment="1">
      <alignment vertical="center"/>
    </xf>
    <xf numFmtId="0" fontId="39" fillId="0" borderId="0" xfId="3" applyFont="1" applyAlignment="1">
      <alignment horizontal="center" vertical="center"/>
    </xf>
    <xf numFmtId="0" fontId="19" fillId="0" borderId="0" xfId="3" applyFont="1" applyAlignment="1"/>
    <xf numFmtId="0" fontId="35" fillId="0" borderId="0" xfId="3" applyFont="1" applyFill="1" applyAlignment="1">
      <alignment horizontal="center" vertical="center"/>
    </xf>
    <xf numFmtId="0" fontId="31" fillId="0" borderId="0" xfId="3" applyFont="1" applyAlignment="1">
      <alignment horizontal="distributed" vertical="center"/>
    </xf>
    <xf numFmtId="0" fontId="26" fillId="0" borderId="0" xfId="3" applyFont="1" applyAlignment="1">
      <alignment vertical="center"/>
    </xf>
    <xf numFmtId="0" fontId="31" fillId="0" borderId="0" xfId="3" applyFont="1" applyAlignment="1">
      <alignment vertical="center"/>
    </xf>
    <xf numFmtId="0" fontId="19" fillId="0" borderId="0" xfId="3" applyFont="1" applyFill="1" applyAlignment="1">
      <alignment horizontal="left"/>
    </xf>
    <xf numFmtId="0" fontId="33" fillId="0" borderId="0" xfId="3" applyNumberFormat="1" applyFont="1" applyFill="1" applyAlignment="1">
      <alignment horizontal="left"/>
    </xf>
    <xf numFmtId="0" fontId="33" fillId="0" borderId="0" xfId="3" applyFont="1" applyFill="1" applyAlignment="1">
      <alignment horizontal="left"/>
    </xf>
    <xf numFmtId="0" fontId="39" fillId="0" borderId="0" xfId="3" applyFont="1" applyFill="1"/>
    <xf numFmtId="0" fontId="31" fillId="0" borderId="0" xfId="3" applyNumberFormat="1" applyFont="1" applyFill="1" applyAlignment="1">
      <alignment horizontal="left"/>
    </xf>
    <xf numFmtId="0" fontId="26" fillId="0" borderId="0" xfId="3" applyNumberFormat="1" applyFont="1" applyFill="1" applyAlignment="1">
      <alignment horizontal="left"/>
    </xf>
    <xf numFmtId="0" fontId="19" fillId="0" borderId="0" xfId="3" applyNumberFormat="1" applyFont="1" applyFill="1" applyAlignment="1">
      <alignment horizontal="right"/>
    </xf>
    <xf numFmtId="0" fontId="33" fillId="0" borderId="0" xfId="3" applyFont="1" applyFill="1" applyAlignment="1">
      <alignment horizontal="center"/>
    </xf>
    <xf numFmtId="0" fontId="33" fillId="0" borderId="0" xfId="3" applyNumberFormat="1" applyFont="1" applyFill="1" applyAlignment="1">
      <alignment horizontal="right"/>
    </xf>
    <xf numFmtId="0" fontId="19" fillId="0" borderId="0" xfId="3" applyNumberFormat="1" applyFont="1" applyFill="1" applyAlignment="1"/>
    <xf numFmtId="0" fontId="33" fillId="0" borderId="0" xfId="3" applyFont="1" applyFill="1" applyBorder="1" applyAlignment="1">
      <alignment vertical="top"/>
    </xf>
    <xf numFmtId="0" fontId="33" fillId="0" borderId="0" xfId="3" applyFont="1" applyFill="1"/>
    <xf numFmtId="0" fontId="33" fillId="0" borderId="0" xfId="3" applyFont="1" applyFill="1" applyAlignment="1">
      <alignment horizontal="right"/>
    </xf>
    <xf numFmtId="0" fontId="33" fillId="0" borderId="0" xfId="3" applyFont="1" applyFill="1" applyBorder="1"/>
    <xf numFmtId="0" fontId="33" fillId="0" borderId="0" xfId="3" applyFont="1" applyBorder="1" applyAlignment="1">
      <alignment vertical="center"/>
    </xf>
    <xf numFmtId="0" fontId="33" fillId="0" borderId="0" xfId="3" applyFont="1" applyBorder="1"/>
    <xf numFmtId="0" fontId="33" fillId="0" borderId="0" xfId="3" applyFont="1" applyBorder="1" applyAlignment="1" applyProtection="1">
      <alignment vertical="center"/>
      <protection locked="0"/>
    </xf>
    <xf numFmtId="0" fontId="43" fillId="0" borderId="0" xfId="3" applyFont="1" applyFill="1" applyBorder="1"/>
    <xf numFmtId="0" fontId="33" fillId="0" borderId="0" xfId="3" applyFont="1" applyBorder="1" applyAlignment="1"/>
    <xf numFmtId="0" fontId="31" fillId="0" borderId="0" xfId="3" applyFont="1" applyBorder="1" applyAlignment="1"/>
    <xf numFmtId="0" fontId="33" fillId="0" borderId="0" xfId="3" applyFont="1" applyAlignment="1">
      <alignment horizontal="right"/>
    </xf>
    <xf numFmtId="0" fontId="31" fillId="0" borderId="0" xfId="3" applyFont="1" applyFill="1" applyAlignment="1">
      <alignment horizontal="right"/>
    </xf>
    <xf numFmtId="0" fontId="19" fillId="0" borderId="0" xfId="3" applyNumberFormat="1" applyFont="1" applyAlignment="1">
      <alignment vertical="center"/>
    </xf>
    <xf numFmtId="0" fontId="19" fillId="0" borderId="0" xfId="3" applyFont="1" applyAlignment="1">
      <alignment horizontal="right" vertical="center"/>
    </xf>
    <xf numFmtId="0" fontId="19" fillId="0" borderId="0" xfId="3" applyFont="1" applyFill="1" applyAlignment="1" applyProtection="1">
      <alignment vertical="center"/>
      <protection locked="0"/>
    </xf>
    <xf numFmtId="0" fontId="45" fillId="0" borderId="0" xfId="3" applyFont="1" applyAlignment="1">
      <alignment horizontal="right" vertical="center"/>
    </xf>
    <xf numFmtId="0" fontId="33" fillId="0" borderId="168" xfId="3" applyFont="1" applyBorder="1" applyAlignment="1">
      <alignment horizontal="center" vertical="center"/>
    </xf>
    <xf numFmtId="0" fontId="33" fillId="0" borderId="169" xfId="3" applyFont="1" applyBorder="1" applyAlignment="1">
      <alignment horizontal="center" vertical="center"/>
    </xf>
    <xf numFmtId="0" fontId="33" fillId="0" borderId="141" xfId="3" applyFont="1" applyBorder="1" applyAlignment="1">
      <alignment horizontal="center" vertical="center"/>
    </xf>
    <xf numFmtId="0" fontId="33" fillId="0" borderId="158" xfId="3" applyFont="1" applyBorder="1" applyAlignment="1">
      <alignment horizontal="center" vertical="center" wrapText="1"/>
    </xf>
    <xf numFmtId="0" fontId="28" fillId="0" borderId="0" xfId="3" applyNumberFormat="1" applyFont="1" applyAlignment="1">
      <alignment vertical="center"/>
    </xf>
    <xf numFmtId="0" fontId="33" fillId="0" borderId="158" xfId="3" applyFont="1" applyBorder="1" applyAlignment="1">
      <alignment horizontal="center" vertical="center"/>
    </xf>
    <xf numFmtId="0" fontId="31" fillId="0" borderId="158" xfId="3" applyFont="1" applyBorder="1" applyAlignment="1">
      <alignment horizontal="center" vertical="center"/>
    </xf>
    <xf numFmtId="0" fontId="19" fillId="0" borderId="0" xfId="3" applyNumberFormat="1" applyFont="1" applyFill="1" applyBorder="1" applyAlignment="1">
      <alignment vertical="center"/>
    </xf>
    <xf numFmtId="0" fontId="19" fillId="0" borderId="0" xfId="3" applyNumberFormat="1" applyFont="1" applyFill="1" applyBorder="1" applyAlignment="1" applyProtection="1">
      <alignment vertical="center"/>
    </xf>
    <xf numFmtId="0" fontId="33" fillId="0" borderId="141" xfId="3" applyFont="1" applyBorder="1" applyAlignment="1">
      <alignment horizontal="center" vertical="center" shrinkToFit="1"/>
    </xf>
    <xf numFmtId="0" fontId="19" fillId="0" borderId="0" xfId="3" applyNumberFormat="1" applyFont="1" applyFill="1" applyBorder="1" applyAlignment="1" applyProtection="1">
      <alignment vertical="center"/>
      <protection hidden="1"/>
    </xf>
    <xf numFmtId="0" fontId="33" fillId="0" borderId="141" xfId="3" applyFont="1" applyBorder="1" applyAlignment="1">
      <alignment horizontal="center" vertical="center" wrapText="1" shrinkToFit="1"/>
    </xf>
    <xf numFmtId="0" fontId="33" fillId="0" borderId="174" xfId="3" applyFont="1" applyBorder="1" applyAlignment="1">
      <alignment vertical="center" wrapText="1"/>
    </xf>
    <xf numFmtId="0" fontId="33" fillId="0" borderId="141" xfId="3" applyFont="1" applyBorder="1" applyAlignment="1">
      <alignment vertical="center" shrinkToFit="1"/>
    </xf>
    <xf numFmtId="0" fontId="33" fillId="0" borderId="183" xfId="3" applyFont="1" applyBorder="1" applyAlignment="1" applyProtection="1">
      <alignment vertical="center"/>
      <protection locked="0"/>
    </xf>
    <xf numFmtId="0" fontId="19" fillId="0" borderId="183" xfId="3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/>
    </xf>
    <xf numFmtId="0" fontId="19" fillId="0" borderId="180" xfId="3" applyNumberFormat="1" applyFont="1" applyFill="1" applyBorder="1" applyAlignment="1">
      <alignment vertical="center"/>
    </xf>
    <xf numFmtId="0" fontId="19" fillId="0" borderId="184" xfId="3" applyFont="1" applyBorder="1" applyAlignment="1"/>
    <xf numFmtId="0" fontId="19" fillId="0" borderId="185" xfId="3" applyFont="1" applyBorder="1" applyAlignment="1"/>
    <xf numFmtId="0" fontId="19" fillId="0" borderId="185" xfId="3" applyFont="1" applyBorder="1" applyAlignment="1" applyProtection="1">
      <protection locked="0"/>
    </xf>
    <xf numFmtId="0" fontId="19" fillId="0" borderId="169" xfId="3" applyNumberFormat="1" applyFont="1" applyBorder="1" applyAlignment="1">
      <alignment vertical="center"/>
    </xf>
    <xf numFmtId="0" fontId="19" fillId="0" borderId="0" xfId="3" applyFont="1" applyBorder="1" applyAlignment="1"/>
    <xf numFmtId="0" fontId="19" fillId="0" borderId="0" xfId="3" applyFont="1" applyBorder="1" applyAlignment="1" applyProtection="1">
      <protection locked="0"/>
    </xf>
    <xf numFmtId="0" fontId="19" fillId="0" borderId="0" xfId="3" applyNumberFormat="1" applyFont="1" applyBorder="1" applyAlignment="1">
      <alignment vertical="center"/>
    </xf>
    <xf numFmtId="0" fontId="33" fillId="0" borderId="0" xfId="3" applyFont="1" applyAlignment="1"/>
    <xf numFmtId="0" fontId="33" fillId="0" borderId="0" xfId="3" applyFont="1" applyAlignment="1" applyProtection="1"/>
    <xf numFmtId="0" fontId="35" fillId="0" borderId="0" xfId="3" applyFont="1"/>
    <xf numFmtId="0" fontId="19" fillId="0" borderId="0" xfId="3" applyFont="1" applyAlignment="1">
      <alignment horizontal="centerContinuous"/>
    </xf>
    <xf numFmtId="174" fontId="28" fillId="0" borderId="0" xfId="3" applyNumberFormat="1" applyFont="1" applyBorder="1" applyAlignment="1"/>
    <xf numFmtId="0" fontId="19" fillId="0" borderId="0" xfId="3" applyFont="1" applyBorder="1" applyAlignment="1">
      <alignment wrapText="1"/>
    </xf>
    <xf numFmtId="171" fontId="28" fillId="0" borderId="0" xfId="3" applyNumberFormat="1" applyFont="1" applyBorder="1" applyAlignment="1"/>
    <xf numFmtId="0" fontId="19" fillId="0" borderId="0" xfId="3" applyFont="1" applyBorder="1" applyAlignment="1">
      <alignment shrinkToFit="1"/>
    </xf>
    <xf numFmtId="174" fontId="19" fillId="0" borderId="0" xfId="3" applyNumberFormat="1" applyFont="1" applyBorder="1" applyAlignment="1"/>
    <xf numFmtId="171" fontId="19" fillId="0" borderId="0" xfId="3" applyNumberFormat="1" applyFont="1" applyBorder="1" applyAlignment="1"/>
    <xf numFmtId="0" fontId="19" fillId="0" borderId="0" xfId="3" applyFont="1" applyBorder="1"/>
    <xf numFmtId="0" fontId="51" fillId="0" borderId="0" xfId="3" applyFont="1" applyBorder="1" applyAlignment="1"/>
    <xf numFmtId="175" fontId="19" fillId="0" borderId="0" xfId="3" applyNumberFormat="1" applyFont="1" applyAlignment="1"/>
    <xf numFmtId="0" fontId="19" fillId="0" borderId="0" xfId="3" applyFont="1" applyBorder="1" applyAlignment="1">
      <alignment vertical="center" wrapText="1"/>
    </xf>
    <xf numFmtId="0" fontId="52" fillId="0" borderId="0" xfId="3" applyFont="1" applyBorder="1" applyAlignment="1">
      <alignment vertical="center" wrapText="1"/>
    </xf>
    <xf numFmtId="0" fontId="35" fillId="0" borderId="0" xfId="3" applyFont="1" applyAlignment="1"/>
    <xf numFmtId="0" fontId="19" fillId="0" borderId="0" xfId="3" applyFont="1" applyBorder="1" applyAlignment="1">
      <alignment horizontal="center"/>
    </xf>
    <xf numFmtId="170" fontId="19" fillId="0" borderId="0" xfId="3" applyNumberFormat="1" applyFont="1" applyAlignment="1"/>
    <xf numFmtId="0" fontId="19" fillId="0" borderId="0" xfId="3" applyFont="1" applyAlignment="1">
      <alignment horizontal="right"/>
    </xf>
    <xf numFmtId="165" fontId="24" fillId="3" borderId="19" xfId="6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0" fillId="0" borderId="0" xfId="3" applyFont="1" applyAlignment="1"/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Border="1" applyAlignment="1">
      <alignment vertical="center"/>
    </xf>
    <xf numFmtId="164" fontId="8" fillId="0" borderId="0" xfId="0" quotePrefix="1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13" xfId="0" applyFont="1" applyBorder="1" applyAlignment="1">
      <alignment vertical="center"/>
    </xf>
    <xf numFmtId="0" fontId="19" fillId="0" borderId="26" xfId="6" applyFont="1" applyBorder="1" applyAlignment="1">
      <alignment horizontal="right" vertical="center"/>
    </xf>
    <xf numFmtId="0" fontId="19" fillId="0" borderId="28" xfId="6" applyFont="1" applyBorder="1" applyAlignment="1">
      <alignment horizontal="right" vertical="center"/>
    </xf>
    <xf numFmtId="0" fontId="19" fillId="0" borderId="31" xfId="6" applyFont="1" applyBorder="1" applyAlignment="1">
      <alignment horizontal="right" vertical="center"/>
    </xf>
    <xf numFmtId="0" fontId="19" fillId="0" borderId="32" xfId="6" applyFont="1" applyBorder="1" applyAlignment="1">
      <alignment horizontal="right" vertical="center"/>
    </xf>
    <xf numFmtId="0" fontId="19" fillId="0" borderId="20" xfId="6" applyFont="1" applyBorder="1" applyAlignment="1">
      <alignment horizontal="right" vertical="center"/>
    </xf>
    <xf numFmtId="0" fontId="19" fillId="0" borderId="21" xfId="6" applyFont="1" applyBorder="1" applyAlignment="1">
      <alignment horizontal="right" vertical="center"/>
    </xf>
    <xf numFmtId="0" fontId="19" fillId="0" borderId="85" xfId="6" applyFont="1" applyBorder="1" applyAlignment="1">
      <alignment horizontal="right" vertical="center"/>
    </xf>
    <xf numFmtId="0" fontId="19" fillId="0" borderId="83" xfId="6" applyFont="1" applyBorder="1" applyAlignment="1">
      <alignment horizontal="right" vertical="center"/>
    </xf>
    <xf numFmtId="0" fontId="19" fillId="0" borderId="58" xfId="6" applyFont="1" applyBorder="1" applyAlignment="1">
      <alignment horizontal="right" vertical="center"/>
    </xf>
    <xf numFmtId="0" fontId="19" fillId="0" borderId="72" xfId="6" applyFont="1" applyBorder="1" applyAlignment="1">
      <alignment horizontal="right" vertical="center"/>
    </xf>
    <xf numFmtId="0" fontId="19" fillId="0" borderId="46" xfId="6" applyFont="1" applyFill="1" applyBorder="1" applyAlignment="1" applyProtection="1">
      <alignment horizontal="center"/>
      <protection locked="0"/>
    </xf>
    <xf numFmtId="0" fontId="19" fillId="0" borderId="28" xfId="6" applyFont="1" applyFill="1" applyBorder="1" applyAlignment="1" applyProtection="1">
      <alignment horizontal="center"/>
      <protection locked="0"/>
    </xf>
    <xf numFmtId="0" fontId="19" fillId="0" borderId="46" xfId="6" applyFont="1" applyBorder="1" applyAlignment="1">
      <alignment horizontal="center" vertical="center"/>
    </xf>
    <xf numFmtId="0" fontId="19" fillId="0" borderId="27" xfId="6" applyFont="1" applyBorder="1" applyAlignment="1">
      <alignment horizontal="center" vertical="center"/>
    </xf>
    <xf numFmtId="0" fontId="19" fillId="0" borderId="28" xfId="6" applyFont="1" applyBorder="1" applyAlignment="1">
      <alignment horizontal="center" vertical="center"/>
    </xf>
    <xf numFmtId="0" fontId="24" fillId="3" borderId="46" xfId="6" applyFont="1" applyFill="1" applyBorder="1" applyAlignment="1" applyProtection="1">
      <alignment horizontal="center"/>
      <protection locked="0"/>
    </xf>
    <xf numFmtId="0" fontId="24" fillId="3" borderId="28" xfId="6" applyFont="1" applyFill="1" applyBorder="1" applyAlignment="1" applyProtection="1">
      <alignment horizontal="center"/>
      <protection locked="0"/>
    </xf>
    <xf numFmtId="0" fontId="24" fillId="3" borderId="31" xfId="6" applyFont="1" applyFill="1" applyBorder="1" applyAlignment="1" applyProtection="1">
      <alignment horizontal="center" vertical="center"/>
      <protection locked="0"/>
    </xf>
    <xf numFmtId="0" fontId="24" fillId="3" borderId="13" xfId="6" applyFont="1" applyFill="1" applyBorder="1" applyAlignment="1" applyProtection="1">
      <alignment horizontal="center" vertical="center"/>
      <protection locked="0"/>
    </xf>
    <xf numFmtId="0" fontId="24" fillId="3" borderId="32" xfId="6" applyFont="1" applyFill="1" applyBorder="1" applyAlignment="1" applyProtection="1">
      <alignment horizontal="center" vertical="center"/>
      <protection locked="0"/>
    </xf>
    <xf numFmtId="0" fontId="19" fillId="0" borderId="12" xfId="6" applyFont="1" applyBorder="1" applyAlignment="1">
      <alignment horizontal="center" vertical="center"/>
    </xf>
    <xf numFmtId="0" fontId="19" fillId="0" borderId="13" xfId="6" applyFont="1" applyBorder="1" applyAlignment="1">
      <alignment horizontal="center" vertical="center"/>
    </xf>
    <xf numFmtId="0" fontId="19" fillId="0" borderId="32" xfId="6" applyFont="1" applyBorder="1" applyAlignment="1">
      <alignment horizontal="center" vertical="center"/>
    </xf>
    <xf numFmtId="164" fontId="24" fillId="3" borderId="26" xfId="6" applyNumberFormat="1" applyFont="1" applyFill="1" applyBorder="1" applyAlignment="1" applyProtection="1">
      <alignment horizontal="center" vertical="center"/>
      <protection locked="0"/>
    </xf>
    <xf numFmtId="164" fontId="24" fillId="3" borderId="27" xfId="6" applyNumberFormat="1" applyFont="1" applyFill="1" applyBorder="1" applyAlignment="1" applyProtection="1">
      <alignment horizontal="center" vertical="center"/>
      <protection locked="0"/>
    </xf>
    <xf numFmtId="164" fontId="24" fillId="3" borderId="28" xfId="6" applyNumberFormat="1" applyFont="1" applyFill="1" applyBorder="1" applyAlignment="1" applyProtection="1">
      <alignment horizontal="center" vertical="center"/>
      <protection locked="0"/>
    </xf>
    <xf numFmtId="1" fontId="24" fillId="3" borderId="46" xfId="6" applyNumberFormat="1" applyFont="1" applyFill="1" applyBorder="1" applyAlignment="1" applyProtection="1">
      <alignment horizontal="center" vertical="center"/>
      <protection locked="0"/>
    </xf>
    <xf numFmtId="1" fontId="24" fillId="3" borderId="27" xfId="6" applyNumberFormat="1" applyFont="1" applyFill="1" applyBorder="1" applyAlignment="1" applyProtection="1">
      <alignment horizontal="center" vertical="center"/>
      <protection locked="0"/>
    </xf>
    <xf numFmtId="1" fontId="24" fillId="3" borderId="28" xfId="6" applyNumberFormat="1" applyFont="1" applyFill="1" applyBorder="1" applyAlignment="1" applyProtection="1">
      <alignment horizontal="center" vertical="center"/>
      <protection locked="0"/>
    </xf>
    <xf numFmtId="0" fontId="19" fillId="0" borderId="26" xfId="6" applyFont="1" applyFill="1" applyBorder="1" applyAlignment="1" applyProtection="1">
      <alignment horizontal="center"/>
      <protection locked="0"/>
    </xf>
    <xf numFmtId="0" fontId="19" fillId="0" borderId="27" xfId="6" applyFont="1" applyFill="1" applyBorder="1" applyAlignment="1" applyProtection="1">
      <alignment horizontal="center"/>
      <protection locked="0"/>
    </xf>
    <xf numFmtId="164" fontId="19" fillId="0" borderId="26" xfId="6" applyNumberFormat="1" applyFont="1" applyFill="1" applyBorder="1" applyAlignment="1" applyProtection="1">
      <alignment horizontal="center" vertical="center"/>
      <protection locked="0"/>
    </xf>
    <xf numFmtId="164" fontId="19" fillId="0" borderId="27" xfId="6" applyNumberFormat="1" applyFont="1" applyFill="1" applyBorder="1" applyAlignment="1" applyProtection="1">
      <alignment horizontal="center" vertical="center"/>
      <protection locked="0"/>
    </xf>
    <xf numFmtId="164" fontId="19" fillId="0" borderId="28" xfId="6" applyNumberFormat="1" applyFont="1" applyFill="1" applyBorder="1" applyAlignment="1" applyProtection="1">
      <alignment horizontal="center" vertical="center"/>
      <protection locked="0"/>
    </xf>
    <xf numFmtId="0" fontId="24" fillId="3" borderId="47" xfId="6" applyFont="1" applyFill="1" applyBorder="1" applyAlignment="1" applyProtection="1">
      <alignment horizontal="center" vertical="center"/>
      <protection locked="0"/>
    </xf>
    <xf numFmtId="0" fontId="24" fillId="3" borderId="48" xfId="6" applyFont="1" applyFill="1" applyBorder="1" applyAlignment="1" applyProtection="1">
      <alignment horizontal="center" vertical="center"/>
      <protection locked="0"/>
    </xf>
    <xf numFmtId="0" fontId="24" fillId="3" borderId="49" xfId="6" applyFont="1" applyFill="1" applyBorder="1" applyAlignment="1" applyProtection="1">
      <alignment horizontal="center" vertical="center"/>
      <protection locked="0"/>
    </xf>
    <xf numFmtId="0" fontId="24" fillId="3" borderId="75" xfId="6" applyFont="1" applyFill="1" applyBorder="1" applyAlignment="1">
      <alignment horizontal="center" vertical="center" shrinkToFit="1"/>
    </xf>
    <xf numFmtId="0" fontId="24" fillId="3" borderId="37" xfId="6" applyFont="1" applyFill="1" applyBorder="1" applyAlignment="1">
      <alignment horizontal="center" vertical="center" shrinkToFit="1"/>
    </xf>
    <xf numFmtId="0" fontId="24" fillId="3" borderId="38" xfId="6" applyFont="1" applyFill="1" applyBorder="1" applyAlignment="1">
      <alignment horizontal="center" vertical="center" shrinkToFit="1"/>
    </xf>
    <xf numFmtId="49" fontId="24" fillId="3" borderId="20" xfId="6" applyNumberFormat="1" applyFont="1" applyFill="1" applyBorder="1" applyAlignment="1" applyProtection="1">
      <alignment horizontal="center" vertical="center"/>
      <protection locked="0"/>
    </xf>
    <xf numFmtId="49" fontId="24" fillId="3" borderId="9" xfId="6" applyNumberFormat="1" applyFont="1" applyFill="1" applyBorder="1" applyAlignment="1" applyProtection="1">
      <alignment horizontal="center" vertical="center"/>
      <protection locked="0"/>
    </xf>
    <xf numFmtId="49" fontId="24" fillId="3" borderId="21" xfId="6" applyNumberFormat="1" applyFont="1" applyFill="1" applyBorder="1" applyAlignment="1" applyProtection="1">
      <alignment horizontal="center" vertical="center"/>
      <protection locked="0"/>
    </xf>
    <xf numFmtId="2" fontId="24" fillId="3" borderId="46" xfId="6" applyNumberFormat="1" applyFont="1" applyFill="1" applyBorder="1" applyAlignment="1" applyProtection="1">
      <alignment horizontal="center" vertical="center"/>
      <protection locked="0"/>
    </xf>
    <xf numFmtId="2" fontId="24" fillId="3" borderId="27" xfId="6" applyNumberFormat="1" applyFont="1" applyFill="1" applyBorder="1" applyAlignment="1" applyProtection="1">
      <alignment horizontal="center" vertical="center"/>
      <protection locked="0"/>
    </xf>
    <xf numFmtId="2" fontId="24" fillId="3" borderId="28" xfId="6" applyNumberFormat="1" applyFont="1" applyFill="1" applyBorder="1" applyAlignment="1" applyProtection="1">
      <alignment horizontal="center" vertical="center"/>
      <protection locked="0"/>
    </xf>
    <xf numFmtId="168" fontId="24" fillId="3" borderId="58" xfId="6" applyNumberFormat="1" applyFont="1" applyFill="1" applyBorder="1" applyAlignment="1" applyProtection="1">
      <alignment horizontal="center" vertical="center"/>
      <protection locked="0"/>
    </xf>
    <xf numFmtId="168" fontId="24" fillId="3" borderId="59" xfId="6" applyNumberFormat="1" applyFont="1" applyFill="1" applyBorder="1" applyAlignment="1" applyProtection="1">
      <alignment horizontal="center" vertical="center"/>
      <protection locked="0"/>
    </xf>
    <xf numFmtId="168" fontId="24" fillId="3" borderId="72" xfId="6" applyNumberFormat="1" applyFont="1" applyFill="1" applyBorder="1" applyAlignment="1" applyProtection="1">
      <alignment horizontal="center" vertical="center"/>
      <protection locked="0"/>
    </xf>
    <xf numFmtId="0" fontId="33" fillId="0" borderId="130" xfId="3" applyFont="1" applyFill="1" applyBorder="1" applyAlignment="1">
      <alignment horizontal="left" vertical="center"/>
    </xf>
    <xf numFmtId="0" fontId="33" fillId="0" borderId="131" xfId="3" applyFont="1" applyFill="1" applyBorder="1" applyAlignment="1">
      <alignment horizontal="left" vertical="center"/>
    </xf>
    <xf numFmtId="0" fontId="33" fillId="0" borderId="134" xfId="3" applyFont="1" applyFill="1" applyBorder="1" applyAlignment="1">
      <alignment horizontal="left" vertical="center"/>
    </xf>
    <xf numFmtId="0" fontId="33" fillId="0" borderId="159" xfId="3" applyFont="1" applyFill="1" applyBorder="1" applyAlignment="1">
      <alignment horizontal="left" vertical="top" wrapText="1"/>
    </xf>
    <xf numFmtId="0" fontId="33" fillId="0" borderId="154" xfId="3" applyFont="1" applyFill="1" applyBorder="1" applyAlignment="1">
      <alignment vertical="top"/>
    </xf>
    <xf numFmtId="0" fontId="33" fillId="0" borderId="160" xfId="3" applyFont="1" applyFill="1" applyBorder="1" applyAlignment="1">
      <alignment vertical="top"/>
    </xf>
    <xf numFmtId="0" fontId="33" fillId="0" borderId="143" xfId="3" applyFont="1" applyFill="1" applyBorder="1" applyAlignment="1">
      <alignment vertical="top"/>
    </xf>
    <xf numFmtId="0" fontId="33" fillId="0" borderId="144" xfId="3" applyFont="1" applyFill="1" applyBorder="1" applyAlignment="1">
      <alignment vertical="top"/>
    </xf>
    <xf numFmtId="0" fontId="33" fillId="0" borderId="147" xfId="3" applyFont="1" applyFill="1" applyBorder="1" applyAlignment="1">
      <alignment vertical="top"/>
    </xf>
    <xf numFmtId="0" fontId="33" fillId="0" borderId="130" xfId="3" applyFont="1" applyFill="1" applyBorder="1" applyAlignment="1">
      <alignment vertical="center" wrapText="1"/>
    </xf>
    <xf numFmtId="0" fontId="33" fillId="0" borderId="131" xfId="3" applyFont="1" applyFill="1" applyBorder="1"/>
    <xf numFmtId="0" fontId="33" fillId="0" borderId="134" xfId="3" applyFont="1" applyFill="1" applyBorder="1"/>
    <xf numFmtId="0" fontId="33" fillId="0" borderId="161" xfId="3" applyFont="1" applyFill="1" applyBorder="1" applyAlignment="1">
      <alignment horizontal="center" vertical="center"/>
    </xf>
    <xf numFmtId="0" fontId="33" fillId="0" borderId="162" xfId="3" applyFont="1" applyFill="1" applyBorder="1" applyAlignment="1">
      <alignment horizontal="center" vertical="center"/>
    </xf>
    <xf numFmtId="0" fontId="33" fillId="0" borderId="135" xfId="3" applyFont="1" applyFill="1" applyBorder="1" applyAlignment="1">
      <alignment horizontal="left" vertical="center" wrapText="1" shrinkToFit="1"/>
    </xf>
    <xf numFmtId="0" fontId="33" fillId="0" borderId="136" xfId="3" applyFont="1" applyFill="1" applyBorder="1" applyAlignment="1">
      <alignment horizontal="left" vertical="center" wrapText="1" shrinkToFit="1"/>
    </xf>
    <xf numFmtId="0" fontId="33" fillId="0" borderId="137" xfId="3" applyFont="1" applyFill="1" applyBorder="1" applyAlignment="1">
      <alignment horizontal="left" vertical="center" wrapText="1" shrinkToFit="1"/>
    </xf>
    <xf numFmtId="0" fontId="33" fillId="0" borderId="152" xfId="3" applyFont="1" applyFill="1" applyBorder="1" applyAlignment="1">
      <alignment horizontal="center" vertical="center"/>
    </xf>
    <xf numFmtId="0" fontId="33" fillId="0" borderId="136" xfId="3" applyFont="1" applyFill="1" applyBorder="1" applyAlignment="1">
      <alignment horizontal="center" vertical="center"/>
    </xf>
    <xf numFmtId="0" fontId="33" fillId="0" borderId="137" xfId="3" applyFont="1" applyFill="1" applyBorder="1" applyAlignment="1">
      <alignment horizontal="center" vertical="center"/>
    </xf>
    <xf numFmtId="0" fontId="30" fillId="0" borderId="153" xfId="3" applyFont="1" applyFill="1" applyBorder="1" applyAlignment="1">
      <alignment horizontal="center" vertical="center" wrapText="1" shrinkToFit="1"/>
    </xf>
    <xf numFmtId="0" fontId="30" fillId="0" borderId="154" xfId="3" applyFont="1" applyFill="1" applyBorder="1" applyAlignment="1">
      <alignment horizontal="center" vertical="center" wrapText="1" shrinkToFit="1"/>
    </xf>
    <xf numFmtId="0" fontId="30" fillId="0" borderId="155" xfId="3" applyFont="1" applyFill="1" applyBorder="1" applyAlignment="1">
      <alignment horizontal="center" vertical="center" wrapText="1" shrinkToFit="1"/>
    </xf>
    <xf numFmtId="165" fontId="33" fillId="0" borderId="152" xfId="3" applyNumberFormat="1" applyFont="1" applyFill="1" applyBorder="1" applyAlignment="1">
      <alignment horizontal="center" vertical="center"/>
    </xf>
    <xf numFmtId="165" fontId="33" fillId="0" borderId="136" xfId="3" applyNumberFormat="1" applyFont="1" applyFill="1" applyBorder="1" applyAlignment="1">
      <alignment horizontal="center" vertical="center"/>
    </xf>
    <xf numFmtId="165" fontId="33" fillId="0" borderId="137" xfId="3" applyNumberFormat="1" applyFont="1" applyFill="1" applyBorder="1" applyAlignment="1">
      <alignment horizontal="center" vertical="center"/>
    </xf>
    <xf numFmtId="1" fontId="33" fillId="0" borderId="152" xfId="3" applyNumberFormat="1" applyFont="1" applyBorder="1" applyAlignment="1">
      <alignment horizontal="center" vertical="center"/>
    </xf>
    <xf numFmtId="1" fontId="33" fillId="0" borderId="136" xfId="3" applyNumberFormat="1" applyFont="1" applyBorder="1" applyAlignment="1">
      <alignment horizontal="center" vertical="center"/>
    </xf>
    <xf numFmtId="1" fontId="33" fillId="0" borderId="137" xfId="3" applyNumberFormat="1" applyFont="1" applyBorder="1" applyAlignment="1">
      <alignment horizontal="center" vertical="center"/>
    </xf>
    <xf numFmtId="49" fontId="33" fillId="0" borderId="152" xfId="3" applyNumberFormat="1" applyFont="1" applyFill="1" applyBorder="1" applyAlignment="1">
      <alignment horizontal="left" vertical="center" wrapText="1"/>
    </xf>
    <xf numFmtId="49" fontId="33" fillId="0" borderId="136" xfId="3" applyNumberFormat="1" applyFont="1" applyFill="1" applyBorder="1" applyAlignment="1">
      <alignment horizontal="left" vertical="center" wrapText="1"/>
    </xf>
    <xf numFmtId="49" fontId="33" fillId="0" borderId="156" xfId="3" applyNumberFormat="1" applyFont="1" applyFill="1" applyBorder="1" applyAlignment="1">
      <alignment horizontal="left" vertical="center" wrapText="1"/>
    </xf>
    <xf numFmtId="0" fontId="33" fillId="0" borderId="139" xfId="3" applyFont="1" applyFill="1" applyBorder="1" applyAlignment="1">
      <alignment horizontal="left" vertical="center" wrapText="1" shrinkToFit="1"/>
    </xf>
    <xf numFmtId="0" fontId="33" fillId="0" borderId="140" xfId="3" applyFont="1" applyFill="1" applyBorder="1" applyAlignment="1">
      <alignment horizontal="left" vertical="center" wrapText="1" shrinkToFit="1"/>
    </xf>
    <xf numFmtId="0" fontId="33" fillId="0" borderId="141" xfId="3" applyFont="1" applyFill="1" applyBorder="1" applyAlignment="1">
      <alignment horizontal="left" vertical="center" wrapText="1" shrinkToFit="1"/>
    </xf>
    <xf numFmtId="1" fontId="33" fillId="0" borderId="152" xfId="3" applyNumberFormat="1" applyFont="1" applyFill="1" applyBorder="1" applyAlignment="1">
      <alignment horizontal="center" vertical="center"/>
    </xf>
    <xf numFmtId="1" fontId="33" fillId="0" borderId="136" xfId="3" applyNumberFormat="1" applyFont="1" applyFill="1" applyBorder="1" applyAlignment="1">
      <alignment horizontal="center" vertical="center"/>
    </xf>
    <xf numFmtId="1" fontId="33" fillId="0" borderId="137" xfId="3" applyNumberFormat="1" applyFont="1" applyFill="1" applyBorder="1" applyAlignment="1">
      <alignment horizontal="center" vertical="center"/>
    </xf>
    <xf numFmtId="165" fontId="33" fillId="0" borderId="152" xfId="3" applyNumberFormat="1" applyFont="1" applyBorder="1" applyAlignment="1">
      <alignment horizontal="center" vertical="center"/>
    </xf>
    <xf numFmtId="165" fontId="33" fillId="0" borderId="136" xfId="3" applyNumberFormat="1" applyFont="1" applyBorder="1" applyAlignment="1">
      <alignment horizontal="center" vertical="center"/>
    </xf>
    <xf numFmtId="165" fontId="33" fillId="0" borderId="137" xfId="3" applyNumberFormat="1" applyFont="1" applyBorder="1" applyAlignment="1">
      <alignment horizontal="center" vertical="center"/>
    </xf>
    <xf numFmtId="0" fontId="33" fillId="0" borderId="136" xfId="3" applyFont="1" applyFill="1" applyBorder="1" applyAlignment="1">
      <alignment horizontal="left" vertical="center"/>
    </xf>
    <xf numFmtId="0" fontId="33" fillId="0" borderId="156" xfId="3" applyFont="1" applyFill="1" applyBorder="1" applyAlignment="1">
      <alignment horizontal="left" vertical="center"/>
    </xf>
    <xf numFmtId="0" fontId="33" fillId="0" borderId="157" xfId="3" applyFont="1" applyFill="1" applyBorder="1" applyAlignment="1">
      <alignment horizontal="left" vertical="center"/>
    </xf>
    <xf numFmtId="0" fontId="33" fillId="0" borderId="140" xfId="3" applyFont="1" applyFill="1" applyBorder="1" applyAlignment="1">
      <alignment horizontal="left" vertical="center"/>
    </xf>
    <xf numFmtId="0" fontId="33" fillId="0" borderId="158" xfId="3" applyFont="1" applyFill="1" applyBorder="1" applyAlignment="1">
      <alignment horizontal="left" vertical="center"/>
    </xf>
    <xf numFmtId="0" fontId="33" fillId="0" borderId="150" xfId="3" applyFont="1" applyFill="1" applyBorder="1" applyAlignment="1">
      <alignment horizontal="left" vertical="center" shrinkToFit="1"/>
    </xf>
    <xf numFmtId="0" fontId="33" fillId="0" borderId="0" xfId="3" applyFont="1" applyFill="1" applyBorder="1" applyAlignment="1">
      <alignment horizontal="left" vertical="center" shrinkToFit="1"/>
    </xf>
    <xf numFmtId="0" fontId="33" fillId="0" borderId="151" xfId="3" applyFont="1" applyFill="1" applyBorder="1" applyAlignment="1">
      <alignment horizontal="left" vertical="center" shrinkToFit="1"/>
    </xf>
    <xf numFmtId="0" fontId="33" fillId="0" borderId="139" xfId="3" applyFont="1" applyFill="1" applyBorder="1" applyAlignment="1">
      <alignment horizontal="left" vertical="center" shrinkToFit="1"/>
    </xf>
    <xf numFmtId="0" fontId="33" fillId="0" borderId="140" xfId="3" applyFont="1" applyFill="1" applyBorder="1" applyAlignment="1">
      <alignment horizontal="left" vertical="center" shrinkToFit="1"/>
    </xf>
    <xf numFmtId="0" fontId="33" fillId="0" borderId="141" xfId="3" applyFont="1" applyFill="1" applyBorder="1" applyAlignment="1">
      <alignment horizontal="left" vertical="center" shrinkToFit="1"/>
    </xf>
    <xf numFmtId="0" fontId="33" fillId="0" borderId="152" xfId="3" applyFont="1" applyFill="1" applyBorder="1" applyAlignment="1">
      <alignment horizontal="left" vertical="center" wrapText="1"/>
    </xf>
    <xf numFmtId="0" fontId="33" fillId="0" borderId="135" xfId="3" applyFont="1" applyFill="1" applyBorder="1" applyAlignment="1">
      <alignment horizontal="center" vertical="center" shrinkToFit="1"/>
    </xf>
    <xf numFmtId="0" fontId="33" fillId="0" borderId="136" xfId="3" applyFont="1" applyFill="1" applyBorder="1" applyAlignment="1">
      <alignment horizontal="center" vertical="center" shrinkToFit="1"/>
    </xf>
    <xf numFmtId="0" fontId="33" fillId="0" borderId="137" xfId="3" applyFont="1" applyFill="1" applyBorder="1" applyAlignment="1">
      <alignment horizontal="center" vertical="center" shrinkToFit="1"/>
    </xf>
    <xf numFmtId="0" fontId="33" fillId="0" borderId="139" xfId="3" applyFont="1" applyFill="1" applyBorder="1" applyAlignment="1">
      <alignment horizontal="center" vertical="center" shrinkToFit="1"/>
    </xf>
    <xf numFmtId="0" fontId="33" fillId="0" borderId="140" xfId="3" applyFont="1" applyFill="1" applyBorder="1" applyAlignment="1">
      <alignment horizontal="center" vertical="center" shrinkToFit="1"/>
    </xf>
    <xf numFmtId="0" fontId="33" fillId="0" borderId="141" xfId="3" applyFont="1" applyFill="1" applyBorder="1" applyAlignment="1">
      <alignment horizontal="center" vertical="center" shrinkToFit="1"/>
    </xf>
    <xf numFmtId="0" fontId="33" fillId="0" borderId="138" xfId="3" applyFont="1" applyFill="1" applyBorder="1" applyAlignment="1">
      <alignment horizontal="left" shrinkToFit="1"/>
    </xf>
    <xf numFmtId="0" fontId="33" fillId="0" borderId="142" xfId="3" applyFont="1" applyFill="1" applyBorder="1" applyAlignment="1">
      <alignment horizontal="left" vertical="center" shrinkToFit="1"/>
    </xf>
    <xf numFmtId="0" fontId="33" fillId="0" borderId="143" xfId="3" applyFont="1" applyFill="1" applyBorder="1" applyAlignment="1">
      <alignment horizontal="center" vertical="center" shrinkToFit="1"/>
    </xf>
    <xf numFmtId="0" fontId="33" fillId="0" borderId="144" xfId="3" applyFont="1" applyFill="1" applyBorder="1" applyAlignment="1">
      <alignment horizontal="center" vertical="center" shrinkToFit="1"/>
    </xf>
    <xf numFmtId="0" fontId="33" fillId="0" borderId="145" xfId="3" applyFont="1" applyFill="1" applyBorder="1" applyAlignment="1">
      <alignment horizontal="center" vertical="center" shrinkToFit="1"/>
    </xf>
    <xf numFmtId="164" fontId="33" fillId="0" borderId="146" xfId="3" applyNumberFormat="1" applyFont="1" applyFill="1" applyBorder="1" applyAlignment="1">
      <alignment horizontal="left" vertical="center" shrinkToFit="1"/>
    </xf>
    <xf numFmtId="164" fontId="33" fillId="0" borderId="144" xfId="3" applyNumberFormat="1" applyFont="1" applyFill="1" applyBorder="1" applyAlignment="1">
      <alignment horizontal="left" vertical="center" shrinkToFit="1"/>
    </xf>
    <xf numFmtId="164" fontId="33" fillId="0" borderId="147" xfId="3" applyNumberFormat="1" applyFont="1" applyFill="1" applyBorder="1" applyAlignment="1">
      <alignment horizontal="left" vertical="center" shrinkToFit="1"/>
    </xf>
    <xf numFmtId="0" fontId="33" fillId="0" borderId="148" xfId="3" applyFont="1" applyFill="1" applyBorder="1" applyAlignment="1">
      <alignment horizontal="center" vertical="center" shrinkToFit="1"/>
    </xf>
    <xf numFmtId="0" fontId="33" fillId="0" borderId="149" xfId="3" applyFont="1" applyFill="1" applyBorder="1" applyAlignment="1">
      <alignment horizontal="center" vertical="center" shrinkToFit="1"/>
    </xf>
    <xf numFmtId="0" fontId="33" fillId="0" borderId="149" xfId="3" applyFont="1" applyFill="1" applyBorder="1" applyAlignment="1">
      <alignment horizontal="center" vertical="center" justifyLastLine="1"/>
    </xf>
    <xf numFmtId="0" fontId="33" fillId="0" borderId="133" xfId="3" applyFont="1" applyFill="1" applyBorder="1" applyAlignment="1">
      <alignment horizontal="center" vertical="center"/>
    </xf>
    <xf numFmtId="0" fontId="33" fillId="0" borderId="131" xfId="3" applyFont="1" applyFill="1" applyBorder="1" applyAlignment="1">
      <alignment horizontal="center" vertical="center"/>
    </xf>
    <xf numFmtId="0" fontId="33" fillId="0" borderId="132" xfId="3" applyFont="1" applyFill="1" applyBorder="1" applyAlignment="1">
      <alignment horizontal="center" vertical="center"/>
    </xf>
    <xf numFmtId="0" fontId="33" fillId="0" borderId="131" xfId="3" applyFont="1" applyBorder="1" applyAlignment="1">
      <alignment horizontal="center" vertical="center"/>
    </xf>
    <xf numFmtId="0" fontId="33" fillId="0" borderId="132" xfId="3" applyFont="1" applyBorder="1" applyAlignment="1">
      <alignment horizontal="center" vertical="center"/>
    </xf>
    <xf numFmtId="0" fontId="33" fillId="0" borderId="134" xfId="3" applyFont="1" applyFill="1" applyBorder="1" applyAlignment="1">
      <alignment horizontal="center" vertical="center"/>
    </xf>
    <xf numFmtId="0" fontId="33" fillId="0" borderId="0" xfId="3" applyNumberFormat="1" applyFont="1" applyFill="1" applyAlignment="1">
      <alignment horizontal="left" vertical="center" shrinkToFit="1"/>
    </xf>
    <xf numFmtId="0" fontId="33" fillId="0" borderId="0" xfId="3" applyNumberFormat="1" applyFont="1" applyAlignment="1">
      <alignment horizontal="left" vertical="center"/>
    </xf>
    <xf numFmtId="0" fontId="33" fillId="0" borderId="130" xfId="3" applyFont="1" applyFill="1" applyBorder="1" applyAlignment="1">
      <alignment horizontal="center" vertical="center" shrinkToFit="1"/>
    </xf>
    <xf numFmtId="0" fontId="33" fillId="0" borderId="131" xfId="3" applyFont="1" applyFill="1" applyBorder="1" applyAlignment="1">
      <alignment horizontal="center" vertical="center" shrinkToFit="1"/>
    </xf>
    <xf numFmtId="0" fontId="33" fillId="0" borderId="132" xfId="3" applyFont="1" applyFill="1" applyBorder="1" applyAlignment="1">
      <alignment horizontal="center" vertical="center" shrinkToFit="1"/>
    </xf>
    <xf numFmtId="0" fontId="33" fillId="0" borderId="133" xfId="3" applyFont="1" applyFill="1" applyBorder="1" applyAlignment="1">
      <alignment horizontal="left" vertical="center" shrinkToFit="1"/>
    </xf>
    <xf numFmtId="0" fontId="33" fillId="0" borderId="131" xfId="3" applyFont="1" applyFill="1" applyBorder="1" applyAlignment="1">
      <alignment horizontal="left" vertical="center" shrinkToFit="1"/>
    </xf>
    <xf numFmtId="0" fontId="33" fillId="0" borderId="132" xfId="3" applyFont="1" applyFill="1" applyBorder="1" applyAlignment="1">
      <alignment horizontal="left" vertical="center" shrinkToFit="1"/>
    </xf>
    <xf numFmtId="0" fontId="33" fillId="0" borderId="133" xfId="3" applyFont="1" applyFill="1" applyBorder="1" applyAlignment="1">
      <alignment horizontal="center" vertical="center" shrinkToFit="1"/>
    </xf>
    <xf numFmtId="0" fontId="33" fillId="0" borderId="134" xfId="3" applyFont="1" applyFill="1" applyBorder="1" applyAlignment="1">
      <alignment horizontal="left" vertical="center" shrinkToFit="1"/>
    </xf>
    <xf numFmtId="0" fontId="31" fillId="0" borderId="0" xfId="3" applyFont="1" applyAlignment="1">
      <alignment horizontal="left" vertical="center"/>
    </xf>
    <xf numFmtId="0" fontId="31" fillId="0" borderId="0" xfId="3" quotePrefix="1" applyFont="1" applyAlignment="1">
      <alignment horizontal="left" vertical="top" wrapText="1"/>
    </xf>
    <xf numFmtId="0" fontId="31" fillId="0" borderId="0" xfId="3" applyFont="1" applyAlignment="1">
      <alignment horizontal="left" vertical="top" wrapText="1"/>
    </xf>
    <xf numFmtId="0" fontId="31" fillId="0" borderId="0" xfId="3" applyFont="1" applyAlignment="1">
      <alignment horizontal="right" vertical="center"/>
    </xf>
    <xf numFmtId="49" fontId="31" fillId="0" borderId="0" xfId="3" applyNumberFormat="1" applyFont="1" applyAlignment="1">
      <alignment vertical="center"/>
    </xf>
    <xf numFmtId="49" fontId="19" fillId="0" borderId="0" xfId="3" applyNumberFormat="1" applyFont="1" applyAlignment="1">
      <alignment vertical="center"/>
    </xf>
    <xf numFmtId="0" fontId="33" fillId="0" borderId="0" xfId="3" applyNumberFormat="1" applyFont="1" applyFill="1" applyAlignment="1">
      <alignment horizontal="left" vertical="center"/>
    </xf>
    <xf numFmtId="0" fontId="19" fillId="0" borderId="0" xfId="3" applyFont="1" applyFill="1" applyBorder="1" applyAlignment="1" applyProtection="1">
      <alignment horizontal="left" vertical="center" shrinkToFit="1"/>
      <protection locked="0"/>
    </xf>
    <xf numFmtId="0" fontId="38" fillId="0" borderId="0" xfId="3" applyFont="1" applyAlignment="1">
      <alignment horizontal="left" vertical="top" wrapText="1"/>
    </xf>
    <xf numFmtId="0" fontId="19" fillId="0" borderId="0" xfId="3" applyFont="1" applyFill="1" applyBorder="1" applyAlignment="1">
      <alignment horizontal="left" vertical="center" shrinkToFit="1"/>
    </xf>
    <xf numFmtId="0" fontId="19" fillId="0" borderId="0" xfId="3" applyFont="1" applyAlignment="1">
      <alignment horizontal="left" vertical="center"/>
    </xf>
    <xf numFmtId="0" fontId="19" fillId="0" borderId="0" xfId="3" applyFont="1" applyFill="1" applyBorder="1" applyAlignment="1" applyProtection="1">
      <alignment horizontal="left" vertical="center"/>
      <protection locked="0"/>
    </xf>
    <xf numFmtId="169" fontId="19" fillId="0" borderId="0" xfId="3" applyNumberFormat="1" applyFont="1" applyFill="1" applyBorder="1" applyAlignment="1" applyProtection="1">
      <alignment horizontal="left" vertical="center"/>
      <protection locked="0"/>
    </xf>
    <xf numFmtId="0" fontId="35" fillId="0" borderId="41" xfId="3" applyFont="1" applyFill="1" applyBorder="1" applyAlignment="1" applyProtection="1">
      <alignment horizontal="center" vertical="center" shrinkToFit="1"/>
      <protection locked="0"/>
    </xf>
    <xf numFmtId="0" fontId="31" fillId="0" borderId="0" xfId="3" applyFont="1" applyAlignment="1">
      <alignment vertical="center" shrinkToFit="1"/>
    </xf>
    <xf numFmtId="0" fontId="19" fillId="0" borderId="0" xfId="3" applyFont="1" applyAlignment="1">
      <alignment vertical="center" shrinkToFit="1"/>
    </xf>
    <xf numFmtId="0" fontId="19" fillId="0" borderId="0" xfId="3" applyFont="1" applyFill="1" applyAlignment="1">
      <alignment horizontal="center"/>
    </xf>
    <xf numFmtId="0" fontId="19" fillId="0" borderId="0" xfId="3" applyFont="1" applyAlignment="1"/>
    <xf numFmtId="0" fontId="32" fillId="0" borderId="0" xfId="3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left" vertical="center"/>
    </xf>
    <xf numFmtId="49" fontId="19" fillId="0" borderId="0" xfId="3" applyNumberFormat="1" applyFont="1" applyFill="1" applyBorder="1" applyAlignment="1">
      <alignment horizontal="left" vertical="center"/>
    </xf>
    <xf numFmtId="0" fontId="19" fillId="0" borderId="0" xfId="3" applyNumberFormat="1" applyFont="1" applyFill="1" applyBorder="1" applyAlignment="1">
      <alignment horizontal="left" vertical="center"/>
    </xf>
    <xf numFmtId="165" fontId="33" fillId="0" borderId="159" xfId="3" applyNumberFormat="1" applyFont="1" applyBorder="1" applyAlignment="1" applyProtection="1">
      <alignment horizontal="center" vertical="center"/>
      <protection locked="0"/>
    </xf>
    <xf numFmtId="165" fontId="33" fillId="0" borderId="154" xfId="3" applyNumberFormat="1" applyFont="1" applyBorder="1" applyAlignment="1" applyProtection="1">
      <alignment horizontal="center" vertical="center"/>
      <protection locked="0"/>
    </xf>
    <xf numFmtId="165" fontId="33" fillId="0" borderId="155" xfId="3" applyNumberFormat="1" applyFont="1" applyBorder="1" applyAlignment="1" applyProtection="1">
      <alignment horizontal="center" vertical="center"/>
      <protection locked="0"/>
    </xf>
    <xf numFmtId="0" fontId="33" fillId="0" borderId="146" xfId="3" applyNumberFormat="1" applyFont="1" applyFill="1" applyBorder="1" applyAlignment="1" applyProtection="1">
      <alignment horizontal="center" vertical="center"/>
      <protection locked="0"/>
    </xf>
    <xf numFmtId="0" fontId="33" fillId="0" borderId="181" xfId="3" applyNumberFormat="1" applyFont="1" applyFill="1" applyBorder="1" applyAlignment="1" applyProtection="1">
      <alignment horizontal="center" vertical="center"/>
      <protection locked="0"/>
    </xf>
    <xf numFmtId="0" fontId="33" fillId="0" borderId="182" xfId="3" applyFont="1" applyBorder="1" applyAlignment="1">
      <alignment horizontal="right" vertical="center"/>
    </xf>
    <xf numFmtId="0" fontId="33" fillId="0" borderId="183" xfId="3" applyFont="1" applyBorder="1" applyAlignment="1">
      <alignment horizontal="right" vertical="center"/>
    </xf>
    <xf numFmtId="0" fontId="33" fillId="0" borderId="174" xfId="3" applyFont="1" applyBorder="1" applyAlignment="1">
      <alignment vertical="center" wrapText="1"/>
    </xf>
    <xf numFmtId="0" fontId="33" fillId="0" borderId="176" xfId="3" applyFont="1" applyBorder="1" applyAlignment="1">
      <alignment vertical="center" wrapText="1"/>
    </xf>
    <xf numFmtId="1" fontId="33" fillId="0" borderId="159" xfId="3" applyNumberFormat="1" applyFont="1" applyBorder="1" applyAlignment="1" applyProtection="1">
      <alignment horizontal="center" vertical="center"/>
      <protection locked="0"/>
    </xf>
    <xf numFmtId="1" fontId="33" fillId="0" borderId="154" xfId="3" applyNumberFormat="1" applyFont="1" applyBorder="1" applyAlignment="1" applyProtection="1">
      <alignment horizontal="center" vertical="center"/>
      <protection locked="0"/>
    </xf>
    <xf numFmtId="1" fontId="33" fillId="0" borderId="155" xfId="3" applyNumberFormat="1" applyFont="1" applyBorder="1" applyAlignment="1" applyProtection="1">
      <alignment horizontal="center" vertical="center"/>
      <protection locked="0"/>
    </xf>
    <xf numFmtId="0" fontId="33" fillId="0" borderId="152" xfId="3" applyNumberFormat="1" applyFont="1" applyFill="1" applyBorder="1" applyAlignment="1" applyProtection="1">
      <alignment horizontal="center" vertical="center"/>
      <protection locked="0"/>
    </xf>
    <xf numFmtId="0" fontId="33" fillId="0" borderId="175" xfId="3" applyNumberFormat="1" applyFont="1" applyFill="1" applyBorder="1" applyAlignment="1" applyProtection="1">
      <alignment horizontal="center" vertical="center"/>
      <protection locked="0"/>
    </xf>
    <xf numFmtId="0" fontId="33" fillId="0" borderId="179" xfId="3" applyNumberFormat="1" applyFont="1" applyFill="1" applyBorder="1" applyAlignment="1" applyProtection="1">
      <alignment horizontal="center" vertical="center"/>
      <protection locked="0"/>
    </xf>
    <xf numFmtId="0" fontId="33" fillId="0" borderId="45" xfId="3" applyNumberFormat="1" applyFont="1" applyFill="1" applyBorder="1" applyAlignment="1" applyProtection="1">
      <alignment horizontal="center" vertical="center"/>
      <protection locked="0"/>
    </xf>
    <xf numFmtId="0" fontId="33" fillId="0" borderId="153" xfId="3" applyNumberFormat="1" applyFont="1" applyFill="1" applyBorder="1" applyAlignment="1" applyProtection="1">
      <alignment horizontal="center" vertical="center"/>
      <protection locked="0"/>
    </xf>
    <xf numFmtId="0" fontId="33" fillId="0" borderId="173" xfId="3" applyNumberFormat="1" applyFont="1" applyFill="1" applyBorder="1" applyAlignment="1" applyProtection="1">
      <alignment horizontal="center" vertical="center"/>
      <protection locked="0"/>
    </xf>
    <xf numFmtId="0" fontId="33" fillId="0" borderId="171" xfId="3" applyFont="1" applyBorder="1" applyAlignment="1">
      <alignment vertical="center"/>
    </xf>
    <xf numFmtId="2" fontId="33" fillId="0" borderId="159" xfId="3" applyNumberFormat="1" applyFont="1" applyBorder="1" applyAlignment="1" applyProtection="1">
      <alignment horizontal="center" vertical="center"/>
      <protection locked="0"/>
    </xf>
    <xf numFmtId="2" fontId="33" fillId="0" borderId="154" xfId="3" applyNumberFormat="1" applyFont="1" applyBorder="1" applyAlignment="1" applyProtection="1">
      <alignment horizontal="center" vertical="center"/>
      <protection locked="0"/>
    </xf>
    <xf numFmtId="2" fontId="33" fillId="0" borderId="155" xfId="3" applyNumberFormat="1" applyFont="1" applyBorder="1" applyAlignment="1" applyProtection="1">
      <alignment horizontal="center" vertical="center"/>
      <protection locked="0"/>
    </xf>
    <xf numFmtId="1" fontId="33" fillId="0" borderId="153" xfId="3" applyNumberFormat="1" applyFont="1" applyBorder="1" applyAlignment="1" applyProtection="1">
      <alignment horizontal="center" vertical="center"/>
      <protection locked="0"/>
    </xf>
    <xf numFmtId="1" fontId="33" fillId="0" borderId="173" xfId="3" applyNumberFormat="1" applyFont="1" applyBorder="1" applyAlignment="1" applyProtection="1">
      <alignment horizontal="center" vertical="center"/>
      <protection locked="0"/>
    </xf>
    <xf numFmtId="0" fontId="33" fillId="0" borderId="174" xfId="3" applyFont="1" applyBorder="1" applyAlignment="1">
      <alignment horizontal="left" vertical="center" wrapText="1"/>
    </xf>
    <xf numFmtId="0" fontId="33" fillId="0" borderId="178" xfId="3" applyFont="1" applyBorder="1" applyAlignment="1">
      <alignment horizontal="left" vertical="center" wrapText="1"/>
    </xf>
    <xf numFmtId="1" fontId="33" fillId="0" borderId="152" xfId="3" applyNumberFormat="1" applyFont="1" applyBorder="1" applyAlignment="1" applyProtection="1">
      <alignment horizontal="center" vertical="center"/>
      <protection locked="0"/>
    </xf>
    <xf numFmtId="1" fontId="33" fillId="0" borderId="175" xfId="3" applyNumberFormat="1" applyFont="1" applyBorder="1" applyAlignment="1" applyProtection="1">
      <alignment horizontal="center" vertical="center"/>
      <protection locked="0"/>
    </xf>
    <xf numFmtId="1" fontId="33" fillId="0" borderId="179" xfId="3" applyNumberFormat="1" applyFont="1" applyBorder="1" applyAlignment="1" applyProtection="1">
      <alignment horizontal="center" vertical="center"/>
      <protection locked="0"/>
    </xf>
    <xf numFmtId="1" fontId="33" fillId="0" borderId="45" xfId="3" applyNumberFormat="1" applyFont="1" applyBorder="1" applyAlignment="1" applyProtection="1">
      <alignment horizontal="center" vertical="center"/>
      <protection locked="0"/>
    </xf>
    <xf numFmtId="1" fontId="33" fillId="0" borderId="157" xfId="3" applyNumberFormat="1" applyFont="1" applyBorder="1" applyAlignment="1" applyProtection="1">
      <alignment horizontal="center" vertical="center"/>
      <protection locked="0"/>
    </xf>
    <xf numFmtId="1" fontId="33" fillId="0" borderId="177" xfId="3" applyNumberFormat="1" applyFont="1" applyBorder="1" applyAlignment="1" applyProtection="1">
      <alignment horizontal="center" vertical="center"/>
      <protection locked="0"/>
    </xf>
    <xf numFmtId="1" fontId="33" fillId="0" borderId="156" xfId="3" applyNumberFormat="1" applyFont="1" applyBorder="1" applyAlignment="1" applyProtection="1">
      <alignment horizontal="center" vertical="center"/>
      <protection locked="0"/>
    </xf>
    <xf numFmtId="1" fontId="33" fillId="0" borderId="180" xfId="3" applyNumberFormat="1" applyFont="1" applyBorder="1" applyAlignment="1" applyProtection="1">
      <alignment horizontal="center" vertical="center"/>
      <protection locked="0"/>
    </xf>
    <xf numFmtId="1" fontId="33" fillId="0" borderId="158" xfId="3" applyNumberFormat="1" applyFont="1" applyBorder="1" applyAlignment="1" applyProtection="1">
      <alignment horizontal="center" vertical="center"/>
      <protection locked="0"/>
    </xf>
    <xf numFmtId="166" fontId="33" fillId="0" borderId="159" xfId="3" applyNumberFormat="1" applyFont="1" applyBorder="1" applyAlignment="1" applyProtection="1">
      <alignment horizontal="center" vertical="center"/>
      <protection locked="0"/>
    </xf>
    <xf numFmtId="166" fontId="33" fillId="0" borderId="154" xfId="3" applyNumberFormat="1" applyFont="1" applyBorder="1" applyAlignment="1" applyProtection="1">
      <alignment horizontal="center" vertical="center"/>
      <protection locked="0"/>
    </xf>
    <xf numFmtId="166" fontId="33" fillId="0" borderId="155" xfId="3" applyNumberFormat="1" applyFont="1" applyBorder="1" applyAlignment="1" applyProtection="1">
      <alignment horizontal="center" vertical="center"/>
      <protection locked="0"/>
    </xf>
    <xf numFmtId="0" fontId="33" fillId="0" borderId="159" xfId="3" applyFont="1" applyBorder="1" applyAlignment="1">
      <alignment vertical="center"/>
    </xf>
    <xf numFmtId="0" fontId="33" fillId="0" borderId="155" xfId="3" applyFont="1" applyBorder="1" applyAlignment="1">
      <alignment vertical="center"/>
    </xf>
    <xf numFmtId="165" fontId="33" fillId="0" borderId="159" xfId="3" applyNumberFormat="1" applyFont="1" applyBorder="1" applyAlignment="1">
      <alignment horizontal="center" vertical="center"/>
    </xf>
    <xf numFmtId="165" fontId="33" fillId="0" borderId="154" xfId="3" applyNumberFormat="1" applyFont="1" applyBorder="1" applyAlignment="1">
      <alignment horizontal="center" vertical="center"/>
    </xf>
    <xf numFmtId="165" fontId="33" fillId="0" borderId="155" xfId="3" applyNumberFormat="1" applyFont="1" applyBorder="1" applyAlignment="1">
      <alignment horizontal="center" vertical="center"/>
    </xf>
    <xf numFmtId="3" fontId="33" fillId="0" borderId="153" xfId="3" applyNumberFormat="1" applyFont="1" applyBorder="1" applyAlignment="1">
      <alignment horizontal="center" vertical="center"/>
    </xf>
    <xf numFmtId="3" fontId="33" fillId="0" borderId="173" xfId="3" applyNumberFormat="1" applyFont="1" applyBorder="1" applyAlignment="1">
      <alignment horizontal="center" vertical="center"/>
    </xf>
    <xf numFmtId="0" fontId="33" fillId="0" borderId="174" xfId="3" applyFont="1" applyBorder="1" applyAlignment="1">
      <alignment vertical="center"/>
    </xf>
    <xf numFmtId="0" fontId="33" fillId="0" borderId="176" xfId="3" applyFont="1" applyBorder="1" applyAlignment="1">
      <alignment vertical="center"/>
    </xf>
    <xf numFmtId="0" fontId="33" fillId="0" borderId="135" xfId="3" applyFont="1" applyBorder="1" applyAlignment="1">
      <alignment vertical="center"/>
    </xf>
    <xf numFmtId="0" fontId="33" fillId="0" borderId="137" xfId="3" applyFont="1" applyBorder="1" applyAlignment="1">
      <alignment vertical="center"/>
    </xf>
    <xf numFmtId="0" fontId="33" fillId="0" borderId="150" xfId="3" applyFont="1" applyBorder="1" applyAlignment="1">
      <alignment vertical="center"/>
    </xf>
    <xf numFmtId="0" fontId="33" fillId="0" borderId="151" xfId="3" applyFont="1" applyBorder="1" applyAlignment="1">
      <alignment vertical="center"/>
    </xf>
    <xf numFmtId="0" fontId="33" fillId="0" borderId="139" xfId="3" applyFont="1" applyBorder="1" applyAlignment="1">
      <alignment vertical="center"/>
    </xf>
    <xf numFmtId="0" fontId="33" fillId="0" borderId="141" xfId="3" applyFont="1" applyBorder="1" applyAlignment="1">
      <alignment vertical="center"/>
    </xf>
    <xf numFmtId="0" fontId="33" fillId="0" borderId="159" xfId="3" applyFont="1" applyBorder="1" applyAlignment="1">
      <alignment horizontal="center" vertical="center"/>
    </xf>
    <xf numFmtId="0" fontId="33" fillId="0" borderId="154" xfId="3" applyFont="1" applyBorder="1" applyAlignment="1">
      <alignment horizontal="center" vertical="center"/>
    </xf>
    <xf numFmtId="0" fontId="33" fillId="0" borderId="155" xfId="3" applyFont="1" applyBorder="1" applyAlignment="1">
      <alignment horizontal="center" vertical="center"/>
    </xf>
    <xf numFmtId="173" fontId="33" fillId="0" borderId="159" xfId="3" applyNumberFormat="1" applyFont="1" applyBorder="1" applyAlignment="1">
      <alignment horizontal="center" vertical="center"/>
    </xf>
    <xf numFmtId="173" fontId="33" fillId="0" borderId="154" xfId="3" applyNumberFormat="1" applyFont="1" applyBorder="1" applyAlignment="1">
      <alignment horizontal="center" vertical="center"/>
    </xf>
    <xf numFmtId="173" fontId="33" fillId="0" borderId="155" xfId="3" applyNumberFormat="1" applyFont="1" applyBorder="1" applyAlignment="1">
      <alignment horizontal="center" vertical="center"/>
    </xf>
    <xf numFmtId="3" fontId="33" fillId="0" borderId="159" xfId="3" applyNumberFormat="1" applyFont="1" applyBorder="1" applyAlignment="1">
      <alignment horizontal="center" vertical="center"/>
    </xf>
    <xf numFmtId="3" fontId="33" fillId="0" borderId="154" xfId="3" applyNumberFormat="1" applyFont="1" applyBorder="1" applyAlignment="1">
      <alignment horizontal="center" vertical="center"/>
    </xf>
    <xf numFmtId="3" fontId="33" fillId="0" borderId="155" xfId="3" applyNumberFormat="1" applyFont="1" applyBorder="1" applyAlignment="1">
      <alignment horizontal="center" vertical="center"/>
    </xf>
    <xf numFmtId="0" fontId="33" fillId="0" borderId="167" xfId="3" applyFont="1" applyBorder="1" applyAlignment="1">
      <alignment horizontal="distributed" vertical="center" justifyLastLine="1"/>
    </xf>
    <xf numFmtId="0" fontId="33" fillId="0" borderId="167" xfId="3" applyFont="1" applyBorder="1" applyAlignment="1">
      <alignment horizontal="center" vertical="center"/>
    </xf>
    <xf numFmtId="0" fontId="33" fillId="0" borderId="170" xfId="3" applyFont="1" applyBorder="1" applyAlignment="1">
      <alignment horizontal="center" vertical="center"/>
    </xf>
    <xf numFmtId="0" fontId="33" fillId="0" borderId="166" xfId="3" applyFont="1" applyBorder="1" applyAlignment="1">
      <alignment horizontal="center" vertical="center"/>
    </xf>
    <xf numFmtId="3" fontId="33" fillId="0" borderId="130" xfId="3" applyNumberFormat="1" applyFont="1" applyBorder="1" applyAlignment="1">
      <alignment horizontal="center" vertical="center"/>
    </xf>
    <xf numFmtId="3" fontId="33" fillId="0" borderId="131" xfId="3" applyNumberFormat="1" applyFont="1" applyBorder="1" applyAlignment="1">
      <alignment horizontal="center" vertical="center"/>
    </xf>
    <xf numFmtId="3" fontId="33" fillId="0" borderId="132" xfId="3" applyNumberFormat="1" applyFont="1" applyBorder="1" applyAlignment="1">
      <alignment horizontal="center" vertical="center"/>
    </xf>
    <xf numFmtId="3" fontId="33" fillId="0" borderId="133" xfId="3" applyNumberFormat="1" applyFont="1" applyBorder="1" applyAlignment="1">
      <alignment horizontal="center" vertical="center"/>
    </xf>
    <xf numFmtId="3" fontId="33" fillId="0" borderId="172" xfId="3" applyNumberFormat="1" applyFont="1" applyBorder="1" applyAlignment="1">
      <alignment horizontal="center" vertical="center"/>
    </xf>
    <xf numFmtId="0" fontId="33" fillId="0" borderId="163" xfId="3" applyFont="1" applyBorder="1" applyAlignment="1">
      <alignment horizontal="center" vertical="center"/>
    </xf>
    <xf numFmtId="0" fontId="33" fillId="0" borderId="164" xfId="3" applyFont="1" applyBorder="1" applyAlignment="1">
      <alignment horizontal="center" vertical="center"/>
    </xf>
    <xf numFmtId="0" fontId="33" fillId="0" borderId="165" xfId="3" applyFont="1" applyBorder="1" applyAlignment="1">
      <alignment horizontal="center" vertical="center"/>
    </xf>
    <xf numFmtId="169" fontId="33" fillId="0" borderId="163" xfId="3" applyNumberFormat="1" applyFont="1" applyFill="1" applyBorder="1" applyAlignment="1" applyProtection="1">
      <alignment horizontal="center" vertical="center"/>
      <protection locked="0"/>
    </xf>
    <xf numFmtId="169" fontId="33" fillId="0" borderId="164" xfId="3" applyNumberFormat="1" applyFont="1" applyFill="1" applyBorder="1" applyAlignment="1" applyProtection="1">
      <alignment horizontal="center" vertical="center"/>
      <protection locked="0"/>
    </xf>
    <xf numFmtId="0" fontId="46" fillId="0" borderId="164" xfId="3" applyFont="1" applyFill="1" applyBorder="1" applyAlignment="1" applyProtection="1">
      <alignment horizontal="center" vertical="center"/>
      <protection locked="0"/>
    </xf>
    <xf numFmtId="0" fontId="46" fillId="0" borderId="166" xfId="3" applyFont="1" applyFill="1" applyBorder="1" applyAlignment="1" applyProtection="1">
      <alignment horizontal="center" vertical="center"/>
      <protection locked="0"/>
    </xf>
    <xf numFmtId="0" fontId="44" fillId="0" borderId="0" xfId="3" applyFont="1" applyBorder="1" applyAlignment="1">
      <alignment horizontal="center" vertical="center"/>
    </xf>
    <xf numFmtId="0" fontId="33" fillId="0" borderId="163" xfId="3" applyFont="1" applyFill="1" applyBorder="1" applyAlignment="1" applyProtection="1">
      <alignment horizontal="center" vertical="center" shrinkToFit="1"/>
      <protection locked="0"/>
    </xf>
    <xf numFmtId="0" fontId="33" fillId="0" borderId="164" xfId="3" applyFont="1" applyFill="1" applyBorder="1" applyAlignment="1" applyProtection="1">
      <alignment horizontal="center" vertical="center" shrinkToFit="1"/>
      <protection locked="0"/>
    </xf>
    <xf numFmtId="0" fontId="33" fillId="0" borderId="165" xfId="3" applyFont="1" applyFill="1" applyBorder="1" applyAlignment="1" applyProtection="1">
      <alignment horizontal="center" vertical="center" shrinkToFit="1"/>
      <protection locked="0"/>
    </xf>
    <xf numFmtId="0" fontId="8" fillId="0" borderId="109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12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8" fillId="0" borderId="45" xfId="0" applyFont="1" applyBorder="1" applyAlignment="1">
      <alignment horizontal="right" vertical="center"/>
    </xf>
    <xf numFmtId="0" fontId="8" fillId="0" borderId="69" xfId="0" applyFont="1" applyBorder="1" applyAlignment="1">
      <alignment horizontal="right" vertical="center"/>
    </xf>
    <xf numFmtId="0" fontId="8" fillId="0" borderId="125" xfId="0" applyFont="1" applyBorder="1" applyAlignment="1">
      <alignment horizontal="right" vertical="center"/>
    </xf>
    <xf numFmtId="0" fontId="8" fillId="0" borderId="117" xfId="0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125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0" fontId="8" fillId="0" borderId="1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11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2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0" fontId="8" fillId="0" borderId="41" xfId="0" applyFont="1" applyBorder="1" applyAlignment="1">
      <alignment horizontal="right" vertical="center"/>
    </xf>
    <xf numFmtId="0" fontId="8" fillId="0" borderId="42" xfId="0" applyFont="1" applyBorder="1" applyAlignment="1">
      <alignment horizontal="right" vertical="center"/>
    </xf>
    <xf numFmtId="0" fontId="8" fillId="0" borderId="119" xfId="0" applyFont="1" applyBorder="1" applyAlignment="1">
      <alignment horizontal="center" vertical="center"/>
    </xf>
    <xf numFmtId="0" fontId="33" fillId="0" borderId="0" xfId="3" applyFont="1" applyAlignment="1">
      <alignment horizontal="center"/>
    </xf>
    <xf numFmtId="0" fontId="1" fillId="0" borderId="0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2" fontId="8" fillId="0" borderId="91" xfId="0" applyNumberFormat="1" applyFont="1" applyBorder="1" applyAlignment="1">
      <alignment horizontal="center" vertical="center"/>
    </xf>
    <xf numFmtId="2" fontId="8" fillId="0" borderId="92" xfId="0" applyNumberFormat="1" applyFont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19" fillId="0" borderId="0" xfId="3" applyFont="1" applyBorder="1" applyAlignment="1">
      <alignment horizontal="left" wrapText="1"/>
    </xf>
    <xf numFmtId="176" fontId="19" fillId="0" borderId="0" xfId="3" applyNumberFormat="1" applyFont="1" applyBorder="1" applyAlignment="1">
      <alignment horizontal="left"/>
    </xf>
    <xf numFmtId="0" fontId="19" fillId="0" borderId="0" xfId="3" applyFont="1" applyBorder="1" applyAlignment="1">
      <alignment horizontal="left"/>
    </xf>
    <xf numFmtId="170" fontId="19" fillId="0" borderId="0" xfId="3" applyNumberFormat="1" applyFont="1" applyAlignment="1">
      <alignment horizontal="left"/>
    </xf>
    <xf numFmtId="171" fontId="19" fillId="0" borderId="0" xfId="3" applyNumberFormat="1" applyFont="1" applyBorder="1" applyAlignment="1">
      <alignment horizontal="left"/>
    </xf>
    <xf numFmtId="0" fontId="8" fillId="0" borderId="115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28" xfId="0" applyFont="1" applyBorder="1" applyAlignment="1">
      <alignment horizontal="center" vertical="center"/>
    </xf>
    <xf numFmtId="0" fontId="8" fillId="0" borderId="186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164" fontId="1" fillId="0" borderId="73" xfId="0" applyNumberFormat="1" applyFont="1" applyBorder="1" applyAlignment="1">
      <alignment horizontal="center" vertical="center"/>
    </xf>
    <xf numFmtId="164" fontId="1" fillId="0" borderId="48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0" fontId="1" fillId="0" borderId="33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7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75" xfId="0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13" xfId="0" applyFont="1" applyBorder="1">
      <alignment vertical="center"/>
    </xf>
    <xf numFmtId="0" fontId="1" fillId="0" borderId="43" xfId="0" applyFont="1" applyBorder="1">
      <alignment vertical="center"/>
    </xf>
    <xf numFmtId="167" fontId="1" fillId="0" borderId="20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7" fontId="1" fillId="0" borderId="21" xfId="0" applyNumberFormat="1" applyFont="1" applyBorder="1" applyAlignment="1">
      <alignment horizontal="center" vertical="center"/>
    </xf>
    <xf numFmtId="165" fontId="1" fillId="0" borderId="24" xfId="0" applyNumberFormat="1" applyFont="1" applyBorder="1" applyAlignment="1">
      <alignment horizontal="center" vertical="center"/>
    </xf>
    <xf numFmtId="165" fontId="1" fillId="0" borderId="25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20" fontId="1" fillId="0" borderId="34" xfId="0" applyNumberFormat="1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center" vertical="center"/>
    </xf>
    <xf numFmtId="167" fontId="1" fillId="0" borderId="26" xfId="0" applyNumberFormat="1" applyFont="1" applyBorder="1" applyAlignment="1">
      <alignment horizontal="center" vertical="center"/>
    </xf>
    <xf numFmtId="167" fontId="1" fillId="0" borderId="27" xfId="0" applyNumberFormat="1" applyFont="1" applyBorder="1" applyAlignment="1">
      <alignment horizontal="center" vertical="center"/>
    </xf>
    <xf numFmtId="167" fontId="1" fillId="0" borderId="28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165" fontId="1" fillId="0" borderId="27" xfId="0" applyNumberFormat="1" applyFont="1" applyBorder="1" applyAlignment="1">
      <alignment horizontal="center" vertical="center"/>
    </xf>
    <xf numFmtId="165" fontId="1" fillId="0" borderId="6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20" fontId="1" fillId="0" borderId="35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8" xfId="0" applyFont="1" applyBorder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2" fontId="1" fillId="0" borderId="28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3" fontId="1" fillId="0" borderId="62" xfId="0" applyNumberFormat="1" applyFont="1" applyBorder="1" applyAlignment="1">
      <alignment horizontal="center" vertical="center"/>
    </xf>
    <xf numFmtId="3" fontId="1" fillId="0" borderId="63" xfId="0" applyNumberFormat="1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3" fontId="23" fillId="0" borderId="11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20" fontId="1" fillId="0" borderId="23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37" fontId="1" fillId="0" borderId="24" xfId="4" applyNumberFormat="1" applyFont="1" applyBorder="1" applyAlignment="1">
      <alignment horizontal="center" vertical="center"/>
    </xf>
    <xf numFmtId="37" fontId="1" fillId="0" borderId="25" xfId="4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8" xfId="0" applyFont="1" applyBorder="1">
      <alignment vertical="center"/>
    </xf>
    <xf numFmtId="0" fontId="1" fillId="0" borderId="9" xfId="0" quotePrefix="1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21" xfId="0" applyFont="1" applyBorder="1">
      <alignment vertical="center"/>
    </xf>
    <xf numFmtId="0" fontId="1" fillId="0" borderId="46" xfId="0" applyFont="1" applyBorder="1">
      <alignment vertical="center"/>
    </xf>
    <xf numFmtId="0" fontId="1" fillId="0" borderId="27" xfId="0" applyFont="1" applyBorder="1">
      <alignment vertical="center"/>
    </xf>
    <xf numFmtId="165" fontId="1" fillId="0" borderId="73" xfId="0" applyNumberFormat="1" applyFont="1" applyBorder="1" applyAlignment="1">
      <alignment horizontal="center" vertical="center"/>
    </xf>
    <xf numFmtId="165" fontId="1" fillId="0" borderId="48" xfId="0" applyNumberFormat="1" applyFont="1" applyBorder="1" applyAlignment="1">
      <alignment horizontal="center" vertical="center"/>
    </xf>
    <xf numFmtId="165" fontId="1" fillId="0" borderId="49" xfId="0" applyNumberFormat="1" applyFont="1" applyBorder="1" applyAlignment="1">
      <alignment horizontal="center" vertical="center"/>
    </xf>
    <xf numFmtId="164" fontId="17" fillId="0" borderId="5" xfId="0" applyNumberFormat="1" applyFont="1" applyBorder="1" applyAlignment="1">
      <alignment horizontal="center" vertical="center" wrapText="1"/>
    </xf>
    <xf numFmtId="164" fontId="17" fillId="0" borderId="71" xfId="0" applyNumberFormat="1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shrinkToFit="1"/>
    </xf>
    <xf numFmtId="0" fontId="1" fillId="0" borderId="66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1" fillId="0" borderId="28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32" xfId="0" applyFont="1" applyBorder="1">
      <alignment vertical="center"/>
    </xf>
    <xf numFmtId="166" fontId="1" fillId="0" borderId="65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7" xfId="0" applyFont="1" applyBorder="1" applyAlignment="1">
      <alignment vertical="center" shrinkToFit="1"/>
    </xf>
    <xf numFmtId="0" fontId="1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71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19" xfId="0" applyFont="1" applyBorder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" fillId="0" borderId="13" xfId="0" applyFont="1" applyBorder="1" applyAlignment="1">
      <alignment vertical="center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textRotation="180" wrapText="1"/>
    </xf>
    <xf numFmtId="0" fontId="7" fillId="0" borderId="34" xfId="0" applyFont="1" applyBorder="1" applyAlignment="1">
      <alignment horizontal="center" vertical="center" textRotation="180" wrapText="1"/>
    </xf>
    <xf numFmtId="0" fontId="7" fillId="0" borderId="35" xfId="0" applyFont="1" applyBorder="1" applyAlignment="1">
      <alignment horizontal="center" vertical="center" textRotation="180" wrapText="1"/>
    </xf>
    <xf numFmtId="0" fontId="7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7" fillId="0" borderId="36" xfId="0" applyFont="1" applyBorder="1" applyAlignment="1">
      <alignment horizontal="center" vertical="center" textRotation="180" wrapText="1"/>
    </xf>
    <xf numFmtId="0" fontId="7" fillId="0" borderId="37" xfId="0" applyFont="1" applyBorder="1" applyAlignment="1">
      <alignment horizontal="center" vertical="center" textRotation="180" wrapText="1"/>
    </xf>
    <xf numFmtId="0" fontId="7" fillId="0" borderId="38" xfId="0" applyFont="1" applyBorder="1" applyAlignment="1">
      <alignment horizontal="center" vertical="center" textRotation="180" wrapText="1"/>
    </xf>
    <xf numFmtId="0" fontId="7" fillId="0" borderId="44" xfId="0" applyFont="1" applyBorder="1" applyAlignment="1">
      <alignment horizontal="center" vertical="center" textRotation="180" wrapText="1"/>
    </xf>
    <xf numFmtId="0" fontId="7" fillId="0" borderId="0" xfId="0" applyFont="1" applyBorder="1" applyAlignment="1">
      <alignment horizontal="center" vertical="center" textRotation="180" wrapText="1"/>
    </xf>
    <xf numFmtId="0" fontId="7" fillId="0" borderId="45" xfId="0" applyFont="1" applyBorder="1" applyAlignment="1">
      <alignment horizontal="center" vertical="center" textRotation="180" wrapText="1"/>
    </xf>
    <xf numFmtId="0" fontId="7" fillId="0" borderId="40" xfId="0" applyFont="1" applyBorder="1" applyAlignment="1">
      <alignment horizontal="center" vertical="center" textRotation="180" wrapText="1"/>
    </xf>
    <xf numFmtId="0" fontId="7" fillId="0" borderId="41" xfId="0" applyFont="1" applyBorder="1" applyAlignment="1">
      <alignment horizontal="center" vertical="center" textRotation="180" wrapText="1"/>
    </xf>
    <xf numFmtId="0" fontId="7" fillId="0" borderId="42" xfId="0" applyFont="1" applyBorder="1" applyAlignment="1">
      <alignment horizontal="center" vertical="center" textRotation="180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textRotation="180" wrapText="1"/>
    </xf>
    <xf numFmtId="0" fontId="7" fillId="0" borderId="9" xfId="0" applyFont="1" applyBorder="1" applyAlignment="1">
      <alignment horizontal="center" vertical="center" textRotation="180" wrapText="1"/>
    </xf>
    <xf numFmtId="0" fontId="7" fillId="0" borderId="21" xfId="0" applyFont="1" applyBorder="1" applyAlignment="1">
      <alignment horizontal="center" vertical="center" textRotation="180" wrapText="1"/>
    </xf>
    <xf numFmtId="0" fontId="7" fillId="0" borderId="26" xfId="0" applyFont="1" applyBorder="1" applyAlignment="1">
      <alignment horizontal="center" vertical="center" textRotation="180" wrapText="1"/>
    </xf>
    <xf numFmtId="0" fontId="7" fillId="0" borderId="27" xfId="0" applyFont="1" applyBorder="1" applyAlignment="1">
      <alignment horizontal="center" vertical="center" textRotation="180" wrapText="1"/>
    </xf>
    <xf numFmtId="0" fontId="7" fillId="0" borderId="28" xfId="0" applyFont="1" applyBorder="1" applyAlignment="1">
      <alignment horizontal="center" vertical="center" textRotation="180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0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6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53" xfId="0" applyFont="1" applyBorder="1">
      <alignment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30" xfId="0" applyFont="1" applyBorder="1">
      <alignment vertical="center"/>
    </xf>
    <xf numFmtId="166" fontId="1" fillId="0" borderId="33" xfId="0" applyNumberFormat="1" applyFont="1" applyBorder="1" applyAlignment="1">
      <alignment horizontal="center" vertical="center"/>
    </xf>
    <xf numFmtId="177" fontId="1" fillId="0" borderId="33" xfId="0" applyNumberFormat="1" applyFont="1" applyBorder="1" applyAlignment="1">
      <alignment horizontal="center" vertical="center"/>
    </xf>
    <xf numFmtId="166" fontId="1" fillId="0" borderId="35" xfId="0" applyNumberFormat="1" applyFont="1" applyBorder="1" applyAlignment="1">
      <alignment horizontal="center" vertical="center"/>
    </xf>
    <xf numFmtId="177" fontId="1" fillId="0" borderId="35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54" fillId="0" borderId="31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0" fontId="54" fillId="0" borderId="32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vertical="center"/>
    </xf>
    <xf numFmtId="0" fontId="54" fillId="0" borderId="27" xfId="0" applyFont="1" applyBorder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177" fontId="1" fillId="0" borderId="34" xfId="0" applyNumberFormat="1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65" xfId="0" applyFont="1" applyBorder="1">
      <alignment vertical="center"/>
    </xf>
    <xf numFmtId="0" fontId="1" fillId="0" borderId="35" xfId="0" applyFont="1" applyBorder="1">
      <alignment vertical="center"/>
    </xf>
    <xf numFmtId="165" fontId="1" fillId="0" borderId="65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center" vertical="center"/>
    </xf>
    <xf numFmtId="0" fontId="54" fillId="0" borderId="48" xfId="0" applyFont="1" applyBorder="1" applyAlignment="1">
      <alignment horizontal="center" vertical="center"/>
    </xf>
    <xf numFmtId="0" fontId="54" fillId="0" borderId="49" xfId="0" applyFont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" fillId="0" borderId="21" xfId="0" applyFont="1" applyBorder="1" applyAlignment="1">
      <alignment horizontal="center" vertical="center"/>
    </xf>
    <xf numFmtId="167" fontId="1" fillId="0" borderId="65" xfId="0" applyNumberFormat="1" applyFont="1" applyBorder="1" applyAlignment="1">
      <alignment horizontal="center" vertical="center"/>
    </xf>
    <xf numFmtId="167" fontId="1" fillId="0" borderId="73" xfId="0" applyNumberFormat="1" applyFont="1" applyBorder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6" fontId="1" fillId="0" borderId="34" xfId="0" applyNumberFormat="1" applyFont="1" applyBorder="1" applyAlignment="1">
      <alignment horizontal="center" vertical="center"/>
    </xf>
    <xf numFmtId="167" fontId="1" fillId="0" borderId="23" xfId="0" applyNumberFormat="1" applyFont="1" applyBorder="1" applyAlignment="1">
      <alignment horizontal="center" vertical="center"/>
    </xf>
    <xf numFmtId="167" fontId="1" fillId="0" borderId="24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7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2" fontId="8" fillId="0" borderId="127" xfId="0" applyNumberFormat="1" applyFont="1" applyBorder="1" applyAlignment="1">
      <alignment horizontal="center" vertical="center"/>
    </xf>
    <xf numFmtId="2" fontId="8" fillId="0" borderId="82" xfId="0" applyNumberFormat="1" applyFont="1" applyBorder="1" applyAlignment="1">
      <alignment horizontal="center" vertical="center"/>
    </xf>
    <xf numFmtId="2" fontId="8" fillId="0" borderId="97" xfId="0" applyNumberFormat="1" applyFont="1" applyBorder="1" applyAlignment="1">
      <alignment horizontal="center" vertical="center"/>
    </xf>
    <xf numFmtId="2" fontId="8" fillId="0" borderId="59" xfId="0" applyNumberFormat="1" applyFont="1" applyBorder="1" applyAlignment="1">
      <alignment horizontal="center" vertical="center"/>
    </xf>
    <xf numFmtId="2" fontId="8" fillId="0" borderId="85" xfId="0" applyNumberFormat="1" applyFont="1" applyBorder="1" applyAlignment="1">
      <alignment horizontal="center" vertical="center"/>
    </xf>
    <xf numFmtId="2" fontId="8" fillId="0" borderId="83" xfId="0" applyNumberFormat="1" applyFont="1" applyBorder="1" applyAlignment="1">
      <alignment horizontal="center" vertical="center"/>
    </xf>
    <xf numFmtId="2" fontId="8" fillId="0" borderId="44" xfId="0" applyNumberFormat="1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0" borderId="58" xfId="0" applyNumberFormat="1" applyFont="1" applyBorder="1" applyAlignment="1">
      <alignment horizontal="center" vertical="center"/>
    </xf>
    <xf numFmtId="2" fontId="8" fillId="0" borderId="72" xfId="0" applyNumberFormat="1" applyFont="1" applyBorder="1" applyAlignment="1">
      <alignment horizontal="center" vertical="center"/>
    </xf>
    <xf numFmtId="2" fontId="8" fillId="0" borderId="96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2" fontId="8" fillId="0" borderId="95" xfId="0" applyNumberFormat="1" applyFont="1" applyBorder="1" applyAlignment="1">
      <alignment horizontal="center" vertical="center"/>
    </xf>
    <xf numFmtId="2" fontId="8" fillId="0" borderId="82" xfId="0" applyNumberFormat="1" applyFont="1" applyBorder="1" applyAlignment="1">
      <alignment vertical="center"/>
    </xf>
    <xf numFmtId="2" fontId="8" fillId="0" borderId="0" xfId="0" applyNumberFormat="1" applyFont="1" applyBorder="1" applyAlignment="1">
      <alignment vertical="center"/>
    </xf>
    <xf numFmtId="2" fontId="8" fillId="0" borderId="59" xfId="0" applyNumberFormat="1" applyFont="1" applyBorder="1" applyAlignment="1">
      <alignment vertical="center"/>
    </xf>
    <xf numFmtId="2" fontId="8" fillId="0" borderId="85" xfId="0" applyNumberFormat="1" applyFont="1" applyBorder="1" applyAlignment="1">
      <alignment vertical="center"/>
    </xf>
    <xf numFmtId="2" fontId="8" fillId="0" borderId="44" xfId="0" applyNumberFormat="1" applyFont="1" applyBorder="1" applyAlignment="1">
      <alignment vertical="center"/>
    </xf>
    <xf numFmtId="2" fontId="8" fillId="0" borderId="58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4" fontId="8" fillId="0" borderId="0" xfId="0" quotePrefix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 shrinkToFit="1"/>
    </xf>
    <xf numFmtId="0" fontId="8" fillId="0" borderId="1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</cellXfs>
  <cellStyles count="7">
    <cellStyle name="Comma" xfId="4" builtinId="3"/>
    <cellStyle name="Normal" xfId="0" builtinId="0"/>
    <cellStyle name="Normal 2" xfId="2"/>
    <cellStyle name="Normal 3" xfId="3"/>
    <cellStyle name="Normal 4" xfId="5"/>
    <cellStyle name="Normal 5" xfId="6"/>
    <cellStyle name="標準_おーじゆーがいでーたしー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16</xdr:row>
      <xdr:rowOff>76200</xdr:rowOff>
    </xdr:from>
    <xdr:to>
      <xdr:col>0</xdr:col>
      <xdr:colOff>1171575</xdr:colOff>
      <xdr:row>23</xdr:row>
      <xdr:rowOff>228600</xdr:rowOff>
    </xdr:to>
    <xdr:sp macro="" textlink="">
      <xdr:nvSpPr>
        <xdr:cNvPr id="2" name="AutoShape 1"/>
        <xdr:cNvSpPr>
          <a:spLocks/>
        </xdr:cNvSpPr>
      </xdr:nvSpPr>
      <xdr:spPr bwMode="auto">
        <a:xfrm>
          <a:off x="1104900" y="3619500"/>
          <a:ext cx="66675" cy="1885950"/>
        </a:xfrm>
        <a:prstGeom prst="leftBrace">
          <a:avLst>
            <a:gd name="adj1" fmla="val 235714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76201</xdr:colOff>
      <xdr:row>18</xdr:row>
      <xdr:rowOff>76199</xdr:rowOff>
    </xdr:from>
    <xdr:ext cx="1009650" cy="942975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76201" y="4114799"/>
          <a:ext cx="1009650" cy="942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certificate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of measuring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report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1104900</xdr:colOff>
      <xdr:row>25</xdr:row>
      <xdr:rowOff>9525</xdr:rowOff>
    </xdr:from>
    <xdr:to>
      <xdr:col>1</xdr:col>
      <xdr:colOff>0</xdr:colOff>
      <xdr:row>32</xdr:row>
      <xdr:rowOff>38100</xdr:rowOff>
    </xdr:to>
    <xdr:sp macro="" textlink="">
      <xdr:nvSpPr>
        <xdr:cNvPr id="4" name="AutoShape 3"/>
        <xdr:cNvSpPr>
          <a:spLocks/>
        </xdr:cNvSpPr>
      </xdr:nvSpPr>
      <xdr:spPr bwMode="auto">
        <a:xfrm>
          <a:off x="1104900" y="5781675"/>
          <a:ext cx="85725" cy="1762125"/>
        </a:xfrm>
        <a:prstGeom prst="leftBrace">
          <a:avLst>
            <a:gd name="adj1" fmla="val 17129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47625</xdr:colOff>
      <xdr:row>27</xdr:row>
      <xdr:rowOff>180975</xdr:rowOff>
    </xdr:from>
    <xdr:ext cx="1028700" cy="504825"/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47625" y="6448425"/>
          <a:ext cx="1028700" cy="5048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For list and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data sheet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1076325</xdr:colOff>
      <xdr:row>37</xdr:row>
      <xdr:rowOff>47625</xdr:rowOff>
    </xdr:from>
    <xdr:to>
      <xdr:col>0</xdr:col>
      <xdr:colOff>1181100</xdr:colOff>
      <xdr:row>43</xdr:row>
      <xdr:rowOff>228600</xdr:rowOff>
    </xdr:to>
    <xdr:sp macro="" textlink="">
      <xdr:nvSpPr>
        <xdr:cNvPr id="6" name="AutoShape 5"/>
        <xdr:cNvSpPr>
          <a:spLocks/>
        </xdr:cNvSpPr>
      </xdr:nvSpPr>
      <xdr:spPr bwMode="auto">
        <a:xfrm>
          <a:off x="1076325" y="8791575"/>
          <a:ext cx="104775" cy="1666875"/>
        </a:xfrm>
        <a:prstGeom prst="leftBrace">
          <a:avLst>
            <a:gd name="adj1" fmla="val 132576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47626</xdr:colOff>
      <xdr:row>39</xdr:row>
      <xdr:rowOff>114300</xdr:rowOff>
    </xdr:from>
    <xdr:ext cx="971550" cy="609600"/>
    <xdr:sp macro="" textlink="">
      <xdr:nvSpPr>
        <xdr:cNvPr id="7" name="Text Box 6"/>
        <xdr:cNvSpPr txBox="1">
          <a:spLocks noChangeArrowheads="1"/>
        </xdr:cNvSpPr>
      </xdr:nvSpPr>
      <xdr:spPr bwMode="auto">
        <a:xfrm>
          <a:off x="47626" y="9353550"/>
          <a:ext cx="971550" cy="6096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Emission </a:t>
          </a:r>
        </a:p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ＭＳ 明朝"/>
              <a:cs typeface="Times New Roman" panose="02020603050405020304" pitchFamily="18" charset="0"/>
            </a:rPr>
            <a:t>standard</a:t>
          </a:r>
          <a:endParaRPr lang="ja-JP" altLang="en-US" sz="11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ＭＳ 明朝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114300</xdr:colOff>
      <xdr:row>0</xdr:row>
      <xdr:rowOff>19050</xdr:rowOff>
    </xdr:from>
    <xdr:to>
      <xdr:col>55</xdr:col>
      <xdr:colOff>104775</xdr:colOff>
      <xdr:row>3</xdr:row>
      <xdr:rowOff>47625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700" y="19050"/>
          <a:ext cx="2838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51707</xdr:colOff>
      <xdr:row>48</xdr:row>
      <xdr:rowOff>0</xdr:rowOff>
    </xdr:from>
    <xdr:to>
      <xdr:col>10</xdr:col>
      <xdr:colOff>0</xdr:colOff>
      <xdr:row>48</xdr:row>
      <xdr:rowOff>0</xdr:rowOff>
    </xdr:to>
    <xdr:cxnSp macro="">
      <xdr:nvCxnSpPr>
        <xdr:cNvPr id="65" name="Straight Connector 64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51</xdr:row>
      <xdr:rowOff>212270</xdr:rowOff>
    </xdr:from>
    <xdr:to>
      <xdr:col>10</xdr:col>
      <xdr:colOff>0</xdr:colOff>
      <xdr:row>51</xdr:row>
      <xdr:rowOff>212270</xdr:rowOff>
    </xdr:to>
    <xdr:cxnSp macro="">
      <xdr:nvCxnSpPr>
        <xdr:cNvPr id="66" name="Straight Connector 65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56</xdr:row>
      <xdr:rowOff>5441</xdr:rowOff>
    </xdr:from>
    <xdr:to>
      <xdr:col>10</xdr:col>
      <xdr:colOff>0</xdr:colOff>
      <xdr:row>56</xdr:row>
      <xdr:rowOff>5441</xdr:rowOff>
    </xdr:to>
    <xdr:cxnSp macro="">
      <xdr:nvCxnSpPr>
        <xdr:cNvPr id="67" name="Straight Connector 66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190497</xdr:colOff>
      <xdr:row>48</xdr:row>
      <xdr:rowOff>10886</xdr:rowOff>
    </xdr:from>
    <xdr:to>
      <xdr:col>8</xdr:col>
      <xdr:colOff>190497</xdr:colOff>
      <xdr:row>52</xdr:row>
      <xdr:rowOff>0</xdr:rowOff>
    </xdr:to>
    <xdr:cxnSp macro="">
      <xdr:nvCxnSpPr>
        <xdr:cNvPr id="68" name="Straight Arrow Connector 67"/>
        <xdr:cNvCxnSpPr/>
      </xdr:nvCxnSpPr>
      <xdr:spPr>
        <a:xfrm>
          <a:off x="2285997" y="9570522"/>
          <a:ext cx="0" cy="78575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52</xdr:row>
      <xdr:rowOff>5443</xdr:rowOff>
    </xdr:from>
    <xdr:to>
      <xdr:col>8</xdr:col>
      <xdr:colOff>190499</xdr:colOff>
      <xdr:row>55</xdr:row>
      <xdr:rowOff>197304</xdr:rowOff>
    </xdr:to>
    <xdr:cxnSp macro="">
      <xdr:nvCxnSpPr>
        <xdr:cNvPr id="69" name="Straight Arrow Connector 68"/>
        <xdr:cNvCxnSpPr/>
      </xdr:nvCxnSpPr>
      <xdr:spPr>
        <a:xfrm>
          <a:off x="2285999" y="10361716"/>
          <a:ext cx="0" cy="78933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51707</xdr:colOff>
      <xdr:row>46</xdr:row>
      <xdr:rowOff>5443</xdr:rowOff>
    </xdr:from>
    <xdr:to>
      <xdr:col>10</xdr:col>
      <xdr:colOff>0</xdr:colOff>
      <xdr:row>46</xdr:row>
      <xdr:rowOff>5443</xdr:rowOff>
    </xdr:to>
    <xdr:cxnSp macro="">
      <xdr:nvCxnSpPr>
        <xdr:cNvPr id="70" name="Straight Connector 69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46</xdr:row>
      <xdr:rowOff>16329</xdr:rowOff>
    </xdr:from>
    <xdr:to>
      <xdr:col>8</xdr:col>
      <xdr:colOff>190499</xdr:colOff>
      <xdr:row>47</xdr:row>
      <xdr:rowOff>199159</xdr:rowOff>
    </xdr:to>
    <xdr:cxnSp macro="">
      <xdr:nvCxnSpPr>
        <xdr:cNvPr id="71" name="Straight Arrow Connector 70"/>
        <xdr:cNvCxnSpPr/>
      </xdr:nvCxnSpPr>
      <xdr:spPr>
        <a:xfrm>
          <a:off x="2285999" y="9177647"/>
          <a:ext cx="0" cy="381989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</xdr:row>
      <xdr:rowOff>113108</xdr:rowOff>
    </xdr:from>
    <xdr:to>
      <xdr:col>13</xdr:col>
      <xdr:colOff>2323</xdr:colOff>
      <xdr:row>46</xdr:row>
      <xdr:rowOff>4413</xdr:rowOff>
    </xdr:to>
    <xdr:grpSp>
      <xdr:nvGrpSpPr>
        <xdr:cNvPr id="72" name="Group 71"/>
        <xdr:cNvGrpSpPr/>
      </xdr:nvGrpSpPr>
      <xdr:grpSpPr>
        <a:xfrm>
          <a:off x="2095500" y="8988167"/>
          <a:ext cx="383323" cy="294717"/>
          <a:chOff x="571500" y="2718109"/>
          <a:chExt cx="385646" cy="413525"/>
        </a:xfrm>
      </xdr:grpSpPr>
      <xdr:sp macro="" textlink="">
        <xdr:nvSpPr>
          <xdr:cNvPr id="73" name="Rectangle 7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4" name="Straight Connector 7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0</xdr:colOff>
      <xdr:row>44</xdr:row>
      <xdr:rowOff>113108</xdr:rowOff>
    </xdr:from>
    <xdr:to>
      <xdr:col>17</xdr:col>
      <xdr:colOff>2323</xdr:colOff>
      <xdr:row>46</xdr:row>
      <xdr:rowOff>4413</xdr:rowOff>
    </xdr:to>
    <xdr:grpSp>
      <xdr:nvGrpSpPr>
        <xdr:cNvPr id="75" name="Group 74"/>
        <xdr:cNvGrpSpPr/>
      </xdr:nvGrpSpPr>
      <xdr:grpSpPr>
        <a:xfrm>
          <a:off x="2857500" y="8988167"/>
          <a:ext cx="383323" cy="294717"/>
          <a:chOff x="571500" y="2718109"/>
          <a:chExt cx="385646" cy="413525"/>
        </a:xfrm>
      </xdr:grpSpPr>
      <xdr:sp macro="" textlink="">
        <xdr:nvSpPr>
          <xdr:cNvPr id="76" name="Rectangle 7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7" name="Straight Connector 7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0</xdr:colOff>
      <xdr:row>44</xdr:row>
      <xdr:rowOff>113108</xdr:rowOff>
    </xdr:from>
    <xdr:to>
      <xdr:col>21</xdr:col>
      <xdr:colOff>2323</xdr:colOff>
      <xdr:row>46</xdr:row>
      <xdr:rowOff>4413</xdr:rowOff>
    </xdr:to>
    <xdr:grpSp>
      <xdr:nvGrpSpPr>
        <xdr:cNvPr id="78" name="Group 77"/>
        <xdr:cNvGrpSpPr/>
      </xdr:nvGrpSpPr>
      <xdr:grpSpPr>
        <a:xfrm>
          <a:off x="3619500" y="8988167"/>
          <a:ext cx="383323" cy="294717"/>
          <a:chOff x="571500" y="2718109"/>
          <a:chExt cx="385646" cy="413525"/>
        </a:xfrm>
      </xdr:grpSpPr>
      <xdr:sp macro="" textlink="">
        <xdr:nvSpPr>
          <xdr:cNvPr id="79" name="Rectangle 7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0" name="Straight Connector 7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23</xdr:col>
      <xdr:colOff>0</xdr:colOff>
      <xdr:row>44</xdr:row>
      <xdr:rowOff>113108</xdr:rowOff>
    </xdr:from>
    <xdr:to>
      <xdr:col>25</xdr:col>
      <xdr:colOff>2323</xdr:colOff>
      <xdr:row>46</xdr:row>
      <xdr:rowOff>4413</xdr:rowOff>
    </xdr:to>
    <xdr:grpSp>
      <xdr:nvGrpSpPr>
        <xdr:cNvPr id="81" name="Group 80"/>
        <xdr:cNvGrpSpPr/>
      </xdr:nvGrpSpPr>
      <xdr:grpSpPr>
        <a:xfrm>
          <a:off x="4381500" y="8988167"/>
          <a:ext cx="383323" cy="294717"/>
          <a:chOff x="571500" y="2718109"/>
          <a:chExt cx="385646" cy="413525"/>
        </a:xfrm>
      </xdr:grpSpPr>
      <xdr:sp macro="" textlink="">
        <xdr:nvSpPr>
          <xdr:cNvPr id="82" name="Rectangle 8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3" name="Straight Connector 8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0</xdr:colOff>
      <xdr:row>44</xdr:row>
      <xdr:rowOff>113108</xdr:rowOff>
    </xdr:from>
    <xdr:to>
      <xdr:col>29</xdr:col>
      <xdr:colOff>2323</xdr:colOff>
      <xdr:row>46</xdr:row>
      <xdr:rowOff>4413</xdr:rowOff>
    </xdr:to>
    <xdr:grpSp>
      <xdr:nvGrpSpPr>
        <xdr:cNvPr id="84" name="Group 83"/>
        <xdr:cNvGrpSpPr/>
      </xdr:nvGrpSpPr>
      <xdr:grpSpPr>
        <a:xfrm>
          <a:off x="5143500" y="8988167"/>
          <a:ext cx="383323" cy="294717"/>
          <a:chOff x="571500" y="2718109"/>
          <a:chExt cx="385646" cy="413525"/>
        </a:xfrm>
      </xdr:grpSpPr>
      <xdr:sp macro="" textlink="">
        <xdr:nvSpPr>
          <xdr:cNvPr id="85" name="Rectangle 8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86" name="Straight Connector 8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2975</xdr:colOff>
      <xdr:row>41</xdr:row>
      <xdr:rowOff>5953</xdr:rowOff>
    </xdr:from>
    <xdr:to>
      <xdr:col>12</xdr:col>
      <xdr:colOff>2975</xdr:colOff>
      <xdr:row>43</xdr:row>
      <xdr:rowOff>1</xdr:rowOff>
    </xdr:to>
    <xdr:cxnSp macro="">
      <xdr:nvCxnSpPr>
        <xdr:cNvPr id="87" name="Straight Connector 86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2975</xdr:colOff>
      <xdr:row>41</xdr:row>
      <xdr:rowOff>5953</xdr:rowOff>
    </xdr:from>
    <xdr:to>
      <xdr:col>16</xdr:col>
      <xdr:colOff>2975</xdr:colOff>
      <xdr:row>43</xdr:row>
      <xdr:rowOff>1</xdr:rowOff>
    </xdr:to>
    <xdr:cxnSp macro="">
      <xdr:nvCxnSpPr>
        <xdr:cNvPr id="88" name="Straight Connector 87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2974</xdr:colOff>
      <xdr:row>41</xdr:row>
      <xdr:rowOff>5953</xdr:rowOff>
    </xdr:from>
    <xdr:to>
      <xdr:col>20</xdr:col>
      <xdr:colOff>2974</xdr:colOff>
      <xdr:row>43</xdr:row>
      <xdr:rowOff>1</xdr:rowOff>
    </xdr:to>
    <xdr:cxnSp macro="">
      <xdr:nvCxnSpPr>
        <xdr:cNvPr id="89" name="Straight Connector 88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2973</xdr:colOff>
      <xdr:row>41</xdr:row>
      <xdr:rowOff>5953</xdr:rowOff>
    </xdr:from>
    <xdr:to>
      <xdr:col>24</xdr:col>
      <xdr:colOff>2973</xdr:colOff>
      <xdr:row>43</xdr:row>
      <xdr:rowOff>1</xdr:rowOff>
    </xdr:to>
    <xdr:cxnSp macro="">
      <xdr:nvCxnSpPr>
        <xdr:cNvPr id="90" name="Straight Connector 89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2973</xdr:colOff>
      <xdr:row>41</xdr:row>
      <xdr:rowOff>5953</xdr:rowOff>
    </xdr:from>
    <xdr:to>
      <xdr:col>28</xdr:col>
      <xdr:colOff>2973</xdr:colOff>
      <xdr:row>43</xdr:row>
      <xdr:rowOff>1</xdr:rowOff>
    </xdr:to>
    <xdr:cxnSp macro="">
      <xdr:nvCxnSpPr>
        <xdr:cNvPr id="91" name="Straight Connector 90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41</xdr:row>
      <xdr:rowOff>209733</xdr:rowOff>
    </xdr:from>
    <xdr:to>
      <xdr:col>16</xdr:col>
      <xdr:colOff>5953</xdr:colOff>
      <xdr:row>41</xdr:row>
      <xdr:rowOff>209733</xdr:rowOff>
    </xdr:to>
    <xdr:cxnSp macro="">
      <xdr:nvCxnSpPr>
        <xdr:cNvPr id="92" name="Straight Arrow Connector 91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2976</xdr:colOff>
      <xdr:row>41</xdr:row>
      <xdr:rowOff>209733</xdr:rowOff>
    </xdr:from>
    <xdr:to>
      <xdr:col>20</xdr:col>
      <xdr:colOff>8929</xdr:colOff>
      <xdr:row>41</xdr:row>
      <xdr:rowOff>209733</xdr:rowOff>
    </xdr:to>
    <xdr:cxnSp macro="">
      <xdr:nvCxnSpPr>
        <xdr:cNvPr id="93" name="Straight Arrow Connector 92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41</xdr:row>
      <xdr:rowOff>200208</xdr:rowOff>
    </xdr:from>
    <xdr:to>
      <xdr:col>24</xdr:col>
      <xdr:colOff>5953</xdr:colOff>
      <xdr:row>41</xdr:row>
      <xdr:rowOff>200208</xdr:rowOff>
    </xdr:to>
    <xdr:cxnSp macro="">
      <xdr:nvCxnSpPr>
        <xdr:cNvPr id="94" name="Straight Arrow Connector 93"/>
        <xdr:cNvCxnSpPr/>
      </xdr:nvCxnSpPr>
      <xdr:spPr>
        <a:xfrm flipH="1">
          <a:off x="4381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41</xdr:row>
      <xdr:rowOff>200208</xdr:rowOff>
    </xdr:from>
    <xdr:to>
      <xdr:col>28</xdr:col>
      <xdr:colOff>5953</xdr:colOff>
      <xdr:row>41</xdr:row>
      <xdr:rowOff>200208</xdr:rowOff>
    </xdr:to>
    <xdr:cxnSp macro="">
      <xdr:nvCxnSpPr>
        <xdr:cNvPr id="95" name="Straight Arrow Connector 94"/>
        <xdr:cNvCxnSpPr/>
      </xdr:nvCxnSpPr>
      <xdr:spPr>
        <a:xfrm flipH="1">
          <a:off x="5143500" y="8498864"/>
          <a:ext cx="76795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131180</xdr:colOff>
      <xdr:row>41</xdr:row>
      <xdr:rowOff>25184</xdr:rowOff>
    </xdr:from>
    <xdr:to>
      <xdr:col>15</xdr:col>
      <xdr:colOff>76406</xdr:colOff>
      <xdr:row>41</xdr:row>
      <xdr:rowOff>195628</xdr:rowOff>
    </xdr:to>
    <xdr:sp macro="" textlink="">
      <xdr:nvSpPr>
        <xdr:cNvPr id="96" name="Rectangle 95"/>
        <xdr:cNvSpPr/>
      </xdr:nvSpPr>
      <xdr:spPr>
        <a:xfrm>
          <a:off x="2988680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16</xdr:col>
      <xdr:colOff>134843</xdr:colOff>
      <xdr:row>41</xdr:row>
      <xdr:rowOff>25184</xdr:rowOff>
    </xdr:from>
    <xdr:to>
      <xdr:col>19</xdr:col>
      <xdr:colOff>80069</xdr:colOff>
      <xdr:row>41</xdr:row>
      <xdr:rowOff>195628</xdr:rowOff>
    </xdr:to>
    <xdr:sp macro="" textlink="">
      <xdr:nvSpPr>
        <xdr:cNvPr id="97" name="Rectangle 96"/>
        <xdr:cNvSpPr/>
      </xdr:nvSpPr>
      <xdr:spPr>
        <a:xfrm>
          <a:off x="3754343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20</xdr:col>
      <xdr:colOff>138506</xdr:colOff>
      <xdr:row>41</xdr:row>
      <xdr:rowOff>25184</xdr:rowOff>
    </xdr:from>
    <xdr:to>
      <xdr:col>23</xdr:col>
      <xdr:colOff>83732</xdr:colOff>
      <xdr:row>41</xdr:row>
      <xdr:rowOff>195628</xdr:rowOff>
    </xdr:to>
    <xdr:sp macro="" textlink="">
      <xdr:nvSpPr>
        <xdr:cNvPr id="98" name="Rectangle 97"/>
        <xdr:cNvSpPr/>
      </xdr:nvSpPr>
      <xdr:spPr>
        <a:xfrm>
          <a:off x="4520006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24</xdr:col>
      <xdr:colOff>142169</xdr:colOff>
      <xdr:row>41</xdr:row>
      <xdr:rowOff>25184</xdr:rowOff>
    </xdr:from>
    <xdr:to>
      <xdr:col>27</xdr:col>
      <xdr:colOff>87395</xdr:colOff>
      <xdr:row>41</xdr:row>
      <xdr:rowOff>195628</xdr:rowOff>
    </xdr:to>
    <xdr:sp macro="" textlink="">
      <xdr:nvSpPr>
        <xdr:cNvPr id="99" name="Rectangle 98"/>
        <xdr:cNvSpPr/>
      </xdr:nvSpPr>
      <xdr:spPr>
        <a:xfrm>
          <a:off x="5285669" y="8281998"/>
          <a:ext cx="516726" cy="170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10</xdr:col>
      <xdr:colOff>3663</xdr:colOff>
      <xdr:row>41</xdr:row>
      <xdr:rowOff>25184</xdr:rowOff>
    </xdr:from>
    <xdr:to>
      <xdr:col>12</xdr:col>
      <xdr:colOff>3657</xdr:colOff>
      <xdr:row>41</xdr:row>
      <xdr:rowOff>205153</xdr:rowOff>
    </xdr:to>
    <xdr:sp macro="" textlink="">
      <xdr:nvSpPr>
        <xdr:cNvPr id="100" name="Rectangle 99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10</xdr:col>
      <xdr:colOff>2975</xdr:colOff>
      <xdr:row>41</xdr:row>
      <xdr:rowOff>5953</xdr:rowOff>
    </xdr:from>
    <xdr:to>
      <xdr:col>10</xdr:col>
      <xdr:colOff>2975</xdr:colOff>
      <xdr:row>43</xdr:row>
      <xdr:rowOff>1</xdr:rowOff>
    </xdr:to>
    <xdr:cxnSp macro="">
      <xdr:nvCxnSpPr>
        <xdr:cNvPr id="101" name="Straight Connector 100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10991</xdr:colOff>
      <xdr:row>41</xdr:row>
      <xdr:rowOff>200208</xdr:rowOff>
    </xdr:from>
    <xdr:to>
      <xdr:col>11</xdr:col>
      <xdr:colOff>178594</xdr:colOff>
      <xdr:row>41</xdr:row>
      <xdr:rowOff>200208</xdr:rowOff>
    </xdr:to>
    <xdr:cxnSp macro="">
      <xdr:nvCxnSpPr>
        <xdr:cNvPr id="102" name="Straight Arrow Connector 101"/>
        <xdr:cNvCxnSpPr/>
      </xdr:nvCxnSpPr>
      <xdr:spPr>
        <a:xfrm flipH="1">
          <a:off x="2487491" y="8498864"/>
          <a:ext cx="358103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30027</xdr:colOff>
      <xdr:row>46</xdr:row>
      <xdr:rowOff>5443</xdr:rowOff>
    </xdr:from>
    <xdr:to>
      <xdr:col>8</xdr:col>
      <xdr:colOff>130632</xdr:colOff>
      <xdr:row>48</xdr:row>
      <xdr:rowOff>3752</xdr:rowOff>
    </xdr:to>
    <xdr:sp macro="" textlink="">
      <xdr:nvSpPr>
        <xdr:cNvPr id="103" name="Rectangle 102"/>
        <xdr:cNvSpPr/>
      </xdr:nvSpPr>
      <xdr:spPr>
        <a:xfrm rot="16200000">
          <a:off x="1975290" y="9419423"/>
          <a:ext cx="401080" cy="1006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8</xdr:col>
      <xdr:colOff>30026</xdr:colOff>
      <xdr:row>49</xdr:row>
      <xdr:rowOff>431</xdr:rowOff>
    </xdr:from>
    <xdr:to>
      <xdr:col>8</xdr:col>
      <xdr:colOff>120011</xdr:colOff>
      <xdr:row>51</xdr:row>
      <xdr:rowOff>36382</xdr:rowOff>
    </xdr:to>
    <xdr:sp macro="" textlink="">
      <xdr:nvSpPr>
        <xdr:cNvPr id="104" name="Rectangle 103"/>
        <xdr:cNvSpPr/>
      </xdr:nvSpPr>
      <xdr:spPr>
        <a:xfrm rot="16200000">
          <a:off x="1951158" y="10042699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8</xdr:col>
      <xdr:colOff>30026</xdr:colOff>
      <xdr:row>53</xdr:row>
      <xdr:rowOff>5446</xdr:rowOff>
    </xdr:from>
    <xdr:to>
      <xdr:col>8</xdr:col>
      <xdr:colOff>120011</xdr:colOff>
      <xdr:row>55</xdr:row>
      <xdr:rowOff>41397</xdr:rowOff>
    </xdr:to>
    <xdr:sp macro="" textlink="">
      <xdr:nvSpPr>
        <xdr:cNvPr id="105" name="Rectangle 104"/>
        <xdr:cNvSpPr/>
      </xdr:nvSpPr>
      <xdr:spPr>
        <a:xfrm rot="16200000">
          <a:off x="1951158" y="10853257"/>
          <a:ext cx="438722" cy="89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10</xdr:col>
      <xdr:colOff>123178</xdr:colOff>
      <xdr:row>43</xdr:row>
      <xdr:rowOff>110909</xdr:rowOff>
    </xdr:from>
    <xdr:to>
      <xdr:col>13</xdr:col>
      <xdr:colOff>68404</xdr:colOff>
      <xdr:row>44</xdr:row>
      <xdr:rowOff>81328</xdr:rowOff>
    </xdr:to>
    <xdr:sp macro="" textlink="">
      <xdr:nvSpPr>
        <xdr:cNvPr id="116" name="Rectangle 115"/>
        <xdr:cNvSpPr/>
      </xdr:nvSpPr>
      <xdr:spPr>
        <a:xfrm>
          <a:off x="259967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14</xdr:col>
      <xdr:colOff>118413</xdr:colOff>
      <xdr:row>43</xdr:row>
      <xdr:rowOff>110909</xdr:rowOff>
    </xdr:from>
    <xdr:to>
      <xdr:col>17</xdr:col>
      <xdr:colOff>63639</xdr:colOff>
      <xdr:row>44</xdr:row>
      <xdr:rowOff>81328</xdr:rowOff>
    </xdr:to>
    <xdr:sp macro="" textlink="">
      <xdr:nvSpPr>
        <xdr:cNvPr id="117" name="Rectangle 116"/>
        <xdr:cNvSpPr/>
      </xdr:nvSpPr>
      <xdr:spPr>
        <a:xfrm>
          <a:off x="3356913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18</xdr:col>
      <xdr:colOff>125556</xdr:colOff>
      <xdr:row>43</xdr:row>
      <xdr:rowOff>110909</xdr:rowOff>
    </xdr:from>
    <xdr:to>
      <xdr:col>21</xdr:col>
      <xdr:colOff>70782</xdr:colOff>
      <xdr:row>44</xdr:row>
      <xdr:rowOff>81328</xdr:rowOff>
    </xdr:to>
    <xdr:sp macro="" textlink="">
      <xdr:nvSpPr>
        <xdr:cNvPr id="118" name="Rectangle 117"/>
        <xdr:cNvSpPr/>
      </xdr:nvSpPr>
      <xdr:spPr>
        <a:xfrm>
          <a:off x="4126056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22</xdr:col>
      <xdr:colOff>130318</xdr:colOff>
      <xdr:row>43</xdr:row>
      <xdr:rowOff>110909</xdr:rowOff>
    </xdr:from>
    <xdr:to>
      <xdr:col>25</xdr:col>
      <xdr:colOff>75544</xdr:colOff>
      <xdr:row>44</xdr:row>
      <xdr:rowOff>81328</xdr:rowOff>
    </xdr:to>
    <xdr:sp macro="" textlink="">
      <xdr:nvSpPr>
        <xdr:cNvPr id="119" name="Rectangle 118"/>
        <xdr:cNvSpPr/>
      </xdr:nvSpPr>
      <xdr:spPr>
        <a:xfrm>
          <a:off x="4892818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26</xdr:col>
      <xdr:colOff>124365</xdr:colOff>
      <xdr:row>43</xdr:row>
      <xdr:rowOff>110909</xdr:rowOff>
    </xdr:from>
    <xdr:to>
      <xdr:col>29</xdr:col>
      <xdr:colOff>69591</xdr:colOff>
      <xdr:row>44</xdr:row>
      <xdr:rowOff>81328</xdr:rowOff>
    </xdr:to>
    <xdr:sp macro="" textlink="">
      <xdr:nvSpPr>
        <xdr:cNvPr id="120" name="Rectangle 119"/>
        <xdr:cNvSpPr/>
      </xdr:nvSpPr>
      <xdr:spPr>
        <a:xfrm>
          <a:off x="5648865" y="8814378"/>
          <a:ext cx="516726" cy="1728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30</xdr:col>
      <xdr:colOff>654</xdr:colOff>
      <xdr:row>57</xdr:row>
      <xdr:rowOff>201089</xdr:rowOff>
    </xdr:from>
    <xdr:to>
      <xdr:col>30</xdr:col>
      <xdr:colOff>654</xdr:colOff>
      <xdr:row>59</xdr:row>
      <xdr:rowOff>195136</xdr:rowOff>
    </xdr:to>
    <xdr:cxnSp macro="">
      <xdr:nvCxnSpPr>
        <xdr:cNvPr id="121" name="Straight Connector 120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188341</xdr:colOff>
      <xdr:row>59</xdr:row>
      <xdr:rowOff>1457</xdr:rowOff>
    </xdr:from>
    <xdr:to>
      <xdr:col>29</xdr:col>
      <xdr:colOff>188690</xdr:colOff>
      <xdr:row>59</xdr:row>
      <xdr:rowOff>1457</xdr:rowOff>
    </xdr:to>
    <xdr:cxnSp macro="">
      <xdr:nvCxnSpPr>
        <xdr:cNvPr id="122" name="Straight Arrow Connector 121"/>
        <xdr:cNvCxnSpPr/>
      </xdr:nvCxnSpPr>
      <xdr:spPr>
        <a:xfrm flipH="1">
          <a:off x="2474341" y="11883214"/>
          <a:ext cx="381034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653</xdr:colOff>
      <xdr:row>57</xdr:row>
      <xdr:rowOff>201089</xdr:rowOff>
    </xdr:from>
    <xdr:to>
      <xdr:col>10</xdr:col>
      <xdr:colOff>653</xdr:colOff>
      <xdr:row>59</xdr:row>
      <xdr:rowOff>195136</xdr:rowOff>
    </xdr:to>
    <xdr:cxnSp macro="">
      <xdr:nvCxnSpPr>
        <xdr:cNvPr id="123" name="Straight Connector 122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76749</xdr:colOff>
      <xdr:row>58</xdr:row>
      <xdr:rowOff>198937</xdr:rowOff>
    </xdr:from>
    <xdr:to>
      <xdr:col>21</xdr:col>
      <xdr:colOff>21975</xdr:colOff>
      <xdr:row>59</xdr:row>
      <xdr:rowOff>174800</xdr:rowOff>
    </xdr:to>
    <xdr:sp macro="" textlink="">
      <xdr:nvSpPr>
        <xdr:cNvPr id="124" name="Rectangle 123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30</xdr:col>
      <xdr:colOff>4082</xdr:colOff>
      <xdr:row>58</xdr:row>
      <xdr:rowOff>2720</xdr:rowOff>
    </xdr:from>
    <xdr:to>
      <xdr:col>31</xdr:col>
      <xdr:colOff>47625</xdr:colOff>
      <xdr:row>58</xdr:row>
      <xdr:rowOff>2720</xdr:rowOff>
    </xdr:to>
    <xdr:cxnSp macro="">
      <xdr:nvCxnSpPr>
        <xdr:cNvPr id="125" name="Straight Connector 12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190495</xdr:colOff>
      <xdr:row>45</xdr:row>
      <xdr:rowOff>201387</xdr:rowOff>
    </xdr:from>
    <xdr:to>
      <xdr:col>30</xdr:col>
      <xdr:colOff>190495</xdr:colOff>
      <xdr:row>57</xdr:row>
      <xdr:rowOff>200026</xdr:rowOff>
    </xdr:to>
    <xdr:cxnSp macro="">
      <xdr:nvCxnSpPr>
        <xdr:cNvPr id="126" name="Straight Arrow Connector 125"/>
        <xdr:cNvCxnSpPr/>
      </xdr:nvCxnSpPr>
      <xdr:spPr>
        <a:xfrm>
          <a:off x="6476995" y="9309668"/>
          <a:ext cx="0" cy="24275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4082</xdr:colOff>
      <xdr:row>45</xdr:row>
      <xdr:rowOff>205468</xdr:rowOff>
    </xdr:from>
    <xdr:to>
      <xdr:col>31</xdr:col>
      <xdr:colOff>47625</xdr:colOff>
      <xdr:row>45</xdr:row>
      <xdr:rowOff>205468</xdr:rowOff>
    </xdr:to>
    <xdr:cxnSp macro="">
      <xdr:nvCxnSpPr>
        <xdr:cNvPr id="127" name="Straight Connector 12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12337</xdr:colOff>
      <xdr:row>51</xdr:row>
      <xdr:rowOff>52139</xdr:rowOff>
    </xdr:from>
    <xdr:to>
      <xdr:col>32</xdr:col>
      <xdr:colOff>7072</xdr:colOff>
      <xdr:row>53</xdr:row>
      <xdr:rowOff>96254</xdr:rowOff>
    </xdr:to>
    <xdr:sp macro="" textlink="">
      <xdr:nvSpPr>
        <xdr:cNvPr id="128" name="Rectangle 12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24</xdr:col>
      <xdr:colOff>771</xdr:colOff>
      <xdr:row>60</xdr:row>
      <xdr:rowOff>11886</xdr:rowOff>
    </xdr:from>
    <xdr:to>
      <xdr:col>24</xdr:col>
      <xdr:colOff>185058</xdr:colOff>
      <xdr:row>60</xdr:row>
      <xdr:rowOff>188288</xdr:rowOff>
    </xdr:to>
    <xdr:sp macro="" textlink="">
      <xdr:nvSpPr>
        <xdr:cNvPr id="129" name="Flowchart: Summing Junction 128"/>
        <xdr:cNvSpPr/>
      </xdr:nvSpPr>
      <xdr:spPr>
        <a:xfrm>
          <a:off x="5144271" y="12296415"/>
          <a:ext cx="184287" cy="176402"/>
        </a:xfrm>
        <a:prstGeom prst="flowChartSummingJunction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51</xdr:row>
      <xdr:rowOff>131281</xdr:rowOff>
    </xdr:from>
    <xdr:to>
      <xdr:col>12</xdr:col>
      <xdr:colOff>80597</xdr:colOff>
      <xdr:row>52</xdr:row>
      <xdr:rowOff>68686</xdr:rowOff>
    </xdr:to>
    <xdr:sp macro="" textlink="">
      <xdr:nvSpPr>
        <xdr:cNvPr id="130" name="4-Point Star 129"/>
        <xdr:cNvSpPr/>
      </xdr:nvSpPr>
      <xdr:spPr>
        <a:xfrm>
          <a:off x="2768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51</xdr:row>
      <xdr:rowOff>131281</xdr:rowOff>
    </xdr:from>
    <xdr:to>
      <xdr:col>16</xdr:col>
      <xdr:colOff>80597</xdr:colOff>
      <xdr:row>52</xdr:row>
      <xdr:rowOff>68686</xdr:rowOff>
    </xdr:to>
    <xdr:sp macro="" textlink="">
      <xdr:nvSpPr>
        <xdr:cNvPr id="131" name="4-Point Star 130"/>
        <xdr:cNvSpPr/>
      </xdr:nvSpPr>
      <xdr:spPr>
        <a:xfrm>
          <a:off x="3530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51</xdr:row>
      <xdr:rowOff>131281</xdr:rowOff>
    </xdr:from>
    <xdr:to>
      <xdr:col>20</xdr:col>
      <xdr:colOff>80597</xdr:colOff>
      <xdr:row>52</xdr:row>
      <xdr:rowOff>68686</xdr:rowOff>
    </xdr:to>
    <xdr:sp macro="" textlink="">
      <xdr:nvSpPr>
        <xdr:cNvPr id="132" name="4-Point Star 131"/>
        <xdr:cNvSpPr/>
      </xdr:nvSpPr>
      <xdr:spPr>
        <a:xfrm>
          <a:off x="4292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51</xdr:row>
      <xdr:rowOff>131281</xdr:rowOff>
    </xdr:from>
    <xdr:to>
      <xdr:col>24</xdr:col>
      <xdr:colOff>80597</xdr:colOff>
      <xdr:row>52</xdr:row>
      <xdr:rowOff>68686</xdr:rowOff>
    </xdr:to>
    <xdr:sp macro="" textlink="">
      <xdr:nvSpPr>
        <xdr:cNvPr id="133" name="4-Point Star 132"/>
        <xdr:cNvSpPr/>
      </xdr:nvSpPr>
      <xdr:spPr>
        <a:xfrm>
          <a:off x="5054489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51</xdr:row>
      <xdr:rowOff>131281</xdr:rowOff>
    </xdr:from>
    <xdr:to>
      <xdr:col>28</xdr:col>
      <xdr:colOff>82920</xdr:colOff>
      <xdr:row>52</xdr:row>
      <xdr:rowOff>68686</xdr:rowOff>
    </xdr:to>
    <xdr:sp macro="" textlink="">
      <xdr:nvSpPr>
        <xdr:cNvPr id="134" name="4-Point Star 133"/>
        <xdr:cNvSpPr/>
      </xdr:nvSpPr>
      <xdr:spPr>
        <a:xfrm>
          <a:off x="5818812" y="10260207"/>
          <a:ext cx="169608" cy="136011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47</xdr:row>
      <xdr:rowOff>131281</xdr:rowOff>
    </xdr:from>
    <xdr:to>
      <xdr:col>12</xdr:col>
      <xdr:colOff>80597</xdr:colOff>
      <xdr:row>48</xdr:row>
      <xdr:rowOff>68685</xdr:rowOff>
    </xdr:to>
    <xdr:sp macro="" textlink="">
      <xdr:nvSpPr>
        <xdr:cNvPr id="135" name="4-Point Star 134"/>
        <xdr:cNvSpPr/>
      </xdr:nvSpPr>
      <xdr:spPr>
        <a:xfrm>
          <a:off x="2768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47</xdr:row>
      <xdr:rowOff>131281</xdr:rowOff>
    </xdr:from>
    <xdr:to>
      <xdr:col>16</xdr:col>
      <xdr:colOff>80597</xdr:colOff>
      <xdr:row>48</xdr:row>
      <xdr:rowOff>68685</xdr:rowOff>
    </xdr:to>
    <xdr:sp macro="" textlink="">
      <xdr:nvSpPr>
        <xdr:cNvPr id="136" name="4-Point Star 135"/>
        <xdr:cNvSpPr/>
      </xdr:nvSpPr>
      <xdr:spPr>
        <a:xfrm>
          <a:off x="3530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47</xdr:row>
      <xdr:rowOff>131281</xdr:rowOff>
    </xdr:from>
    <xdr:to>
      <xdr:col>20</xdr:col>
      <xdr:colOff>80597</xdr:colOff>
      <xdr:row>48</xdr:row>
      <xdr:rowOff>68685</xdr:rowOff>
    </xdr:to>
    <xdr:sp macro="" textlink="">
      <xdr:nvSpPr>
        <xdr:cNvPr id="137" name="4-Point Star 136"/>
        <xdr:cNvSpPr/>
      </xdr:nvSpPr>
      <xdr:spPr>
        <a:xfrm>
          <a:off x="4292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47</xdr:row>
      <xdr:rowOff>131281</xdr:rowOff>
    </xdr:from>
    <xdr:to>
      <xdr:col>24</xdr:col>
      <xdr:colOff>80597</xdr:colOff>
      <xdr:row>48</xdr:row>
      <xdr:rowOff>68685</xdr:rowOff>
    </xdr:to>
    <xdr:sp macro="" textlink="">
      <xdr:nvSpPr>
        <xdr:cNvPr id="138" name="4-Point Star 137"/>
        <xdr:cNvSpPr/>
      </xdr:nvSpPr>
      <xdr:spPr>
        <a:xfrm>
          <a:off x="5054489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47</xdr:row>
      <xdr:rowOff>131281</xdr:rowOff>
    </xdr:from>
    <xdr:to>
      <xdr:col>28</xdr:col>
      <xdr:colOff>82920</xdr:colOff>
      <xdr:row>48</xdr:row>
      <xdr:rowOff>68685</xdr:rowOff>
    </xdr:to>
    <xdr:sp macro="" textlink="">
      <xdr:nvSpPr>
        <xdr:cNvPr id="139" name="4-Point Star 138"/>
        <xdr:cNvSpPr/>
      </xdr:nvSpPr>
      <xdr:spPr>
        <a:xfrm>
          <a:off x="5818812" y="9465781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101489</xdr:colOff>
      <xdr:row>55</xdr:row>
      <xdr:rowOff>131281</xdr:rowOff>
    </xdr:from>
    <xdr:to>
      <xdr:col>12</xdr:col>
      <xdr:colOff>80597</xdr:colOff>
      <xdr:row>56</xdr:row>
      <xdr:rowOff>68685</xdr:rowOff>
    </xdr:to>
    <xdr:sp macro="" textlink="">
      <xdr:nvSpPr>
        <xdr:cNvPr id="140" name="4-Point Star 139"/>
        <xdr:cNvSpPr/>
      </xdr:nvSpPr>
      <xdr:spPr>
        <a:xfrm>
          <a:off x="2768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101489</xdr:colOff>
      <xdr:row>55</xdr:row>
      <xdr:rowOff>131281</xdr:rowOff>
    </xdr:from>
    <xdr:to>
      <xdr:col>16</xdr:col>
      <xdr:colOff>80597</xdr:colOff>
      <xdr:row>56</xdr:row>
      <xdr:rowOff>68685</xdr:rowOff>
    </xdr:to>
    <xdr:sp macro="" textlink="">
      <xdr:nvSpPr>
        <xdr:cNvPr id="141" name="4-Point Star 140"/>
        <xdr:cNvSpPr/>
      </xdr:nvSpPr>
      <xdr:spPr>
        <a:xfrm>
          <a:off x="3530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101489</xdr:colOff>
      <xdr:row>55</xdr:row>
      <xdr:rowOff>131281</xdr:rowOff>
    </xdr:from>
    <xdr:to>
      <xdr:col>20</xdr:col>
      <xdr:colOff>80597</xdr:colOff>
      <xdr:row>56</xdr:row>
      <xdr:rowOff>68685</xdr:rowOff>
    </xdr:to>
    <xdr:sp macro="" textlink="">
      <xdr:nvSpPr>
        <xdr:cNvPr id="142" name="4-Point Star 141"/>
        <xdr:cNvSpPr/>
      </xdr:nvSpPr>
      <xdr:spPr>
        <a:xfrm>
          <a:off x="4292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101489</xdr:colOff>
      <xdr:row>55</xdr:row>
      <xdr:rowOff>131281</xdr:rowOff>
    </xdr:from>
    <xdr:to>
      <xdr:col>24</xdr:col>
      <xdr:colOff>80597</xdr:colOff>
      <xdr:row>56</xdr:row>
      <xdr:rowOff>68685</xdr:rowOff>
    </xdr:to>
    <xdr:sp macro="" textlink="">
      <xdr:nvSpPr>
        <xdr:cNvPr id="143" name="4-Point Star 142"/>
        <xdr:cNvSpPr/>
      </xdr:nvSpPr>
      <xdr:spPr>
        <a:xfrm>
          <a:off x="5054489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103812</xdr:colOff>
      <xdr:row>55</xdr:row>
      <xdr:rowOff>131281</xdr:rowOff>
    </xdr:from>
    <xdr:to>
      <xdr:col>28</xdr:col>
      <xdr:colOff>82920</xdr:colOff>
      <xdr:row>56</xdr:row>
      <xdr:rowOff>68685</xdr:rowOff>
    </xdr:to>
    <xdr:sp macro="" textlink="">
      <xdr:nvSpPr>
        <xdr:cNvPr id="144" name="4-Point Star 143"/>
        <xdr:cNvSpPr/>
      </xdr:nvSpPr>
      <xdr:spPr>
        <a:xfrm>
          <a:off x="5818812" y="11054632"/>
          <a:ext cx="169608" cy="13601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20</xdr:row>
      <xdr:rowOff>0</xdr:rowOff>
    </xdr:from>
    <xdr:to>
      <xdr:col>3</xdr:col>
      <xdr:colOff>0</xdr:colOff>
      <xdr:row>20</xdr:row>
      <xdr:rowOff>0</xdr:rowOff>
    </xdr:to>
    <xdr:cxnSp macro="">
      <xdr:nvCxnSpPr>
        <xdr:cNvPr id="5" name="Straight Connector 4"/>
        <xdr:cNvCxnSpPr/>
      </xdr:nvCxnSpPr>
      <xdr:spPr>
        <a:xfrm flipH="1">
          <a:off x="103414" y="36086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23</xdr:row>
      <xdr:rowOff>212270</xdr:rowOff>
    </xdr:from>
    <xdr:to>
      <xdr:col>3</xdr:col>
      <xdr:colOff>0</xdr:colOff>
      <xdr:row>23</xdr:row>
      <xdr:rowOff>212270</xdr:rowOff>
    </xdr:to>
    <xdr:cxnSp macro="">
      <xdr:nvCxnSpPr>
        <xdr:cNvPr id="6" name="Straight Connector 5"/>
        <xdr:cNvCxnSpPr/>
      </xdr:nvCxnSpPr>
      <xdr:spPr>
        <a:xfrm flipH="1">
          <a:off x="103414" y="445769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28</xdr:row>
      <xdr:rowOff>5441</xdr:rowOff>
    </xdr:from>
    <xdr:to>
      <xdr:col>3</xdr:col>
      <xdr:colOff>0</xdr:colOff>
      <xdr:row>28</xdr:row>
      <xdr:rowOff>5441</xdr:rowOff>
    </xdr:to>
    <xdr:cxnSp macro="">
      <xdr:nvCxnSpPr>
        <xdr:cNvPr id="7" name="Straight Connector 6"/>
        <xdr:cNvCxnSpPr/>
      </xdr:nvCxnSpPr>
      <xdr:spPr>
        <a:xfrm flipH="1">
          <a:off x="103414" y="531222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20</xdr:row>
      <xdr:rowOff>10886</xdr:rowOff>
    </xdr:from>
    <xdr:to>
      <xdr:col>1</xdr:col>
      <xdr:colOff>95247</xdr:colOff>
      <xdr:row>24</xdr:row>
      <xdr:rowOff>0</xdr:rowOff>
    </xdr:to>
    <xdr:cxnSp macro="">
      <xdr:nvCxnSpPr>
        <xdr:cNvPr id="9" name="Straight Arrow Connector 8"/>
        <xdr:cNvCxnSpPr/>
      </xdr:nvCxnSpPr>
      <xdr:spPr>
        <a:xfrm>
          <a:off x="380995" y="3530995"/>
          <a:ext cx="0" cy="81737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24</xdr:row>
      <xdr:rowOff>5443</xdr:rowOff>
    </xdr:from>
    <xdr:to>
      <xdr:col>1</xdr:col>
      <xdr:colOff>95249</xdr:colOff>
      <xdr:row>27</xdr:row>
      <xdr:rowOff>206829</xdr:rowOff>
    </xdr:to>
    <xdr:cxnSp macro="">
      <xdr:nvCxnSpPr>
        <xdr:cNvPr id="10" name="Straight Arrow Connector 9"/>
        <xdr:cNvCxnSpPr/>
      </xdr:nvCxnSpPr>
      <xdr:spPr>
        <a:xfrm>
          <a:off x="190498" y="4463143"/>
          <a:ext cx="0" cy="83820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18</xdr:row>
      <xdr:rowOff>5443</xdr:rowOff>
    </xdr:from>
    <xdr:to>
      <xdr:col>3</xdr:col>
      <xdr:colOff>0</xdr:colOff>
      <xdr:row>18</xdr:row>
      <xdr:rowOff>5443</xdr:rowOff>
    </xdr:to>
    <xdr:cxnSp macro="">
      <xdr:nvCxnSpPr>
        <xdr:cNvPr id="11" name="Straight Connector 10"/>
        <xdr:cNvCxnSpPr/>
      </xdr:nvCxnSpPr>
      <xdr:spPr>
        <a:xfrm flipH="1">
          <a:off x="103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18</xdr:row>
      <xdr:rowOff>16329</xdr:rowOff>
    </xdr:from>
    <xdr:to>
      <xdr:col>1</xdr:col>
      <xdr:colOff>95249</xdr:colOff>
      <xdr:row>20</xdr:row>
      <xdr:rowOff>0</xdr:rowOff>
    </xdr:to>
    <xdr:cxnSp macro="">
      <xdr:nvCxnSpPr>
        <xdr:cNvPr id="12" name="Straight Arrow Connector 11"/>
        <xdr:cNvCxnSpPr/>
      </xdr:nvCxnSpPr>
      <xdr:spPr>
        <a:xfrm>
          <a:off x="190498" y="3200400"/>
          <a:ext cx="0" cy="408214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113108</xdr:rowOff>
    </xdr:from>
    <xdr:to>
      <xdr:col>6</xdr:col>
      <xdr:colOff>2323</xdr:colOff>
      <xdr:row>17</xdr:row>
      <xdr:rowOff>204438</xdr:rowOff>
    </xdr:to>
    <xdr:grpSp>
      <xdr:nvGrpSpPr>
        <xdr:cNvPr id="17" name="Group 16"/>
        <xdr:cNvGrpSpPr/>
      </xdr:nvGrpSpPr>
      <xdr:grpSpPr>
        <a:xfrm>
          <a:off x="762000" y="3631755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6" name="Straight Connector 1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16</xdr:row>
      <xdr:rowOff>113108</xdr:rowOff>
    </xdr:from>
    <xdr:to>
      <xdr:col>10</xdr:col>
      <xdr:colOff>2323</xdr:colOff>
      <xdr:row>17</xdr:row>
      <xdr:rowOff>204438</xdr:rowOff>
    </xdr:to>
    <xdr:grpSp>
      <xdr:nvGrpSpPr>
        <xdr:cNvPr id="18" name="Group 17"/>
        <xdr:cNvGrpSpPr/>
      </xdr:nvGrpSpPr>
      <xdr:grpSpPr>
        <a:xfrm>
          <a:off x="1524000" y="3631755"/>
          <a:ext cx="385646" cy="304242"/>
          <a:chOff x="571500" y="2718109"/>
          <a:chExt cx="385646" cy="413525"/>
        </a:xfrm>
      </xdr:grpSpPr>
      <xdr:sp macro="" textlink="">
        <xdr:nvSpPr>
          <xdr:cNvPr id="19" name="Rectangle 1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0" name="Straight Connector 1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16</xdr:row>
      <xdr:rowOff>113108</xdr:rowOff>
    </xdr:from>
    <xdr:to>
      <xdr:col>14</xdr:col>
      <xdr:colOff>2323</xdr:colOff>
      <xdr:row>17</xdr:row>
      <xdr:rowOff>204438</xdr:rowOff>
    </xdr:to>
    <xdr:grpSp>
      <xdr:nvGrpSpPr>
        <xdr:cNvPr id="21" name="Group 20"/>
        <xdr:cNvGrpSpPr/>
      </xdr:nvGrpSpPr>
      <xdr:grpSpPr>
        <a:xfrm>
          <a:off x="2286000" y="3631755"/>
          <a:ext cx="385646" cy="304242"/>
          <a:chOff x="571500" y="2718109"/>
          <a:chExt cx="385646" cy="413525"/>
        </a:xfrm>
      </xdr:grpSpPr>
      <xdr:sp macro="" textlink="">
        <xdr:nvSpPr>
          <xdr:cNvPr id="22" name="Rectangle 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" name="Straight Connector 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16</xdr:row>
      <xdr:rowOff>113108</xdr:rowOff>
    </xdr:from>
    <xdr:to>
      <xdr:col>18</xdr:col>
      <xdr:colOff>2323</xdr:colOff>
      <xdr:row>17</xdr:row>
      <xdr:rowOff>204438</xdr:rowOff>
    </xdr:to>
    <xdr:grpSp>
      <xdr:nvGrpSpPr>
        <xdr:cNvPr id="24" name="Group 23"/>
        <xdr:cNvGrpSpPr/>
      </xdr:nvGrpSpPr>
      <xdr:grpSpPr>
        <a:xfrm>
          <a:off x="3048000" y="3631755"/>
          <a:ext cx="385646" cy="304242"/>
          <a:chOff x="571500" y="2718109"/>
          <a:chExt cx="385646" cy="413525"/>
        </a:xfrm>
      </xdr:grpSpPr>
      <xdr:sp macro="" textlink="">
        <xdr:nvSpPr>
          <xdr:cNvPr id="25" name="Rectangle 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" name="Straight Connector 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16</xdr:row>
      <xdr:rowOff>113108</xdr:rowOff>
    </xdr:from>
    <xdr:to>
      <xdr:col>22</xdr:col>
      <xdr:colOff>2323</xdr:colOff>
      <xdr:row>17</xdr:row>
      <xdr:rowOff>204438</xdr:rowOff>
    </xdr:to>
    <xdr:grpSp>
      <xdr:nvGrpSpPr>
        <xdr:cNvPr id="27" name="Group 26"/>
        <xdr:cNvGrpSpPr/>
      </xdr:nvGrpSpPr>
      <xdr:grpSpPr>
        <a:xfrm>
          <a:off x="3810000" y="3631755"/>
          <a:ext cx="385646" cy="304242"/>
          <a:chOff x="571500" y="2718109"/>
          <a:chExt cx="385646" cy="413525"/>
        </a:xfrm>
      </xdr:grpSpPr>
      <xdr:sp macro="" textlink="">
        <xdr:nvSpPr>
          <xdr:cNvPr id="28" name="Rectangle 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9" name="Straight Connector 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13</xdr:row>
      <xdr:rowOff>5953</xdr:rowOff>
    </xdr:from>
    <xdr:to>
      <xdr:col>5</xdr:col>
      <xdr:colOff>2975</xdr:colOff>
      <xdr:row>15</xdr:row>
      <xdr:rowOff>1</xdr:rowOff>
    </xdr:to>
    <xdr:cxnSp macro="">
      <xdr:nvCxnSpPr>
        <xdr:cNvPr id="30" name="Straight Connector 29"/>
        <xdr:cNvCxnSpPr/>
      </xdr:nvCxnSpPr>
      <xdr:spPr>
        <a:xfrm flipV="1">
          <a:off x="767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13</xdr:row>
      <xdr:rowOff>5953</xdr:rowOff>
    </xdr:from>
    <xdr:to>
      <xdr:col>9</xdr:col>
      <xdr:colOff>2975</xdr:colOff>
      <xdr:row>15</xdr:row>
      <xdr:rowOff>1</xdr:rowOff>
    </xdr:to>
    <xdr:cxnSp macro="">
      <xdr:nvCxnSpPr>
        <xdr:cNvPr id="34" name="Straight Connector 33"/>
        <xdr:cNvCxnSpPr/>
      </xdr:nvCxnSpPr>
      <xdr:spPr>
        <a:xfrm flipV="1">
          <a:off x="1529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13</xdr:row>
      <xdr:rowOff>5953</xdr:rowOff>
    </xdr:from>
    <xdr:to>
      <xdr:col>13</xdr:col>
      <xdr:colOff>2974</xdr:colOff>
      <xdr:row>15</xdr:row>
      <xdr:rowOff>1</xdr:rowOff>
    </xdr:to>
    <xdr:cxnSp macro="">
      <xdr:nvCxnSpPr>
        <xdr:cNvPr id="35" name="Straight Connector 34"/>
        <xdr:cNvCxnSpPr/>
      </xdr:nvCxnSpPr>
      <xdr:spPr>
        <a:xfrm flipV="1">
          <a:off x="2291949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13</xdr:row>
      <xdr:rowOff>5953</xdr:rowOff>
    </xdr:from>
    <xdr:to>
      <xdr:col>17</xdr:col>
      <xdr:colOff>2973</xdr:colOff>
      <xdr:row>15</xdr:row>
      <xdr:rowOff>1</xdr:rowOff>
    </xdr:to>
    <xdr:cxnSp macro="">
      <xdr:nvCxnSpPr>
        <xdr:cNvPr id="36" name="Straight Connector 35"/>
        <xdr:cNvCxnSpPr/>
      </xdr:nvCxnSpPr>
      <xdr:spPr>
        <a:xfrm flipV="1">
          <a:off x="3053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13</xdr:row>
      <xdr:rowOff>5953</xdr:rowOff>
    </xdr:from>
    <xdr:to>
      <xdr:col>21</xdr:col>
      <xdr:colOff>2973</xdr:colOff>
      <xdr:row>15</xdr:row>
      <xdr:rowOff>1</xdr:rowOff>
    </xdr:to>
    <xdr:cxnSp macro="">
      <xdr:nvCxnSpPr>
        <xdr:cNvPr id="37" name="Straight Connector 36"/>
        <xdr:cNvCxnSpPr/>
      </xdr:nvCxnSpPr>
      <xdr:spPr>
        <a:xfrm flipV="1">
          <a:off x="3815947" y="2089547"/>
          <a:ext cx="0" cy="41076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</xdr:row>
      <xdr:rowOff>209733</xdr:rowOff>
    </xdr:from>
    <xdr:to>
      <xdr:col>9</xdr:col>
      <xdr:colOff>5953</xdr:colOff>
      <xdr:row>13</xdr:row>
      <xdr:rowOff>209733</xdr:rowOff>
    </xdr:to>
    <xdr:cxnSp macro="">
      <xdr:nvCxnSpPr>
        <xdr:cNvPr id="38" name="Straight Arrow Connector 37"/>
        <xdr:cNvCxnSpPr/>
      </xdr:nvCxnSpPr>
      <xdr:spPr>
        <a:xfrm flipH="1">
          <a:off x="762000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13</xdr:row>
      <xdr:rowOff>209733</xdr:rowOff>
    </xdr:from>
    <xdr:to>
      <xdr:col>13</xdr:col>
      <xdr:colOff>8929</xdr:colOff>
      <xdr:row>13</xdr:row>
      <xdr:rowOff>209733</xdr:rowOff>
    </xdr:to>
    <xdr:cxnSp macro="">
      <xdr:nvCxnSpPr>
        <xdr:cNvPr id="43" name="Straight Arrow Connector 42"/>
        <xdr:cNvCxnSpPr/>
      </xdr:nvCxnSpPr>
      <xdr:spPr>
        <a:xfrm flipH="1">
          <a:off x="1529952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13</xdr:row>
      <xdr:rowOff>209733</xdr:rowOff>
    </xdr:from>
    <xdr:to>
      <xdr:col>17</xdr:col>
      <xdr:colOff>5952</xdr:colOff>
      <xdr:row>13</xdr:row>
      <xdr:rowOff>209733</xdr:rowOff>
    </xdr:to>
    <xdr:cxnSp macro="">
      <xdr:nvCxnSpPr>
        <xdr:cNvPr id="44" name="Straight Arrow Connector 43"/>
        <xdr:cNvCxnSpPr/>
      </xdr:nvCxnSpPr>
      <xdr:spPr>
        <a:xfrm flipH="1">
          <a:off x="2285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13</xdr:row>
      <xdr:rowOff>209733</xdr:rowOff>
    </xdr:from>
    <xdr:to>
      <xdr:col>21</xdr:col>
      <xdr:colOff>5952</xdr:colOff>
      <xdr:row>13</xdr:row>
      <xdr:rowOff>209733</xdr:rowOff>
    </xdr:to>
    <xdr:cxnSp macro="">
      <xdr:nvCxnSpPr>
        <xdr:cNvPr id="45" name="Straight Arrow Connector 44"/>
        <xdr:cNvCxnSpPr/>
      </xdr:nvCxnSpPr>
      <xdr:spPr>
        <a:xfrm flipH="1">
          <a:off x="3047998" y="233454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13</xdr:row>
      <xdr:rowOff>25184</xdr:rowOff>
    </xdr:from>
    <xdr:to>
      <xdr:col>8</xdr:col>
      <xdr:colOff>21976</xdr:colOff>
      <xdr:row>13</xdr:row>
      <xdr:rowOff>205153</xdr:rowOff>
    </xdr:to>
    <xdr:sp macro="" textlink="">
      <xdr:nvSpPr>
        <xdr:cNvPr id="58" name="Rectangle 57"/>
        <xdr:cNvSpPr/>
      </xdr:nvSpPr>
      <xdr:spPr>
        <a:xfrm>
          <a:off x="915501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13</xdr:row>
      <xdr:rowOff>25184</xdr:rowOff>
    </xdr:from>
    <xdr:to>
      <xdr:col>12</xdr:col>
      <xdr:colOff>25639</xdr:colOff>
      <xdr:row>13</xdr:row>
      <xdr:rowOff>205153</xdr:rowOff>
    </xdr:to>
    <xdr:sp macro="" textlink="">
      <xdr:nvSpPr>
        <xdr:cNvPr id="60" name="Rectangle 59"/>
        <xdr:cNvSpPr/>
      </xdr:nvSpPr>
      <xdr:spPr>
        <a:xfrm>
          <a:off x="1684827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13</xdr:row>
      <xdr:rowOff>25184</xdr:rowOff>
    </xdr:from>
    <xdr:to>
      <xdr:col>16</xdr:col>
      <xdr:colOff>29302</xdr:colOff>
      <xdr:row>13</xdr:row>
      <xdr:rowOff>205153</xdr:rowOff>
    </xdr:to>
    <xdr:sp macro="" textlink="">
      <xdr:nvSpPr>
        <xdr:cNvPr id="61" name="Rectangle 60"/>
        <xdr:cNvSpPr/>
      </xdr:nvSpPr>
      <xdr:spPr>
        <a:xfrm>
          <a:off x="2454152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13</xdr:row>
      <xdr:rowOff>25184</xdr:rowOff>
    </xdr:from>
    <xdr:to>
      <xdr:col>20</xdr:col>
      <xdr:colOff>32965</xdr:colOff>
      <xdr:row>13</xdr:row>
      <xdr:rowOff>205153</xdr:rowOff>
    </xdr:to>
    <xdr:sp macro="" textlink="">
      <xdr:nvSpPr>
        <xdr:cNvPr id="62" name="Rectangle 61"/>
        <xdr:cNvSpPr/>
      </xdr:nvSpPr>
      <xdr:spPr>
        <a:xfrm>
          <a:off x="3223479" y="214999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13</xdr:row>
      <xdr:rowOff>25184</xdr:rowOff>
    </xdr:from>
    <xdr:to>
      <xdr:col>5</xdr:col>
      <xdr:colOff>3657</xdr:colOff>
      <xdr:row>13</xdr:row>
      <xdr:rowOff>205153</xdr:rowOff>
    </xdr:to>
    <xdr:sp macro="" textlink="">
      <xdr:nvSpPr>
        <xdr:cNvPr id="63" name="Rectangle 62"/>
        <xdr:cNvSpPr/>
      </xdr:nvSpPr>
      <xdr:spPr>
        <a:xfrm>
          <a:off x="388326" y="2149992"/>
          <a:ext cx="380989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13</xdr:row>
      <xdr:rowOff>5953</xdr:rowOff>
    </xdr:from>
    <xdr:to>
      <xdr:col>3</xdr:col>
      <xdr:colOff>2975</xdr:colOff>
      <xdr:row>15</xdr:row>
      <xdr:rowOff>1</xdr:rowOff>
    </xdr:to>
    <xdr:cxnSp macro="">
      <xdr:nvCxnSpPr>
        <xdr:cNvPr id="65" name="Straight Connector 64"/>
        <xdr:cNvCxnSpPr/>
      </xdr:nvCxnSpPr>
      <xdr:spPr>
        <a:xfrm flipV="1">
          <a:off x="386950" y="2130761"/>
          <a:ext cx="0" cy="419009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13</xdr:row>
      <xdr:rowOff>209733</xdr:rowOff>
    </xdr:from>
    <xdr:to>
      <xdr:col>4</xdr:col>
      <xdr:colOff>84259</xdr:colOff>
      <xdr:row>13</xdr:row>
      <xdr:rowOff>209733</xdr:rowOff>
    </xdr:to>
    <xdr:cxnSp macro="">
      <xdr:nvCxnSpPr>
        <xdr:cNvPr id="66" name="Straight Arrow Connector 65"/>
        <xdr:cNvCxnSpPr/>
      </xdr:nvCxnSpPr>
      <xdr:spPr>
        <a:xfrm flipH="1">
          <a:off x="402980" y="2334541"/>
          <a:ext cx="337039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18</xdr:row>
      <xdr:rowOff>20052</xdr:rowOff>
    </xdr:from>
    <xdr:to>
      <xdr:col>1</xdr:col>
      <xdr:colOff>92796</xdr:colOff>
      <xdr:row>19</xdr:row>
      <xdr:rowOff>188808</xdr:rowOff>
    </xdr:to>
    <xdr:sp macro="" textlink="">
      <xdr:nvSpPr>
        <xdr:cNvPr id="67" name="Rectangle 66"/>
        <xdr:cNvSpPr/>
      </xdr:nvSpPr>
      <xdr:spPr>
        <a:xfrm rot="16200000">
          <a:off x="96452" y="3278011"/>
          <a:ext cx="37930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20</xdr:row>
      <xdr:rowOff>185488</xdr:rowOff>
    </xdr:from>
    <xdr:to>
      <xdr:col>1</xdr:col>
      <xdr:colOff>92796</xdr:colOff>
      <xdr:row>23</xdr:row>
      <xdr:rowOff>20053</xdr:rowOff>
    </xdr:to>
    <xdr:sp macro="" textlink="">
      <xdr:nvSpPr>
        <xdr:cNvPr id="69" name="Rectangle 68"/>
        <xdr:cNvSpPr/>
      </xdr:nvSpPr>
      <xdr:spPr>
        <a:xfrm rot="16200000">
          <a:off x="52995" y="3908010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24</xdr:row>
      <xdr:rowOff>190503</xdr:rowOff>
    </xdr:from>
    <xdr:to>
      <xdr:col>1</xdr:col>
      <xdr:colOff>92796</xdr:colOff>
      <xdr:row>27</xdr:row>
      <xdr:rowOff>25068</xdr:rowOff>
    </xdr:to>
    <xdr:sp macro="" textlink="">
      <xdr:nvSpPr>
        <xdr:cNvPr id="70" name="Rectangle 69"/>
        <xdr:cNvSpPr/>
      </xdr:nvSpPr>
      <xdr:spPr>
        <a:xfrm rot="16200000">
          <a:off x="52995" y="4755235"/>
          <a:ext cx="466223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20</xdr:row>
      <xdr:rowOff>0</xdr:rowOff>
    </xdr:from>
    <xdr:to>
      <xdr:col>28</xdr:col>
      <xdr:colOff>0</xdr:colOff>
      <xdr:row>20</xdr:row>
      <xdr:rowOff>0</xdr:rowOff>
    </xdr:to>
    <xdr:cxnSp macro="">
      <xdr:nvCxnSpPr>
        <xdr:cNvPr id="112" name="Straight Connector 111"/>
        <xdr:cNvCxnSpPr/>
      </xdr:nvCxnSpPr>
      <xdr:spPr>
        <a:xfrm flipH="1">
          <a:off x="293914" y="361950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23</xdr:row>
      <xdr:rowOff>212270</xdr:rowOff>
    </xdr:from>
    <xdr:to>
      <xdr:col>28</xdr:col>
      <xdr:colOff>0</xdr:colOff>
      <xdr:row>23</xdr:row>
      <xdr:rowOff>212270</xdr:rowOff>
    </xdr:to>
    <xdr:cxnSp macro="">
      <xdr:nvCxnSpPr>
        <xdr:cNvPr id="113" name="Straight Connector 112"/>
        <xdr:cNvCxnSpPr/>
      </xdr:nvCxnSpPr>
      <xdr:spPr>
        <a:xfrm flipH="1">
          <a:off x="293914" y="447050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28</xdr:row>
      <xdr:rowOff>5441</xdr:rowOff>
    </xdr:from>
    <xdr:to>
      <xdr:col>28</xdr:col>
      <xdr:colOff>0</xdr:colOff>
      <xdr:row>28</xdr:row>
      <xdr:rowOff>5441</xdr:rowOff>
    </xdr:to>
    <xdr:cxnSp macro="">
      <xdr:nvCxnSpPr>
        <xdr:cNvPr id="114" name="Straight Connector 113"/>
        <xdr:cNvCxnSpPr/>
      </xdr:nvCxnSpPr>
      <xdr:spPr>
        <a:xfrm flipH="1">
          <a:off x="293914" y="5328235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20</xdr:row>
      <xdr:rowOff>10886</xdr:rowOff>
    </xdr:from>
    <xdr:to>
      <xdr:col>26</xdr:col>
      <xdr:colOff>95247</xdr:colOff>
      <xdr:row>24</xdr:row>
      <xdr:rowOff>0</xdr:rowOff>
    </xdr:to>
    <xdr:cxnSp macro="">
      <xdr:nvCxnSpPr>
        <xdr:cNvPr id="115" name="Straight Arrow Connector 114"/>
        <xdr:cNvCxnSpPr/>
      </xdr:nvCxnSpPr>
      <xdr:spPr>
        <a:xfrm>
          <a:off x="380994" y="3630386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24</xdr:row>
      <xdr:rowOff>5443</xdr:rowOff>
    </xdr:from>
    <xdr:to>
      <xdr:col>26</xdr:col>
      <xdr:colOff>95249</xdr:colOff>
      <xdr:row>27</xdr:row>
      <xdr:rowOff>206829</xdr:rowOff>
    </xdr:to>
    <xdr:cxnSp macro="">
      <xdr:nvCxnSpPr>
        <xdr:cNvPr id="116" name="Straight Arrow Connector 115"/>
        <xdr:cNvCxnSpPr/>
      </xdr:nvCxnSpPr>
      <xdr:spPr>
        <a:xfrm>
          <a:off x="380998" y="4476590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18</xdr:row>
      <xdr:rowOff>5443</xdr:rowOff>
    </xdr:from>
    <xdr:to>
      <xdr:col>28</xdr:col>
      <xdr:colOff>0</xdr:colOff>
      <xdr:row>18</xdr:row>
      <xdr:rowOff>5443</xdr:rowOff>
    </xdr:to>
    <xdr:cxnSp macro="">
      <xdr:nvCxnSpPr>
        <xdr:cNvPr id="117" name="Straight Connector 116"/>
        <xdr:cNvCxnSpPr/>
      </xdr:nvCxnSpPr>
      <xdr:spPr>
        <a:xfrm flipH="1">
          <a:off x="293914" y="319911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18</xdr:row>
      <xdr:rowOff>16329</xdr:rowOff>
    </xdr:from>
    <xdr:to>
      <xdr:col>26</xdr:col>
      <xdr:colOff>95249</xdr:colOff>
      <xdr:row>20</xdr:row>
      <xdr:rowOff>0</xdr:rowOff>
    </xdr:to>
    <xdr:cxnSp macro="">
      <xdr:nvCxnSpPr>
        <xdr:cNvPr id="118" name="Straight Arrow Connector 117"/>
        <xdr:cNvCxnSpPr/>
      </xdr:nvCxnSpPr>
      <xdr:spPr>
        <a:xfrm>
          <a:off x="380998" y="3210005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16</xdr:row>
      <xdr:rowOff>113108</xdr:rowOff>
    </xdr:from>
    <xdr:to>
      <xdr:col>31</xdr:col>
      <xdr:colOff>2323</xdr:colOff>
      <xdr:row>17</xdr:row>
      <xdr:rowOff>204438</xdr:rowOff>
    </xdr:to>
    <xdr:grpSp>
      <xdr:nvGrpSpPr>
        <xdr:cNvPr id="119" name="Group 118"/>
        <xdr:cNvGrpSpPr/>
      </xdr:nvGrpSpPr>
      <xdr:grpSpPr>
        <a:xfrm>
          <a:off x="5524500" y="3631755"/>
          <a:ext cx="385646" cy="304242"/>
          <a:chOff x="571500" y="2718109"/>
          <a:chExt cx="385646" cy="413525"/>
        </a:xfrm>
      </xdr:grpSpPr>
      <xdr:sp macro="" textlink="">
        <xdr:nvSpPr>
          <xdr:cNvPr id="120" name="Rectangle 1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1" name="Straight Connector 1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16</xdr:row>
      <xdr:rowOff>113108</xdr:rowOff>
    </xdr:from>
    <xdr:to>
      <xdr:col>35</xdr:col>
      <xdr:colOff>2323</xdr:colOff>
      <xdr:row>17</xdr:row>
      <xdr:rowOff>204438</xdr:rowOff>
    </xdr:to>
    <xdr:grpSp>
      <xdr:nvGrpSpPr>
        <xdr:cNvPr id="122" name="Group 121"/>
        <xdr:cNvGrpSpPr/>
      </xdr:nvGrpSpPr>
      <xdr:grpSpPr>
        <a:xfrm>
          <a:off x="6286500" y="3631755"/>
          <a:ext cx="385646" cy="304242"/>
          <a:chOff x="571500" y="2718109"/>
          <a:chExt cx="385646" cy="413525"/>
        </a:xfrm>
      </xdr:grpSpPr>
      <xdr:sp macro="" textlink="">
        <xdr:nvSpPr>
          <xdr:cNvPr id="123" name="Rectangle 1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4" name="Straight Connector 1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16</xdr:row>
      <xdr:rowOff>113108</xdr:rowOff>
    </xdr:from>
    <xdr:to>
      <xdr:col>39</xdr:col>
      <xdr:colOff>2323</xdr:colOff>
      <xdr:row>17</xdr:row>
      <xdr:rowOff>204438</xdr:rowOff>
    </xdr:to>
    <xdr:grpSp>
      <xdr:nvGrpSpPr>
        <xdr:cNvPr id="125" name="Group 124"/>
        <xdr:cNvGrpSpPr/>
      </xdr:nvGrpSpPr>
      <xdr:grpSpPr>
        <a:xfrm>
          <a:off x="7048500" y="3631755"/>
          <a:ext cx="385646" cy="304242"/>
          <a:chOff x="571500" y="2718109"/>
          <a:chExt cx="385646" cy="413525"/>
        </a:xfrm>
      </xdr:grpSpPr>
      <xdr:sp macro="" textlink="">
        <xdr:nvSpPr>
          <xdr:cNvPr id="126" name="Rectangle 12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7" name="Straight Connector 12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16</xdr:row>
      <xdr:rowOff>113108</xdr:rowOff>
    </xdr:from>
    <xdr:to>
      <xdr:col>43</xdr:col>
      <xdr:colOff>2323</xdr:colOff>
      <xdr:row>17</xdr:row>
      <xdr:rowOff>204438</xdr:rowOff>
    </xdr:to>
    <xdr:grpSp>
      <xdr:nvGrpSpPr>
        <xdr:cNvPr id="128" name="Group 127"/>
        <xdr:cNvGrpSpPr/>
      </xdr:nvGrpSpPr>
      <xdr:grpSpPr>
        <a:xfrm>
          <a:off x="7810500" y="3631755"/>
          <a:ext cx="385646" cy="304242"/>
          <a:chOff x="571500" y="2718109"/>
          <a:chExt cx="385646" cy="413525"/>
        </a:xfrm>
      </xdr:grpSpPr>
      <xdr:sp macro="" textlink="">
        <xdr:nvSpPr>
          <xdr:cNvPr id="129" name="Rectangle 12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0" name="Straight Connector 12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16</xdr:row>
      <xdr:rowOff>113108</xdr:rowOff>
    </xdr:from>
    <xdr:to>
      <xdr:col>47</xdr:col>
      <xdr:colOff>2323</xdr:colOff>
      <xdr:row>17</xdr:row>
      <xdr:rowOff>204438</xdr:rowOff>
    </xdr:to>
    <xdr:grpSp>
      <xdr:nvGrpSpPr>
        <xdr:cNvPr id="131" name="Group 130"/>
        <xdr:cNvGrpSpPr/>
      </xdr:nvGrpSpPr>
      <xdr:grpSpPr>
        <a:xfrm>
          <a:off x="8572500" y="3631755"/>
          <a:ext cx="385646" cy="304242"/>
          <a:chOff x="571500" y="2718109"/>
          <a:chExt cx="385646" cy="413525"/>
        </a:xfrm>
      </xdr:grpSpPr>
      <xdr:sp macro="" textlink="">
        <xdr:nvSpPr>
          <xdr:cNvPr id="132" name="Rectangle 13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3" name="Straight Connector 13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13</xdr:row>
      <xdr:rowOff>5953</xdr:rowOff>
    </xdr:from>
    <xdr:to>
      <xdr:col>30</xdr:col>
      <xdr:colOff>2975</xdr:colOff>
      <xdr:row>15</xdr:row>
      <xdr:rowOff>1</xdr:rowOff>
    </xdr:to>
    <xdr:cxnSp macro="">
      <xdr:nvCxnSpPr>
        <xdr:cNvPr id="134" name="Straight Connector 133"/>
        <xdr:cNvCxnSpPr/>
      </xdr:nvCxnSpPr>
      <xdr:spPr>
        <a:xfrm flipV="1">
          <a:off x="958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13</xdr:row>
      <xdr:rowOff>5953</xdr:rowOff>
    </xdr:from>
    <xdr:to>
      <xdr:col>34</xdr:col>
      <xdr:colOff>2975</xdr:colOff>
      <xdr:row>15</xdr:row>
      <xdr:rowOff>1</xdr:rowOff>
    </xdr:to>
    <xdr:cxnSp macro="">
      <xdr:nvCxnSpPr>
        <xdr:cNvPr id="135" name="Straight Connector 134"/>
        <xdr:cNvCxnSpPr/>
      </xdr:nvCxnSpPr>
      <xdr:spPr>
        <a:xfrm flipV="1">
          <a:off x="1720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13</xdr:row>
      <xdr:rowOff>5953</xdr:rowOff>
    </xdr:from>
    <xdr:to>
      <xdr:col>38</xdr:col>
      <xdr:colOff>2974</xdr:colOff>
      <xdr:row>15</xdr:row>
      <xdr:rowOff>1</xdr:rowOff>
    </xdr:to>
    <xdr:cxnSp macro="">
      <xdr:nvCxnSpPr>
        <xdr:cNvPr id="136" name="Straight Connector 135"/>
        <xdr:cNvCxnSpPr/>
      </xdr:nvCxnSpPr>
      <xdr:spPr>
        <a:xfrm flipV="1">
          <a:off x="2482448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13</xdr:row>
      <xdr:rowOff>5953</xdr:rowOff>
    </xdr:from>
    <xdr:to>
      <xdr:col>42</xdr:col>
      <xdr:colOff>2973</xdr:colOff>
      <xdr:row>15</xdr:row>
      <xdr:rowOff>1</xdr:rowOff>
    </xdr:to>
    <xdr:cxnSp macro="">
      <xdr:nvCxnSpPr>
        <xdr:cNvPr id="137" name="Straight Connector 136"/>
        <xdr:cNvCxnSpPr/>
      </xdr:nvCxnSpPr>
      <xdr:spPr>
        <a:xfrm flipV="1">
          <a:off x="3244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13</xdr:row>
      <xdr:rowOff>5953</xdr:rowOff>
    </xdr:from>
    <xdr:to>
      <xdr:col>46</xdr:col>
      <xdr:colOff>2973</xdr:colOff>
      <xdr:row>15</xdr:row>
      <xdr:rowOff>1</xdr:rowOff>
    </xdr:to>
    <xdr:cxnSp macro="">
      <xdr:nvCxnSpPr>
        <xdr:cNvPr id="138" name="Straight Connector 137"/>
        <xdr:cNvCxnSpPr/>
      </xdr:nvCxnSpPr>
      <xdr:spPr>
        <a:xfrm flipV="1">
          <a:off x="4006446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13</xdr:row>
      <xdr:rowOff>209733</xdr:rowOff>
    </xdr:from>
    <xdr:to>
      <xdr:col>34</xdr:col>
      <xdr:colOff>5953</xdr:colOff>
      <xdr:row>13</xdr:row>
      <xdr:rowOff>209733</xdr:rowOff>
    </xdr:to>
    <xdr:cxnSp macro="">
      <xdr:nvCxnSpPr>
        <xdr:cNvPr id="139" name="Straight Arrow Connector 138"/>
        <xdr:cNvCxnSpPr/>
      </xdr:nvCxnSpPr>
      <xdr:spPr>
        <a:xfrm flipH="1">
          <a:off x="952500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13</xdr:row>
      <xdr:rowOff>209733</xdr:rowOff>
    </xdr:from>
    <xdr:to>
      <xdr:col>38</xdr:col>
      <xdr:colOff>8929</xdr:colOff>
      <xdr:row>13</xdr:row>
      <xdr:rowOff>209733</xdr:rowOff>
    </xdr:to>
    <xdr:cxnSp macro="">
      <xdr:nvCxnSpPr>
        <xdr:cNvPr id="140" name="Straight Arrow Connector 139"/>
        <xdr:cNvCxnSpPr/>
      </xdr:nvCxnSpPr>
      <xdr:spPr>
        <a:xfrm flipH="1">
          <a:off x="1720452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13</xdr:row>
      <xdr:rowOff>209733</xdr:rowOff>
    </xdr:from>
    <xdr:to>
      <xdr:col>42</xdr:col>
      <xdr:colOff>5952</xdr:colOff>
      <xdr:row>13</xdr:row>
      <xdr:rowOff>209733</xdr:rowOff>
    </xdr:to>
    <xdr:cxnSp macro="">
      <xdr:nvCxnSpPr>
        <xdr:cNvPr id="141" name="Straight Arrow Connector 140"/>
        <xdr:cNvCxnSpPr/>
      </xdr:nvCxnSpPr>
      <xdr:spPr>
        <a:xfrm flipH="1">
          <a:off x="2476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13</xdr:row>
      <xdr:rowOff>209733</xdr:rowOff>
    </xdr:from>
    <xdr:to>
      <xdr:col>46</xdr:col>
      <xdr:colOff>5952</xdr:colOff>
      <xdr:row>13</xdr:row>
      <xdr:rowOff>209733</xdr:rowOff>
    </xdr:to>
    <xdr:cxnSp macro="">
      <xdr:nvCxnSpPr>
        <xdr:cNvPr id="142" name="Straight Arrow Connector 141"/>
        <xdr:cNvCxnSpPr/>
      </xdr:nvCxnSpPr>
      <xdr:spPr>
        <a:xfrm flipH="1">
          <a:off x="3238498" y="2338851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13</xdr:row>
      <xdr:rowOff>25184</xdr:rowOff>
    </xdr:from>
    <xdr:to>
      <xdr:col>33</xdr:col>
      <xdr:colOff>21976</xdr:colOff>
      <xdr:row>13</xdr:row>
      <xdr:rowOff>205153</xdr:rowOff>
    </xdr:to>
    <xdr:sp macro="" textlink="">
      <xdr:nvSpPr>
        <xdr:cNvPr id="143" name="Rectangle 142"/>
        <xdr:cNvSpPr/>
      </xdr:nvSpPr>
      <xdr:spPr>
        <a:xfrm>
          <a:off x="1106000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13</xdr:row>
      <xdr:rowOff>25184</xdr:rowOff>
    </xdr:from>
    <xdr:to>
      <xdr:col>37</xdr:col>
      <xdr:colOff>25639</xdr:colOff>
      <xdr:row>13</xdr:row>
      <xdr:rowOff>205153</xdr:rowOff>
    </xdr:to>
    <xdr:sp macro="" textlink="">
      <xdr:nvSpPr>
        <xdr:cNvPr id="144" name="Rectangle 143"/>
        <xdr:cNvSpPr/>
      </xdr:nvSpPr>
      <xdr:spPr>
        <a:xfrm>
          <a:off x="1875326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13</xdr:row>
      <xdr:rowOff>25184</xdr:rowOff>
    </xdr:from>
    <xdr:to>
      <xdr:col>41</xdr:col>
      <xdr:colOff>29302</xdr:colOff>
      <xdr:row>13</xdr:row>
      <xdr:rowOff>205153</xdr:rowOff>
    </xdr:to>
    <xdr:sp macro="" textlink="">
      <xdr:nvSpPr>
        <xdr:cNvPr id="145" name="Rectangle 144"/>
        <xdr:cNvSpPr/>
      </xdr:nvSpPr>
      <xdr:spPr>
        <a:xfrm>
          <a:off x="2644652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13</xdr:row>
      <xdr:rowOff>25184</xdr:rowOff>
    </xdr:from>
    <xdr:to>
      <xdr:col>45</xdr:col>
      <xdr:colOff>32965</xdr:colOff>
      <xdr:row>13</xdr:row>
      <xdr:rowOff>205153</xdr:rowOff>
    </xdr:to>
    <xdr:sp macro="" textlink="">
      <xdr:nvSpPr>
        <xdr:cNvPr id="146" name="Rectangle 145"/>
        <xdr:cNvSpPr/>
      </xdr:nvSpPr>
      <xdr:spPr>
        <a:xfrm>
          <a:off x="3413978" y="2154302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13</xdr:row>
      <xdr:rowOff>25184</xdr:rowOff>
    </xdr:from>
    <xdr:to>
      <xdr:col>30</xdr:col>
      <xdr:colOff>3657</xdr:colOff>
      <xdr:row>13</xdr:row>
      <xdr:rowOff>205153</xdr:rowOff>
    </xdr:to>
    <xdr:sp macro="" textlink="">
      <xdr:nvSpPr>
        <xdr:cNvPr id="147" name="Rectangle 146"/>
        <xdr:cNvSpPr/>
      </xdr:nvSpPr>
      <xdr:spPr>
        <a:xfrm>
          <a:off x="578826" y="2154302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13</xdr:row>
      <xdr:rowOff>5953</xdr:rowOff>
    </xdr:from>
    <xdr:to>
      <xdr:col>28</xdr:col>
      <xdr:colOff>2975</xdr:colOff>
      <xdr:row>15</xdr:row>
      <xdr:rowOff>1</xdr:rowOff>
    </xdr:to>
    <xdr:cxnSp macro="">
      <xdr:nvCxnSpPr>
        <xdr:cNvPr id="148" name="Straight Connector 147"/>
        <xdr:cNvCxnSpPr/>
      </xdr:nvCxnSpPr>
      <xdr:spPr>
        <a:xfrm flipV="1">
          <a:off x="577450" y="2135071"/>
          <a:ext cx="0" cy="41987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13</xdr:row>
      <xdr:rowOff>209733</xdr:rowOff>
    </xdr:from>
    <xdr:to>
      <xdr:col>29</xdr:col>
      <xdr:colOff>84259</xdr:colOff>
      <xdr:row>13</xdr:row>
      <xdr:rowOff>209733</xdr:rowOff>
    </xdr:to>
    <xdr:cxnSp macro="">
      <xdr:nvCxnSpPr>
        <xdr:cNvPr id="149" name="Straight Arrow Connector 148"/>
        <xdr:cNvCxnSpPr/>
      </xdr:nvCxnSpPr>
      <xdr:spPr>
        <a:xfrm flipH="1">
          <a:off x="593480" y="2338851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18</xdr:row>
      <xdr:rowOff>20052</xdr:rowOff>
    </xdr:from>
    <xdr:to>
      <xdr:col>26</xdr:col>
      <xdr:colOff>92796</xdr:colOff>
      <xdr:row>19</xdr:row>
      <xdr:rowOff>188808</xdr:rowOff>
    </xdr:to>
    <xdr:sp macro="" textlink="">
      <xdr:nvSpPr>
        <xdr:cNvPr id="150" name="Rectangle 149"/>
        <xdr:cNvSpPr/>
      </xdr:nvSpPr>
      <xdr:spPr>
        <a:xfrm rot="16200000">
          <a:off x="95273" y="3314577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20</xdr:row>
      <xdr:rowOff>185488</xdr:rowOff>
    </xdr:from>
    <xdr:to>
      <xdr:col>26</xdr:col>
      <xdr:colOff>92796</xdr:colOff>
      <xdr:row>23</xdr:row>
      <xdr:rowOff>20053</xdr:rowOff>
    </xdr:to>
    <xdr:sp macro="" textlink="">
      <xdr:nvSpPr>
        <xdr:cNvPr id="151" name="Rectangle 150"/>
        <xdr:cNvSpPr/>
      </xdr:nvSpPr>
      <xdr:spPr>
        <a:xfrm rot="16200000">
          <a:off x="49457" y="3951653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24</xdr:row>
      <xdr:rowOff>190503</xdr:rowOff>
    </xdr:from>
    <xdr:to>
      <xdr:col>26</xdr:col>
      <xdr:colOff>92796</xdr:colOff>
      <xdr:row>27</xdr:row>
      <xdr:rowOff>25068</xdr:rowOff>
    </xdr:to>
    <xdr:sp macro="" textlink="">
      <xdr:nvSpPr>
        <xdr:cNvPr id="152" name="Rectangle 151"/>
        <xdr:cNvSpPr/>
      </xdr:nvSpPr>
      <xdr:spPr>
        <a:xfrm rot="16200000">
          <a:off x="49457" y="4808315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15</xdr:row>
      <xdr:rowOff>110909</xdr:rowOff>
    </xdr:from>
    <xdr:to>
      <xdr:col>31</xdr:col>
      <xdr:colOff>26736</xdr:colOff>
      <xdr:row>16</xdr:row>
      <xdr:rowOff>81328</xdr:rowOff>
    </xdr:to>
    <xdr:sp macro="" textlink="">
      <xdr:nvSpPr>
        <xdr:cNvPr id="153" name="Rectangle 152"/>
        <xdr:cNvSpPr/>
      </xdr:nvSpPr>
      <xdr:spPr>
        <a:xfrm>
          <a:off x="549702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15</xdr:row>
      <xdr:rowOff>110909</xdr:rowOff>
    </xdr:from>
    <xdr:to>
      <xdr:col>35</xdr:col>
      <xdr:colOff>21971</xdr:colOff>
      <xdr:row>16</xdr:row>
      <xdr:rowOff>81328</xdr:rowOff>
    </xdr:to>
    <xdr:sp macro="" textlink="">
      <xdr:nvSpPr>
        <xdr:cNvPr id="154" name="Rectangle 153"/>
        <xdr:cNvSpPr/>
      </xdr:nvSpPr>
      <xdr:spPr>
        <a:xfrm>
          <a:off x="6249491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15</xdr:row>
      <xdr:rowOff>110909</xdr:rowOff>
    </xdr:from>
    <xdr:to>
      <xdr:col>39</xdr:col>
      <xdr:colOff>17208</xdr:colOff>
      <xdr:row>16</xdr:row>
      <xdr:rowOff>81328</xdr:rowOff>
    </xdr:to>
    <xdr:sp macro="" textlink="">
      <xdr:nvSpPr>
        <xdr:cNvPr id="155" name="Rectangle 154"/>
        <xdr:cNvSpPr/>
      </xdr:nvSpPr>
      <xdr:spPr>
        <a:xfrm>
          <a:off x="700196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15</xdr:row>
      <xdr:rowOff>110909</xdr:rowOff>
    </xdr:from>
    <xdr:to>
      <xdr:col>43</xdr:col>
      <xdr:colOff>21970</xdr:colOff>
      <xdr:row>16</xdr:row>
      <xdr:rowOff>81328</xdr:rowOff>
    </xdr:to>
    <xdr:sp macro="" textlink="">
      <xdr:nvSpPr>
        <xdr:cNvPr id="156" name="Rectangle 155"/>
        <xdr:cNvSpPr/>
      </xdr:nvSpPr>
      <xdr:spPr>
        <a:xfrm>
          <a:off x="7773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15</xdr:row>
      <xdr:rowOff>110909</xdr:rowOff>
    </xdr:from>
    <xdr:to>
      <xdr:col>47</xdr:col>
      <xdr:colOff>21970</xdr:colOff>
      <xdr:row>16</xdr:row>
      <xdr:rowOff>81328</xdr:rowOff>
    </xdr:to>
    <xdr:sp macro="" textlink="">
      <xdr:nvSpPr>
        <xdr:cNvPr id="157" name="Rectangle 156"/>
        <xdr:cNvSpPr/>
      </xdr:nvSpPr>
      <xdr:spPr>
        <a:xfrm>
          <a:off x="853548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15</xdr:row>
      <xdr:rowOff>110909</xdr:rowOff>
    </xdr:from>
    <xdr:to>
      <xdr:col>6</xdr:col>
      <xdr:colOff>26733</xdr:colOff>
      <xdr:row>16</xdr:row>
      <xdr:rowOff>81328</xdr:rowOff>
    </xdr:to>
    <xdr:sp macro="" textlink="">
      <xdr:nvSpPr>
        <xdr:cNvPr id="163" name="Rectangle 162"/>
        <xdr:cNvSpPr/>
      </xdr:nvSpPr>
      <xdr:spPr>
        <a:xfrm>
          <a:off x="73451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15</xdr:row>
      <xdr:rowOff>110909</xdr:rowOff>
    </xdr:from>
    <xdr:to>
      <xdr:col>10</xdr:col>
      <xdr:colOff>21968</xdr:colOff>
      <xdr:row>16</xdr:row>
      <xdr:rowOff>81328</xdr:rowOff>
    </xdr:to>
    <xdr:sp macro="" textlink="">
      <xdr:nvSpPr>
        <xdr:cNvPr id="164" name="Rectangle 163"/>
        <xdr:cNvSpPr/>
      </xdr:nvSpPr>
      <xdr:spPr>
        <a:xfrm>
          <a:off x="1486985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15</xdr:row>
      <xdr:rowOff>110909</xdr:rowOff>
    </xdr:from>
    <xdr:to>
      <xdr:col>14</xdr:col>
      <xdr:colOff>17205</xdr:colOff>
      <xdr:row>16</xdr:row>
      <xdr:rowOff>81328</xdr:rowOff>
    </xdr:to>
    <xdr:sp macro="" textlink="">
      <xdr:nvSpPr>
        <xdr:cNvPr id="165" name="Rectangle 164"/>
        <xdr:cNvSpPr/>
      </xdr:nvSpPr>
      <xdr:spPr>
        <a:xfrm>
          <a:off x="2239459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15</xdr:row>
      <xdr:rowOff>110909</xdr:rowOff>
    </xdr:from>
    <xdr:to>
      <xdr:col>18</xdr:col>
      <xdr:colOff>21967</xdr:colOff>
      <xdr:row>16</xdr:row>
      <xdr:rowOff>81328</xdr:rowOff>
    </xdr:to>
    <xdr:sp macro="" textlink="">
      <xdr:nvSpPr>
        <xdr:cNvPr id="166" name="Rectangle 165"/>
        <xdr:cNvSpPr/>
      </xdr:nvSpPr>
      <xdr:spPr>
        <a:xfrm>
          <a:off x="3010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15</xdr:row>
      <xdr:rowOff>110909</xdr:rowOff>
    </xdr:from>
    <xdr:to>
      <xdr:col>22</xdr:col>
      <xdr:colOff>21967</xdr:colOff>
      <xdr:row>16</xdr:row>
      <xdr:rowOff>81328</xdr:rowOff>
    </xdr:to>
    <xdr:sp macro="" textlink="">
      <xdr:nvSpPr>
        <xdr:cNvPr id="167" name="Rectangle 166"/>
        <xdr:cNvSpPr/>
      </xdr:nvSpPr>
      <xdr:spPr>
        <a:xfrm>
          <a:off x="3772983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29</xdr:row>
      <xdr:rowOff>201089</xdr:rowOff>
    </xdr:from>
    <xdr:to>
      <xdr:col>23</xdr:col>
      <xdr:colOff>654</xdr:colOff>
      <xdr:row>31</xdr:row>
      <xdr:rowOff>195136</xdr:rowOff>
    </xdr:to>
    <xdr:cxnSp macro="">
      <xdr:nvCxnSpPr>
        <xdr:cNvPr id="171" name="Straight Connector 170"/>
        <xdr:cNvCxnSpPr/>
      </xdr:nvCxnSpPr>
      <xdr:spPr>
        <a:xfrm flipV="1">
          <a:off x="4382808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30</xdr:row>
      <xdr:rowOff>191957</xdr:rowOff>
    </xdr:from>
    <xdr:to>
      <xdr:col>23</xdr:col>
      <xdr:colOff>3633</xdr:colOff>
      <xdr:row>30</xdr:row>
      <xdr:rowOff>191957</xdr:rowOff>
    </xdr:to>
    <xdr:cxnSp macro="">
      <xdr:nvCxnSpPr>
        <xdr:cNvPr id="172" name="Straight Arrow Connector 171"/>
        <xdr:cNvCxnSpPr/>
      </xdr:nvCxnSpPr>
      <xdr:spPr>
        <a:xfrm flipH="1">
          <a:off x="578069" y="5979216"/>
          <a:ext cx="3810697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29</xdr:row>
      <xdr:rowOff>201089</xdr:rowOff>
    </xdr:from>
    <xdr:to>
      <xdr:col>3</xdr:col>
      <xdr:colOff>653</xdr:colOff>
      <xdr:row>31</xdr:row>
      <xdr:rowOff>195136</xdr:rowOff>
    </xdr:to>
    <xdr:cxnSp macro="">
      <xdr:nvCxnSpPr>
        <xdr:cNvPr id="173" name="Straight Connector 172"/>
        <xdr:cNvCxnSpPr/>
      </xdr:nvCxnSpPr>
      <xdr:spPr>
        <a:xfrm flipV="1">
          <a:off x="572807" y="5778141"/>
          <a:ext cx="0" cy="4144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30</xdr:row>
      <xdr:rowOff>198937</xdr:rowOff>
    </xdr:from>
    <xdr:to>
      <xdr:col>14</xdr:col>
      <xdr:colOff>21975</xdr:colOff>
      <xdr:row>31</xdr:row>
      <xdr:rowOff>174800</xdr:rowOff>
    </xdr:to>
    <xdr:sp macro="" textlink="">
      <xdr:nvSpPr>
        <xdr:cNvPr id="177" name="Rectangle 176"/>
        <xdr:cNvSpPr/>
      </xdr:nvSpPr>
      <xdr:spPr>
        <a:xfrm>
          <a:off x="22489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29</xdr:row>
      <xdr:rowOff>201089</xdr:rowOff>
    </xdr:from>
    <xdr:to>
      <xdr:col>48</xdr:col>
      <xdr:colOff>654</xdr:colOff>
      <xdr:row>31</xdr:row>
      <xdr:rowOff>195136</xdr:rowOff>
    </xdr:to>
    <xdr:cxnSp macro="">
      <xdr:nvCxnSpPr>
        <xdr:cNvPr id="178" name="Straight Connector 177"/>
        <xdr:cNvCxnSpPr/>
      </xdr:nvCxnSpPr>
      <xdr:spPr>
        <a:xfrm flipV="1">
          <a:off x="9145308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30</xdr:row>
      <xdr:rowOff>191957</xdr:rowOff>
    </xdr:from>
    <xdr:to>
      <xdr:col>48</xdr:col>
      <xdr:colOff>3633</xdr:colOff>
      <xdr:row>30</xdr:row>
      <xdr:rowOff>191957</xdr:rowOff>
    </xdr:to>
    <xdr:cxnSp macro="">
      <xdr:nvCxnSpPr>
        <xdr:cNvPr id="179" name="Straight Arrow Connector 178"/>
        <xdr:cNvCxnSpPr/>
      </xdr:nvCxnSpPr>
      <xdr:spPr>
        <a:xfrm flipH="1">
          <a:off x="5340568" y="6038842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29</xdr:row>
      <xdr:rowOff>201089</xdr:rowOff>
    </xdr:from>
    <xdr:to>
      <xdr:col>28</xdr:col>
      <xdr:colOff>653</xdr:colOff>
      <xdr:row>31</xdr:row>
      <xdr:rowOff>195136</xdr:rowOff>
    </xdr:to>
    <xdr:cxnSp macro="">
      <xdr:nvCxnSpPr>
        <xdr:cNvPr id="180" name="Straight Connector 179"/>
        <xdr:cNvCxnSpPr/>
      </xdr:nvCxnSpPr>
      <xdr:spPr>
        <a:xfrm flipV="1">
          <a:off x="5335306" y="5835493"/>
          <a:ext cx="0" cy="41900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30</xdr:row>
      <xdr:rowOff>198937</xdr:rowOff>
    </xdr:from>
    <xdr:to>
      <xdr:col>39</xdr:col>
      <xdr:colOff>21975</xdr:colOff>
      <xdr:row>31</xdr:row>
      <xdr:rowOff>174800</xdr:rowOff>
    </xdr:to>
    <xdr:sp macro="" textlink="">
      <xdr:nvSpPr>
        <xdr:cNvPr id="181" name="Rectangle 180"/>
        <xdr:cNvSpPr/>
      </xdr:nvSpPr>
      <xdr:spPr>
        <a:xfrm>
          <a:off x="7011498" y="6045822"/>
          <a:ext cx="461952" cy="1883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30</xdr:row>
      <xdr:rowOff>2720</xdr:rowOff>
    </xdr:from>
    <xdr:to>
      <xdr:col>24</xdr:col>
      <xdr:colOff>47625</xdr:colOff>
      <xdr:row>30</xdr:row>
      <xdr:rowOff>2720</xdr:rowOff>
    </xdr:to>
    <xdr:cxnSp macro="">
      <xdr:nvCxnSpPr>
        <xdr:cNvPr id="182" name="Straight Connector 181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18</xdr:row>
      <xdr:rowOff>10886</xdr:rowOff>
    </xdr:from>
    <xdr:to>
      <xdr:col>23</xdr:col>
      <xdr:colOff>95247</xdr:colOff>
      <xdr:row>30</xdr:row>
      <xdr:rowOff>9525</xdr:rowOff>
    </xdr:to>
    <xdr:cxnSp macro="">
      <xdr:nvCxnSpPr>
        <xdr:cNvPr id="183" name="Straight Arrow Connector 182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17</xdr:row>
      <xdr:rowOff>205468</xdr:rowOff>
    </xdr:from>
    <xdr:to>
      <xdr:col>24</xdr:col>
      <xdr:colOff>47625</xdr:colOff>
      <xdr:row>17</xdr:row>
      <xdr:rowOff>205468</xdr:rowOff>
    </xdr:to>
    <xdr:cxnSp macro="">
      <xdr:nvCxnSpPr>
        <xdr:cNvPr id="184" name="Straight Connector 183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23</xdr:row>
      <xdr:rowOff>52139</xdr:rowOff>
    </xdr:from>
    <xdr:to>
      <xdr:col>25</xdr:col>
      <xdr:colOff>7072</xdr:colOff>
      <xdr:row>25</xdr:row>
      <xdr:rowOff>96254</xdr:rowOff>
    </xdr:to>
    <xdr:sp macro="" textlink="">
      <xdr:nvSpPr>
        <xdr:cNvPr id="185" name="Rectangle 184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30</xdr:row>
      <xdr:rowOff>2720</xdr:rowOff>
    </xdr:from>
    <xdr:to>
      <xdr:col>49</xdr:col>
      <xdr:colOff>47625</xdr:colOff>
      <xdr:row>30</xdr:row>
      <xdr:rowOff>2720</xdr:rowOff>
    </xdr:to>
    <xdr:cxnSp macro="">
      <xdr:nvCxnSpPr>
        <xdr:cNvPr id="186" name="Straight Connector 185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18</xdr:row>
      <xdr:rowOff>10886</xdr:rowOff>
    </xdr:from>
    <xdr:to>
      <xdr:col>48</xdr:col>
      <xdr:colOff>95247</xdr:colOff>
      <xdr:row>30</xdr:row>
      <xdr:rowOff>9525</xdr:rowOff>
    </xdr:to>
    <xdr:cxnSp macro="">
      <xdr:nvCxnSpPr>
        <xdr:cNvPr id="187" name="Straight Arrow Connector 186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17</xdr:row>
      <xdr:rowOff>205468</xdr:rowOff>
    </xdr:from>
    <xdr:to>
      <xdr:col>49</xdr:col>
      <xdr:colOff>47625</xdr:colOff>
      <xdr:row>17</xdr:row>
      <xdr:rowOff>205468</xdr:rowOff>
    </xdr:to>
    <xdr:cxnSp macro="">
      <xdr:nvCxnSpPr>
        <xdr:cNvPr id="188" name="Straight Connector 187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23</xdr:row>
      <xdr:rowOff>52139</xdr:rowOff>
    </xdr:from>
    <xdr:to>
      <xdr:col>50</xdr:col>
      <xdr:colOff>7072</xdr:colOff>
      <xdr:row>25</xdr:row>
      <xdr:rowOff>96254</xdr:rowOff>
    </xdr:to>
    <xdr:sp macro="" textlink="">
      <xdr:nvSpPr>
        <xdr:cNvPr id="189" name="Rectangle 188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23</xdr:row>
      <xdr:rowOff>135334</xdr:rowOff>
    </xdr:from>
    <xdr:to>
      <xdr:col>5</xdr:col>
      <xdr:colOff>37130</xdr:colOff>
      <xdr:row>24</xdr:row>
      <xdr:rowOff>72739</xdr:rowOff>
    </xdr:to>
    <xdr:sp macro="" textlink="">
      <xdr:nvSpPr>
        <xdr:cNvPr id="2" name="4-Point Star 1"/>
        <xdr:cNvSpPr/>
      </xdr:nvSpPr>
      <xdr:spPr>
        <a:xfrm>
          <a:off x="878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23</xdr:row>
      <xdr:rowOff>135334</xdr:rowOff>
    </xdr:from>
    <xdr:to>
      <xdr:col>9</xdr:col>
      <xdr:colOff>37130</xdr:colOff>
      <xdr:row>24</xdr:row>
      <xdr:rowOff>72739</xdr:rowOff>
    </xdr:to>
    <xdr:sp macro="" textlink="">
      <xdr:nvSpPr>
        <xdr:cNvPr id="158" name="4-Point Star 157"/>
        <xdr:cNvSpPr/>
      </xdr:nvSpPr>
      <xdr:spPr>
        <a:xfrm>
          <a:off x="1640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23</xdr:row>
      <xdr:rowOff>135334</xdr:rowOff>
    </xdr:from>
    <xdr:to>
      <xdr:col>13</xdr:col>
      <xdr:colOff>37130</xdr:colOff>
      <xdr:row>24</xdr:row>
      <xdr:rowOff>72739</xdr:rowOff>
    </xdr:to>
    <xdr:sp macro="" textlink="">
      <xdr:nvSpPr>
        <xdr:cNvPr id="159" name="4-Point Star 158"/>
        <xdr:cNvSpPr/>
      </xdr:nvSpPr>
      <xdr:spPr>
        <a:xfrm>
          <a:off x="2402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23</xdr:row>
      <xdr:rowOff>135334</xdr:rowOff>
    </xdr:from>
    <xdr:to>
      <xdr:col>17</xdr:col>
      <xdr:colOff>37130</xdr:colOff>
      <xdr:row>24</xdr:row>
      <xdr:rowOff>72739</xdr:rowOff>
    </xdr:to>
    <xdr:sp macro="" textlink="">
      <xdr:nvSpPr>
        <xdr:cNvPr id="160" name="4-Point Star 159"/>
        <xdr:cNvSpPr/>
      </xdr:nvSpPr>
      <xdr:spPr>
        <a:xfrm>
          <a:off x="3164044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23</xdr:row>
      <xdr:rowOff>135334</xdr:rowOff>
    </xdr:from>
    <xdr:to>
      <xdr:col>21</xdr:col>
      <xdr:colOff>39453</xdr:colOff>
      <xdr:row>24</xdr:row>
      <xdr:rowOff>72739</xdr:rowOff>
    </xdr:to>
    <xdr:sp macro="" textlink="">
      <xdr:nvSpPr>
        <xdr:cNvPr id="162" name="4-Point Star 161"/>
        <xdr:cNvSpPr/>
      </xdr:nvSpPr>
      <xdr:spPr>
        <a:xfrm>
          <a:off x="3930690" y="4433200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19</xdr:row>
      <xdr:rowOff>135334</xdr:rowOff>
    </xdr:from>
    <xdr:to>
      <xdr:col>5</xdr:col>
      <xdr:colOff>37130</xdr:colOff>
      <xdr:row>20</xdr:row>
      <xdr:rowOff>72738</xdr:rowOff>
    </xdr:to>
    <xdr:sp macro="" textlink="">
      <xdr:nvSpPr>
        <xdr:cNvPr id="170" name="4-Point Star 169"/>
        <xdr:cNvSpPr/>
      </xdr:nvSpPr>
      <xdr:spPr>
        <a:xfrm>
          <a:off x="878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19</xdr:row>
      <xdr:rowOff>135334</xdr:rowOff>
    </xdr:from>
    <xdr:to>
      <xdr:col>9</xdr:col>
      <xdr:colOff>37130</xdr:colOff>
      <xdr:row>20</xdr:row>
      <xdr:rowOff>72738</xdr:rowOff>
    </xdr:to>
    <xdr:sp macro="" textlink="">
      <xdr:nvSpPr>
        <xdr:cNvPr id="174" name="4-Point Star 173"/>
        <xdr:cNvSpPr/>
      </xdr:nvSpPr>
      <xdr:spPr>
        <a:xfrm>
          <a:off x="1640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19</xdr:row>
      <xdr:rowOff>135334</xdr:rowOff>
    </xdr:from>
    <xdr:to>
      <xdr:col>13</xdr:col>
      <xdr:colOff>37130</xdr:colOff>
      <xdr:row>20</xdr:row>
      <xdr:rowOff>72738</xdr:rowOff>
    </xdr:to>
    <xdr:sp macro="" textlink="">
      <xdr:nvSpPr>
        <xdr:cNvPr id="175" name="4-Point Star 174"/>
        <xdr:cNvSpPr/>
      </xdr:nvSpPr>
      <xdr:spPr>
        <a:xfrm>
          <a:off x="2402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19</xdr:row>
      <xdr:rowOff>135334</xdr:rowOff>
    </xdr:from>
    <xdr:to>
      <xdr:col>17</xdr:col>
      <xdr:colOff>37130</xdr:colOff>
      <xdr:row>20</xdr:row>
      <xdr:rowOff>72738</xdr:rowOff>
    </xdr:to>
    <xdr:sp macro="" textlink="">
      <xdr:nvSpPr>
        <xdr:cNvPr id="176" name="4-Point Star 175"/>
        <xdr:cNvSpPr/>
      </xdr:nvSpPr>
      <xdr:spPr>
        <a:xfrm>
          <a:off x="3164044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19</xdr:row>
      <xdr:rowOff>135334</xdr:rowOff>
    </xdr:from>
    <xdr:to>
      <xdr:col>21</xdr:col>
      <xdr:colOff>39453</xdr:colOff>
      <xdr:row>20</xdr:row>
      <xdr:rowOff>72738</xdr:rowOff>
    </xdr:to>
    <xdr:sp macro="" textlink="">
      <xdr:nvSpPr>
        <xdr:cNvPr id="190" name="4-Point Star 189"/>
        <xdr:cNvSpPr/>
      </xdr:nvSpPr>
      <xdr:spPr>
        <a:xfrm>
          <a:off x="3930690" y="3596858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27</xdr:row>
      <xdr:rowOff>135334</xdr:rowOff>
    </xdr:from>
    <xdr:to>
      <xdr:col>5</xdr:col>
      <xdr:colOff>37130</xdr:colOff>
      <xdr:row>28</xdr:row>
      <xdr:rowOff>72738</xdr:rowOff>
    </xdr:to>
    <xdr:sp macro="" textlink="">
      <xdr:nvSpPr>
        <xdr:cNvPr id="191" name="4-Point Star 190"/>
        <xdr:cNvSpPr/>
      </xdr:nvSpPr>
      <xdr:spPr>
        <a:xfrm>
          <a:off x="878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27</xdr:row>
      <xdr:rowOff>135334</xdr:rowOff>
    </xdr:from>
    <xdr:to>
      <xdr:col>9</xdr:col>
      <xdr:colOff>37130</xdr:colOff>
      <xdr:row>28</xdr:row>
      <xdr:rowOff>72738</xdr:rowOff>
    </xdr:to>
    <xdr:sp macro="" textlink="">
      <xdr:nvSpPr>
        <xdr:cNvPr id="192" name="4-Point Star 191"/>
        <xdr:cNvSpPr/>
      </xdr:nvSpPr>
      <xdr:spPr>
        <a:xfrm>
          <a:off x="1640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27</xdr:row>
      <xdr:rowOff>135334</xdr:rowOff>
    </xdr:from>
    <xdr:to>
      <xdr:col>13</xdr:col>
      <xdr:colOff>37130</xdr:colOff>
      <xdr:row>28</xdr:row>
      <xdr:rowOff>72738</xdr:rowOff>
    </xdr:to>
    <xdr:sp macro="" textlink="">
      <xdr:nvSpPr>
        <xdr:cNvPr id="193" name="4-Point Star 192"/>
        <xdr:cNvSpPr/>
      </xdr:nvSpPr>
      <xdr:spPr>
        <a:xfrm>
          <a:off x="2402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27</xdr:row>
      <xdr:rowOff>135334</xdr:rowOff>
    </xdr:from>
    <xdr:to>
      <xdr:col>17</xdr:col>
      <xdr:colOff>37130</xdr:colOff>
      <xdr:row>28</xdr:row>
      <xdr:rowOff>72738</xdr:rowOff>
    </xdr:to>
    <xdr:sp macro="" textlink="">
      <xdr:nvSpPr>
        <xdr:cNvPr id="194" name="4-Point Star 193"/>
        <xdr:cNvSpPr/>
      </xdr:nvSpPr>
      <xdr:spPr>
        <a:xfrm>
          <a:off x="3164044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27</xdr:row>
      <xdr:rowOff>135334</xdr:rowOff>
    </xdr:from>
    <xdr:to>
      <xdr:col>21</xdr:col>
      <xdr:colOff>39453</xdr:colOff>
      <xdr:row>28</xdr:row>
      <xdr:rowOff>72738</xdr:rowOff>
    </xdr:to>
    <xdr:sp macro="" textlink="">
      <xdr:nvSpPr>
        <xdr:cNvPr id="195" name="4-Point Star 194"/>
        <xdr:cNvSpPr/>
      </xdr:nvSpPr>
      <xdr:spPr>
        <a:xfrm>
          <a:off x="3930690" y="5269541"/>
          <a:ext cx="148716" cy="146490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23</xdr:row>
      <xdr:rowOff>140777</xdr:rowOff>
    </xdr:from>
    <xdr:to>
      <xdr:col>30</xdr:col>
      <xdr:colOff>39850</xdr:colOff>
      <xdr:row>24</xdr:row>
      <xdr:rowOff>78182</xdr:rowOff>
    </xdr:to>
    <xdr:sp macro="" textlink="">
      <xdr:nvSpPr>
        <xdr:cNvPr id="196" name="4-Point Star 195"/>
        <xdr:cNvSpPr/>
      </xdr:nvSpPr>
      <xdr:spPr>
        <a:xfrm>
          <a:off x="5645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23</xdr:row>
      <xdr:rowOff>140777</xdr:rowOff>
    </xdr:from>
    <xdr:to>
      <xdr:col>34</xdr:col>
      <xdr:colOff>39850</xdr:colOff>
      <xdr:row>24</xdr:row>
      <xdr:rowOff>78182</xdr:rowOff>
    </xdr:to>
    <xdr:sp macro="" textlink="">
      <xdr:nvSpPr>
        <xdr:cNvPr id="197" name="4-Point Star 196"/>
        <xdr:cNvSpPr/>
      </xdr:nvSpPr>
      <xdr:spPr>
        <a:xfrm>
          <a:off x="6407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23</xdr:row>
      <xdr:rowOff>140777</xdr:rowOff>
    </xdr:from>
    <xdr:to>
      <xdr:col>38</xdr:col>
      <xdr:colOff>39850</xdr:colOff>
      <xdr:row>24</xdr:row>
      <xdr:rowOff>78182</xdr:rowOff>
    </xdr:to>
    <xdr:sp macro="" textlink="">
      <xdr:nvSpPr>
        <xdr:cNvPr id="198" name="4-Point Star 197"/>
        <xdr:cNvSpPr/>
      </xdr:nvSpPr>
      <xdr:spPr>
        <a:xfrm>
          <a:off x="7169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23</xdr:row>
      <xdr:rowOff>140777</xdr:rowOff>
    </xdr:from>
    <xdr:to>
      <xdr:col>42</xdr:col>
      <xdr:colOff>39850</xdr:colOff>
      <xdr:row>24</xdr:row>
      <xdr:rowOff>78182</xdr:rowOff>
    </xdr:to>
    <xdr:sp macro="" textlink="">
      <xdr:nvSpPr>
        <xdr:cNvPr id="199" name="4-Point Star 198"/>
        <xdr:cNvSpPr/>
      </xdr:nvSpPr>
      <xdr:spPr>
        <a:xfrm>
          <a:off x="7931985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23</xdr:row>
      <xdr:rowOff>140777</xdr:rowOff>
    </xdr:from>
    <xdr:to>
      <xdr:col>46</xdr:col>
      <xdr:colOff>42173</xdr:colOff>
      <xdr:row>24</xdr:row>
      <xdr:rowOff>78182</xdr:rowOff>
    </xdr:to>
    <xdr:sp macro="" textlink="">
      <xdr:nvSpPr>
        <xdr:cNvPr id="200" name="4-Point Star 199"/>
        <xdr:cNvSpPr/>
      </xdr:nvSpPr>
      <xdr:spPr>
        <a:xfrm>
          <a:off x="8698631" y="4500506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19</xdr:row>
      <xdr:rowOff>140777</xdr:rowOff>
    </xdr:from>
    <xdr:to>
      <xdr:col>30</xdr:col>
      <xdr:colOff>39850</xdr:colOff>
      <xdr:row>20</xdr:row>
      <xdr:rowOff>78181</xdr:rowOff>
    </xdr:to>
    <xdr:sp macro="" textlink="">
      <xdr:nvSpPr>
        <xdr:cNvPr id="201" name="4-Point Star 200"/>
        <xdr:cNvSpPr/>
      </xdr:nvSpPr>
      <xdr:spPr>
        <a:xfrm>
          <a:off x="5645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19</xdr:row>
      <xdr:rowOff>140777</xdr:rowOff>
    </xdr:from>
    <xdr:to>
      <xdr:col>34</xdr:col>
      <xdr:colOff>39850</xdr:colOff>
      <xdr:row>20</xdr:row>
      <xdr:rowOff>78181</xdr:rowOff>
    </xdr:to>
    <xdr:sp macro="" textlink="">
      <xdr:nvSpPr>
        <xdr:cNvPr id="202" name="4-Point Star 201"/>
        <xdr:cNvSpPr/>
      </xdr:nvSpPr>
      <xdr:spPr>
        <a:xfrm>
          <a:off x="6407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19</xdr:row>
      <xdr:rowOff>140777</xdr:rowOff>
    </xdr:from>
    <xdr:to>
      <xdr:col>38</xdr:col>
      <xdr:colOff>39850</xdr:colOff>
      <xdr:row>20</xdr:row>
      <xdr:rowOff>78181</xdr:rowOff>
    </xdr:to>
    <xdr:sp macro="" textlink="">
      <xdr:nvSpPr>
        <xdr:cNvPr id="203" name="4-Point Star 202"/>
        <xdr:cNvSpPr/>
      </xdr:nvSpPr>
      <xdr:spPr>
        <a:xfrm>
          <a:off x="7169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19</xdr:row>
      <xdr:rowOff>140777</xdr:rowOff>
    </xdr:from>
    <xdr:to>
      <xdr:col>42</xdr:col>
      <xdr:colOff>39850</xdr:colOff>
      <xdr:row>20</xdr:row>
      <xdr:rowOff>78181</xdr:rowOff>
    </xdr:to>
    <xdr:sp macro="" textlink="">
      <xdr:nvSpPr>
        <xdr:cNvPr id="204" name="4-Point Star 203"/>
        <xdr:cNvSpPr/>
      </xdr:nvSpPr>
      <xdr:spPr>
        <a:xfrm>
          <a:off x="7931985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19</xdr:row>
      <xdr:rowOff>140777</xdr:rowOff>
    </xdr:from>
    <xdr:to>
      <xdr:col>46</xdr:col>
      <xdr:colOff>42173</xdr:colOff>
      <xdr:row>20</xdr:row>
      <xdr:rowOff>78181</xdr:rowOff>
    </xdr:to>
    <xdr:sp macro="" textlink="">
      <xdr:nvSpPr>
        <xdr:cNvPr id="205" name="4-Point Star 204"/>
        <xdr:cNvSpPr/>
      </xdr:nvSpPr>
      <xdr:spPr>
        <a:xfrm>
          <a:off x="8698631" y="3651420"/>
          <a:ext cx="148716" cy="149675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27</xdr:row>
      <xdr:rowOff>140777</xdr:rowOff>
    </xdr:from>
    <xdr:to>
      <xdr:col>30</xdr:col>
      <xdr:colOff>39850</xdr:colOff>
      <xdr:row>28</xdr:row>
      <xdr:rowOff>78181</xdr:rowOff>
    </xdr:to>
    <xdr:sp macro="" textlink="">
      <xdr:nvSpPr>
        <xdr:cNvPr id="206" name="4-Point Star 205"/>
        <xdr:cNvSpPr/>
      </xdr:nvSpPr>
      <xdr:spPr>
        <a:xfrm>
          <a:off x="5645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27</xdr:row>
      <xdr:rowOff>140777</xdr:rowOff>
    </xdr:from>
    <xdr:to>
      <xdr:col>34</xdr:col>
      <xdr:colOff>39850</xdr:colOff>
      <xdr:row>28</xdr:row>
      <xdr:rowOff>78181</xdr:rowOff>
    </xdr:to>
    <xdr:sp macro="" textlink="">
      <xdr:nvSpPr>
        <xdr:cNvPr id="207" name="4-Point Star 206"/>
        <xdr:cNvSpPr/>
      </xdr:nvSpPr>
      <xdr:spPr>
        <a:xfrm>
          <a:off x="6407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27</xdr:row>
      <xdr:rowOff>140777</xdr:rowOff>
    </xdr:from>
    <xdr:to>
      <xdr:col>38</xdr:col>
      <xdr:colOff>39850</xdr:colOff>
      <xdr:row>28</xdr:row>
      <xdr:rowOff>78181</xdr:rowOff>
    </xdr:to>
    <xdr:sp macro="" textlink="">
      <xdr:nvSpPr>
        <xdr:cNvPr id="208" name="4-Point Star 207"/>
        <xdr:cNvSpPr/>
      </xdr:nvSpPr>
      <xdr:spPr>
        <a:xfrm>
          <a:off x="7169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27</xdr:row>
      <xdr:rowOff>140777</xdr:rowOff>
    </xdr:from>
    <xdr:to>
      <xdr:col>42</xdr:col>
      <xdr:colOff>39850</xdr:colOff>
      <xdr:row>28</xdr:row>
      <xdr:rowOff>78181</xdr:rowOff>
    </xdr:to>
    <xdr:sp macro="" textlink="">
      <xdr:nvSpPr>
        <xdr:cNvPr id="209" name="4-Point Star 208"/>
        <xdr:cNvSpPr/>
      </xdr:nvSpPr>
      <xdr:spPr>
        <a:xfrm>
          <a:off x="7931985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27</xdr:row>
      <xdr:rowOff>140777</xdr:rowOff>
    </xdr:from>
    <xdr:to>
      <xdr:col>46</xdr:col>
      <xdr:colOff>42173</xdr:colOff>
      <xdr:row>28</xdr:row>
      <xdr:rowOff>78181</xdr:rowOff>
    </xdr:to>
    <xdr:sp macro="" textlink="">
      <xdr:nvSpPr>
        <xdr:cNvPr id="210" name="4-Point Star 209"/>
        <xdr:cNvSpPr/>
      </xdr:nvSpPr>
      <xdr:spPr>
        <a:xfrm>
          <a:off x="8698631" y="5349591"/>
          <a:ext cx="148716" cy="14967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16</xdr:row>
      <xdr:rowOff>22411</xdr:rowOff>
    </xdr:from>
    <xdr:to>
      <xdr:col>25</xdr:col>
      <xdr:colOff>71564</xdr:colOff>
      <xdr:row>17</xdr:row>
      <xdr:rowOff>13752</xdr:rowOff>
    </xdr:to>
    <xdr:grpSp>
      <xdr:nvGrpSpPr>
        <xdr:cNvPr id="161" name="Group 160"/>
        <xdr:cNvGrpSpPr/>
      </xdr:nvGrpSpPr>
      <xdr:grpSpPr>
        <a:xfrm>
          <a:off x="4706470" y="3541058"/>
          <a:ext cx="199158" cy="204253"/>
          <a:chOff x="4797136" y="2861830"/>
          <a:chExt cx="199158" cy="199159"/>
        </a:xfrm>
      </xdr:grpSpPr>
      <xdr:sp macro="" textlink="">
        <xdr:nvSpPr>
          <xdr:cNvPr id="212" name="Oval 211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3" name="Flowchart: Connector 212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</xdr:col>
      <xdr:colOff>51707</xdr:colOff>
      <xdr:row>46</xdr:row>
      <xdr:rowOff>0</xdr:rowOff>
    </xdr:from>
    <xdr:to>
      <xdr:col>3</xdr:col>
      <xdr:colOff>0</xdr:colOff>
      <xdr:row>46</xdr:row>
      <xdr:rowOff>0</xdr:rowOff>
    </xdr:to>
    <xdr:cxnSp macro="">
      <xdr:nvCxnSpPr>
        <xdr:cNvPr id="214" name="Straight Connector 213"/>
        <xdr:cNvCxnSpPr/>
      </xdr:nvCxnSpPr>
      <xdr:spPr>
        <a:xfrm flipH="1">
          <a:off x="2939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49</xdr:row>
      <xdr:rowOff>212270</xdr:rowOff>
    </xdr:from>
    <xdr:to>
      <xdr:col>3</xdr:col>
      <xdr:colOff>0</xdr:colOff>
      <xdr:row>49</xdr:row>
      <xdr:rowOff>212270</xdr:rowOff>
    </xdr:to>
    <xdr:cxnSp macro="">
      <xdr:nvCxnSpPr>
        <xdr:cNvPr id="215" name="Straight Connector 214"/>
        <xdr:cNvCxnSpPr/>
      </xdr:nvCxnSpPr>
      <xdr:spPr>
        <a:xfrm flipH="1">
          <a:off x="2939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54</xdr:row>
      <xdr:rowOff>5441</xdr:rowOff>
    </xdr:from>
    <xdr:to>
      <xdr:col>3</xdr:col>
      <xdr:colOff>0</xdr:colOff>
      <xdr:row>54</xdr:row>
      <xdr:rowOff>5441</xdr:rowOff>
    </xdr:to>
    <xdr:cxnSp macro="">
      <xdr:nvCxnSpPr>
        <xdr:cNvPr id="216" name="Straight Connector 215"/>
        <xdr:cNvCxnSpPr/>
      </xdr:nvCxnSpPr>
      <xdr:spPr>
        <a:xfrm flipH="1">
          <a:off x="2939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46</xdr:row>
      <xdr:rowOff>10886</xdr:rowOff>
    </xdr:from>
    <xdr:to>
      <xdr:col>1</xdr:col>
      <xdr:colOff>95247</xdr:colOff>
      <xdr:row>50</xdr:row>
      <xdr:rowOff>0</xdr:rowOff>
    </xdr:to>
    <xdr:cxnSp macro="">
      <xdr:nvCxnSpPr>
        <xdr:cNvPr id="217" name="Straight Arrow Connector 216"/>
        <xdr:cNvCxnSpPr/>
      </xdr:nvCxnSpPr>
      <xdr:spPr>
        <a:xfrm>
          <a:off x="3809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50</xdr:row>
      <xdr:rowOff>5443</xdr:rowOff>
    </xdr:from>
    <xdr:to>
      <xdr:col>1</xdr:col>
      <xdr:colOff>95249</xdr:colOff>
      <xdr:row>53</xdr:row>
      <xdr:rowOff>206829</xdr:rowOff>
    </xdr:to>
    <xdr:cxnSp macro="">
      <xdr:nvCxnSpPr>
        <xdr:cNvPr id="218" name="Straight Arrow Connector 217"/>
        <xdr:cNvCxnSpPr/>
      </xdr:nvCxnSpPr>
      <xdr:spPr>
        <a:xfrm>
          <a:off x="3809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44</xdr:row>
      <xdr:rowOff>5443</xdr:rowOff>
    </xdr:from>
    <xdr:to>
      <xdr:col>3</xdr:col>
      <xdr:colOff>0</xdr:colOff>
      <xdr:row>44</xdr:row>
      <xdr:rowOff>5443</xdr:rowOff>
    </xdr:to>
    <xdr:cxnSp macro="">
      <xdr:nvCxnSpPr>
        <xdr:cNvPr id="219" name="Straight Connector 218"/>
        <xdr:cNvCxnSpPr/>
      </xdr:nvCxnSpPr>
      <xdr:spPr>
        <a:xfrm flipH="1">
          <a:off x="2939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44</xdr:row>
      <xdr:rowOff>16329</xdr:rowOff>
    </xdr:from>
    <xdr:to>
      <xdr:col>1</xdr:col>
      <xdr:colOff>95249</xdr:colOff>
      <xdr:row>46</xdr:row>
      <xdr:rowOff>0</xdr:rowOff>
    </xdr:to>
    <xdr:cxnSp macro="">
      <xdr:nvCxnSpPr>
        <xdr:cNvPr id="220" name="Straight Arrow Connector 219"/>
        <xdr:cNvCxnSpPr/>
      </xdr:nvCxnSpPr>
      <xdr:spPr>
        <a:xfrm>
          <a:off x="3809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42</xdr:row>
      <xdr:rowOff>113108</xdr:rowOff>
    </xdr:from>
    <xdr:to>
      <xdr:col>6</xdr:col>
      <xdr:colOff>2323</xdr:colOff>
      <xdr:row>43</xdr:row>
      <xdr:rowOff>204438</xdr:rowOff>
    </xdr:to>
    <xdr:grpSp>
      <xdr:nvGrpSpPr>
        <xdr:cNvPr id="221" name="Group 220"/>
        <xdr:cNvGrpSpPr/>
      </xdr:nvGrpSpPr>
      <xdr:grpSpPr>
        <a:xfrm>
          <a:off x="762000" y="9167461"/>
          <a:ext cx="385646" cy="304242"/>
          <a:chOff x="571500" y="2718109"/>
          <a:chExt cx="385646" cy="413525"/>
        </a:xfrm>
      </xdr:grpSpPr>
      <xdr:sp macro="" textlink="">
        <xdr:nvSpPr>
          <xdr:cNvPr id="222" name="Rectangle 22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3" name="Straight Connector 22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42</xdr:row>
      <xdr:rowOff>113108</xdr:rowOff>
    </xdr:from>
    <xdr:to>
      <xdr:col>10</xdr:col>
      <xdr:colOff>2323</xdr:colOff>
      <xdr:row>43</xdr:row>
      <xdr:rowOff>204438</xdr:rowOff>
    </xdr:to>
    <xdr:grpSp>
      <xdr:nvGrpSpPr>
        <xdr:cNvPr id="224" name="Group 223"/>
        <xdr:cNvGrpSpPr/>
      </xdr:nvGrpSpPr>
      <xdr:grpSpPr>
        <a:xfrm>
          <a:off x="1524000" y="9167461"/>
          <a:ext cx="385646" cy="304242"/>
          <a:chOff x="571500" y="2718109"/>
          <a:chExt cx="385646" cy="413525"/>
        </a:xfrm>
      </xdr:grpSpPr>
      <xdr:sp macro="" textlink="">
        <xdr:nvSpPr>
          <xdr:cNvPr id="225" name="Rectangle 22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6" name="Straight Connector 22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42</xdr:row>
      <xdr:rowOff>113108</xdr:rowOff>
    </xdr:from>
    <xdr:to>
      <xdr:col>14</xdr:col>
      <xdr:colOff>2323</xdr:colOff>
      <xdr:row>43</xdr:row>
      <xdr:rowOff>204438</xdr:rowOff>
    </xdr:to>
    <xdr:grpSp>
      <xdr:nvGrpSpPr>
        <xdr:cNvPr id="227" name="Group 226"/>
        <xdr:cNvGrpSpPr/>
      </xdr:nvGrpSpPr>
      <xdr:grpSpPr>
        <a:xfrm>
          <a:off x="2286000" y="9167461"/>
          <a:ext cx="385646" cy="304242"/>
          <a:chOff x="571500" y="2718109"/>
          <a:chExt cx="385646" cy="413525"/>
        </a:xfrm>
      </xdr:grpSpPr>
      <xdr:sp macro="" textlink="">
        <xdr:nvSpPr>
          <xdr:cNvPr id="228" name="Rectangle 22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29" name="Straight Connector 22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42</xdr:row>
      <xdr:rowOff>113108</xdr:rowOff>
    </xdr:from>
    <xdr:to>
      <xdr:col>18</xdr:col>
      <xdr:colOff>2323</xdr:colOff>
      <xdr:row>43</xdr:row>
      <xdr:rowOff>204438</xdr:rowOff>
    </xdr:to>
    <xdr:grpSp>
      <xdr:nvGrpSpPr>
        <xdr:cNvPr id="230" name="Group 229"/>
        <xdr:cNvGrpSpPr/>
      </xdr:nvGrpSpPr>
      <xdr:grpSpPr>
        <a:xfrm>
          <a:off x="3048000" y="9167461"/>
          <a:ext cx="385646" cy="304242"/>
          <a:chOff x="571500" y="2718109"/>
          <a:chExt cx="385646" cy="413525"/>
        </a:xfrm>
      </xdr:grpSpPr>
      <xdr:sp macro="" textlink="">
        <xdr:nvSpPr>
          <xdr:cNvPr id="231" name="Rectangle 23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2" name="Straight Connector 23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42</xdr:row>
      <xdr:rowOff>113108</xdr:rowOff>
    </xdr:from>
    <xdr:to>
      <xdr:col>22</xdr:col>
      <xdr:colOff>2323</xdr:colOff>
      <xdr:row>43</xdr:row>
      <xdr:rowOff>204438</xdr:rowOff>
    </xdr:to>
    <xdr:grpSp>
      <xdr:nvGrpSpPr>
        <xdr:cNvPr id="233" name="Group 232"/>
        <xdr:cNvGrpSpPr/>
      </xdr:nvGrpSpPr>
      <xdr:grpSpPr>
        <a:xfrm>
          <a:off x="3810000" y="9167461"/>
          <a:ext cx="385646" cy="304242"/>
          <a:chOff x="571500" y="2718109"/>
          <a:chExt cx="385646" cy="413525"/>
        </a:xfrm>
      </xdr:grpSpPr>
      <xdr:sp macro="" textlink="">
        <xdr:nvSpPr>
          <xdr:cNvPr id="234" name="Rectangle 23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35" name="Straight Connector 23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39</xdr:row>
      <xdr:rowOff>5953</xdr:rowOff>
    </xdr:from>
    <xdr:to>
      <xdr:col>5</xdr:col>
      <xdr:colOff>2975</xdr:colOff>
      <xdr:row>41</xdr:row>
      <xdr:rowOff>1</xdr:rowOff>
    </xdr:to>
    <xdr:cxnSp macro="">
      <xdr:nvCxnSpPr>
        <xdr:cNvPr id="236" name="Straight Connector 235"/>
        <xdr:cNvCxnSpPr/>
      </xdr:nvCxnSpPr>
      <xdr:spPr>
        <a:xfrm flipV="1">
          <a:off x="958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39</xdr:row>
      <xdr:rowOff>5953</xdr:rowOff>
    </xdr:from>
    <xdr:to>
      <xdr:col>9</xdr:col>
      <xdr:colOff>2975</xdr:colOff>
      <xdr:row>41</xdr:row>
      <xdr:rowOff>1</xdr:rowOff>
    </xdr:to>
    <xdr:cxnSp macro="">
      <xdr:nvCxnSpPr>
        <xdr:cNvPr id="237" name="Straight Connector 236"/>
        <xdr:cNvCxnSpPr/>
      </xdr:nvCxnSpPr>
      <xdr:spPr>
        <a:xfrm flipV="1">
          <a:off x="1720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39</xdr:row>
      <xdr:rowOff>5953</xdr:rowOff>
    </xdr:from>
    <xdr:to>
      <xdr:col>13</xdr:col>
      <xdr:colOff>2974</xdr:colOff>
      <xdr:row>41</xdr:row>
      <xdr:rowOff>1</xdr:rowOff>
    </xdr:to>
    <xdr:cxnSp macro="">
      <xdr:nvCxnSpPr>
        <xdr:cNvPr id="238" name="Straight Connector 237"/>
        <xdr:cNvCxnSpPr/>
      </xdr:nvCxnSpPr>
      <xdr:spPr>
        <a:xfrm flipV="1">
          <a:off x="24824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39</xdr:row>
      <xdr:rowOff>5953</xdr:rowOff>
    </xdr:from>
    <xdr:to>
      <xdr:col>17</xdr:col>
      <xdr:colOff>2973</xdr:colOff>
      <xdr:row>41</xdr:row>
      <xdr:rowOff>1</xdr:rowOff>
    </xdr:to>
    <xdr:cxnSp macro="">
      <xdr:nvCxnSpPr>
        <xdr:cNvPr id="239" name="Straight Connector 238"/>
        <xdr:cNvCxnSpPr/>
      </xdr:nvCxnSpPr>
      <xdr:spPr>
        <a:xfrm flipV="1">
          <a:off x="3244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39</xdr:row>
      <xdr:rowOff>5953</xdr:rowOff>
    </xdr:from>
    <xdr:to>
      <xdr:col>21</xdr:col>
      <xdr:colOff>2973</xdr:colOff>
      <xdr:row>41</xdr:row>
      <xdr:rowOff>1</xdr:rowOff>
    </xdr:to>
    <xdr:cxnSp macro="">
      <xdr:nvCxnSpPr>
        <xdr:cNvPr id="240" name="Straight Connector 239"/>
        <xdr:cNvCxnSpPr/>
      </xdr:nvCxnSpPr>
      <xdr:spPr>
        <a:xfrm flipV="1">
          <a:off x="40064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39</xdr:row>
      <xdr:rowOff>209733</xdr:rowOff>
    </xdr:from>
    <xdr:to>
      <xdr:col>9</xdr:col>
      <xdr:colOff>5953</xdr:colOff>
      <xdr:row>39</xdr:row>
      <xdr:rowOff>209733</xdr:rowOff>
    </xdr:to>
    <xdr:cxnSp macro="">
      <xdr:nvCxnSpPr>
        <xdr:cNvPr id="241" name="Straight Arrow Connector 240"/>
        <xdr:cNvCxnSpPr/>
      </xdr:nvCxnSpPr>
      <xdr:spPr>
        <a:xfrm flipH="1">
          <a:off x="9525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39</xdr:row>
      <xdr:rowOff>209733</xdr:rowOff>
    </xdr:from>
    <xdr:to>
      <xdr:col>13</xdr:col>
      <xdr:colOff>8929</xdr:colOff>
      <xdr:row>39</xdr:row>
      <xdr:rowOff>209733</xdr:rowOff>
    </xdr:to>
    <xdr:cxnSp macro="">
      <xdr:nvCxnSpPr>
        <xdr:cNvPr id="242" name="Straight Arrow Connector 241"/>
        <xdr:cNvCxnSpPr/>
      </xdr:nvCxnSpPr>
      <xdr:spPr>
        <a:xfrm flipH="1">
          <a:off x="17204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39</xdr:row>
      <xdr:rowOff>209733</xdr:rowOff>
    </xdr:from>
    <xdr:to>
      <xdr:col>17</xdr:col>
      <xdr:colOff>5952</xdr:colOff>
      <xdr:row>39</xdr:row>
      <xdr:rowOff>209733</xdr:rowOff>
    </xdr:to>
    <xdr:cxnSp macro="">
      <xdr:nvCxnSpPr>
        <xdr:cNvPr id="243" name="Straight Arrow Connector 242"/>
        <xdr:cNvCxnSpPr/>
      </xdr:nvCxnSpPr>
      <xdr:spPr>
        <a:xfrm flipH="1">
          <a:off x="2476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39</xdr:row>
      <xdr:rowOff>209733</xdr:rowOff>
    </xdr:from>
    <xdr:to>
      <xdr:col>21</xdr:col>
      <xdr:colOff>5952</xdr:colOff>
      <xdr:row>39</xdr:row>
      <xdr:rowOff>209733</xdr:rowOff>
    </xdr:to>
    <xdr:cxnSp macro="">
      <xdr:nvCxnSpPr>
        <xdr:cNvPr id="244" name="Straight Arrow Connector 243"/>
        <xdr:cNvCxnSpPr/>
      </xdr:nvCxnSpPr>
      <xdr:spPr>
        <a:xfrm flipH="1">
          <a:off x="32384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39</xdr:row>
      <xdr:rowOff>25184</xdr:rowOff>
    </xdr:from>
    <xdr:to>
      <xdr:col>8</xdr:col>
      <xdr:colOff>21976</xdr:colOff>
      <xdr:row>39</xdr:row>
      <xdr:rowOff>205153</xdr:rowOff>
    </xdr:to>
    <xdr:sp macro="" textlink="">
      <xdr:nvSpPr>
        <xdr:cNvPr id="245" name="Rectangle 244"/>
        <xdr:cNvSpPr/>
      </xdr:nvSpPr>
      <xdr:spPr>
        <a:xfrm>
          <a:off x="11060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39</xdr:row>
      <xdr:rowOff>25184</xdr:rowOff>
    </xdr:from>
    <xdr:to>
      <xdr:col>12</xdr:col>
      <xdr:colOff>25639</xdr:colOff>
      <xdr:row>39</xdr:row>
      <xdr:rowOff>205153</xdr:rowOff>
    </xdr:to>
    <xdr:sp macro="" textlink="">
      <xdr:nvSpPr>
        <xdr:cNvPr id="246" name="Rectangle 245"/>
        <xdr:cNvSpPr/>
      </xdr:nvSpPr>
      <xdr:spPr>
        <a:xfrm>
          <a:off x="18753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39</xdr:row>
      <xdr:rowOff>25184</xdr:rowOff>
    </xdr:from>
    <xdr:to>
      <xdr:col>16</xdr:col>
      <xdr:colOff>29302</xdr:colOff>
      <xdr:row>39</xdr:row>
      <xdr:rowOff>205153</xdr:rowOff>
    </xdr:to>
    <xdr:sp macro="" textlink="">
      <xdr:nvSpPr>
        <xdr:cNvPr id="247" name="Rectangle 246"/>
        <xdr:cNvSpPr/>
      </xdr:nvSpPr>
      <xdr:spPr>
        <a:xfrm>
          <a:off x="26446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39</xdr:row>
      <xdr:rowOff>25184</xdr:rowOff>
    </xdr:from>
    <xdr:to>
      <xdr:col>20</xdr:col>
      <xdr:colOff>32965</xdr:colOff>
      <xdr:row>39</xdr:row>
      <xdr:rowOff>205153</xdr:rowOff>
    </xdr:to>
    <xdr:sp macro="" textlink="">
      <xdr:nvSpPr>
        <xdr:cNvPr id="248" name="Rectangle 247"/>
        <xdr:cNvSpPr/>
      </xdr:nvSpPr>
      <xdr:spPr>
        <a:xfrm>
          <a:off x="34139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39</xdr:row>
      <xdr:rowOff>25184</xdr:rowOff>
    </xdr:from>
    <xdr:to>
      <xdr:col>5</xdr:col>
      <xdr:colOff>3657</xdr:colOff>
      <xdr:row>39</xdr:row>
      <xdr:rowOff>205153</xdr:rowOff>
    </xdr:to>
    <xdr:sp macro="" textlink="">
      <xdr:nvSpPr>
        <xdr:cNvPr id="249" name="Rectangle 248"/>
        <xdr:cNvSpPr/>
      </xdr:nvSpPr>
      <xdr:spPr>
        <a:xfrm>
          <a:off x="5788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39</xdr:row>
      <xdr:rowOff>5953</xdr:rowOff>
    </xdr:from>
    <xdr:to>
      <xdr:col>3</xdr:col>
      <xdr:colOff>2975</xdr:colOff>
      <xdr:row>41</xdr:row>
      <xdr:rowOff>1</xdr:rowOff>
    </xdr:to>
    <xdr:cxnSp macro="">
      <xdr:nvCxnSpPr>
        <xdr:cNvPr id="250" name="Straight Connector 249"/>
        <xdr:cNvCxnSpPr/>
      </xdr:nvCxnSpPr>
      <xdr:spPr>
        <a:xfrm flipV="1">
          <a:off x="5774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39</xdr:row>
      <xdr:rowOff>209733</xdr:rowOff>
    </xdr:from>
    <xdr:to>
      <xdr:col>4</xdr:col>
      <xdr:colOff>84259</xdr:colOff>
      <xdr:row>39</xdr:row>
      <xdr:rowOff>209733</xdr:rowOff>
    </xdr:to>
    <xdr:cxnSp macro="">
      <xdr:nvCxnSpPr>
        <xdr:cNvPr id="251" name="Straight Arrow Connector 250"/>
        <xdr:cNvCxnSpPr/>
      </xdr:nvCxnSpPr>
      <xdr:spPr>
        <a:xfrm flipH="1">
          <a:off x="5934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44</xdr:row>
      <xdr:rowOff>20052</xdr:rowOff>
    </xdr:from>
    <xdr:to>
      <xdr:col>1</xdr:col>
      <xdr:colOff>92796</xdr:colOff>
      <xdr:row>45</xdr:row>
      <xdr:rowOff>188808</xdr:rowOff>
    </xdr:to>
    <xdr:sp macro="" textlink="">
      <xdr:nvSpPr>
        <xdr:cNvPr id="252" name="Rectangle 251"/>
        <xdr:cNvSpPr/>
      </xdr:nvSpPr>
      <xdr:spPr>
        <a:xfrm rot="16200000">
          <a:off x="952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46</xdr:row>
      <xdr:rowOff>185488</xdr:rowOff>
    </xdr:from>
    <xdr:to>
      <xdr:col>1</xdr:col>
      <xdr:colOff>92796</xdr:colOff>
      <xdr:row>49</xdr:row>
      <xdr:rowOff>20053</xdr:rowOff>
    </xdr:to>
    <xdr:sp macro="" textlink="">
      <xdr:nvSpPr>
        <xdr:cNvPr id="253" name="Rectangle 252"/>
        <xdr:cNvSpPr/>
      </xdr:nvSpPr>
      <xdr:spPr>
        <a:xfrm rot="16200000">
          <a:off x="494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50</xdr:row>
      <xdr:rowOff>190503</xdr:rowOff>
    </xdr:from>
    <xdr:to>
      <xdr:col>1</xdr:col>
      <xdr:colOff>92796</xdr:colOff>
      <xdr:row>53</xdr:row>
      <xdr:rowOff>25068</xdr:rowOff>
    </xdr:to>
    <xdr:sp macro="" textlink="">
      <xdr:nvSpPr>
        <xdr:cNvPr id="254" name="Rectangle 253"/>
        <xdr:cNvSpPr/>
      </xdr:nvSpPr>
      <xdr:spPr>
        <a:xfrm rot="16200000">
          <a:off x="494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46</xdr:row>
      <xdr:rowOff>0</xdr:rowOff>
    </xdr:from>
    <xdr:to>
      <xdr:col>28</xdr:col>
      <xdr:colOff>0</xdr:colOff>
      <xdr:row>46</xdr:row>
      <xdr:rowOff>0</xdr:rowOff>
    </xdr:to>
    <xdr:cxnSp macro="">
      <xdr:nvCxnSpPr>
        <xdr:cNvPr id="255" name="Straight Connector 254"/>
        <xdr:cNvCxnSpPr/>
      </xdr:nvCxnSpPr>
      <xdr:spPr>
        <a:xfrm flipH="1">
          <a:off x="5056414" y="3731559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49</xdr:row>
      <xdr:rowOff>212270</xdr:rowOff>
    </xdr:from>
    <xdr:to>
      <xdr:col>28</xdr:col>
      <xdr:colOff>0</xdr:colOff>
      <xdr:row>49</xdr:row>
      <xdr:rowOff>212270</xdr:rowOff>
    </xdr:to>
    <xdr:cxnSp macro="">
      <xdr:nvCxnSpPr>
        <xdr:cNvPr id="256" name="Straight Connector 255"/>
        <xdr:cNvCxnSpPr/>
      </xdr:nvCxnSpPr>
      <xdr:spPr>
        <a:xfrm flipH="1">
          <a:off x="5056414" y="458256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54</xdr:row>
      <xdr:rowOff>5441</xdr:rowOff>
    </xdr:from>
    <xdr:to>
      <xdr:col>28</xdr:col>
      <xdr:colOff>0</xdr:colOff>
      <xdr:row>54</xdr:row>
      <xdr:rowOff>5441</xdr:rowOff>
    </xdr:to>
    <xdr:cxnSp macro="">
      <xdr:nvCxnSpPr>
        <xdr:cNvPr id="257" name="Straight Connector 256"/>
        <xdr:cNvCxnSpPr/>
      </xdr:nvCxnSpPr>
      <xdr:spPr>
        <a:xfrm flipH="1">
          <a:off x="5056414" y="544029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46</xdr:row>
      <xdr:rowOff>10886</xdr:rowOff>
    </xdr:from>
    <xdr:to>
      <xdr:col>26</xdr:col>
      <xdr:colOff>95247</xdr:colOff>
      <xdr:row>50</xdr:row>
      <xdr:rowOff>0</xdr:rowOff>
    </xdr:to>
    <xdr:cxnSp macro="">
      <xdr:nvCxnSpPr>
        <xdr:cNvPr id="258" name="Straight Arrow Connector 257"/>
        <xdr:cNvCxnSpPr/>
      </xdr:nvCxnSpPr>
      <xdr:spPr>
        <a:xfrm>
          <a:off x="5143494" y="3742445"/>
          <a:ext cx="0" cy="840761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50</xdr:row>
      <xdr:rowOff>5443</xdr:rowOff>
    </xdr:from>
    <xdr:to>
      <xdr:col>26</xdr:col>
      <xdr:colOff>95249</xdr:colOff>
      <xdr:row>53</xdr:row>
      <xdr:rowOff>206829</xdr:rowOff>
    </xdr:to>
    <xdr:cxnSp macro="">
      <xdr:nvCxnSpPr>
        <xdr:cNvPr id="259" name="Straight Arrow Connector 258"/>
        <xdr:cNvCxnSpPr/>
      </xdr:nvCxnSpPr>
      <xdr:spPr>
        <a:xfrm>
          <a:off x="5143498" y="4588649"/>
          <a:ext cx="0" cy="84012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44</xdr:row>
      <xdr:rowOff>5443</xdr:rowOff>
    </xdr:from>
    <xdr:to>
      <xdr:col>28</xdr:col>
      <xdr:colOff>0</xdr:colOff>
      <xdr:row>44</xdr:row>
      <xdr:rowOff>5443</xdr:rowOff>
    </xdr:to>
    <xdr:cxnSp macro="">
      <xdr:nvCxnSpPr>
        <xdr:cNvPr id="260" name="Straight Connector 259"/>
        <xdr:cNvCxnSpPr/>
      </xdr:nvCxnSpPr>
      <xdr:spPr>
        <a:xfrm flipH="1">
          <a:off x="5056414" y="331117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44</xdr:row>
      <xdr:rowOff>16329</xdr:rowOff>
    </xdr:from>
    <xdr:to>
      <xdr:col>26</xdr:col>
      <xdr:colOff>95249</xdr:colOff>
      <xdr:row>46</xdr:row>
      <xdr:rowOff>0</xdr:rowOff>
    </xdr:to>
    <xdr:cxnSp macro="">
      <xdr:nvCxnSpPr>
        <xdr:cNvPr id="261" name="Straight Arrow Connector 260"/>
        <xdr:cNvCxnSpPr/>
      </xdr:nvCxnSpPr>
      <xdr:spPr>
        <a:xfrm>
          <a:off x="5143498" y="3322064"/>
          <a:ext cx="0" cy="409495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42</xdr:row>
      <xdr:rowOff>113108</xdr:rowOff>
    </xdr:from>
    <xdr:to>
      <xdr:col>31</xdr:col>
      <xdr:colOff>2323</xdr:colOff>
      <xdr:row>43</xdr:row>
      <xdr:rowOff>204438</xdr:rowOff>
    </xdr:to>
    <xdr:grpSp>
      <xdr:nvGrpSpPr>
        <xdr:cNvPr id="262" name="Group 261"/>
        <xdr:cNvGrpSpPr/>
      </xdr:nvGrpSpPr>
      <xdr:grpSpPr>
        <a:xfrm>
          <a:off x="5524500" y="9167461"/>
          <a:ext cx="385646" cy="304242"/>
          <a:chOff x="571500" y="2718109"/>
          <a:chExt cx="385646" cy="413525"/>
        </a:xfrm>
      </xdr:grpSpPr>
      <xdr:sp macro="" textlink="">
        <xdr:nvSpPr>
          <xdr:cNvPr id="263" name="Rectangle 26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4" name="Straight Connector 26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42</xdr:row>
      <xdr:rowOff>113108</xdr:rowOff>
    </xdr:from>
    <xdr:to>
      <xdr:col>35</xdr:col>
      <xdr:colOff>2323</xdr:colOff>
      <xdr:row>43</xdr:row>
      <xdr:rowOff>204438</xdr:rowOff>
    </xdr:to>
    <xdr:grpSp>
      <xdr:nvGrpSpPr>
        <xdr:cNvPr id="265" name="Group 264"/>
        <xdr:cNvGrpSpPr/>
      </xdr:nvGrpSpPr>
      <xdr:grpSpPr>
        <a:xfrm>
          <a:off x="6286500" y="9167461"/>
          <a:ext cx="385646" cy="304242"/>
          <a:chOff x="571500" y="2718109"/>
          <a:chExt cx="385646" cy="413525"/>
        </a:xfrm>
      </xdr:grpSpPr>
      <xdr:sp macro="" textlink="">
        <xdr:nvSpPr>
          <xdr:cNvPr id="266" name="Rectangle 26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67" name="Straight Connector 26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42</xdr:row>
      <xdr:rowOff>113108</xdr:rowOff>
    </xdr:from>
    <xdr:to>
      <xdr:col>39</xdr:col>
      <xdr:colOff>2323</xdr:colOff>
      <xdr:row>43</xdr:row>
      <xdr:rowOff>204438</xdr:rowOff>
    </xdr:to>
    <xdr:grpSp>
      <xdr:nvGrpSpPr>
        <xdr:cNvPr id="268" name="Group 267"/>
        <xdr:cNvGrpSpPr/>
      </xdr:nvGrpSpPr>
      <xdr:grpSpPr>
        <a:xfrm>
          <a:off x="7048500" y="9167461"/>
          <a:ext cx="385646" cy="304242"/>
          <a:chOff x="571500" y="2718109"/>
          <a:chExt cx="385646" cy="413525"/>
        </a:xfrm>
      </xdr:grpSpPr>
      <xdr:sp macro="" textlink="">
        <xdr:nvSpPr>
          <xdr:cNvPr id="269" name="Rectangle 26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0" name="Straight Connector 26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42</xdr:row>
      <xdr:rowOff>113108</xdr:rowOff>
    </xdr:from>
    <xdr:to>
      <xdr:col>43</xdr:col>
      <xdr:colOff>2323</xdr:colOff>
      <xdr:row>43</xdr:row>
      <xdr:rowOff>204438</xdr:rowOff>
    </xdr:to>
    <xdr:grpSp>
      <xdr:nvGrpSpPr>
        <xdr:cNvPr id="271" name="Group 270"/>
        <xdr:cNvGrpSpPr/>
      </xdr:nvGrpSpPr>
      <xdr:grpSpPr>
        <a:xfrm>
          <a:off x="7810500" y="9167461"/>
          <a:ext cx="385646" cy="304242"/>
          <a:chOff x="571500" y="2718109"/>
          <a:chExt cx="385646" cy="413525"/>
        </a:xfrm>
      </xdr:grpSpPr>
      <xdr:sp macro="" textlink="">
        <xdr:nvSpPr>
          <xdr:cNvPr id="272" name="Rectangle 27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3" name="Straight Connector 27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42</xdr:row>
      <xdr:rowOff>113108</xdr:rowOff>
    </xdr:from>
    <xdr:to>
      <xdr:col>47</xdr:col>
      <xdr:colOff>2323</xdr:colOff>
      <xdr:row>43</xdr:row>
      <xdr:rowOff>204438</xdr:rowOff>
    </xdr:to>
    <xdr:grpSp>
      <xdr:nvGrpSpPr>
        <xdr:cNvPr id="274" name="Group 273"/>
        <xdr:cNvGrpSpPr/>
      </xdr:nvGrpSpPr>
      <xdr:grpSpPr>
        <a:xfrm>
          <a:off x="8572500" y="9167461"/>
          <a:ext cx="385646" cy="304242"/>
          <a:chOff x="571500" y="2718109"/>
          <a:chExt cx="385646" cy="413525"/>
        </a:xfrm>
      </xdr:grpSpPr>
      <xdr:sp macro="" textlink="">
        <xdr:nvSpPr>
          <xdr:cNvPr id="275" name="Rectangle 27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76" name="Straight Connector 27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39</xdr:row>
      <xdr:rowOff>5953</xdr:rowOff>
    </xdr:from>
    <xdr:to>
      <xdr:col>30</xdr:col>
      <xdr:colOff>2975</xdr:colOff>
      <xdr:row>41</xdr:row>
      <xdr:rowOff>1</xdr:rowOff>
    </xdr:to>
    <xdr:cxnSp macro="">
      <xdr:nvCxnSpPr>
        <xdr:cNvPr id="277" name="Straight Connector 276"/>
        <xdr:cNvCxnSpPr/>
      </xdr:nvCxnSpPr>
      <xdr:spPr>
        <a:xfrm flipV="1">
          <a:off x="5720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39</xdr:row>
      <xdr:rowOff>5953</xdr:rowOff>
    </xdr:from>
    <xdr:to>
      <xdr:col>34</xdr:col>
      <xdr:colOff>2975</xdr:colOff>
      <xdr:row>41</xdr:row>
      <xdr:rowOff>1</xdr:rowOff>
    </xdr:to>
    <xdr:cxnSp macro="">
      <xdr:nvCxnSpPr>
        <xdr:cNvPr id="278" name="Straight Connector 277"/>
        <xdr:cNvCxnSpPr/>
      </xdr:nvCxnSpPr>
      <xdr:spPr>
        <a:xfrm flipV="1">
          <a:off x="6482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39</xdr:row>
      <xdr:rowOff>5953</xdr:rowOff>
    </xdr:from>
    <xdr:to>
      <xdr:col>38</xdr:col>
      <xdr:colOff>2974</xdr:colOff>
      <xdr:row>41</xdr:row>
      <xdr:rowOff>1</xdr:rowOff>
    </xdr:to>
    <xdr:cxnSp macro="">
      <xdr:nvCxnSpPr>
        <xdr:cNvPr id="279" name="Straight Connector 278"/>
        <xdr:cNvCxnSpPr/>
      </xdr:nvCxnSpPr>
      <xdr:spPr>
        <a:xfrm flipV="1">
          <a:off x="7244948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39</xdr:row>
      <xdr:rowOff>5953</xdr:rowOff>
    </xdr:from>
    <xdr:to>
      <xdr:col>42</xdr:col>
      <xdr:colOff>2973</xdr:colOff>
      <xdr:row>41</xdr:row>
      <xdr:rowOff>1</xdr:rowOff>
    </xdr:to>
    <xdr:cxnSp macro="">
      <xdr:nvCxnSpPr>
        <xdr:cNvPr id="280" name="Straight Connector 279"/>
        <xdr:cNvCxnSpPr/>
      </xdr:nvCxnSpPr>
      <xdr:spPr>
        <a:xfrm flipV="1">
          <a:off x="8006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39</xdr:row>
      <xdr:rowOff>5953</xdr:rowOff>
    </xdr:from>
    <xdr:to>
      <xdr:col>46</xdr:col>
      <xdr:colOff>2973</xdr:colOff>
      <xdr:row>41</xdr:row>
      <xdr:rowOff>1</xdr:rowOff>
    </xdr:to>
    <xdr:cxnSp macro="">
      <xdr:nvCxnSpPr>
        <xdr:cNvPr id="281" name="Straight Connector 280"/>
        <xdr:cNvCxnSpPr/>
      </xdr:nvCxnSpPr>
      <xdr:spPr>
        <a:xfrm flipV="1">
          <a:off x="8768946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39</xdr:row>
      <xdr:rowOff>209733</xdr:rowOff>
    </xdr:from>
    <xdr:to>
      <xdr:col>34</xdr:col>
      <xdr:colOff>5953</xdr:colOff>
      <xdr:row>39</xdr:row>
      <xdr:rowOff>209733</xdr:rowOff>
    </xdr:to>
    <xdr:cxnSp macro="">
      <xdr:nvCxnSpPr>
        <xdr:cNvPr id="282" name="Straight Arrow Connector 281"/>
        <xdr:cNvCxnSpPr/>
      </xdr:nvCxnSpPr>
      <xdr:spPr>
        <a:xfrm flipH="1">
          <a:off x="5715000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39</xdr:row>
      <xdr:rowOff>209733</xdr:rowOff>
    </xdr:from>
    <xdr:to>
      <xdr:col>38</xdr:col>
      <xdr:colOff>8929</xdr:colOff>
      <xdr:row>39</xdr:row>
      <xdr:rowOff>209733</xdr:rowOff>
    </xdr:to>
    <xdr:cxnSp macro="">
      <xdr:nvCxnSpPr>
        <xdr:cNvPr id="283" name="Straight Arrow Connector 282"/>
        <xdr:cNvCxnSpPr/>
      </xdr:nvCxnSpPr>
      <xdr:spPr>
        <a:xfrm flipH="1">
          <a:off x="6482952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39</xdr:row>
      <xdr:rowOff>209733</xdr:rowOff>
    </xdr:from>
    <xdr:to>
      <xdr:col>42</xdr:col>
      <xdr:colOff>5952</xdr:colOff>
      <xdr:row>39</xdr:row>
      <xdr:rowOff>209733</xdr:rowOff>
    </xdr:to>
    <xdr:cxnSp macro="">
      <xdr:nvCxnSpPr>
        <xdr:cNvPr id="284" name="Straight Arrow Connector 283"/>
        <xdr:cNvCxnSpPr/>
      </xdr:nvCxnSpPr>
      <xdr:spPr>
        <a:xfrm flipH="1">
          <a:off x="7238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39</xdr:row>
      <xdr:rowOff>209733</xdr:rowOff>
    </xdr:from>
    <xdr:to>
      <xdr:col>46</xdr:col>
      <xdr:colOff>5952</xdr:colOff>
      <xdr:row>39</xdr:row>
      <xdr:rowOff>209733</xdr:rowOff>
    </xdr:to>
    <xdr:cxnSp macro="">
      <xdr:nvCxnSpPr>
        <xdr:cNvPr id="285" name="Straight Arrow Connector 284"/>
        <xdr:cNvCxnSpPr/>
      </xdr:nvCxnSpPr>
      <xdr:spPr>
        <a:xfrm flipH="1">
          <a:off x="8000998" y="245090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39</xdr:row>
      <xdr:rowOff>25184</xdr:rowOff>
    </xdr:from>
    <xdr:to>
      <xdr:col>33</xdr:col>
      <xdr:colOff>21976</xdr:colOff>
      <xdr:row>39</xdr:row>
      <xdr:rowOff>205153</xdr:rowOff>
    </xdr:to>
    <xdr:sp macro="" textlink="">
      <xdr:nvSpPr>
        <xdr:cNvPr id="286" name="Rectangle 285"/>
        <xdr:cNvSpPr/>
      </xdr:nvSpPr>
      <xdr:spPr>
        <a:xfrm>
          <a:off x="5868500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39</xdr:row>
      <xdr:rowOff>25184</xdr:rowOff>
    </xdr:from>
    <xdr:to>
      <xdr:col>37</xdr:col>
      <xdr:colOff>25639</xdr:colOff>
      <xdr:row>39</xdr:row>
      <xdr:rowOff>205153</xdr:rowOff>
    </xdr:to>
    <xdr:sp macro="" textlink="">
      <xdr:nvSpPr>
        <xdr:cNvPr id="287" name="Rectangle 286"/>
        <xdr:cNvSpPr/>
      </xdr:nvSpPr>
      <xdr:spPr>
        <a:xfrm>
          <a:off x="6637826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39</xdr:row>
      <xdr:rowOff>25184</xdr:rowOff>
    </xdr:from>
    <xdr:to>
      <xdr:col>41</xdr:col>
      <xdr:colOff>29302</xdr:colOff>
      <xdr:row>39</xdr:row>
      <xdr:rowOff>205153</xdr:rowOff>
    </xdr:to>
    <xdr:sp macro="" textlink="">
      <xdr:nvSpPr>
        <xdr:cNvPr id="288" name="Rectangle 287"/>
        <xdr:cNvSpPr/>
      </xdr:nvSpPr>
      <xdr:spPr>
        <a:xfrm>
          <a:off x="7407152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39</xdr:row>
      <xdr:rowOff>25184</xdr:rowOff>
    </xdr:from>
    <xdr:to>
      <xdr:col>45</xdr:col>
      <xdr:colOff>32965</xdr:colOff>
      <xdr:row>39</xdr:row>
      <xdr:rowOff>205153</xdr:rowOff>
    </xdr:to>
    <xdr:sp macro="" textlink="">
      <xdr:nvSpPr>
        <xdr:cNvPr id="289" name="Rectangle 288"/>
        <xdr:cNvSpPr/>
      </xdr:nvSpPr>
      <xdr:spPr>
        <a:xfrm>
          <a:off x="8176478" y="226636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39</xdr:row>
      <xdr:rowOff>25184</xdr:rowOff>
    </xdr:from>
    <xdr:to>
      <xdr:col>30</xdr:col>
      <xdr:colOff>3657</xdr:colOff>
      <xdr:row>39</xdr:row>
      <xdr:rowOff>205153</xdr:rowOff>
    </xdr:to>
    <xdr:sp macro="" textlink="">
      <xdr:nvSpPr>
        <xdr:cNvPr id="290" name="Rectangle 289"/>
        <xdr:cNvSpPr/>
      </xdr:nvSpPr>
      <xdr:spPr>
        <a:xfrm>
          <a:off x="5341326" y="226636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39</xdr:row>
      <xdr:rowOff>5953</xdr:rowOff>
    </xdr:from>
    <xdr:to>
      <xdr:col>28</xdr:col>
      <xdr:colOff>2975</xdr:colOff>
      <xdr:row>41</xdr:row>
      <xdr:rowOff>1</xdr:rowOff>
    </xdr:to>
    <xdr:cxnSp macro="">
      <xdr:nvCxnSpPr>
        <xdr:cNvPr id="291" name="Straight Connector 290"/>
        <xdr:cNvCxnSpPr/>
      </xdr:nvCxnSpPr>
      <xdr:spPr>
        <a:xfrm flipV="1">
          <a:off x="5339950" y="2247129"/>
          <a:ext cx="0" cy="41987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39</xdr:row>
      <xdr:rowOff>209733</xdr:rowOff>
    </xdr:from>
    <xdr:to>
      <xdr:col>29</xdr:col>
      <xdr:colOff>84259</xdr:colOff>
      <xdr:row>39</xdr:row>
      <xdr:rowOff>209733</xdr:rowOff>
    </xdr:to>
    <xdr:cxnSp macro="">
      <xdr:nvCxnSpPr>
        <xdr:cNvPr id="292" name="Straight Arrow Connector 291"/>
        <xdr:cNvCxnSpPr/>
      </xdr:nvCxnSpPr>
      <xdr:spPr>
        <a:xfrm flipH="1">
          <a:off x="5355980" y="245090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44</xdr:row>
      <xdr:rowOff>20052</xdr:rowOff>
    </xdr:from>
    <xdr:to>
      <xdr:col>26</xdr:col>
      <xdr:colOff>92796</xdr:colOff>
      <xdr:row>45</xdr:row>
      <xdr:rowOff>188808</xdr:rowOff>
    </xdr:to>
    <xdr:sp macro="" textlink="">
      <xdr:nvSpPr>
        <xdr:cNvPr id="293" name="Rectangle 292"/>
        <xdr:cNvSpPr/>
      </xdr:nvSpPr>
      <xdr:spPr>
        <a:xfrm rot="16200000">
          <a:off x="4857773" y="3426636"/>
          <a:ext cx="381668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46</xdr:row>
      <xdr:rowOff>185488</xdr:rowOff>
    </xdr:from>
    <xdr:to>
      <xdr:col>26</xdr:col>
      <xdr:colOff>92796</xdr:colOff>
      <xdr:row>49</xdr:row>
      <xdr:rowOff>20053</xdr:rowOff>
    </xdr:to>
    <xdr:sp macro="" textlink="">
      <xdr:nvSpPr>
        <xdr:cNvPr id="294" name="Rectangle 293"/>
        <xdr:cNvSpPr/>
      </xdr:nvSpPr>
      <xdr:spPr>
        <a:xfrm rot="16200000">
          <a:off x="4811957" y="4063712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50</xdr:row>
      <xdr:rowOff>190503</xdr:rowOff>
    </xdr:from>
    <xdr:to>
      <xdr:col>26</xdr:col>
      <xdr:colOff>92796</xdr:colOff>
      <xdr:row>53</xdr:row>
      <xdr:rowOff>25068</xdr:rowOff>
    </xdr:to>
    <xdr:sp macro="" textlink="">
      <xdr:nvSpPr>
        <xdr:cNvPr id="295" name="Rectangle 294"/>
        <xdr:cNvSpPr/>
      </xdr:nvSpPr>
      <xdr:spPr>
        <a:xfrm rot="16200000">
          <a:off x="4811957" y="4920374"/>
          <a:ext cx="473300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41</xdr:row>
      <xdr:rowOff>110909</xdr:rowOff>
    </xdr:from>
    <xdr:to>
      <xdr:col>31</xdr:col>
      <xdr:colOff>26736</xdr:colOff>
      <xdr:row>42</xdr:row>
      <xdr:rowOff>81328</xdr:rowOff>
    </xdr:to>
    <xdr:sp macro="" textlink="">
      <xdr:nvSpPr>
        <xdr:cNvPr id="296" name="Rectangle 295"/>
        <xdr:cNvSpPr/>
      </xdr:nvSpPr>
      <xdr:spPr>
        <a:xfrm>
          <a:off x="549702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41</xdr:row>
      <xdr:rowOff>110909</xdr:rowOff>
    </xdr:from>
    <xdr:to>
      <xdr:col>35</xdr:col>
      <xdr:colOff>21971</xdr:colOff>
      <xdr:row>42</xdr:row>
      <xdr:rowOff>81328</xdr:rowOff>
    </xdr:to>
    <xdr:sp macro="" textlink="">
      <xdr:nvSpPr>
        <xdr:cNvPr id="297" name="Rectangle 296"/>
        <xdr:cNvSpPr/>
      </xdr:nvSpPr>
      <xdr:spPr>
        <a:xfrm>
          <a:off x="6249490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41</xdr:row>
      <xdr:rowOff>110909</xdr:rowOff>
    </xdr:from>
    <xdr:to>
      <xdr:col>39</xdr:col>
      <xdr:colOff>17208</xdr:colOff>
      <xdr:row>42</xdr:row>
      <xdr:rowOff>81328</xdr:rowOff>
    </xdr:to>
    <xdr:sp macro="" textlink="">
      <xdr:nvSpPr>
        <xdr:cNvPr id="298" name="Rectangle 297"/>
        <xdr:cNvSpPr/>
      </xdr:nvSpPr>
      <xdr:spPr>
        <a:xfrm>
          <a:off x="700196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41</xdr:row>
      <xdr:rowOff>110909</xdr:rowOff>
    </xdr:from>
    <xdr:to>
      <xdr:col>43</xdr:col>
      <xdr:colOff>21970</xdr:colOff>
      <xdr:row>42</xdr:row>
      <xdr:rowOff>81328</xdr:rowOff>
    </xdr:to>
    <xdr:sp macro="" textlink="">
      <xdr:nvSpPr>
        <xdr:cNvPr id="299" name="Rectangle 298"/>
        <xdr:cNvSpPr/>
      </xdr:nvSpPr>
      <xdr:spPr>
        <a:xfrm>
          <a:off x="7773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41</xdr:row>
      <xdr:rowOff>110909</xdr:rowOff>
    </xdr:from>
    <xdr:to>
      <xdr:col>47</xdr:col>
      <xdr:colOff>21970</xdr:colOff>
      <xdr:row>42</xdr:row>
      <xdr:rowOff>81328</xdr:rowOff>
    </xdr:to>
    <xdr:sp macro="" textlink="">
      <xdr:nvSpPr>
        <xdr:cNvPr id="300" name="Rectangle 299"/>
        <xdr:cNvSpPr/>
      </xdr:nvSpPr>
      <xdr:spPr>
        <a:xfrm>
          <a:off x="853548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41</xdr:row>
      <xdr:rowOff>110909</xdr:rowOff>
    </xdr:from>
    <xdr:to>
      <xdr:col>6</xdr:col>
      <xdr:colOff>26733</xdr:colOff>
      <xdr:row>42</xdr:row>
      <xdr:rowOff>81328</xdr:rowOff>
    </xdr:to>
    <xdr:sp macro="" textlink="">
      <xdr:nvSpPr>
        <xdr:cNvPr id="301" name="Rectangle 300"/>
        <xdr:cNvSpPr/>
      </xdr:nvSpPr>
      <xdr:spPr>
        <a:xfrm>
          <a:off x="73451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41</xdr:row>
      <xdr:rowOff>110909</xdr:rowOff>
    </xdr:from>
    <xdr:to>
      <xdr:col>10</xdr:col>
      <xdr:colOff>21968</xdr:colOff>
      <xdr:row>42</xdr:row>
      <xdr:rowOff>81328</xdr:rowOff>
    </xdr:to>
    <xdr:sp macro="" textlink="">
      <xdr:nvSpPr>
        <xdr:cNvPr id="302" name="Rectangle 301"/>
        <xdr:cNvSpPr/>
      </xdr:nvSpPr>
      <xdr:spPr>
        <a:xfrm>
          <a:off x="1486984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41</xdr:row>
      <xdr:rowOff>110909</xdr:rowOff>
    </xdr:from>
    <xdr:to>
      <xdr:col>14</xdr:col>
      <xdr:colOff>17205</xdr:colOff>
      <xdr:row>42</xdr:row>
      <xdr:rowOff>81328</xdr:rowOff>
    </xdr:to>
    <xdr:sp macro="" textlink="">
      <xdr:nvSpPr>
        <xdr:cNvPr id="303" name="Rectangle 302"/>
        <xdr:cNvSpPr/>
      </xdr:nvSpPr>
      <xdr:spPr>
        <a:xfrm>
          <a:off x="2239458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41</xdr:row>
      <xdr:rowOff>110909</xdr:rowOff>
    </xdr:from>
    <xdr:to>
      <xdr:col>18</xdr:col>
      <xdr:colOff>21967</xdr:colOff>
      <xdr:row>42</xdr:row>
      <xdr:rowOff>81328</xdr:rowOff>
    </xdr:to>
    <xdr:sp macro="" textlink="">
      <xdr:nvSpPr>
        <xdr:cNvPr id="304" name="Rectangle 303"/>
        <xdr:cNvSpPr/>
      </xdr:nvSpPr>
      <xdr:spPr>
        <a:xfrm>
          <a:off x="3010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41</xdr:row>
      <xdr:rowOff>110909</xdr:rowOff>
    </xdr:from>
    <xdr:to>
      <xdr:col>22</xdr:col>
      <xdr:colOff>21967</xdr:colOff>
      <xdr:row>42</xdr:row>
      <xdr:rowOff>81328</xdr:rowOff>
    </xdr:to>
    <xdr:sp macro="" textlink="">
      <xdr:nvSpPr>
        <xdr:cNvPr id="305" name="Rectangle 304"/>
        <xdr:cNvSpPr/>
      </xdr:nvSpPr>
      <xdr:spPr>
        <a:xfrm>
          <a:off x="3772982" y="2777909"/>
          <a:ext cx="461952" cy="1833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55</xdr:row>
      <xdr:rowOff>201089</xdr:rowOff>
    </xdr:from>
    <xdr:to>
      <xdr:col>23</xdr:col>
      <xdr:colOff>654</xdr:colOff>
      <xdr:row>57</xdr:row>
      <xdr:rowOff>195136</xdr:rowOff>
    </xdr:to>
    <xdr:cxnSp macro="">
      <xdr:nvCxnSpPr>
        <xdr:cNvPr id="306" name="Straight Connector 305"/>
        <xdr:cNvCxnSpPr/>
      </xdr:nvCxnSpPr>
      <xdr:spPr>
        <a:xfrm flipV="1">
          <a:off x="43828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56</xdr:row>
      <xdr:rowOff>191957</xdr:rowOff>
    </xdr:from>
    <xdr:to>
      <xdr:col>23</xdr:col>
      <xdr:colOff>3633</xdr:colOff>
      <xdr:row>56</xdr:row>
      <xdr:rowOff>191957</xdr:rowOff>
    </xdr:to>
    <xdr:cxnSp macro="">
      <xdr:nvCxnSpPr>
        <xdr:cNvPr id="307" name="Straight Arrow Connector 306"/>
        <xdr:cNvCxnSpPr/>
      </xdr:nvCxnSpPr>
      <xdr:spPr>
        <a:xfrm flipH="1">
          <a:off x="5780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55</xdr:row>
      <xdr:rowOff>201089</xdr:rowOff>
    </xdr:from>
    <xdr:to>
      <xdr:col>3</xdr:col>
      <xdr:colOff>653</xdr:colOff>
      <xdr:row>57</xdr:row>
      <xdr:rowOff>195136</xdr:rowOff>
    </xdr:to>
    <xdr:cxnSp macro="">
      <xdr:nvCxnSpPr>
        <xdr:cNvPr id="308" name="Straight Connector 307"/>
        <xdr:cNvCxnSpPr/>
      </xdr:nvCxnSpPr>
      <xdr:spPr>
        <a:xfrm flipV="1">
          <a:off x="5728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56</xdr:row>
      <xdr:rowOff>198937</xdr:rowOff>
    </xdr:from>
    <xdr:to>
      <xdr:col>14</xdr:col>
      <xdr:colOff>21975</xdr:colOff>
      <xdr:row>57</xdr:row>
      <xdr:rowOff>174800</xdr:rowOff>
    </xdr:to>
    <xdr:sp macro="" textlink="">
      <xdr:nvSpPr>
        <xdr:cNvPr id="309" name="Rectangle 308"/>
        <xdr:cNvSpPr/>
      </xdr:nvSpPr>
      <xdr:spPr>
        <a:xfrm>
          <a:off x="22489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55</xdr:row>
      <xdr:rowOff>201089</xdr:rowOff>
    </xdr:from>
    <xdr:to>
      <xdr:col>48</xdr:col>
      <xdr:colOff>654</xdr:colOff>
      <xdr:row>57</xdr:row>
      <xdr:rowOff>195136</xdr:rowOff>
    </xdr:to>
    <xdr:cxnSp macro="">
      <xdr:nvCxnSpPr>
        <xdr:cNvPr id="310" name="Straight Connector 309"/>
        <xdr:cNvCxnSpPr/>
      </xdr:nvCxnSpPr>
      <xdr:spPr>
        <a:xfrm flipV="1">
          <a:off x="9145308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56</xdr:row>
      <xdr:rowOff>191957</xdr:rowOff>
    </xdr:from>
    <xdr:to>
      <xdr:col>48</xdr:col>
      <xdr:colOff>3633</xdr:colOff>
      <xdr:row>56</xdr:row>
      <xdr:rowOff>191957</xdr:rowOff>
    </xdr:to>
    <xdr:cxnSp macro="">
      <xdr:nvCxnSpPr>
        <xdr:cNvPr id="311" name="Straight Arrow Connector 310"/>
        <xdr:cNvCxnSpPr/>
      </xdr:nvCxnSpPr>
      <xdr:spPr>
        <a:xfrm flipH="1">
          <a:off x="5340568" y="6052633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55</xdr:row>
      <xdr:rowOff>201089</xdr:rowOff>
    </xdr:from>
    <xdr:to>
      <xdr:col>28</xdr:col>
      <xdr:colOff>653</xdr:colOff>
      <xdr:row>57</xdr:row>
      <xdr:rowOff>195136</xdr:rowOff>
    </xdr:to>
    <xdr:cxnSp macro="">
      <xdr:nvCxnSpPr>
        <xdr:cNvPr id="312" name="Straight Connector 311"/>
        <xdr:cNvCxnSpPr/>
      </xdr:nvCxnSpPr>
      <xdr:spPr>
        <a:xfrm flipV="1">
          <a:off x="5335306" y="5848854"/>
          <a:ext cx="0" cy="41987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56</xdr:row>
      <xdr:rowOff>198937</xdr:rowOff>
    </xdr:from>
    <xdr:to>
      <xdr:col>39</xdr:col>
      <xdr:colOff>21975</xdr:colOff>
      <xdr:row>57</xdr:row>
      <xdr:rowOff>174800</xdr:rowOff>
    </xdr:to>
    <xdr:sp macro="" textlink="">
      <xdr:nvSpPr>
        <xdr:cNvPr id="313" name="Rectangle 312"/>
        <xdr:cNvSpPr/>
      </xdr:nvSpPr>
      <xdr:spPr>
        <a:xfrm>
          <a:off x="7011498" y="6059613"/>
          <a:ext cx="461952" cy="188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56</xdr:row>
      <xdr:rowOff>2720</xdr:rowOff>
    </xdr:from>
    <xdr:to>
      <xdr:col>24</xdr:col>
      <xdr:colOff>47625</xdr:colOff>
      <xdr:row>56</xdr:row>
      <xdr:rowOff>2720</xdr:rowOff>
    </xdr:to>
    <xdr:cxnSp macro="">
      <xdr:nvCxnSpPr>
        <xdr:cNvPr id="314" name="Straight Connector 313"/>
        <xdr:cNvCxnSpPr/>
      </xdr:nvCxnSpPr>
      <xdr:spPr>
        <a:xfrm flipH="1">
          <a:off x="43896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44</xdr:row>
      <xdr:rowOff>10886</xdr:rowOff>
    </xdr:from>
    <xdr:to>
      <xdr:col>23</xdr:col>
      <xdr:colOff>95247</xdr:colOff>
      <xdr:row>56</xdr:row>
      <xdr:rowOff>9525</xdr:rowOff>
    </xdr:to>
    <xdr:cxnSp macro="">
      <xdr:nvCxnSpPr>
        <xdr:cNvPr id="315" name="Straight Arrow Connector 314"/>
        <xdr:cNvCxnSpPr/>
      </xdr:nvCxnSpPr>
      <xdr:spPr>
        <a:xfrm>
          <a:off x="45719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43</xdr:row>
      <xdr:rowOff>205468</xdr:rowOff>
    </xdr:from>
    <xdr:to>
      <xdr:col>24</xdr:col>
      <xdr:colOff>47625</xdr:colOff>
      <xdr:row>43</xdr:row>
      <xdr:rowOff>205468</xdr:rowOff>
    </xdr:to>
    <xdr:cxnSp macro="">
      <xdr:nvCxnSpPr>
        <xdr:cNvPr id="316" name="Straight Connector 315"/>
        <xdr:cNvCxnSpPr/>
      </xdr:nvCxnSpPr>
      <xdr:spPr>
        <a:xfrm flipH="1">
          <a:off x="43896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49</xdr:row>
      <xdr:rowOff>52139</xdr:rowOff>
    </xdr:from>
    <xdr:to>
      <xdr:col>25</xdr:col>
      <xdr:colOff>7072</xdr:colOff>
      <xdr:row>51</xdr:row>
      <xdr:rowOff>96254</xdr:rowOff>
    </xdr:to>
    <xdr:sp macro="" textlink="">
      <xdr:nvSpPr>
        <xdr:cNvPr id="317" name="Rectangle 316"/>
        <xdr:cNvSpPr/>
      </xdr:nvSpPr>
      <xdr:spPr>
        <a:xfrm rot="16200000">
          <a:off x="44516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56</xdr:row>
      <xdr:rowOff>2720</xdr:rowOff>
    </xdr:from>
    <xdr:to>
      <xdr:col>49</xdr:col>
      <xdr:colOff>47625</xdr:colOff>
      <xdr:row>56</xdr:row>
      <xdr:rowOff>2720</xdr:rowOff>
    </xdr:to>
    <xdr:cxnSp macro="">
      <xdr:nvCxnSpPr>
        <xdr:cNvPr id="318" name="Straight Connector 317"/>
        <xdr:cNvCxnSpPr/>
      </xdr:nvCxnSpPr>
      <xdr:spPr>
        <a:xfrm flipH="1">
          <a:off x="9152164" y="586339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44</xdr:row>
      <xdr:rowOff>10886</xdr:rowOff>
    </xdr:from>
    <xdr:to>
      <xdr:col>48</xdr:col>
      <xdr:colOff>95247</xdr:colOff>
      <xdr:row>56</xdr:row>
      <xdr:rowOff>9525</xdr:rowOff>
    </xdr:to>
    <xdr:cxnSp macro="">
      <xdr:nvCxnSpPr>
        <xdr:cNvPr id="319" name="Straight Arrow Connector 318"/>
        <xdr:cNvCxnSpPr/>
      </xdr:nvCxnSpPr>
      <xdr:spPr>
        <a:xfrm>
          <a:off x="9334494" y="3316621"/>
          <a:ext cx="0" cy="255358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43</xdr:row>
      <xdr:rowOff>205468</xdr:rowOff>
    </xdr:from>
    <xdr:to>
      <xdr:col>49</xdr:col>
      <xdr:colOff>47625</xdr:colOff>
      <xdr:row>43</xdr:row>
      <xdr:rowOff>205468</xdr:rowOff>
    </xdr:to>
    <xdr:cxnSp macro="">
      <xdr:nvCxnSpPr>
        <xdr:cNvPr id="320" name="Straight Connector 319"/>
        <xdr:cNvCxnSpPr/>
      </xdr:nvCxnSpPr>
      <xdr:spPr>
        <a:xfrm flipH="1">
          <a:off x="9152164" y="329829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49</xdr:row>
      <xdr:rowOff>52139</xdr:rowOff>
    </xdr:from>
    <xdr:to>
      <xdr:col>50</xdr:col>
      <xdr:colOff>7072</xdr:colOff>
      <xdr:row>51</xdr:row>
      <xdr:rowOff>96254</xdr:rowOff>
    </xdr:to>
    <xdr:sp macro="" textlink="">
      <xdr:nvSpPr>
        <xdr:cNvPr id="321" name="Rectangle 320"/>
        <xdr:cNvSpPr/>
      </xdr:nvSpPr>
      <xdr:spPr>
        <a:xfrm rot="16200000">
          <a:off x="9214189" y="4567418"/>
          <a:ext cx="46993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</xdr:col>
      <xdr:colOff>58022</xdr:colOff>
      <xdr:row>49</xdr:row>
      <xdr:rowOff>135334</xdr:rowOff>
    </xdr:from>
    <xdr:to>
      <xdr:col>5</xdr:col>
      <xdr:colOff>37130</xdr:colOff>
      <xdr:row>50</xdr:row>
      <xdr:rowOff>72739</xdr:rowOff>
    </xdr:to>
    <xdr:sp macro="" textlink="">
      <xdr:nvSpPr>
        <xdr:cNvPr id="322" name="4-Point Star 321"/>
        <xdr:cNvSpPr/>
      </xdr:nvSpPr>
      <xdr:spPr>
        <a:xfrm>
          <a:off x="878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49</xdr:row>
      <xdr:rowOff>135334</xdr:rowOff>
    </xdr:from>
    <xdr:to>
      <xdr:col>9</xdr:col>
      <xdr:colOff>37130</xdr:colOff>
      <xdr:row>50</xdr:row>
      <xdr:rowOff>72739</xdr:rowOff>
    </xdr:to>
    <xdr:sp macro="" textlink="">
      <xdr:nvSpPr>
        <xdr:cNvPr id="323" name="4-Point Star 322"/>
        <xdr:cNvSpPr/>
      </xdr:nvSpPr>
      <xdr:spPr>
        <a:xfrm>
          <a:off x="1640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49</xdr:row>
      <xdr:rowOff>135334</xdr:rowOff>
    </xdr:from>
    <xdr:to>
      <xdr:col>13</xdr:col>
      <xdr:colOff>37130</xdr:colOff>
      <xdr:row>50</xdr:row>
      <xdr:rowOff>72739</xdr:rowOff>
    </xdr:to>
    <xdr:sp macro="" textlink="">
      <xdr:nvSpPr>
        <xdr:cNvPr id="324" name="4-Point Star 323"/>
        <xdr:cNvSpPr/>
      </xdr:nvSpPr>
      <xdr:spPr>
        <a:xfrm>
          <a:off x="2402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49</xdr:row>
      <xdr:rowOff>135334</xdr:rowOff>
    </xdr:from>
    <xdr:to>
      <xdr:col>17</xdr:col>
      <xdr:colOff>37130</xdr:colOff>
      <xdr:row>50</xdr:row>
      <xdr:rowOff>72739</xdr:rowOff>
    </xdr:to>
    <xdr:sp macro="" textlink="">
      <xdr:nvSpPr>
        <xdr:cNvPr id="325" name="4-Point Star 324"/>
        <xdr:cNvSpPr/>
      </xdr:nvSpPr>
      <xdr:spPr>
        <a:xfrm>
          <a:off x="3164044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49</xdr:row>
      <xdr:rowOff>135334</xdr:rowOff>
    </xdr:from>
    <xdr:to>
      <xdr:col>21</xdr:col>
      <xdr:colOff>39453</xdr:colOff>
      <xdr:row>50</xdr:row>
      <xdr:rowOff>72739</xdr:rowOff>
    </xdr:to>
    <xdr:sp macro="" textlink="">
      <xdr:nvSpPr>
        <xdr:cNvPr id="326" name="4-Point Star 325"/>
        <xdr:cNvSpPr/>
      </xdr:nvSpPr>
      <xdr:spPr>
        <a:xfrm>
          <a:off x="3930690" y="4505628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45</xdr:row>
      <xdr:rowOff>135334</xdr:rowOff>
    </xdr:from>
    <xdr:to>
      <xdr:col>5</xdr:col>
      <xdr:colOff>37130</xdr:colOff>
      <xdr:row>46</xdr:row>
      <xdr:rowOff>72738</xdr:rowOff>
    </xdr:to>
    <xdr:sp macro="" textlink="">
      <xdr:nvSpPr>
        <xdr:cNvPr id="327" name="4-Point Star 326"/>
        <xdr:cNvSpPr/>
      </xdr:nvSpPr>
      <xdr:spPr>
        <a:xfrm>
          <a:off x="878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45</xdr:row>
      <xdr:rowOff>135334</xdr:rowOff>
    </xdr:from>
    <xdr:to>
      <xdr:col>9</xdr:col>
      <xdr:colOff>37130</xdr:colOff>
      <xdr:row>46</xdr:row>
      <xdr:rowOff>72738</xdr:rowOff>
    </xdr:to>
    <xdr:sp macro="" textlink="">
      <xdr:nvSpPr>
        <xdr:cNvPr id="328" name="4-Point Star 327"/>
        <xdr:cNvSpPr/>
      </xdr:nvSpPr>
      <xdr:spPr>
        <a:xfrm>
          <a:off x="1640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45</xdr:row>
      <xdr:rowOff>135334</xdr:rowOff>
    </xdr:from>
    <xdr:to>
      <xdr:col>13</xdr:col>
      <xdr:colOff>37130</xdr:colOff>
      <xdr:row>46</xdr:row>
      <xdr:rowOff>72738</xdr:rowOff>
    </xdr:to>
    <xdr:sp macro="" textlink="">
      <xdr:nvSpPr>
        <xdr:cNvPr id="329" name="4-Point Star 328"/>
        <xdr:cNvSpPr/>
      </xdr:nvSpPr>
      <xdr:spPr>
        <a:xfrm>
          <a:off x="2402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45</xdr:row>
      <xdr:rowOff>135334</xdr:rowOff>
    </xdr:from>
    <xdr:to>
      <xdr:col>17</xdr:col>
      <xdr:colOff>37130</xdr:colOff>
      <xdr:row>46</xdr:row>
      <xdr:rowOff>72738</xdr:rowOff>
    </xdr:to>
    <xdr:sp macro="" textlink="">
      <xdr:nvSpPr>
        <xdr:cNvPr id="330" name="4-Point Star 329"/>
        <xdr:cNvSpPr/>
      </xdr:nvSpPr>
      <xdr:spPr>
        <a:xfrm>
          <a:off x="3164044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45</xdr:row>
      <xdr:rowOff>135334</xdr:rowOff>
    </xdr:from>
    <xdr:to>
      <xdr:col>21</xdr:col>
      <xdr:colOff>39453</xdr:colOff>
      <xdr:row>46</xdr:row>
      <xdr:rowOff>72738</xdr:rowOff>
    </xdr:to>
    <xdr:sp macro="" textlink="">
      <xdr:nvSpPr>
        <xdr:cNvPr id="331" name="4-Point Star 330"/>
        <xdr:cNvSpPr/>
      </xdr:nvSpPr>
      <xdr:spPr>
        <a:xfrm>
          <a:off x="3930690" y="3653981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58022</xdr:colOff>
      <xdr:row>53</xdr:row>
      <xdr:rowOff>135334</xdr:rowOff>
    </xdr:from>
    <xdr:to>
      <xdr:col>5</xdr:col>
      <xdr:colOff>37130</xdr:colOff>
      <xdr:row>54</xdr:row>
      <xdr:rowOff>72738</xdr:rowOff>
    </xdr:to>
    <xdr:sp macro="" textlink="">
      <xdr:nvSpPr>
        <xdr:cNvPr id="332" name="4-Point Star 331"/>
        <xdr:cNvSpPr/>
      </xdr:nvSpPr>
      <xdr:spPr>
        <a:xfrm>
          <a:off x="878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58022</xdr:colOff>
      <xdr:row>53</xdr:row>
      <xdr:rowOff>135334</xdr:rowOff>
    </xdr:from>
    <xdr:to>
      <xdr:col>9</xdr:col>
      <xdr:colOff>37130</xdr:colOff>
      <xdr:row>54</xdr:row>
      <xdr:rowOff>72738</xdr:rowOff>
    </xdr:to>
    <xdr:sp macro="" textlink="">
      <xdr:nvSpPr>
        <xdr:cNvPr id="333" name="4-Point Star 332"/>
        <xdr:cNvSpPr/>
      </xdr:nvSpPr>
      <xdr:spPr>
        <a:xfrm>
          <a:off x="1640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58022</xdr:colOff>
      <xdr:row>53</xdr:row>
      <xdr:rowOff>135334</xdr:rowOff>
    </xdr:from>
    <xdr:to>
      <xdr:col>13</xdr:col>
      <xdr:colOff>37130</xdr:colOff>
      <xdr:row>54</xdr:row>
      <xdr:rowOff>72738</xdr:rowOff>
    </xdr:to>
    <xdr:sp macro="" textlink="">
      <xdr:nvSpPr>
        <xdr:cNvPr id="334" name="4-Point Star 333"/>
        <xdr:cNvSpPr/>
      </xdr:nvSpPr>
      <xdr:spPr>
        <a:xfrm>
          <a:off x="2402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58022</xdr:colOff>
      <xdr:row>53</xdr:row>
      <xdr:rowOff>135334</xdr:rowOff>
    </xdr:from>
    <xdr:to>
      <xdr:col>17</xdr:col>
      <xdr:colOff>37130</xdr:colOff>
      <xdr:row>54</xdr:row>
      <xdr:rowOff>72738</xdr:rowOff>
    </xdr:to>
    <xdr:sp macro="" textlink="">
      <xdr:nvSpPr>
        <xdr:cNvPr id="335" name="4-Point Star 334"/>
        <xdr:cNvSpPr/>
      </xdr:nvSpPr>
      <xdr:spPr>
        <a:xfrm>
          <a:off x="3164044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60345</xdr:colOff>
      <xdr:row>53</xdr:row>
      <xdr:rowOff>135334</xdr:rowOff>
    </xdr:from>
    <xdr:to>
      <xdr:col>21</xdr:col>
      <xdr:colOff>39453</xdr:colOff>
      <xdr:row>54</xdr:row>
      <xdr:rowOff>72738</xdr:rowOff>
    </xdr:to>
    <xdr:sp macro="" textlink="">
      <xdr:nvSpPr>
        <xdr:cNvPr id="336" name="4-Point Star 335"/>
        <xdr:cNvSpPr/>
      </xdr:nvSpPr>
      <xdr:spPr>
        <a:xfrm>
          <a:off x="3930690" y="5357275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49</xdr:row>
      <xdr:rowOff>140777</xdr:rowOff>
    </xdr:from>
    <xdr:to>
      <xdr:col>30</xdr:col>
      <xdr:colOff>39850</xdr:colOff>
      <xdr:row>50</xdr:row>
      <xdr:rowOff>78182</xdr:rowOff>
    </xdr:to>
    <xdr:sp macro="" textlink="">
      <xdr:nvSpPr>
        <xdr:cNvPr id="337" name="4-Point Star 336"/>
        <xdr:cNvSpPr/>
      </xdr:nvSpPr>
      <xdr:spPr>
        <a:xfrm>
          <a:off x="5645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49</xdr:row>
      <xdr:rowOff>140777</xdr:rowOff>
    </xdr:from>
    <xdr:to>
      <xdr:col>34</xdr:col>
      <xdr:colOff>39850</xdr:colOff>
      <xdr:row>50</xdr:row>
      <xdr:rowOff>78182</xdr:rowOff>
    </xdr:to>
    <xdr:sp macro="" textlink="">
      <xdr:nvSpPr>
        <xdr:cNvPr id="338" name="4-Point Star 337"/>
        <xdr:cNvSpPr/>
      </xdr:nvSpPr>
      <xdr:spPr>
        <a:xfrm>
          <a:off x="6407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49</xdr:row>
      <xdr:rowOff>140777</xdr:rowOff>
    </xdr:from>
    <xdr:to>
      <xdr:col>38</xdr:col>
      <xdr:colOff>39850</xdr:colOff>
      <xdr:row>50</xdr:row>
      <xdr:rowOff>78182</xdr:rowOff>
    </xdr:to>
    <xdr:sp macro="" textlink="">
      <xdr:nvSpPr>
        <xdr:cNvPr id="339" name="4-Point Star 338"/>
        <xdr:cNvSpPr/>
      </xdr:nvSpPr>
      <xdr:spPr>
        <a:xfrm>
          <a:off x="7169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49</xdr:row>
      <xdr:rowOff>140777</xdr:rowOff>
    </xdr:from>
    <xdr:to>
      <xdr:col>42</xdr:col>
      <xdr:colOff>39850</xdr:colOff>
      <xdr:row>50</xdr:row>
      <xdr:rowOff>78182</xdr:rowOff>
    </xdr:to>
    <xdr:sp macro="" textlink="">
      <xdr:nvSpPr>
        <xdr:cNvPr id="340" name="4-Point Star 339"/>
        <xdr:cNvSpPr/>
      </xdr:nvSpPr>
      <xdr:spPr>
        <a:xfrm>
          <a:off x="7931984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49</xdr:row>
      <xdr:rowOff>140777</xdr:rowOff>
    </xdr:from>
    <xdr:to>
      <xdr:col>46</xdr:col>
      <xdr:colOff>42173</xdr:colOff>
      <xdr:row>50</xdr:row>
      <xdr:rowOff>78182</xdr:rowOff>
    </xdr:to>
    <xdr:sp macro="" textlink="">
      <xdr:nvSpPr>
        <xdr:cNvPr id="341" name="4-Point Star 340"/>
        <xdr:cNvSpPr/>
      </xdr:nvSpPr>
      <xdr:spPr>
        <a:xfrm>
          <a:off x="8698630" y="4511071"/>
          <a:ext cx="148716" cy="150317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45</xdr:row>
      <xdr:rowOff>140777</xdr:rowOff>
    </xdr:from>
    <xdr:to>
      <xdr:col>30</xdr:col>
      <xdr:colOff>39850</xdr:colOff>
      <xdr:row>46</xdr:row>
      <xdr:rowOff>78181</xdr:rowOff>
    </xdr:to>
    <xdr:sp macro="" textlink="">
      <xdr:nvSpPr>
        <xdr:cNvPr id="342" name="4-Point Star 341"/>
        <xdr:cNvSpPr/>
      </xdr:nvSpPr>
      <xdr:spPr>
        <a:xfrm>
          <a:off x="5645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45</xdr:row>
      <xdr:rowOff>140777</xdr:rowOff>
    </xdr:from>
    <xdr:to>
      <xdr:col>34</xdr:col>
      <xdr:colOff>39850</xdr:colOff>
      <xdr:row>46</xdr:row>
      <xdr:rowOff>78181</xdr:rowOff>
    </xdr:to>
    <xdr:sp macro="" textlink="">
      <xdr:nvSpPr>
        <xdr:cNvPr id="343" name="4-Point Star 342"/>
        <xdr:cNvSpPr/>
      </xdr:nvSpPr>
      <xdr:spPr>
        <a:xfrm>
          <a:off x="6407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45</xdr:row>
      <xdr:rowOff>140777</xdr:rowOff>
    </xdr:from>
    <xdr:to>
      <xdr:col>38</xdr:col>
      <xdr:colOff>39850</xdr:colOff>
      <xdr:row>46</xdr:row>
      <xdr:rowOff>78181</xdr:rowOff>
    </xdr:to>
    <xdr:sp macro="" textlink="">
      <xdr:nvSpPr>
        <xdr:cNvPr id="344" name="4-Point Star 343"/>
        <xdr:cNvSpPr/>
      </xdr:nvSpPr>
      <xdr:spPr>
        <a:xfrm>
          <a:off x="7169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45</xdr:row>
      <xdr:rowOff>140777</xdr:rowOff>
    </xdr:from>
    <xdr:to>
      <xdr:col>42</xdr:col>
      <xdr:colOff>39850</xdr:colOff>
      <xdr:row>46</xdr:row>
      <xdr:rowOff>78181</xdr:rowOff>
    </xdr:to>
    <xdr:sp macro="" textlink="">
      <xdr:nvSpPr>
        <xdr:cNvPr id="345" name="4-Point Star 344"/>
        <xdr:cNvSpPr/>
      </xdr:nvSpPr>
      <xdr:spPr>
        <a:xfrm>
          <a:off x="7931984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45</xdr:row>
      <xdr:rowOff>140777</xdr:rowOff>
    </xdr:from>
    <xdr:to>
      <xdr:col>46</xdr:col>
      <xdr:colOff>42173</xdr:colOff>
      <xdr:row>46</xdr:row>
      <xdr:rowOff>78181</xdr:rowOff>
    </xdr:to>
    <xdr:sp macro="" textlink="">
      <xdr:nvSpPr>
        <xdr:cNvPr id="346" name="4-Point Star 345"/>
        <xdr:cNvSpPr/>
      </xdr:nvSpPr>
      <xdr:spPr>
        <a:xfrm>
          <a:off x="8698630" y="3659424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60742</xdr:colOff>
      <xdr:row>53</xdr:row>
      <xdr:rowOff>140777</xdr:rowOff>
    </xdr:from>
    <xdr:to>
      <xdr:col>30</xdr:col>
      <xdr:colOff>39850</xdr:colOff>
      <xdr:row>54</xdr:row>
      <xdr:rowOff>78181</xdr:rowOff>
    </xdr:to>
    <xdr:sp macro="" textlink="">
      <xdr:nvSpPr>
        <xdr:cNvPr id="347" name="4-Point Star 346"/>
        <xdr:cNvSpPr/>
      </xdr:nvSpPr>
      <xdr:spPr>
        <a:xfrm>
          <a:off x="5645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60742</xdr:colOff>
      <xdr:row>53</xdr:row>
      <xdr:rowOff>140777</xdr:rowOff>
    </xdr:from>
    <xdr:to>
      <xdr:col>34</xdr:col>
      <xdr:colOff>39850</xdr:colOff>
      <xdr:row>54</xdr:row>
      <xdr:rowOff>78181</xdr:rowOff>
    </xdr:to>
    <xdr:sp macro="" textlink="">
      <xdr:nvSpPr>
        <xdr:cNvPr id="348" name="4-Point Star 347"/>
        <xdr:cNvSpPr/>
      </xdr:nvSpPr>
      <xdr:spPr>
        <a:xfrm>
          <a:off x="6407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60742</xdr:colOff>
      <xdr:row>53</xdr:row>
      <xdr:rowOff>140777</xdr:rowOff>
    </xdr:from>
    <xdr:to>
      <xdr:col>38</xdr:col>
      <xdr:colOff>39850</xdr:colOff>
      <xdr:row>54</xdr:row>
      <xdr:rowOff>78181</xdr:rowOff>
    </xdr:to>
    <xdr:sp macro="" textlink="">
      <xdr:nvSpPr>
        <xdr:cNvPr id="349" name="4-Point Star 348"/>
        <xdr:cNvSpPr/>
      </xdr:nvSpPr>
      <xdr:spPr>
        <a:xfrm>
          <a:off x="7169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60742</xdr:colOff>
      <xdr:row>53</xdr:row>
      <xdr:rowOff>140777</xdr:rowOff>
    </xdr:from>
    <xdr:to>
      <xdr:col>42</xdr:col>
      <xdr:colOff>39850</xdr:colOff>
      <xdr:row>54</xdr:row>
      <xdr:rowOff>78181</xdr:rowOff>
    </xdr:to>
    <xdr:sp macro="" textlink="">
      <xdr:nvSpPr>
        <xdr:cNvPr id="350" name="4-Point Star 349"/>
        <xdr:cNvSpPr/>
      </xdr:nvSpPr>
      <xdr:spPr>
        <a:xfrm>
          <a:off x="7931984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63065</xdr:colOff>
      <xdr:row>53</xdr:row>
      <xdr:rowOff>140777</xdr:rowOff>
    </xdr:from>
    <xdr:to>
      <xdr:col>46</xdr:col>
      <xdr:colOff>42173</xdr:colOff>
      <xdr:row>54</xdr:row>
      <xdr:rowOff>78181</xdr:rowOff>
    </xdr:to>
    <xdr:sp macro="" textlink="">
      <xdr:nvSpPr>
        <xdr:cNvPr id="351" name="4-Point Star 350"/>
        <xdr:cNvSpPr/>
      </xdr:nvSpPr>
      <xdr:spPr>
        <a:xfrm>
          <a:off x="8698630" y="5362718"/>
          <a:ext cx="148716" cy="150316"/>
        </a:xfrm>
        <a:prstGeom prst="star4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67235</xdr:colOff>
      <xdr:row>42</xdr:row>
      <xdr:rowOff>22411</xdr:rowOff>
    </xdr:from>
    <xdr:to>
      <xdr:col>25</xdr:col>
      <xdr:colOff>71564</xdr:colOff>
      <xdr:row>43</xdr:row>
      <xdr:rowOff>13752</xdr:rowOff>
    </xdr:to>
    <xdr:grpSp>
      <xdr:nvGrpSpPr>
        <xdr:cNvPr id="352" name="Group 351"/>
        <xdr:cNvGrpSpPr/>
      </xdr:nvGrpSpPr>
      <xdr:grpSpPr>
        <a:xfrm>
          <a:off x="4706470" y="9076764"/>
          <a:ext cx="199158" cy="204253"/>
          <a:chOff x="4797136" y="2861830"/>
          <a:chExt cx="199158" cy="199159"/>
        </a:xfrm>
      </xdr:grpSpPr>
      <xdr:sp macro="" textlink="">
        <xdr:nvSpPr>
          <xdr:cNvPr id="353" name="Oval 352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54" name="Flowchart: Connector 353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91329</xdr:colOff>
      <xdr:row>10</xdr:row>
      <xdr:rowOff>35299</xdr:rowOff>
    </xdr:from>
    <xdr:to>
      <xdr:col>57</xdr:col>
      <xdr:colOff>88500</xdr:colOff>
      <xdr:row>10</xdr:row>
      <xdr:rowOff>35299</xdr:rowOff>
    </xdr:to>
    <xdr:sp macro="" textlink="">
      <xdr:nvSpPr>
        <xdr:cNvPr id="2" name="Line 3"/>
        <xdr:cNvSpPr>
          <a:spLocks noChangeShapeType="1"/>
        </xdr:cNvSpPr>
      </xdr:nvSpPr>
      <xdr:spPr bwMode="auto">
        <a:xfrm>
          <a:off x="6901704" y="2540374"/>
          <a:ext cx="1209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77028</xdr:colOff>
      <xdr:row>0</xdr:row>
      <xdr:rowOff>293077</xdr:rowOff>
    </xdr:to>
    <xdr:pic>
      <xdr:nvPicPr>
        <xdr:cNvPr id="3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3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8283</xdr:colOff>
      <xdr:row>33</xdr:row>
      <xdr:rowOff>8282</xdr:rowOff>
    </xdr:from>
    <xdr:to>
      <xdr:col>9</xdr:col>
      <xdr:colOff>8283</xdr:colOff>
      <xdr:row>45</xdr:row>
      <xdr:rowOff>173935</xdr:rowOff>
    </xdr:to>
    <xdr:cxnSp macro="">
      <xdr:nvCxnSpPr>
        <xdr:cNvPr id="4" name="Straight Connector 3"/>
        <xdr:cNvCxnSpPr/>
      </xdr:nvCxnSpPr>
      <xdr:spPr>
        <a:xfrm>
          <a:off x="979833" y="7161557"/>
          <a:ext cx="0" cy="25659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12" name="Line 37"/>
        <xdr:cNvSpPr>
          <a:spLocks noChangeShapeType="1"/>
        </xdr:cNvSpPr>
      </xdr:nvSpPr>
      <xdr:spPr bwMode="auto">
        <a:xfrm>
          <a:off x="5382880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13" name="Line 37"/>
        <xdr:cNvSpPr>
          <a:spLocks noChangeShapeType="1"/>
        </xdr:cNvSpPr>
      </xdr:nvSpPr>
      <xdr:spPr bwMode="auto">
        <a:xfrm>
          <a:off x="5881422" y="6085749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6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3" name="Straight Connector 2"/>
        <xdr:cNvCxnSpPr/>
      </xdr:nvCxnSpPr>
      <xdr:spPr>
        <a:xfrm flipV="1">
          <a:off x="49696" y="5814392"/>
          <a:ext cx="7462630" cy="458028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69146</xdr:colOff>
      <xdr:row>29</xdr:row>
      <xdr:rowOff>184302</xdr:rowOff>
    </xdr:from>
    <xdr:to>
      <xdr:col>43</xdr:col>
      <xdr:colOff>117542</xdr:colOff>
      <xdr:row>29</xdr:row>
      <xdr:rowOff>184302</xdr:rowOff>
    </xdr:to>
    <xdr:sp macro="" textlink="">
      <xdr:nvSpPr>
        <xdr:cNvPr id="2" name="Line 37"/>
        <xdr:cNvSpPr>
          <a:spLocks noChangeShapeType="1"/>
        </xdr:cNvSpPr>
      </xdr:nvSpPr>
      <xdr:spPr bwMode="auto">
        <a:xfrm>
          <a:off x="5288846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47</xdr:col>
      <xdr:colOff>65092</xdr:colOff>
      <xdr:row>29</xdr:row>
      <xdr:rowOff>184302</xdr:rowOff>
    </xdr:from>
    <xdr:to>
      <xdr:col>47</xdr:col>
      <xdr:colOff>113488</xdr:colOff>
      <xdr:row>29</xdr:row>
      <xdr:rowOff>184302</xdr:rowOff>
    </xdr:to>
    <xdr:sp macro="" textlink="">
      <xdr:nvSpPr>
        <xdr:cNvPr id="3" name="Line 37"/>
        <xdr:cNvSpPr>
          <a:spLocks noChangeShapeType="1"/>
        </xdr:cNvSpPr>
      </xdr:nvSpPr>
      <xdr:spPr bwMode="auto">
        <a:xfrm>
          <a:off x="5780092" y="5210175"/>
          <a:ext cx="48396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67503</xdr:colOff>
      <xdr:row>0</xdr:row>
      <xdr:rowOff>295275</xdr:rowOff>
    </xdr:to>
    <xdr:pic>
      <xdr:nvPicPr>
        <xdr:cNvPr id="4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91478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8283</xdr:colOff>
      <xdr:row>26</xdr:row>
      <xdr:rowOff>16566</xdr:rowOff>
    </xdr:from>
    <xdr:to>
      <xdr:col>60</xdr:col>
      <xdr:colOff>115956</xdr:colOff>
      <xdr:row>44</xdr:row>
      <xdr:rowOff>198784</xdr:rowOff>
    </xdr:to>
    <xdr:cxnSp macro="">
      <xdr:nvCxnSpPr>
        <xdr:cNvPr id="5" name="Straight Connector 4"/>
        <xdr:cNvCxnSpPr/>
      </xdr:nvCxnSpPr>
      <xdr:spPr>
        <a:xfrm flipV="1">
          <a:off x="46383" y="5210175"/>
          <a:ext cx="743239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51707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3" name="Straight Connector 2"/>
        <xdr:cNvCxnSpPr/>
      </xdr:nvCxnSpPr>
      <xdr:spPr>
        <a:xfrm flipH="1">
          <a:off x="2939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20</xdr:row>
      <xdr:rowOff>212270</xdr:rowOff>
    </xdr:from>
    <xdr:to>
      <xdr:col>3</xdr:col>
      <xdr:colOff>0</xdr:colOff>
      <xdr:row>20</xdr:row>
      <xdr:rowOff>212270</xdr:rowOff>
    </xdr:to>
    <xdr:cxnSp macro="">
      <xdr:nvCxnSpPr>
        <xdr:cNvPr id="4" name="Straight Connector 3"/>
        <xdr:cNvCxnSpPr/>
      </xdr:nvCxnSpPr>
      <xdr:spPr>
        <a:xfrm flipH="1">
          <a:off x="2939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25</xdr:row>
      <xdr:rowOff>5441</xdr:rowOff>
    </xdr:from>
    <xdr:to>
      <xdr:col>3</xdr:col>
      <xdr:colOff>0</xdr:colOff>
      <xdr:row>25</xdr:row>
      <xdr:rowOff>5441</xdr:rowOff>
    </xdr:to>
    <xdr:cxnSp macro="">
      <xdr:nvCxnSpPr>
        <xdr:cNvPr id="5" name="Straight Connector 4"/>
        <xdr:cNvCxnSpPr/>
      </xdr:nvCxnSpPr>
      <xdr:spPr>
        <a:xfrm flipH="1">
          <a:off x="2939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17</xdr:row>
      <xdr:rowOff>10886</xdr:rowOff>
    </xdr:from>
    <xdr:to>
      <xdr:col>1</xdr:col>
      <xdr:colOff>95247</xdr:colOff>
      <xdr:row>21</xdr:row>
      <xdr:rowOff>0</xdr:rowOff>
    </xdr:to>
    <xdr:cxnSp macro="">
      <xdr:nvCxnSpPr>
        <xdr:cNvPr id="6" name="Straight Arrow Connector 5"/>
        <xdr:cNvCxnSpPr/>
      </xdr:nvCxnSpPr>
      <xdr:spPr>
        <a:xfrm>
          <a:off x="3809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21</xdr:row>
      <xdr:rowOff>5443</xdr:rowOff>
    </xdr:from>
    <xdr:to>
      <xdr:col>1</xdr:col>
      <xdr:colOff>95249</xdr:colOff>
      <xdr:row>24</xdr:row>
      <xdr:rowOff>206829</xdr:rowOff>
    </xdr:to>
    <xdr:cxnSp macro="">
      <xdr:nvCxnSpPr>
        <xdr:cNvPr id="7" name="Straight Arrow Connector 6"/>
        <xdr:cNvCxnSpPr/>
      </xdr:nvCxnSpPr>
      <xdr:spPr>
        <a:xfrm>
          <a:off x="3809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15</xdr:row>
      <xdr:rowOff>5443</xdr:rowOff>
    </xdr:from>
    <xdr:to>
      <xdr:col>3</xdr:col>
      <xdr:colOff>0</xdr:colOff>
      <xdr:row>15</xdr:row>
      <xdr:rowOff>5443</xdr:rowOff>
    </xdr:to>
    <xdr:cxnSp macro="">
      <xdr:nvCxnSpPr>
        <xdr:cNvPr id="8" name="Straight Connector 7"/>
        <xdr:cNvCxnSpPr/>
      </xdr:nvCxnSpPr>
      <xdr:spPr>
        <a:xfrm flipH="1">
          <a:off x="2939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15</xdr:row>
      <xdr:rowOff>16329</xdr:rowOff>
    </xdr:from>
    <xdr:to>
      <xdr:col>1</xdr:col>
      <xdr:colOff>95249</xdr:colOff>
      <xdr:row>17</xdr:row>
      <xdr:rowOff>0</xdr:rowOff>
    </xdr:to>
    <xdr:cxnSp macro="">
      <xdr:nvCxnSpPr>
        <xdr:cNvPr id="9" name="Straight Arrow Connector 8"/>
        <xdr:cNvCxnSpPr/>
      </xdr:nvCxnSpPr>
      <xdr:spPr>
        <a:xfrm>
          <a:off x="3809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113108</xdr:rowOff>
    </xdr:from>
    <xdr:to>
      <xdr:col>6</xdr:col>
      <xdr:colOff>2323</xdr:colOff>
      <xdr:row>14</xdr:row>
      <xdr:rowOff>204438</xdr:rowOff>
    </xdr:to>
    <xdr:grpSp>
      <xdr:nvGrpSpPr>
        <xdr:cNvPr id="10" name="Group 9"/>
        <xdr:cNvGrpSpPr/>
      </xdr:nvGrpSpPr>
      <xdr:grpSpPr>
        <a:xfrm>
          <a:off x="762000" y="2993020"/>
          <a:ext cx="385646" cy="304242"/>
          <a:chOff x="571500" y="2718109"/>
          <a:chExt cx="385646" cy="413525"/>
        </a:xfrm>
      </xdr:grpSpPr>
      <xdr:sp macro="" textlink="">
        <xdr:nvSpPr>
          <xdr:cNvPr id="11" name="Rectangle 1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2" name="Straight Connector 1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13</xdr:row>
      <xdr:rowOff>113108</xdr:rowOff>
    </xdr:from>
    <xdr:to>
      <xdr:col>10</xdr:col>
      <xdr:colOff>2323</xdr:colOff>
      <xdr:row>14</xdr:row>
      <xdr:rowOff>204438</xdr:rowOff>
    </xdr:to>
    <xdr:grpSp>
      <xdr:nvGrpSpPr>
        <xdr:cNvPr id="13" name="Group 12"/>
        <xdr:cNvGrpSpPr/>
      </xdr:nvGrpSpPr>
      <xdr:grpSpPr>
        <a:xfrm>
          <a:off x="1524000" y="2993020"/>
          <a:ext cx="385646" cy="304242"/>
          <a:chOff x="571500" y="2718109"/>
          <a:chExt cx="385646" cy="413525"/>
        </a:xfrm>
      </xdr:grpSpPr>
      <xdr:sp macro="" textlink="">
        <xdr:nvSpPr>
          <xdr:cNvPr id="14" name="Rectangle 1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" name="Straight Connector 1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13</xdr:row>
      <xdr:rowOff>113108</xdr:rowOff>
    </xdr:from>
    <xdr:to>
      <xdr:col>14</xdr:col>
      <xdr:colOff>2323</xdr:colOff>
      <xdr:row>14</xdr:row>
      <xdr:rowOff>204438</xdr:rowOff>
    </xdr:to>
    <xdr:grpSp>
      <xdr:nvGrpSpPr>
        <xdr:cNvPr id="16" name="Group 15"/>
        <xdr:cNvGrpSpPr/>
      </xdr:nvGrpSpPr>
      <xdr:grpSpPr>
        <a:xfrm>
          <a:off x="2286000" y="2993020"/>
          <a:ext cx="385646" cy="304242"/>
          <a:chOff x="571500" y="2718109"/>
          <a:chExt cx="385646" cy="413525"/>
        </a:xfrm>
      </xdr:grpSpPr>
      <xdr:sp macro="" textlink="">
        <xdr:nvSpPr>
          <xdr:cNvPr id="17" name="Rectangle 1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" name="Straight Connector 1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13</xdr:row>
      <xdr:rowOff>113108</xdr:rowOff>
    </xdr:from>
    <xdr:to>
      <xdr:col>18</xdr:col>
      <xdr:colOff>2323</xdr:colOff>
      <xdr:row>14</xdr:row>
      <xdr:rowOff>204438</xdr:rowOff>
    </xdr:to>
    <xdr:grpSp>
      <xdr:nvGrpSpPr>
        <xdr:cNvPr id="19" name="Group 18"/>
        <xdr:cNvGrpSpPr/>
      </xdr:nvGrpSpPr>
      <xdr:grpSpPr>
        <a:xfrm>
          <a:off x="3048000" y="2993020"/>
          <a:ext cx="385646" cy="304242"/>
          <a:chOff x="571500" y="2718109"/>
          <a:chExt cx="385646" cy="413525"/>
        </a:xfrm>
      </xdr:grpSpPr>
      <xdr:sp macro="" textlink="">
        <xdr:nvSpPr>
          <xdr:cNvPr id="20" name="Rectangle 1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1" name="Straight Connector 2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13</xdr:row>
      <xdr:rowOff>113108</xdr:rowOff>
    </xdr:from>
    <xdr:to>
      <xdr:col>22</xdr:col>
      <xdr:colOff>2323</xdr:colOff>
      <xdr:row>14</xdr:row>
      <xdr:rowOff>204438</xdr:rowOff>
    </xdr:to>
    <xdr:grpSp>
      <xdr:nvGrpSpPr>
        <xdr:cNvPr id="22" name="Group 21"/>
        <xdr:cNvGrpSpPr/>
      </xdr:nvGrpSpPr>
      <xdr:grpSpPr>
        <a:xfrm>
          <a:off x="3810000" y="2993020"/>
          <a:ext cx="385646" cy="304242"/>
          <a:chOff x="571500" y="2718109"/>
          <a:chExt cx="385646" cy="413525"/>
        </a:xfrm>
      </xdr:grpSpPr>
      <xdr:sp macro="" textlink="">
        <xdr:nvSpPr>
          <xdr:cNvPr id="23" name="Rectangle 2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24" name="Straight Connector 2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10</xdr:row>
      <xdr:rowOff>5953</xdr:rowOff>
    </xdr:from>
    <xdr:to>
      <xdr:col>5</xdr:col>
      <xdr:colOff>2975</xdr:colOff>
      <xdr:row>12</xdr:row>
      <xdr:rowOff>1</xdr:rowOff>
    </xdr:to>
    <xdr:cxnSp macro="">
      <xdr:nvCxnSpPr>
        <xdr:cNvPr id="25" name="Straight Connector 24"/>
        <xdr:cNvCxnSpPr/>
      </xdr:nvCxnSpPr>
      <xdr:spPr>
        <a:xfrm flipV="1">
          <a:off x="958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10</xdr:row>
      <xdr:rowOff>5953</xdr:rowOff>
    </xdr:from>
    <xdr:to>
      <xdr:col>9</xdr:col>
      <xdr:colOff>2975</xdr:colOff>
      <xdr:row>12</xdr:row>
      <xdr:rowOff>1</xdr:rowOff>
    </xdr:to>
    <xdr:cxnSp macro="">
      <xdr:nvCxnSpPr>
        <xdr:cNvPr id="26" name="Straight Connector 25"/>
        <xdr:cNvCxnSpPr/>
      </xdr:nvCxnSpPr>
      <xdr:spPr>
        <a:xfrm flipV="1">
          <a:off x="1720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10</xdr:row>
      <xdr:rowOff>5953</xdr:rowOff>
    </xdr:from>
    <xdr:to>
      <xdr:col>13</xdr:col>
      <xdr:colOff>2974</xdr:colOff>
      <xdr:row>12</xdr:row>
      <xdr:rowOff>1</xdr:rowOff>
    </xdr:to>
    <xdr:cxnSp macro="">
      <xdr:nvCxnSpPr>
        <xdr:cNvPr id="27" name="Straight Connector 26"/>
        <xdr:cNvCxnSpPr/>
      </xdr:nvCxnSpPr>
      <xdr:spPr>
        <a:xfrm flipV="1">
          <a:off x="24824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10</xdr:row>
      <xdr:rowOff>5953</xdr:rowOff>
    </xdr:from>
    <xdr:to>
      <xdr:col>17</xdr:col>
      <xdr:colOff>2973</xdr:colOff>
      <xdr:row>12</xdr:row>
      <xdr:rowOff>1</xdr:rowOff>
    </xdr:to>
    <xdr:cxnSp macro="">
      <xdr:nvCxnSpPr>
        <xdr:cNvPr id="28" name="Straight Connector 27"/>
        <xdr:cNvCxnSpPr/>
      </xdr:nvCxnSpPr>
      <xdr:spPr>
        <a:xfrm flipV="1">
          <a:off x="3244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10</xdr:row>
      <xdr:rowOff>5953</xdr:rowOff>
    </xdr:from>
    <xdr:to>
      <xdr:col>21</xdr:col>
      <xdr:colOff>2973</xdr:colOff>
      <xdr:row>12</xdr:row>
      <xdr:rowOff>1</xdr:rowOff>
    </xdr:to>
    <xdr:cxnSp macro="">
      <xdr:nvCxnSpPr>
        <xdr:cNvPr id="29" name="Straight Connector 28"/>
        <xdr:cNvCxnSpPr/>
      </xdr:nvCxnSpPr>
      <xdr:spPr>
        <a:xfrm flipV="1">
          <a:off x="40064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209733</xdr:rowOff>
    </xdr:from>
    <xdr:to>
      <xdr:col>9</xdr:col>
      <xdr:colOff>5953</xdr:colOff>
      <xdr:row>10</xdr:row>
      <xdr:rowOff>209733</xdr:rowOff>
    </xdr:to>
    <xdr:cxnSp macro="">
      <xdr:nvCxnSpPr>
        <xdr:cNvPr id="30" name="Straight Arrow Connector 29"/>
        <xdr:cNvCxnSpPr/>
      </xdr:nvCxnSpPr>
      <xdr:spPr>
        <a:xfrm flipH="1">
          <a:off x="9525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10</xdr:row>
      <xdr:rowOff>209733</xdr:rowOff>
    </xdr:from>
    <xdr:to>
      <xdr:col>13</xdr:col>
      <xdr:colOff>8929</xdr:colOff>
      <xdr:row>10</xdr:row>
      <xdr:rowOff>209733</xdr:rowOff>
    </xdr:to>
    <xdr:cxnSp macro="">
      <xdr:nvCxnSpPr>
        <xdr:cNvPr id="31" name="Straight Arrow Connector 30"/>
        <xdr:cNvCxnSpPr/>
      </xdr:nvCxnSpPr>
      <xdr:spPr>
        <a:xfrm flipH="1">
          <a:off x="17204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10</xdr:row>
      <xdr:rowOff>209733</xdr:rowOff>
    </xdr:from>
    <xdr:to>
      <xdr:col>17</xdr:col>
      <xdr:colOff>5952</xdr:colOff>
      <xdr:row>10</xdr:row>
      <xdr:rowOff>209733</xdr:rowOff>
    </xdr:to>
    <xdr:cxnSp macro="">
      <xdr:nvCxnSpPr>
        <xdr:cNvPr id="32" name="Straight Arrow Connector 31"/>
        <xdr:cNvCxnSpPr/>
      </xdr:nvCxnSpPr>
      <xdr:spPr>
        <a:xfrm flipH="1">
          <a:off x="2476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10</xdr:row>
      <xdr:rowOff>209733</xdr:rowOff>
    </xdr:from>
    <xdr:to>
      <xdr:col>21</xdr:col>
      <xdr:colOff>5952</xdr:colOff>
      <xdr:row>10</xdr:row>
      <xdr:rowOff>209733</xdr:rowOff>
    </xdr:to>
    <xdr:cxnSp macro="">
      <xdr:nvCxnSpPr>
        <xdr:cNvPr id="33" name="Straight Arrow Connector 32"/>
        <xdr:cNvCxnSpPr/>
      </xdr:nvCxnSpPr>
      <xdr:spPr>
        <a:xfrm flipH="1">
          <a:off x="32384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10</xdr:row>
      <xdr:rowOff>25184</xdr:rowOff>
    </xdr:from>
    <xdr:to>
      <xdr:col>8</xdr:col>
      <xdr:colOff>21976</xdr:colOff>
      <xdr:row>10</xdr:row>
      <xdr:rowOff>205153</xdr:rowOff>
    </xdr:to>
    <xdr:sp macro="" textlink="">
      <xdr:nvSpPr>
        <xdr:cNvPr id="34" name="Rectangle 33"/>
        <xdr:cNvSpPr/>
      </xdr:nvSpPr>
      <xdr:spPr>
        <a:xfrm>
          <a:off x="11060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10</xdr:row>
      <xdr:rowOff>25184</xdr:rowOff>
    </xdr:from>
    <xdr:to>
      <xdr:col>12</xdr:col>
      <xdr:colOff>25639</xdr:colOff>
      <xdr:row>10</xdr:row>
      <xdr:rowOff>205153</xdr:rowOff>
    </xdr:to>
    <xdr:sp macro="" textlink="">
      <xdr:nvSpPr>
        <xdr:cNvPr id="35" name="Rectangle 34"/>
        <xdr:cNvSpPr/>
      </xdr:nvSpPr>
      <xdr:spPr>
        <a:xfrm>
          <a:off x="18753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10</xdr:row>
      <xdr:rowOff>25184</xdr:rowOff>
    </xdr:from>
    <xdr:to>
      <xdr:col>16</xdr:col>
      <xdr:colOff>29302</xdr:colOff>
      <xdr:row>10</xdr:row>
      <xdr:rowOff>205153</xdr:rowOff>
    </xdr:to>
    <xdr:sp macro="" textlink="">
      <xdr:nvSpPr>
        <xdr:cNvPr id="36" name="Rectangle 35"/>
        <xdr:cNvSpPr/>
      </xdr:nvSpPr>
      <xdr:spPr>
        <a:xfrm>
          <a:off x="26446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10</xdr:row>
      <xdr:rowOff>25184</xdr:rowOff>
    </xdr:from>
    <xdr:to>
      <xdr:col>20</xdr:col>
      <xdr:colOff>32965</xdr:colOff>
      <xdr:row>10</xdr:row>
      <xdr:rowOff>205153</xdr:rowOff>
    </xdr:to>
    <xdr:sp macro="" textlink="">
      <xdr:nvSpPr>
        <xdr:cNvPr id="37" name="Rectangle 36"/>
        <xdr:cNvSpPr/>
      </xdr:nvSpPr>
      <xdr:spPr>
        <a:xfrm>
          <a:off x="34139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10</xdr:row>
      <xdr:rowOff>25184</xdr:rowOff>
    </xdr:from>
    <xdr:to>
      <xdr:col>5</xdr:col>
      <xdr:colOff>3657</xdr:colOff>
      <xdr:row>10</xdr:row>
      <xdr:rowOff>205153</xdr:rowOff>
    </xdr:to>
    <xdr:sp macro="" textlink="">
      <xdr:nvSpPr>
        <xdr:cNvPr id="38" name="Rectangle 37"/>
        <xdr:cNvSpPr/>
      </xdr:nvSpPr>
      <xdr:spPr>
        <a:xfrm>
          <a:off x="5788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10</xdr:row>
      <xdr:rowOff>5953</xdr:rowOff>
    </xdr:from>
    <xdr:to>
      <xdr:col>3</xdr:col>
      <xdr:colOff>2975</xdr:colOff>
      <xdr:row>12</xdr:row>
      <xdr:rowOff>1</xdr:rowOff>
    </xdr:to>
    <xdr:cxnSp macro="">
      <xdr:nvCxnSpPr>
        <xdr:cNvPr id="39" name="Straight Connector 38"/>
        <xdr:cNvCxnSpPr/>
      </xdr:nvCxnSpPr>
      <xdr:spPr>
        <a:xfrm flipV="1">
          <a:off x="5774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10</xdr:row>
      <xdr:rowOff>209733</xdr:rowOff>
    </xdr:from>
    <xdr:to>
      <xdr:col>4</xdr:col>
      <xdr:colOff>84259</xdr:colOff>
      <xdr:row>10</xdr:row>
      <xdr:rowOff>209733</xdr:rowOff>
    </xdr:to>
    <xdr:cxnSp macro="">
      <xdr:nvCxnSpPr>
        <xdr:cNvPr id="40" name="Straight Arrow Connector 39"/>
        <xdr:cNvCxnSpPr/>
      </xdr:nvCxnSpPr>
      <xdr:spPr>
        <a:xfrm flipH="1">
          <a:off x="5934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15</xdr:row>
      <xdr:rowOff>20052</xdr:rowOff>
    </xdr:from>
    <xdr:to>
      <xdr:col>1</xdr:col>
      <xdr:colOff>92796</xdr:colOff>
      <xdr:row>16</xdr:row>
      <xdr:rowOff>188808</xdr:rowOff>
    </xdr:to>
    <xdr:sp macro="" textlink="">
      <xdr:nvSpPr>
        <xdr:cNvPr id="41" name="Rectangle 40"/>
        <xdr:cNvSpPr/>
      </xdr:nvSpPr>
      <xdr:spPr>
        <a:xfrm rot="16200000">
          <a:off x="969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17</xdr:row>
      <xdr:rowOff>185488</xdr:rowOff>
    </xdr:from>
    <xdr:to>
      <xdr:col>1</xdr:col>
      <xdr:colOff>92796</xdr:colOff>
      <xdr:row>20</xdr:row>
      <xdr:rowOff>20053</xdr:rowOff>
    </xdr:to>
    <xdr:sp macro="" textlink="">
      <xdr:nvSpPr>
        <xdr:cNvPr id="42" name="Rectangle 41"/>
        <xdr:cNvSpPr/>
      </xdr:nvSpPr>
      <xdr:spPr>
        <a:xfrm rot="16200000">
          <a:off x="544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21</xdr:row>
      <xdr:rowOff>190503</xdr:rowOff>
    </xdr:from>
    <xdr:to>
      <xdr:col>1</xdr:col>
      <xdr:colOff>92796</xdr:colOff>
      <xdr:row>24</xdr:row>
      <xdr:rowOff>25068</xdr:rowOff>
    </xdr:to>
    <xdr:sp macro="" textlink="">
      <xdr:nvSpPr>
        <xdr:cNvPr id="43" name="Rectangle 42"/>
        <xdr:cNvSpPr/>
      </xdr:nvSpPr>
      <xdr:spPr>
        <a:xfrm rot="16200000">
          <a:off x="544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17</xdr:row>
      <xdr:rowOff>0</xdr:rowOff>
    </xdr:from>
    <xdr:to>
      <xdr:col>28</xdr:col>
      <xdr:colOff>0</xdr:colOff>
      <xdr:row>17</xdr:row>
      <xdr:rowOff>0</xdr:rowOff>
    </xdr:to>
    <xdr:cxnSp macro="">
      <xdr:nvCxnSpPr>
        <xdr:cNvPr id="44" name="Straight Connector 43"/>
        <xdr:cNvCxnSpPr/>
      </xdr:nvCxnSpPr>
      <xdr:spPr>
        <a:xfrm flipH="1">
          <a:off x="5056414" y="367665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20</xdr:row>
      <xdr:rowOff>212270</xdr:rowOff>
    </xdr:from>
    <xdr:to>
      <xdr:col>28</xdr:col>
      <xdr:colOff>0</xdr:colOff>
      <xdr:row>20</xdr:row>
      <xdr:rowOff>212270</xdr:rowOff>
    </xdr:to>
    <xdr:cxnSp macro="">
      <xdr:nvCxnSpPr>
        <xdr:cNvPr id="45" name="Straight Connector 44"/>
        <xdr:cNvCxnSpPr/>
      </xdr:nvCxnSpPr>
      <xdr:spPr>
        <a:xfrm flipH="1">
          <a:off x="5056414" y="45175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25</xdr:row>
      <xdr:rowOff>5441</xdr:rowOff>
    </xdr:from>
    <xdr:to>
      <xdr:col>28</xdr:col>
      <xdr:colOff>0</xdr:colOff>
      <xdr:row>25</xdr:row>
      <xdr:rowOff>5441</xdr:rowOff>
    </xdr:to>
    <xdr:cxnSp macro="">
      <xdr:nvCxnSpPr>
        <xdr:cNvPr id="46" name="Straight Connector 45"/>
        <xdr:cNvCxnSpPr/>
      </xdr:nvCxnSpPr>
      <xdr:spPr>
        <a:xfrm flipH="1">
          <a:off x="5056414" y="5358491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17</xdr:row>
      <xdr:rowOff>10886</xdr:rowOff>
    </xdr:from>
    <xdr:to>
      <xdr:col>26</xdr:col>
      <xdr:colOff>95247</xdr:colOff>
      <xdr:row>21</xdr:row>
      <xdr:rowOff>0</xdr:rowOff>
    </xdr:to>
    <xdr:cxnSp macro="">
      <xdr:nvCxnSpPr>
        <xdr:cNvPr id="47" name="Straight Arrow Connector 46"/>
        <xdr:cNvCxnSpPr/>
      </xdr:nvCxnSpPr>
      <xdr:spPr>
        <a:xfrm>
          <a:off x="5143494" y="3687536"/>
          <a:ext cx="0" cy="827314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21</xdr:row>
      <xdr:rowOff>5443</xdr:rowOff>
    </xdr:from>
    <xdr:to>
      <xdr:col>26</xdr:col>
      <xdr:colOff>95249</xdr:colOff>
      <xdr:row>24</xdr:row>
      <xdr:rowOff>206829</xdr:rowOff>
    </xdr:to>
    <xdr:cxnSp macro="">
      <xdr:nvCxnSpPr>
        <xdr:cNvPr id="48" name="Straight Arrow Connector 47"/>
        <xdr:cNvCxnSpPr/>
      </xdr:nvCxnSpPr>
      <xdr:spPr>
        <a:xfrm>
          <a:off x="5143498" y="4520293"/>
          <a:ext cx="0" cy="83003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15</xdr:row>
      <xdr:rowOff>5443</xdr:rowOff>
    </xdr:from>
    <xdr:to>
      <xdr:col>28</xdr:col>
      <xdr:colOff>0</xdr:colOff>
      <xdr:row>15</xdr:row>
      <xdr:rowOff>5443</xdr:rowOff>
    </xdr:to>
    <xdr:cxnSp macro="">
      <xdr:nvCxnSpPr>
        <xdr:cNvPr id="49" name="Straight Connector 48"/>
        <xdr:cNvCxnSpPr/>
      </xdr:nvCxnSpPr>
      <xdr:spPr>
        <a:xfrm flipH="1">
          <a:off x="5056414" y="3262993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15</xdr:row>
      <xdr:rowOff>16329</xdr:rowOff>
    </xdr:from>
    <xdr:to>
      <xdr:col>26</xdr:col>
      <xdr:colOff>95249</xdr:colOff>
      <xdr:row>17</xdr:row>
      <xdr:rowOff>0</xdr:rowOff>
    </xdr:to>
    <xdr:cxnSp macro="">
      <xdr:nvCxnSpPr>
        <xdr:cNvPr id="50" name="Straight Arrow Connector 49"/>
        <xdr:cNvCxnSpPr/>
      </xdr:nvCxnSpPr>
      <xdr:spPr>
        <a:xfrm>
          <a:off x="5143498" y="3273879"/>
          <a:ext cx="0" cy="402771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13</xdr:row>
      <xdr:rowOff>113108</xdr:rowOff>
    </xdr:from>
    <xdr:to>
      <xdr:col>31</xdr:col>
      <xdr:colOff>2323</xdr:colOff>
      <xdr:row>14</xdr:row>
      <xdr:rowOff>204438</xdr:rowOff>
    </xdr:to>
    <xdr:grpSp>
      <xdr:nvGrpSpPr>
        <xdr:cNvPr id="51" name="Group 50"/>
        <xdr:cNvGrpSpPr/>
      </xdr:nvGrpSpPr>
      <xdr:grpSpPr>
        <a:xfrm>
          <a:off x="5524500" y="2993020"/>
          <a:ext cx="385646" cy="304242"/>
          <a:chOff x="571500" y="2718109"/>
          <a:chExt cx="385646" cy="413525"/>
        </a:xfrm>
      </xdr:grpSpPr>
      <xdr:sp macro="" textlink="">
        <xdr:nvSpPr>
          <xdr:cNvPr id="52" name="Rectangle 51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3" name="Straight Connector 52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13</xdr:row>
      <xdr:rowOff>113108</xdr:rowOff>
    </xdr:from>
    <xdr:to>
      <xdr:col>35</xdr:col>
      <xdr:colOff>2323</xdr:colOff>
      <xdr:row>14</xdr:row>
      <xdr:rowOff>204438</xdr:rowOff>
    </xdr:to>
    <xdr:grpSp>
      <xdr:nvGrpSpPr>
        <xdr:cNvPr id="54" name="Group 53"/>
        <xdr:cNvGrpSpPr/>
      </xdr:nvGrpSpPr>
      <xdr:grpSpPr>
        <a:xfrm>
          <a:off x="6286500" y="2993020"/>
          <a:ext cx="385646" cy="304242"/>
          <a:chOff x="571500" y="2718109"/>
          <a:chExt cx="385646" cy="413525"/>
        </a:xfrm>
      </xdr:grpSpPr>
      <xdr:sp macro="" textlink="">
        <xdr:nvSpPr>
          <xdr:cNvPr id="55" name="Rectangle 54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6" name="Straight Connector 55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13</xdr:row>
      <xdr:rowOff>113108</xdr:rowOff>
    </xdr:from>
    <xdr:to>
      <xdr:col>39</xdr:col>
      <xdr:colOff>2323</xdr:colOff>
      <xdr:row>14</xdr:row>
      <xdr:rowOff>204438</xdr:rowOff>
    </xdr:to>
    <xdr:grpSp>
      <xdr:nvGrpSpPr>
        <xdr:cNvPr id="57" name="Group 56"/>
        <xdr:cNvGrpSpPr/>
      </xdr:nvGrpSpPr>
      <xdr:grpSpPr>
        <a:xfrm>
          <a:off x="7048500" y="2993020"/>
          <a:ext cx="385646" cy="304242"/>
          <a:chOff x="571500" y="2718109"/>
          <a:chExt cx="385646" cy="413525"/>
        </a:xfrm>
      </xdr:grpSpPr>
      <xdr:sp macro="" textlink="">
        <xdr:nvSpPr>
          <xdr:cNvPr id="58" name="Rectangle 5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9" name="Straight Connector 5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13</xdr:row>
      <xdr:rowOff>113108</xdr:rowOff>
    </xdr:from>
    <xdr:to>
      <xdr:col>43</xdr:col>
      <xdr:colOff>2323</xdr:colOff>
      <xdr:row>14</xdr:row>
      <xdr:rowOff>204438</xdr:rowOff>
    </xdr:to>
    <xdr:grpSp>
      <xdr:nvGrpSpPr>
        <xdr:cNvPr id="60" name="Group 59"/>
        <xdr:cNvGrpSpPr/>
      </xdr:nvGrpSpPr>
      <xdr:grpSpPr>
        <a:xfrm>
          <a:off x="7810500" y="2993020"/>
          <a:ext cx="385646" cy="304242"/>
          <a:chOff x="571500" y="2718109"/>
          <a:chExt cx="385646" cy="413525"/>
        </a:xfrm>
      </xdr:grpSpPr>
      <xdr:sp macro="" textlink="">
        <xdr:nvSpPr>
          <xdr:cNvPr id="61" name="Rectangle 6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2" name="Straight Connector 6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13</xdr:row>
      <xdr:rowOff>113108</xdr:rowOff>
    </xdr:from>
    <xdr:to>
      <xdr:col>47</xdr:col>
      <xdr:colOff>2323</xdr:colOff>
      <xdr:row>14</xdr:row>
      <xdr:rowOff>204438</xdr:rowOff>
    </xdr:to>
    <xdr:grpSp>
      <xdr:nvGrpSpPr>
        <xdr:cNvPr id="63" name="Group 62"/>
        <xdr:cNvGrpSpPr/>
      </xdr:nvGrpSpPr>
      <xdr:grpSpPr>
        <a:xfrm>
          <a:off x="8572500" y="2993020"/>
          <a:ext cx="385646" cy="304242"/>
          <a:chOff x="571500" y="2718109"/>
          <a:chExt cx="385646" cy="413525"/>
        </a:xfrm>
      </xdr:grpSpPr>
      <xdr:sp macro="" textlink="">
        <xdr:nvSpPr>
          <xdr:cNvPr id="64" name="Rectangle 6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5" name="Straight Connector 6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10</xdr:row>
      <xdr:rowOff>5953</xdr:rowOff>
    </xdr:from>
    <xdr:to>
      <xdr:col>30</xdr:col>
      <xdr:colOff>2975</xdr:colOff>
      <xdr:row>12</xdr:row>
      <xdr:rowOff>1</xdr:rowOff>
    </xdr:to>
    <xdr:cxnSp macro="">
      <xdr:nvCxnSpPr>
        <xdr:cNvPr id="66" name="Straight Connector 65"/>
        <xdr:cNvCxnSpPr/>
      </xdr:nvCxnSpPr>
      <xdr:spPr>
        <a:xfrm flipV="1">
          <a:off x="5720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10</xdr:row>
      <xdr:rowOff>5953</xdr:rowOff>
    </xdr:from>
    <xdr:to>
      <xdr:col>34</xdr:col>
      <xdr:colOff>2975</xdr:colOff>
      <xdr:row>12</xdr:row>
      <xdr:rowOff>1</xdr:rowOff>
    </xdr:to>
    <xdr:cxnSp macro="">
      <xdr:nvCxnSpPr>
        <xdr:cNvPr id="67" name="Straight Connector 66"/>
        <xdr:cNvCxnSpPr/>
      </xdr:nvCxnSpPr>
      <xdr:spPr>
        <a:xfrm flipV="1">
          <a:off x="6482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10</xdr:row>
      <xdr:rowOff>5953</xdr:rowOff>
    </xdr:from>
    <xdr:to>
      <xdr:col>38</xdr:col>
      <xdr:colOff>2974</xdr:colOff>
      <xdr:row>12</xdr:row>
      <xdr:rowOff>1</xdr:rowOff>
    </xdr:to>
    <xdr:cxnSp macro="">
      <xdr:nvCxnSpPr>
        <xdr:cNvPr id="68" name="Straight Connector 67"/>
        <xdr:cNvCxnSpPr/>
      </xdr:nvCxnSpPr>
      <xdr:spPr>
        <a:xfrm flipV="1">
          <a:off x="7244948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10</xdr:row>
      <xdr:rowOff>5953</xdr:rowOff>
    </xdr:from>
    <xdr:to>
      <xdr:col>42</xdr:col>
      <xdr:colOff>2973</xdr:colOff>
      <xdr:row>12</xdr:row>
      <xdr:rowOff>1</xdr:rowOff>
    </xdr:to>
    <xdr:cxnSp macro="">
      <xdr:nvCxnSpPr>
        <xdr:cNvPr id="69" name="Straight Connector 68"/>
        <xdr:cNvCxnSpPr/>
      </xdr:nvCxnSpPr>
      <xdr:spPr>
        <a:xfrm flipV="1">
          <a:off x="8006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10</xdr:row>
      <xdr:rowOff>5953</xdr:rowOff>
    </xdr:from>
    <xdr:to>
      <xdr:col>46</xdr:col>
      <xdr:colOff>2973</xdr:colOff>
      <xdr:row>12</xdr:row>
      <xdr:rowOff>1</xdr:rowOff>
    </xdr:to>
    <xdr:cxnSp macro="">
      <xdr:nvCxnSpPr>
        <xdr:cNvPr id="70" name="Straight Connector 69"/>
        <xdr:cNvCxnSpPr/>
      </xdr:nvCxnSpPr>
      <xdr:spPr>
        <a:xfrm flipV="1">
          <a:off x="8768946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10</xdr:row>
      <xdr:rowOff>209733</xdr:rowOff>
    </xdr:from>
    <xdr:to>
      <xdr:col>34</xdr:col>
      <xdr:colOff>5953</xdr:colOff>
      <xdr:row>10</xdr:row>
      <xdr:rowOff>209733</xdr:rowOff>
    </xdr:to>
    <xdr:cxnSp macro="">
      <xdr:nvCxnSpPr>
        <xdr:cNvPr id="71" name="Straight Arrow Connector 70"/>
        <xdr:cNvCxnSpPr/>
      </xdr:nvCxnSpPr>
      <xdr:spPr>
        <a:xfrm flipH="1">
          <a:off x="5715000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10</xdr:row>
      <xdr:rowOff>209733</xdr:rowOff>
    </xdr:from>
    <xdr:to>
      <xdr:col>38</xdr:col>
      <xdr:colOff>8929</xdr:colOff>
      <xdr:row>10</xdr:row>
      <xdr:rowOff>209733</xdr:rowOff>
    </xdr:to>
    <xdr:cxnSp macro="">
      <xdr:nvCxnSpPr>
        <xdr:cNvPr id="72" name="Straight Arrow Connector 71"/>
        <xdr:cNvCxnSpPr/>
      </xdr:nvCxnSpPr>
      <xdr:spPr>
        <a:xfrm flipH="1">
          <a:off x="6482952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10</xdr:row>
      <xdr:rowOff>209733</xdr:rowOff>
    </xdr:from>
    <xdr:to>
      <xdr:col>42</xdr:col>
      <xdr:colOff>5952</xdr:colOff>
      <xdr:row>10</xdr:row>
      <xdr:rowOff>209733</xdr:rowOff>
    </xdr:to>
    <xdr:cxnSp macro="">
      <xdr:nvCxnSpPr>
        <xdr:cNvPr id="73" name="Straight Arrow Connector 72"/>
        <xdr:cNvCxnSpPr/>
      </xdr:nvCxnSpPr>
      <xdr:spPr>
        <a:xfrm flipH="1">
          <a:off x="7238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10</xdr:row>
      <xdr:rowOff>209733</xdr:rowOff>
    </xdr:from>
    <xdr:to>
      <xdr:col>46</xdr:col>
      <xdr:colOff>5952</xdr:colOff>
      <xdr:row>10</xdr:row>
      <xdr:rowOff>209733</xdr:rowOff>
    </xdr:to>
    <xdr:cxnSp macro="">
      <xdr:nvCxnSpPr>
        <xdr:cNvPr id="74" name="Straight Arrow Connector 73"/>
        <xdr:cNvCxnSpPr/>
      </xdr:nvCxnSpPr>
      <xdr:spPr>
        <a:xfrm flipH="1">
          <a:off x="8000998" y="2419533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10</xdr:row>
      <xdr:rowOff>25184</xdr:rowOff>
    </xdr:from>
    <xdr:to>
      <xdr:col>33</xdr:col>
      <xdr:colOff>21976</xdr:colOff>
      <xdr:row>10</xdr:row>
      <xdr:rowOff>205153</xdr:rowOff>
    </xdr:to>
    <xdr:sp macro="" textlink="">
      <xdr:nvSpPr>
        <xdr:cNvPr id="75" name="Rectangle 74"/>
        <xdr:cNvSpPr/>
      </xdr:nvSpPr>
      <xdr:spPr>
        <a:xfrm>
          <a:off x="5868500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10</xdr:row>
      <xdr:rowOff>25184</xdr:rowOff>
    </xdr:from>
    <xdr:to>
      <xdr:col>37</xdr:col>
      <xdr:colOff>25639</xdr:colOff>
      <xdr:row>10</xdr:row>
      <xdr:rowOff>205153</xdr:rowOff>
    </xdr:to>
    <xdr:sp macro="" textlink="">
      <xdr:nvSpPr>
        <xdr:cNvPr id="76" name="Rectangle 75"/>
        <xdr:cNvSpPr/>
      </xdr:nvSpPr>
      <xdr:spPr>
        <a:xfrm>
          <a:off x="6637826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10</xdr:row>
      <xdr:rowOff>25184</xdr:rowOff>
    </xdr:from>
    <xdr:to>
      <xdr:col>41</xdr:col>
      <xdr:colOff>29302</xdr:colOff>
      <xdr:row>10</xdr:row>
      <xdr:rowOff>205153</xdr:rowOff>
    </xdr:to>
    <xdr:sp macro="" textlink="">
      <xdr:nvSpPr>
        <xdr:cNvPr id="77" name="Rectangle 76"/>
        <xdr:cNvSpPr/>
      </xdr:nvSpPr>
      <xdr:spPr>
        <a:xfrm>
          <a:off x="7407152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10</xdr:row>
      <xdr:rowOff>25184</xdr:rowOff>
    </xdr:from>
    <xdr:to>
      <xdr:col>45</xdr:col>
      <xdr:colOff>32965</xdr:colOff>
      <xdr:row>10</xdr:row>
      <xdr:rowOff>205153</xdr:rowOff>
    </xdr:to>
    <xdr:sp macro="" textlink="">
      <xdr:nvSpPr>
        <xdr:cNvPr id="78" name="Rectangle 77"/>
        <xdr:cNvSpPr/>
      </xdr:nvSpPr>
      <xdr:spPr>
        <a:xfrm>
          <a:off x="8176478" y="2234984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10</xdr:row>
      <xdr:rowOff>25184</xdr:rowOff>
    </xdr:from>
    <xdr:to>
      <xdr:col>30</xdr:col>
      <xdr:colOff>3657</xdr:colOff>
      <xdr:row>10</xdr:row>
      <xdr:rowOff>205153</xdr:rowOff>
    </xdr:to>
    <xdr:sp macro="" textlink="">
      <xdr:nvSpPr>
        <xdr:cNvPr id="79" name="Rectangle 78"/>
        <xdr:cNvSpPr/>
      </xdr:nvSpPr>
      <xdr:spPr>
        <a:xfrm>
          <a:off x="5341326" y="2234984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10</xdr:row>
      <xdr:rowOff>5953</xdr:rowOff>
    </xdr:from>
    <xdr:to>
      <xdr:col>28</xdr:col>
      <xdr:colOff>2975</xdr:colOff>
      <xdr:row>12</xdr:row>
      <xdr:rowOff>1</xdr:rowOff>
    </xdr:to>
    <xdr:cxnSp macro="">
      <xdr:nvCxnSpPr>
        <xdr:cNvPr id="80" name="Straight Connector 79"/>
        <xdr:cNvCxnSpPr/>
      </xdr:nvCxnSpPr>
      <xdr:spPr>
        <a:xfrm flipV="1">
          <a:off x="5339950" y="2215753"/>
          <a:ext cx="0" cy="41314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10</xdr:row>
      <xdr:rowOff>209733</xdr:rowOff>
    </xdr:from>
    <xdr:to>
      <xdr:col>29</xdr:col>
      <xdr:colOff>84259</xdr:colOff>
      <xdr:row>10</xdr:row>
      <xdr:rowOff>209733</xdr:rowOff>
    </xdr:to>
    <xdr:cxnSp macro="">
      <xdr:nvCxnSpPr>
        <xdr:cNvPr id="81" name="Straight Arrow Connector 80"/>
        <xdr:cNvCxnSpPr/>
      </xdr:nvCxnSpPr>
      <xdr:spPr>
        <a:xfrm flipH="1">
          <a:off x="5355980" y="2419533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15</xdr:row>
      <xdr:rowOff>20052</xdr:rowOff>
    </xdr:from>
    <xdr:to>
      <xdr:col>26</xdr:col>
      <xdr:colOff>92796</xdr:colOff>
      <xdr:row>16</xdr:row>
      <xdr:rowOff>188808</xdr:rowOff>
    </xdr:to>
    <xdr:sp macro="" textlink="">
      <xdr:nvSpPr>
        <xdr:cNvPr id="82" name="Rectangle 81"/>
        <xdr:cNvSpPr/>
      </xdr:nvSpPr>
      <xdr:spPr>
        <a:xfrm rot="16200000">
          <a:off x="4859454" y="3376770"/>
          <a:ext cx="37830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17</xdr:row>
      <xdr:rowOff>185488</xdr:rowOff>
    </xdr:from>
    <xdr:to>
      <xdr:col>26</xdr:col>
      <xdr:colOff>92796</xdr:colOff>
      <xdr:row>20</xdr:row>
      <xdr:rowOff>20053</xdr:rowOff>
    </xdr:to>
    <xdr:sp macro="" textlink="">
      <xdr:nvSpPr>
        <xdr:cNvPr id="83" name="Rectangle 82"/>
        <xdr:cNvSpPr/>
      </xdr:nvSpPr>
      <xdr:spPr>
        <a:xfrm rot="16200000">
          <a:off x="4816999" y="4003761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21</xdr:row>
      <xdr:rowOff>190503</xdr:rowOff>
    </xdr:from>
    <xdr:to>
      <xdr:col>26</xdr:col>
      <xdr:colOff>92796</xdr:colOff>
      <xdr:row>24</xdr:row>
      <xdr:rowOff>25068</xdr:rowOff>
    </xdr:to>
    <xdr:sp macro="" textlink="">
      <xdr:nvSpPr>
        <xdr:cNvPr id="84" name="Rectangle 83"/>
        <xdr:cNvSpPr/>
      </xdr:nvSpPr>
      <xdr:spPr>
        <a:xfrm rot="16200000">
          <a:off x="4816999" y="4846976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12</xdr:row>
      <xdr:rowOff>110909</xdr:rowOff>
    </xdr:from>
    <xdr:to>
      <xdr:col>31</xdr:col>
      <xdr:colOff>26736</xdr:colOff>
      <xdr:row>13</xdr:row>
      <xdr:rowOff>81328</xdr:rowOff>
    </xdr:to>
    <xdr:sp macro="" textlink="">
      <xdr:nvSpPr>
        <xdr:cNvPr id="85" name="Rectangle 84"/>
        <xdr:cNvSpPr/>
      </xdr:nvSpPr>
      <xdr:spPr>
        <a:xfrm>
          <a:off x="549702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12</xdr:row>
      <xdr:rowOff>110909</xdr:rowOff>
    </xdr:from>
    <xdr:to>
      <xdr:col>35</xdr:col>
      <xdr:colOff>21971</xdr:colOff>
      <xdr:row>13</xdr:row>
      <xdr:rowOff>81328</xdr:rowOff>
    </xdr:to>
    <xdr:sp macro="" textlink="">
      <xdr:nvSpPr>
        <xdr:cNvPr id="86" name="Rectangle 85"/>
        <xdr:cNvSpPr/>
      </xdr:nvSpPr>
      <xdr:spPr>
        <a:xfrm>
          <a:off x="6249490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12</xdr:row>
      <xdr:rowOff>110909</xdr:rowOff>
    </xdr:from>
    <xdr:to>
      <xdr:col>39</xdr:col>
      <xdr:colOff>17208</xdr:colOff>
      <xdr:row>13</xdr:row>
      <xdr:rowOff>81328</xdr:rowOff>
    </xdr:to>
    <xdr:sp macro="" textlink="">
      <xdr:nvSpPr>
        <xdr:cNvPr id="87" name="Rectangle 86"/>
        <xdr:cNvSpPr/>
      </xdr:nvSpPr>
      <xdr:spPr>
        <a:xfrm>
          <a:off x="700196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12</xdr:row>
      <xdr:rowOff>110909</xdr:rowOff>
    </xdr:from>
    <xdr:to>
      <xdr:col>43</xdr:col>
      <xdr:colOff>21970</xdr:colOff>
      <xdr:row>13</xdr:row>
      <xdr:rowOff>81328</xdr:rowOff>
    </xdr:to>
    <xdr:sp macro="" textlink="">
      <xdr:nvSpPr>
        <xdr:cNvPr id="88" name="Rectangle 87"/>
        <xdr:cNvSpPr/>
      </xdr:nvSpPr>
      <xdr:spPr>
        <a:xfrm>
          <a:off x="7773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12</xdr:row>
      <xdr:rowOff>110909</xdr:rowOff>
    </xdr:from>
    <xdr:to>
      <xdr:col>47</xdr:col>
      <xdr:colOff>21970</xdr:colOff>
      <xdr:row>13</xdr:row>
      <xdr:rowOff>81328</xdr:rowOff>
    </xdr:to>
    <xdr:sp macro="" textlink="">
      <xdr:nvSpPr>
        <xdr:cNvPr id="89" name="Rectangle 88"/>
        <xdr:cNvSpPr/>
      </xdr:nvSpPr>
      <xdr:spPr>
        <a:xfrm>
          <a:off x="853548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12</xdr:row>
      <xdr:rowOff>110909</xdr:rowOff>
    </xdr:from>
    <xdr:to>
      <xdr:col>6</xdr:col>
      <xdr:colOff>26733</xdr:colOff>
      <xdr:row>13</xdr:row>
      <xdr:rowOff>81328</xdr:rowOff>
    </xdr:to>
    <xdr:sp macro="" textlink="">
      <xdr:nvSpPr>
        <xdr:cNvPr id="90" name="Rectangle 89"/>
        <xdr:cNvSpPr/>
      </xdr:nvSpPr>
      <xdr:spPr>
        <a:xfrm>
          <a:off x="73451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12</xdr:row>
      <xdr:rowOff>110909</xdr:rowOff>
    </xdr:from>
    <xdr:to>
      <xdr:col>10</xdr:col>
      <xdr:colOff>21968</xdr:colOff>
      <xdr:row>13</xdr:row>
      <xdr:rowOff>81328</xdr:rowOff>
    </xdr:to>
    <xdr:sp macro="" textlink="">
      <xdr:nvSpPr>
        <xdr:cNvPr id="91" name="Rectangle 90"/>
        <xdr:cNvSpPr/>
      </xdr:nvSpPr>
      <xdr:spPr>
        <a:xfrm>
          <a:off x="1486984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12</xdr:row>
      <xdr:rowOff>110909</xdr:rowOff>
    </xdr:from>
    <xdr:to>
      <xdr:col>14</xdr:col>
      <xdr:colOff>17205</xdr:colOff>
      <xdr:row>13</xdr:row>
      <xdr:rowOff>81328</xdr:rowOff>
    </xdr:to>
    <xdr:sp macro="" textlink="">
      <xdr:nvSpPr>
        <xdr:cNvPr id="92" name="Rectangle 91"/>
        <xdr:cNvSpPr/>
      </xdr:nvSpPr>
      <xdr:spPr>
        <a:xfrm>
          <a:off x="2239458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12</xdr:row>
      <xdr:rowOff>110909</xdr:rowOff>
    </xdr:from>
    <xdr:to>
      <xdr:col>18</xdr:col>
      <xdr:colOff>21967</xdr:colOff>
      <xdr:row>13</xdr:row>
      <xdr:rowOff>81328</xdr:rowOff>
    </xdr:to>
    <xdr:sp macro="" textlink="">
      <xdr:nvSpPr>
        <xdr:cNvPr id="93" name="Rectangle 92"/>
        <xdr:cNvSpPr/>
      </xdr:nvSpPr>
      <xdr:spPr>
        <a:xfrm>
          <a:off x="3010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12</xdr:row>
      <xdr:rowOff>110909</xdr:rowOff>
    </xdr:from>
    <xdr:to>
      <xdr:col>22</xdr:col>
      <xdr:colOff>21967</xdr:colOff>
      <xdr:row>13</xdr:row>
      <xdr:rowOff>81328</xdr:rowOff>
    </xdr:to>
    <xdr:sp macro="" textlink="">
      <xdr:nvSpPr>
        <xdr:cNvPr id="94" name="Rectangle 93"/>
        <xdr:cNvSpPr/>
      </xdr:nvSpPr>
      <xdr:spPr>
        <a:xfrm>
          <a:off x="3772982" y="2739809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26</xdr:row>
      <xdr:rowOff>201089</xdr:rowOff>
    </xdr:from>
    <xdr:to>
      <xdr:col>23</xdr:col>
      <xdr:colOff>654</xdr:colOff>
      <xdr:row>28</xdr:row>
      <xdr:rowOff>195136</xdr:rowOff>
    </xdr:to>
    <xdr:cxnSp macro="">
      <xdr:nvCxnSpPr>
        <xdr:cNvPr id="97" name="Straight Connector 96"/>
        <xdr:cNvCxnSpPr/>
      </xdr:nvCxnSpPr>
      <xdr:spPr>
        <a:xfrm flipV="1">
          <a:off x="43828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27</xdr:row>
      <xdr:rowOff>191957</xdr:rowOff>
    </xdr:from>
    <xdr:to>
      <xdr:col>23</xdr:col>
      <xdr:colOff>3633</xdr:colOff>
      <xdr:row>27</xdr:row>
      <xdr:rowOff>191957</xdr:rowOff>
    </xdr:to>
    <xdr:cxnSp macro="">
      <xdr:nvCxnSpPr>
        <xdr:cNvPr id="98" name="Straight Arrow Connector 97"/>
        <xdr:cNvCxnSpPr/>
      </xdr:nvCxnSpPr>
      <xdr:spPr>
        <a:xfrm flipH="1">
          <a:off x="5780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26</xdr:row>
      <xdr:rowOff>201089</xdr:rowOff>
    </xdr:from>
    <xdr:to>
      <xdr:col>3</xdr:col>
      <xdr:colOff>653</xdr:colOff>
      <xdr:row>28</xdr:row>
      <xdr:rowOff>195136</xdr:rowOff>
    </xdr:to>
    <xdr:cxnSp macro="">
      <xdr:nvCxnSpPr>
        <xdr:cNvPr id="99" name="Straight Connector 98"/>
        <xdr:cNvCxnSpPr/>
      </xdr:nvCxnSpPr>
      <xdr:spPr>
        <a:xfrm flipV="1">
          <a:off x="5728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27</xdr:row>
      <xdr:rowOff>198937</xdr:rowOff>
    </xdr:from>
    <xdr:to>
      <xdr:col>14</xdr:col>
      <xdr:colOff>21975</xdr:colOff>
      <xdr:row>28</xdr:row>
      <xdr:rowOff>174800</xdr:rowOff>
    </xdr:to>
    <xdr:sp macro="" textlink="">
      <xdr:nvSpPr>
        <xdr:cNvPr id="100" name="Rectangle 99"/>
        <xdr:cNvSpPr/>
      </xdr:nvSpPr>
      <xdr:spPr>
        <a:xfrm>
          <a:off x="22489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26</xdr:row>
      <xdr:rowOff>201089</xdr:rowOff>
    </xdr:from>
    <xdr:to>
      <xdr:col>48</xdr:col>
      <xdr:colOff>654</xdr:colOff>
      <xdr:row>28</xdr:row>
      <xdr:rowOff>195136</xdr:rowOff>
    </xdr:to>
    <xdr:cxnSp macro="">
      <xdr:nvCxnSpPr>
        <xdr:cNvPr id="101" name="Straight Connector 100"/>
        <xdr:cNvCxnSpPr/>
      </xdr:nvCxnSpPr>
      <xdr:spPr>
        <a:xfrm flipV="1">
          <a:off x="9145308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27</xdr:row>
      <xdr:rowOff>191957</xdr:rowOff>
    </xdr:from>
    <xdr:to>
      <xdr:col>48</xdr:col>
      <xdr:colOff>3633</xdr:colOff>
      <xdr:row>27</xdr:row>
      <xdr:rowOff>191957</xdr:rowOff>
    </xdr:to>
    <xdr:cxnSp macro="">
      <xdr:nvCxnSpPr>
        <xdr:cNvPr id="102" name="Straight Arrow Connector 101"/>
        <xdr:cNvCxnSpPr/>
      </xdr:nvCxnSpPr>
      <xdr:spPr>
        <a:xfrm flipH="1">
          <a:off x="5340568" y="5964107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26</xdr:row>
      <xdr:rowOff>201089</xdr:rowOff>
    </xdr:from>
    <xdr:to>
      <xdr:col>28</xdr:col>
      <xdr:colOff>653</xdr:colOff>
      <xdr:row>28</xdr:row>
      <xdr:rowOff>195136</xdr:rowOff>
    </xdr:to>
    <xdr:cxnSp macro="">
      <xdr:nvCxnSpPr>
        <xdr:cNvPr id="103" name="Straight Connector 102"/>
        <xdr:cNvCxnSpPr/>
      </xdr:nvCxnSpPr>
      <xdr:spPr>
        <a:xfrm flipV="1">
          <a:off x="5335306" y="5763689"/>
          <a:ext cx="0" cy="413147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27</xdr:row>
      <xdr:rowOff>198937</xdr:rowOff>
    </xdr:from>
    <xdr:to>
      <xdr:col>39</xdr:col>
      <xdr:colOff>21975</xdr:colOff>
      <xdr:row>28</xdr:row>
      <xdr:rowOff>174800</xdr:rowOff>
    </xdr:to>
    <xdr:sp macro="" textlink="">
      <xdr:nvSpPr>
        <xdr:cNvPr id="104" name="Rectangle 103"/>
        <xdr:cNvSpPr/>
      </xdr:nvSpPr>
      <xdr:spPr>
        <a:xfrm>
          <a:off x="7011498" y="5971087"/>
          <a:ext cx="461952" cy="1854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27</xdr:row>
      <xdr:rowOff>2720</xdr:rowOff>
    </xdr:from>
    <xdr:to>
      <xdr:col>24</xdr:col>
      <xdr:colOff>47625</xdr:colOff>
      <xdr:row>27</xdr:row>
      <xdr:rowOff>2720</xdr:rowOff>
    </xdr:to>
    <xdr:cxnSp macro="">
      <xdr:nvCxnSpPr>
        <xdr:cNvPr id="105" name="Straight Connector 104"/>
        <xdr:cNvCxnSpPr/>
      </xdr:nvCxnSpPr>
      <xdr:spPr>
        <a:xfrm flipH="1">
          <a:off x="43896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15</xdr:row>
      <xdr:rowOff>10886</xdr:rowOff>
    </xdr:from>
    <xdr:to>
      <xdr:col>23</xdr:col>
      <xdr:colOff>95247</xdr:colOff>
      <xdr:row>27</xdr:row>
      <xdr:rowOff>9525</xdr:rowOff>
    </xdr:to>
    <xdr:cxnSp macro="">
      <xdr:nvCxnSpPr>
        <xdr:cNvPr id="106" name="Straight Arrow Connector 105"/>
        <xdr:cNvCxnSpPr/>
      </xdr:nvCxnSpPr>
      <xdr:spPr>
        <a:xfrm>
          <a:off x="45719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14</xdr:row>
      <xdr:rowOff>205468</xdr:rowOff>
    </xdr:from>
    <xdr:to>
      <xdr:col>24</xdr:col>
      <xdr:colOff>47625</xdr:colOff>
      <xdr:row>14</xdr:row>
      <xdr:rowOff>205468</xdr:rowOff>
    </xdr:to>
    <xdr:cxnSp macro="">
      <xdr:nvCxnSpPr>
        <xdr:cNvPr id="107" name="Straight Connector 106"/>
        <xdr:cNvCxnSpPr/>
      </xdr:nvCxnSpPr>
      <xdr:spPr>
        <a:xfrm flipH="1">
          <a:off x="43896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20</xdr:row>
      <xdr:rowOff>52139</xdr:rowOff>
    </xdr:from>
    <xdr:to>
      <xdr:col>25</xdr:col>
      <xdr:colOff>7072</xdr:colOff>
      <xdr:row>22</xdr:row>
      <xdr:rowOff>96254</xdr:rowOff>
    </xdr:to>
    <xdr:sp macro="" textlink="">
      <xdr:nvSpPr>
        <xdr:cNvPr id="108" name="Rectangle 107"/>
        <xdr:cNvSpPr/>
      </xdr:nvSpPr>
      <xdr:spPr>
        <a:xfrm rot="16200000">
          <a:off x="44550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27</xdr:row>
      <xdr:rowOff>2720</xdr:rowOff>
    </xdr:from>
    <xdr:to>
      <xdr:col>49</xdr:col>
      <xdr:colOff>47625</xdr:colOff>
      <xdr:row>27</xdr:row>
      <xdr:rowOff>2720</xdr:rowOff>
    </xdr:to>
    <xdr:cxnSp macro="">
      <xdr:nvCxnSpPr>
        <xdr:cNvPr id="109" name="Straight Connector 108"/>
        <xdr:cNvCxnSpPr/>
      </xdr:nvCxnSpPr>
      <xdr:spPr>
        <a:xfrm flipH="1">
          <a:off x="9152164" y="5774870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15</xdr:row>
      <xdr:rowOff>10886</xdr:rowOff>
    </xdr:from>
    <xdr:to>
      <xdr:col>48</xdr:col>
      <xdr:colOff>95247</xdr:colOff>
      <xdr:row>27</xdr:row>
      <xdr:rowOff>9525</xdr:rowOff>
    </xdr:to>
    <xdr:cxnSp macro="">
      <xdr:nvCxnSpPr>
        <xdr:cNvPr id="110" name="Straight Arrow Connector 109"/>
        <xdr:cNvCxnSpPr/>
      </xdr:nvCxnSpPr>
      <xdr:spPr>
        <a:xfrm>
          <a:off x="9334494" y="3268436"/>
          <a:ext cx="0" cy="2513239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14</xdr:row>
      <xdr:rowOff>205468</xdr:rowOff>
    </xdr:from>
    <xdr:to>
      <xdr:col>49</xdr:col>
      <xdr:colOff>47625</xdr:colOff>
      <xdr:row>14</xdr:row>
      <xdr:rowOff>205468</xdr:rowOff>
    </xdr:to>
    <xdr:cxnSp macro="">
      <xdr:nvCxnSpPr>
        <xdr:cNvPr id="111" name="Straight Connector 110"/>
        <xdr:cNvCxnSpPr/>
      </xdr:nvCxnSpPr>
      <xdr:spPr>
        <a:xfrm flipH="1">
          <a:off x="9152164" y="3253468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20</xdr:row>
      <xdr:rowOff>52139</xdr:rowOff>
    </xdr:from>
    <xdr:to>
      <xdr:col>50</xdr:col>
      <xdr:colOff>7072</xdr:colOff>
      <xdr:row>22</xdr:row>
      <xdr:rowOff>96254</xdr:rowOff>
    </xdr:to>
    <xdr:sp macro="" textlink="">
      <xdr:nvSpPr>
        <xdr:cNvPr id="112" name="Rectangle 111"/>
        <xdr:cNvSpPr/>
      </xdr:nvSpPr>
      <xdr:spPr>
        <a:xfrm rot="16200000">
          <a:off x="9217551" y="4499062"/>
          <a:ext cx="463215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14</xdr:row>
      <xdr:rowOff>204438</xdr:rowOff>
    </xdr:from>
    <xdr:to>
      <xdr:col>9</xdr:col>
      <xdr:colOff>2323</xdr:colOff>
      <xdr:row>19</xdr:row>
      <xdr:rowOff>5443</xdr:rowOff>
    </xdr:to>
    <xdr:cxnSp macro="">
      <xdr:nvCxnSpPr>
        <xdr:cNvPr id="95" name="Straight Arrow Connector 94"/>
        <xdr:cNvCxnSpPr>
          <a:endCxn id="14" idx="2"/>
        </xdr:cNvCxnSpPr>
      </xdr:nvCxnSpPr>
      <xdr:spPr>
        <a:xfrm flipV="1">
          <a:off x="1719146" y="3290538"/>
          <a:ext cx="1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14</xdr:row>
      <xdr:rowOff>204438</xdr:rowOff>
    </xdr:from>
    <xdr:to>
      <xdr:col>12</xdr:col>
      <xdr:colOff>92130</xdr:colOff>
      <xdr:row>19</xdr:row>
      <xdr:rowOff>5443</xdr:rowOff>
    </xdr:to>
    <xdr:cxnSp macro="">
      <xdr:nvCxnSpPr>
        <xdr:cNvPr id="114" name="Straight Arrow Connector 113"/>
        <xdr:cNvCxnSpPr/>
      </xdr:nvCxnSpPr>
      <xdr:spPr>
        <a:xfrm flipV="1">
          <a:off x="2470260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14</xdr:row>
      <xdr:rowOff>204438</xdr:rowOff>
    </xdr:from>
    <xdr:to>
      <xdr:col>16</xdr:col>
      <xdr:colOff>94851</xdr:colOff>
      <xdr:row>19</xdr:row>
      <xdr:rowOff>5443</xdr:rowOff>
    </xdr:to>
    <xdr:cxnSp macro="">
      <xdr:nvCxnSpPr>
        <xdr:cNvPr id="115" name="Straight Arrow Connector 114"/>
        <xdr:cNvCxnSpPr/>
      </xdr:nvCxnSpPr>
      <xdr:spPr>
        <a:xfrm flipV="1">
          <a:off x="3237703" y="3290538"/>
          <a:ext cx="0" cy="8623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14</xdr:row>
      <xdr:rowOff>204438</xdr:rowOff>
    </xdr:from>
    <xdr:to>
      <xdr:col>33</xdr:col>
      <xdr:colOff>94288</xdr:colOff>
      <xdr:row>19</xdr:row>
      <xdr:rowOff>5443</xdr:rowOff>
    </xdr:to>
    <xdr:cxnSp macro="">
      <xdr:nvCxnSpPr>
        <xdr:cNvPr id="116" name="Straight Arrow Connector 115"/>
        <xdr:cNvCxnSpPr/>
      </xdr:nvCxnSpPr>
      <xdr:spPr>
        <a:xfrm flipV="1">
          <a:off x="6475077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14</xdr:row>
      <xdr:rowOff>204438</xdr:rowOff>
    </xdr:from>
    <xdr:to>
      <xdr:col>37</xdr:col>
      <xdr:colOff>92129</xdr:colOff>
      <xdr:row>19</xdr:row>
      <xdr:rowOff>5443</xdr:rowOff>
    </xdr:to>
    <xdr:cxnSp macro="">
      <xdr:nvCxnSpPr>
        <xdr:cNvPr id="117" name="Straight Arrow Connector 116"/>
        <xdr:cNvCxnSpPr/>
      </xdr:nvCxnSpPr>
      <xdr:spPr>
        <a:xfrm flipV="1">
          <a:off x="7232759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14</xdr:row>
      <xdr:rowOff>204438</xdr:rowOff>
    </xdr:from>
    <xdr:to>
      <xdr:col>41</xdr:col>
      <xdr:colOff>91566</xdr:colOff>
      <xdr:row>19</xdr:row>
      <xdr:rowOff>5443</xdr:rowOff>
    </xdr:to>
    <xdr:cxnSp macro="">
      <xdr:nvCxnSpPr>
        <xdr:cNvPr id="118" name="Straight Arrow Connector 117"/>
        <xdr:cNvCxnSpPr/>
      </xdr:nvCxnSpPr>
      <xdr:spPr>
        <a:xfrm flipV="1">
          <a:off x="7993633" y="3259007"/>
          <a:ext cx="0" cy="85203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6569</xdr:rowOff>
    </xdr:from>
    <xdr:to>
      <xdr:col>9</xdr:col>
      <xdr:colOff>0</xdr:colOff>
      <xdr:row>26</xdr:row>
      <xdr:rowOff>197069</xdr:rowOff>
    </xdr:to>
    <xdr:cxnSp macro="">
      <xdr:nvCxnSpPr>
        <xdr:cNvPr id="123" name="Straight Arrow Connector 122"/>
        <xdr:cNvCxnSpPr/>
      </xdr:nvCxnSpPr>
      <xdr:spPr>
        <a:xfrm>
          <a:off x="1714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6569</xdr:rowOff>
    </xdr:from>
    <xdr:to>
      <xdr:col>13</xdr:col>
      <xdr:colOff>0</xdr:colOff>
      <xdr:row>26</xdr:row>
      <xdr:rowOff>197069</xdr:rowOff>
    </xdr:to>
    <xdr:cxnSp macro="">
      <xdr:nvCxnSpPr>
        <xdr:cNvPr id="124" name="Straight Arrow Connector 123"/>
        <xdr:cNvCxnSpPr/>
      </xdr:nvCxnSpPr>
      <xdr:spPr>
        <a:xfrm>
          <a:off x="2476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6569</xdr:rowOff>
    </xdr:from>
    <xdr:to>
      <xdr:col>17</xdr:col>
      <xdr:colOff>0</xdr:colOff>
      <xdr:row>26</xdr:row>
      <xdr:rowOff>197069</xdr:rowOff>
    </xdr:to>
    <xdr:cxnSp macro="">
      <xdr:nvCxnSpPr>
        <xdr:cNvPr id="125" name="Straight Arrow Connector 124"/>
        <xdr:cNvCxnSpPr/>
      </xdr:nvCxnSpPr>
      <xdr:spPr>
        <a:xfrm>
          <a:off x="3238500" y="4953000"/>
          <a:ext cx="0" cy="8211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23</xdr:row>
      <xdr:rowOff>6569</xdr:rowOff>
    </xdr:from>
    <xdr:to>
      <xdr:col>34</xdr:col>
      <xdr:colOff>0</xdr:colOff>
      <xdr:row>26</xdr:row>
      <xdr:rowOff>197069</xdr:rowOff>
    </xdr:to>
    <xdr:cxnSp macro="">
      <xdr:nvCxnSpPr>
        <xdr:cNvPr id="126" name="Straight Arrow Connector 125"/>
        <xdr:cNvCxnSpPr/>
      </xdr:nvCxnSpPr>
      <xdr:spPr>
        <a:xfrm>
          <a:off x="6477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6569</xdr:rowOff>
    </xdr:from>
    <xdr:to>
      <xdr:col>38</xdr:col>
      <xdr:colOff>0</xdr:colOff>
      <xdr:row>26</xdr:row>
      <xdr:rowOff>197069</xdr:rowOff>
    </xdr:to>
    <xdr:cxnSp macro="">
      <xdr:nvCxnSpPr>
        <xdr:cNvPr id="127" name="Straight Arrow Connector 126"/>
        <xdr:cNvCxnSpPr/>
      </xdr:nvCxnSpPr>
      <xdr:spPr>
        <a:xfrm>
          <a:off x="7239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23</xdr:row>
      <xdr:rowOff>6569</xdr:rowOff>
    </xdr:from>
    <xdr:to>
      <xdr:col>42</xdr:col>
      <xdr:colOff>0</xdr:colOff>
      <xdr:row>26</xdr:row>
      <xdr:rowOff>197069</xdr:rowOff>
    </xdr:to>
    <xdr:cxnSp macro="">
      <xdr:nvCxnSpPr>
        <xdr:cNvPr id="128" name="Straight Arrow Connector 127"/>
        <xdr:cNvCxnSpPr/>
      </xdr:nvCxnSpPr>
      <xdr:spPr>
        <a:xfrm>
          <a:off x="8001000" y="5003531"/>
          <a:ext cx="0" cy="8279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45</xdr:row>
      <xdr:rowOff>0</xdr:rowOff>
    </xdr:from>
    <xdr:to>
      <xdr:col>3</xdr:col>
      <xdr:colOff>0</xdr:colOff>
      <xdr:row>45</xdr:row>
      <xdr:rowOff>0</xdr:rowOff>
    </xdr:to>
    <xdr:cxnSp macro="">
      <xdr:nvCxnSpPr>
        <xdr:cNvPr id="129" name="Straight Connector 128"/>
        <xdr:cNvCxnSpPr/>
      </xdr:nvCxnSpPr>
      <xdr:spPr>
        <a:xfrm flipH="1">
          <a:off x="2939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48</xdr:row>
      <xdr:rowOff>212270</xdr:rowOff>
    </xdr:from>
    <xdr:to>
      <xdr:col>3</xdr:col>
      <xdr:colOff>0</xdr:colOff>
      <xdr:row>48</xdr:row>
      <xdr:rowOff>212270</xdr:rowOff>
    </xdr:to>
    <xdr:cxnSp macro="">
      <xdr:nvCxnSpPr>
        <xdr:cNvPr id="130" name="Straight Connector 129"/>
        <xdr:cNvCxnSpPr/>
      </xdr:nvCxnSpPr>
      <xdr:spPr>
        <a:xfrm flipH="1">
          <a:off x="2939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53</xdr:row>
      <xdr:rowOff>5441</xdr:rowOff>
    </xdr:from>
    <xdr:to>
      <xdr:col>3</xdr:col>
      <xdr:colOff>0</xdr:colOff>
      <xdr:row>53</xdr:row>
      <xdr:rowOff>5441</xdr:rowOff>
    </xdr:to>
    <xdr:cxnSp macro="">
      <xdr:nvCxnSpPr>
        <xdr:cNvPr id="131" name="Straight Connector 130"/>
        <xdr:cNvCxnSpPr/>
      </xdr:nvCxnSpPr>
      <xdr:spPr>
        <a:xfrm flipH="1">
          <a:off x="2939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95247</xdr:colOff>
      <xdr:row>45</xdr:row>
      <xdr:rowOff>10886</xdr:rowOff>
    </xdr:from>
    <xdr:to>
      <xdr:col>1</xdr:col>
      <xdr:colOff>95247</xdr:colOff>
      <xdr:row>49</xdr:row>
      <xdr:rowOff>0</xdr:rowOff>
    </xdr:to>
    <xdr:cxnSp macro="">
      <xdr:nvCxnSpPr>
        <xdr:cNvPr id="132" name="Straight Arrow Connector 131"/>
        <xdr:cNvCxnSpPr/>
      </xdr:nvCxnSpPr>
      <xdr:spPr>
        <a:xfrm>
          <a:off x="3809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49</xdr:row>
      <xdr:rowOff>5443</xdr:rowOff>
    </xdr:from>
    <xdr:to>
      <xdr:col>1</xdr:col>
      <xdr:colOff>95249</xdr:colOff>
      <xdr:row>52</xdr:row>
      <xdr:rowOff>206829</xdr:rowOff>
    </xdr:to>
    <xdr:cxnSp macro="">
      <xdr:nvCxnSpPr>
        <xdr:cNvPr id="133" name="Straight Arrow Connector 132"/>
        <xdr:cNvCxnSpPr/>
      </xdr:nvCxnSpPr>
      <xdr:spPr>
        <a:xfrm>
          <a:off x="3809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51707</xdr:colOff>
      <xdr:row>43</xdr:row>
      <xdr:rowOff>5443</xdr:rowOff>
    </xdr:from>
    <xdr:to>
      <xdr:col>3</xdr:col>
      <xdr:colOff>0</xdr:colOff>
      <xdr:row>43</xdr:row>
      <xdr:rowOff>5443</xdr:rowOff>
    </xdr:to>
    <xdr:cxnSp macro="">
      <xdr:nvCxnSpPr>
        <xdr:cNvPr id="134" name="Straight Connector 133"/>
        <xdr:cNvCxnSpPr/>
      </xdr:nvCxnSpPr>
      <xdr:spPr>
        <a:xfrm flipH="1">
          <a:off x="2939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43</xdr:row>
      <xdr:rowOff>16329</xdr:rowOff>
    </xdr:from>
    <xdr:to>
      <xdr:col>1</xdr:col>
      <xdr:colOff>95249</xdr:colOff>
      <xdr:row>45</xdr:row>
      <xdr:rowOff>0</xdr:rowOff>
    </xdr:to>
    <xdr:cxnSp macro="">
      <xdr:nvCxnSpPr>
        <xdr:cNvPr id="135" name="Straight Arrow Connector 134"/>
        <xdr:cNvCxnSpPr/>
      </xdr:nvCxnSpPr>
      <xdr:spPr>
        <a:xfrm>
          <a:off x="3809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113108</xdr:rowOff>
    </xdr:from>
    <xdr:to>
      <xdr:col>6</xdr:col>
      <xdr:colOff>2323</xdr:colOff>
      <xdr:row>42</xdr:row>
      <xdr:rowOff>204438</xdr:rowOff>
    </xdr:to>
    <xdr:grpSp>
      <xdr:nvGrpSpPr>
        <xdr:cNvPr id="136" name="Group 135"/>
        <xdr:cNvGrpSpPr/>
      </xdr:nvGrpSpPr>
      <xdr:grpSpPr>
        <a:xfrm>
          <a:off x="762000" y="9503637"/>
          <a:ext cx="385646" cy="304242"/>
          <a:chOff x="571500" y="2718109"/>
          <a:chExt cx="385646" cy="413525"/>
        </a:xfrm>
      </xdr:grpSpPr>
      <xdr:sp macro="" textlink="">
        <xdr:nvSpPr>
          <xdr:cNvPr id="137" name="Rectangle 13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8" name="Straight Connector 13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41</xdr:row>
      <xdr:rowOff>113108</xdr:rowOff>
    </xdr:from>
    <xdr:to>
      <xdr:col>10</xdr:col>
      <xdr:colOff>2323</xdr:colOff>
      <xdr:row>42</xdr:row>
      <xdr:rowOff>204438</xdr:rowOff>
    </xdr:to>
    <xdr:grpSp>
      <xdr:nvGrpSpPr>
        <xdr:cNvPr id="139" name="Group 138"/>
        <xdr:cNvGrpSpPr/>
      </xdr:nvGrpSpPr>
      <xdr:grpSpPr>
        <a:xfrm>
          <a:off x="1524000" y="9503637"/>
          <a:ext cx="385646" cy="304242"/>
          <a:chOff x="571500" y="2718109"/>
          <a:chExt cx="385646" cy="413525"/>
        </a:xfrm>
      </xdr:grpSpPr>
      <xdr:sp macro="" textlink="">
        <xdr:nvSpPr>
          <xdr:cNvPr id="140" name="Rectangle 13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1" name="Straight Connector 14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41</xdr:row>
      <xdr:rowOff>113108</xdr:rowOff>
    </xdr:from>
    <xdr:to>
      <xdr:col>14</xdr:col>
      <xdr:colOff>2323</xdr:colOff>
      <xdr:row>42</xdr:row>
      <xdr:rowOff>204438</xdr:rowOff>
    </xdr:to>
    <xdr:grpSp>
      <xdr:nvGrpSpPr>
        <xdr:cNvPr id="142" name="Group 141"/>
        <xdr:cNvGrpSpPr/>
      </xdr:nvGrpSpPr>
      <xdr:grpSpPr>
        <a:xfrm>
          <a:off x="2286000" y="9503637"/>
          <a:ext cx="385646" cy="304242"/>
          <a:chOff x="571500" y="2718109"/>
          <a:chExt cx="385646" cy="413525"/>
        </a:xfrm>
      </xdr:grpSpPr>
      <xdr:sp macro="" textlink="">
        <xdr:nvSpPr>
          <xdr:cNvPr id="143" name="Rectangle 142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4" name="Straight Connector 143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41</xdr:row>
      <xdr:rowOff>113108</xdr:rowOff>
    </xdr:from>
    <xdr:to>
      <xdr:col>18</xdr:col>
      <xdr:colOff>2323</xdr:colOff>
      <xdr:row>42</xdr:row>
      <xdr:rowOff>204438</xdr:rowOff>
    </xdr:to>
    <xdr:grpSp>
      <xdr:nvGrpSpPr>
        <xdr:cNvPr id="145" name="Group 144"/>
        <xdr:cNvGrpSpPr/>
      </xdr:nvGrpSpPr>
      <xdr:grpSpPr>
        <a:xfrm>
          <a:off x="3048000" y="9503637"/>
          <a:ext cx="385646" cy="304242"/>
          <a:chOff x="571500" y="2718109"/>
          <a:chExt cx="385646" cy="413525"/>
        </a:xfrm>
      </xdr:grpSpPr>
      <xdr:sp macro="" textlink="">
        <xdr:nvSpPr>
          <xdr:cNvPr id="146" name="Rectangle 145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47" name="Straight Connector 146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41</xdr:row>
      <xdr:rowOff>113108</xdr:rowOff>
    </xdr:from>
    <xdr:to>
      <xdr:col>22</xdr:col>
      <xdr:colOff>2323</xdr:colOff>
      <xdr:row>42</xdr:row>
      <xdr:rowOff>204438</xdr:rowOff>
    </xdr:to>
    <xdr:grpSp>
      <xdr:nvGrpSpPr>
        <xdr:cNvPr id="148" name="Group 147"/>
        <xdr:cNvGrpSpPr/>
      </xdr:nvGrpSpPr>
      <xdr:grpSpPr>
        <a:xfrm>
          <a:off x="3810000" y="9503637"/>
          <a:ext cx="385646" cy="304242"/>
          <a:chOff x="571500" y="2718109"/>
          <a:chExt cx="385646" cy="413525"/>
        </a:xfrm>
      </xdr:grpSpPr>
      <xdr:sp macro="" textlink="">
        <xdr:nvSpPr>
          <xdr:cNvPr id="149" name="Rectangle 148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50" name="Straight Connector 149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2975</xdr:colOff>
      <xdr:row>38</xdr:row>
      <xdr:rowOff>5953</xdr:rowOff>
    </xdr:from>
    <xdr:to>
      <xdr:col>5</xdr:col>
      <xdr:colOff>2975</xdr:colOff>
      <xdr:row>40</xdr:row>
      <xdr:rowOff>1</xdr:rowOff>
    </xdr:to>
    <xdr:cxnSp macro="">
      <xdr:nvCxnSpPr>
        <xdr:cNvPr id="151" name="Straight Connector 150"/>
        <xdr:cNvCxnSpPr/>
      </xdr:nvCxnSpPr>
      <xdr:spPr>
        <a:xfrm flipV="1">
          <a:off x="958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</xdr:colOff>
      <xdr:row>38</xdr:row>
      <xdr:rowOff>5953</xdr:rowOff>
    </xdr:from>
    <xdr:to>
      <xdr:col>9</xdr:col>
      <xdr:colOff>2975</xdr:colOff>
      <xdr:row>40</xdr:row>
      <xdr:rowOff>1</xdr:rowOff>
    </xdr:to>
    <xdr:cxnSp macro="">
      <xdr:nvCxnSpPr>
        <xdr:cNvPr id="152" name="Straight Connector 151"/>
        <xdr:cNvCxnSpPr/>
      </xdr:nvCxnSpPr>
      <xdr:spPr>
        <a:xfrm flipV="1">
          <a:off x="1720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2974</xdr:colOff>
      <xdr:row>38</xdr:row>
      <xdr:rowOff>5953</xdr:rowOff>
    </xdr:from>
    <xdr:to>
      <xdr:col>13</xdr:col>
      <xdr:colOff>2974</xdr:colOff>
      <xdr:row>40</xdr:row>
      <xdr:rowOff>1</xdr:rowOff>
    </xdr:to>
    <xdr:cxnSp macro="">
      <xdr:nvCxnSpPr>
        <xdr:cNvPr id="153" name="Straight Connector 152"/>
        <xdr:cNvCxnSpPr/>
      </xdr:nvCxnSpPr>
      <xdr:spPr>
        <a:xfrm flipV="1">
          <a:off x="24824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</xdr:colOff>
      <xdr:row>38</xdr:row>
      <xdr:rowOff>5953</xdr:rowOff>
    </xdr:from>
    <xdr:to>
      <xdr:col>17</xdr:col>
      <xdr:colOff>2973</xdr:colOff>
      <xdr:row>40</xdr:row>
      <xdr:rowOff>1</xdr:rowOff>
    </xdr:to>
    <xdr:cxnSp macro="">
      <xdr:nvCxnSpPr>
        <xdr:cNvPr id="154" name="Straight Connector 153"/>
        <xdr:cNvCxnSpPr/>
      </xdr:nvCxnSpPr>
      <xdr:spPr>
        <a:xfrm flipV="1">
          <a:off x="3244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2973</xdr:colOff>
      <xdr:row>38</xdr:row>
      <xdr:rowOff>5953</xdr:rowOff>
    </xdr:from>
    <xdr:to>
      <xdr:col>21</xdr:col>
      <xdr:colOff>2973</xdr:colOff>
      <xdr:row>40</xdr:row>
      <xdr:rowOff>1</xdr:rowOff>
    </xdr:to>
    <xdr:cxnSp macro="">
      <xdr:nvCxnSpPr>
        <xdr:cNvPr id="155" name="Straight Connector 154"/>
        <xdr:cNvCxnSpPr/>
      </xdr:nvCxnSpPr>
      <xdr:spPr>
        <a:xfrm flipV="1">
          <a:off x="40064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38</xdr:row>
      <xdr:rowOff>209733</xdr:rowOff>
    </xdr:from>
    <xdr:to>
      <xdr:col>9</xdr:col>
      <xdr:colOff>5953</xdr:colOff>
      <xdr:row>38</xdr:row>
      <xdr:rowOff>209733</xdr:rowOff>
    </xdr:to>
    <xdr:cxnSp macro="">
      <xdr:nvCxnSpPr>
        <xdr:cNvPr id="156" name="Straight Arrow Connector 155"/>
        <xdr:cNvCxnSpPr/>
      </xdr:nvCxnSpPr>
      <xdr:spPr>
        <a:xfrm flipH="1">
          <a:off x="9525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2976</xdr:colOff>
      <xdr:row>38</xdr:row>
      <xdr:rowOff>209733</xdr:rowOff>
    </xdr:from>
    <xdr:to>
      <xdr:col>13</xdr:col>
      <xdr:colOff>8929</xdr:colOff>
      <xdr:row>38</xdr:row>
      <xdr:rowOff>209733</xdr:rowOff>
    </xdr:to>
    <xdr:cxnSp macro="">
      <xdr:nvCxnSpPr>
        <xdr:cNvPr id="157" name="Straight Arrow Connector 156"/>
        <xdr:cNvCxnSpPr/>
      </xdr:nvCxnSpPr>
      <xdr:spPr>
        <a:xfrm flipH="1">
          <a:off x="17204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95249</xdr:colOff>
      <xdr:row>38</xdr:row>
      <xdr:rowOff>209733</xdr:rowOff>
    </xdr:from>
    <xdr:to>
      <xdr:col>17</xdr:col>
      <xdr:colOff>5952</xdr:colOff>
      <xdr:row>38</xdr:row>
      <xdr:rowOff>209733</xdr:rowOff>
    </xdr:to>
    <xdr:cxnSp macro="">
      <xdr:nvCxnSpPr>
        <xdr:cNvPr id="158" name="Straight Arrow Connector 157"/>
        <xdr:cNvCxnSpPr/>
      </xdr:nvCxnSpPr>
      <xdr:spPr>
        <a:xfrm flipH="1">
          <a:off x="2476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95249</xdr:colOff>
      <xdr:row>38</xdr:row>
      <xdr:rowOff>209733</xdr:rowOff>
    </xdr:from>
    <xdr:to>
      <xdr:col>21</xdr:col>
      <xdr:colOff>5952</xdr:colOff>
      <xdr:row>38</xdr:row>
      <xdr:rowOff>209733</xdr:rowOff>
    </xdr:to>
    <xdr:cxnSp macro="">
      <xdr:nvCxnSpPr>
        <xdr:cNvPr id="159" name="Straight Arrow Connector 158"/>
        <xdr:cNvCxnSpPr/>
      </xdr:nvCxnSpPr>
      <xdr:spPr>
        <a:xfrm flipH="1">
          <a:off x="32384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76750</xdr:colOff>
      <xdr:row>38</xdr:row>
      <xdr:rowOff>25184</xdr:rowOff>
    </xdr:from>
    <xdr:to>
      <xdr:col>8</xdr:col>
      <xdr:colOff>21976</xdr:colOff>
      <xdr:row>38</xdr:row>
      <xdr:rowOff>205153</xdr:rowOff>
    </xdr:to>
    <xdr:sp macro="" textlink="">
      <xdr:nvSpPr>
        <xdr:cNvPr id="160" name="Rectangle 159"/>
        <xdr:cNvSpPr/>
      </xdr:nvSpPr>
      <xdr:spPr>
        <a:xfrm>
          <a:off x="11060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9</xdr:col>
      <xdr:colOff>80413</xdr:colOff>
      <xdr:row>38</xdr:row>
      <xdr:rowOff>25184</xdr:rowOff>
    </xdr:from>
    <xdr:to>
      <xdr:col>12</xdr:col>
      <xdr:colOff>25639</xdr:colOff>
      <xdr:row>38</xdr:row>
      <xdr:rowOff>205153</xdr:rowOff>
    </xdr:to>
    <xdr:sp macro="" textlink="">
      <xdr:nvSpPr>
        <xdr:cNvPr id="161" name="Rectangle 160"/>
        <xdr:cNvSpPr/>
      </xdr:nvSpPr>
      <xdr:spPr>
        <a:xfrm>
          <a:off x="18753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13</xdr:col>
      <xdr:colOff>84076</xdr:colOff>
      <xdr:row>38</xdr:row>
      <xdr:rowOff>25184</xdr:rowOff>
    </xdr:from>
    <xdr:to>
      <xdr:col>16</xdr:col>
      <xdr:colOff>29302</xdr:colOff>
      <xdr:row>38</xdr:row>
      <xdr:rowOff>205153</xdr:rowOff>
    </xdr:to>
    <xdr:sp macro="" textlink="">
      <xdr:nvSpPr>
        <xdr:cNvPr id="162" name="Rectangle 161"/>
        <xdr:cNvSpPr/>
      </xdr:nvSpPr>
      <xdr:spPr>
        <a:xfrm>
          <a:off x="26446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17</xdr:col>
      <xdr:colOff>87739</xdr:colOff>
      <xdr:row>38</xdr:row>
      <xdr:rowOff>25184</xdr:rowOff>
    </xdr:from>
    <xdr:to>
      <xdr:col>20</xdr:col>
      <xdr:colOff>32965</xdr:colOff>
      <xdr:row>38</xdr:row>
      <xdr:rowOff>205153</xdr:rowOff>
    </xdr:to>
    <xdr:sp macro="" textlink="">
      <xdr:nvSpPr>
        <xdr:cNvPr id="163" name="Rectangle 162"/>
        <xdr:cNvSpPr/>
      </xdr:nvSpPr>
      <xdr:spPr>
        <a:xfrm>
          <a:off x="34139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</xdr:col>
      <xdr:colOff>3663</xdr:colOff>
      <xdr:row>38</xdr:row>
      <xdr:rowOff>25184</xdr:rowOff>
    </xdr:from>
    <xdr:to>
      <xdr:col>5</xdr:col>
      <xdr:colOff>3657</xdr:colOff>
      <xdr:row>38</xdr:row>
      <xdr:rowOff>205153</xdr:rowOff>
    </xdr:to>
    <xdr:sp macro="" textlink="">
      <xdr:nvSpPr>
        <xdr:cNvPr id="164" name="Rectangle 163"/>
        <xdr:cNvSpPr/>
      </xdr:nvSpPr>
      <xdr:spPr>
        <a:xfrm>
          <a:off x="5788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3</xdr:col>
      <xdr:colOff>2975</xdr:colOff>
      <xdr:row>38</xdr:row>
      <xdr:rowOff>5953</xdr:rowOff>
    </xdr:from>
    <xdr:to>
      <xdr:col>3</xdr:col>
      <xdr:colOff>2975</xdr:colOff>
      <xdr:row>40</xdr:row>
      <xdr:rowOff>1</xdr:rowOff>
    </xdr:to>
    <xdr:cxnSp macro="">
      <xdr:nvCxnSpPr>
        <xdr:cNvPr id="165" name="Straight Connector 164"/>
        <xdr:cNvCxnSpPr/>
      </xdr:nvCxnSpPr>
      <xdr:spPr>
        <a:xfrm flipV="1">
          <a:off x="5774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10990</xdr:colOff>
      <xdr:row>38</xdr:row>
      <xdr:rowOff>209733</xdr:rowOff>
    </xdr:from>
    <xdr:to>
      <xdr:col>4</xdr:col>
      <xdr:colOff>84259</xdr:colOff>
      <xdr:row>38</xdr:row>
      <xdr:rowOff>209733</xdr:rowOff>
    </xdr:to>
    <xdr:cxnSp macro="">
      <xdr:nvCxnSpPr>
        <xdr:cNvPr id="166" name="Straight Arrow Connector 165"/>
        <xdr:cNvCxnSpPr/>
      </xdr:nvCxnSpPr>
      <xdr:spPr>
        <a:xfrm flipH="1">
          <a:off x="5934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2811</xdr:colOff>
      <xdr:row>43</xdr:row>
      <xdr:rowOff>20052</xdr:rowOff>
    </xdr:from>
    <xdr:to>
      <xdr:col>1</xdr:col>
      <xdr:colOff>92796</xdr:colOff>
      <xdr:row>44</xdr:row>
      <xdr:rowOff>188808</xdr:rowOff>
    </xdr:to>
    <xdr:sp macro="" textlink="">
      <xdr:nvSpPr>
        <xdr:cNvPr id="167" name="Rectangle 166"/>
        <xdr:cNvSpPr/>
      </xdr:nvSpPr>
      <xdr:spPr>
        <a:xfrm rot="16200000">
          <a:off x="996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1</xdr:col>
      <xdr:colOff>2811</xdr:colOff>
      <xdr:row>45</xdr:row>
      <xdr:rowOff>185488</xdr:rowOff>
    </xdr:from>
    <xdr:to>
      <xdr:col>1</xdr:col>
      <xdr:colOff>92796</xdr:colOff>
      <xdr:row>48</xdr:row>
      <xdr:rowOff>20053</xdr:rowOff>
    </xdr:to>
    <xdr:sp macro="" textlink="">
      <xdr:nvSpPr>
        <xdr:cNvPr id="168" name="Rectangle 167"/>
        <xdr:cNvSpPr/>
      </xdr:nvSpPr>
      <xdr:spPr>
        <a:xfrm rot="16200000">
          <a:off x="626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1</xdr:col>
      <xdr:colOff>2811</xdr:colOff>
      <xdr:row>49</xdr:row>
      <xdr:rowOff>190503</xdr:rowOff>
    </xdr:from>
    <xdr:to>
      <xdr:col>1</xdr:col>
      <xdr:colOff>92796</xdr:colOff>
      <xdr:row>52</xdr:row>
      <xdr:rowOff>25068</xdr:rowOff>
    </xdr:to>
    <xdr:sp macro="" textlink="">
      <xdr:nvSpPr>
        <xdr:cNvPr id="169" name="Rectangle 168"/>
        <xdr:cNvSpPr/>
      </xdr:nvSpPr>
      <xdr:spPr>
        <a:xfrm rot="16200000">
          <a:off x="626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51707</xdr:colOff>
      <xdr:row>45</xdr:row>
      <xdr:rowOff>0</xdr:rowOff>
    </xdr:from>
    <xdr:to>
      <xdr:col>28</xdr:col>
      <xdr:colOff>0</xdr:colOff>
      <xdr:row>45</xdr:row>
      <xdr:rowOff>0</xdr:rowOff>
    </xdr:to>
    <xdr:cxnSp macro="">
      <xdr:nvCxnSpPr>
        <xdr:cNvPr id="170" name="Straight Connector 169"/>
        <xdr:cNvCxnSpPr/>
      </xdr:nvCxnSpPr>
      <xdr:spPr>
        <a:xfrm flipH="1">
          <a:off x="5056414" y="3592286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48</xdr:row>
      <xdr:rowOff>212270</xdr:rowOff>
    </xdr:from>
    <xdr:to>
      <xdr:col>28</xdr:col>
      <xdr:colOff>0</xdr:colOff>
      <xdr:row>48</xdr:row>
      <xdr:rowOff>212270</xdr:rowOff>
    </xdr:to>
    <xdr:cxnSp macro="">
      <xdr:nvCxnSpPr>
        <xdr:cNvPr id="171" name="Straight Connector 170"/>
        <xdr:cNvCxnSpPr/>
      </xdr:nvCxnSpPr>
      <xdr:spPr>
        <a:xfrm flipH="1">
          <a:off x="5056414" y="44168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53</xdr:row>
      <xdr:rowOff>5441</xdr:rowOff>
    </xdr:from>
    <xdr:to>
      <xdr:col>28</xdr:col>
      <xdr:colOff>0</xdr:colOff>
      <xdr:row>53</xdr:row>
      <xdr:rowOff>5441</xdr:rowOff>
    </xdr:to>
    <xdr:cxnSp macro="">
      <xdr:nvCxnSpPr>
        <xdr:cNvPr id="172" name="Straight Connector 171"/>
        <xdr:cNvCxnSpPr/>
      </xdr:nvCxnSpPr>
      <xdr:spPr>
        <a:xfrm flipH="1">
          <a:off x="5056414" y="523058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95247</xdr:colOff>
      <xdr:row>45</xdr:row>
      <xdr:rowOff>10886</xdr:rowOff>
    </xdr:from>
    <xdr:to>
      <xdr:col>26</xdr:col>
      <xdr:colOff>95247</xdr:colOff>
      <xdr:row>49</xdr:row>
      <xdr:rowOff>0</xdr:rowOff>
    </xdr:to>
    <xdr:cxnSp macro="">
      <xdr:nvCxnSpPr>
        <xdr:cNvPr id="173" name="Straight Arrow Connector 172"/>
        <xdr:cNvCxnSpPr/>
      </xdr:nvCxnSpPr>
      <xdr:spPr>
        <a:xfrm>
          <a:off x="5143494" y="3603172"/>
          <a:ext cx="0" cy="805542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49</xdr:row>
      <xdr:rowOff>5443</xdr:rowOff>
    </xdr:from>
    <xdr:to>
      <xdr:col>26</xdr:col>
      <xdr:colOff>95249</xdr:colOff>
      <xdr:row>52</xdr:row>
      <xdr:rowOff>206829</xdr:rowOff>
    </xdr:to>
    <xdr:cxnSp macro="">
      <xdr:nvCxnSpPr>
        <xdr:cNvPr id="174" name="Straight Arrow Connector 173"/>
        <xdr:cNvCxnSpPr/>
      </xdr:nvCxnSpPr>
      <xdr:spPr>
        <a:xfrm>
          <a:off x="5143498" y="4414157"/>
          <a:ext cx="0" cy="813708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51707</xdr:colOff>
      <xdr:row>43</xdr:row>
      <xdr:rowOff>5443</xdr:rowOff>
    </xdr:from>
    <xdr:to>
      <xdr:col>28</xdr:col>
      <xdr:colOff>0</xdr:colOff>
      <xdr:row>43</xdr:row>
      <xdr:rowOff>5443</xdr:rowOff>
    </xdr:to>
    <xdr:cxnSp macro="">
      <xdr:nvCxnSpPr>
        <xdr:cNvPr id="175" name="Straight Connector 174"/>
        <xdr:cNvCxnSpPr/>
      </xdr:nvCxnSpPr>
      <xdr:spPr>
        <a:xfrm flipH="1">
          <a:off x="5056414" y="3189514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95249</xdr:colOff>
      <xdr:row>43</xdr:row>
      <xdr:rowOff>16329</xdr:rowOff>
    </xdr:from>
    <xdr:to>
      <xdr:col>26</xdr:col>
      <xdr:colOff>95249</xdr:colOff>
      <xdr:row>45</xdr:row>
      <xdr:rowOff>0</xdr:rowOff>
    </xdr:to>
    <xdr:cxnSp macro="">
      <xdr:nvCxnSpPr>
        <xdr:cNvPr id="176" name="Straight Arrow Connector 175"/>
        <xdr:cNvCxnSpPr/>
      </xdr:nvCxnSpPr>
      <xdr:spPr>
        <a:xfrm>
          <a:off x="5143498" y="3200400"/>
          <a:ext cx="0" cy="391886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41</xdr:row>
      <xdr:rowOff>113108</xdr:rowOff>
    </xdr:from>
    <xdr:to>
      <xdr:col>31</xdr:col>
      <xdr:colOff>2323</xdr:colOff>
      <xdr:row>42</xdr:row>
      <xdr:rowOff>204438</xdr:rowOff>
    </xdr:to>
    <xdr:grpSp>
      <xdr:nvGrpSpPr>
        <xdr:cNvPr id="177" name="Group 176"/>
        <xdr:cNvGrpSpPr/>
      </xdr:nvGrpSpPr>
      <xdr:grpSpPr>
        <a:xfrm>
          <a:off x="5524500" y="9503637"/>
          <a:ext cx="385646" cy="304242"/>
          <a:chOff x="571500" y="2718109"/>
          <a:chExt cx="385646" cy="413525"/>
        </a:xfrm>
      </xdr:grpSpPr>
      <xdr:sp macro="" textlink="">
        <xdr:nvSpPr>
          <xdr:cNvPr id="178" name="Rectangle 177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79" name="Straight Connector 178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41</xdr:row>
      <xdr:rowOff>113108</xdr:rowOff>
    </xdr:from>
    <xdr:to>
      <xdr:col>35</xdr:col>
      <xdr:colOff>2323</xdr:colOff>
      <xdr:row>42</xdr:row>
      <xdr:rowOff>204438</xdr:rowOff>
    </xdr:to>
    <xdr:grpSp>
      <xdr:nvGrpSpPr>
        <xdr:cNvPr id="180" name="Group 179"/>
        <xdr:cNvGrpSpPr/>
      </xdr:nvGrpSpPr>
      <xdr:grpSpPr>
        <a:xfrm>
          <a:off x="6286500" y="9503637"/>
          <a:ext cx="385646" cy="304242"/>
          <a:chOff x="571500" y="2718109"/>
          <a:chExt cx="385646" cy="413525"/>
        </a:xfrm>
      </xdr:grpSpPr>
      <xdr:sp macro="" textlink="">
        <xdr:nvSpPr>
          <xdr:cNvPr id="181" name="Rectangle 180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2" name="Straight Connector 181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37</xdr:col>
      <xdr:colOff>0</xdr:colOff>
      <xdr:row>41</xdr:row>
      <xdr:rowOff>113108</xdr:rowOff>
    </xdr:from>
    <xdr:to>
      <xdr:col>39</xdr:col>
      <xdr:colOff>2323</xdr:colOff>
      <xdr:row>42</xdr:row>
      <xdr:rowOff>204438</xdr:rowOff>
    </xdr:to>
    <xdr:grpSp>
      <xdr:nvGrpSpPr>
        <xdr:cNvPr id="183" name="Group 182"/>
        <xdr:cNvGrpSpPr/>
      </xdr:nvGrpSpPr>
      <xdr:grpSpPr>
        <a:xfrm>
          <a:off x="7048500" y="9503637"/>
          <a:ext cx="385646" cy="304242"/>
          <a:chOff x="571500" y="2718109"/>
          <a:chExt cx="385646" cy="413525"/>
        </a:xfrm>
      </xdr:grpSpPr>
      <xdr:sp macro="" textlink="">
        <xdr:nvSpPr>
          <xdr:cNvPr id="184" name="Rectangle 183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5" name="Straight Connector 184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0</xdr:colOff>
      <xdr:row>41</xdr:row>
      <xdr:rowOff>113108</xdr:rowOff>
    </xdr:from>
    <xdr:to>
      <xdr:col>43</xdr:col>
      <xdr:colOff>2323</xdr:colOff>
      <xdr:row>42</xdr:row>
      <xdr:rowOff>204438</xdr:rowOff>
    </xdr:to>
    <xdr:grpSp>
      <xdr:nvGrpSpPr>
        <xdr:cNvPr id="186" name="Group 185"/>
        <xdr:cNvGrpSpPr/>
      </xdr:nvGrpSpPr>
      <xdr:grpSpPr>
        <a:xfrm>
          <a:off x="7810500" y="9503637"/>
          <a:ext cx="385646" cy="304242"/>
          <a:chOff x="571500" y="2718109"/>
          <a:chExt cx="385646" cy="413525"/>
        </a:xfrm>
      </xdr:grpSpPr>
      <xdr:sp macro="" textlink="">
        <xdr:nvSpPr>
          <xdr:cNvPr id="187" name="Rectangle 186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88" name="Straight Connector 187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45</xdr:col>
      <xdr:colOff>0</xdr:colOff>
      <xdr:row>41</xdr:row>
      <xdr:rowOff>113108</xdr:rowOff>
    </xdr:from>
    <xdr:to>
      <xdr:col>47</xdr:col>
      <xdr:colOff>2323</xdr:colOff>
      <xdr:row>42</xdr:row>
      <xdr:rowOff>204438</xdr:rowOff>
    </xdr:to>
    <xdr:grpSp>
      <xdr:nvGrpSpPr>
        <xdr:cNvPr id="189" name="Group 188"/>
        <xdr:cNvGrpSpPr/>
      </xdr:nvGrpSpPr>
      <xdr:grpSpPr>
        <a:xfrm>
          <a:off x="8572500" y="9503637"/>
          <a:ext cx="385646" cy="304242"/>
          <a:chOff x="571500" y="2718109"/>
          <a:chExt cx="385646" cy="413525"/>
        </a:xfrm>
      </xdr:grpSpPr>
      <xdr:sp macro="" textlink="">
        <xdr:nvSpPr>
          <xdr:cNvPr id="190" name="Rectangle 189"/>
          <xdr:cNvSpPr/>
        </xdr:nvSpPr>
        <xdr:spPr>
          <a:xfrm>
            <a:off x="673720" y="2718110"/>
            <a:ext cx="185854" cy="413524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91" name="Straight Connector 190"/>
          <xdr:cNvCxnSpPr/>
        </xdr:nvCxnSpPr>
        <xdr:spPr>
          <a:xfrm>
            <a:off x="571500" y="2718109"/>
            <a:ext cx="385646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2975</xdr:colOff>
      <xdr:row>38</xdr:row>
      <xdr:rowOff>5953</xdr:rowOff>
    </xdr:from>
    <xdr:to>
      <xdr:col>30</xdr:col>
      <xdr:colOff>2975</xdr:colOff>
      <xdr:row>40</xdr:row>
      <xdr:rowOff>1</xdr:rowOff>
    </xdr:to>
    <xdr:cxnSp macro="">
      <xdr:nvCxnSpPr>
        <xdr:cNvPr id="192" name="Straight Connector 191"/>
        <xdr:cNvCxnSpPr/>
      </xdr:nvCxnSpPr>
      <xdr:spPr>
        <a:xfrm flipV="1">
          <a:off x="5720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2975</xdr:colOff>
      <xdr:row>38</xdr:row>
      <xdr:rowOff>5953</xdr:rowOff>
    </xdr:from>
    <xdr:to>
      <xdr:col>34</xdr:col>
      <xdr:colOff>2975</xdr:colOff>
      <xdr:row>40</xdr:row>
      <xdr:rowOff>1</xdr:rowOff>
    </xdr:to>
    <xdr:cxnSp macro="">
      <xdr:nvCxnSpPr>
        <xdr:cNvPr id="193" name="Straight Connector 192"/>
        <xdr:cNvCxnSpPr/>
      </xdr:nvCxnSpPr>
      <xdr:spPr>
        <a:xfrm flipV="1">
          <a:off x="6482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2974</xdr:colOff>
      <xdr:row>38</xdr:row>
      <xdr:rowOff>5953</xdr:rowOff>
    </xdr:from>
    <xdr:to>
      <xdr:col>38</xdr:col>
      <xdr:colOff>2974</xdr:colOff>
      <xdr:row>40</xdr:row>
      <xdr:rowOff>1</xdr:rowOff>
    </xdr:to>
    <xdr:cxnSp macro="">
      <xdr:nvCxnSpPr>
        <xdr:cNvPr id="194" name="Straight Connector 193"/>
        <xdr:cNvCxnSpPr/>
      </xdr:nvCxnSpPr>
      <xdr:spPr>
        <a:xfrm flipV="1">
          <a:off x="7244948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2973</xdr:colOff>
      <xdr:row>38</xdr:row>
      <xdr:rowOff>5953</xdr:rowOff>
    </xdr:from>
    <xdr:to>
      <xdr:col>42</xdr:col>
      <xdr:colOff>2973</xdr:colOff>
      <xdr:row>40</xdr:row>
      <xdr:rowOff>1</xdr:rowOff>
    </xdr:to>
    <xdr:cxnSp macro="">
      <xdr:nvCxnSpPr>
        <xdr:cNvPr id="195" name="Straight Connector 194"/>
        <xdr:cNvCxnSpPr/>
      </xdr:nvCxnSpPr>
      <xdr:spPr>
        <a:xfrm flipV="1">
          <a:off x="8006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2973</xdr:colOff>
      <xdr:row>38</xdr:row>
      <xdr:rowOff>5953</xdr:rowOff>
    </xdr:from>
    <xdr:to>
      <xdr:col>46</xdr:col>
      <xdr:colOff>2973</xdr:colOff>
      <xdr:row>40</xdr:row>
      <xdr:rowOff>1</xdr:rowOff>
    </xdr:to>
    <xdr:cxnSp macro="">
      <xdr:nvCxnSpPr>
        <xdr:cNvPr id="196" name="Straight Connector 195"/>
        <xdr:cNvCxnSpPr/>
      </xdr:nvCxnSpPr>
      <xdr:spPr>
        <a:xfrm flipV="1">
          <a:off x="8768946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38</xdr:row>
      <xdr:rowOff>209733</xdr:rowOff>
    </xdr:from>
    <xdr:to>
      <xdr:col>34</xdr:col>
      <xdr:colOff>5953</xdr:colOff>
      <xdr:row>38</xdr:row>
      <xdr:rowOff>209733</xdr:rowOff>
    </xdr:to>
    <xdr:cxnSp macro="">
      <xdr:nvCxnSpPr>
        <xdr:cNvPr id="197" name="Straight Arrow Connector 196"/>
        <xdr:cNvCxnSpPr/>
      </xdr:nvCxnSpPr>
      <xdr:spPr>
        <a:xfrm flipH="1">
          <a:off x="5715000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2976</xdr:colOff>
      <xdr:row>38</xdr:row>
      <xdr:rowOff>209733</xdr:rowOff>
    </xdr:from>
    <xdr:to>
      <xdr:col>38</xdr:col>
      <xdr:colOff>8929</xdr:colOff>
      <xdr:row>38</xdr:row>
      <xdr:rowOff>209733</xdr:rowOff>
    </xdr:to>
    <xdr:cxnSp macro="">
      <xdr:nvCxnSpPr>
        <xdr:cNvPr id="198" name="Straight Arrow Connector 197"/>
        <xdr:cNvCxnSpPr/>
      </xdr:nvCxnSpPr>
      <xdr:spPr>
        <a:xfrm flipH="1">
          <a:off x="6482952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95249</xdr:colOff>
      <xdr:row>38</xdr:row>
      <xdr:rowOff>209733</xdr:rowOff>
    </xdr:from>
    <xdr:to>
      <xdr:col>42</xdr:col>
      <xdr:colOff>5952</xdr:colOff>
      <xdr:row>38</xdr:row>
      <xdr:rowOff>209733</xdr:rowOff>
    </xdr:to>
    <xdr:cxnSp macro="">
      <xdr:nvCxnSpPr>
        <xdr:cNvPr id="199" name="Straight Arrow Connector 198"/>
        <xdr:cNvCxnSpPr/>
      </xdr:nvCxnSpPr>
      <xdr:spPr>
        <a:xfrm flipH="1">
          <a:off x="7238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95249</xdr:colOff>
      <xdr:row>38</xdr:row>
      <xdr:rowOff>209733</xdr:rowOff>
    </xdr:from>
    <xdr:to>
      <xdr:col>46</xdr:col>
      <xdr:colOff>5952</xdr:colOff>
      <xdr:row>38</xdr:row>
      <xdr:rowOff>209733</xdr:rowOff>
    </xdr:to>
    <xdr:cxnSp macro="">
      <xdr:nvCxnSpPr>
        <xdr:cNvPr id="200" name="Straight Arrow Connector 199"/>
        <xdr:cNvCxnSpPr/>
      </xdr:nvCxnSpPr>
      <xdr:spPr>
        <a:xfrm flipH="1">
          <a:off x="8000998" y="2373269"/>
          <a:ext cx="773906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76750</xdr:colOff>
      <xdr:row>38</xdr:row>
      <xdr:rowOff>25184</xdr:rowOff>
    </xdr:from>
    <xdr:to>
      <xdr:col>33</xdr:col>
      <xdr:colOff>21976</xdr:colOff>
      <xdr:row>38</xdr:row>
      <xdr:rowOff>205153</xdr:rowOff>
    </xdr:to>
    <xdr:sp macro="" textlink="">
      <xdr:nvSpPr>
        <xdr:cNvPr id="201" name="Rectangle 200"/>
        <xdr:cNvSpPr/>
      </xdr:nvSpPr>
      <xdr:spPr>
        <a:xfrm>
          <a:off x="5868500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34</xdr:col>
      <xdr:colOff>80413</xdr:colOff>
      <xdr:row>38</xdr:row>
      <xdr:rowOff>25184</xdr:rowOff>
    </xdr:from>
    <xdr:to>
      <xdr:col>37</xdr:col>
      <xdr:colOff>25639</xdr:colOff>
      <xdr:row>38</xdr:row>
      <xdr:rowOff>205153</xdr:rowOff>
    </xdr:to>
    <xdr:sp macro="" textlink="">
      <xdr:nvSpPr>
        <xdr:cNvPr id="202" name="Rectangle 201"/>
        <xdr:cNvSpPr/>
      </xdr:nvSpPr>
      <xdr:spPr>
        <a:xfrm>
          <a:off x="6637826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38</xdr:col>
      <xdr:colOff>84076</xdr:colOff>
      <xdr:row>38</xdr:row>
      <xdr:rowOff>25184</xdr:rowOff>
    </xdr:from>
    <xdr:to>
      <xdr:col>41</xdr:col>
      <xdr:colOff>29302</xdr:colOff>
      <xdr:row>38</xdr:row>
      <xdr:rowOff>205153</xdr:rowOff>
    </xdr:to>
    <xdr:sp macro="" textlink="">
      <xdr:nvSpPr>
        <xdr:cNvPr id="203" name="Rectangle 202"/>
        <xdr:cNvSpPr/>
      </xdr:nvSpPr>
      <xdr:spPr>
        <a:xfrm>
          <a:off x="7407152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42</xdr:col>
      <xdr:colOff>87739</xdr:colOff>
      <xdr:row>38</xdr:row>
      <xdr:rowOff>25184</xdr:rowOff>
    </xdr:from>
    <xdr:to>
      <xdr:col>45</xdr:col>
      <xdr:colOff>32965</xdr:colOff>
      <xdr:row>38</xdr:row>
      <xdr:rowOff>205153</xdr:rowOff>
    </xdr:to>
    <xdr:sp macro="" textlink="">
      <xdr:nvSpPr>
        <xdr:cNvPr id="204" name="Rectangle 203"/>
        <xdr:cNvSpPr/>
      </xdr:nvSpPr>
      <xdr:spPr>
        <a:xfrm>
          <a:off x="8176478" y="2188720"/>
          <a:ext cx="461952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900</a:t>
          </a:r>
        </a:p>
      </xdr:txBody>
    </xdr:sp>
    <xdr:clientData/>
  </xdr:twoCellAnchor>
  <xdr:twoCellAnchor>
    <xdr:from>
      <xdr:col>28</xdr:col>
      <xdr:colOff>3663</xdr:colOff>
      <xdr:row>38</xdr:row>
      <xdr:rowOff>25184</xdr:rowOff>
    </xdr:from>
    <xdr:to>
      <xdr:col>30</xdr:col>
      <xdr:colOff>3657</xdr:colOff>
      <xdr:row>38</xdr:row>
      <xdr:rowOff>205153</xdr:rowOff>
    </xdr:to>
    <xdr:sp macro="" textlink="">
      <xdr:nvSpPr>
        <xdr:cNvPr id="205" name="Rectangle 204"/>
        <xdr:cNvSpPr/>
      </xdr:nvSpPr>
      <xdr:spPr>
        <a:xfrm>
          <a:off x="5341326" y="2188720"/>
          <a:ext cx="380988" cy="1799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</a:t>
          </a:r>
        </a:p>
      </xdr:txBody>
    </xdr:sp>
    <xdr:clientData/>
  </xdr:twoCellAnchor>
  <xdr:twoCellAnchor>
    <xdr:from>
      <xdr:col>28</xdr:col>
      <xdr:colOff>2975</xdr:colOff>
      <xdr:row>38</xdr:row>
      <xdr:rowOff>5953</xdr:rowOff>
    </xdr:from>
    <xdr:to>
      <xdr:col>28</xdr:col>
      <xdr:colOff>2975</xdr:colOff>
      <xdr:row>40</xdr:row>
      <xdr:rowOff>1</xdr:rowOff>
    </xdr:to>
    <xdr:cxnSp macro="">
      <xdr:nvCxnSpPr>
        <xdr:cNvPr id="206" name="Straight Connector 205"/>
        <xdr:cNvCxnSpPr/>
      </xdr:nvCxnSpPr>
      <xdr:spPr>
        <a:xfrm flipV="1">
          <a:off x="5339950" y="2169489"/>
          <a:ext cx="0" cy="40226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10990</xdr:colOff>
      <xdr:row>38</xdr:row>
      <xdr:rowOff>209733</xdr:rowOff>
    </xdr:from>
    <xdr:to>
      <xdr:col>29</xdr:col>
      <xdr:colOff>84259</xdr:colOff>
      <xdr:row>38</xdr:row>
      <xdr:rowOff>209733</xdr:rowOff>
    </xdr:to>
    <xdr:cxnSp macro="">
      <xdr:nvCxnSpPr>
        <xdr:cNvPr id="207" name="Straight Arrow Connector 206"/>
        <xdr:cNvCxnSpPr/>
      </xdr:nvCxnSpPr>
      <xdr:spPr>
        <a:xfrm flipH="1">
          <a:off x="5355980" y="2373269"/>
          <a:ext cx="33703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2811</xdr:colOff>
      <xdr:row>43</xdr:row>
      <xdr:rowOff>20052</xdr:rowOff>
    </xdr:from>
    <xdr:to>
      <xdr:col>26</xdr:col>
      <xdr:colOff>92796</xdr:colOff>
      <xdr:row>44</xdr:row>
      <xdr:rowOff>188808</xdr:rowOff>
    </xdr:to>
    <xdr:sp macro="" textlink="">
      <xdr:nvSpPr>
        <xdr:cNvPr id="208" name="Rectangle 207"/>
        <xdr:cNvSpPr/>
      </xdr:nvSpPr>
      <xdr:spPr>
        <a:xfrm rot="16200000">
          <a:off x="4862175" y="3300570"/>
          <a:ext cx="372864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500</a:t>
          </a:r>
        </a:p>
      </xdr:txBody>
    </xdr:sp>
    <xdr:clientData/>
  </xdr:twoCellAnchor>
  <xdr:twoCellAnchor>
    <xdr:from>
      <xdr:col>26</xdr:col>
      <xdr:colOff>2811</xdr:colOff>
      <xdr:row>45</xdr:row>
      <xdr:rowOff>185488</xdr:rowOff>
    </xdr:from>
    <xdr:to>
      <xdr:col>26</xdr:col>
      <xdr:colOff>92796</xdr:colOff>
      <xdr:row>48</xdr:row>
      <xdr:rowOff>20053</xdr:rowOff>
    </xdr:to>
    <xdr:sp macro="" textlink="">
      <xdr:nvSpPr>
        <xdr:cNvPr id="209" name="Rectangle 208"/>
        <xdr:cNvSpPr/>
      </xdr:nvSpPr>
      <xdr:spPr>
        <a:xfrm rot="16200000">
          <a:off x="4825164" y="3911232"/>
          <a:ext cx="446886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26</xdr:col>
      <xdr:colOff>2811</xdr:colOff>
      <xdr:row>49</xdr:row>
      <xdr:rowOff>190503</xdr:rowOff>
    </xdr:from>
    <xdr:to>
      <xdr:col>26</xdr:col>
      <xdr:colOff>92796</xdr:colOff>
      <xdr:row>52</xdr:row>
      <xdr:rowOff>25068</xdr:rowOff>
    </xdr:to>
    <xdr:sp macro="" textlink="">
      <xdr:nvSpPr>
        <xdr:cNvPr id="210" name="Rectangle 209"/>
        <xdr:cNvSpPr/>
      </xdr:nvSpPr>
      <xdr:spPr>
        <a:xfrm rot="16200000">
          <a:off x="4825163" y="4732676"/>
          <a:ext cx="446887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1000</a:t>
          </a:r>
        </a:p>
      </xdr:txBody>
    </xdr:sp>
    <xdr:clientData/>
  </xdr:twoCellAnchor>
  <xdr:twoCellAnchor>
    <xdr:from>
      <xdr:col>28</xdr:col>
      <xdr:colOff>81510</xdr:colOff>
      <xdr:row>40</xdr:row>
      <xdr:rowOff>110909</xdr:rowOff>
    </xdr:from>
    <xdr:to>
      <xdr:col>31</xdr:col>
      <xdr:colOff>26736</xdr:colOff>
      <xdr:row>41</xdr:row>
      <xdr:rowOff>81328</xdr:rowOff>
    </xdr:to>
    <xdr:sp macro="" textlink="">
      <xdr:nvSpPr>
        <xdr:cNvPr id="211" name="Rectangle 210"/>
        <xdr:cNvSpPr/>
      </xdr:nvSpPr>
      <xdr:spPr>
        <a:xfrm>
          <a:off x="549702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32</xdr:col>
      <xdr:colOff>76745</xdr:colOff>
      <xdr:row>40</xdr:row>
      <xdr:rowOff>110909</xdr:rowOff>
    </xdr:from>
    <xdr:to>
      <xdr:col>35</xdr:col>
      <xdr:colOff>21971</xdr:colOff>
      <xdr:row>41</xdr:row>
      <xdr:rowOff>81328</xdr:rowOff>
    </xdr:to>
    <xdr:sp macro="" textlink="">
      <xdr:nvSpPr>
        <xdr:cNvPr id="212" name="Rectangle 211"/>
        <xdr:cNvSpPr/>
      </xdr:nvSpPr>
      <xdr:spPr>
        <a:xfrm>
          <a:off x="6249490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36</xdr:col>
      <xdr:colOff>71982</xdr:colOff>
      <xdr:row>40</xdr:row>
      <xdr:rowOff>110909</xdr:rowOff>
    </xdr:from>
    <xdr:to>
      <xdr:col>39</xdr:col>
      <xdr:colOff>17208</xdr:colOff>
      <xdr:row>41</xdr:row>
      <xdr:rowOff>81328</xdr:rowOff>
    </xdr:to>
    <xdr:sp macro="" textlink="">
      <xdr:nvSpPr>
        <xdr:cNvPr id="213" name="Rectangle 212"/>
        <xdr:cNvSpPr/>
      </xdr:nvSpPr>
      <xdr:spPr>
        <a:xfrm>
          <a:off x="700196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40</xdr:col>
      <xdr:colOff>76744</xdr:colOff>
      <xdr:row>40</xdr:row>
      <xdr:rowOff>110909</xdr:rowOff>
    </xdr:from>
    <xdr:to>
      <xdr:col>43</xdr:col>
      <xdr:colOff>21970</xdr:colOff>
      <xdr:row>41</xdr:row>
      <xdr:rowOff>81328</xdr:rowOff>
    </xdr:to>
    <xdr:sp macro="" textlink="">
      <xdr:nvSpPr>
        <xdr:cNvPr id="214" name="Rectangle 213"/>
        <xdr:cNvSpPr/>
      </xdr:nvSpPr>
      <xdr:spPr>
        <a:xfrm>
          <a:off x="7773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44</xdr:col>
      <xdr:colOff>76744</xdr:colOff>
      <xdr:row>40</xdr:row>
      <xdr:rowOff>110909</xdr:rowOff>
    </xdr:from>
    <xdr:to>
      <xdr:col>47</xdr:col>
      <xdr:colOff>21970</xdr:colOff>
      <xdr:row>41</xdr:row>
      <xdr:rowOff>81328</xdr:rowOff>
    </xdr:to>
    <xdr:sp macro="" textlink="">
      <xdr:nvSpPr>
        <xdr:cNvPr id="215" name="Rectangle 214"/>
        <xdr:cNvSpPr/>
      </xdr:nvSpPr>
      <xdr:spPr>
        <a:xfrm>
          <a:off x="853548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3</xdr:col>
      <xdr:colOff>81507</xdr:colOff>
      <xdr:row>40</xdr:row>
      <xdr:rowOff>110909</xdr:rowOff>
    </xdr:from>
    <xdr:to>
      <xdr:col>6</xdr:col>
      <xdr:colOff>26733</xdr:colOff>
      <xdr:row>41</xdr:row>
      <xdr:rowOff>81328</xdr:rowOff>
    </xdr:to>
    <xdr:sp macro="" textlink="">
      <xdr:nvSpPr>
        <xdr:cNvPr id="216" name="Rectangle 215"/>
        <xdr:cNvSpPr/>
      </xdr:nvSpPr>
      <xdr:spPr>
        <a:xfrm>
          <a:off x="73451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</a:t>
          </a:r>
        </a:p>
      </xdr:txBody>
    </xdr:sp>
    <xdr:clientData/>
  </xdr:twoCellAnchor>
  <xdr:twoCellAnchor>
    <xdr:from>
      <xdr:col>7</xdr:col>
      <xdr:colOff>76742</xdr:colOff>
      <xdr:row>40</xdr:row>
      <xdr:rowOff>110909</xdr:rowOff>
    </xdr:from>
    <xdr:to>
      <xdr:col>10</xdr:col>
      <xdr:colOff>21968</xdr:colOff>
      <xdr:row>41</xdr:row>
      <xdr:rowOff>81328</xdr:rowOff>
    </xdr:to>
    <xdr:sp macro="" textlink="">
      <xdr:nvSpPr>
        <xdr:cNvPr id="217" name="Rectangle 216"/>
        <xdr:cNvSpPr/>
      </xdr:nvSpPr>
      <xdr:spPr>
        <a:xfrm>
          <a:off x="1486984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B</a:t>
          </a:r>
        </a:p>
      </xdr:txBody>
    </xdr:sp>
    <xdr:clientData/>
  </xdr:twoCellAnchor>
  <xdr:twoCellAnchor>
    <xdr:from>
      <xdr:col>11</xdr:col>
      <xdr:colOff>71979</xdr:colOff>
      <xdr:row>40</xdr:row>
      <xdr:rowOff>110909</xdr:rowOff>
    </xdr:from>
    <xdr:to>
      <xdr:col>14</xdr:col>
      <xdr:colOff>17205</xdr:colOff>
      <xdr:row>41</xdr:row>
      <xdr:rowOff>81328</xdr:rowOff>
    </xdr:to>
    <xdr:sp macro="" textlink="">
      <xdr:nvSpPr>
        <xdr:cNvPr id="218" name="Rectangle 217"/>
        <xdr:cNvSpPr/>
      </xdr:nvSpPr>
      <xdr:spPr>
        <a:xfrm>
          <a:off x="2239458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</a:t>
          </a:r>
        </a:p>
      </xdr:txBody>
    </xdr:sp>
    <xdr:clientData/>
  </xdr:twoCellAnchor>
  <xdr:twoCellAnchor>
    <xdr:from>
      <xdr:col>15</xdr:col>
      <xdr:colOff>76741</xdr:colOff>
      <xdr:row>40</xdr:row>
      <xdr:rowOff>110909</xdr:rowOff>
    </xdr:from>
    <xdr:to>
      <xdr:col>18</xdr:col>
      <xdr:colOff>21967</xdr:colOff>
      <xdr:row>41</xdr:row>
      <xdr:rowOff>81328</xdr:rowOff>
    </xdr:to>
    <xdr:sp macro="" textlink="">
      <xdr:nvSpPr>
        <xdr:cNvPr id="219" name="Rectangle 218"/>
        <xdr:cNvSpPr/>
      </xdr:nvSpPr>
      <xdr:spPr>
        <a:xfrm>
          <a:off x="3010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D</a:t>
          </a:r>
        </a:p>
      </xdr:txBody>
    </xdr:sp>
    <xdr:clientData/>
  </xdr:twoCellAnchor>
  <xdr:twoCellAnchor>
    <xdr:from>
      <xdr:col>19</xdr:col>
      <xdr:colOff>76741</xdr:colOff>
      <xdr:row>40</xdr:row>
      <xdr:rowOff>110909</xdr:rowOff>
    </xdr:from>
    <xdr:to>
      <xdr:col>22</xdr:col>
      <xdr:colOff>21967</xdr:colOff>
      <xdr:row>41</xdr:row>
      <xdr:rowOff>81328</xdr:rowOff>
    </xdr:to>
    <xdr:sp macro="" textlink="">
      <xdr:nvSpPr>
        <xdr:cNvPr id="220" name="Rectangle 219"/>
        <xdr:cNvSpPr/>
      </xdr:nvSpPr>
      <xdr:spPr>
        <a:xfrm>
          <a:off x="3772982" y="2682659"/>
          <a:ext cx="461952" cy="174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</a:t>
          </a:r>
        </a:p>
      </xdr:txBody>
    </xdr:sp>
    <xdr:clientData/>
  </xdr:twoCellAnchor>
  <xdr:twoCellAnchor>
    <xdr:from>
      <xdr:col>23</xdr:col>
      <xdr:colOff>654</xdr:colOff>
      <xdr:row>54</xdr:row>
      <xdr:rowOff>201089</xdr:rowOff>
    </xdr:from>
    <xdr:to>
      <xdr:col>23</xdr:col>
      <xdr:colOff>654</xdr:colOff>
      <xdr:row>56</xdr:row>
      <xdr:rowOff>195136</xdr:rowOff>
    </xdr:to>
    <xdr:cxnSp macro="">
      <xdr:nvCxnSpPr>
        <xdr:cNvPr id="221" name="Straight Connector 220"/>
        <xdr:cNvCxnSpPr/>
      </xdr:nvCxnSpPr>
      <xdr:spPr>
        <a:xfrm flipV="1">
          <a:off x="43828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3284</xdr:colOff>
      <xdr:row>55</xdr:row>
      <xdr:rowOff>191957</xdr:rowOff>
    </xdr:from>
    <xdr:to>
      <xdr:col>23</xdr:col>
      <xdr:colOff>3633</xdr:colOff>
      <xdr:row>55</xdr:row>
      <xdr:rowOff>191957</xdr:rowOff>
    </xdr:to>
    <xdr:cxnSp macro="">
      <xdr:nvCxnSpPr>
        <xdr:cNvPr id="222" name="Straight Arrow Connector 221"/>
        <xdr:cNvCxnSpPr/>
      </xdr:nvCxnSpPr>
      <xdr:spPr>
        <a:xfrm flipH="1">
          <a:off x="5780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</xdr:colOff>
      <xdr:row>54</xdr:row>
      <xdr:rowOff>201089</xdr:rowOff>
    </xdr:from>
    <xdr:to>
      <xdr:col>3</xdr:col>
      <xdr:colOff>653</xdr:colOff>
      <xdr:row>56</xdr:row>
      <xdr:rowOff>195136</xdr:rowOff>
    </xdr:to>
    <xdr:cxnSp macro="">
      <xdr:nvCxnSpPr>
        <xdr:cNvPr id="223" name="Straight Connector 222"/>
        <xdr:cNvCxnSpPr/>
      </xdr:nvCxnSpPr>
      <xdr:spPr>
        <a:xfrm flipV="1">
          <a:off x="5728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76749</xdr:colOff>
      <xdr:row>55</xdr:row>
      <xdr:rowOff>198937</xdr:rowOff>
    </xdr:from>
    <xdr:to>
      <xdr:col>14</xdr:col>
      <xdr:colOff>21975</xdr:colOff>
      <xdr:row>56</xdr:row>
      <xdr:rowOff>174800</xdr:rowOff>
    </xdr:to>
    <xdr:sp macro="" textlink="">
      <xdr:nvSpPr>
        <xdr:cNvPr id="224" name="Rectangle 223"/>
        <xdr:cNvSpPr/>
      </xdr:nvSpPr>
      <xdr:spPr>
        <a:xfrm>
          <a:off x="22489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48</xdr:col>
      <xdr:colOff>654</xdr:colOff>
      <xdr:row>54</xdr:row>
      <xdr:rowOff>201089</xdr:rowOff>
    </xdr:from>
    <xdr:to>
      <xdr:col>48</xdr:col>
      <xdr:colOff>654</xdr:colOff>
      <xdr:row>56</xdr:row>
      <xdr:rowOff>195136</xdr:rowOff>
    </xdr:to>
    <xdr:cxnSp macro="">
      <xdr:nvCxnSpPr>
        <xdr:cNvPr id="225" name="Straight Connector 224"/>
        <xdr:cNvCxnSpPr/>
      </xdr:nvCxnSpPr>
      <xdr:spPr>
        <a:xfrm flipV="1">
          <a:off x="9145308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3284</xdr:colOff>
      <xdr:row>55</xdr:row>
      <xdr:rowOff>191957</xdr:rowOff>
    </xdr:from>
    <xdr:to>
      <xdr:col>48</xdr:col>
      <xdr:colOff>3633</xdr:colOff>
      <xdr:row>55</xdr:row>
      <xdr:rowOff>191957</xdr:rowOff>
    </xdr:to>
    <xdr:cxnSp macro="">
      <xdr:nvCxnSpPr>
        <xdr:cNvPr id="226" name="Straight Arrow Connector 225"/>
        <xdr:cNvCxnSpPr/>
      </xdr:nvCxnSpPr>
      <xdr:spPr>
        <a:xfrm flipH="1">
          <a:off x="5340568" y="5825314"/>
          <a:ext cx="3810698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653</xdr:colOff>
      <xdr:row>54</xdr:row>
      <xdr:rowOff>201089</xdr:rowOff>
    </xdr:from>
    <xdr:to>
      <xdr:col>28</xdr:col>
      <xdr:colOff>653</xdr:colOff>
      <xdr:row>56</xdr:row>
      <xdr:rowOff>195136</xdr:rowOff>
    </xdr:to>
    <xdr:cxnSp macro="">
      <xdr:nvCxnSpPr>
        <xdr:cNvPr id="227" name="Straight Connector 226"/>
        <xdr:cNvCxnSpPr/>
      </xdr:nvCxnSpPr>
      <xdr:spPr>
        <a:xfrm flipV="1">
          <a:off x="5335306" y="5630339"/>
          <a:ext cx="0" cy="402261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76749</xdr:colOff>
      <xdr:row>55</xdr:row>
      <xdr:rowOff>198937</xdr:rowOff>
    </xdr:from>
    <xdr:to>
      <xdr:col>39</xdr:col>
      <xdr:colOff>21975</xdr:colOff>
      <xdr:row>56</xdr:row>
      <xdr:rowOff>174800</xdr:rowOff>
    </xdr:to>
    <xdr:sp macro="" textlink="">
      <xdr:nvSpPr>
        <xdr:cNvPr id="228" name="Rectangle 227"/>
        <xdr:cNvSpPr/>
      </xdr:nvSpPr>
      <xdr:spPr>
        <a:xfrm>
          <a:off x="7011498" y="5832294"/>
          <a:ext cx="461952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4500</a:t>
          </a:r>
        </a:p>
      </xdr:txBody>
    </xdr:sp>
    <xdr:clientData/>
  </xdr:twoCellAnchor>
  <xdr:twoCellAnchor>
    <xdr:from>
      <xdr:col>23</xdr:col>
      <xdr:colOff>4082</xdr:colOff>
      <xdr:row>55</xdr:row>
      <xdr:rowOff>2720</xdr:rowOff>
    </xdr:from>
    <xdr:to>
      <xdr:col>24</xdr:col>
      <xdr:colOff>47625</xdr:colOff>
      <xdr:row>55</xdr:row>
      <xdr:rowOff>2720</xdr:rowOff>
    </xdr:to>
    <xdr:cxnSp macro="">
      <xdr:nvCxnSpPr>
        <xdr:cNvPr id="229" name="Straight Connector 228"/>
        <xdr:cNvCxnSpPr/>
      </xdr:nvCxnSpPr>
      <xdr:spPr>
        <a:xfrm flipH="1">
          <a:off x="43896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95247</xdr:colOff>
      <xdr:row>43</xdr:row>
      <xdr:rowOff>10886</xdr:rowOff>
    </xdr:from>
    <xdr:to>
      <xdr:col>23</xdr:col>
      <xdr:colOff>95247</xdr:colOff>
      <xdr:row>55</xdr:row>
      <xdr:rowOff>9525</xdr:rowOff>
    </xdr:to>
    <xdr:cxnSp macro="">
      <xdr:nvCxnSpPr>
        <xdr:cNvPr id="230" name="Straight Arrow Connector 229"/>
        <xdr:cNvCxnSpPr/>
      </xdr:nvCxnSpPr>
      <xdr:spPr>
        <a:xfrm>
          <a:off x="45719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4082</xdr:colOff>
      <xdr:row>42</xdr:row>
      <xdr:rowOff>205468</xdr:rowOff>
    </xdr:from>
    <xdr:to>
      <xdr:col>24</xdr:col>
      <xdr:colOff>47625</xdr:colOff>
      <xdr:row>42</xdr:row>
      <xdr:rowOff>205468</xdr:rowOff>
    </xdr:to>
    <xdr:cxnSp macro="">
      <xdr:nvCxnSpPr>
        <xdr:cNvPr id="231" name="Straight Connector 230"/>
        <xdr:cNvCxnSpPr/>
      </xdr:nvCxnSpPr>
      <xdr:spPr>
        <a:xfrm flipH="1">
          <a:off x="43896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12337</xdr:colOff>
      <xdr:row>48</xdr:row>
      <xdr:rowOff>52139</xdr:rowOff>
    </xdr:from>
    <xdr:to>
      <xdr:col>25</xdr:col>
      <xdr:colOff>7072</xdr:colOff>
      <xdr:row>50</xdr:row>
      <xdr:rowOff>96254</xdr:rowOff>
    </xdr:to>
    <xdr:sp macro="" textlink="">
      <xdr:nvSpPr>
        <xdr:cNvPr id="232" name="Rectangle 231"/>
        <xdr:cNvSpPr/>
      </xdr:nvSpPr>
      <xdr:spPr>
        <a:xfrm rot="16200000">
          <a:off x="44604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48</xdr:col>
      <xdr:colOff>4082</xdr:colOff>
      <xdr:row>55</xdr:row>
      <xdr:rowOff>2720</xdr:rowOff>
    </xdr:from>
    <xdr:to>
      <xdr:col>49</xdr:col>
      <xdr:colOff>47625</xdr:colOff>
      <xdr:row>55</xdr:row>
      <xdr:rowOff>2720</xdr:rowOff>
    </xdr:to>
    <xdr:cxnSp macro="">
      <xdr:nvCxnSpPr>
        <xdr:cNvPr id="233" name="Straight Connector 232"/>
        <xdr:cNvCxnSpPr/>
      </xdr:nvCxnSpPr>
      <xdr:spPr>
        <a:xfrm flipH="1">
          <a:off x="9152164" y="5636077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95247</xdr:colOff>
      <xdr:row>43</xdr:row>
      <xdr:rowOff>10886</xdr:rowOff>
    </xdr:from>
    <xdr:to>
      <xdr:col>48</xdr:col>
      <xdr:colOff>95247</xdr:colOff>
      <xdr:row>55</xdr:row>
      <xdr:rowOff>9525</xdr:rowOff>
    </xdr:to>
    <xdr:cxnSp macro="">
      <xdr:nvCxnSpPr>
        <xdr:cNvPr id="234" name="Straight Arrow Connector 233"/>
        <xdr:cNvCxnSpPr/>
      </xdr:nvCxnSpPr>
      <xdr:spPr>
        <a:xfrm>
          <a:off x="9334494" y="3194957"/>
          <a:ext cx="0" cy="2447925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4082</xdr:colOff>
      <xdr:row>42</xdr:row>
      <xdr:rowOff>205468</xdr:rowOff>
    </xdr:from>
    <xdr:to>
      <xdr:col>49</xdr:col>
      <xdr:colOff>47625</xdr:colOff>
      <xdr:row>42</xdr:row>
      <xdr:rowOff>205468</xdr:rowOff>
    </xdr:to>
    <xdr:cxnSp macro="">
      <xdr:nvCxnSpPr>
        <xdr:cNvPr id="235" name="Straight Connector 234"/>
        <xdr:cNvCxnSpPr/>
      </xdr:nvCxnSpPr>
      <xdr:spPr>
        <a:xfrm flipH="1">
          <a:off x="9152164" y="3185432"/>
          <a:ext cx="277586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12337</xdr:colOff>
      <xdr:row>48</xdr:row>
      <xdr:rowOff>52139</xdr:rowOff>
    </xdr:from>
    <xdr:to>
      <xdr:col>50</xdr:col>
      <xdr:colOff>7072</xdr:colOff>
      <xdr:row>50</xdr:row>
      <xdr:rowOff>96254</xdr:rowOff>
    </xdr:to>
    <xdr:sp macro="" textlink="">
      <xdr:nvSpPr>
        <xdr:cNvPr id="236" name="Rectangle 235"/>
        <xdr:cNvSpPr/>
      </xdr:nvSpPr>
      <xdr:spPr>
        <a:xfrm rot="16200000">
          <a:off x="9222994" y="4392926"/>
          <a:ext cx="452329" cy="17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3000</a:t>
          </a:r>
        </a:p>
      </xdr:txBody>
    </xdr:sp>
    <xdr:clientData/>
  </xdr:twoCellAnchor>
  <xdr:twoCellAnchor>
    <xdr:from>
      <xdr:col>9</xdr:col>
      <xdr:colOff>2323</xdr:colOff>
      <xdr:row>42</xdr:row>
      <xdr:rowOff>204438</xdr:rowOff>
    </xdr:from>
    <xdr:to>
      <xdr:col>9</xdr:col>
      <xdr:colOff>2323</xdr:colOff>
      <xdr:row>47</xdr:row>
      <xdr:rowOff>5443</xdr:rowOff>
    </xdr:to>
    <xdr:cxnSp macro="">
      <xdr:nvCxnSpPr>
        <xdr:cNvPr id="238" name="Straight Arrow Connector 237"/>
        <xdr:cNvCxnSpPr>
          <a:endCxn id="140" idx="2"/>
        </xdr:cNvCxnSpPr>
      </xdr:nvCxnSpPr>
      <xdr:spPr>
        <a:xfrm flipV="1">
          <a:off x="171914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92130</xdr:colOff>
      <xdr:row>42</xdr:row>
      <xdr:rowOff>204438</xdr:rowOff>
    </xdr:from>
    <xdr:to>
      <xdr:col>12</xdr:col>
      <xdr:colOff>92130</xdr:colOff>
      <xdr:row>47</xdr:row>
      <xdr:rowOff>5443</xdr:rowOff>
    </xdr:to>
    <xdr:cxnSp macro="">
      <xdr:nvCxnSpPr>
        <xdr:cNvPr id="239" name="Straight Arrow Connector 238"/>
        <xdr:cNvCxnSpPr/>
      </xdr:nvCxnSpPr>
      <xdr:spPr>
        <a:xfrm flipV="1">
          <a:off x="2470260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94851</xdr:colOff>
      <xdr:row>42</xdr:row>
      <xdr:rowOff>204438</xdr:rowOff>
    </xdr:from>
    <xdr:to>
      <xdr:col>16</xdr:col>
      <xdr:colOff>94851</xdr:colOff>
      <xdr:row>47</xdr:row>
      <xdr:rowOff>5443</xdr:rowOff>
    </xdr:to>
    <xdr:cxnSp macro="">
      <xdr:nvCxnSpPr>
        <xdr:cNvPr id="240" name="Straight Arrow Connector 239"/>
        <xdr:cNvCxnSpPr/>
      </xdr:nvCxnSpPr>
      <xdr:spPr>
        <a:xfrm flipV="1">
          <a:off x="323770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94288</xdr:colOff>
      <xdr:row>42</xdr:row>
      <xdr:rowOff>204438</xdr:rowOff>
    </xdr:from>
    <xdr:to>
      <xdr:col>33</xdr:col>
      <xdr:colOff>94288</xdr:colOff>
      <xdr:row>47</xdr:row>
      <xdr:rowOff>5443</xdr:rowOff>
    </xdr:to>
    <xdr:cxnSp macro="">
      <xdr:nvCxnSpPr>
        <xdr:cNvPr id="241" name="Straight Arrow Connector 240"/>
        <xdr:cNvCxnSpPr/>
      </xdr:nvCxnSpPr>
      <xdr:spPr>
        <a:xfrm flipV="1">
          <a:off x="6475076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92129</xdr:colOff>
      <xdr:row>42</xdr:row>
      <xdr:rowOff>204438</xdr:rowOff>
    </xdr:from>
    <xdr:to>
      <xdr:col>37</xdr:col>
      <xdr:colOff>92129</xdr:colOff>
      <xdr:row>47</xdr:row>
      <xdr:rowOff>5443</xdr:rowOff>
    </xdr:to>
    <xdr:cxnSp macro="">
      <xdr:nvCxnSpPr>
        <xdr:cNvPr id="242" name="Straight Arrow Connector 241"/>
        <xdr:cNvCxnSpPr/>
      </xdr:nvCxnSpPr>
      <xdr:spPr>
        <a:xfrm flipV="1">
          <a:off x="7232758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91566</xdr:colOff>
      <xdr:row>42</xdr:row>
      <xdr:rowOff>204438</xdr:rowOff>
    </xdr:from>
    <xdr:to>
      <xdr:col>41</xdr:col>
      <xdr:colOff>91566</xdr:colOff>
      <xdr:row>47</xdr:row>
      <xdr:rowOff>5443</xdr:rowOff>
    </xdr:to>
    <xdr:cxnSp macro="">
      <xdr:nvCxnSpPr>
        <xdr:cNvPr id="243" name="Straight Arrow Connector 242"/>
        <xdr:cNvCxnSpPr/>
      </xdr:nvCxnSpPr>
      <xdr:spPr>
        <a:xfrm flipV="1">
          <a:off x="7993632" y="3184402"/>
          <a:ext cx="0" cy="82154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51</xdr:row>
      <xdr:rowOff>6569</xdr:rowOff>
    </xdr:from>
    <xdr:to>
      <xdr:col>9</xdr:col>
      <xdr:colOff>0</xdr:colOff>
      <xdr:row>54</xdr:row>
      <xdr:rowOff>197069</xdr:rowOff>
    </xdr:to>
    <xdr:cxnSp macro="">
      <xdr:nvCxnSpPr>
        <xdr:cNvPr id="244" name="Straight Arrow Connector 243"/>
        <xdr:cNvCxnSpPr/>
      </xdr:nvCxnSpPr>
      <xdr:spPr>
        <a:xfrm>
          <a:off x="1714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51</xdr:row>
      <xdr:rowOff>6569</xdr:rowOff>
    </xdr:from>
    <xdr:to>
      <xdr:col>13</xdr:col>
      <xdr:colOff>0</xdr:colOff>
      <xdr:row>54</xdr:row>
      <xdr:rowOff>197069</xdr:rowOff>
    </xdr:to>
    <xdr:cxnSp macro="">
      <xdr:nvCxnSpPr>
        <xdr:cNvPr id="245" name="Straight Arrow Connector 244"/>
        <xdr:cNvCxnSpPr/>
      </xdr:nvCxnSpPr>
      <xdr:spPr>
        <a:xfrm>
          <a:off x="2476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51</xdr:row>
      <xdr:rowOff>6569</xdr:rowOff>
    </xdr:from>
    <xdr:to>
      <xdr:col>17</xdr:col>
      <xdr:colOff>0</xdr:colOff>
      <xdr:row>54</xdr:row>
      <xdr:rowOff>197069</xdr:rowOff>
    </xdr:to>
    <xdr:cxnSp macro="">
      <xdr:nvCxnSpPr>
        <xdr:cNvPr id="246" name="Straight Arrow Connector 245"/>
        <xdr:cNvCxnSpPr/>
      </xdr:nvCxnSpPr>
      <xdr:spPr>
        <a:xfrm>
          <a:off x="32385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51</xdr:row>
      <xdr:rowOff>6569</xdr:rowOff>
    </xdr:from>
    <xdr:to>
      <xdr:col>34</xdr:col>
      <xdr:colOff>0</xdr:colOff>
      <xdr:row>54</xdr:row>
      <xdr:rowOff>197069</xdr:rowOff>
    </xdr:to>
    <xdr:cxnSp macro="">
      <xdr:nvCxnSpPr>
        <xdr:cNvPr id="247" name="Straight Arrow Connector 246"/>
        <xdr:cNvCxnSpPr/>
      </xdr:nvCxnSpPr>
      <xdr:spPr>
        <a:xfrm>
          <a:off x="6477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51</xdr:row>
      <xdr:rowOff>6569</xdr:rowOff>
    </xdr:from>
    <xdr:to>
      <xdr:col>38</xdr:col>
      <xdr:colOff>0</xdr:colOff>
      <xdr:row>54</xdr:row>
      <xdr:rowOff>197069</xdr:rowOff>
    </xdr:to>
    <xdr:cxnSp macro="">
      <xdr:nvCxnSpPr>
        <xdr:cNvPr id="248" name="Straight Arrow Connector 247"/>
        <xdr:cNvCxnSpPr/>
      </xdr:nvCxnSpPr>
      <xdr:spPr>
        <a:xfrm>
          <a:off x="7239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51</xdr:row>
      <xdr:rowOff>6569</xdr:rowOff>
    </xdr:from>
    <xdr:to>
      <xdr:col>42</xdr:col>
      <xdr:colOff>0</xdr:colOff>
      <xdr:row>54</xdr:row>
      <xdr:rowOff>197069</xdr:rowOff>
    </xdr:to>
    <xdr:cxnSp macro="">
      <xdr:nvCxnSpPr>
        <xdr:cNvPr id="249" name="Straight Arrow Connector 248"/>
        <xdr:cNvCxnSpPr/>
      </xdr:nvCxnSpPr>
      <xdr:spPr>
        <a:xfrm>
          <a:off x="8001000" y="4823498"/>
          <a:ext cx="0" cy="80282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60613</xdr:colOff>
      <xdr:row>13</xdr:row>
      <xdr:rowOff>12989</xdr:rowOff>
    </xdr:from>
    <xdr:to>
      <xdr:col>25</xdr:col>
      <xdr:colOff>64942</xdr:colOff>
      <xdr:row>14</xdr:row>
      <xdr:rowOff>4330</xdr:rowOff>
    </xdr:to>
    <xdr:grpSp>
      <xdr:nvGrpSpPr>
        <xdr:cNvPr id="252" name="Group 251"/>
        <xdr:cNvGrpSpPr/>
      </xdr:nvGrpSpPr>
      <xdr:grpSpPr>
        <a:xfrm>
          <a:off x="4693226" y="2892901"/>
          <a:ext cx="199158" cy="204253"/>
          <a:chOff x="4797136" y="2861830"/>
          <a:chExt cx="199158" cy="199159"/>
        </a:xfrm>
      </xdr:grpSpPr>
      <xdr:sp macro="" textlink="">
        <xdr:nvSpPr>
          <xdr:cNvPr id="250" name="Oval 249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1" name="Flowchart: Connector 250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24</xdr:col>
      <xdr:colOff>56284</xdr:colOff>
      <xdr:row>41</xdr:row>
      <xdr:rowOff>17318</xdr:rowOff>
    </xdr:from>
    <xdr:to>
      <xdr:col>25</xdr:col>
      <xdr:colOff>60613</xdr:colOff>
      <xdr:row>42</xdr:row>
      <xdr:rowOff>8659</xdr:rowOff>
    </xdr:to>
    <xdr:grpSp>
      <xdr:nvGrpSpPr>
        <xdr:cNvPr id="253" name="Group 252"/>
        <xdr:cNvGrpSpPr/>
      </xdr:nvGrpSpPr>
      <xdr:grpSpPr>
        <a:xfrm>
          <a:off x="4684568" y="9407847"/>
          <a:ext cx="199158" cy="204253"/>
          <a:chOff x="4797136" y="2861830"/>
          <a:chExt cx="199158" cy="199159"/>
        </a:xfrm>
      </xdr:grpSpPr>
      <xdr:sp macro="" textlink="">
        <xdr:nvSpPr>
          <xdr:cNvPr id="254" name="Oval 253"/>
          <xdr:cNvSpPr/>
        </xdr:nvSpPr>
        <xdr:spPr>
          <a:xfrm>
            <a:off x="4797136" y="2861830"/>
            <a:ext cx="199158" cy="199159"/>
          </a:xfrm>
          <a:prstGeom prst="ellipse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5" name="Flowchart: Connector 254"/>
          <xdr:cNvSpPr/>
        </xdr:nvSpPr>
        <xdr:spPr>
          <a:xfrm>
            <a:off x="4875068" y="2937338"/>
            <a:ext cx="45720" cy="45719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5441</xdr:colOff>
      <xdr:row>19</xdr:row>
      <xdr:rowOff>16329</xdr:rowOff>
    </xdr:from>
    <xdr:to>
      <xdr:col>10</xdr:col>
      <xdr:colOff>89806</xdr:colOff>
      <xdr:row>22</xdr:row>
      <xdr:rowOff>206829</xdr:rowOff>
    </xdr:to>
    <xdr:sp macro="" textlink="">
      <xdr:nvSpPr>
        <xdr:cNvPr id="256" name="Rectangle 255"/>
        <xdr:cNvSpPr/>
      </xdr:nvSpPr>
      <xdr:spPr>
        <a:xfrm>
          <a:off x="1344383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11</xdr:col>
      <xdr:colOff>8158</xdr:colOff>
      <xdr:row>19</xdr:row>
      <xdr:rowOff>16329</xdr:rowOff>
    </xdr:from>
    <xdr:to>
      <xdr:col>14</xdr:col>
      <xdr:colOff>92523</xdr:colOff>
      <xdr:row>22</xdr:row>
      <xdr:rowOff>206829</xdr:rowOff>
    </xdr:to>
    <xdr:sp macro="" textlink="">
      <xdr:nvSpPr>
        <xdr:cNvPr id="257" name="Rectangle 256"/>
        <xdr:cNvSpPr/>
      </xdr:nvSpPr>
      <xdr:spPr>
        <a:xfrm>
          <a:off x="2111817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25.5</a:t>
          </a:r>
        </a:p>
      </xdr:txBody>
    </xdr:sp>
    <xdr:clientData/>
  </xdr:twoCellAnchor>
  <xdr:twoCellAnchor>
    <xdr:from>
      <xdr:col>15</xdr:col>
      <xdr:colOff>5435</xdr:colOff>
      <xdr:row>19</xdr:row>
      <xdr:rowOff>16329</xdr:rowOff>
    </xdr:from>
    <xdr:to>
      <xdr:col>18</xdr:col>
      <xdr:colOff>89800</xdr:colOff>
      <xdr:row>22</xdr:row>
      <xdr:rowOff>206829</xdr:rowOff>
    </xdr:to>
    <xdr:sp macro="" textlink="">
      <xdr:nvSpPr>
        <xdr:cNvPr id="258" name="Rectangle 257"/>
        <xdr:cNvSpPr/>
      </xdr:nvSpPr>
      <xdr:spPr>
        <a:xfrm>
          <a:off x="2868371" y="4163786"/>
          <a:ext cx="740230" cy="8273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26.7</a:t>
          </a:r>
        </a:p>
      </xdr:txBody>
    </xdr:sp>
    <xdr:clientData/>
  </xdr:twoCellAnchor>
  <xdr:twoCellAnchor>
    <xdr:from>
      <xdr:col>32</xdr:col>
      <xdr:colOff>5440</xdr:colOff>
      <xdr:row>19</xdr:row>
      <xdr:rowOff>16329</xdr:rowOff>
    </xdr:from>
    <xdr:to>
      <xdr:col>35</xdr:col>
      <xdr:colOff>89805</xdr:colOff>
      <xdr:row>22</xdr:row>
      <xdr:rowOff>206829</xdr:rowOff>
    </xdr:to>
    <xdr:sp macro="" textlink="">
      <xdr:nvSpPr>
        <xdr:cNvPr id="259" name="Rectangle 258"/>
        <xdr:cNvSpPr/>
      </xdr:nvSpPr>
      <xdr:spPr>
        <a:xfrm>
          <a:off x="6106881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24.8</a:t>
          </a:r>
        </a:p>
      </xdr:txBody>
    </xdr:sp>
    <xdr:clientData/>
  </xdr:twoCellAnchor>
  <xdr:twoCellAnchor>
    <xdr:from>
      <xdr:col>36</xdr:col>
      <xdr:colOff>8157</xdr:colOff>
      <xdr:row>19</xdr:row>
      <xdr:rowOff>16329</xdr:rowOff>
    </xdr:from>
    <xdr:to>
      <xdr:col>39</xdr:col>
      <xdr:colOff>92522</xdr:colOff>
      <xdr:row>22</xdr:row>
      <xdr:rowOff>206829</xdr:rowOff>
    </xdr:to>
    <xdr:sp macro="" textlink="">
      <xdr:nvSpPr>
        <xdr:cNvPr id="260" name="Rectangle 259"/>
        <xdr:cNvSpPr/>
      </xdr:nvSpPr>
      <xdr:spPr>
        <a:xfrm>
          <a:off x="6874315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40</xdr:col>
      <xdr:colOff>5434</xdr:colOff>
      <xdr:row>19</xdr:row>
      <xdr:rowOff>16329</xdr:rowOff>
    </xdr:from>
    <xdr:to>
      <xdr:col>43</xdr:col>
      <xdr:colOff>89799</xdr:colOff>
      <xdr:row>22</xdr:row>
      <xdr:rowOff>206829</xdr:rowOff>
    </xdr:to>
    <xdr:sp macro="" textlink="">
      <xdr:nvSpPr>
        <xdr:cNvPr id="261" name="Rectangle 260"/>
        <xdr:cNvSpPr/>
      </xdr:nvSpPr>
      <xdr:spPr>
        <a:xfrm>
          <a:off x="7630869" y="4112079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23.7</a:t>
          </a:r>
        </a:p>
      </xdr:txBody>
    </xdr:sp>
    <xdr:clientData/>
  </xdr:twoCellAnchor>
  <xdr:twoCellAnchor>
    <xdr:from>
      <xdr:col>7</xdr:col>
      <xdr:colOff>5440</xdr:colOff>
      <xdr:row>47</xdr:row>
      <xdr:rowOff>6804</xdr:rowOff>
    </xdr:from>
    <xdr:to>
      <xdr:col>10</xdr:col>
      <xdr:colOff>89805</xdr:colOff>
      <xdr:row>50</xdr:row>
      <xdr:rowOff>197304</xdr:rowOff>
    </xdr:to>
    <xdr:sp macro="" textlink="">
      <xdr:nvSpPr>
        <xdr:cNvPr id="262" name="Rectangle 261"/>
        <xdr:cNvSpPr/>
      </xdr:nvSpPr>
      <xdr:spPr>
        <a:xfrm>
          <a:off x="1344381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0.0960</a:t>
          </a:r>
        </a:p>
      </xdr:txBody>
    </xdr:sp>
    <xdr:clientData/>
  </xdr:twoCellAnchor>
  <xdr:twoCellAnchor>
    <xdr:from>
      <xdr:col>11</xdr:col>
      <xdr:colOff>8157</xdr:colOff>
      <xdr:row>47</xdr:row>
      <xdr:rowOff>6804</xdr:rowOff>
    </xdr:from>
    <xdr:to>
      <xdr:col>14</xdr:col>
      <xdr:colOff>92522</xdr:colOff>
      <xdr:row>50</xdr:row>
      <xdr:rowOff>197304</xdr:rowOff>
    </xdr:to>
    <xdr:sp macro="" textlink="">
      <xdr:nvSpPr>
        <xdr:cNvPr id="263" name="Rectangle 262"/>
        <xdr:cNvSpPr/>
      </xdr:nvSpPr>
      <xdr:spPr>
        <a:xfrm>
          <a:off x="2111815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0.0670</a:t>
          </a:r>
        </a:p>
      </xdr:txBody>
    </xdr:sp>
    <xdr:clientData/>
  </xdr:twoCellAnchor>
  <xdr:twoCellAnchor>
    <xdr:from>
      <xdr:col>15</xdr:col>
      <xdr:colOff>5434</xdr:colOff>
      <xdr:row>47</xdr:row>
      <xdr:rowOff>6804</xdr:rowOff>
    </xdr:from>
    <xdr:to>
      <xdr:col>18</xdr:col>
      <xdr:colOff>89799</xdr:colOff>
      <xdr:row>50</xdr:row>
      <xdr:rowOff>197304</xdr:rowOff>
    </xdr:to>
    <xdr:sp macro="" textlink="">
      <xdr:nvSpPr>
        <xdr:cNvPr id="264" name="Rectangle 263"/>
        <xdr:cNvSpPr/>
      </xdr:nvSpPr>
      <xdr:spPr>
        <a:xfrm>
          <a:off x="286836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0.0767</a:t>
          </a:r>
        </a:p>
      </xdr:txBody>
    </xdr:sp>
    <xdr:clientData/>
  </xdr:twoCellAnchor>
  <xdr:twoCellAnchor>
    <xdr:from>
      <xdr:col>32</xdr:col>
      <xdr:colOff>5439</xdr:colOff>
      <xdr:row>47</xdr:row>
      <xdr:rowOff>6804</xdr:rowOff>
    </xdr:from>
    <xdr:to>
      <xdr:col>35</xdr:col>
      <xdr:colOff>89804</xdr:colOff>
      <xdr:row>50</xdr:row>
      <xdr:rowOff>197304</xdr:rowOff>
    </xdr:to>
    <xdr:sp macro="" textlink="">
      <xdr:nvSpPr>
        <xdr:cNvPr id="265" name="Rectangle 264"/>
        <xdr:cNvSpPr/>
      </xdr:nvSpPr>
      <xdr:spPr>
        <a:xfrm>
          <a:off x="6106879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0.0546</a:t>
          </a:r>
        </a:p>
      </xdr:txBody>
    </xdr:sp>
    <xdr:clientData/>
  </xdr:twoCellAnchor>
  <xdr:twoCellAnchor>
    <xdr:from>
      <xdr:col>36</xdr:col>
      <xdr:colOff>8156</xdr:colOff>
      <xdr:row>47</xdr:row>
      <xdr:rowOff>6804</xdr:rowOff>
    </xdr:from>
    <xdr:to>
      <xdr:col>39</xdr:col>
      <xdr:colOff>92521</xdr:colOff>
      <xdr:row>50</xdr:row>
      <xdr:rowOff>197304</xdr:rowOff>
    </xdr:to>
    <xdr:sp macro="" textlink="">
      <xdr:nvSpPr>
        <xdr:cNvPr id="266" name="Rectangle 265"/>
        <xdr:cNvSpPr/>
      </xdr:nvSpPr>
      <xdr:spPr>
        <a:xfrm>
          <a:off x="6874313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0.0476</a:t>
          </a:r>
        </a:p>
      </xdr:txBody>
    </xdr:sp>
    <xdr:clientData/>
  </xdr:twoCellAnchor>
  <xdr:twoCellAnchor>
    <xdr:from>
      <xdr:col>40</xdr:col>
      <xdr:colOff>5433</xdr:colOff>
      <xdr:row>47</xdr:row>
      <xdr:rowOff>6804</xdr:rowOff>
    </xdr:from>
    <xdr:to>
      <xdr:col>43</xdr:col>
      <xdr:colOff>89798</xdr:colOff>
      <xdr:row>50</xdr:row>
      <xdr:rowOff>197304</xdr:rowOff>
    </xdr:to>
    <xdr:sp macro="" textlink="">
      <xdr:nvSpPr>
        <xdr:cNvPr id="267" name="Rectangle 266"/>
        <xdr:cNvSpPr/>
      </xdr:nvSpPr>
      <xdr:spPr>
        <a:xfrm>
          <a:off x="7630867" y="10503354"/>
          <a:ext cx="740230" cy="819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0.0597</a:t>
          </a:r>
        </a:p>
      </xdr:txBody>
    </xdr:sp>
    <xdr:clientData/>
  </xdr:twoCellAnchor>
  <xdr:twoCellAnchor>
    <xdr:from>
      <xdr:col>36</xdr:col>
      <xdr:colOff>8156</xdr:colOff>
      <xdr:row>59</xdr:row>
      <xdr:rowOff>10886</xdr:rowOff>
    </xdr:from>
    <xdr:to>
      <xdr:col>39</xdr:col>
      <xdr:colOff>89807</xdr:colOff>
      <xdr:row>59</xdr:row>
      <xdr:rowOff>277586</xdr:rowOff>
    </xdr:to>
    <xdr:sp macro="" textlink="">
      <xdr:nvSpPr>
        <xdr:cNvPr id="268" name="Rectangle 267"/>
        <xdr:cNvSpPr/>
      </xdr:nvSpPr>
      <xdr:spPr>
        <a:xfrm>
          <a:off x="6874312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0.0529</a:t>
          </a:r>
        </a:p>
      </xdr:txBody>
    </xdr:sp>
    <xdr:clientData/>
  </xdr:twoCellAnchor>
  <xdr:twoCellAnchor>
    <xdr:from>
      <xdr:col>11</xdr:col>
      <xdr:colOff>8155</xdr:colOff>
      <xdr:row>59</xdr:row>
      <xdr:rowOff>10886</xdr:rowOff>
    </xdr:from>
    <xdr:to>
      <xdr:col>14</xdr:col>
      <xdr:colOff>89806</xdr:colOff>
      <xdr:row>59</xdr:row>
      <xdr:rowOff>277586</xdr:rowOff>
    </xdr:to>
    <xdr:sp macro="" textlink="">
      <xdr:nvSpPr>
        <xdr:cNvPr id="269" name="Rectangle 268"/>
        <xdr:cNvSpPr/>
      </xdr:nvSpPr>
      <xdr:spPr>
        <a:xfrm>
          <a:off x="2111810" y="13182600"/>
          <a:ext cx="734802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0.0921</a:t>
          </a:r>
        </a:p>
      </xdr:txBody>
    </xdr:sp>
    <xdr:clientData/>
  </xdr:twoCellAnchor>
  <xdr:twoCellAnchor>
    <xdr:from>
      <xdr:col>36</xdr:col>
      <xdr:colOff>8156</xdr:colOff>
      <xdr:row>31</xdr:row>
      <xdr:rowOff>18911</xdr:rowOff>
    </xdr:from>
    <xdr:to>
      <xdr:col>39</xdr:col>
      <xdr:colOff>89807</xdr:colOff>
      <xdr:row>31</xdr:row>
      <xdr:rowOff>281469</xdr:rowOff>
    </xdr:to>
    <xdr:sp macro="" textlink="">
      <xdr:nvSpPr>
        <xdr:cNvPr id="270" name="Rectangle 269"/>
        <xdr:cNvSpPr/>
      </xdr:nvSpPr>
      <xdr:spPr>
        <a:xfrm>
          <a:off x="6874312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25.6</a:t>
          </a:r>
        </a:p>
      </xdr:txBody>
    </xdr:sp>
    <xdr:clientData/>
  </xdr:twoCellAnchor>
  <xdr:twoCellAnchor>
    <xdr:from>
      <xdr:col>11</xdr:col>
      <xdr:colOff>8155</xdr:colOff>
      <xdr:row>31</xdr:row>
      <xdr:rowOff>18911</xdr:rowOff>
    </xdr:from>
    <xdr:to>
      <xdr:col>14</xdr:col>
      <xdr:colOff>89806</xdr:colOff>
      <xdr:row>31</xdr:row>
      <xdr:rowOff>281469</xdr:rowOff>
    </xdr:to>
    <xdr:sp macro="" textlink="">
      <xdr:nvSpPr>
        <xdr:cNvPr id="271" name="Rectangle 270"/>
        <xdr:cNvSpPr/>
      </xdr:nvSpPr>
      <xdr:spPr>
        <a:xfrm>
          <a:off x="2111810" y="6591161"/>
          <a:ext cx="734802" cy="2625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25.3</a:t>
          </a:r>
        </a:p>
      </xdr:txBody>
    </xdr:sp>
    <xdr:clientData/>
  </xdr:twoCellAnchor>
  <xdr:twoCellAnchor>
    <xdr:from>
      <xdr:col>3</xdr:col>
      <xdr:colOff>11043</xdr:colOff>
      <xdr:row>19</xdr:row>
      <xdr:rowOff>16329</xdr:rowOff>
    </xdr:from>
    <xdr:to>
      <xdr:col>7</xdr:col>
      <xdr:colOff>158</xdr:colOff>
      <xdr:row>22</xdr:row>
      <xdr:rowOff>206829</xdr:rowOff>
    </xdr:to>
    <xdr:sp macro="" textlink="">
      <xdr:nvSpPr>
        <xdr:cNvPr id="272" name="Rectangle 271"/>
        <xdr:cNvSpPr/>
      </xdr:nvSpPr>
      <xdr:spPr>
        <a:xfrm>
          <a:off x="593586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24.0</a:t>
          </a:r>
        </a:p>
      </xdr:txBody>
    </xdr:sp>
    <xdr:clientData/>
  </xdr:twoCellAnchor>
  <xdr:twoCellAnchor>
    <xdr:from>
      <xdr:col>18</xdr:col>
      <xdr:colOff>95082</xdr:colOff>
      <xdr:row>19</xdr:row>
      <xdr:rowOff>16329</xdr:rowOff>
    </xdr:from>
    <xdr:to>
      <xdr:col>22</xdr:col>
      <xdr:colOff>84197</xdr:colOff>
      <xdr:row>22</xdr:row>
      <xdr:rowOff>206829</xdr:rowOff>
    </xdr:to>
    <xdr:sp macro="" textlink="">
      <xdr:nvSpPr>
        <xdr:cNvPr id="273" name="Rectangle 272"/>
        <xdr:cNvSpPr/>
      </xdr:nvSpPr>
      <xdr:spPr>
        <a:xfrm>
          <a:off x="3619164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26.4</a:t>
          </a:r>
        </a:p>
      </xdr:txBody>
    </xdr:sp>
    <xdr:clientData/>
  </xdr:twoCellAnchor>
  <xdr:twoCellAnchor>
    <xdr:from>
      <xdr:col>28</xdr:col>
      <xdr:colOff>5440</xdr:colOff>
      <xdr:row>19</xdr:row>
      <xdr:rowOff>16329</xdr:rowOff>
    </xdr:from>
    <xdr:to>
      <xdr:col>31</xdr:col>
      <xdr:colOff>89805</xdr:colOff>
      <xdr:row>22</xdr:row>
      <xdr:rowOff>206829</xdr:rowOff>
    </xdr:to>
    <xdr:sp macro="" textlink="">
      <xdr:nvSpPr>
        <xdr:cNvPr id="274" name="Rectangle 273"/>
        <xdr:cNvSpPr/>
      </xdr:nvSpPr>
      <xdr:spPr>
        <a:xfrm>
          <a:off x="5344880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43</xdr:col>
      <xdr:colOff>95081</xdr:colOff>
      <xdr:row>19</xdr:row>
      <xdr:rowOff>16329</xdr:rowOff>
    </xdr:from>
    <xdr:to>
      <xdr:col>47</xdr:col>
      <xdr:colOff>84196</xdr:colOff>
      <xdr:row>22</xdr:row>
      <xdr:rowOff>206829</xdr:rowOff>
    </xdr:to>
    <xdr:sp macro="" textlink="">
      <xdr:nvSpPr>
        <xdr:cNvPr id="275" name="Rectangle 274"/>
        <xdr:cNvSpPr/>
      </xdr:nvSpPr>
      <xdr:spPr>
        <a:xfrm>
          <a:off x="8381662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23.5</a:t>
          </a:r>
        </a:p>
      </xdr:txBody>
    </xdr:sp>
    <xdr:clientData/>
  </xdr:twoCellAnchor>
  <xdr:twoCellAnchor>
    <xdr:from>
      <xdr:col>28</xdr:col>
      <xdr:colOff>5439</xdr:colOff>
      <xdr:row>47</xdr:row>
      <xdr:rowOff>6804</xdr:rowOff>
    </xdr:from>
    <xdr:to>
      <xdr:col>31</xdr:col>
      <xdr:colOff>89804</xdr:colOff>
      <xdr:row>50</xdr:row>
      <xdr:rowOff>197304</xdr:rowOff>
    </xdr:to>
    <xdr:sp macro="" textlink="">
      <xdr:nvSpPr>
        <xdr:cNvPr id="276" name="Rectangle 275"/>
        <xdr:cNvSpPr/>
      </xdr:nvSpPr>
      <xdr:spPr>
        <a:xfrm>
          <a:off x="534487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0.0656</a:t>
          </a:r>
        </a:p>
      </xdr:txBody>
    </xdr:sp>
    <xdr:clientData/>
  </xdr:twoCellAnchor>
  <xdr:twoCellAnchor>
    <xdr:from>
      <xdr:col>43</xdr:col>
      <xdr:colOff>95080</xdr:colOff>
      <xdr:row>47</xdr:row>
      <xdr:rowOff>6804</xdr:rowOff>
    </xdr:from>
    <xdr:to>
      <xdr:col>47</xdr:col>
      <xdr:colOff>84195</xdr:colOff>
      <xdr:row>50</xdr:row>
      <xdr:rowOff>197304</xdr:rowOff>
    </xdr:to>
    <xdr:sp macro="" textlink="">
      <xdr:nvSpPr>
        <xdr:cNvPr id="277" name="Rectangle 276"/>
        <xdr:cNvSpPr/>
      </xdr:nvSpPr>
      <xdr:spPr>
        <a:xfrm>
          <a:off x="8381660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0.0371</a:t>
          </a:r>
        </a:p>
      </xdr:txBody>
    </xdr:sp>
    <xdr:clientData/>
  </xdr:twoCellAnchor>
  <xdr:twoCellAnchor>
    <xdr:from>
      <xdr:col>19</xdr:col>
      <xdr:colOff>5434</xdr:colOff>
      <xdr:row>47</xdr:row>
      <xdr:rowOff>6804</xdr:rowOff>
    </xdr:from>
    <xdr:to>
      <xdr:col>22</xdr:col>
      <xdr:colOff>89799</xdr:colOff>
      <xdr:row>50</xdr:row>
      <xdr:rowOff>197304</xdr:rowOff>
    </xdr:to>
    <xdr:sp macro="" textlink="">
      <xdr:nvSpPr>
        <xdr:cNvPr id="278" name="Rectangle 277"/>
        <xdr:cNvSpPr/>
      </xdr:nvSpPr>
      <xdr:spPr>
        <a:xfrm>
          <a:off x="3630368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0.1213</a:t>
          </a:r>
        </a:p>
      </xdr:txBody>
    </xdr:sp>
    <xdr:clientData/>
  </xdr:twoCellAnchor>
  <xdr:twoCellAnchor>
    <xdr:from>
      <xdr:col>3</xdr:col>
      <xdr:colOff>5440</xdr:colOff>
      <xdr:row>47</xdr:row>
      <xdr:rowOff>6804</xdr:rowOff>
    </xdr:from>
    <xdr:to>
      <xdr:col>6</xdr:col>
      <xdr:colOff>89805</xdr:colOff>
      <xdr:row>50</xdr:row>
      <xdr:rowOff>197304</xdr:rowOff>
    </xdr:to>
    <xdr:sp macro="" textlink="">
      <xdr:nvSpPr>
        <xdr:cNvPr id="279" name="Rectangle 278"/>
        <xdr:cNvSpPr/>
      </xdr:nvSpPr>
      <xdr:spPr>
        <a:xfrm>
          <a:off x="582380" y="10674804"/>
          <a:ext cx="740230" cy="8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0.0993</a:t>
          </a:r>
        </a:p>
      </xdr:txBody>
    </xdr:sp>
    <xdr:clientData/>
  </xdr:twoCellAnchor>
  <xdr:twoCellAnchor>
    <xdr:from>
      <xdr:col>28</xdr:col>
      <xdr:colOff>5440</xdr:colOff>
      <xdr:row>19</xdr:row>
      <xdr:rowOff>16329</xdr:rowOff>
    </xdr:from>
    <xdr:to>
      <xdr:col>31</xdr:col>
      <xdr:colOff>89805</xdr:colOff>
      <xdr:row>22</xdr:row>
      <xdr:rowOff>206829</xdr:rowOff>
    </xdr:to>
    <xdr:sp macro="" textlink="">
      <xdr:nvSpPr>
        <xdr:cNvPr id="280" name="Rectangle 279"/>
        <xdr:cNvSpPr/>
      </xdr:nvSpPr>
      <xdr:spPr>
        <a:xfrm>
          <a:off x="5344880" y="4173711"/>
          <a:ext cx="740230" cy="8292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32.2</a:t>
          </a:r>
        </a:p>
      </xdr:txBody>
    </xdr:sp>
    <xdr:clientData/>
  </xdr:twoCellAnchor>
  <xdr:twoCellAnchor>
    <xdr:from>
      <xdr:col>5</xdr:col>
      <xdr:colOff>2323</xdr:colOff>
      <xdr:row>14</xdr:row>
      <xdr:rowOff>204438</xdr:rowOff>
    </xdr:from>
    <xdr:to>
      <xdr:col>5</xdr:col>
      <xdr:colOff>2323</xdr:colOff>
      <xdr:row>19</xdr:row>
      <xdr:rowOff>5443</xdr:rowOff>
    </xdr:to>
    <xdr:cxnSp macro="">
      <xdr:nvCxnSpPr>
        <xdr:cNvPr id="281" name="Straight Arrow Connector 280"/>
        <xdr:cNvCxnSpPr/>
      </xdr:nvCxnSpPr>
      <xdr:spPr>
        <a:xfrm flipV="1">
          <a:off x="9571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6569</xdr:rowOff>
    </xdr:from>
    <xdr:to>
      <xdr:col>5</xdr:col>
      <xdr:colOff>0</xdr:colOff>
      <xdr:row>26</xdr:row>
      <xdr:rowOff>197069</xdr:rowOff>
    </xdr:to>
    <xdr:cxnSp macro="">
      <xdr:nvCxnSpPr>
        <xdr:cNvPr id="282" name="Straight Arrow Connector 281"/>
        <xdr:cNvCxnSpPr/>
      </xdr:nvCxnSpPr>
      <xdr:spPr>
        <a:xfrm>
          <a:off x="9525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14</xdr:row>
      <xdr:rowOff>204438</xdr:rowOff>
    </xdr:from>
    <xdr:to>
      <xdr:col>21</xdr:col>
      <xdr:colOff>7926</xdr:colOff>
      <xdr:row>19</xdr:row>
      <xdr:rowOff>5443</xdr:rowOff>
    </xdr:to>
    <xdr:cxnSp macro="">
      <xdr:nvCxnSpPr>
        <xdr:cNvPr id="283" name="Straight Arrow Connector 282"/>
        <xdr:cNvCxnSpPr/>
      </xdr:nvCxnSpPr>
      <xdr:spPr>
        <a:xfrm flipV="1">
          <a:off x="40163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23</xdr:row>
      <xdr:rowOff>6569</xdr:rowOff>
    </xdr:from>
    <xdr:to>
      <xdr:col>21</xdr:col>
      <xdr:colOff>5603</xdr:colOff>
      <xdr:row>26</xdr:row>
      <xdr:rowOff>197069</xdr:rowOff>
    </xdr:to>
    <xdr:cxnSp macro="">
      <xdr:nvCxnSpPr>
        <xdr:cNvPr id="284" name="Straight Arrow Connector 283"/>
        <xdr:cNvCxnSpPr/>
      </xdr:nvCxnSpPr>
      <xdr:spPr>
        <a:xfrm>
          <a:off x="40117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14</xdr:row>
      <xdr:rowOff>204438</xdr:rowOff>
    </xdr:from>
    <xdr:to>
      <xdr:col>30</xdr:col>
      <xdr:colOff>2323</xdr:colOff>
      <xdr:row>19</xdr:row>
      <xdr:rowOff>5443</xdr:rowOff>
    </xdr:to>
    <xdr:cxnSp macro="">
      <xdr:nvCxnSpPr>
        <xdr:cNvPr id="285" name="Straight Arrow Connector 284"/>
        <xdr:cNvCxnSpPr/>
      </xdr:nvCxnSpPr>
      <xdr:spPr>
        <a:xfrm flipV="1">
          <a:off x="5719646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23</xdr:row>
      <xdr:rowOff>6569</xdr:rowOff>
    </xdr:from>
    <xdr:to>
      <xdr:col>30</xdr:col>
      <xdr:colOff>0</xdr:colOff>
      <xdr:row>26</xdr:row>
      <xdr:rowOff>197069</xdr:rowOff>
    </xdr:to>
    <xdr:cxnSp macro="">
      <xdr:nvCxnSpPr>
        <xdr:cNvPr id="286" name="Straight Arrow Connector 285"/>
        <xdr:cNvCxnSpPr/>
      </xdr:nvCxnSpPr>
      <xdr:spPr>
        <a:xfrm>
          <a:off x="5715000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14</xdr:row>
      <xdr:rowOff>204438</xdr:rowOff>
    </xdr:from>
    <xdr:to>
      <xdr:col>46</xdr:col>
      <xdr:colOff>7926</xdr:colOff>
      <xdr:row>19</xdr:row>
      <xdr:rowOff>5443</xdr:rowOff>
    </xdr:to>
    <xdr:cxnSp macro="">
      <xdr:nvCxnSpPr>
        <xdr:cNvPr id="287" name="Straight Arrow Connector 286"/>
        <xdr:cNvCxnSpPr/>
      </xdr:nvCxnSpPr>
      <xdr:spPr>
        <a:xfrm flipV="1">
          <a:off x="8778852" y="3297262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23</xdr:row>
      <xdr:rowOff>6569</xdr:rowOff>
    </xdr:from>
    <xdr:to>
      <xdr:col>46</xdr:col>
      <xdr:colOff>5603</xdr:colOff>
      <xdr:row>26</xdr:row>
      <xdr:rowOff>197069</xdr:rowOff>
    </xdr:to>
    <xdr:cxnSp macro="">
      <xdr:nvCxnSpPr>
        <xdr:cNvPr id="288" name="Straight Arrow Connector 287"/>
        <xdr:cNvCxnSpPr/>
      </xdr:nvCxnSpPr>
      <xdr:spPr>
        <a:xfrm>
          <a:off x="8774206" y="5015598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2323</xdr:colOff>
      <xdr:row>42</xdr:row>
      <xdr:rowOff>204439</xdr:rowOff>
    </xdr:from>
    <xdr:to>
      <xdr:col>30</xdr:col>
      <xdr:colOff>2323</xdr:colOff>
      <xdr:row>47</xdr:row>
      <xdr:rowOff>5443</xdr:rowOff>
    </xdr:to>
    <xdr:cxnSp macro="">
      <xdr:nvCxnSpPr>
        <xdr:cNvPr id="289" name="Straight Arrow Connector 288"/>
        <xdr:cNvCxnSpPr/>
      </xdr:nvCxnSpPr>
      <xdr:spPr>
        <a:xfrm flipV="1">
          <a:off x="57196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51</xdr:row>
      <xdr:rowOff>6569</xdr:rowOff>
    </xdr:from>
    <xdr:to>
      <xdr:col>30</xdr:col>
      <xdr:colOff>0</xdr:colOff>
      <xdr:row>54</xdr:row>
      <xdr:rowOff>197070</xdr:rowOff>
    </xdr:to>
    <xdr:cxnSp macro="">
      <xdr:nvCxnSpPr>
        <xdr:cNvPr id="290" name="Straight Arrow Connector 289"/>
        <xdr:cNvCxnSpPr/>
      </xdr:nvCxnSpPr>
      <xdr:spPr>
        <a:xfrm>
          <a:off x="57150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7926</xdr:colOff>
      <xdr:row>42</xdr:row>
      <xdr:rowOff>204439</xdr:rowOff>
    </xdr:from>
    <xdr:to>
      <xdr:col>46</xdr:col>
      <xdr:colOff>7926</xdr:colOff>
      <xdr:row>47</xdr:row>
      <xdr:rowOff>5443</xdr:rowOff>
    </xdr:to>
    <xdr:cxnSp macro="">
      <xdr:nvCxnSpPr>
        <xdr:cNvPr id="291" name="Straight Arrow Connector 290"/>
        <xdr:cNvCxnSpPr/>
      </xdr:nvCxnSpPr>
      <xdr:spPr>
        <a:xfrm flipV="1">
          <a:off x="87788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5603</xdr:colOff>
      <xdr:row>51</xdr:row>
      <xdr:rowOff>6569</xdr:rowOff>
    </xdr:from>
    <xdr:to>
      <xdr:col>46</xdr:col>
      <xdr:colOff>5603</xdr:colOff>
      <xdr:row>54</xdr:row>
      <xdr:rowOff>197070</xdr:rowOff>
    </xdr:to>
    <xdr:cxnSp macro="">
      <xdr:nvCxnSpPr>
        <xdr:cNvPr id="292" name="Straight Arrow Connector 291"/>
        <xdr:cNvCxnSpPr/>
      </xdr:nvCxnSpPr>
      <xdr:spPr>
        <a:xfrm>
          <a:off x="87742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</xdr:colOff>
      <xdr:row>42</xdr:row>
      <xdr:rowOff>204439</xdr:rowOff>
    </xdr:from>
    <xdr:to>
      <xdr:col>5</xdr:col>
      <xdr:colOff>2323</xdr:colOff>
      <xdr:row>47</xdr:row>
      <xdr:rowOff>5443</xdr:rowOff>
    </xdr:to>
    <xdr:cxnSp macro="">
      <xdr:nvCxnSpPr>
        <xdr:cNvPr id="293" name="Straight Arrow Connector 292"/>
        <xdr:cNvCxnSpPr/>
      </xdr:nvCxnSpPr>
      <xdr:spPr>
        <a:xfrm flipV="1">
          <a:off x="957146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6569</xdr:rowOff>
    </xdr:from>
    <xdr:to>
      <xdr:col>5</xdr:col>
      <xdr:colOff>0</xdr:colOff>
      <xdr:row>54</xdr:row>
      <xdr:rowOff>197070</xdr:rowOff>
    </xdr:to>
    <xdr:cxnSp macro="">
      <xdr:nvCxnSpPr>
        <xdr:cNvPr id="294" name="Straight Arrow Connector 293"/>
        <xdr:cNvCxnSpPr/>
      </xdr:nvCxnSpPr>
      <xdr:spPr>
        <a:xfrm>
          <a:off x="952500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7926</xdr:colOff>
      <xdr:row>42</xdr:row>
      <xdr:rowOff>204439</xdr:rowOff>
    </xdr:from>
    <xdr:to>
      <xdr:col>21</xdr:col>
      <xdr:colOff>7926</xdr:colOff>
      <xdr:row>47</xdr:row>
      <xdr:rowOff>5443</xdr:rowOff>
    </xdr:to>
    <xdr:cxnSp macro="">
      <xdr:nvCxnSpPr>
        <xdr:cNvPr id="295" name="Straight Arrow Connector 294"/>
        <xdr:cNvCxnSpPr/>
      </xdr:nvCxnSpPr>
      <xdr:spPr>
        <a:xfrm flipV="1">
          <a:off x="4016352" y="9807880"/>
          <a:ext cx="0" cy="86556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51</xdr:row>
      <xdr:rowOff>6569</xdr:rowOff>
    </xdr:from>
    <xdr:to>
      <xdr:col>21</xdr:col>
      <xdr:colOff>5603</xdr:colOff>
      <xdr:row>54</xdr:row>
      <xdr:rowOff>197070</xdr:rowOff>
    </xdr:to>
    <xdr:cxnSp macro="">
      <xdr:nvCxnSpPr>
        <xdr:cNvPr id="296" name="Straight Arrow Connector 295"/>
        <xdr:cNvCxnSpPr/>
      </xdr:nvCxnSpPr>
      <xdr:spPr>
        <a:xfrm>
          <a:off x="4011706" y="11526216"/>
          <a:ext cx="0" cy="8292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5\&#65316;&#65336;&#65326;\&#24195;&#23798;DXN&#21407;&#32025;&#27700;&#20998;&#27969;&#36895;&#32113;&#21512;Ver2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002\data2\Documents%20and%20Settings\&#27827;&#22618;&#12288;&#36066;&#19968;\My%20Documents\&#20181;&#20107;&#38306;&#20418;\&#12487;&#12540;&#12479;&#25972;&#29702;&#29992;&#21407;&#32025;\2002\2.&#23665;&#21475;\&#65404;&#65389;&#65395;&#21608;&#26481;&#30010;&#12503;&#12521;&#28988;&#21364;0202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一覧"/>
      <sheetName val="水分,流速"/>
      <sheetName val="ダスト　HCL"/>
      <sheetName val="DATA"/>
      <sheetName val="グラフ"/>
      <sheetName val="DXN"/>
      <sheetName val="運転記録"/>
      <sheetName val="写真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はじめに読んでね"/>
      <sheetName val="図"/>
      <sheetName val="一覧"/>
      <sheetName val="水分"/>
      <sheetName val="流速"/>
      <sheetName val="ﾀﾞｽﾄHCL"/>
      <sheetName val="DATA"/>
      <sheetName val="グラフ"/>
      <sheetName val="DXN"/>
      <sheetName val="水蒸気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8"/>
  <sheetViews>
    <sheetView showGridLines="0" zoomScale="115" zoomScaleNormal="115" workbookViewId="0">
      <selection activeCell="AN4" sqref="AN4:BJ4"/>
    </sheetView>
  </sheetViews>
  <sheetFormatPr defaultRowHeight="15"/>
  <cols>
    <col min="1" max="1" width="15.625" style="119" customWidth="1"/>
    <col min="2" max="2" width="30.875" style="119" customWidth="1"/>
    <col min="3" max="3" width="9" style="119"/>
    <col min="4" max="4" width="9.625" style="119" bestFit="1" customWidth="1"/>
    <col min="5" max="6" width="9" style="119"/>
    <col min="7" max="7" width="19.25" style="119" customWidth="1"/>
    <col min="8" max="8" width="57.875" style="119" customWidth="1"/>
    <col min="9" max="9" width="6.375" style="119" customWidth="1"/>
    <col min="10" max="10" width="64" style="119" customWidth="1"/>
    <col min="11" max="11" width="11.625" style="119" bestFit="1" customWidth="1"/>
    <col min="12" max="12" width="11.625" style="119" customWidth="1"/>
    <col min="13" max="13" width="11.125" style="119" customWidth="1"/>
    <col min="14" max="256" width="9" style="119"/>
    <col min="257" max="257" width="15.625" style="119" customWidth="1"/>
    <col min="258" max="258" width="30.875" style="119" customWidth="1"/>
    <col min="259" max="259" width="9" style="119"/>
    <col min="260" max="260" width="9.625" style="119" bestFit="1" customWidth="1"/>
    <col min="261" max="262" width="9" style="119"/>
    <col min="263" max="263" width="19.25" style="119" customWidth="1"/>
    <col min="264" max="264" width="57.875" style="119" customWidth="1"/>
    <col min="265" max="265" width="6.375" style="119" customWidth="1"/>
    <col min="266" max="266" width="64" style="119" customWidth="1"/>
    <col min="267" max="267" width="11.625" style="119" bestFit="1" customWidth="1"/>
    <col min="268" max="268" width="11.625" style="119" customWidth="1"/>
    <col min="269" max="269" width="11.125" style="119" customWidth="1"/>
    <col min="270" max="512" width="9" style="119"/>
    <col min="513" max="513" width="15.625" style="119" customWidth="1"/>
    <col min="514" max="514" width="30.875" style="119" customWidth="1"/>
    <col min="515" max="515" width="9" style="119"/>
    <col min="516" max="516" width="9.625" style="119" bestFit="1" customWidth="1"/>
    <col min="517" max="518" width="9" style="119"/>
    <col min="519" max="519" width="19.25" style="119" customWidth="1"/>
    <col min="520" max="520" width="57.875" style="119" customWidth="1"/>
    <col min="521" max="521" width="6.375" style="119" customWidth="1"/>
    <col min="522" max="522" width="64" style="119" customWidth="1"/>
    <col min="523" max="523" width="11.625" style="119" bestFit="1" customWidth="1"/>
    <col min="524" max="524" width="11.625" style="119" customWidth="1"/>
    <col min="525" max="525" width="11.125" style="119" customWidth="1"/>
    <col min="526" max="768" width="9" style="119"/>
    <col min="769" max="769" width="15.625" style="119" customWidth="1"/>
    <col min="770" max="770" width="30.875" style="119" customWidth="1"/>
    <col min="771" max="771" width="9" style="119"/>
    <col min="772" max="772" width="9.625" style="119" bestFit="1" customWidth="1"/>
    <col min="773" max="774" width="9" style="119"/>
    <col min="775" max="775" width="19.25" style="119" customWidth="1"/>
    <col min="776" max="776" width="57.875" style="119" customWidth="1"/>
    <col min="777" max="777" width="6.375" style="119" customWidth="1"/>
    <col min="778" max="778" width="64" style="119" customWidth="1"/>
    <col min="779" max="779" width="11.625" style="119" bestFit="1" customWidth="1"/>
    <col min="780" max="780" width="11.625" style="119" customWidth="1"/>
    <col min="781" max="781" width="11.125" style="119" customWidth="1"/>
    <col min="782" max="1024" width="9" style="119"/>
    <col min="1025" max="1025" width="15.625" style="119" customWidth="1"/>
    <col min="1026" max="1026" width="30.875" style="119" customWidth="1"/>
    <col min="1027" max="1027" width="9" style="119"/>
    <col min="1028" max="1028" width="9.625" style="119" bestFit="1" customWidth="1"/>
    <col min="1029" max="1030" width="9" style="119"/>
    <col min="1031" max="1031" width="19.25" style="119" customWidth="1"/>
    <col min="1032" max="1032" width="57.875" style="119" customWidth="1"/>
    <col min="1033" max="1033" width="6.375" style="119" customWidth="1"/>
    <col min="1034" max="1034" width="64" style="119" customWidth="1"/>
    <col min="1035" max="1035" width="11.625" style="119" bestFit="1" customWidth="1"/>
    <col min="1036" max="1036" width="11.625" style="119" customWidth="1"/>
    <col min="1037" max="1037" width="11.125" style="119" customWidth="1"/>
    <col min="1038" max="1280" width="9" style="119"/>
    <col min="1281" max="1281" width="15.625" style="119" customWidth="1"/>
    <col min="1282" max="1282" width="30.875" style="119" customWidth="1"/>
    <col min="1283" max="1283" width="9" style="119"/>
    <col min="1284" max="1284" width="9.625" style="119" bestFit="1" customWidth="1"/>
    <col min="1285" max="1286" width="9" style="119"/>
    <col min="1287" max="1287" width="19.25" style="119" customWidth="1"/>
    <col min="1288" max="1288" width="57.875" style="119" customWidth="1"/>
    <col min="1289" max="1289" width="6.375" style="119" customWidth="1"/>
    <col min="1290" max="1290" width="64" style="119" customWidth="1"/>
    <col min="1291" max="1291" width="11.625" style="119" bestFit="1" customWidth="1"/>
    <col min="1292" max="1292" width="11.625" style="119" customWidth="1"/>
    <col min="1293" max="1293" width="11.125" style="119" customWidth="1"/>
    <col min="1294" max="1536" width="9" style="119"/>
    <col min="1537" max="1537" width="15.625" style="119" customWidth="1"/>
    <col min="1538" max="1538" width="30.875" style="119" customWidth="1"/>
    <col min="1539" max="1539" width="9" style="119"/>
    <col min="1540" max="1540" width="9.625" style="119" bestFit="1" customWidth="1"/>
    <col min="1541" max="1542" width="9" style="119"/>
    <col min="1543" max="1543" width="19.25" style="119" customWidth="1"/>
    <col min="1544" max="1544" width="57.875" style="119" customWidth="1"/>
    <col min="1545" max="1545" width="6.375" style="119" customWidth="1"/>
    <col min="1546" max="1546" width="64" style="119" customWidth="1"/>
    <col min="1547" max="1547" width="11.625" style="119" bestFit="1" customWidth="1"/>
    <col min="1548" max="1548" width="11.625" style="119" customWidth="1"/>
    <col min="1549" max="1549" width="11.125" style="119" customWidth="1"/>
    <col min="1550" max="1792" width="9" style="119"/>
    <col min="1793" max="1793" width="15.625" style="119" customWidth="1"/>
    <col min="1794" max="1794" width="30.875" style="119" customWidth="1"/>
    <col min="1795" max="1795" width="9" style="119"/>
    <col min="1796" max="1796" width="9.625" style="119" bestFit="1" customWidth="1"/>
    <col min="1797" max="1798" width="9" style="119"/>
    <col min="1799" max="1799" width="19.25" style="119" customWidth="1"/>
    <col min="1800" max="1800" width="57.875" style="119" customWidth="1"/>
    <col min="1801" max="1801" width="6.375" style="119" customWidth="1"/>
    <col min="1802" max="1802" width="64" style="119" customWidth="1"/>
    <col min="1803" max="1803" width="11.625" style="119" bestFit="1" customWidth="1"/>
    <col min="1804" max="1804" width="11.625" style="119" customWidth="1"/>
    <col min="1805" max="1805" width="11.125" style="119" customWidth="1"/>
    <col min="1806" max="2048" width="9" style="119"/>
    <col min="2049" max="2049" width="15.625" style="119" customWidth="1"/>
    <col min="2050" max="2050" width="30.875" style="119" customWidth="1"/>
    <col min="2051" max="2051" width="9" style="119"/>
    <col min="2052" max="2052" width="9.625" style="119" bestFit="1" customWidth="1"/>
    <col min="2053" max="2054" width="9" style="119"/>
    <col min="2055" max="2055" width="19.25" style="119" customWidth="1"/>
    <col min="2056" max="2056" width="57.875" style="119" customWidth="1"/>
    <col min="2057" max="2057" width="6.375" style="119" customWidth="1"/>
    <col min="2058" max="2058" width="64" style="119" customWidth="1"/>
    <col min="2059" max="2059" width="11.625" style="119" bestFit="1" customWidth="1"/>
    <col min="2060" max="2060" width="11.625" style="119" customWidth="1"/>
    <col min="2061" max="2061" width="11.125" style="119" customWidth="1"/>
    <col min="2062" max="2304" width="9" style="119"/>
    <col min="2305" max="2305" width="15.625" style="119" customWidth="1"/>
    <col min="2306" max="2306" width="30.875" style="119" customWidth="1"/>
    <col min="2307" max="2307" width="9" style="119"/>
    <col min="2308" max="2308" width="9.625" style="119" bestFit="1" customWidth="1"/>
    <col min="2309" max="2310" width="9" style="119"/>
    <col min="2311" max="2311" width="19.25" style="119" customWidth="1"/>
    <col min="2312" max="2312" width="57.875" style="119" customWidth="1"/>
    <col min="2313" max="2313" width="6.375" style="119" customWidth="1"/>
    <col min="2314" max="2314" width="64" style="119" customWidth="1"/>
    <col min="2315" max="2315" width="11.625" style="119" bestFit="1" customWidth="1"/>
    <col min="2316" max="2316" width="11.625" style="119" customWidth="1"/>
    <col min="2317" max="2317" width="11.125" style="119" customWidth="1"/>
    <col min="2318" max="2560" width="9" style="119"/>
    <col min="2561" max="2561" width="15.625" style="119" customWidth="1"/>
    <col min="2562" max="2562" width="30.875" style="119" customWidth="1"/>
    <col min="2563" max="2563" width="9" style="119"/>
    <col min="2564" max="2564" width="9.625" style="119" bestFit="1" customWidth="1"/>
    <col min="2565" max="2566" width="9" style="119"/>
    <col min="2567" max="2567" width="19.25" style="119" customWidth="1"/>
    <col min="2568" max="2568" width="57.875" style="119" customWidth="1"/>
    <col min="2569" max="2569" width="6.375" style="119" customWidth="1"/>
    <col min="2570" max="2570" width="64" style="119" customWidth="1"/>
    <col min="2571" max="2571" width="11.625" style="119" bestFit="1" customWidth="1"/>
    <col min="2572" max="2572" width="11.625" style="119" customWidth="1"/>
    <col min="2573" max="2573" width="11.125" style="119" customWidth="1"/>
    <col min="2574" max="2816" width="9" style="119"/>
    <col min="2817" max="2817" width="15.625" style="119" customWidth="1"/>
    <col min="2818" max="2818" width="30.875" style="119" customWidth="1"/>
    <col min="2819" max="2819" width="9" style="119"/>
    <col min="2820" max="2820" width="9.625" style="119" bestFit="1" customWidth="1"/>
    <col min="2821" max="2822" width="9" style="119"/>
    <col min="2823" max="2823" width="19.25" style="119" customWidth="1"/>
    <col min="2824" max="2824" width="57.875" style="119" customWidth="1"/>
    <col min="2825" max="2825" width="6.375" style="119" customWidth="1"/>
    <col min="2826" max="2826" width="64" style="119" customWidth="1"/>
    <col min="2827" max="2827" width="11.625" style="119" bestFit="1" customWidth="1"/>
    <col min="2828" max="2828" width="11.625" style="119" customWidth="1"/>
    <col min="2829" max="2829" width="11.125" style="119" customWidth="1"/>
    <col min="2830" max="3072" width="9" style="119"/>
    <col min="3073" max="3073" width="15.625" style="119" customWidth="1"/>
    <col min="3074" max="3074" width="30.875" style="119" customWidth="1"/>
    <col min="3075" max="3075" width="9" style="119"/>
    <col min="3076" max="3076" width="9.625" style="119" bestFit="1" customWidth="1"/>
    <col min="3077" max="3078" width="9" style="119"/>
    <col min="3079" max="3079" width="19.25" style="119" customWidth="1"/>
    <col min="3080" max="3080" width="57.875" style="119" customWidth="1"/>
    <col min="3081" max="3081" width="6.375" style="119" customWidth="1"/>
    <col min="3082" max="3082" width="64" style="119" customWidth="1"/>
    <col min="3083" max="3083" width="11.625" style="119" bestFit="1" customWidth="1"/>
    <col min="3084" max="3084" width="11.625" style="119" customWidth="1"/>
    <col min="3085" max="3085" width="11.125" style="119" customWidth="1"/>
    <col min="3086" max="3328" width="9" style="119"/>
    <col min="3329" max="3329" width="15.625" style="119" customWidth="1"/>
    <col min="3330" max="3330" width="30.875" style="119" customWidth="1"/>
    <col min="3331" max="3331" width="9" style="119"/>
    <col min="3332" max="3332" width="9.625" style="119" bestFit="1" customWidth="1"/>
    <col min="3333" max="3334" width="9" style="119"/>
    <col min="3335" max="3335" width="19.25" style="119" customWidth="1"/>
    <col min="3336" max="3336" width="57.875" style="119" customWidth="1"/>
    <col min="3337" max="3337" width="6.375" style="119" customWidth="1"/>
    <col min="3338" max="3338" width="64" style="119" customWidth="1"/>
    <col min="3339" max="3339" width="11.625" style="119" bestFit="1" customWidth="1"/>
    <col min="3340" max="3340" width="11.625" style="119" customWidth="1"/>
    <col min="3341" max="3341" width="11.125" style="119" customWidth="1"/>
    <col min="3342" max="3584" width="9" style="119"/>
    <col min="3585" max="3585" width="15.625" style="119" customWidth="1"/>
    <col min="3586" max="3586" width="30.875" style="119" customWidth="1"/>
    <col min="3587" max="3587" width="9" style="119"/>
    <col min="3588" max="3588" width="9.625" style="119" bestFit="1" customWidth="1"/>
    <col min="3589" max="3590" width="9" style="119"/>
    <col min="3591" max="3591" width="19.25" style="119" customWidth="1"/>
    <col min="3592" max="3592" width="57.875" style="119" customWidth="1"/>
    <col min="3593" max="3593" width="6.375" style="119" customWidth="1"/>
    <col min="3594" max="3594" width="64" style="119" customWidth="1"/>
    <col min="3595" max="3595" width="11.625" style="119" bestFit="1" customWidth="1"/>
    <col min="3596" max="3596" width="11.625" style="119" customWidth="1"/>
    <col min="3597" max="3597" width="11.125" style="119" customWidth="1"/>
    <col min="3598" max="3840" width="9" style="119"/>
    <col min="3841" max="3841" width="15.625" style="119" customWidth="1"/>
    <col min="3842" max="3842" width="30.875" style="119" customWidth="1"/>
    <col min="3843" max="3843" width="9" style="119"/>
    <col min="3844" max="3844" width="9.625" style="119" bestFit="1" customWidth="1"/>
    <col min="3845" max="3846" width="9" style="119"/>
    <col min="3847" max="3847" width="19.25" style="119" customWidth="1"/>
    <col min="3848" max="3848" width="57.875" style="119" customWidth="1"/>
    <col min="3849" max="3849" width="6.375" style="119" customWidth="1"/>
    <col min="3850" max="3850" width="64" style="119" customWidth="1"/>
    <col min="3851" max="3851" width="11.625" style="119" bestFit="1" customWidth="1"/>
    <col min="3852" max="3852" width="11.625" style="119" customWidth="1"/>
    <col min="3853" max="3853" width="11.125" style="119" customWidth="1"/>
    <col min="3854" max="4096" width="9" style="119"/>
    <col min="4097" max="4097" width="15.625" style="119" customWidth="1"/>
    <col min="4098" max="4098" width="30.875" style="119" customWidth="1"/>
    <col min="4099" max="4099" width="9" style="119"/>
    <col min="4100" max="4100" width="9.625" style="119" bestFit="1" customWidth="1"/>
    <col min="4101" max="4102" width="9" style="119"/>
    <col min="4103" max="4103" width="19.25" style="119" customWidth="1"/>
    <col min="4104" max="4104" width="57.875" style="119" customWidth="1"/>
    <col min="4105" max="4105" width="6.375" style="119" customWidth="1"/>
    <col min="4106" max="4106" width="64" style="119" customWidth="1"/>
    <col min="4107" max="4107" width="11.625" style="119" bestFit="1" customWidth="1"/>
    <col min="4108" max="4108" width="11.625" style="119" customWidth="1"/>
    <col min="4109" max="4109" width="11.125" style="119" customWidth="1"/>
    <col min="4110" max="4352" width="9" style="119"/>
    <col min="4353" max="4353" width="15.625" style="119" customWidth="1"/>
    <col min="4354" max="4354" width="30.875" style="119" customWidth="1"/>
    <col min="4355" max="4355" width="9" style="119"/>
    <col min="4356" max="4356" width="9.625" style="119" bestFit="1" customWidth="1"/>
    <col min="4357" max="4358" width="9" style="119"/>
    <col min="4359" max="4359" width="19.25" style="119" customWidth="1"/>
    <col min="4360" max="4360" width="57.875" style="119" customWidth="1"/>
    <col min="4361" max="4361" width="6.375" style="119" customWidth="1"/>
    <col min="4362" max="4362" width="64" style="119" customWidth="1"/>
    <col min="4363" max="4363" width="11.625" style="119" bestFit="1" customWidth="1"/>
    <col min="4364" max="4364" width="11.625" style="119" customWidth="1"/>
    <col min="4365" max="4365" width="11.125" style="119" customWidth="1"/>
    <col min="4366" max="4608" width="9" style="119"/>
    <col min="4609" max="4609" width="15.625" style="119" customWidth="1"/>
    <col min="4610" max="4610" width="30.875" style="119" customWidth="1"/>
    <col min="4611" max="4611" width="9" style="119"/>
    <col min="4612" max="4612" width="9.625" style="119" bestFit="1" customWidth="1"/>
    <col min="4613" max="4614" width="9" style="119"/>
    <col min="4615" max="4615" width="19.25" style="119" customWidth="1"/>
    <col min="4616" max="4616" width="57.875" style="119" customWidth="1"/>
    <col min="4617" max="4617" width="6.375" style="119" customWidth="1"/>
    <col min="4618" max="4618" width="64" style="119" customWidth="1"/>
    <col min="4619" max="4619" width="11.625" style="119" bestFit="1" customWidth="1"/>
    <col min="4620" max="4620" width="11.625" style="119" customWidth="1"/>
    <col min="4621" max="4621" width="11.125" style="119" customWidth="1"/>
    <col min="4622" max="4864" width="9" style="119"/>
    <col min="4865" max="4865" width="15.625" style="119" customWidth="1"/>
    <col min="4866" max="4866" width="30.875" style="119" customWidth="1"/>
    <col min="4867" max="4867" width="9" style="119"/>
    <col min="4868" max="4868" width="9.625" style="119" bestFit="1" customWidth="1"/>
    <col min="4869" max="4870" width="9" style="119"/>
    <col min="4871" max="4871" width="19.25" style="119" customWidth="1"/>
    <col min="4872" max="4872" width="57.875" style="119" customWidth="1"/>
    <col min="4873" max="4873" width="6.375" style="119" customWidth="1"/>
    <col min="4874" max="4874" width="64" style="119" customWidth="1"/>
    <col min="4875" max="4875" width="11.625" style="119" bestFit="1" customWidth="1"/>
    <col min="4876" max="4876" width="11.625" style="119" customWidth="1"/>
    <col min="4877" max="4877" width="11.125" style="119" customWidth="1"/>
    <col min="4878" max="5120" width="9" style="119"/>
    <col min="5121" max="5121" width="15.625" style="119" customWidth="1"/>
    <col min="5122" max="5122" width="30.875" style="119" customWidth="1"/>
    <col min="5123" max="5123" width="9" style="119"/>
    <col min="5124" max="5124" width="9.625" style="119" bestFit="1" customWidth="1"/>
    <col min="5125" max="5126" width="9" style="119"/>
    <col min="5127" max="5127" width="19.25" style="119" customWidth="1"/>
    <col min="5128" max="5128" width="57.875" style="119" customWidth="1"/>
    <col min="5129" max="5129" width="6.375" style="119" customWidth="1"/>
    <col min="5130" max="5130" width="64" style="119" customWidth="1"/>
    <col min="5131" max="5131" width="11.625" style="119" bestFit="1" customWidth="1"/>
    <col min="5132" max="5132" width="11.625" style="119" customWidth="1"/>
    <col min="5133" max="5133" width="11.125" style="119" customWidth="1"/>
    <col min="5134" max="5376" width="9" style="119"/>
    <col min="5377" max="5377" width="15.625" style="119" customWidth="1"/>
    <col min="5378" max="5378" width="30.875" style="119" customWidth="1"/>
    <col min="5379" max="5379" width="9" style="119"/>
    <col min="5380" max="5380" width="9.625" style="119" bestFit="1" customWidth="1"/>
    <col min="5381" max="5382" width="9" style="119"/>
    <col min="5383" max="5383" width="19.25" style="119" customWidth="1"/>
    <col min="5384" max="5384" width="57.875" style="119" customWidth="1"/>
    <col min="5385" max="5385" width="6.375" style="119" customWidth="1"/>
    <col min="5386" max="5386" width="64" style="119" customWidth="1"/>
    <col min="5387" max="5387" width="11.625" style="119" bestFit="1" customWidth="1"/>
    <col min="5388" max="5388" width="11.625" style="119" customWidth="1"/>
    <col min="5389" max="5389" width="11.125" style="119" customWidth="1"/>
    <col min="5390" max="5632" width="9" style="119"/>
    <col min="5633" max="5633" width="15.625" style="119" customWidth="1"/>
    <col min="5634" max="5634" width="30.875" style="119" customWidth="1"/>
    <col min="5635" max="5635" width="9" style="119"/>
    <col min="5636" max="5636" width="9.625" style="119" bestFit="1" customWidth="1"/>
    <col min="5637" max="5638" width="9" style="119"/>
    <col min="5639" max="5639" width="19.25" style="119" customWidth="1"/>
    <col min="5640" max="5640" width="57.875" style="119" customWidth="1"/>
    <col min="5641" max="5641" width="6.375" style="119" customWidth="1"/>
    <col min="5642" max="5642" width="64" style="119" customWidth="1"/>
    <col min="5643" max="5643" width="11.625" style="119" bestFit="1" customWidth="1"/>
    <col min="5644" max="5644" width="11.625" style="119" customWidth="1"/>
    <col min="5645" max="5645" width="11.125" style="119" customWidth="1"/>
    <col min="5646" max="5888" width="9" style="119"/>
    <col min="5889" max="5889" width="15.625" style="119" customWidth="1"/>
    <col min="5890" max="5890" width="30.875" style="119" customWidth="1"/>
    <col min="5891" max="5891" width="9" style="119"/>
    <col min="5892" max="5892" width="9.625" style="119" bestFit="1" customWidth="1"/>
    <col min="5893" max="5894" width="9" style="119"/>
    <col min="5895" max="5895" width="19.25" style="119" customWidth="1"/>
    <col min="5896" max="5896" width="57.875" style="119" customWidth="1"/>
    <col min="5897" max="5897" width="6.375" style="119" customWidth="1"/>
    <col min="5898" max="5898" width="64" style="119" customWidth="1"/>
    <col min="5899" max="5899" width="11.625" style="119" bestFit="1" customWidth="1"/>
    <col min="5900" max="5900" width="11.625" style="119" customWidth="1"/>
    <col min="5901" max="5901" width="11.125" style="119" customWidth="1"/>
    <col min="5902" max="6144" width="9" style="119"/>
    <col min="6145" max="6145" width="15.625" style="119" customWidth="1"/>
    <col min="6146" max="6146" width="30.875" style="119" customWidth="1"/>
    <col min="6147" max="6147" width="9" style="119"/>
    <col min="6148" max="6148" width="9.625" style="119" bestFit="1" customWidth="1"/>
    <col min="6149" max="6150" width="9" style="119"/>
    <col min="6151" max="6151" width="19.25" style="119" customWidth="1"/>
    <col min="6152" max="6152" width="57.875" style="119" customWidth="1"/>
    <col min="6153" max="6153" width="6.375" style="119" customWidth="1"/>
    <col min="6154" max="6154" width="64" style="119" customWidth="1"/>
    <col min="6155" max="6155" width="11.625" style="119" bestFit="1" customWidth="1"/>
    <col min="6156" max="6156" width="11.625" style="119" customWidth="1"/>
    <col min="6157" max="6157" width="11.125" style="119" customWidth="1"/>
    <col min="6158" max="6400" width="9" style="119"/>
    <col min="6401" max="6401" width="15.625" style="119" customWidth="1"/>
    <col min="6402" max="6402" width="30.875" style="119" customWidth="1"/>
    <col min="6403" max="6403" width="9" style="119"/>
    <col min="6404" max="6404" width="9.625" style="119" bestFit="1" customWidth="1"/>
    <col min="6405" max="6406" width="9" style="119"/>
    <col min="6407" max="6407" width="19.25" style="119" customWidth="1"/>
    <col min="6408" max="6408" width="57.875" style="119" customWidth="1"/>
    <col min="6409" max="6409" width="6.375" style="119" customWidth="1"/>
    <col min="6410" max="6410" width="64" style="119" customWidth="1"/>
    <col min="6411" max="6411" width="11.625" style="119" bestFit="1" customWidth="1"/>
    <col min="6412" max="6412" width="11.625" style="119" customWidth="1"/>
    <col min="6413" max="6413" width="11.125" style="119" customWidth="1"/>
    <col min="6414" max="6656" width="9" style="119"/>
    <col min="6657" max="6657" width="15.625" style="119" customWidth="1"/>
    <col min="6658" max="6658" width="30.875" style="119" customWidth="1"/>
    <col min="6659" max="6659" width="9" style="119"/>
    <col min="6660" max="6660" width="9.625" style="119" bestFit="1" customWidth="1"/>
    <col min="6661" max="6662" width="9" style="119"/>
    <col min="6663" max="6663" width="19.25" style="119" customWidth="1"/>
    <col min="6664" max="6664" width="57.875" style="119" customWidth="1"/>
    <col min="6665" max="6665" width="6.375" style="119" customWidth="1"/>
    <col min="6666" max="6666" width="64" style="119" customWidth="1"/>
    <col min="6667" max="6667" width="11.625" style="119" bestFit="1" customWidth="1"/>
    <col min="6668" max="6668" width="11.625" style="119" customWidth="1"/>
    <col min="6669" max="6669" width="11.125" style="119" customWidth="1"/>
    <col min="6670" max="6912" width="9" style="119"/>
    <col min="6913" max="6913" width="15.625" style="119" customWidth="1"/>
    <col min="6914" max="6914" width="30.875" style="119" customWidth="1"/>
    <col min="6915" max="6915" width="9" style="119"/>
    <col min="6916" max="6916" width="9.625" style="119" bestFit="1" customWidth="1"/>
    <col min="6917" max="6918" width="9" style="119"/>
    <col min="6919" max="6919" width="19.25" style="119" customWidth="1"/>
    <col min="6920" max="6920" width="57.875" style="119" customWidth="1"/>
    <col min="6921" max="6921" width="6.375" style="119" customWidth="1"/>
    <col min="6922" max="6922" width="64" style="119" customWidth="1"/>
    <col min="6923" max="6923" width="11.625" style="119" bestFit="1" customWidth="1"/>
    <col min="6924" max="6924" width="11.625" style="119" customWidth="1"/>
    <col min="6925" max="6925" width="11.125" style="119" customWidth="1"/>
    <col min="6926" max="7168" width="9" style="119"/>
    <col min="7169" max="7169" width="15.625" style="119" customWidth="1"/>
    <col min="7170" max="7170" width="30.875" style="119" customWidth="1"/>
    <col min="7171" max="7171" width="9" style="119"/>
    <col min="7172" max="7172" width="9.625" style="119" bestFit="1" customWidth="1"/>
    <col min="7173" max="7174" width="9" style="119"/>
    <col min="7175" max="7175" width="19.25" style="119" customWidth="1"/>
    <col min="7176" max="7176" width="57.875" style="119" customWidth="1"/>
    <col min="7177" max="7177" width="6.375" style="119" customWidth="1"/>
    <col min="7178" max="7178" width="64" style="119" customWidth="1"/>
    <col min="7179" max="7179" width="11.625" style="119" bestFit="1" customWidth="1"/>
    <col min="7180" max="7180" width="11.625" style="119" customWidth="1"/>
    <col min="7181" max="7181" width="11.125" style="119" customWidth="1"/>
    <col min="7182" max="7424" width="9" style="119"/>
    <col min="7425" max="7425" width="15.625" style="119" customWidth="1"/>
    <col min="7426" max="7426" width="30.875" style="119" customWidth="1"/>
    <col min="7427" max="7427" width="9" style="119"/>
    <col min="7428" max="7428" width="9.625" style="119" bestFit="1" customWidth="1"/>
    <col min="7429" max="7430" width="9" style="119"/>
    <col min="7431" max="7431" width="19.25" style="119" customWidth="1"/>
    <col min="7432" max="7432" width="57.875" style="119" customWidth="1"/>
    <col min="7433" max="7433" width="6.375" style="119" customWidth="1"/>
    <col min="7434" max="7434" width="64" style="119" customWidth="1"/>
    <col min="7435" max="7435" width="11.625" style="119" bestFit="1" customWidth="1"/>
    <col min="7436" max="7436" width="11.625" style="119" customWidth="1"/>
    <col min="7437" max="7437" width="11.125" style="119" customWidth="1"/>
    <col min="7438" max="7680" width="9" style="119"/>
    <col min="7681" max="7681" width="15.625" style="119" customWidth="1"/>
    <col min="7682" max="7682" width="30.875" style="119" customWidth="1"/>
    <col min="7683" max="7683" width="9" style="119"/>
    <col min="7684" max="7684" width="9.625" style="119" bestFit="1" customWidth="1"/>
    <col min="7685" max="7686" width="9" style="119"/>
    <col min="7687" max="7687" width="19.25" style="119" customWidth="1"/>
    <col min="7688" max="7688" width="57.875" style="119" customWidth="1"/>
    <col min="7689" max="7689" width="6.375" style="119" customWidth="1"/>
    <col min="7690" max="7690" width="64" style="119" customWidth="1"/>
    <col min="7691" max="7691" width="11.625" style="119" bestFit="1" customWidth="1"/>
    <col min="7692" max="7692" width="11.625" style="119" customWidth="1"/>
    <col min="7693" max="7693" width="11.125" style="119" customWidth="1"/>
    <col min="7694" max="7936" width="9" style="119"/>
    <col min="7937" max="7937" width="15.625" style="119" customWidth="1"/>
    <col min="7938" max="7938" width="30.875" style="119" customWidth="1"/>
    <col min="7939" max="7939" width="9" style="119"/>
    <col min="7940" max="7940" width="9.625" style="119" bestFit="1" customWidth="1"/>
    <col min="7941" max="7942" width="9" style="119"/>
    <col min="7943" max="7943" width="19.25" style="119" customWidth="1"/>
    <col min="7944" max="7944" width="57.875" style="119" customWidth="1"/>
    <col min="7945" max="7945" width="6.375" style="119" customWidth="1"/>
    <col min="7946" max="7946" width="64" style="119" customWidth="1"/>
    <col min="7947" max="7947" width="11.625" style="119" bestFit="1" customWidth="1"/>
    <col min="7948" max="7948" width="11.625" style="119" customWidth="1"/>
    <col min="7949" max="7949" width="11.125" style="119" customWidth="1"/>
    <col min="7950" max="8192" width="9" style="119"/>
    <col min="8193" max="8193" width="15.625" style="119" customWidth="1"/>
    <col min="8194" max="8194" width="30.875" style="119" customWidth="1"/>
    <col min="8195" max="8195" width="9" style="119"/>
    <col min="8196" max="8196" width="9.625" style="119" bestFit="1" customWidth="1"/>
    <col min="8197" max="8198" width="9" style="119"/>
    <col min="8199" max="8199" width="19.25" style="119" customWidth="1"/>
    <col min="8200" max="8200" width="57.875" style="119" customWidth="1"/>
    <col min="8201" max="8201" width="6.375" style="119" customWidth="1"/>
    <col min="8202" max="8202" width="64" style="119" customWidth="1"/>
    <col min="8203" max="8203" width="11.625" style="119" bestFit="1" customWidth="1"/>
    <col min="8204" max="8204" width="11.625" style="119" customWidth="1"/>
    <col min="8205" max="8205" width="11.125" style="119" customWidth="1"/>
    <col min="8206" max="8448" width="9" style="119"/>
    <col min="8449" max="8449" width="15.625" style="119" customWidth="1"/>
    <col min="8450" max="8450" width="30.875" style="119" customWidth="1"/>
    <col min="8451" max="8451" width="9" style="119"/>
    <col min="8452" max="8452" width="9.625" style="119" bestFit="1" customWidth="1"/>
    <col min="8453" max="8454" width="9" style="119"/>
    <col min="8455" max="8455" width="19.25" style="119" customWidth="1"/>
    <col min="8456" max="8456" width="57.875" style="119" customWidth="1"/>
    <col min="8457" max="8457" width="6.375" style="119" customWidth="1"/>
    <col min="8458" max="8458" width="64" style="119" customWidth="1"/>
    <col min="8459" max="8459" width="11.625" style="119" bestFit="1" customWidth="1"/>
    <col min="8460" max="8460" width="11.625" style="119" customWidth="1"/>
    <col min="8461" max="8461" width="11.125" style="119" customWidth="1"/>
    <col min="8462" max="8704" width="9" style="119"/>
    <col min="8705" max="8705" width="15.625" style="119" customWidth="1"/>
    <col min="8706" max="8706" width="30.875" style="119" customWidth="1"/>
    <col min="8707" max="8707" width="9" style="119"/>
    <col min="8708" max="8708" width="9.625" style="119" bestFit="1" customWidth="1"/>
    <col min="8709" max="8710" width="9" style="119"/>
    <col min="8711" max="8711" width="19.25" style="119" customWidth="1"/>
    <col min="8712" max="8712" width="57.875" style="119" customWidth="1"/>
    <col min="8713" max="8713" width="6.375" style="119" customWidth="1"/>
    <col min="8714" max="8714" width="64" style="119" customWidth="1"/>
    <col min="8715" max="8715" width="11.625" style="119" bestFit="1" customWidth="1"/>
    <col min="8716" max="8716" width="11.625" style="119" customWidth="1"/>
    <col min="8717" max="8717" width="11.125" style="119" customWidth="1"/>
    <col min="8718" max="8960" width="9" style="119"/>
    <col min="8961" max="8961" width="15.625" style="119" customWidth="1"/>
    <col min="8962" max="8962" width="30.875" style="119" customWidth="1"/>
    <col min="8963" max="8963" width="9" style="119"/>
    <col min="8964" max="8964" width="9.625" style="119" bestFit="1" customWidth="1"/>
    <col min="8965" max="8966" width="9" style="119"/>
    <col min="8967" max="8967" width="19.25" style="119" customWidth="1"/>
    <col min="8968" max="8968" width="57.875" style="119" customWidth="1"/>
    <col min="8969" max="8969" width="6.375" style="119" customWidth="1"/>
    <col min="8970" max="8970" width="64" style="119" customWidth="1"/>
    <col min="8971" max="8971" width="11.625" style="119" bestFit="1" customWidth="1"/>
    <col min="8972" max="8972" width="11.625" style="119" customWidth="1"/>
    <col min="8973" max="8973" width="11.125" style="119" customWidth="1"/>
    <col min="8974" max="9216" width="9" style="119"/>
    <col min="9217" max="9217" width="15.625" style="119" customWidth="1"/>
    <col min="9218" max="9218" width="30.875" style="119" customWidth="1"/>
    <col min="9219" max="9219" width="9" style="119"/>
    <col min="9220" max="9220" width="9.625" style="119" bestFit="1" customWidth="1"/>
    <col min="9221" max="9222" width="9" style="119"/>
    <col min="9223" max="9223" width="19.25" style="119" customWidth="1"/>
    <col min="9224" max="9224" width="57.875" style="119" customWidth="1"/>
    <col min="9225" max="9225" width="6.375" style="119" customWidth="1"/>
    <col min="9226" max="9226" width="64" style="119" customWidth="1"/>
    <col min="9227" max="9227" width="11.625" style="119" bestFit="1" customWidth="1"/>
    <col min="9228" max="9228" width="11.625" style="119" customWidth="1"/>
    <col min="9229" max="9229" width="11.125" style="119" customWidth="1"/>
    <col min="9230" max="9472" width="9" style="119"/>
    <col min="9473" max="9473" width="15.625" style="119" customWidth="1"/>
    <col min="9474" max="9474" width="30.875" style="119" customWidth="1"/>
    <col min="9475" max="9475" width="9" style="119"/>
    <col min="9476" max="9476" width="9.625" style="119" bestFit="1" customWidth="1"/>
    <col min="9477" max="9478" width="9" style="119"/>
    <col min="9479" max="9479" width="19.25" style="119" customWidth="1"/>
    <col min="9480" max="9480" width="57.875" style="119" customWidth="1"/>
    <col min="9481" max="9481" width="6.375" style="119" customWidth="1"/>
    <col min="9482" max="9482" width="64" style="119" customWidth="1"/>
    <col min="9483" max="9483" width="11.625" style="119" bestFit="1" customWidth="1"/>
    <col min="9484" max="9484" width="11.625" style="119" customWidth="1"/>
    <col min="9485" max="9485" width="11.125" style="119" customWidth="1"/>
    <col min="9486" max="9728" width="9" style="119"/>
    <col min="9729" max="9729" width="15.625" style="119" customWidth="1"/>
    <col min="9730" max="9730" width="30.875" style="119" customWidth="1"/>
    <col min="9731" max="9731" width="9" style="119"/>
    <col min="9732" max="9732" width="9.625" style="119" bestFit="1" customWidth="1"/>
    <col min="9733" max="9734" width="9" style="119"/>
    <col min="9735" max="9735" width="19.25" style="119" customWidth="1"/>
    <col min="9736" max="9736" width="57.875" style="119" customWidth="1"/>
    <col min="9737" max="9737" width="6.375" style="119" customWidth="1"/>
    <col min="9738" max="9738" width="64" style="119" customWidth="1"/>
    <col min="9739" max="9739" width="11.625" style="119" bestFit="1" customWidth="1"/>
    <col min="9740" max="9740" width="11.625" style="119" customWidth="1"/>
    <col min="9741" max="9741" width="11.125" style="119" customWidth="1"/>
    <col min="9742" max="9984" width="9" style="119"/>
    <col min="9985" max="9985" width="15.625" style="119" customWidth="1"/>
    <col min="9986" max="9986" width="30.875" style="119" customWidth="1"/>
    <col min="9987" max="9987" width="9" style="119"/>
    <col min="9988" max="9988" width="9.625" style="119" bestFit="1" customWidth="1"/>
    <col min="9989" max="9990" width="9" style="119"/>
    <col min="9991" max="9991" width="19.25" style="119" customWidth="1"/>
    <col min="9992" max="9992" width="57.875" style="119" customWidth="1"/>
    <col min="9993" max="9993" width="6.375" style="119" customWidth="1"/>
    <col min="9994" max="9994" width="64" style="119" customWidth="1"/>
    <col min="9995" max="9995" width="11.625" style="119" bestFit="1" customWidth="1"/>
    <col min="9996" max="9996" width="11.625" style="119" customWidth="1"/>
    <col min="9997" max="9997" width="11.125" style="119" customWidth="1"/>
    <col min="9998" max="10240" width="9" style="119"/>
    <col min="10241" max="10241" width="15.625" style="119" customWidth="1"/>
    <col min="10242" max="10242" width="30.875" style="119" customWidth="1"/>
    <col min="10243" max="10243" width="9" style="119"/>
    <col min="10244" max="10244" width="9.625" style="119" bestFit="1" customWidth="1"/>
    <col min="10245" max="10246" width="9" style="119"/>
    <col min="10247" max="10247" width="19.25" style="119" customWidth="1"/>
    <col min="10248" max="10248" width="57.875" style="119" customWidth="1"/>
    <col min="10249" max="10249" width="6.375" style="119" customWidth="1"/>
    <col min="10250" max="10250" width="64" style="119" customWidth="1"/>
    <col min="10251" max="10251" width="11.625" style="119" bestFit="1" customWidth="1"/>
    <col min="10252" max="10252" width="11.625" style="119" customWidth="1"/>
    <col min="10253" max="10253" width="11.125" style="119" customWidth="1"/>
    <col min="10254" max="10496" width="9" style="119"/>
    <col min="10497" max="10497" width="15.625" style="119" customWidth="1"/>
    <col min="10498" max="10498" width="30.875" style="119" customWidth="1"/>
    <col min="10499" max="10499" width="9" style="119"/>
    <col min="10500" max="10500" width="9.625" style="119" bestFit="1" customWidth="1"/>
    <col min="10501" max="10502" width="9" style="119"/>
    <col min="10503" max="10503" width="19.25" style="119" customWidth="1"/>
    <col min="10504" max="10504" width="57.875" style="119" customWidth="1"/>
    <col min="10505" max="10505" width="6.375" style="119" customWidth="1"/>
    <col min="10506" max="10506" width="64" style="119" customWidth="1"/>
    <col min="10507" max="10507" width="11.625" style="119" bestFit="1" customWidth="1"/>
    <col min="10508" max="10508" width="11.625" style="119" customWidth="1"/>
    <col min="10509" max="10509" width="11.125" style="119" customWidth="1"/>
    <col min="10510" max="10752" width="9" style="119"/>
    <col min="10753" max="10753" width="15.625" style="119" customWidth="1"/>
    <col min="10754" max="10754" width="30.875" style="119" customWidth="1"/>
    <col min="10755" max="10755" width="9" style="119"/>
    <col min="10756" max="10756" width="9.625" style="119" bestFit="1" customWidth="1"/>
    <col min="10757" max="10758" width="9" style="119"/>
    <col min="10759" max="10759" width="19.25" style="119" customWidth="1"/>
    <col min="10760" max="10760" width="57.875" style="119" customWidth="1"/>
    <col min="10761" max="10761" width="6.375" style="119" customWidth="1"/>
    <col min="10762" max="10762" width="64" style="119" customWidth="1"/>
    <col min="10763" max="10763" width="11.625" style="119" bestFit="1" customWidth="1"/>
    <col min="10764" max="10764" width="11.625" style="119" customWidth="1"/>
    <col min="10765" max="10765" width="11.125" style="119" customWidth="1"/>
    <col min="10766" max="11008" width="9" style="119"/>
    <col min="11009" max="11009" width="15.625" style="119" customWidth="1"/>
    <col min="11010" max="11010" width="30.875" style="119" customWidth="1"/>
    <col min="11011" max="11011" width="9" style="119"/>
    <col min="11012" max="11012" width="9.625" style="119" bestFit="1" customWidth="1"/>
    <col min="11013" max="11014" width="9" style="119"/>
    <col min="11015" max="11015" width="19.25" style="119" customWidth="1"/>
    <col min="11016" max="11016" width="57.875" style="119" customWidth="1"/>
    <col min="11017" max="11017" width="6.375" style="119" customWidth="1"/>
    <col min="11018" max="11018" width="64" style="119" customWidth="1"/>
    <col min="11019" max="11019" width="11.625" style="119" bestFit="1" customWidth="1"/>
    <col min="11020" max="11020" width="11.625" style="119" customWidth="1"/>
    <col min="11021" max="11021" width="11.125" style="119" customWidth="1"/>
    <col min="11022" max="11264" width="9" style="119"/>
    <col min="11265" max="11265" width="15.625" style="119" customWidth="1"/>
    <col min="11266" max="11266" width="30.875" style="119" customWidth="1"/>
    <col min="11267" max="11267" width="9" style="119"/>
    <col min="11268" max="11268" width="9.625" style="119" bestFit="1" customWidth="1"/>
    <col min="11269" max="11270" width="9" style="119"/>
    <col min="11271" max="11271" width="19.25" style="119" customWidth="1"/>
    <col min="11272" max="11272" width="57.875" style="119" customWidth="1"/>
    <col min="11273" max="11273" width="6.375" style="119" customWidth="1"/>
    <col min="11274" max="11274" width="64" style="119" customWidth="1"/>
    <col min="11275" max="11275" width="11.625" style="119" bestFit="1" customWidth="1"/>
    <col min="11276" max="11276" width="11.625" style="119" customWidth="1"/>
    <col min="11277" max="11277" width="11.125" style="119" customWidth="1"/>
    <col min="11278" max="11520" width="9" style="119"/>
    <col min="11521" max="11521" width="15.625" style="119" customWidth="1"/>
    <col min="11522" max="11522" width="30.875" style="119" customWidth="1"/>
    <col min="11523" max="11523" width="9" style="119"/>
    <col min="11524" max="11524" width="9.625" style="119" bestFit="1" customWidth="1"/>
    <col min="11525" max="11526" width="9" style="119"/>
    <col min="11527" max="11527" width="19.25" style="119" customWidth="1"/>
    <col min="11528" max="11528" width="57.875" style="119" customWidth="1"/>
    <col min="11529" max="11529" width="6.375" style="119" customWidth="1"/>
    <col min="11530" max="11530" width="64" style="119" customWidth="1"/>
    <col min="11531" max="11531" width="11.625" style="119" bestFit="1" customWidth="1"/>
    <col min="11532" max="11532" width="11.625" style="119" customWidth="1"/>
    <col min="11533" max="11533" width="11.125" style="119" customWidth="1"/>
    <col min="11534" max="11776" width="9" style="119"/>
    <col min="11777" max="11777" width="15.625" style="119" customWidth="1"/>
    <col min="11778" max="11778" width="30.875" style="119" customWidth="1"/>
    <col min="11779" max="11779" width="9" style="119"/>
    <col min="11780" max="11780" width="9.625" style="119" bestFit="1" customWidth="1"/>
    <col min="11781" max="11782" width="9" style="119"/>
    <col min="11783" max="11783" width="19.25" style="119" customWidth="1"/>
    <col min="11784" max="11784" width="57.875" style="119" customWidth="1"/>
    <col min="11785" max="11785" width="6.375" style="119" customWidth="1"/>
    <col min="11786" max="11786" width="64" style="119" customWidth="1"/>
    <col min="11787" max="11787" width="11.625" style="119" bestFit="1" customWidth="1"/>
    <col min="11788" max="11788" width="11.625" style="119" customWidth="1"/>
    <col min="11789" max="11789" width="11.125" style="119" customWidth="1"/>
    <col min="11790" max="12032" width="9" style="119"/>
    <col min="12033" max="12033" width="15.625" style="119" customWidth="1"/>
    <col min="12034" max="12034" width="30.875" style="119" customWidth="1"/>
    <col min="12035" max="12035" width="9" style="119"/>
    <col min="12036" max="12036" width="9.625" style="119" bestFit="1" customWidth="1"/>
    <col min="12037" max="12038" width="9" style="119"/>
    <col min="12039" max="12039" width="19.25" style="119" customWidth="1"/>
    <col min="12040" max="12040" width="57.875" style="119" customWidth="1"/>
    <col min="12041" max="12041" width="6.375" style="119" customWidth="1"/>
    <col min="12042" max="12042" width="64" style="119" customWidth="1"/>
    <col min="12043" max="12043" width="11.625" style="119" bestFit="1" customWidth="1"/>
    <col min="12044" max="12044" width="11.625" style="119" customWidth="1"/>
    <col min="12045" max="12045" width="11.125" style="119" customWidth="1"/>
    <col min="12046" max="12288" width="9" style="119"/>
    <col min="12289" max="12289" width="15.625" style="119" customWidth="1"/>
    <col min="12290" max="12290" width="30.875" style="119" customWidth="1"/>
    <col min="12291" max="12291" width="9" style="119"/>
    <col min="12292" max="12292" width="9.625" style="119" bestFit="1" customWidth="1"/>
    <col min="12293" max="12294" width="9" style="119"/>
    <col min="12295" max="12295" width="19.25" style="119" customWidth="1"/>
    <col min="12296" max="12296" width="57.875" style="119" customWidth="1"/>
    <col min="12297" max="12297" width="6.375" style="119" customWidth="1"/>
    <col min="12298" max="12298" width="64" style="119" customWidth="1"/>
    <col min="12299" max="12299" width="11.625" style="119" bestFit="1" customWidth="1"/>
    <col min="12300" max="12300" width="11.625" style="119" customWidth="1"/>
    <col min="12301" max="12301" width="11.125" style="119" customWidth="1"/>
    <col min="12302" max="12544" width="9" style="119"/>
    <col min="12545" max="12545" width="15.625" style="119" customWidth="1"/>
    <col min="12546" max="12546" width="30.875" style="119" customWidth="1"/>
    <col min="12547" max="12547" width="9" style="119"/>
    <col min="12548" max="12548" width="9.625" style="119" bestFit="1" customWidth="1"/>
    <col min="12549" max="12550" width="9" style="119"/>
    <col min="12551" max="12551" width="19.25" style="119" customWidth="1"/>
    <col min="12552" max="12552" width="57.875" style="119" customWidth="1"/>
    <col min="12553" max="12553" width="6.375" style="119" customWidth="1"/>
    <col min="12554" max="12554" width="64" style="119" customWidth="1"/>
    <col min="12555" max="12555" width="11.625" style="119" bestFit="1" customWidth="1"/>
    <col min="12556" max="12556" width="11.625" style="119" customWidth="1"/>
    <col min="12557" max="12557" width="11.125" style="119" customWidth="1"/>
    <col min="12558" max="12800" width="9" style="119"/>
    <col min="12801" max="12801" width="15.625" style="119" customWidth="1"/>
    <col min="12802" max="12802" width="30.875" style="119" customWidth="1"/>
    <col min="12803" max="12803" width="9" style="119"/>
    <col min="12804" max="12804" width="9.625" style="119" bestFit="1" customWidth="1"/>
    <col min="12805" max="12806" width="9" style="119"/>
    <col min="12807" max="12807" width="19.25" style="119" customWidth="1"/>
    <col min="12808" max="12808" width="57.875" style="119" customWidth="1"/>
    <col min="12809" max="12809" width="6.375" style="119" customWidth="1"/>
    <col min="12810" max="12810" width="64" style="119" customWidth="1"/>
    <col min="12811" max="12811" width="11.625" style="119" bestFit="1" customWidth="1"/>
    <col min="12812" max="12812" width="11.625" style="119" customWidth="1"/>
    <col min="12813" max="12813" width="11.125" style="119" customWidth="1"/>
    <col min="12814" max="13056" width="9" style="119"/>
    <col min="13057" max="13057" width="15.625" style="119" customWidth="1"/>
    <col min="13058" max="13058" width="30.875" style="119" customWidth="1"/>
    <col min="13059" max="13059" width="9" style="119"/>
    <col min="13060" max="13060" width="9.625" style="119" bestFit="1" customWidth="1"/>
    <col min="13061" max="13062" width="9" style="119"/>
    <col min="13063" max="13063" width="19.25" style="119" customWidth="1"/>
    <col min="13064" max="13064" width="57.875" style="119" customWidth="1"/>
    <col min="13065" max="13065" width="6.375" style="119" customWidth="1"/>
    <col min="13066" max="13066" width="64" style="119" customWidth="1"/>
    <col min="13067" max="13067" width="11.625" style="119" bestFit="1" customWidth="1"/>
    <col min="13068" max="13068" width="11.625" style="119" customWidth="1"/>
    <col min="13069" max="13069" width="11.125" style="119" customWidth="1"/>
    <col min="13070" max="13312" width="9" style="119"/>
    <col min="13313" max="13313" width="15.625" style="119" customWidth="1"/>
    <col min="13314" max="13314" width="30.875" style="119" customWidth="1"/>
    <col min="13315" max="13315" width="9" style="119"/>
    <col min="13316" max="13316" width="9.625" style="119" bestFit="1" customWidth="1"/>
    <col min="13317" max="13318" width="9" style="119"/>
    <col min="13319" max="13319" width="19.25" style="119" customWidth="1"/>
    <col min="13320" max="13320" width="57.875" style="119" customWidth="1"/>
    <col min="13321" max="13321" width="6.375" style="119" customWidth="1"/>
    <col min="13322" max="13322" width="64" style="119" customWidth="1"/>
    <col min="13323" max="13323" width="11.625" style="119" bestFit="1" customWidth="1"/>
    <col min="13324" max="13324" width="11.625" style="119" customWidth="1"/>
    <col min="13325" max="13325" width="11.125" style="119" customWidth="1"/>
    <col min="13326" max="13568" width="9" style="119"/>
    <col min="13569" max="13569" width="15.625" style="119" customWidth="1"/>
    <col min="13570" max="13570" width="30.875" style="119" customWidth="1"/>
    <col min="13571" max="13571" width="9" style="119"/>
    <col min="13572" max="13572" width="9.625" style="119" bestFit="1" customWidth="1"/>
    <col min="13573" max="13574" width="9" style="119"/>
    <col min="13575" max="13575" width="19.25" style="119" customWidth="1"/>
    <col min="13576" max="13576" width="57.875" style="119" customWidth="1"/>
    <col min="13577" max="13577" width="6.375" style="119" customWidth="1"/>
    <col min="13578" max="13578" width="64" style="119" customWidth="1"/>
    <col min="13579" max="13579" width="11.625" style="119" bestFit="1" customWidth="1"/>
    <col min="13580" max="13580" width="11.625" style="119" customWidth="1"/>
    <col min="13581" max="13581" width="11.125" style="119" customWidth="1"/>
    <col min="13582" max="13824" width="9" style="119"/>
    <col min="13825" max="13825" width="15.625" style="119" customWidth="1"/>
    <col min="13826" max="13826" width="30.875" style="119" customWidth="1"/>
    <col min="13827" max="13827" width="9" style="119"/>
    <col min="13828" max="13828" width="9.625" style="119" bestFit="1" customWidth="1"/>
    <col min="13829" max="13830" width="9" style="119"/>
    <col min="13831" max="13831" width="19.25" style="119" customWidth="1"/>
    <col min="13832" max="13832" width="57.875" style="119" customWidth="1"/>
    <col min="13833" max="13833" width="6.375" style="119" customWidth="1"/>
    <col min="13834" max="13834" width="64" style="119" customWidth="1"/>
    <col min="13835" max="13835" width="11.625" style="119" bestFit="1" customWidth="1"/>
    <col min="13836" max="13836" width="11.625" style="119" customWidth="1"/>
    <col min="13837" max="13837" width="11.125" style="119" customWidth="1"/>
    <col min="13838" max="14080" width="9" style="119"/>
    <col min="14081" max="14081" width="15.625" style="119" customWidth="1"/>
    <col min="14082" max="14082" width="30.875" style="119" customWidth="1"/>
    <col min="14083" max="14083" width="9" style="119"/>
    <col min="14084" max="14084" width="9.625" style="119" bestFit="1" customWidth="1"/>
    <col min="14085" max="14086" width="9" style="119"/>
    <col min="14087" max="14087" width="19.25" style="119" customWidth="1"/>
    <col min="14088" max="14088" width="57.875" style="119" customWidth="1"/>
    <col min="14089" max="14089" width="6.375" style="119" customWidth="1"/>
    <col min="14090" max="14090" width="64" style="119" customWidth="1"/>
    <col min="14091" max="14091" width="11.625" style="119" bestFit="1" customWidth="1"/>
    <col min="14092" max="14092" width="11.625" style="119" customWidth="1"/>
    <col min="14093" max="14093" width="11.125" style="119" customWidth="1"/>
    <col min="14094" max="14336" width="9" style="119"/>
    <col min="14337" max="14337" width="15.625" style="119" customWidth="1"/>
    <col min="14338" max="14338" width="30.875" style="119" customWidth="1"/>
    <col min="14339" max="14339" width="9" style="119"/>
    <col min="14340" max="14340" width="9.625" style="119" bestFit="1" customWidth="1"/>
    <col min="14341" max="14342" width="9" style="119"/>
    <col min="14343" max="14343" width="19.25" style="119" customWidth="1"/>
    <col min="14344" max="14344" width="57.875" style="119" customWidth="1"/>
    <col min="14345" max="14345" width="6.375" style="119" customWidth="1"/>
    <col min="14346" max="14346" width="64" style="119" customWidth="1"/>
    <col min="14347" max="14347" width="11.625" style="119" bestFit="1" customWidth="1"/>
    <col min="14348" max="14348" width="11.625" style="119" customWidth="1"/>
    <col min="14349" max="14349" width="11.125" style="119" customWidth="1"/>
    <col min="14350" max="14592" width="9" style="119"/>
    <col min="14593" max="14593" width="15.625" style="119" customWidth="1"/>
    <col min="14594" max="14594" width="30.875" style="119" customWidth="1"/>
    <col min="14595" max="14595" width="9" style="119"/>
    <col min="14596" max="14596" width="9.625" style="119" bestFit="1" customWidth="1"/>
    <col min="14597" max="14598" width="9" style="119"/>
    <col min="14599" max="14599" width="19.25" style="119" customWidth="1"/>
    <col min="14600" max="14600" width="57.875" style="119" customWidth="1"/>
    <col min="14601" max="14601" width="6.375" style="119" customWidth="1"/>
    <col min="14602" max="14602" width="64" style="119" customWidth="1"/>
    <col min="14603" max="14603" width="11.625" style="119" bestFit="1" customWidth="1"/>
    <col min="14604" max="14604" width="11.625" style="119" customWidth="1"/>
    <col min="14605" max="14605" width="11.125" style="119" customWidth="1"/>
    <col min="14606" max="14848" width="9" style="119"/>
    <col min="14849" max="14849" width="15.625" style="119" customWidth="1"/>
    <col min="14850" max="14850" width="30.875" style="119" customWidth="1"/>
    <col min="14851" max="14851" width="9" style="119"/>
    <col min="14852" max="14852" width="9.625" style="119" bestFit="1" customWidth="1"/>
    <col min="14853" max="14854" width="9" style="119"/>
    <col min="14855" max="14855" width="19.25" style="119" customWidth="1"/>
    <col min="14856" max="14856" width="57.875" style="119" customWidth="1"/>
    <col min="14857" max="14857" width="6.375" style="119" customWidth="1"/>
    <col min="14858" max="14858" width="64" style="119" customWidth="1"/>
    <col min="14859" max="14859" width="11.625" style="119" bestFit="1" customWidth="1"/>
    <col min="14860" max="14860" width="11.625" style="119" customWidth="1"/>
    <col min="14861" max="14861" width="11.125" style="119" customWidth="1"/>
    <col min="14862" max="15104" width="9" style="119"/>
    <col min="15105" max="15105" width="15.625" style="119" customWidth="1"/>
    <col min="15106" max="15106" width="30.875" style="119" customWidth="1"/>
    <col min="15107" max="15107" width="9" style="119"/>
    <col min="15108" max="15108" width="9.625" style="119" bestFit="1" customWidth="1"/>
    <col min="15109" max="15110" width="9" style="119"/>
    <col min="15111" max="15111" width="19.25" style="119" customWidth="1"/>
    <col min="15112" max="15112" width="57.875" style="119" customWidth="1"/>
    <col min="15113" max="15113" width="6.375" style="119" customWidth="1"/>
    <col min="15114" max="15114" width="64" style="119" customWidth="1"/>
    <col min="15115" max="15115" width="11.625" style="119" bestFit="1" customWidth="1"/>
    <col min="15116" max="15116" width="11.625" style="119" customWidth="1"/>
    <col min="15117" max="15117" width="11.125" style="119" customWidth="1"/>
    <col min="15118" max="15360" width="9" style="119"/>
    <col min="15361" max="15361" width="15.625" style="119" customWidth="1"/>
    <col min="15362" max="15362" width="30.875" style="119" customWidth="1"/>
    <col min="15363" max="15363" width="9" style="119"/>
    <col min="15364" max="15364" width="9.625" style="119" bestFit="1" customWidth="1"/>
    <col min="15365" max="15366" width="9" style="119"/>
    <col min="15367" max="15367" width="19.25" style="119" customWidth="1"/>
    <col min="15368" max="15368" width="57.875" style="119" customWidth="1"/>
    <col min="15369" max="15369" width="6.375" style="119" customWidth="1"/>
    <col min="15370" max="15370" width="64" style="119" customWidth="1"/>
    <col min="15371" max="15371" width="11.625" style="119" bestFit="1" customWidth="1"/>
    <col min="15372" max="15372" width="11.625" style="119" customWidth="1"/>
    <col min="15373" max="15373" width="11.125" style="119" customWidth="1"/>
    <col min="15374" max="15616" width="9" style="119"/>
    <col min="15617" max="15617" width="15.625" style="119" customWidth="1"/>
    <col min="15618" max="15618" width="30.875" style="119" customWidth="1"/>
    <col min="15619" max="15619" width="9" style="119"/>
    <col min="15620" max="15620" width="9.625" style="119" bestFit="1" customWidth="1"/>
    <col min="15621" max="15622" width="9" style="119"/>
    <col min="15623" max="15623" width="19.25" style="119" customWidth="1"/>
    <col min="15624" max="15624" width="57.875" style="119" customWidth="1"/>
    <col min="15625" max="15625" width="6.375" style="119" customWidth="1"/>
    <col min="15626" max="15626" width="64" style="119" customWidth="1"/>
    <col min="15627" max="15627" width="11.625" style="119" bestFit="1" customWidth="1"/>
    <col min="15628" max="15628" width="11.625" style="119" customWidth="1"/>
    <col min="15629" max="15629" width="11.125" style="119" customWidth="1"/>
    <col min="15630" max="15872" width="9" style="119"/>
    <col min="15873" max="15873" width="15.625" style="119" customWidth="1"/>
    <col min="15874" max="15874" width="30.875" style="119" customWidth="1"/>
    <col min="15875" max="15875" width="9" style="119"/>
    <col min="15876" max="15876" width="9.625" style="119" bestFit="1" customWidth="1"/>
    <col min="15877" max="15878" width="9" style="119"/>
    <col min="15879" max="15879" width="19.25" style="119" customWidth="1"/>
    <col min="15880" max="15880" width="57.875" style="119" customWidth="1"/>
    <col min="15881" max="15881" width="6.375" style="119" customWidth="1"/>
    <col min="15882" max="15882" width="64" style="119" customWidth="1"/>
    <col min="15883" max="15883" width="11.625" style="119" bestFit="1" customWidth="1"/>
    <col min="15884" max="15884" width="11.625" style="119" customWidth="1"/>
    <col min="15885" max="15885" width="11.125" style="119" customWidth="1"/>
    <col min="15886" max="16128" width="9" style="119"/>
    <col min="16129" max="16129" width="15.625" style="119" customWidth="1"/>
    <col min="16130" max="16130" width="30.875" style="119" customWidth="1"/>
    <col min="16131" max="16131" width="9" style="119"/>
    <col min="16132" max="16132" width="9.625" style="119" bestFit="1" customWidth="1"/>
    <col min="16133" max="16134" width="9" style="119"/>
    <col min="16135" max="16135" width="19.25" style="119" customWidth="1"/>
    <col min="16136" max="16136" width="57.875" style="119" customWidth="1"/>
    <col min="16137" max="16137" width="6.375" style="119" customWidth="1"/>
    <col min="16138" max="16138" width="64" style="119" customWidth="1"/>
    <col min="16139" max="16139" width="11.625" style="119" bestFit="1" customWidth="1"/>
    <col min="16140" max="16140" width="11.625" style="119" customWidth="1"/>
    <col min="16141" max="16141" width="11.125" style="119" customWidth="1"/>
    <col min="16142" max="16384" width="9" style="119"/>
  </cols>
  <sheetData>
    <row r="2" spans="1:17" ht="22.5" customHeight="1">
      <c r="B2" s="120" t="s">
        <v>357</v>
      </c>
      <c r="C2" s="376"/>
      <c r="D2" s="377"/>
      <c r="E2" s="378"/>
      <c r="G2" s="121" t="s">
        <v>358</v>
      </c>
      <c r="H2" s="122" t="s">
        <v>359</v>
      </c>
      <c r="I2" s="302">
        <v>1</v>
      </c>
      <c r="J2" s="123" t="s">
        <v>360</v>
      </c>
      <c r="K2" s="379" t="s">
        <v>361</v>
      </c>
      <c r="L2" s="380"/>
      <c r="M2" s="381"/>
      <c r="N2" s="124"/>
      <c r="Q2" s="124"/>
    </row>
    <row r="3" spans="1:17" ht="17.25" customHeight="1">
      <c r="B3" s="125" t="s">
        <v>362</v>
      </c>
      <c r="C3" s="382"/>
      <c r="D3" s="383"/>
      <c r="E3" s="384"/>
      <c r="G3" s="126" t="s">
        <v>363</v>
      </c>
      <c r="H3" s="127" t="s">
        <v>364</v>
      </c>
      <c r="I3" s="128"/>
      <c r="J3" s="129" t="s">
        <v>365</v>
      </c>
      <c r="K3" s="385"/>
      <c r="L3" s="386"/>
      <c r="M3" s="387"/>
    </row>
    <row r="4" spans="1:17" ht="17.25" customHeight="1">
      <c r="B4" s="125" t="s">
        <v>45</v>
      </c>
      <c r="C4" s="388"/>
      <c r="D4" s="389"/>
      <c r="E4" s="390"/>
      <c r="G4" s="126" t="s">
        <v>366</v>
      </c>
      <c r="H4" s="127" t="s">
        <v>367</v>
      </c>
      <c r="I4" s="130"/>
      <c r="J4" s="129" t="s">
        <v>368</v>
      </c>
      <c r="K4" s="385"/>
      <c r="L4" s="386"/>
      <c r="M4" s="387"/>
    </row>
    <row r="5" spans="1:17" ht="17.25" customHeight="1">
      <c r="A5" s="131"/>
      <c r="B5" s="125" t="s">
        <v>369</v>
      </c>
      <c r="C5" s="365">
        <v>43074</v>
      </c>
      <c r="D5" s="366"/>
      <c r="E5" s="367"/>
      <c r="G5" s="126" t="s">
        <v>370</v>
      </c>
      <c r="H5" s="127" t="s">
        <v>371</v>
      </c>
      <c r="I5" s="128"/>
      <c r="J5" s="129" t="s">
        <v>372</v>
      </c>
      <c r="K5" s="368"/>
      <c r="L5" s="369"/>
      <c r="M5" s="370"/>
    </row>
    <row r="6" spans="1:17" ht="17.25" customHeight="1">
      <c r="A6" s="132"/>
      <c r="B6" s="125" t="s">
        <v>373</v>
      </c>
      <c r="C6" s="371"/>
      <c r="D6" s="372"/>
      <c r="E6" s="353"/>
      <c r="G6" s="133"/>
      <c r="H6" s="134"/>
      <c r="I6" s="135"/>
      <c r="J6" s="136"/>
      <c r="K6" s="354"/>
      <c r="L6" s="355"/>
      <c r="M6" s="356"/>
    </row>
    <row r="7" spans="1:17" ht="17.25" customHeight="1">
      <c r="B7" s="125" t="s">
        <v>374</v>
      </c>
      <c r="C7" s="373" t="s">
        <v>337</v>
      </c>
      <c r="D7" s="374"/>
      <c r="E7" s="375"/>
      <c r="G7" s="133"/>
      <c r="H7" s="134"/>
      <c r="I7" s="135"/>
      <c r="J7" s="136"/>
      <c r="K7" s="354"/>
      <c r="L7" s="355"/>
      <c r="M7" s="356"/>
    </row>
    <row r="8" spans="1:17" ht="17.25" customHeight="1">
      <c r="B8" s="125" t="s">
        <v>375</v>
      </c>
      <c r="C8" s="137">
        <v>1</v>
      </c>
      <c r="D8" s="352" t="s">
        <v>376</v>
      </c>
      <c r="E8" s="353"/>
      <c r="G8" s="133"/>
      <c r="H8" s="134"/>
      <c r="I8" s="135"/>
      <c r="J8" s="136"/>
      <c r="K8" s="354"/>
      <c r="L8" s="355"/>
      <c r="M8" s="356"/>
    </row>
    <row r="9" spans="1:17" ht="17.25" customHeight="1">
      <c r="B9" s="125" t="s">
        <v>377</v>
      </c>
      <c r="C9" s="138"/>
      <c r="D9" s="357" t="s">
        <v>376</v>
      </c>
      <c r="E9" s="358"/>
      <c r="G9" s="133"/>
      <c r="H9" s="134"/>
      <c r="I9" s="135"/>
      <c r="J9" s="136"/>
      <c r="K9" s="354"/>
      <c r="L9" s="355"/>
      <c r="M9" s="356"/>
    </row>
    <row r="10" spans="1:17" ht="17.25" customHeight="1">
      <c r="B10" s="139" t="s">
        <v>378</v>
      </c>
      <c r="C10" s="359" t="s">
        <v>379</v>
      </c>
      <c r="D10" s="360"/>
      <c r="E10" s="361"/>
      <c r="G10" s="140"/>
      <c r="H10" s="141"/>
      <c r="I10" s="142"/>
      <c r="J10" s="143"/>
      <c r="K10" s="362"/>
      <c r="L10" s="363"/>
      <c r="M10" s="364"/>
    </row>
    <row r="11" spans="1:17" ht="17.25" customHeight="1">
      <c r="B11" s="144"/>
    </row>
    <row r="12" spans="1:17" ht="17.25" customHeight="1"/>
    <row r="13" spans="1:17" ht="17.25" customHeight="1">
      <c r="D13" s="119" t="s">
        <v>380</v>
      </c>
      <c r="I13" s="145"/>
    </row>
    <row r="14" spans="1:17" ht="17.25" customHeight="1">
      <c r="B14" s="146"/>
      <c r="F14" s="147"/>
      <c r="I14" s="148"/>
    </row>
    <row r="15" spans="1:17" ht="17.25" customHeight="1">
      <c r="B15" s="146"/>
    </row>
    <row r="16" spans="1:17" ht="17.25" customHeight="1">
      <c r="L16" s="149"/>
    </row>
    <row r="17" spans="1:19" ht="19.5" customHeight="1">
      <c r="B17" s="346" t="s">
        <v>381</v>
      </c>
      <c r="C17" s="347"/>
      <c r="D17" s="150" t="s">
        <v>155</v>
      </c>
      <c r="E17" s="151"/>
      <c r="F17" s="151"/>
      <c r="G17" s="151"/>
      <c r="H17" s="152"/>
      <c r="I17" s="153"/>
      <c r="J17" s="152"/>
      <c r="K17" s="154"/>
      <c r="L17" s="152"/>
      <c r="M17" s="155"/>
    </row>
    <row r="18" spans="1:19" ht="19.5" customHeight="1">
      <c r="B18" s="342" t="s">
        <v>382</v>
      </c>
      <c r="C18" s="343"/>
      <c r="D18" s="156" t="s">
        <v>155</v>
      </c>
      <c r="E18" s="157"/>
      <c r="F18" s="157"/>
      <c r="G18" s="157"/>
      <c r="H18" s="158"/>
      <c r="I18" s="159"/>
      <c r="J18" s="158"/>
      <c r="K18" s="160"/>
      <c r="L18" s="158"/>
      <c r="M18" s="161"/>
    </row>
    <row r="19" spans="1:19" ht="19.5" customHeight="1">
      <c r="B19" s="342" t="s">
        <v>383</v>
      </c>
      <c r="C19" s="343"/>
      <c r="D19" s="156" t="s">
        <v>526</v>
      </c>
      <c r="E19" s="157"/>
      <c r="F19" s="157"/>
      <c r="G19" s="157"/>
      <c r="H19" s="158"/>
      <c r="I19" s="162"/>
      <c r="J19" s="158"/>
      <c r="K19" s="160"/>
      <c r="L19" s="158"/>
      <c r="M19" s="161"/>
    </row>
    <row r="20" spans="1:19" ht="19.5" customHeight="1">
      <c r="B20" s="342" t="s">
        <v>384</v>
      </c>
      <c r="C20" s="343"/>
      <c r="D20" s="163" t="s">
        <v>522</v>
      </c>
      <c r="E20" s="164"/>
      <c r="F20" s="164"/>
      <c r="G20" s="164"/>
      <c r="H20" s="158"/>
      <c r="I20" s="162"/>
      <c r="J20" s="158"/>
      <c r="K20" s="160"/>
      <c r="L20" s="158"/>
      <c r="M20" s="161"/>
    </row>
    <row r="21" spans="1:19" ht="19.5" customHeight="1">
      <c r="A21" s="165"/>
      <c r="B21" s="348" t="s">
        <v>385</v>
      </c>
      <c r="C21" s="349"/>
      <c r="D21" s="166" t="s">
        <v>386</v>
      </c>
      <c r="E21" s="157"/>
      <c r="F21" s="157"/>
      <c r="G21" s="157"/>
      <c r="H21" s="158"/>
      <c r="I21" s="162"/>
      <c r="J21" s="158"/>
      <c r="K21" s="160"/>
      <c r="L21" s="158"/>
      <c r="M21" s="161"/>
    </row>
    <row r="22" spans="1:19" ht="19.5" customHeight="1">
      <c r="A22" s="165"/>
      <c r="B22" s="350"/>
      <c r="C22" s="351"/>
      <c r="D22" s="166"/>
      <c r="E22" s="157"/>
      <c r="F22" s="157"/>
      <c r="G22" s="157"/>
      <c r="H22" s="158"/>
      <c r="I22" s="162"/>
      <c r="J22" s="158"/>
      <c r="K22" s="160"/>
      <c r="L22" s="158"/>
      <c r="M22" s="161"/>
    </row>
    <row r="23" spans="1:19" ht="19.5" customHeight="1">
      <c r="A23" s="165"/>
      <c r="B23" s="342" t="s">
        <v>387</v>
      </c>
      <c r="C23" s="343"/>
      <c r="D23" s="156" t="s">
        <v>523</v>
      </c>
      <c r="E23" s="157"/>
      <c r="F23" s="157"/>
      <c r="G23" s="157"/>
      <c r="H23" s="158"/>
      <c r="I23" s="162"/>
      <c r="J23" s="158"/>
      <c r="K23" s="160"/>
      <c r="L23" s="158"/>
      <c r="M23" s="161"/>
    </row>
    <row r="24" spans="1:19" ht="19.5" customHeight="1">
      <c r="A24" s="165"/>
      <c r="B24" s="342" t="s">
        <v>388</v>
      </c>
      <c r="C24" s="343"/>
      <c r="D24" s="167"/>
      <c r="E24" s="168"/>
      <c r="F24" s="168"/>
      <c r="G24" s="168"/>
      <c r="H24" s="168"/>
      <c r="I24" s="162"/>
      <c r="J24" s="158"/>
      <c r="K24" s="160"/>
      <c r="L24" s="158"/>
      <c r="M24" s="161"/>
    </row>
    <row r="25" spans="1:19" ht="19.5" customHeight="1">
      <c r="A25" s="165"/>
      <c r="B25" s="169"/>
      <c r="C25" s="170"/>
      <c r="D25" s="156"/>
      <c r="E25" s="157"/>
      <c r="F25" s="157"/>
      <c r="G25" s="157"/>
      <c r="H25" s="158"/>
      <c r="I25" s="162"/>
      <c r="J25" s="158"/>
      <c r="K25" s="160"/>
      <c r="L25" s="158"/>
      <c r="M25" s="161"/>
    </row>
    <row r="26" spans="1:19" ht="19.5" customHeight="1">
      <c r="A26" s="165"/>
      <c r="B26" s="342" t="s">
        <v>389</v>
      </c>
      <c r="C26" s="343"/>
      <c r="D26" s="163" t="s">
        <v>522</v>
      </c>
      <c r="E26" s="171"/>
      <c r="F26" s="172"/>
      <c r="G26" s="157"/>
      <c r="H26" s="158"/>
      <c r="I26" s="162"/>
      <c r="J26" s="158"/>
      <c r="K26" s="160"/>
      <c r="L26" s="158"/>
      <c r="M26" s="161"/>
    </row>
    <row r="27" spans="1:19" ht="19.5" customHeight="1">
      <c r="A27" s="173"/>
      <c r="B27" s="342" t="s">
        <v>390</v>
      </c>
      <c r="C27" s="343"/>
      <c r="D27" s="156" t="s">
        <v>155</v>
      </c>
      <c r="E27" s="157"/>
      <c r="F27" s="157"/>
      <c r="G27" s="157"/>
      <c r="H27" s="158"/>
      <c r="I27" s="159"/>
      <c r="J27" s="158"/>
      <c r="K27" s="160"/>
      <c r="L27" s="158"/>
      <c r="M27" s="161"/>
    </row>
    <row r="28" spans="1:19" ht="19.5" customHeight="1">
      <c r="A28" s="174"/>
      <c r="B28" s="342" t="s">
        <v>391</v>
      </c>
      <c r="C28" s="343"/>
      <c r="D28" s="163" t="s">
        <v>522</v>
      </c>
      <c r="E28" s="175"/>
      <c r="F28" s="175"/>
      <c r="G28" s="175"/>
      <c r="H28" s="158"/>
      <c r="I28" s="162"/>
      <c r="J28" s="158"/>
      <c r="K28" s="160"/>
      <c r="L28" s="158"/>
      <c r="M28" s="161"/>
    </row>
    <row r="29" spans="1:19" ht="19.5" customHeight="1">
      <c r="A29" s="174"/>
      <c r="B29" s="342" t="s">
        <v>392</v>
      </c>
      <c r="C29" s="343"/>
      <c r="D29" s="176" t="s">
        <v>526</v>
      </c>
      <c r="E29" s="164"/>
      <c r="F29" s="164"/>
      <c r="G29" s="164"/>
      <c r="H29" s="158"/>
      <c r="I29" s="162"/>
      <c r="J29" s="158"/>
      <c r="K29" s="160"/>
      <c r="L29" s="158"/>
      <c r="M29" s="161"/>
    </row>
    <row r="30" spans="1:19" ht="19.5" customHeight="1">
      <c r="A30" s="174"/>
      <c r="B30" s="342" t="s">
        <v>393</v>
      </c>
      <c r="C30" s="343"/>
      <c r="D30" s="177">
        <v>13.5</v>
      </c>
      <c r="E30" s="178"/>
      <c r="F30" s="179" t="s">
        <v>524</v>
      </c>
      <c r="G30" s="157"/>
      <c r="H30" s="158"/>
      <c r="I30" s="159"/>
      <c r="J30" s="158"/>
      <c r="K30" s="160"/>
      <c r="L30" s="158"/>
      <c r="M30" s="161"/>
    </row>
    <row r="31" spans="1:19" ht="19.5" customHeight="1">
      <c r="A31" s="174"/>
      <c r="B31" s="342" t="s">
        <v>394</v>
      </c>
      <c r="C31" s="343"/>
      <c r="D31" s="156"/>
      <c r="E31" s="157"/>
      <c r="F31" s="157"/>
      <c r="G31" s="157"/>
      <c r="H31" s="158"/>
      <c r="I31" s="159"/>
      <c r="J31" s="158"/>
      <c r="K31" s="160"/>
      <c r="L31" s="158"/>
      <c r="M31" s="161"/>
      <c r="R31" s="180"/>
      <c r="S31" s="149"/>
    </row>
    <row r="32" spans="1:19" ht="19.5" customHeight="1">
      <c r="A32" s="174"/>
      <c r="B32" s="342" t="s">
        <v>395</v>
      </c>
      <c r="C32" s="343"/>
      <c r="D32" s="181"/>
      <c r="E32" s="178"/>
      <c r="F32" s="179" t="s">
        <v>524</v>
      </c>
      <c r="G32" s="157"/>
      <c r="H32" s="158"/>
      <c r="I32" s="159"/>
      <c r="J32" s="158"/>
      <c r="K32" s="160"/>
      <c r="L32" s="158"/>
      <c r="M32" s="161"/>
      <c r="R32" s="180"/>
      <c r="S32" s="149"/>
    </row>
    <row r="33" spans="1:19" ht="19.5" customHeight="1">
      <c r="A33" s="174"/>
      <c r="B33" s="182"/>
      <c r="C33" s="170"/>
      <c r="D33" s="183"/>
      <c r="E33" s="183"/>
      <c r="F33" s="183"/>
      <c r="G33" s="183"/>
      <c r="H33" s="158"/>
      <c r="I33" s="162"/>
      <c r="J33" s="158"/>
      <c r="K33" s="160"/>
      <c r="L33" s="158"/>
      <c r="M33" s="161"/>
    </row>
    <row r="34" spans="1:19" ht="19.5" customHeight="1">
      <c r="A34" s="174"/>
      <c r="B34" s="342" t="s">
        <v>396</v>
      </c>
      <c r="C34" s="343"/>
      <c r="D34" s="184"/>
      <c r="E34" s="185"/>
      <c r="F34" s="185"/>
      <c r="G34" s="185"/>
      <c r="H34" s="158"/>
      <c r="I34" s="186"/>
      <c r="J34" s="158"/>
      <c r="K34" s="160"/>
      <c r="L34" s="158"/>
      <c r="M34" s="161"/>
    </row>
    <row r="35" spans="1:19" ht="19.5" customHeight="1">
      <c r="A35" s="174"/>
      <c r="B35" s="342" t="s">
        <v>397</v>
      </c>
      <c r="C35" s="343"/>
      <c r="D35" s="156" t="s">
        <v>525</v>
      </c>
      <c r="E35" s="157"/>
      <c r="F35" s="157"/>
      <c r="G35" s="157"/>
      <c r="H35" s="158"/>
      <c r="I35" s="162"/>
      <c r="J35" s="158"/>
      <c r="K35" s="160"/>
      <c r="L35" s="158"/>
      <c r="M35" s="161"/>
      <c r="R35" s="180"/>
      <c r="S35" s="149"/>
    </row>
    <row r="36" spans="1:19" ht="19.5" customHeight="1">
      <c r="A36" s="174"/>
      <c r="B36" s="342" t="s">
        <v>398</v>
      </c>
      <c r="C36" s="343"/>
      <c r="D36" s="156"/>
      <c r="E36" s="157"/>
      <c r="F36" s="157"/>
      <c r="G36" s="157"/>
      <c r="H36" s="158"/>
      <c r="I36" s="186"/>
      <c r="J36" s="158"/>
      <c r="K36" s="160"/>
      <c r="L36" s="158"/>
      <c r="M36" s="161"/>
      <c r="R36" s="180"/>
      <c r="S36" s="149"/>
    </row>
    <row r="37" spans="1:19" ht="19.5" customHeight="1">
      <c r="A37" s="174"/>
      <c r="B37" s="187"/>
      <c r="C37" s="188"/>
      <c r="D37" s="156"/>
      <c r="E37" s="157"/>
      <c r="F37" s="157"/>
      <c r="G37" s="157"/>
      <c r="H37" s="158"/>
      <c r="I37" s="186"/>
      <c r="J37" s="158"/>
      <c r="K37" s="160"/>
      <c r="L37" s="158"/>
      <c r="M37" s="161"/>
      <c r="R37" s="180"/>
      <c r="S37" s="149"/>
    </row>
    <row r="38" spans="1:19" ht="19.5" customHeight="1">
      <c r="A38" s="174"/>
      <c r="B38" s="342" t="s">
        <v>399</v>
      </c>
      <c r="C38" s="343"/>
      <c r="D38" s="156"/>
      <c r="E38" s="157"/>
      <c r="F38" s="157"/>
      <c r="G38" s="157"/>
      <c r="H38" s="158"/>
      <c r="I38" s="162"/>
      <c r="J38" s="158"/>
      <c r="K38" s="160"/>
      <c r="L38" s="158"/>
      <c r="M38" s="161"/>
      <c r="R38" s="180"/>
      <c r="S38" s="149"/>
    </row>
    <row r="39" spans="1:19" ht="19.5" customHeight="1">
      <c r="A39" s="174"/>
      <c r="B39" s="342" t="s">
        <v>400</v>
      </c>
      <c r="C39" s="343"/>
      <c r="D39" s="156" t="s">
        <v>337</v>
      </c>
      <c r="E39" s="157"/>
      <c r="F39" s="157"/>
      <c r="G39" s="157"/>
      <c r="H39" s="158"/>
      <c r="I39" s="162"/>
      <c r="J39" s="158"/>
      <c r="K39" s="160"/>
      <c r="L39" s="158"/>
      <c r="M39" s="161"/>
      <c r="R39" s="180"/>
      <c r="S39" s="149"/>
    </row>
    <row r="40" spans="1:19" ht="19.5" customHeight="1">
      <c r="A40" s="174"/>
      <c r="B40" s="342" t="s">
        <v>401</v>
      </c>
      <c r="C40" s="343"/>
      <c r="D40" s="156" t="s">
        <v>337</v>
      </c>
      <c r="E40" s="157"/>
      <c r="F40" s="157"/>
      <c r="G40" s="157"/>
      <c r="H40" s="158"/>
      <c r="I40" s="162"/>
      <c r="J40" s="158"/>
      <c r="K40" s="160"/>
      <c r="L40" s="158"/>
      <c r="M40" s="161"/>
    </row>
    <row r="41" spans="1:19" ht="19.5" customHeight="1">
      <c r="A41" s="174"/>
      <c r="B41" s="342" t="s">
        <v>402</v>
      </c>
      <c r="C41" s="343"/>
      <c r="D41" s="156"/>
      <c r="E41" s="157"/>
      <c r="F41" s="157"/>
      <c r="G41" s="157"/>
      <c r="H41" s="158"/>
      <c r="I41" s="162"/>
      <c r="J41" s="158"/>
      <c r="K41" s="160"/>
      <c r="L41" s="158"/>
      <c r="M41" s="161"/>
    </row>
    <row r="42" spans="1:19" ht="19.5" customHeight="1">
      <c r="A42" s="174"/>
      <c r="B42" s="342" t="s">
        <v>403</v>
      </c>
      <c r="C42" s="343"/>
      <c r="D42" s="156" t="s">
        <v>337</v>
      </c>
      <c r="E42" s="157"/>
      <c r="F42" s="157"/>
      <c r="G42" s="157"/>
      <c r="H42" s="158"/>
      <c r="I42" s="162"/>
      <c r="J42" s="158"/>
      <c r="K42" s="160"/>
      <c r="L42" s="158"/>
      <c r="M42" s="161"/>
    </row>
    <row r="43" spans="1:19" ht="19.5" customHeight="1">
      <c r="A43" s="174"/>
      <c r="B43" s="342" t="s">
        <v>404</v>
      </c>
      <c r="C43" s="343"/>
      <c r="D43" s="156"/>
      <c r="E43" s="157"/>
      <c r="F43" s="157"/>
      <c r="G43" s="157"/>
      <c r="H43" s="158"/>
      <c r="I43" s="162"/>
      <c r="J43" s="158"/>
      <c r="K43" s="160"/>
      <c r="L43" s="158"/>
      <c r="M43" s="161"/>
    </row>
    <row r="44" spans="1:19" ht="19.5" customHeight="1">
      <c r="A44" s="174"/>
      <c r="B44" s="342" t="s">
        <v>405</v>
      </c>
      <c r="C44" s="343"/>
      <c r="D44" s="156"/>
      <c r="E44" s="157"/>
      <c r="F44" s="157"/>
      <c r="G44" s="157"/>
      <c r="H44" s="158"/>
      <c r="I44" s="158"/>
      <c r="J44" s="158"/>
      <c r="K44" s="158"/>
      <c r="L44" s="158"/>
      <c r="M44" s="161"/>
    </row>
    <row r="45" spans="1:19" ht="19.5" customHeight="1">
      <c r="A45" s="174"/>
      <c r="B45" s="187"/>
      <c r="C45" s="188"/>
      <c r="D45" s="156"/>
      <c r="E45" s="157"/>
      <c r="F45" s="157"/>
      <c r="G45" s="157"/>
      <c r="H45" s="158"/>
      <c r="I45" s="158"/>
      <c r="J45" s="158"/>
      <c r="K45" s="158"/>
      <c r="L45" s="158"/>
      <c r="M45" s="161"/>
    </row>
    <row r="46" spans="1:19" ht="19.5" customHeight="1">
      <c r="A46" s="174"/>
      <c r="B46" s="342" t="s">
        <v>406</v>
      </c>
      <c r="C46" s="343"/>
      <c r="D46" s="156"/>
      <c r="E46" s="157"/>
      <c r="F46" s="157"/>
      <c r="G46" s="157"/>
      <c r="H46" s="158"/>
      <c r="I46" s="158"/>
      <c r="J46" s="158"/>
      <c r="K46" s="158"/>
      <c r="L46" s="158"/>
      <c r="M46" s="161"/>
    </row>
    <row r="47" spans="1:19" ht="19.5" customHeight="1">
      <c r="A47" s="174"/>
      <c r="B47" s="342"/>
      <c r="C47" s="343"/>
      <c r="D47" s="156"/>
      <c r="E47" s="157"/>
      <c r="F47" s="157"/>
      <c r="G47" s="157"/>
      <c r="H47" s="158"/>
      <c r="I47" s="158"/>
      <c r="J47" s="158"/>
      <c r="K47" s="158"/>
      <c r="L47" s="158"/>
      <c r="M47" s="161"/>
    </row>
    <row r="48" spans="1:19" ht="19.5" customHeight="1">
      <c r="B48" s="342"/>
      <c r="C48" s="343"/>
      <c r="D48" s="156"/>
      <c r="E48" s="157"/>
      <c r="F48" s="157"/>
      <c r="G48" s="157"/>
      <c r="H48" s="158"/>
      <c r="I48" s="158"/>
      <c r="J48" s="158"/>
      <c r="K48" s="158"/>
      <c r="L48" s="158"/>
      <c r="M48" s="161"/>
    </row>
    <row r="49" spans="2:13" ht="19.5" customHeight="1">
      <c r="B49" s="342"/>
      <c r="C49" s="343"/>
      <c r="D49" s="156"/>
      <c r="E49" s="157"/>
      <c r="F49" s="157"/>
      <c r="G49" s="157"/>
      <c r="H49" s="158"/>
      <c r="I49" s="158"/>
      <c r="J49" s="158"/>
      <c r="K49" s="158"/>
      <c r="L49" s="158"/>
      <c r="M49" s="161"/>
    </row>
    <row r="50" spans="2:13" ht="19.5" customHeight="1">
      <c r="B50" s="344"/>
      <c r="C50" s="345"/>
      <c r="D50" s="189"/>
      <c r="E50" s="190"/>
      <c r="F50" s="190"/>
      <c r="G50" s="190"/>
      <c r="H50" s="191"/>
      <c r="I50" s="191"/>
      <c r="J50" s="191"/>
      <c r="K50" s="191"/>
      <c r="L50" s="191"/>
      <c r="M50" s="192"/>
    </row>
    <row r="51" spans="2:13" ht="17.25" customHeight="1"/>
    <row r="52" spans="2:13" ht="17.25" customHeight="1"/>
    <row r="53" spans="2:13" ht="17.25" customHeight="1"/>
    <row r="54" spans="2:13" ht="17.25" customHeight="1"/>
    <row r="55" spans="2:13" ht="17.25" customHeight="1"/>
    <row r="56" spans="2:13" ht="17.25" customHeight="1"/>
    <row r="57" spans="2:13" ht="17.25" customHeight="1"/>
    <row r="58" spans="2:13" ht="17.25" customHeight="1"/>
    <row r="59" spans="2:13" ht="6.75" customHeight="1"/>
    <row r="60" spans="2:13" ht="21.75" customHeight="1"/>
    <row r="61" spans="2:13" ht="24.75" customHeight="1"/>
    <row r="62" spans="2:13" ht="24.75" customHeight="1"/>
    <row r="63" spans="2:13" ht="18" customHeight="1"/>
    <row r="64" spans="2:13" ht="18" customHeight="1"/>
    <row r="65" ht="7.5" customHeight="1"/>
    <row r="66" ht="17.25" customHeight="1"/>
    <row r="67" ht="17.25" customHeight="1"/>
    <row r="68" ht="17.25" customHeight="1"/>
  </sheetData>
  <mergeCells count="47">
    <mergeCell ref="C2:E2"/>
    <mergeCell ref="K2:M2"/>
    <mergeCell ref="C3:E3"/>
    <mergeCell ref="K3:M3"/>
    <mergeCell ref="C4:E4"/>
    <mergeCell ref="K4:M4"/>
    <mergeCell ref="C5:E5"/>
    <mergeCell ref="K5:M5"/>
    <mergeCell ref="C6:E6"/>
    <mergeCell ref="K6:M6"/>
    <mergeCell ref="C7:E7"/>
    <mergeCell ref="K7:M7"/>
    <mergeCell ref="D8:E8"/>
    <mergeCell ref="K8:M8"/>
    <mergeCell ref="D9:E9"/>
    <mergeCell ref="K9:M9"/>
    <mergeCell ref="C10:E10"/>
    <mergeCell ref="K10:M10"/>
    <mergeCell ref="B30:C30"/>
    <mergeCell ref="B17:C17"/>
    <mergeCell ref="B18:C18"/>
    <mergeCell ref="B19:C19"/>
    <mergeCell ref="B20:C20"/>
    <mergeCell ref="B21:C22"/>
    <mergeCell ref="B23:C23"/>
    <mergeCell ref="B24:C24"/>
    <mergeCell ref="B26:C26"/>
    <mergeCell ref="B27:C27"/>
    <mergeCell ref="B28:C28"/>
    <mergeCell ref="B29:C29"/>
    <mergeCell ref="B44:C44"/>
    <mergeCell ref="B31:C31"/>
    <mergeCell ref="B32:C32"/>
    <mergeCell ref="B34:C34"/>
    <mergeCell ref="B35:C35"/>
    <mergeCell ref="B36:C36"/>
    <mergeCell ref="B38:C38"/>
    <mergeCell ref="B39:C39"/>
    <mergeCell ref="B40:C40"/>
    <mergeCell ref="B41:C41"/>
    <mergeCell ref="B42:C42"/>
    <mergeCell ref="B43:C43"/>
    <mergeCell ref="B46:C46"/>
    <mergeCell ref="B47:C47"/>
    <mergeCell ref="B48:C48"/>
    <mergeCell ref="B49:C49"/>
    <mergeCell ref="B50:C50"/>
  </mergeCells>
  <pageMargins left="0.74803149606299213" right="0.74803149606299213" top="0.62" bottom="0.98425196850393704" header="0.51181102362204722" footer="0.51181102362204722"/>
  <pageSetup paperSize="8" scale="73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76"/>
  <sheetViews>
    <sheetView view="pageBreakPreview" topLeftCell="A18" zoomScaleNormal="100" zoomScaleSheetLayoutView="100" workbookViewId="0">
      <selection activeCell="AN4" sqref="AN4:BJ4"/>
    </sheetView>
  </sheetViews>
  <sheetFormatPr defaultRowHeight="15"/>
  <cols>
    <col min="1" max="56" width="1.625" style="194" customWidth="1"/>
    <col min="57" max="57" width="1.75" style="194" customWidth="1"/>
    <col min="58" max="256" width="9" style="194"/>
    <col min="257" max="312" width="1.625" style="194" customWidth="1"/>
    <col min="313" max="313" width="1.75" style="194" customWidth="1"/>
    <col min="314" max="512" width="9" style="194"/>
    <col min="513" max="568" width="1.625" style="194" customWidth="1"/>
    <col min="569" max="569" width="1.75" style="194" customWidth="1"/>
    <col min="570" max="768" width="9" style="194"/>
    <col min="769" max="824" width="1.625" style="194" customWidth="1"/>
    <col min="825" max="825" width="1.75" style="194" customWidth="1"/>
    <col min="826" max="1024" width="9" style="194"/>
    <col min="1025" max="1080" width="1.625" style="194" customWidth="1"/>
    <col min="1081" max="1081" width="1.75" style="194" customWidth="1"/>
    <col min="1082" max="1280" width="9" style="194"/>
    <col min="1281" max="1336" width="1.625" style="194" customWidth="1"/>
    <col min="1337" max="1337" width="1.75" style="194" customWidth="1"/>
    <col min="1338" max="1536" width="9" style="194"/>
    <col min="1537" max="1592" width="1.625" style="194" customWidth="1"/>
    <col min="1593" max="1593" width="1.75" style="194" customWidth="1"/>
    <col min="1594" max="1792" width="9" style="194"/>
    <col min="1793" max="1848" width="1.625" style="194" customWidth="1"/>
    <col min="1849" max="1849" width="1.75" style="194" customWidth="1"/>
    <col min="1850" max="2048" width="9" style="194"/>
    <col min="2049" max="2104" width="1.625" style="194" customWidth="1"/>
    <col min="2105" max="2105" width="1.75" style="194" customWidth="1"/>
    <col min="2106" max="2304" width="9" style="194"/>
    <col min="2305" max="2360" width="1.625" style="194" customWidth="1"/>
    <col min="2361" max="2361" width="1.75" style="194" customWidth="1"/>
    <col min="2362" max="2560" width="9" style="194"/>
    <col min="2561" max="2616" width="1.625" style="194" customWidth="1"/>
    <col min="2617" max="2617" width="1.75" style="194" customWidth="1"/>
    <col min="2618" max="2816" width="9" style="194"/>
    <col min="2817" max="2872" width="1.625" style="194" customWidth="1"/>
    <col min="2873" max="2873" width="1.75" style="194" customWidth="1"/>
    <col min="2874" max="3072" width="9" style="194"/>
    <col min="3073" max="3128" width="1.625" style="194" customWidth="1"/>
    <col min="3129" max="3129" width="1.75" style="194" customWidth="1"/>
    <col min="3130" max="3328" width="9" style="194"/>
    <col min="3329" max="3384" width="1.625" style="194" customWidth="1"/>
    <col min="3385" max="3385" width="1.75" style="194" customWidth="1"/>
    <col min="3386" max="3584" width="9" style="194"/>
    <col min="3585" max="3640" width="1.625" style="194" customWidth="1"/>
    <col min="3641" max="3641" width="1.75" style="194" customWidth="1"/>
    <col min="3642" max="3840" width="9" style="194"/>
    <col min="3841" max="3896" width="1.625" style="194" customWidth="1"/>
    <col min="3897" max="3897" width="1.75" style="194" customWidth="1"/>
    <col min="3898" max="4096" width="9" style="194"/>
    <col min="4097" max="4152" width="1.625" style="194" customWidth="1"/>
    <col min="4153" max="4153" width="1.75" style="194" customWidth="1"/>
    <col min="4154" max="4352" width="9" style="194"/>
    <col min="4353" max="4408" width="1.625" style="194" customWidth="1"/>
    <col min="4409" max="4409" width="1.75" style="194" customWidth="1"/>
    <col min="4410" max="4608" width="9" style="194"/>
    <col min="4609" max="4664" width="1.625" style="194" customWidth="1"/>
    <col min="4665" max="4665" width="1.75" style="194" customWidth="1"/>
    <col min="4666" max="4864" width="9" style="194"/>
    <col min="4865" max="4920" width="1.625" style="194" customWidth="1"/>
    <col min="4921" max="4921" width="1.75" style="194" customWidth="1"/>
    <col min="4922" max="5120" width="9" style="194"/>
    <col min="5121" max="5176" width="1.625" style="194" customWidth="1"/>
    <col min="5177" max="5177" width="1.75" style="194" customWidth="1"/>
    <col min="5178" max="5376" width="9" style="194"/>
    <col min="5377" max="5432" width="1.625" style="194" customWidth="1"/>
    <col min="5433" max="5433" width="1.75" style="194" customWidth="1"/>
    <col min="5434" max="5632" width="9" style="194"/>
    <col min="5633" max="5688" width="1.625" style="194" customWidth="1"/>
    <col min="5689" max="5689" width="1.75" style="194" customWidth="1"/>
    <col min="5690" max="5888" width="9" style="194"/>
    <col min="5889" max="5944" width="1.625" style="194" customWidth="1"/>
    <col min="5945" max="5945" width="1.75" style="194" customWidth="1"/>
    <col min="5946" max="6144" width="9" style="194"/>
    <col min="6145" max="6200" width="1.625" style="194" customWidth="1"/>
    <col min="6201" max="6201" width="1.75" style="194" customWidth="1"/>
    <col min="6202" max="6400" width="9" style="194"/>
    <col min="6401" max="6456" width="1.625" style="194" customWidth="1"/>
    <col min="6457" max="6457" width="1.75" style="194" customWidth="1"/>
    <col min="6458" max="6656" width="9" style="194"/>
    <col min="6657" max="6712" width="1.625" style="194" customWidth="1"/>
    <col min="6713" max="6713" width="1.75" style="194" customWidth="1"/>
    <col min="6714" max="6912" width="9" style="194"/>
    <col min="6913" max="6968" width="1.625" style="194" customWidth="1"/>
    <col min="6969" max="6969" width="1.75" style="194" customWidth="1"/>
    <col min="6970" max="7168" width="9" style="194"/>
    <col min="7169" max="7224" width="1.625" style="194" customWidth="1"/>
    <col min="7225" max="7225" width="1.75" style="194" customWidth="1"/>
    <col min="7226" max="7424" width="9" style="194"/>
    <col min="7425" max="7480" width="1.625" style="194" customWidth="1"/>
    <col min="7481" max="7481" width="1.75" style="194" customWidth="1"/>
    <col min="7482" max="7680" width="9" style="194"/>
    <col min="7681" max="7736" width="1.625" style="194" customWidth="1"/>
    <col min="7737" max="7737" width="1.75" style="194" customWidth="1"/>
    <col min="7738" max="7936" width="9" style="194"/>
    <col min="7937" max="7992" width="1.625" style="194" customWidth="1"/>
    <col min="7993" max="7993" width="1.75" style="194" customWidth="1"/>
    <col min="7994" max="8192" width="9" style="194"/>
    <col min="8193" max="8248" width="1.625" style="194" customWidth="1"/>
    <col min="8249" max="8249" width="1.75" style="194" customWidth="1"/>
    <col min="8250" max="8448" width="9" style="194"/>
    <col min="8449" max="8504" width="1.625" style="194" customWidth="1"/>
    <col min="8505" max="8505" width="1.75" style="194" customWidth="1"/>
    <col min="8506" max="8704" width="9" style="194"/>
    <col min="8705" max="8760" width="1.625" style="194" customWidth="1"/>
    <col min="8761" max="8761" width="1.75" style="194" customWidth="1"/>
    <col min="8762" max="8960" width="9" style="194"/>
    <col min="8961" max="9016" width="1.625" style="194" customWidth="1"/>
    <col min="9017" max="9017" width="1.75" style="194" customWidth="1"/>
    <col min="9018" max="9216" width="9" style="194"/>
    <col min="9217" max="9272" width="1.625" style="194" customWidth="1"/>
    <col min="9273" max="9273" width="1.75" style="194" customWidth="1"/>
    <col min="9274" max="9472" width="9" style="194"/>
    <col min="9473" max="9528" width="1.625" style="194" customWidth="1"/>
    <col min="9529" max="9529" width="1.75" style="194" customWidth="1"/>
    <col min="9530" max="9728" width="9" style="194"/>
    <col min="9729" max="9784" width="1.625" style="194" customWidth="1"/>
    <col min="9785" max="9785" width="1.75" style="194" customWidth="1"/>
    <col min="9786" max="9984" width="9" style="194"/>
    <col min="9985" max="10040" width="1.625" style="194" customWidth="1"/>
    <col min="10041" max="10041" width="1.75" style="194" customWidth="1"/>
    <col min="10042" max="10240" width="9" style="194"/>
    <col min="10241" max="10296" width="1.625" style="194" customWidth="1"/>
    <col min="10297" max="10297" width="1.75" style="194" customWidth="1"/>
    <col min="10298" max="10496" width="9" style="194"/>
    <col min="10497" max="10552" width="1.625" style="194" customWidth="1"/>
    <col min="10553" max="10553" width="1.75" style="194" customWidth="1"/>
    <col min="10554" max="10752" width="9" style="194"/>
    <col min="10753" max="10808" width="1.625" style="194" customWidth="1"/>
    <col min="10809" max="10809" width="1.75" style="194" customWidth="1"/>
    <col min="10810" max="11008" width="9" style="194"/>
    <col min="11009" max="11064" width="1.625" style="194" customWidth="1"/>
    <col min="11065" max="11065" width="1.75" style="194" customWidth="1"/>
    <col min="11066" max="11264" width="9" style="194"/>
    <col min="11265" max="11320" width="1.625" style="194" customWidth="1"/>
    <col min="11321" max="11321" width="1.75" style="194" customWidth="1"/>
    <col min="11322" max="11520" width="9" style="194"/>
    <col min="11521" max="11576" width="1.625" style="194" customWidth="1"/>
    <col min="11577" max="11577" width="1.75" style="194" customWidth="1"/>
    <col min="11578" max="11776" width="9" style="194"/>
    <col min="11777" max="11832" width="1.625" style="194" customWidth="1"/>
    <col min="11833" max="11833" width="1.75" style="194" customWidth="1"/>
    <col min="11834" max="12032" width="9" style="194"/>
    <col min="12033" max="12088" width="1.625" style="194" customWidth="1"/>
    <col min="12089" max="12089" width="1.75" style="194" customWidth="1"/>
    <col min="12090" max="12288" width="9" style="194"/>
    <col min="12289" max="12344" width="1.625" style="194" customWidth="1"/>
    <col min="12345" max="12345" width="1.75" style="194" customWidth="1"/>
    <col min="12346" max="12544" width="9" style="194"/>
    <col min="12545" max="12600" width="1.625" style="194" customWidth="1"/>
    <col min="12601" max="12601" width="1.75" style="194" customWidth="1"/>
    <col min="12602" max="12800" width="9" style="194"/>
    <col min="12801" max="12856" width="1.625" style="194" customWidth="1"/>
    <col min="12857" max="12857" width="1.75" style="194" customWidth="1"/>
    <col min="12858" max="13056" width="9" style="194"/>
    <col min="13057" max="13112" width="1.625" style="194" customWidth="1"/>
    <col min="13113" max="13113" width="1.75" style="194" customWidth="1"/>
    <col min="13114" max="13312" width="9" style="194"/>
    <col min="13313" max="13368" width="1.625" style="194" customWidth="1"/>
    <col min="13369" max="13369" width="1.75" style="194" customWidth="1"/>
    <col min="13370" max="13568" width="9" style="194"/>
    <col min="13569" max="13624" width="1.625" style="194" customWidth="1"/>
    <col min="13625" max="13625" width="1.75" style="194" customWidth="1"/>
    <col min="13626" max="13824" width="9" style="194"/>
    <col min="13825" max="13880" width="1.625" style="194" customWidth="1"/>
    <col min="13881" max="13881" width="1.75" style="194" customWidth="1"/>
    <col min="13882" max="14080" width="9" style="194"/>
    <col min="14081" max="14136" width="1.625" style="194" customWidth="1"/>
    <col min="14137" max="14137" width="1.75" style="194" customWidth="1"/>
    <col min="14138" max="14336" width="9" style="194"/>
    <col min="14337" max="14392" width="1.625" style="194" customWidth="1"/>
    <col min="14393" max="14393" width="1.75" style="194" customWidth="1"/>
    <col min="14394" max="14592" width="9" style="194"/>
    <col min="14593" max="14648" width="1.625" style="194" customWidth="1"/>
    <col min="14649" max="14649" width="1.75" style="194" customWidth="1"/>
    <col min="14650" max="14848" width="9" style="194"/>
    <col min="14849" max="14904" width="1.625" style="194" customWidth="1"/>
    <col min="14905" max="14905" width="1.75" style="194" customWidth="1"/>
    <col min="14906" max="15104" width="9" style="194"/>
    <col min="15105" max="15160" width="1.625" style="194" customWidth="1"/>
    <col min="15161" max="15161" width="1.75" style="194" customWidth="1"/>
    <col min="15162" max="15360" width="9" style="194"/>
    <col min="15361" max="15416" width="1.625" style="194" customWidth="1"/>
    <col min="15417" max="15417" width="1.75" style="194" customWidth="1"/>
    <col min="15418" max="15616" width="9" style="194"/>
    <col min="15617" max="15672" width="1.625" style="194" customWidth="1"/>
    <col min="15673" max="15673" width="1.75" style="194" customWidth="1"/>
    <col min="15674" max="15872" width="9" style="194"/>
    <col min="15873" max="15928" width="1.625" style="194" customWidth="1"/>
    <col min="15929" max="15929" width="1.75" style="194" customWidth="1"/>
    <col min="15930" max="16128" width="9" style="194"/>
    <col min="16129" max="16184" width="1.625" style="194" customWidth="1"/>
    <col min="16185" max="16185" width="1.75" style="194" customWidth="1"/>
    <col min="16186" max="16384" width="9" style="194"/>
  </cols>
  <sheetData>
    <row r="1" spans="1:60" ht="19.5" customHeight="1">
      <c r="A1" s="493"/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4"/>
      <c r="BB1" s="494"/>
      <c r="BC1" s="494"/>
      <c r="BD1" s="494"/>
      <c r="BE1" s="494"/>
      <c r="BF1" s="193"/>
    </row>
    <row r="2" spans="1:60" ht="12.95" customHeight="1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3"/>
    </row>
    <row r="3" spans="1:60" ht="12.95" customHeight="1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5"/>
      <c r="AQ3" s="195"/>
      <c r="AR3" s="195"/>
      <c r="AS3" s="195"/>
      <c r="AT3" s="195"/>
      <c r="AU3" s="195"/>
      <c r="AV3" s="195"/>
      <c r="AW3" s="195"/>
      <c r="AX3" s="195"/>
      <c r="AY3" s="195"/>
      <c r="AZ3" s="195"/>
      <c r="BA3" s="195"/>
      <c r="BB3" s="195"/>
      <c r="BC3" s="195"/>
      <c r="BD3" s="195"/>
      <c r="BE3" s="195"/>
      <c r="BF3" s="193"/>
    </row>
    <row r="4" spans="1:60" ht="30.75" customHeight="1">
      <c r="A4" s="495" t="s">
        <v>407</v>
      </c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197"/>
    </row>
    <row r="5" spans="1:60" ht="17.100000000000001" customHeight="1">
      <c r="A5" s="195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3"/>
    </row>
    <row r="6" spans="1:60" ht="17.100000000000001" customHeight="1">
      <c r="A6" s="195"/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496" t="s">
        <v>408</v>
      </c>
      <c r="AF6" s="496"/>
      <c r="AG6" s="496"/>
      <c r="AH6" s="496"/>
      <c r="AI6" s="496"/>
      <c r="AJ6" s="496"/>
      <c r="AK6" s="496"/>
      <c r="AL6" s="496"/>
      <c r="AM6" s="496"/>
      <c r="AN6" s="200" t="s">
        <v>409</v>
      </c>
      <c r="AO6" s="496">
        <f>(Input!C6)</f>
        <v>0</v>
      </c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  <c r="BA6" s="496"/>
      <c r="BB6" s="496"/>
      <c r="BC6" s="496"/>
      <c r="BD6" s="496"/>
      <c r="BE6" s="496"/>
      <c r="BF6" s="193"/>
    </row>
    <row r="7" spans="1:60" ht="17.100000000000001" customHeight="1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496" t="s">
        <v>410</v>
      </c>
      <c r="AF7" s="496"/>
      <c r="AG7" s="496"/>
      <c r="AH7" s="496"/>
      <c r="AI7" s="496"/>
      <c r="AJ7" s="496"/>
      <c r="AK7" s="496"/>
      <c r="AL7" s="496"/>
      <c r="AM7" s="496"/>
      <c r="AN7" s="200" t="s">
        <v>409</v>
      </c>
      <c r="AO7" s="497">
        <f>Input!C3</f>
        <v>0</v>
      </c>
      <c r="AP7" s="498"/>
      <c r="AQ7" s="498"/>
      <c r="AR7" s="498"/>
      <c r="AS7" s="498"/>
      <c r="AT7" s="498"/>
      <c r="AU7" s="498"/>
      <c r="AV7" s="498"/>
      <c r="AW7" s="498"/>
      <c r="AX7" s="498"/>
      <c r="AY7" s="498"/>
      <c r="AZ7" s="498"/>
      <c r="BA7" s="498"/>
      <c r="BB7" s="498"/>
      <c r="BC7" s="498"/>
      <c r="BD7" s="498"/>
      <c r="BE7" s="498"/>
      <c r="BF7" s="193"/>
    </row>
    <row r="8" spans="1:60" ht="17.100000000000001" customHeight="1">
      <c r="A8" s="203"/>
      <c r="B8" s="203"/>
      <c r="C8" s="204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6"/>
      <c r="AB8" s="206"/>
      <c r="AE8" s="488" t="s">
        <v>411</v>
      </c>
      <c r="AF8" s="488"/>
      <c r="AG8" s="488"/>
      <c r="AH8" s="488"/>
      <c r="AI8" s="488"/>
      <c r="AJ8" s="488"/>
      <c r="AK8" s="488"/>
      <c r="AL8" s="488"/>
      <c r="AM8" s="488"/>
      <c r="AN8" s="200" t="s">
        <v>409</v>
      </c>
      <c r="AO8" s="489" t="str">
        <f>Input!C7</f>
        <v>-</v>
      </c>
      <c r="AP8" s="489"/>
      <c r="AQ8" s="489"/>
      <c r="AR8" s="489"/>
      <c r="AS8" s="489"/>
      <c r="AT8" s="489"/>
      <c r="AU8" s="489"/>
      <c r="AV8" s="489"/>
      <c r="AW8" s="489"/>
      <c r="AX8" s="489"/>
      <c r="AY8" s="489"/>
      <c r="AZ8" s="489"/>
      <c r="BA8" s="489"/>
      <c r="BB8" s="489"/>
      <c r="BC8" s="489"/>
      <c r="BD8" s="489"/>
      <c r="BE8" s="489"/>
      <c r="BF8" s="207"/>
    </row>
    <row r="9" spans="1:60" ht="17.100000000000001" customHeight="1">
      <c r="A9" s="208"/>
      <c r="B9" s="208"/>
      <c r="C9" s="488" t="s">
        <v>412</v>
      </c>
      <c r="D9" s="488"/>
      <c r="E9" s="490" t="str">
        <f>Input!D18</f>
        <v>THAI BINH 1 THERMAL POWER PLANT</v>
      </c>
      <c r="F9" s="490"/>
      <c r="G9" s="490"/>
      <c r="H9" s="490"/>
      <c r="I9" s="490"/>
      <c r="J9" s="490"/>
      <c r="K9" s="490"/>
      <c r="L9" s="490"/>
      <c r="M9" s="490"/>
      <c r="N9" s="490"/>
      <c r="O9" s="490"/>
      <c r="P9" s="490"/>
      <c r="Q9" s="490"/>
      <c r="R9" s="490"/>
      <c r="S9" s="490"/>
      <c r="T9" s="490"/>
      <c r="U9" s="490"/>
      <c r="V9" s="490"/>
      <c r="W9" s="490"/>
      <c r="X9" s="490"/>
      <c r="Y9" s="490"/>
      <c r="Z9" s="490"/>
      <c r="AA9" s="490"/>
      <c r="AB9" s="490"/>
      <c r="AC9" s="490"/>
      <c r="AG9" s="195"/>
      <c r="AH9" s="195"/>
      <c r="AI9" s="195"/>
      <c r="AJ9" s="195"/>
      <c r="AK9" s="209"/>
      <c r="AL9" s="195"/>
      <c r="AM9" s="195"/>
      <c r="AN9" s="195"/>
      <c r="AO9" s="195"/>
      <c r="AP9" s="195"/>
      <c r="AQ9" s="195"/>
      <c r="AR9" s="195"/>
      <c r="AS9" s="195"/>
      <c r="AT9" s="195"/>
      <c r="AU9" s="195"/>
      <c r="AV9" s="195"/>
      <c r="AW9" s="195"/>
      <c r="AX9" s="195"/>
      <c r="AY9" s="195"/>
      <c r="AZ9" s="195"/>
      <c r="BA9" s="195"/>
      <c r="BB9" s="195"/>
      <c r="BC9" s="195"/>
      <c r="BD9" s="195"/>
      <c r="BE9" s="195"/>
      <c r="BF9" s="193"/>
    </row>
    <row r="10" spans="1:60" ht="17.100000000000001" customHeight="1">
      <c r="A10" s="208"/>
      <c r="B10" s="208"/>
      <c r="E10" s="210"/>
      <c r="F10" s="210"/>
      <c r="G10" s="211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212"/>
      <c r="AA10" s="212"/>
      <c r="AB10" s="212"/>
      <c r="AC10" s="195"/>
      <c r="AF10" s="477" t="s">
        <v>413</v>
      </c>
      <c r="AG10" s="477"/>
      <c r="AH10" s="477"/>
      <c r="AI10" s="477"/>
      <c r="AJ10" s="477"/>
      <c r="AK10" s="477"/>
      <c r="AL10" s="213" t="s">
        <v>414</v>
      </c>
      <c r="AM10" s="491" t="s">
        <v>415</v>
      </c>
      <c r="AN10" s="492"/>
      <c r="AO10" s="492"/>
      <c r="AP10" s="492"/>
      <c r="AQ10" s="492"/>
      <c r="AR10" s="492"/>
      <c r="AS10" s="492"/>
      <c r="AT10" s="492"/>
      <c r="AU10" s="492"/>
      <c r="AV10" s="492"/>
      <c r="AW10" s="492"/>
      <c r="AX10" s="492"/>
      <c r="AY10" s="492"/>
      <c r="AZ10" s="492"/>
      <c r="BA10" s="492"/>
      <c r="BB10" s="492"/>
      <c r="BC10" s="492"/>
      <c r="BD10" s="492"/>
      <c r="BE10" s="492"/>
      <c r="BF10" s="193"/>
    </row>
    <row r="11" spans="1:60" ht="17.100000000000001" customHeight="1">
      <c r="A11" s="201"/>
      <c r="B11" s="201"/>
      <c r="C11" s="214" t="s">
        <v>416</v>
      </c>
      <c r="D11" s="211"/>
      <c r="E11" s="196"/>
      <c r="F11" s="215"/>
      <c r="G11" s="215"/>
      <c r="H11" s="215"/>
      <c r="I11" s="215"/>
      <c r="J11" s="215"/>
      <c r="K11" s="215"/>
      <c r="L11" s="215"/>
      <c r="M11" s="215"/>
      <c r="N11" s="484" t="str">
        <f>Input!D21</f>
        <v xml:space="preserve">Measuring exhaust gas </v>
      </c>
      <c r="O11" s="484"/>
      <c r="P11" s="484"/>
      <c r="Q11" s="484"/>
      <c r="R11" s="484"/>
      <c r="S11" s="484"/>
      <c r="T11" s="484"/>
      <c r="U11" s="484"/>
      <c r="V11" s="484"/>
      <c r="W11" s="484"/>
      <c r="X11" s="484"/>
      <c r="Y11" s="484"/>
      <c r="Z11" s="484"/>
      <c r="AA11" s="484"/>
      <c r="AB11" s="484"/>
      <c r="AC11" s="484"/>
      <c r="AF11" s="477" t="s">
        <v>417</v>
      </c>
      <c r="AG11" s="477"/>
      <c r="AH11" s="477"/>
      <c r="AI11" s="477"/>
      <c r="AJ11" s="477"/>
      <c r="AK11" s="477"/>
      <c r="AL11" s="213" t="s">
        <v>414</v>
      </c>
      <c r="AM11" s="485" t="s">
        <v>418</v>
      </c>
      <c r="AN11" s="485"/>
      <c r="AO11" s="485"/>
      <c r="AP11" s="485"/>
      <c r="AQ11" s="485"/>
      <c r="AR11" s="485"/>
      <c r="AS11" s="485"/>
      <c r="AT11" s="485"/>
      <c r="AU11" s="485"/>
      <c r="AV11" s="485"/>
      <c r="AW11" s="485"/>
      <c r="AX11" s="485"/>
      <c r="AY11" s="485"/>
      <c r="AZ11" s="485"/>
      <c r="BA11" s="485"/>
      <c r="BB11" s="485"/>
      <c r="BC11" s="485"/>
      <c r="BD11" s="485"/>
      <c r="BE11" s="485"/>
      <c r="BF11" s="193"/>
    </row>
    <row r="12" spans="1:60" ht="17.100000000000001" customHeight="1">
      <c r="A12" s="216"/>
      <c r="B12" s="216"/>
      <c r="E12" s="217"/>
      <c r="F12" s="217"/>
      <c r="G12" s="217"/>
      <c r="H12" s="217"/>
      <c r="I12" s="217"/>
      <c r="J12" s="217"/>
      <c r="K12" s="217"/>
      <c r="L12" s="217"/>
      <c r="M12" s="217"/>
      <c r="N12" s="486" t="str">
        <f>"("&amp;Input!D20&amp;")"</f>
        <v>(ESP)</v>
      </c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F12" s="218"/>
      <c r="AG12" s="218"/>
      <c r="AH12" s="477"/>
      <c r="AI12" s="487"/>
      <c r="AJ12" s="487"/>
      <c r="AK12" s="487"/>
      <c r="AL12" s="219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  <c r="BF12" s="193"/>
    </row>
    <row r="13" spans="1:60" ht="17.100000000000001" customHeight="1">
      <c r="A13" s="220"/>
      <c r="B13" s="220"/>
      <c r="E13" s="221"/>
      <c r="F13" s="221"/>
      <c r="G13" s="221"/>
      <c r="H13" s="221"/>
      <c r="I13" s="221"/>
      <c r="J13" s="221"/>
      <c r="K13" s="221"/>
      <c r="L13" s="221"/>
      <c r="M13" s="221"/>
      <c r="N13" s="486" t="str">
        <f>Input!D29</f>
        <v>ESP Inlet</v>
      </c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F13" s="477" t="s">
        <v>419</v>
      </c>
      <c r="AG13" s="477"/>
      <c r="AH13" s="477"/>
      <c r="AI13" s="477"/>
      <c r="AJ13" s="477"/>
      <c r="AK13" s="477"/>
      <c r="AL13" s="219" t="s">
        <v>414</v>
      </c>
      <c r="AM13" s="478" t="s">
        <v>420</v>
      </c>
      <c r="AN13" s="479"/>
      <c r="AO13" s="479"/>
      <c r="AP13" s="479"/>
      <c r="AQ13" s="479"/>
      <c r="AR13" s="479"/>
      <c r="AS13" s="479"/>
      <c r="AT13" s="479"/>
      <c r="AU13" s="479"/>
      <c r="AV13" s="479"/>
      <c r="AW13" s="479"/>
      <c r="AX13" s="479"/>
      <c r="AY13" s="479"/>
      <c r="AZ13" s="479"/>
      <c r="BA13" s="479"/>
      <c r="BB13" s="479"/>
      <c r="BC13" s="479"/>
      <c r="BD13" s="479"/>
      <c r="BE13" s="479"/>
      <c r="BF13" s="193"/>
    </row>
    <row r="14" spans="1:60" ht="17.100000000000001" customHeight="1">
      <c r="A14" s="222"/>
      <c r="B14" s="222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F14" s="477" t="s">
        <v>421</v>
      </c>
      <c r="AG14" s="477"/>
      <c r="AH14" s="477"/>
      <c r="AI14" s="477"/>
      <c r="AJ14" s="477"/>
      <c r="AK14" s="477"/>
      <c r="AL14" s="219" t="s">
        <v>414</v>
      </c>
      <c r="AM14" s="478" t="s">
        <v>422</v>
      </c>
      <c r="AN14" s="479"/>
      <c r="AO14" s="479"/>
      <c r="AP14" s="479"/>
      <c r="AQ14" s="479"/>
      <c r="AR14" s="479"/>
      <c r="AS14" s="479"/>
      <c r="AT14" s="479"/>
      <c r="AU14" s="479"/>
      <c r="AV14" s="479"/>
      <c r="AW14" s="479"/>
      <c r="AX14" s="479"/>
      <c r="AY14" s="479"/>
      <c r="AZ14" s="479"/>
      <c r="BA14" s="479"/>
      <c r="BB14" s="479"/>
      <c r="BC14" s="479"/>
      <c r="BD14" s="479"/>
      <c r="BE14" s="479"/>
      <c r="BF14" s="217"/>
      <c r="BG14" s="217"/>
    </row>
    <row r="15" spans="1:60" ht="6" customHeight="1">
      <c r="A15" s="222"/>
      <c r="B15" s="222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G15" s="195"/>
      <c r="AH15" s="195"/>
      <c r="AI15" s="195"/>
      <c r="AJ15" s="223"/>
      <c r="AK15" s="224"/>
      <c r="AL15" s="224"/>
      <c r="AM15" s="224"/>
      <c r="AN15" s="224"/>
      <c r="AO15" s="224"/>
      <c r="AP15" s="224"/>
      <c r="AQ15" s="224"/>
      <c r="AR15" s="224"/>
      <c r="AS15" s="224"/>
      <c r="AT15" s="224"/>
      <c r="AU15" s="224"/>
      <c r="AV15" s="224"/>
      <c r="AW15" s="224"/>
      <c r="AX15" s="224"/>
      <c r="AY15" s="224"/>
      <c r="AZ15" s="224"/>
      <c r="BA15" s="224"/>
      <c r="BB15" s="224"/>
      <c r="BC15" s="224"/>
      <c r="BD15" s="224"/>
      <c r="BE15" s="224"/>
      <c r="BF15" s="197"/>
    </row>
    <row r="16" spans="1:60" ht="17.100000000000001" customHeight="1">
      <c r="A16" s="222"/>
      <c r="B16" s="222"/>
      <c r="C16" s="222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H16" s="480" t="s">
        <v>423</v>
      </c>
      <c r="AI16" s="480"/>
      <c r="AJ16" s="480"/>
      <c r="AK16" s="480"/>
      <c r="AL16" s="480"/>
      <c r="AM16" s="480"/>
      <c r="AN16" s="480"/>
      <c r="AO16" s="480"/>
      <c r="AP16" s="480"/>
      <c r="AQ16" s="480"/>
      <c r="AR16" s="480"/>
      <c r="AS16" s="480"/>
      <c r="AT16" s="226" t="s">
        <v>424</v>
      </c>
      <c r="AU16" s="481" t="s">
        <v>425</v>
      </c>
      <c r="AV16" s="482"/>
      <c r="AW16" s="482"/>
      <c r="AX16" s="482"/>
      <c r="AY16" s="482"/>
      <c r="AZ16" s="482"/>
      <c r="BA16" s="482"/>
      <c r="BB16" s="482"/>
      <c r="BC16" s="482"/>
      <c r="BD16" s="482"/>
      <c r="BE16" s="482"/>
      <c r="BF16" s="227"/>
      <c r="BG16" s="227"/>
      <c r="BH16" s="227"/>
    </row>
    <row r="17" spans="1:65" ht="4.5" hidden="1" customHeight="1">
      <c r="A17" s="222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8"/>
      <c r="O17" s="228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229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19"/>
      <c r="AV17" s="219"/>
      <c r="AW17" s="231"/>
      <c r="AX17" s="205"/>
      <c r="AY17" s="205"/>
      <c r="AZ17" s="205"/>
      <c r="BA17" s="205"/>
      <c r="BB17" s="205"/>
      <c r="BC17" s="205"/>
      <c r="BD17" s="205"/>
      <c r="BE17" s="205"/>
      <c r="BF17" s="227"/>
      <c r="BG17" s="227"/>
      <c r="BH17" s="227"/>
    </row>
    <row r="18" spans="1:65" ht="17.100000000000001" customHeight="1">
      <c r="A18" s="222"/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8"/>
      <c r="O18" s="228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467" t="s">
        <v>426</v>
      </c>
      <c r="AG18" s="467"/>
      <c r="AH18" s="467"/>
      <c r="AI18" s="467"/>
      <c r="AJ18" s="467"/>
      <c r="AK18" s="467"/>
      <c r="AL18" s="467"/>
      <c r="AM18" s="467"/>
      <c r="AN18" s="467"/>
      <c r="AO18" s="467"/>
      <c r="AP18" s="467"/>
      <c r="AQ18" s="467"/>
      <c r="AR18" s="467"/>
      <c r="AS18" s="467"/>
      <c r="AT18" s="226" t="s">
        <v>424</v>
      </c>
      <c r="AU18" s="483" t="str">
        <f>Input!D8</f>
        <v>Kazuyoshi Morimoto</v>
      </c>
      <c r="AV18" s="483"/>
      <c r="AW18" s="483"/>
      <c r="AX18" s="483"/>
      <c r="AY18" s="483"/>
      <c r="AZ18" s="483"/>
      <c r="BA18" s="483"/>
      <c r="BB18" s="483"/>
      <c r="BC18" s="483"/>
      <c r="BD18" s="483"/>
      <c r="BE18" s="483"/>
      <c r="BF18" s="193"/>
    </row>
    <row r="19" spans="1:65" ht="5.0999999999999996" customHeight="1">
      <c r="A19" s="222"/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2"/>
      <c r="N19" s="228"/>
      <c r="O19" s="228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232"/>
      <c r="AG19" s="232"/>
      <c r="AH19" s="232"/>
      <c r="AI19" s="232"/>
      <c r="AJ19" s="232"/>
      <c r="AK19" s="232"/>
      <c r="AL19" s="232"/>
      <c r="AM19" s="233"/>
      <c r="AN19" s="233"/>
      <c r="AO19" s="233"/>
      <c r="AP19" s="233"/>
      <c r="AQ19" s="233"/>
      <c r="AR19" s="234"/>
      <c r="AS19" s="234"/>
      <c r="AT19" s="235"/>
      <c r="AU19" s="236"/>
      <c r="AV19" s="236"/>
      <c r="AW19" s="236"/>
      <c r="AX19" s="236"/>
      <c r="AY19" s="236"/>
      <c r="AZ19" s="236"/>
      <c r="BA19" s="236"/>
      <c r="BB19" s="236"/>
      <c r="BC19" s="236"/>
      <c r="BD19" s="237"/>
      <c r="BE19" s="238"/>
      <c r="BF19" s="197"/>
    </row>
    <row r="20" spans="1:65" ht="17.100000000000001" customHeight="1">
      <c r="A20" s="195"/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239"/>
      <c r="O20" s="23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467" t="s">
        <v>427</v>
      </c>
      <c r="AG20" s="467"/>
      <c r="AH20" s="467"/>
      <c r="AI20" s="467"/>
      <c r="AJ20" s="467"/>
      <c r="AK20" s="467"/>
      <c r="AL20" s="467"/>
      <c r="AM20" s="467"/>
      <c r="AN20" s="467"/>
      <c r="AO20" s="467"/>
      <c r="AP20" s="467"/>
      <c r="AQ20" s="467"/>
      <c r="AR20" s="467"/>
      <c r="AS20" s="467"/>
      <c r="AT20" s="226" t="s">
        <v>424</v>
      </c>
      <c r="AU20" s="468" t="str">
        <f>Input!D9</f>
        <v>Kazuyoshi Morimoto</v>
      </c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193"/>
    </row>
    <row r="21" spans="1:65" ht="12.95" customHeight="1">
      <c r="A21" s="195"/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5"/>
      <c r="AK21" s="195"/>
      <c r="AL21" s="240"/>
      <c r="AM21" s="240"/>
      <c r="AN21" s="240"/>
      <c r="AO21" s="240"/>
      <c r="AP21" s="240"/>
      <c r="AQ21" s="240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5"/>
      <c r="BD21" s="195"/>
      <c r="BE21" s="241"/>
      <c r="BF21" s="193"/>
    </row>
    <row r="22" spans="1:65" s="197" customFormat="1" ht="12.95" customHeight="1">
      <c r="A22" s="242" t="s">
        <v>428</v>
      </c>
      <c r="B22" s="242"/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  <c r="AE22" s="243"/>
      <c r="AF22" s="243"/>
      <c r="AG22" s="243"/>
      <c r="AH22" s="243"/>
      <c r="AI22" s="243"/>
      <c r="AJ22" s="243"/>
      <c r="AK22" s="243"/>
      <c r="AL22" s="234"/>
      <c r="AM22" s="234"/>
      <c r="AN22" s="234"/>
      <c r="AO22" s="234"/>
      <c r="AP22" s="234"/>
      <c r="AQ22" s="234"/>
      <c r="AR22" s="243"/>
      <c r="AS22" s="243"/>
      <c r="AT22" s="243"/>
      <c r="AU22" s="243"/>
      <c r="AV22" s="243"/>
      <c r="AW22" s="243"/>
      <c r="AX22" s="244"/>
      <c r="AY22" s="244"/>
      <c r="AZ22" s="244"/>
      <c r="BA22" s="244"/>
      <c r="BB22" s="244"/>
      <c r="BC22" s="244"/>
      <c r="BD22" s="244"/>
      <c r="BE22" s="244"/>
      <c r="BF22" s="193"/>
    </row>
    <row r="23" spans="1:65" s="197" customFormat="1" ht="6" customHeight="1">
      <c r="A23" s="242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243"/>
      <c r="AG23" s="243"/>
      <c r="AH23" s="243"/>
      <c r="AI23" s="243"/>
      <c r="AJ23" s="243"/>
      <c r="AK23" s="243"/>
      <c r="AL23" s="234"/>
      <c r="AM23" s="234"/>
      <c r="AN23" s="234"/>
      <c r="AO23" s="234"/>
      <c r="AP23" s="234"/>
      <c r="AQ23" s="234"/>
      <c r="AR23" s="243"/>
      <c r="AS23" s="243"/>
      <c r="AT23" s="243"/>
      <c r="AU23" s="243"/>
      <c r="AV23" s="243"/>
      <c r="AW23" s="243"/>
      <c r="AX23" s="244"/>
      <c r="AY23" s="244"/>
      <c r="AZ23" s="244"/>
      <c r="BA23" s="244"/>
      <c r="BB23" s="244"/>
      <c r="BC23" s="244"/>
      <c r="BD23" s="244"/>
      <c r="BE23" s="244"/>
    </row>
    <row r="24" spans="1:65" s="197" customFormat="1" ht="23.25" customHeight="1">
      <c r="A24" s="469" t="s">
        <v>429</v>
      </c>
      <c r="B24" s="470"/>
      <c r="C24" s="470"/>
      <c r="D24" s="470"/>
      <c r="E24" s="470"/>
      <c r="F24" s="470"/>
      <c r="G24" s="470"/>
      <c r="H24" s="470"/>
      <c r="I24" s="470"/>
      <c r="J24" s="470"/>
      <c r="K24" s="471"/>
      <c r="L24" s="472" t="s">
        <v>430</v>
      </c>
      <c r="M24" s="473"/>
      <c r="N24" s="473"/>
      <c r="O24" s="473"/>
      <c r="P24" s="473"/>
      <c r="Q24" s="473"/>
      <c r="R24" s="473"/>
      <c r="S24" s="473"/>
      <c r="T24" s="473"/>
      <c r="U24" s="473"/>
      <c r="V24" s="473"/>
      <c r="W24" s="473"/>
      <c r="X24" s="473"/>
      <c r="Y24" s="473"/>
      <c r="Z24" s="473"/>
      <c r="AA24" s="473"/>
      <c r="AB24" s="474"/>
      <c r="AC24" s="475" t="s">
        <v>391</v>
      </c>
      <c r="AD24" s="470"/>
      <c r="AE24" s="470"/>
      <c r="AF24" s="470"/>
      <c r="AG24" s="470"/>
      <c r="AH24" s="470"/>
      <c r="AI24" s="470"/>
      <c r="AJ24" s="470"/>
      <c r="AK24" s="470"/>
      <c r="AL24" s="470"/>
      <c r="AM24" s="471"/>
      <c r="AN24" s="472" t="str">
        <f>Input!D28</f>
        <v>ESP</v>
      </c>
      <c r="AO24" s="473"/>
      <c r="AP24" s="473"/>
      <c r="AQ24" s="473"/>
      <c r="AR24" s="473"/>
      <c r="AS24" s="473"/>
      <c r="AT24" s="473"/>
      <c r="AU24" s="473"/>
      <c r="AV24" s="473"/>
      <c r="AW24" s="473"/>
      <c r="AX24" s="473"/>
      <c r="AY24" s="473"/>
      <c r="AZ24" s="473"/>
      <c r="BA24" s="473"/>
      <c r="BB24" s="473"/>
      <c r="BC24" s="473"/>
      <c r="BD24" s="473"/>
      <c r="BE24" s="476"/>
    </row>
    <row r="25" spans="1:65" s="197" customFormat="1" ht="21" customHeight="1">
      <c r="A25" s="444" t="s">
        <v>383</v>
      </c>
      <c r="B25" s="445"/>
      <c r="C25" s="445"/>
      <c r="D25" s="445"/>
      <c r="E25" s="445"/>
      <c r="F25" s="445"/>
      <c r="G25" s="445"/>
      <c r="H25" s="445"/>
      <c r="I25" s="445"/>
      <c r="J25" s="445"/>
      <c r="K25" s="446"/>
      <c r="L25" s="450" t="str">
        <f>Input!D23</f>
        <v>My Loc Commune, Thai Thuy District, Thai Binh Province, Viet Nam</v>
      </c>
      <c r="M25" s="450"/>
      <c r="N25" s="450"/>
      <c r="O25" s="450"/>
      <c r="P25" s="450"/>
      <c r="Q25" s="450"/>
      <c r="R25" s="450"/>
      <c r="S25" s="450"/>
      <c r="T25" s="450"/>
      <c r="U25" s="450"/>
      <c r="V25" s="450"/>
      <c r="W25" s="450"/>
      <c r="X25" s="450"/>
      <c r="Y25" s="450"/>
      <c r="Z25" s="450"/>
      <c r="AA25" s="450"/>
      <c r="AB25" s="450"/>
      <c r="AC25" s="450"/>
      <c r="AD25" s="450"/>
      <c r="AE25" s="450"/>
      <c r="AF25" s="450"/>
      <c r="AG25" s="450"/>
      <c r="AH25" s="450"/>
      <c r="AI25" s="450"/>
      <c r="AJ25" s="450"/>
      <c r="AK25" s="450"/>
      <c r="AL25" s="450"/>
      <c r="AM25" s="450"/>
      <c r="AN25" s="450"/>
      <c r="AO25" s="450"/>
      <c r="AP25" s="450"/>
      <c r="AQ25" s="450"/>
      <c r="AR25" s="450"/>
      <c r="AS25" s="450"/>
      <c r="AT25" s="450"/>
      <c r="AU25" s="450"/>
      <c r="AV25" s="450"/>
      <c r="AW25" s="450"/>
      <c r="AX25" s="450"/>
      <c r="AY25" s="450"/>
      <c r="AZ25" s="450"/>
      <c r="BA25" s="450"/>
      <c r="BB25" s="450"/>
      <c r="BC25" s="450"/>
      <c r="BD25" s="450"/>
      <c r="BE25" s="450"/>
    </row>
    <row r="26" spans="1:65" s="197" customFormat="1" ht="21" customHeight="1">
      <c r="A26" s="447"/>
      <c r="B26" s="448"/>
      <c r="C26" s="448"/>
      <c r="D26" s="448"/>
      <c r="E26" s="448"/>
      <c r="F26" s="448"/>
      <c r="G26" s="448"/>
      <c r="H26" s="448"/>
      <c r="I26" s="448"/>
      <c r="J26" s="448"/>
      <c r="K26" s="449"/>
      <c r="L26" s="451" t="s">
        <v>337</v>
      </c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  <c r="AA26" s="451"/>
      <c r="AB26" s="451"/>
      <c r="AC26" s="451"/>
      <c r="AD26" s="451"/>
      <c r="AE26" s="451"/>
      <c r="AF26" s="451"/>
      <c r="AG26" s="451"/>
      <c r="AH26" s="451"/>
      <c r="AI26" s="451"/>
      <c r="AJ26" s="451"/>
      <c r="AK26" s="451"/>
      <c r="AL26" s="451"/>
      <c r="AM26" s="451"/>
      <c r="AN26" s="451"/>
      <c r="AO26" s="451"/>
      <c r="AP26" s="451"/>
      <c r="AQ26" s="451"/>
      <c r="AR26" s="451"/>
      <c r="AS26" s="451"/>
      <c r="AT26" s="451"/>
      <c r="AU26" s="451"/>
      <c r="AV26" s="451"/>
      <c r="AW26" s="451"/>
      <c r="AX26" s="451"/>
      <c r="AY26" s="451"/>
      <c r="AZ26" s="451"/>
      <c r="BA26" s="451"/>
      <c r="BB26" s="451"/>
      <c r="BC26" s="451"/>
      <c r="BD26" s="451"/>
      <c r="BE26" s="451"/>
    </row>
    <row r="27" spans="1:65" s="197" customFormat="1" ht="21" customHeight="1">
      <c r="A27" s="452" t="s">
        <v>369</v>
      </c>
      <c r="B27" s="453"/>
      <c r="C27" s="453"/>
      <c r="D27" s="453"/>
      <c r="E27" s="453"/>
      <c r="F27" s="453"/>
      <c r="G27" s="453"/>
      <c r="H27" s="453"/>
      <c r="I27" s="453"/>
      <c r="J27" s="453"/>
      <c r="K27" s="454"/>
      <c r="L27" s="455">
        <f>Input!C5</f>
        <v>43074</v>
      </c>
      <c r="M27" s="456"/>
      <c r="N27" s="456"/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  <c r="AE27" s="456"/>
      <c r="AF27" s="456"/>
      <c r="AG27" s="456"/>
      <c r="AH27" s="456"/>
      <c r="AI27" s="456"/>
      <c r="AJ27" s="456"/>
      <c r="AK27" s="456"/>
      <c r="AL27" s="456"/>
      <c r="AM27" s="456"/>
      <c r="AN27" s="456"/>
      <c r="AO27" s="456"/>
      <c r="AP27" s="456"/>
      <c r="AQ27" s="456"/>
      <c r="AR27" s="456"/>
      <c r="AS27" s="456"/>
      <c r="AT27" s="456"/>
      <c r="AU27" s="456"/>
      <c r="AV27" s="456"/>
      <c r="AW27" s="456"/>
      <c r="AX27" s="456"/>
      <c r="AY27" s="456"/>
      <c r="AZ27" s="456"/>
      <c r="BA27" s="456"/>
      <c r="BB27" s="456"/>
      <c r="BC27" s="456"/>
      <c r="BD27" s="456"/>
      <c r="BE27" s="457"/>
    </row>
    <row r="28" spans="1:65" s="197" customFormat="1" ht="6" customHeight="1">
      <c r="A28" s="243"/>
      <c r="B28" s="243"/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3"/>
      <c r="AL28" s="243"/>
      <c r="AM28" s="243"/>
      <c r="AN28" s="243"/>
      <c r="AO28" s="243"/>
      <c r="AP28" s="243"/>
      <c r="AQ28" s="243"/>
      <c r="AR28" s="243"/>
      <c r="AS28" s="243"/>
      <c r="AT28" s="243"/>
      <c r="AU28" s="243"/>
      <c r="AV28" s="243"/>
      <c r="AW28" s="243"/>
      <c r="AX28" s="245"/>
      <c r="AY28" s="245"/>
      <c r="AZ28" s="245"/>
      <c r="BA28" s="245"/>
      <c r="BB28" s="245"/>
      <c r="BC28" s="245"/>
      <c r="BD28" s="245"/>
      <c r="BE28" s="243"/>
    </row>
    <row r="29" spans="1:65" s="197" customFormat="1" ht="23.25" customHeight="1">
      <c r="A29" s="458" t="s">
        <v>431</v>
      </c>
      <c r="B29" s="459"/>
      <c r="C29" s="459"/>
      <c r="D29" s="459"/>
      <c r="E29" s="459"/>
      <c r="F29" s="459"/>
      <c r="G29" s="459"/>
      <c r="H29" s="459"/>
      <c r="I29" s="459"/>
      <c r="J29" s="459"/>
      <c r="K29" s="459"/>
      <c r="L29" s="460" t="s">
        <v>432</v>
      </c>
      <c r="M29" s="460"/>
      <c r="N29" s="460"/>
      <c r="O29" s="460"/>
      <c r="P29" s="460"/>
      <c r="Q29" s="461" t="s">
        <v>433</v>
      </c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3"/>
      <c r="AE29" s="464" t="s">
        <v>434</v>
      </c>
      <c r="AF29" s="464"/>
      <c r="AG29" s="464"/>
      <c r="AH29" s="464"/>
      <c r="AI29" s="464"/>
      <c r="AJ29" s="464"/>
      <c r="AK29" s="465"/>
      <c r="AL29" s="461" t="s">
        <v>435</v>
      </c>
      <c r="AM29" s="462"/>
      <c r="AN29" s="462"/>
      <c r="AO29" s="462"/>
      <c r="AP29" s="462"/>
      <c r="AQ29" s="462"/>
      <c r="AR29" s="462"/>
      <c r="AS29" s="462"/>
      <c r="AT29" s="462"/>
      <c r="AU29" s="462"/>
      <c r="AV29" s="462"/>
      <c r="AW29" s="462"/>
      <c r="AX29" s="462"/>
      <c r="AY29" s="462"/>
      <c r="AZ29" s="462"/>
      <c r="BA29" s="462"/>
      <c r="BB29" s="462"/>
      <c r="BC29" s="462"/>
      <c r="BD29" s="462"/>
      <c r="BE29" s="466"/>
      <c r="BG29" s="197" t="s">
        <v>434</v>
      </c>
    </row>
    <row r="30" spans="1:65" s="197" customFormat="1" ht="21" customHeight="1">
      <c r="A30" s="437" t="s">
        <v>86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9"/>
      <c r="L30" s="408" t="s">
        <v>436</v>
      </c>
      <c r="M30" s="409"/>
      <c r="N30" s="409"/>
      <c r="O30" s="409"/>
      <c r="P30" s="410"/>
      <c r="Q30" s="411" t="s">
        <v>437</v>
      </c>
      <c r="R30" s="412"/>
      <c r="S30" s="412"/>
      <c r="T30" s="412"/>
      <c r="U30" s="413"/>
      <c r="V30" s="426"/>
      <c r="W30" s="427"/>
      <c r="X30" s="427"/>
      <c r="Y30" s="427"/>
      <c r="Z30" s="427"/>
      <c r="AA30" s="427"/>
      <c r="AB30" s="427"/>
      <c r="AC30" s="427"/>
      <c r="AD30" s="428"/>
      <c r="AE30" s="429"/>
      <c r="AF30" s="430"/>
      <c r="AG30" s="430"/>
      <c r="AH30" s="430"/>
      <c r="AI30" s="430"/>
      <c r="AJ30" s="430"/>
      <c r="AK30" s="431"/>
      <c r="AL30" s="443" t="s">
        <v>438</v>
      </c>
      <c r="AM30" s="432"/>
      <c r="AN30" s="432"/>
      <c r="AO30" s="432"/>
      <c r="AP30" s="432"/>
      <c r="AQ30" s="432"/>
      <c r="AR30" s="432"/>
      <c r="AS30" s="432"/>
      <c r="AT30" s="432"/>
      <c r="AU30" s="432"/>
      <c r="AV30" s="432"/>
      <c r="AW30" s="432"/>
      <c r="AX30" s="432"/>
      <c r="AY30" s="432"/>
      <c r="AZ30" s="432"/>
      <c r="BA30" s="432"/>
      <c r="BB30" s="432"/>
      <c r="BC30" s="432"/>
      <c r="BD30" s="432"/>
      <c r="BE30" s="433"/>
      <c r="BF30" s="246" t="s">
        <v>439</v>
      </c>
      <c r="BG30" s="247" t="s">
        <v>440</v>
      </c>
      <c r="BH30" s="247"/>
      <c r="BJ30" s="197" t="s">
        <v>441</v>
      </c>
      <c r="BM30" s="197" t="s">
        <v>442</v>
      </c>
    </row>
    <row r="31" spans="1:65" s="197" customFormat="1" ht="21" customHeigh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2"/>
      <c r="L31" s="408" t="s">
        <v>436</v>
      </c>
      <c r="M31" s="409"/>
      <c r="N31" s="409"/>
      <c r="O31" s="409"/>
      <c r="P31" s="410"/>
      <c r="Q31" s="411" t="s">
        <v>88</v>
      </c>
      <c r="R31" s="412"/>
      <c r="S31" s="412"/>
      <c r="T31" s="412"/>
      <c r="U31" s="413"/>
      <c r="V31" s="426" t="str">
        <f>IF(Table!E20&lt;AE31,AE31,Table!E20)</f>
        <v>-</v>
      </c>
      <c r="W31" s="427"/>
      <c r="X31" s="427"/>
      <c r="Y31" s="427"/>
      <c r="Z31" s="427"/>
      <c r="AA31" s="427"/>
      <c r="AB31" s="427"/>
      <c r="AC31" s="427"/>
      <c r="AD31" s="428"/>
      <c r="AE31" s="429" t="s">
        <v>337</v>
      </c>
      <c r="AF31" s="430"/>
      <c r="AG31" s="430"/>
      <c r="AH31" s="430"/>
      <c r="AI31" s="430"/>
      <c r="AJ31" s="430"/>
      <c r="AK31" s="431"/>
      <c r="AL31" s="434"/>
      <c r="AM31" s="435"/>
      <c r="AN31" s="435"/>
      <c r="AO31" s="435"/>
      <c r="AP31" s="435"/>
      <c r="AQ31" s="435"/>
      <c r="AR31" s="435"/>
      <c r="AS31" s="435"/>
      <c r="AT31" s="435"/>
      <c r="AU31" s="435"/>
      <c r="AV31" s="435"/>
      <c r="AW31" s="435"/>
      <c r="AX31" s="435"/>
      <c r="AY31" s="435"/>
      <c r="AZ31" s="435"/>
      <c r="BA31" s="435"/>
      <c r="BB31" s="435"/>
      <c r="BC31" s="435"/>
      <c r="BD31" s="435"/>
      <c r="BE31" s="436"/>
      <c r="BF31" s="248"/>
      <c r="BG31" s="247" t="s">
        <v>443</v>
      </c>
      <c r="BH31" s="247"/>
      <c r="BJ31" s="197" t="s">
        <v>444</v>
      </c>
      <c r="BM31" s="197" t="s">
        <v>445</v>
      </c>
    </row>
    <row r="32" spans="1:65" s="197" customFormat="1" ht="21" hidden="1" customHeight="1">
      <c r="A32" s="405" t="s">
        <v>446</v>
      </c>
      <c r="B32" s="406"/>
      <c r="C32" s="406"/>
      <c r="D32" s="406"/>
      <c r="E32" s="406"/>
      <c r="F32" s="406"/>
      <c r="G32" s="406"/>
      <c r="H32" s="406"/>
      <c r="I32" s="406"/>
      <c r="J32" s="406"/>
      <c r="K32" s="407"/>
      <c r="L32" s="408" t="s">
        <v>436</v>
      </c>
      <c r="M32" s="409"/>
      <c r="N32" s="409"/>
      <c r="O32" s="409"/>
      <c r="P32" s="410"/>
      <c r="Q32" s="411" t="s">
        <v>437</v>
      </c>
      <c r="R32" s="412"/>
      <c r="S32" s="412"/>
      <c r="T32" s="412"/>
      <c r="U32" s="413"/>
      <c r="V32" s="426">
        <f>IF(Table!E21&lt;AE32,AE32,Table!E21)</f>
        <v>1.31</v>
      </c>
      <c r="W32" s="427"/>
      <c r="X32" s="427"/>
      <c r="Y32" s="427"/>
      <c r="Z32" s="427"/>
      <c r="AA32" s="427"/>
      <c r="AB32" s="427"/>
      <c r="AC32" s="427"/>
      <c r="AD32" s="428"/>
      <c r="AE32" s="429">
        <f>0.5*2.62</f>
        <v>1.31</v>
      </c>
      <c r="AF32" s="430"/>
      <c r="AG32" s="430"/>
      <c r="AH32" s="430"/>
      <c r="AI32" s="430"/>
      <c r="AJ32" s="430"/>
      <c r="AK32" s="431"/>
      <c r="AL32" s="420" t="s">
        <v>447</v>
      </c>
      <c r="AM32" s="432"/>
      <c r="AN32" s="432"/>
      <c r="AO32" s="432"/>
      <c r="AP32" s="432"/>
      <c r="AQ32" s="432"/>
      <c r="AR32" s="432"/>
      <c r="AS32" s="432"/>
      <c r="AT32" s="432"/>
      <c r="AU32" s="432"/>
      <c r="AV32" s="432"/>
      <c r="AW32" s="432"/>
      <c r="AX32" s="432"/>
      <c r="AY32" s="432"/>
      <c r="AZ32" s="432"/>
      <c r="BA32" s="432"/>
      <c r="BB32" s="432"/>
      <c r="BC32" s="432"/>
      <c r="BD32" s="432"/>
      <c r="BE32" s="433"/>
      <c r="BF32" s="248"/>
      <c r="BG32" s="247" t="s">
        <v>448</v>
      </c>
      <c r="BH32" s="247"/>
      <c r="BJ32" s="197" t="s">
        <v>449</v>
      </c>
    </row>
    <row r="33" spans="1:62" s="197" customFormat="1" ht="21" hidden="1" customHeight="1">
      <c r="A33" s="423"/>
      <c r="B33" s="424"/>
      <c r="C33" s="424"/>
      <c r="D33" s="424"/>
      <c r="E33" s="424"/>
      <c r="F33" s="424"/>
      <c r="G33" s="424"/>
      <c r="H33" s="424"/>
      <c r="I33" s="424"/>
      <c r="J33" s="424"/>
      <c r="K33" s="425"/>
      <c r="L33" s="408" t="s">
        <v>436</v>
      </c>
      <c r="M33" s="409"/>
      <c r="N33" s="409"/>
      <c r="O33" s="409"/>
      <c r="P33" s="410"/>
      <c r="Q33" s="411" t="s">
        <v>88</v>
      </c>
      <c r="R33" s="412"/>
      <c r="S33" s="412"/>
      <c r="T33" s="412"/>
      <c r="U33" s="413"/>
      <c r="V33" s="426" t="str">
        <f>IF(Table!E22&lt;AE33,AE33,Table!E22)</f>
        <v>-</v>
      </c>
      <c r="W33" s="427"/>
      <c r="X33" s="427"/>
      <c r="Y33" s="427"/>
      <c r="Z33" s="427"/>
      <c r="AA33" s="427"/>
      <c r="AB33" s="427"/>
      <c r="AC33" s="427"/>
      <c r="AD33" s="428"/>
      <c r="AE33" s="429" t="s">
        <v>337</v>
      </c>
      <c r="AF33" s="430"/>
      <c r="AG33" s="430"/>
      <c r="AH33" s="430"/>
      <c r="AI33" s="430"/>
      <c r="AJ33" s="430"/>
      <c r="AK33" s="431"/>
      <c r="AL33" s="434"/>
      <c r="AM33" s="435"/>
      <c r="AN33" s="435"/>
      <c r="AO33" s="435"/>
      <c r="AP33" s="435"/>
      <c r="AQ33" s="435"/>
      <c r="AR33" s="435"/>
      <c r="AS33" s="435"/>
      <c r="AT33" s="435"/>
      <c r="AU33" s="435"/>
      <c r="AV33" s="435"/>
      <c r="AW33" s="435"/>
      <c r="AX33" s="435"/>
      <c r="AY33" s="435"/>
      <c r="AZ33" s="435"/>
      <c r="BA33" s="435"/>
      <c r="BB33" s="435"/>
      <c r="BC33" s="435"/>
      <c r="BD33" s="435"/>
      <c r="BE33" s="436"/>
      <c r="BF33" s="248"/>
      <c r="BG33" s="247"/>
      <c r="BH33" s="247"/>
      <c r="BJ33" s="197" t="s">
        <v>450</v>
      </c>
    </row>
    <row r="34" spans="1:62" s="197" customFormat="1" ht="21" hidden="1" customHeight="1">
      <c r="A34" s="405" t="s">
        <v>451</v>
      </c>
      <c r="B34" s="406"/>
      <c r="C34" s="406"/>
      <c r="D34" s="406"/>
      <c r="E34" s="406"/>
      <c r="F34" s="406"/>
      <c r="G34" s="406"/>
      <c r="H34" s="406"/>
      <c r="I34" s="406"/>
      <c r="J34" s="406"/>
      <c r="K34" s="407"/>
      <c r="L34" s="408" t="s">
        <v>436</v>
      </c>
      <c r="M34" s="409"/>
      <c r="N34" s="409"/>
      <c r="O34" s="409"/>
      <c r="P34" s="410"/>
      <c r="Q34" s="411" t="s">
        <v>452</v>
      </c>
      <c r="R34" s="412"/>
      <c r="S34" s="412"/>
      <c r="T34" s="412"/>
      <c r="U34" s="413"/>
      <c r="V34" s="426">
        <f>IF(Table!E23&lt;AE34,AE34,Table!E23)</f>
        <v>26.200000000000003</v>
      </c>
      <c r="W34" s="427"/>
      <c r="X34" s="427"/>
      <c r="Y34" s="427"/>
      <c r="Z34" s="427"/>
      <c r="AA34" s="427"/>
      <c r="AB34" s="427"/>
      <c r="AC34" s="427"/>
      <c r="AD34" s="428"/>
      <c r="AE34" s="429">
        <f>10*2.62</f>
        <v>26.200000000000003</v>
      </c>
      <c r="AF34" s="430"/>
      <c r="AG34" s="430"/>
      <c r="AH34" s="430"/>
      <c r="AI34" s="430"/>
      <c r="AJ34" s="430"/>
      <c r="AK34" s="431"/>
      <c r="AL34" s="420" t="s">
        <v>453</v>
      </c>
      <c r="AM34" s="432"/>
      <c r="AN34" s="432"/>
      <c r="AO34" s="432"/>
      <c r="AP34" s="432"/>
      <c r="AQ34" s="432"/>
      <c r="AR34" s="432"/>
      <c r="AS34" s="432"/>
      <c r="AT34" s="432"/>
      <c r="AU34" s="432"/>
      <c r="AV34" s="432"/>
      <c r="AW34" s="432"/>
      <c r="AX34" s="432"/>
      <c r="AY34" s="432"/>
      <c r="AZ34" s="432"/>
      <c r="BA34" s="432"/>
      <c r="BB34" s="432"/>
      <c r="BC34" s="432"/>
      <c r="BD34" s="432"/>
      <c r="BE34" s="433"/>
      <c r="BF34" s="248"/>
      <c r="BG34" s="247" t="s">
        <v>454</v>
      </c>
      <c r="BH34" s="247"/>
      <c r="BJ34" s="197" t="s">
        <v>455</v>
      </c>
    </row>
    <row r="35" spans="1:62" s="197" customFormat="1" ht="21" hidden="1" customHeight="1">
      <c r="A35" s="423"/>
      <c r="B35" s="424"/>
      <c r="C35" s="424"/>
      <c r="D35" s="424"/>
      <c r="E35" s="424"/>
      <c r="F35" s="424"/>
      <c r="G35" s="424"/>
      <c r="H35" s="424"/>
      <c r="I35" s="424"/>
      <c r="J35" s="424"/>
      <c r="K35" s="425"/>
      <c r="L35" s="408" t="s">
        <v>436</v>
      </c>
      <c r="M35" s="409"/>
      <c r="N35" s="409"/>
      <c r="O35" s="409"/>
      <c r="P35" s="410"/>
      <c r="Q35" s="411" t="s">
        <v>88</v>
      </c>
      <c r="R35" s="412"/>
      <c r="S35" s="412"/>
      <c r="T35" s="412"/>
      <c r="U35" s="413"/>
      <c r="V35" s="426" t="str">
        <f>IF(Table!E24&lt;AE35,AE35,Table!E24)</f>
        <v>-</v>
      </c>
      <c r="W35" s="427"/>
      <c r="X35" s="427"/>
      <c r="Y35" s="427"/>
      <c r="Z35" s="427"/>
      <c r="AA35" s="427"/>
      <c r="AB35" s="427"/>
      <c r="AC35" s="427"/>
      <c r="AD35" s="428"/>
      <c r="AE35" s="429" t="s">
        <v>337</v>
      </c>
      <c r="AF35" s="430"/>
      <c r="AG35" s="430"/>
      <c r="AH35" s="430"/>
      <c r="AI35" s="430"/>
      <c r="AJ35" s="430"/>
      <c r="AK35" s="431"/>
      <c r="AL35" s="434"/>
      <c r="AM35" s="435"/>
      <c r="AN35" s="435"/>
      <c r="AO35" s="435"/>
      <c r="AP35" s="435"/>
      <c r="AQ35" s="435"/>
      <c r="AR35" s="435"/>
      <c r="AS35" s="435"/>
      <c r="AT35" s="435"/>
      <c r="AU35" s="435"/>
      <c r="AV35" s="435"/>
      <c r="AW35" s="435"/>
      <c r="AX35" s="435"/>
      <c r="AY35" s="435"/>
      <c r="AZ35" s="435"/>
      <c r="BA35" s="435"/>
      <c r="BB35" s="435"/>
      <c r="BC35" s="435"/>
      <c r="BD35" s="435"/>
      <c r="BE35" s="436"/>
      <c r="BF35" s="248"/>
      <c r="BG35" s="247" t="s">
        <v>456</v>
      </c>
      <c r="BH35" s="247"/>
      <c r="BJ35" s="197" t="s">
        <v>457</v>
      </c>
    </row>
    <row r="36" spans="1:62" s="197" customFormat="1" ht="21" hidden="1" customHeight="1">
      <c r="A36" s="405" t="s">
        <v>458</v>
      </c>
      <c r="B36" s="406"/>
      <c r="C36" s="406"/>
      <c r="D36" s="406"/>
      <c r="E36" s="406"/>
      <c r="F36" s="406"/>
      <c r="G36" s="406"/>
      <c r="H36" s="406"/>
      <c r="I36" s="406"/>
      <c r="J36" s="406"/>
      <c r="K36" s="407"/>
      <c r="L36" s="408" t="s">
        <v>436</v>
      </c>
      <c r="M36" s="409"/>
      <c r="N36" s="409"/>
      <c r="O36" s="409"/>
      <c r="P36" s="410"/>
      <c r="Q36" s="411" t="s">
        <v>437</v>
      </c>
      <c r="R36" s="412"/>
      <c r="S36" s="412"/>
      <c r="T36" s="412"/>
      <c r="U36" s="413"/>
      <c r="V36" s="426">
        <f>IF(Table!E26&lt;AE36,AE36,Table!E26)</f>
        <v>7.52</v>
      </c>
      <c r="W36" s="427"/>
      <c r="X36" s="427"/>
      <c r="Y36" s="427"/>
      <c r="Z36" s="427"/>
      <c r="AA36" s="427"/>
      <c r="AB36" s="427"/>
      <c r="AC36" s="427"/>
      <c r="AD36" s="428"/>
      <c r="AE36" s="429">
        <f>4*1.88</f>
        <v>7.52</v>
      </c>
      <c r="AF36" s="430"/>
      <c r="AG36" s="430"/>
      <c r="AH36" s="430"/>
      <c r="AI36" s="430"/>
      <c r="AJ36" s="430"/>
      <c r="AK36" s="431"/>
      <c r="AL36" s="420" t="s">
        <v>459</v>
      </c>
      <c r="AM36" s="432"/>
      <c r="AN36" s="432"/>
      <c r="AO36" s="432"/>
      <c r="AP36" s="432"/>
      <c r="AQ36" s="432"/>
      <c r="AR36" s="432"/>
      <c r="AS36" s="432"/>
      <c r="AT36" s="432"/>
      <c r="AU36" s="432"/>
      <c r="AV36" s="432"/>
      <c r="AW36" s="432"/>
      <c r="AX36" s="432"/>
      <c r="AY36" s="432"/>
      <c r="AZ36" s="432"/>
      <c r="BA36" s="432"/>
      <c r="BB36" s="432"/>
      <c r="BC36" s="432"/>
      <c r="BD36" s="432"/>
      <c r="BE36" s="433"/>
      <c r="BF36" s="248"/>
      <c r="BG36" s="247"/>
      <c r="BH36" s="247"/>
    </row>
    <row r="37" spans="1:62" s="197" customFormat="1" ht="21" hidden="1" customHeight="1">
      <c r="A37" s="423"/>
      <c r="B37" s="424"/>
      <c r="C37" s="424"/>
      <c r="D37" s="424"/>
      <c r="E37" s="424"/>
      <c r="F37" s="424"/>
      <c r="G37" s="424"/>
      <c r="H37" s="424"/>
      <c r="I37" s="424"/>
      <c r="J37" s="424"/>
      <c r="K37" s="425"/>
      <c r="L37" s="408" t="s">
        <v>436</v>
      </c>
      <c r="M37" s="409"/>
      <c r="N37" s="409"/>
      <c r="O37" s="409"/>
      <c r="P37" s="410"/>
      <c r="Q37" s="411" t="s">
        <v>88</v>
      </c>
      <c r="R37" s="412"/>
      <c r="S37" s="412"/>
      <c r="T37" s="412"/>
      <c r="U37" s="413"/>
      <c r="V37" s="426" t="str">
        <f>IF(Table!E27&lt;AE37,AE37,Table!E27)</f>
        <v>-</v>
      </c>
      <c r="W37" s="427"/>
      <c r="X37" s="427"/>
      <c r="Y37" s="427"/>
      <c r="Z37" s="427"/>
      <c r="AA37" s="427"/>
      <c r="AB37" s="427"/>
      <c r="AC37" s="427"/>
      <c r="AD37" s="428"/>
      <c r="AE37" s="429" t="s">
        <v>337</v>
      </c>
      <c r="AF37" s="430"/>
      <c r="AG37" s="430"/>
      <c r="AH37" s="430"/>
      <c r="AI37" s="430"/>
      <c r="AJ37" s="430"/>
      <c r="AK37" s="431"/>
      <c r="AL37" s="434"/>
      <c r="AM37" s="435"/>
      <c r="AN37" s="435"/>
      <c r="AO37" s="435"/>
      <c r="AP37" s="435"/>
      <c r="AQ37" s="435"/>
      <c r="AR37" s="435"/>
      <c r="AS37" s="435"/>
      <c r="AT37" s="435"/>
      <c r="AU37" s="435"/>
      <c r="AV37" s="435"/>
      <c r="AW37" s="435"/>
      <c r="AX37" s="435"/>
      <c r="AY37" s="435"/>
      <c r="AZ37" s="435"/>
      <c r="BA37" s="435"/>
      <c r="BB37" s="435"/>
      <c r="BC37" s="435"/>
      <c r="BD37" s="435"/>
      <c r="BE37" s="436"/>
      <c r="BF37" s="248"/>
      <c r="BG37" s="247"/>
      <c r="BH37" s="247"/>
    </row>
    <row r="38" spans="1:62" s="197" customFormat="1" ht="21" hidden="1" customHeight="1">
      <c r="A38" s="405" t="s">
        <v>458</v>
      </c>
      <c r="B38" s="406"/>
      <c r="C38" s="406"/>
      <c r="D38" s="406"/>
      <c r="E38" s="406"/>
      <c r="F38" s="406"/>
      <c r="G38" s="406"/>
      <c r="H38" s="406"/>
      <c r="I38" s="406"/>
      <c r="J38" s="406"/>
      <c r="K38" s="407"/>
      <c r="L38" s="408" t="s">
        <v>436</v>
      </c>
      <c r="M38" s="409"/>
      <c r="N38" s="409"/>
      <c r="O38" s="409"/>
      <c r="P38" s="410"/>
      <c r="Q38" s="411" t="s">
        <v>452</v>
      </c>
      <c r="R38" s="412"/>
      <c r="S38" s="412"/>
      <c r="T38" s="412"/>
      <c r="U38" s="413"/>
      <c r="V38" s="426">
        <f>IF(Table!E28&lt;AE38,AE38,Table!E28)</f>
        <v>9.3999999999999986</v>
      </c>
      <c r="W38" s="427"/>
      <c r="X38" s="427"/>
      <c r="Y38" s="427"/>
      <c r="Z38" s="427"/>
      <c r="AA38" s="427"/>
      <c r="AB38" s="427"/>
      <c r="AC38" s="427"/>
      <c r="AD38" s="428"/>
      <c r="AE38" s="429">
        <f>5*1.88</f>
        <v>9.3999999999999986</v>
      </c>
      <c r="AF38" s="430"/>
      <c r="AG38" s="430"/>
      <c r="AH38" s="430"/>
      <c r="AI38" s="430"/>
      <c r="AJ38" s="430"/>
      <c r="AK38" s="431"/>
      <c r="AL38" s="420" t="s">
        <v>460</v>
      </c>
      <c r="AM38" s="432"/>
      <c r="AN38" s="432"/>
      <c r="AO38" s="432"/>
      <c r="AP38" s="432"/>
      <c r="AQ38" s="432"/>
      <c r="AR38" s="432"/>
      <c r="AS38" s="432"/>
      <c r="AT38" s="432"/>
      <c r="AU38" s="432"/>
      <c r="AV38" s="432"/>
      <c r="AW38" s="432"/>
      <c r="AX38" s="432"/>
      <c r="AY38" s="432"/>
      <c r="AZ38" s="432"/>
      <c r="BA38" s="432"/>
      <c r="BB38" s="432"/>
      <c r="BC38" s="432"/>
      <c r="BD38" s="432"/>
      <c r="BE38" s="433"/>
      <c r="BF38" s="248"/>
      <c r="BG38" s="247"/>
      <c r="BH38" s="247"/>
    </row>
    <row r="39" spans="1:62" s="197" customFormat="1" ht="21" hidden="1" customHeight="1">
      <c r="A39" s="423"/>
      <c r="B39" s="424"/>
      <c r="C39" s="424"/>
      <c r="D39" s="424"/>
      <c r="E39" s="424"/>
      <c r="F39" s="424"/>
      <c r="G39" s="424"/>
      <c r="H39" s="424"/>
      <c r="I39" s="424"/>
      <c r="J39" s="424"/>
      <c r="K39" s="425"/>
      <c r="L39" s="408" t="s">
        <v>436</v>
      </c>
      <c r="M39" s="409"/>
      <c r="N39" s="409"/>
      <c r="O39" s="409"/>
      <c r="P39" s="410"/>
      <c r="Q39" s="411" t="s">
        <v>88</v>
      </c>
      <c r="R39" s="412"/>
      <c r="S39" s="412"/>
      <c r="T39" s="412"/>
      <c r="U39" s="413"/>
      <c r="V39" s="426" t="str">
        <f>IF(Table!E29&lt;AE39,AE39,Table!E29)</f>
        <v>-</v>
      </c>
      <c r="W39" s="427"/>
      <c r="X39" s="427"/>
      <c r="Y39" s="427"/>
      <c r="Z39" s="427"/>
      <c r="AA39" s="427"/>
      <c r="AB39" s="427"/>
      <c r="AC39" s="427"/>
      <c r="AD39" s="428"/>
      <c r="AE39" s="429" t="s">
        <v>337</v>
      </c>
      <c r="AF39" s="430"/>
      <c r="AG39" s="430"/>
      <c r="AH39" s="430"/>
      <c r="AI39" s="430"/>
      <c r="AJ39" s="430"/>
      <c r="AK39" s="431"/>
      <c r="AL39" s="434"/>
      <c r="AM39" s="435"/>
      <c r="AN39" s="435"/>
      <c r="AO39" s="435"/>
      <c r="AP39" s="435"/>
      <c r="AQ39" s="435"/>
      <c r="AR39" s="435"/>
      <c r="AS39" s="435"/>
      <c r="AT39" s="435"/>
      <c r="AU39" s="435"/>
      <c r="AV39" s="435"/>
      <c r="AW39" s="435"/>
      <c r="AX39" s="435"/>
      <c r="AY39" s="435"/>
      <c r="AZ39" s="435"/>
      <c r="BA39" s="435"/>
      <c r="BB39" s="435"/>
      <c r="BC39" s="435"/>
      <c r="BD39" s="435"/>
      <c r="BE39" s="436"/>
      <c r="BF39" s="248"/>
      <c r="BG39" s="247"/>
      <c r="BH39" s="247"/>
    </row>
    <row r="40" spans="1:62" s="197" customFormat="1" ht="21" hidden="1" customHeight="1">
      <c r="A40" s="405" t="s">
        <v>461</v>
      </c>
      <c r="B40" s="406"/>
      <c r="C40" s="406"/>
      <c r="D40" s="406"/>
      <c r="E40" s="406"/>
      <c r="F40" s="406"/>
      <c r="G40" s="406"/>
      <c r="H40" s="406"/>
      <c r="I40" s="406"/>
      <c r="J40" s="406"/>
      <c r="K40" s="407"/>
      <c r="L40" s="408" t="s">
        <v>436</v>
      </c>
      <c r="M40" s="409"/>
      <c r="N40" s="409"/>
      <c r="O40" s="409"/>
      <c r="P40" s="410"/>
      <c r="Q40" s="411" t="s">
        <v>452</v>
      </c>
      <c r="R40" s="412"/>
      <c r="S40" s="412"/>
      <c r="T40" s="412"/>
      <c r="U40" s="413"/>
      <c r="V40" s="426">
        <f>IF(Table!E30&lt;AE40,AE40,Table!E30)</f>
        <v>11.399999999999999</v>
      </c>
      <c r="W40" s="427"/>
      <c r="X40" s="427"/>
      <c r="Y40" s="427"/>
      <c r="Z40" s="427"/>
      <c r="AA40" s="427"/>
      <c r="AB40" s="427"/>
      <c r="AC40" s="427"/>
      <c r="AD40" s="428"/>
      <c r="AE40" s="429">
        <f>10*1.14</f>
        <v>11.399999999999999</v>
      </c>
      <c r="AF40" s="430"/>
      <c r="AG40" s="430"/>
      <c r="AH40" s="430"/>
      <c r="AI40" s="430"/>
      <c r="AJ40" s="430"/>
      <c r="AK40" s="431"/>
      <c r="AL40" s="420" t="s">
        <v>462</v>
      </c>
      <c r="AM40" s="432"/>
      <c r="AN40" s="432"/>
      <c r="AO40" s="432"/>
      <c r="AP40" s="432"/>
      <c r="AQ40" s="432"/>
      <c r="AR40" s="432"/>
      <c r="AS40" s="432"/>
      <c r="AT40" s="432"/>
      <c r="AU40" s="432"/>
      <c r="AV40" s="432"/>
      <c r="AW40" s="432"/>
      <c r="AX40" s="432"/>
      <c r="AY40" s="432"/>
      <c r="AZ40" s="432"/>
      <c r="BA40" s="432"/>
      <c r="BB40" s="432"/>
      <c r="BC40" s="432"/>
      <c r="BD40" s="432"/>
      <c r="BE40" s="433"/>
      <c r="BF40" s="248"/>
      <c r="BG40" s="247"/>
      <c r="BH40" s="247"/>
    </row>
    <row r="41" spans="1:62" s="197" customFormat="1" ht="21" hidden="1" customHeight="1">
      <c r="A41" s="423"/>
      <c r="B41" s="424"/>
      <c r="C41" s="424"/>
      <c r="D41" s="424"/>
      <c r="E41" s="424"/>
      <c r="F41" s="424"/>
      <c r="G41" s="424"/>
      <c r="H41" s="424"/>
      <c r="I41" s="424"/>
      <c r="J41" s="424"/>
      <c r="K41" s="425"/>
      <c r="L41" s="408" t="s">
        <v>436</v>
      </c>
      <c r="M41" s="409"/>
      <c r="N41" s="409"/>
      <c r="O41" s="409"/>
      <c r="P41" s="410"/>
      <c r="Q41" s="411" t="s">
        <v>88</v>
      </c>
      <c r="R41" s="412"/>
      <c r="S41" s="412"/>
      <c r="T41" s="412"/>
      <c r="U41" s="413"/>
      <c r="V41" s="426" t="str">
        <f>IF(Table!E31&lt;AE41,AE41,Table!E31)</f>
        <v>-</v>
      </c>
      <c r="W41" s="427"/>
      <c r="X41" s="427"/>
      <c r="Y41" s="427"/>
      <c r="Z41" s="427"/>
      <c r="AA41" s="427"/>
      <c r="AB41" s="427"/>
      <c r="AC41" s="427"/>
      <c r="AD41" s="428"/>
      <c r="AE41" s="429" t="s">
        <v>337</v>
      </c>
      <c r="AF41" s="430"/>
      <c r="AG41" s="430"/>
      <c r="AH41" s="430"/>
      <c r="AI41" s="430"/>
      <c r="AJ41" s="430"/>
      <c r="AK41" s="431"/>
      <c r="AL41" s="434"/>
      <c r="AM41" s="435"/>
      <c r="AN41" s="435"/>
      <c r="AO41" s="435"/>
      <c r="AP41" s="435"/>
      <c r="AQ41" s="435"/>
      <c r="AR41" s="435"/>
      <c r="AS41" s="435"/>
      <c r="AT41" s="435"/>
      <c r="AU41" s="435"/>
      <c r="AV41" s="435"/>
      <c r="AW41" s="435"/>
      <c r="AX41" s="435"/>
      <c r="AY41" s="435"/>
      <c r="AZ41" s="435"/>
      <c r="BA41" s="435"/>
      <c r="BB41" s="435"/>
      <c r="BC41" s="435"/>
      <c r="BD41" s="435"/>
      <c r="BE41" s="436"/>
      <c r="BF41" s="248"/>
      <c r="BG41" s="247"/>
      <c r="BH41" s="247"/>
    </row>
    <row r="42" spans="1:62" s="197" customFormat="1" ht="42" hidden="1" customHeight="1">
      <c r="A42" s="405" t="s">
        <v>463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7"/>
      <c r="L42" s="408" t="s">
        <v>51</v>
      </c>
      <c r="M42" s="409"/>
      <c r="N42" s="409"/>
      <c r="O42" s="409"/>
      <c r="P42" s="410"/>
      <c r="Q42" s="411" t="s">
        <v>452</v>
      </c>
      <c r="R42" s="412"/>
      <c r="S42" s="412"/>
      <c r="T42" s="412"/>
      <c r="U42" s="413"/>
      <c r="V42" s="414">
        <f>Table!E32</f>
        <v>0</v>
      </c>
      <c r="W42" s="415"/>
      <c r="X42" s="415"/>
      <c r="Y42" s="415"/>
      <c r="Z42" s="415"/>
      <c r="AA42" s="415"/>
      <c r="AB42" s="415"/>
      <c r="AC42" s="415"/>
      <c r="AD42" s="416"/>
      <c r="AE42" s="417" t="s">
        <v>337</v>
      </c>
      <c r="AF42" s="418"/>
      <c r="AG42" s="418"/>
      <c r="AH42" s="418"/>
      <c r="AI42" s="418"/>
      <c r="AJ42" s="418"/>
      <c r="AK42" s="419"/>
      <c r="AL42" s="420" t="s">
        <v>464</v>
      </c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2"/>
      <c r="BF42" s="248"/>
      <c r="BG42" s="247"/>
      <c r="BH42" s="247"/>
    </row>
    <row r="43" spans="1:62" s="197" customFormat="1" ht="42" hidden="1" customHeight="1">
      <c r="A43" s="405" t="s">
        <v>141</v>
      </c>
      <c r="B43" s="406"/>
      <c r="C43" s="406"/>
      <c r="D43" s="406"/>
      <c r="E43" s="406"/>
      <c r="F43" s="406"/>
      <c r="G43" s="406"/>
      <c r="H43" s="406"/>
      <c r="I43" s="406"/>
      <c r="J43" s="406"/>
      <c r="K43" s="407"/>
      <c r="L43" s="408" t="s">
        <v>51</v>
      </c>
      <c r="M43" s="409"/>
      <c r="N43" s="409"/>
      <c r="O43" s="409"/>
      <c r="P43" s="410"/>
      <c r="Q43" s="411" t="s">
        <v>452</v>
      </c>
      <c r="R43" s="412"/>
      <c r="S43" s="412"/>
      <c r="T43" s="412"/>
      <c r="U43" s="413"/>
      <c r="V43" s="414">
        <f>Table!E33</f>
        <v>0</v>
      </c>
      <c r="W43" s="415"/>
      <c r="X43" s="415"/>
      <c r="Y43" s="415"/>
      <c r="Z43" s="415"/>
      <c r="AA43" s="415"/>
      <c r="AB43" s="415"/>
      <c r="AC43" s="415"/>
      <c r="AD43" s="416"/>
      <c r="AE43" s="417" t="s">
        <v>337</v>
      </c>
      <c r="AF43" s="418"/>
      <c r="AG43" s="418"/>
      <c r="AH43" s="418"/>
      <c r="AI43" s="418"/>
      <c r="AJ43" s="418"/>
      <c r="AK43" s="419"/>
      <c r="AL43" s="420" t="s">
        <v>465</v>
      </c>
      <c r="AM43" s="421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2"/>
      <c r="BF43" s="248"/>
      <c r="BG43" s="247"/>
      <c r="BH43" s="247"/>
    </row>
    <row r="44" spans="1:62" s="197" customFormat="1" ht="23.25" customHeight="1">
      <c r="A44" s="391" t="s">
        <v>466</v>
      </c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  <c r="AC44" s="392"/>
      <c r="AD44" s="392"/>
      <c r="AE44" s="392"/>
      <c r="AF44" s="392"/>
      <c r="AG44" s="392"/>
      <c r="AH44" s="392"/>
      <c r="AI44" s="392"/>
      <c r="AJ44" s="392"/>
      <c r="AK44" s="392"/>
      <c r="AL44" s="392"/>
      <c r="AM44" s="392"/>
      <c r="AN44" s="392"/>
      <c r="AO44" s="392"/>
      <c r="AP44" s="392"/>
      <c r="AQ44" s="392"/>
      <c r="AR44" s="392"/>
      <c r="AS44" s="392"/>
      <c r="AT44" s="392"/>
      <c r="AU44" s="392"/>
      <c r="AV44" s="392"/>
      <c r="AW44" s="392"/>
      <c r="AX44" s="392"/>
      <c r="AY44" s="392"/>
      <c r="AZ44" s="392"/>
      <c r="BA44" s="392"/>
      <c r="BB44" s="392"/>
      <c r="BC44" s="392"/>
      <c r="BD44" s="392"/>
      <c r="BE44" s="393"/>
    </row>
    <row r="45" spans="1:62" s="197" customFormat="1" ht="24.75" customHeight="1">
      <c r="A45" s="394" t="s">
        <v>527</v>
      </c>
      <c r="B45" s="395"/>
      <c r="C45" s="395"/>
      <c r="D45" s="395"/>
      <c r="E45" s="395"/>
      <c r="F45" s="395"/>
      <c r="G45" s="395"/>
      <c r="H45" s="395"/>
      <c r="I45" s="395"/>
      <c r="J45" s="395"/>
      <c r="K45" s="395"/>
      <c r="L45" s="395"/>
      <c r="M45" s="395"/>
      <c r="N45" s="395"/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  <c r="AA45" s="395"/>
      <c r="AB45" s="395"/>
      <c r="AC45" s="395"/>
      <c r="AD45" s="395"/>
      <c r="AE45" s="395"/>
      <c r="AF45" s="395"/>
      <c r="AG45" s="395"/>
      <c r="AH45" s="395"/>
      <c r="AI45" s="395"/>
      <c r="AJ45" s="395"/>
      <c r="AK45" s="395"/>
      <c r="AL45" s="395"/>
      <c r="AM45" s="395"/>
      <c r="AN45" s="395"/>
      <c r="AO45" s="395"/>
      <c r="AP45" s="395"/>
      <c r="AQ45" s="395"/>
      <c r="AR45" s="395"/>
      <c r="AS45" s="395"/>
      <c r="AT45" s="395"/>
      <c r="AU45" s="395"/>
      <c r="AV45" s="395"/>
      <c r="AW45" s="395"/>
      <c r="AX45" s="395"/>
      <c r="AY45" s="395"/>
      <c r="AZ45" s="395"/>
      <c r="BA45" s="395"/>
      <c r="BB45" s="395"/>
      <c r="BC45" s="395"/>
      <c r="BD45" s="395"/>
      <c r="BE45" s="396"/>
    </row>
    <row r="46" spans="1:62" s="197" customFormat="1" ht="16.5" customHeight="1">
      <c r="A46" s="397"/>
      <c r="B46" s="398"/>
      <c r="C46" s="398"/>
      <c r="D46" s="398"/>
      <c r="E46" s="398"/>
      <c r="F46" s="398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/>
      <c r="T46" s="398"/>
      <c r="U46" s="398"/>
      <c r="V46" s="398"/>
      <c r="W46" s="398"/>
      <c r="X46" s="398"/>
      <c r="Y46" s="398"/>
      <c r="Z46" s="398"/>
      <c r="AA46" s="398"/>
      <c r="AB46" s="398"/>
      <c r="AC46" s="398"/>
      <c r="AD46" s="398"/>
      <c r="AE46" s="398"/>
      <c r="AF46" s="398"/>
      <c r="AG46" s="398"/>
      <c r="AH46" s="398"/>
      <c r="AI46" s="398"/>
      <c r="AJ46" s="398"/>
      <c r="AK46" s="398"/>
      <c r="AL46" s="398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8"/>
      <c r="BA46" s="398"/>
      <c r="BB46" s="398"/>
      <c r="BC46" s="398"/>
      <c r="BD46" s="398"/>
      <c r="BE46" s="399"/>
    </row>
    <row r="47" spans="1:62" s="197" customFormat="1" ht="6" customHeight="1">
      <c r="A47" s="245"/>
      <c r="B47" s="245"/>
      <c r="C47" s="249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B47" s="245"/>
      <c r="BC47" s="245"/>
      <c r="BD47" s="245"/>
      <c r="BE47" s="245"/>
      <c r="BF47" s="247"/>
    </row>
    <row r="48" spans="1:62" s="197" customFormat="1" ht="24.75" customHeight="1">
      <c r="A48" s="400" t="s">
        <v>467</v>
      </c>
      <c r="B48" s="401"/>
      <c r="C48" s="401"/>
      <c r="D48" s="401"/>
      <c r="E48" s="401"/>
      <c r="F48" s="401"/>
      <c r="G48" s="401"/>
      <c r="H48" s="401"/>
      <c r="I48" s="401"/>
      <c r="J48" s="401"/>
      <c r="K48" s="401"/>
      <c r="L48" s="401"/>
      <c r="M48" s="401"/>
      <c r="N48" s="401"/>
      <c r="O48" s="401"/>
      <c r="P48" s="401"/>
      <c r="Q48" s="401"/>
      <c r="R48" s="401"/>
      <c r="S48" s="401"/>
      <c r="T48" s="401"/>
      <c r="U48" s="401"/>
      <c r="V48" s="401"/>
      <c r="W48" s="401"/>
      <c r="X48" s="401"/>
      <c r="Y48" s="401"/>
      <c r="Z48" s="401"/>
      <c r="AA48" s="401"/>
      <c r="AB48" s="401"/>
      <c r="AC48" s="401"/>
      <c r="AD48" s="401"/>
      <c r="AE48" s="401"/>
      <c r="AF48" s="401"/>
      <c r="AG48" s="401"/>
      <c r="AH48" s="401"/>
      <c r="AI48" s="401"/>
      <c r="AJ48" s="401"/>
      <c r="AK48" s="401"/>
      <c r="AL48" s="401"/>
      <c r="AM48" s="401"/>
      <c r="AN48" s="401"/>
      <c r="AO48" s="401"/>
      <c r="AP48" s="401"/>
      <c r="AQ48" s="401"/>
      <c r="AR48" s="401"/>
      <c r="AS48" s="401"/>
      <c r="AT48" s="401"/>
      <c r="AU48" s="401"/>
      <c r="AV48" s="401"/>
      <c r="AW48" s="401"/>
      <c r="AX48" s="401"/>
      <c r="AY48" s="401"/>
      <c r="AZ48" s="401"/>
      <c r="BA48" s="401"/>
      <c r="BB48" s="401"/>
      <c r="BC48" s="401"/>
      <c r="BD48" s="401"/>
      <c r="BE48" s="402"/>
      <c r="BF48" s="250"/>
    </row>
    <row r="49" spans="1:59" s="197" customFormat="1" ht="16.5" customHeight="1">
      <c r="A49" s="403" t="s">
        <v>468</v>
      </c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403"/>
      <c r="AB49" s="403"/>
      <c r="AC49" s="403"/>
      <c r="AD49" s="403"/>
      <c r="AE49" s="403"/>
      <c r="AF49" s="403"/>
      <c r="AG49" s="403"/>
      <c r="AH49" s="403"/>
      <c r="AI49" s="403"/>
      <c r="AJ49" s="403"/>
      <c r="AK49" s="403"/>
      <c r="AL49" s="403"/>
      <c r="AM49" s="403"/>
      <c r="AN49" s="403"/>
      <c r="AO49" s="403"/>
      <c r="AP49" s="403"/>
      <c r="AQ49" s="403"/>
      <c r="AR49" s="403"/>
      <c r="AS49" s="403"/>
      <c r="AT49" s="403"/>
      <c r="AU49" s="403"/>
      <c r="AV49" s="403"/>
      <c r="AW49" s="403"/>
      <c r="AX49" s="403"/>
      <c r="AY49" s="403"/>
      <c r="AZ49" s="403"/>
      <c r="BA49" s="403"/>
      <c r="BB49" s="403"/>
      <c r="BC49" s="403"/>
      <c r="BD49" s="403"/>
      <c r="BE49" s="403"/>
      <c r="BF49" s="250"/>
    </row>
    <row r="50" spans="1:59" s="197" customFormat="1" ht="16.5" customHeight="1">
      <c r="A50" s="404"/>
      <c r="B50" s="404"/>
      <c r="C50" s="404"/>
      <c r="D50" s="404"/>
      <c r="E50" s="404"/>
      <c r="F50" s="404"/>
      <c r="G50" s="404"/>
      <c r="H50" s="404"/>
      <c r="I50" s="404"/>
      <c r="J50" s="404"/>
      <c r="K50" s="404"/>
      <c r="L50" s="404"/>
      <c r="M50" s="404"/>
      <c r="N50" s="404"/>
      <c r="O50" s="404"/>
      <c r="P50" s="404"/>
      <c r="Q50" s="404"/>
      <c r="R50" s="404"/>
      <c r="S50" s="404"/>
      <c r="T50" s="404"/>
      <c r="U50" s="404"/>
      <c r="V50" s="404"/>
      <c r="W50" s="404"/>
      <c r="X50" s="404"/>
      <c r="Y50" s="404"/>
      <c r="Z50" s="404"/>
      <c r="AA50" s="404"/>
      <c r="AB50" s="404"/>
      <c r="AC50" s="404"/>
      <c r="AD50" s="404"/>
      <c r="AE50" s="404"/>
      <c r="AF50" s="404"/>
      <c r="AG50" s="404"/>
      <c r="AH50" s="404"/>
      <c r="AI50" s="404"/>
      <c r="AJ50" s="404"/>
      <c r="AK50" s="404"/>
      <c r="AL50" s="404"/>
      <c r="AM50" s="404"/>
      <c r="AN50" s="404"/>
      <c r="AO50" s="404"/>
      <c r="AP50" s="404"/>
      <c r="AQ50" s="404"/>
      <c r="AR50" s="404"/>
      <c r="AS50" s="404"/>
      <c r="AT50" s="404"/>
      <c r="AU50" s="404"/>
      <c r="AV50" s="404"/>
      <c r="AW50" s="404"/>
      <c r="AX50" s="404"/>
      <c r="AY50" s="404"/>
      <c r="AZ50" s="404"/>
      <c r="BA50" s="404"/>
      <c r="BB50" s="404"/>
      <c r="BC50" s="404"/>
      <c r="BD50" s="404"/>
      <c r="BE50" s="404"/>
      <c r="BF50" s="250"/>
    </row>
    <row r="51" spans="1:59" s="197" customFormat="1" ht="6" customHeight="1">
      <c r="A51" s="243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  <c r="AE51" s="243"/>
      <c r="AF51" s="243"/>
      <c r="AG51" s="243"/>
      <c r="AH51" s="243"/>
      <c r="AI51" s="243"/>
      <c r="AJ51" s="243"/>
      <c r="AK51" s="243"/>
      <c r="AL51" s="243"/>
      <c r="AM51" s="243"/>
      <c r="AN51" s="243"/>
      <c r="AO51" s="243"/>
      <c r="AP51" s="243"/>
      <c r="AQ51" s="243"/>
      <c r="AR51" s="243"/>
      <c r="AS51" s="243"/>
      <c r="AT51" s="243"/>
      <c r="AU51" s="243"/>
      <c r="AV51" s="243"/>
      <c r="AW51" s="243"/>
      <c r="AX51" s="243"/>
      <c r="AY51" s="243"/>
      <c r="AZ51" s="243"/>
      <c r="BA51" s="243"/>
      <c r="BB51" s="243"/>
      <c r="BC51" s="243"/>
      <c r="BD51" s="243"/>
      <c r="BE51" s="243"/>
    </row>
    <row r="52" spans="1:59" s="197" customFormat="1" ht="23.25" hidden="1" customHeight="1">
      <c r="A52" s="391" t="s">
        <v>469</v>
      </c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2"/>
      <c r="P52" s="392"/>
      <c r="Q52" s="392"/>
      <c r="R52" s="392"/>
      <c r="S52" s="392"/>
      <c r="T52" s="392"/>
      <c r="U52" s="392"/>
      <c r="V52" s="392"/>
      <c r="W52" s="392"/>
      <c r="X52" s="392"/>
      <c r="Y52" s="392"/>
      <c r="Z52" s="392"/>
      <c r="AA52" s="392"/>
      <c r="AB52" s="392"/>
      <c r="AC52" s="392"/>
      <c r="AD52" s="392"/>
      <c r="AE52" s="392"/>
      <c r="AF52" s="392"/>
      <c r="AG52" s="392"/>
      <c r="AH52" s="392"/>
      <c r="AI52" s="392"/>
      <c r="AJ52" s="392"/>
      <c r="AK52" s="392"/>
      <c r="AL52" s="392"/>
      <c r="AM52" s="392"/>
      <c r="AN52" s="392"/>
      <c r="AO52" s="392"/>
      <c r="AP52" s="392"/>
      <c r="AQ52" s="392"/>
      <c r="AR52" s="392"/>
      <c r="AS52" s="392"/>
      <c r="AT52" s="392"/>
      <c r="AU52" s="392"/>
      <c r="AV52" s="392"/>
      <c r="AW52" s="392"/>
      <c r="AX52" s="392"/>
      <c r="AY52" s="392"/>
      <c r="AZ52" s="392"/>
      <c r="BA52" s="392"/>
      <c r="BB52" s="392"/>
      <c r="BC52" s="392"/>
      <c r="BD52" s="392"/>
      <c r="BE52" s="393"/>
      <c r="BF52" s="250"/>
    </row>
    <row r="53" spans="1:59" s="197" customFormat="1" ht="16.5" hidden="1" customHeight="1">
      <c r="A53" s="403" t="s">
        <v>468</v>
      </c>
      <c r="B53" s="403"/>
      <c r="C53" s="403"/>
      <c r="D53" s="403"/>
      <c r="E53" s="403"/>
      <c r="F53" s="403"/>
      <c r="G53" s="403"/>
      <c r="H53" s="403"/>
      <c r="I53" s="403"/>
      <c r="J53" s="403"/>
      <c r="K53" s="403"/>
      <c r="L53" s="403"/>
      <c r="M53" s="403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03"/>
      <c r="AA53" s="403"/>
      <c r="AB53" s="403"/>
      <c r="AC53" s="403"/>
      <c r="AD53" s="403"/>
      <c r="AE53" s="403"/>
      <c r="AF53" s="403"/>
      <c r="AG53" s="403"/>
      <c r="AH53" s="403"/>
      <c r="AI53" s="403"/>
      <c r="AJ53" s="403"/>
      <c r="AK53" s="403"/>
      <c r="AL53" s="403"/>
      <c r="AM53" s="403"/>
      <c r="AN53" s="403"/>
      <c r="AO53" s="403"/>
      <c r="AP53" s="403"/>
      <c r="AQ53" s="403"/>
      <c r="AR53" s="403"/>
      <c r="AS53" s="403"/>
      <c r="AT53" s="403"/>
      <c r="AU53" s="403"/>
      <c r="AV53" s="403"/>
      <c r="AW53" s="403"/>
      <c r="AX53" s="403"/>
      <c r="AY53" s="403"/>
      <c r="AZ53" s="403"/>
      <c r="BA53" s="403"/>
      <c r="BB53" s="403"/>
      <c r="BC53" s="403"/>
      <c r="BD53" s="403"/>
      <c r="BE53" s="403"/>
      <c r="BF53" s="251"/>
      <c r="BG53" s="197" t="s">
        <v>470</v>
      </c>
    </row>
    <row r="54" spans="1:59" s="197" customFormat="1" ht="16.5" hidden="1" customHeight="1">
      <c r="A54" s="404"/>
      <c r="B54" s="404"/>
      <c r="C54" s="404"/>
      <c r="D54" s="404"/>
      <c r="E54" s="404"/>
      <c r="F54" s="404"/>
      <c r="G54" s="404"/>
      <c r="H54" s="404"/>
      <c r="I54" s="404"/>
      <c r="J54" s="404"/>
      <c r="K54" s="404"/>
      <c r="L54" s="404"/>
      <c r="M54" s="404"/>
      <c r="N54" s="404"/>
      <c r="O54" s="404"/>
      <c r="P54" s="404"/>
      <c r="Q54" s="404"/>
      <c r="R54" s="404"/>
      <c r="S54" s="404"/>
      <c r="T54" s="404"/>
      <c r="U54" s="404"/>
      <c r="V54" s="404"/>
      <c r="W54" s="404"/>
      <c r="X54" s="404"/>
      <c r="Y54" s="404"/>
      <c r="Z54" s="404"/>
      <c r="AA54" s="404"/>
      <c r="AB54" s="404"/>
      <c r="AC54" s="404"/>
      <c r="AD54" s="404"/>
      <c r="AE54" s="404"/>
      <c r="AF54" s="404"/>
      <c r="AG54" s="404"/>
      <c r="AH54" s="404"/>
      <c r="AI54" s="404"/>
      <c r="AJ54" s="404"/>
      <c r="AK54" s="404"/>
      <c r="AL54" s="404"/>
      <c r="AM54" s="404"/>
      <c r="AN54" s="404"/>
      <c r="AO54" s="404"/>
      <c r="AP54" s="404"/>
      <c r="AQ54" s="404"/>
      <c r="AR54" s="404"/>
      <c r="AS54" s="404"/>
      <c r="AT54" s="404"/>
      <c r="AU54" s="404"/>
      <c r="AV54" s="404"/>
      <c r="AW54" s="404"/>
      <c r="AX54" s="404"/>
      <c r="AY54" s="404"/>
      <c r="AZ54" s="404"/>
      <c r="BA54" s="404"/>
      <c r="BB54" s="404"/>
      <c r="BC54" s="404"/>
      <c r="BD54" s="404"/>
      <c r="BE54" s="404"/>
      <c r="BF54" s="251"/>
      <c r="BG54" s="252"/>
    </row>
    <row r="55" spans="1:59" ht="14.1" customHeight="1">
      <c r="A55" s="195"/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243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253" t="s">
        <v>471</v>
      </c>
      <c r="BF55" s="193"/>
    </row>
    <row r="56" spans="1:59" ht="17.25" customHeight="1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</row>
    <row r="57" spans="1:59" ht="17.2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</row>
    <row r="58" spans="1:59" ht="17.2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  <c r="BE58" s="195"/>
    </row>
    <row r="59" spans="1:59">
      <c r="A59" s="195"/>
      <c r="B59" s="195"/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  <c r="BE59" s="195"/>
    </row>
    <row r="60" spans="1:59">
      <c r="A60" s="195"/>
      <c r="B60" s="195"/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</row>
    <row r="61" spans="1:59">
      <c r="A61" s="195"/>
      <c r="B61" s="195"/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</row>
    <row r="62" spans="1:59">
      <c r="A62" s="195"/>
      <c r="B62" s="195"/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</row>
    <row r="63" spans="1:59">
      <c r="A63" s="195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/>
    </row>
    <row r="64" spans="1:59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5"/>
    </row>
    <row r="65" spans="1:57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</row>
    <row r="66" spans="1:57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</row>
    <row r="67" spans="1:57">
      <c r="A67" s="195"/>
      <c r="B67" s="195"/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</row>
    <row r="68" spans="1:57">
      <c r="A68" s="195"/>
      <c r="B68" s="195"/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</row>
    <row r="69" spans="1:57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</row>
    <row r="70" spans="1:57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</row>
    <row r="71" spans="1:57">
      <c r="A71" s="195"/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</row>
    <row r="72" spans="1:57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</row>
    <row r="73" spans="1:57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</row>
    <row r="74" spans="1:57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</row>
    <row r="75" spans="1:57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</row>
    <row r="76" spans="1:57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</row>
  </sheetData>
  <mergeCells count="120">
    <mergeCell ref="C9:D9"/>
    <mergeCell ref="E9:AC9"/>
    <mergeCell ref="AF10:AK10"/>
    <mergeCell ref="AM10:BE10"/>
    <mergeCell ref="A1:BE1"/>
    <mergeCell ref="A4:BE4"/>
    <mergeCell ref="AE6:AM6"/>
    <mergeCell ref="AO6:BE6"/>
    <mergeCell ref="AE7:AM7"/>
    <mergeCell ref="AO7:BE7"/>
    <mergeCell ref="N11:AC11"/>
    <mergeCell ref="AF11:AK11"/>
    <mergeCell ref="AM11:BE12"/>
    <mergeCell ref="N12:AC12"/>
    <mergeCell ref="AH12:AK12"/>
    <mergeCell ref="N13:AC13"/>
    <mergeCell ref="AF13:AK13"/>
    <mergeCell ref="AM13:BE13"/>
    <mergeCell ref="AE8:AM8"/>
    <mergeCell ref="AO8:BE8"/>
    <mergeCell ref="AF20:AS20"/>
    <mergeCell ref="AU20:BE20"/>
    <mergeCell ref="A24:K24"/>
    <mergeCell ref="L24:AB24"/>
    <mergeCell ref="AC24:AM24"/>
    <mergeCell ref="AN24:BE24"/>
    <mergeCell ref="AF14:AK14"/>
    <mergeCell ref="AM14:BE14"/>
    <mergeCell ref="AH16:AS16"/>
    <mergeCell ref="AU16:BE16"/>
    <mergeCell ref="AF18:AS18"/>
    <mergeCell ref="AU18:BE18"/>
    <mergeCell ref="A25:K26"/>
    <mergeCell ref="L25:BE25"/>
    <mergeCell ref="L26:BE26"/>
    <mergeCell ref="A27:K27"/>
    <mergeCell ref="L27:BE27"/>
    <mergeCell ref="A29:K29"/>
    <mergeCell ref="L29:P29"/>
    <mergeCell ref="Q29:AD29"/>
    <mergeCell ref="AE29:AK29"/>
    <mergeCell ref="AL29:BE29"/>
    <mergeCell ref="A30:K31"/>
    <mergeCell ref="L30:P30"/>
    <mergeCell ref="Q30:U30"/>
    <mergeCell ref="V30:AD30"/>
    <mergeCell ref="AE30:AK30"/>
    <mergeCell ref="AL30:BE31"/>
    <mergeCell ref="L31:P31"/>
    <mergeCell ref="Q31:U31"/>
    <mergeCell ref="V31:AD31"/>
    <mergeCell ref="AE31:AK31"/>
    <mergeCell ref="A32:K33"/>
    <mergeCell ref="L32:P32"/>
    <mergeCell ref="Q32:U32"/>
    <mergeCell ref="V32:AD32"/>
    <mergeCell ref="AE32:AK32"/>
    <mergeCell ref="AL32:BE33"/>
    <mergeCell ref="L33:P33"/>
    <mergeCell ref="Q33:U33"/>
    <mergeCell ref="V33:AD33"/>
    <mergeCell ref="AE33:AK33"/>
    <mergeCell ref="A34:K35"/>
    <mergeCell ref="L34:P34"/>
    <mergeCell ref="Q34:U34"/>
    <mergeCell ref="V34:AD34"/>
    <mergeCell ref="AE34:AK34"/>
    <mergeCell ref="AL34:BE35"/>
    <mergeCell ref="L35:P35"/>
    <mergeCell ref="Q35:U35"/>
    <mergeCell ref="V35:AD35"/>
    <mergeCell ref="AE35:AK35"/>
    <mergeCell ref="A36:K37"/>
    <mergeCell ref="L36:P36"/>
    <mergeCell ref="Q36:U36"/>
    <mergeCell ref="V36:AD36"/>
    <mergeCell ref="AE36:AK36"/>
    <mergeCell ref="AL36:BE37"/>
    <mergeCell ref="L37:P37"/>
    <mergeCell ref="Q37:U37"/>
    <mergeCell ref="V37:AD37"/>
    <mergeCell ref="AE37:AK37"/>
    <mergeCell ref="A38:K39"/>
    <mergeCell ref="L38:P38"/>
    <mergeCell ref="Q38:U38"/>
    <mergeCell ref="V38:AD38"/>
    <mergeCell ref="AE38:AK38"/>
    <mergeCell ref="AL38:BE39"/>
    <mergeCell ref="L39:P39"/>
    <mergeCell ref="Q39:U39"/>
    <mergeCell ref="V39:AD39"/>
    <mergeCell ref="AE39:AK39"/>
    <mergeCell ref="A42:K42"/>
    <mergeCell ref="L42:P42"/>
    <mergeCell ref="Q42:U42"/>
    <mergeCell ref="V42:AD42"/>
    <mergeCell ref="AE42:AK42"/>
    <mergeCell ref="AL42:BE42"/>
    <mergeCell ref="A40:K41"/>
    <mergeCell ref="L40:P40"/>
    <mergeCell ref="Q40:U40"/>
    <mergeCell ref="V40:AD40"/>
    <mergeCell ref="AE40:AK40"/>
    <mergeCell ref="AL40:BE41"/>
    <mergeCell ref="L41:P41"/>
    <mergeCell ref="Q41:U41"/>
    <mergeCell ref="V41:AD41"/>
    <mergeCell ref="AE41:AK41"/>
    <mergeCell ref="A44:BE44"/>
    <mergeCell ref="A45:BE46"/>
    <mergeCell ref="A48:BE48"/>
    <mergeCell ref="A49:BE50"/>
    <mergeCell ref="A52:BE52"/>
    <mergeCell ref="A53:BE54"/>
    <mergeCell ref="A43:K43"/>
    <mergeCell ref="L43:P43"/>
    <mergeCell ref="Q43:U43"/>
    <mergeCell ref="V43:AD43"/>
    <mergeCell ref="AE43:AK43"/>
    <mergeCell ref="AL43:BE43"/>
  </mergeCells>
  <pageMargins left="0.74803149606299213" right="0.19" top="0.19685039370078741" bottom="0.28000000000000003" header="0.11811023622047245" footer="0.19685039370078741"/>
  <pageSetup paperSize="9" fitToHeight="0" orientation="portrait" blackAndWhite="1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4"/>
  <sheetViews>
    <sheetView view="pageBreakPreview" zoomScale="85" zoomScaleNormal="85" zoomScaleSheetLayoutView="85" workbookViewId="0">
      <selection activeCell="AN4" sqref="AN4:BJ4"/>
    </sheetView>
  </sheetViews>
  <sheetFormatPr defaultRowHeight="15"/>
  <cols>
    <col min="1" max="1" width="18.25" style="194" customWidth="1"/>
    <col min="2" max="2" width="11.625" style="194" customWidth="1"/>
    <col min="3" max="3" width="7.625" style="194" customWidth="1"/>
    <col min="4" max="7" width="8.625" style="194" customWidth="1"/>
    <col min="8" max="8" width="10.625" style="194" customWidth="1"/>
    <col min="9" max="9" width="10.625" style="254" customWidth="1"/>
    <col min="10" max="41" width="9" style="254"/>
    <col min="42" max="256" width="9" style="194"/>
    <col min="257" max="257" width="18.25" style="194" customWidth="1"/>
    <col min="258" max="258" width="11.625" style="194" customWidth="1"/>
    <col min="259" max="259" width="7.625" style="194" customWidth="1"/>
    <col min="260" max="263" width="8.625" style="194" customWidth="1"/>
    <col min="264" max="265" width="10.625" style="194" customWidth="1"/>
    <col min="266" max="512" width="9" style="194"/>
    <col min="513" max="513" width="18.25" style="194" customWidth="1"/>
    <col min="514" max="514" width="11.625" style="194" customWidth="1"/>
    <col min="515" max="515" width="7.625" style="194" customWidth="1"/>
    <col min="516" max="519" width="8.625" style="194" customWidth="1"/>
    <col min="520" max="521" width="10.625" style="194" customWidth="1"/>
    <col min="522" max="768" width="9" style="194"/>
    <col min="769" max="769" width="18.25" style="194" customWidth="1"/>
    <col min="770" max="770" width="11.625" style="194" customWidth="1"/>
    <col min="771" max="771" width="7.625" style="194" customWidth="1"/>
    <col min="772" max="775" width="8.625" style="194" customWidth="1"/>
    <col min="776" max="777" width="10.625" style="194" customWidth="1"/>
    <col min="778" max="1024" width="9" style="194"/>
    <col min="1025" max="1025" width="18.25" style="194" customWidth="1"/>
    <col min="1026" max="1026" width="11.625" style="194" customWidth="1"/>
    <col min="1027" max="1027" width="7.625" style="194" customWidth="1"/>
    <col min="1028" max="1031" width="8.625" style="194" customWidth="1"/>
    <col min="1032" max="1033" width="10.625" style="194" customWidth="1"/>
    <col min="1034" max="1280" width="9" style="194"/>
    <col min="1281" max="1281" width="18.25" style="194" customWidth="1"/>
    <col min="1282" max="1282" width="11.625" style="194" customWidth="1"/>
    <col min="1283" max="1283" width="7.625" style="194" customWidth="1"/>
    <col min="1284" max="1287" width="8.625" style="194" customWidth="1"/>
    <col min="1288" max="1289" width="10.625" style="194" customWidth="1"/>
    <col min="1290" max="1536" width="9" style="194"/>
    <col min="1537" max="1537" width="18.25" style="194" customWidth="1"/>
    <col min="1538" max="1538" width="11.625" style="194" customWidth="1"/>
    <col min="1539" max="1539" width="7.625" style="194" customWidth="1"/>
    <col min="1540" max="1543" width="8.625" style="194" customWidth="1"/>
    <col min="1544" max="1545" width="10.625" style="194" customWidth="1"/>
    <col min="1546" max="1792" width="9" style="194"/>
    <col min="1793" max="1793" width="18.25" style="194" customWidth="1"/>
    <col min="1794" max="1794" width="11.625" style="194" customWidth="1"/>
    <col min="1795" max="1795" width="7.625" style="194" customWidth="1"/>
    <col min="1796" max="1799" width="8.625" style="194" customWidth="1"/>
    <col min="1800" max="1801" width="10.625" style="194" customWidth="1"/>
    <col min="1802" max="2048" width="9" style="194"/>
    <col min="2049" max="2049" width="18.25" style="194" customWidth="1"/>
    <col min="2050" max="2050" width="11.625" style="194" customWidth="1"/>
    <col min="2051" max="2051" width="7.625" style="194" customWidth="1"/>
    <col min="2052" max="2055" width="8.625" style="194" customWidth="1"/>
    <col min="2056" max="2057" width="10.625" style="194" customWidth="1"/>
    <col min="2058" max="2304" width="9" style="194"/>
    <col min="2305" max="2305" width="18.25" style="194" customWidth="1"/>
    <col min="2306" max="2306" width="11.625" style="194" customWidth="1"/>
    <col min="2307" max="2307" width="7.625" style="194" customWidth="1"/>
    <col min="2308" max="2311" width="8.625" style="194" customWidth="1"/>
    <col min="2312" max="2313" width="10.625" style="194" customWidth="1"/>
    <col min="2314" max="2560" width="9" style="194"/>
    <col min="2561" max="2561" width="18.25" style="194" customWidth="1"/>
    <col min="2562" max="2562" width="11.625" style="194" customWidth="1"/>
    <col min="2563" max="2563" width="7.625" style="194" customWidth="1"/>
    <col min="2564" max="2567" width="8.625" style="194" customWidth="1"/>
    <col min="2568" max="2569" width="10.625" style="194" customWidth="1"/>
    <col min="2570" max="2816" width="9" style="194"/>
    <col min="2817" max="2817" width="18.25" style="194" customWidth="1"/>
    <col min="2818" max="2818" width="11.625" style="194" customWidth="1"/>
    <col min="2819" max="2819" width="7.625" style="194" customWidth="1"/>
    <col min="2820" max="2823" width="8.625" style="194" customWidth="1"/>
    <col min="2824" max="2825" width="10.625" style="194" customWidth="1"/>
    <col min="2826" max="3072" width="9" style="194"/>
    <col min="3073" max="3073" width="18.25" style="194" customWidth="1"/>
    <col min="3074" max="3074" width="11.625" style="194" customWidth="1"/>
    <col min="3075" max="3075" width="7.625" style="194" customWidth="1"/>
    <col min="3076" max="3079" width="8.625" style="194" customWidth="1"/>
    <col min="3080" max="3081" width="10.625" style="194" customWidth="1"/>
    <col min="3082" max="3328" width="9" style="194"/>
    <col min="3329" max="3329" width="18.25" style="194" customWidth="1"/>
    <col min="3330" max="3330" width="11.625" style="194" customWidth="1"/>
    <col min="3331" max="3331" width="7.625" style="194" customWidth="1"/>
    <col min="3332" max="3335" width="8.625" style="194" customWidth="1"/>
    <col min="3336" max="3337" width="10.625" style="194" customWidth="1"/>
    <col min="3338" max="3584" width="9" style="194"/>
    <col min="3585" max="3585" width="18.25" style="194" customWidth="1"/>
    <col min="3586" max="3586" width="11.625" style="194" customWidth="1"/>
    <col min="3587" max="3587" width="7.625" style="194" customWidth="1"/>
    <col min="3588" max="3591" width="8.625" style="194" customWidth="1"/>
    <col min="3592" max="3593" width="10.625" style="194" customWidth="1"/>
    <col min="3594" max="3840" width="9" style="194"/>
    <col min="3841" max="3841" width="18.25" style="194" customWidth="1"/>
    <col min="3842" max="3842" width="11.625" style="194" customWidth="1"/>
    <col min="3843" max="3843" width="7.625" style="194" customWidth="1"/>
    <col min="3844" max="3847" width="8.625" style="194" customWidth="1"/>
    <col min="3848" max="3849" width="10.625" style="194" customWidth="1"/>
    <col min="3850" max="4096" width="9" style="194"/>
    <col min="4097" max="4097" width="18.25" style="194" customWidth="1"/>
    <col min="4098" max="4098" width="11.625" style="194" customWidth="1"/>
    <col min="4099" max="4099" width="7.625" style="194" customWidth="1"/>
    <col min="4100" max="4103" width="8.625" style="194" customWidth="1"/>
    <col min="4104" max="4105" width="10.625" style="194" customWidth="1"/>
    <col min="4106" max="4352" width="9" style="194"/>
    <col min="4353" max="4353" width="18.25" style="194" customWidth="1"/>
    <col min="4354" max="4354" width="11.625" style="194" customWidth="1"/>
    <col min="4355" max="4355" width="7.625" style="194" customWidth="1"/>
    <col min="4356" max="4359" width="8.625" style="194" customWidth="1"/>
    <col min="4360" max="4361" width="10.625" style="194" customWidth="1"/>
    <col min="4362" max="4608" width="9" style="194"/>
    <col min="4609" max="4609" width="18.25" style="194" customWidth="1"/>
    <col min="4610" max="4610" width="11.625" style="194" customWidth="1"/>
    <col min="4611" max="4611" width="7.625" style="194" customWidth="1"/>
    <col min="4612" max="4615" width="8.625" style="194" customWidth="1"/>
    <col min="4616" max="4617" width="10.625" style="194" customWidth="1"/>
    <col min="4618" max="4864" width="9" style="194"/>
    <col min="4865" max="4865" width="18.25" style="194" customWidth="1"/>
    <col min="4866" max="4866" width="11.625" style="194" customWidth="1"/>
    <col min="4867" max="4867" width="7.625" style="194" customWidth="1"/>
    <col min="4868" max="4871" width="8.625" style="194" customWidth="1"/>
    <col min="4872" max="4873" width="10.625" style="194" customWidth="1"/>
    <col min="4874" max="5120" width="9" style="194"/>
    <col min="5121" max="5121" width="18.25" style="194" customWidth="1"/>
    <col min="5122" max="5122" width="11.625" style="194" customWidth="1"/>
    <col min="5123" max="5123" width="7.625" style="194" customWidth="1"/>
    <col min="5124" max="5127" width="8.625" style="194" customWidth="1"/>
    <col min="5128" max="5129" width="10.625" style="194" customWidth="1"/>
    <col min="5130" max="5376" width="9" style="194"/>
    <col min="5377" max="5377" width="18.25" style="194" customWidth="1"/>
    <col min="5378" max="5378" width="11.625" style="194" customWidth="1"/>
    <col min="5379" max="5379" width="7.625" style="194" customWidth="1"/>
    <col min="5380" max="5383" width="8.625" style="194" customWidth="1"/>
    <col min="5384" max="5385" width="10.625" style="194" customWidth="1"/>
    <col min="5386" max="5632" width="9" style="194"/>
    <col min="5633" max="5633" width="18.25" style="194" customWidth="1"/>
    <col min="5634" max="5634" width="11.625" style="194" customWidth="1"/>
    <col min="5635" max="5635" width="7.625" style="194" customWidth="1"/>
    <col min="5636" max="5639" width="8.625" style="194" customWidth="1"/>
    <col min="5640" max="5641" width="10.625" style="194" customWidth="1"/>
    <col min="5642" max="5888" width="9" style="194"/>
    <col min="5889" max="5889" width="18.25" style="194" customWidth="1"/>
    <col min="5890" max="5890" width="11.625" style="194" customWidth="1"/>
    <col min="5891" max="5891" width="7.625" style="194" customWidth="1"/>
    <col min="5892" max="5895" width="8.625" style="194" customWidth="1"/>
    <col min="5896" max="5897" width="10.625" style="194" customWidth="1"/>
    <col min="5898" max="6144" width="9" style="194"/>
    <col min="6145" max="6145" width="18.25" style="194" customWidth="1"/>
    <col min="6146" max="6146" width="11.625" style="194" customWidth="1"/>
    <col min="6147" max="6147" width="7.625" style="194" customWidth="1"/>
    <col min="6148" max="6151" width="8.625" style="194" customWidth="1"/>
    <col min="6152" max="6153" width="10.625" style="194" customWidth="1"/>
    <col min="6154" max="6400" width="9" style="194"/>
    <col min="6401" max="6401" width="18.25" style="194" customWidth="1"/>
    <col min="6402" max="6402" width="11.625" style="194" customWidth="1"/>
    <col min="6403" max="6403" width="7.625" style="194" customWidth="1"/>
    <col min="6404" max="6407" width="8.625" style="194" customWidth="1"/>
    <col min="6408" max="6409" width="10.625" style="194" customWidth="1"/>
    <col min="6410" max="6656" width="9" style="194"/>
    <col min="6657" max="6657" width="18.25" style="194" customWidth="1"/>
    <col min="6658" max="6658" width="11.625" style="194" customWidth="1"/>
    <col min="6659" max="6659" width="7.625" style="194" customWidth="1"/>
    <col min="6660" max="6663" width="8.625" style="194" customWidth="1"/>
    <col min="6664" max="6665" width="10.625" style="194" customWidth="1"/>
    <col min="6666" max="6912" width="9" style="194"/>
    <col min="6913" max="6913" width="18.25" style="194" customWidth="1"/>
    <col min="6914" max="6914" width="11.625" style="194" customWidth="1"/>
    <col min="6915" max="6915" width="7.625" style="194" customWidth="1"/>
    <col min="6916" max="6919" width="8.625" style="194" customWidth="1"/>
    <col min="6920" max="6921" width="10.625" style="194" customWidth="1"/>
    <col min="6922" max="7168" width="9" style="194"/>
    <col min="7169" max="7169" width="18.25" style="194" customWidth="1"/>
    <col min="7170" max="7170" width="11.625" style="194" customWidth="1"/>
    <col min="7171" max="7171" width="7.625" style="194" customWidth="1"/>
    <col min="7172" max="7175" width="8.625" style="194" customWidth="1"/>
    <col min="7176" max="7177" width="10.625" style="194" customWidth="1"/>
    <col min="7178" max="7424" width="9" style="194"/>
    <col min="7425" max="7425" width="18.25" style="194" customWidth="1"/>
    <col min="7426" max="7426" width="11.625" style="194" customWidth="1"/>
    <col min="7427" max="7427" width="7.625" style="194" customWidth="1"/>
    <col min="7428" max="7431" width="8.625" style="194" customWidth="1"/>
    <col min="7432" max="7433" width="10.625" style="194" customWidth="1"/>
    <col min="7434" max="7680" width="9" style="194"/>
    <col min="7681" max="7681" width="18.25" style="194" customWidth="1"/>
    <col min="7682" max="7682" width="11.625" style="194" customWidth="1"/>
    <col min="7683" max="7683" width="7.625" style="194" customWidth="1"/>
    <col min="7684" max="7687" width="8.625" style="194" customWidth="1"/>
    <col min="7688" max="7689" width="10.625" style="194" customWidth="1"/>
    <col min="7690" max="7936" width="9" style="194"/>
    <col min="7937" max="7937" width="18.25" style="194" customWidth="1"/>
    <col min="7938" max="7938" width="11.625" style="194" customWidth="1"/>
    <col min="7939" max="7939" width="7.625" style="194" customWidth="1"/>
    <col min="7940" max="7943" width="8.625" style="194" customWidth="1"/>
    <col min="7944" max="7945" width="10.625" style="194" customWidth="1"/>
    <col min="7946" max="8192" width="9" style="194"/>
    <col min="8193" max="8193" width="18.25" style="194" customWidth="1"/>
    <col min="8194" max="8194" width="11.625" style="194" customWidth="1"/>
    <col min="8195" max="8195" width="7.625" style="194" customWidth="1"/>
    <col min="8196" max="8199" width="8.625" style="194" customWidth="1"/>
    <col min="8200" max="8201" width="10.625" style="194" customWidth="1"/>
    <col min="8202" max="8448" width="9" style="194"/>
    <col min="8449" max="8449" width="18.25" style="194" customWidth="1"/>
    <col min="8450" max="8450" width="11.625" style="194" customWidth="1"/>
    <col min="8451" max="8451" width="7.625" style="194" customWidth="1"/>
    <col min="8452" max="8455" width="8.625" style="194" customWidth="1"/>
    <col min="8456" max="8457" width="10.625" style="194" customWidth="1"/>
    <col min="8458" max="8704" width="9" style="194"/>
    <col min="8705" max="8705" width="18.25" style="194" customWidth="1"/>
    <col min="8706" max="8706" width="11.625" style="194" customWidth="1"/>
    <col min="8707" max="8707" width="7.625" style="194" customWidth="1"/>
    <col min="8708" max="8711" width="8.625" style="194" customWidth="1"/>
    <col min="8712" max="8713" width="10.625" style="194" customWidth="1"/>
    <col min="8714" max="8960" width="9" style="194"/>
    <col min="8961" max="8961" width="18.25" style="194" customWidth="1"/>
    <col min="8962" max="8962" width="11.625" style="194" customWidth="1"/>
    <col min="8963" max="8963" width="7.625" style="194" customWidth="1"/>
    <col min="8964" max="8967" width="8.625" style="194" customWidth="1"/>
    <col min="8968" max="8969" width="10.625" style="194" customWidth="1"/>
    <col min="8970" max="9216" width="9" style="194"/>
    <col min="9217" max="9217" width="18.25" style="194" customWidth="1"/>
    <col min="9218" max="9218" width="11.625" style="194" customWidth="1"/>
    <col min="9219" max="9219" width="7.625" style="194" customWidth="1"/>
    <col min="9220" max="9223" width="8.625" style="194" customWidth="1"/>
    <col min="9224" max="9225" width="10.625" style="194" customWidth="1"/>
    <col min="9226" max="9472" width="9" style="194"/>
    <col min="9473" max="9473" width="18.25" style="194" customWidth="1"/>
    <col min="9474" max="9474" width="11.625" style="194" customWidth="1"/>
    <col min="9475" max="9475" width="7.625" style="194" customWidth="1"/>
    <col min="9476" max="9479" width="8.625" style="194" customWidth="1"/>
    <col min="9480" max="9481" width="10.625" style="194" customWidth="1"/>
    <col min="9482" max="9728" width="9" style="194"/>
    <col min="9729" max="9729" width="18.25" style="194" customWidth="1"/>
    <col min="9730" max="9730" width="11.625" style="194" customWidth="1"/>
    <col min="9731" max="9731" width="7.625" style="194" customWidth="1"/>
    <col min="9732" max="9735" width="8.625" style="194" customWidth="1"/>
    <col min="9736" max="9737" width="10.625" style="194" customWidth="1"/>
    <col min="9738" max="9984" width="9" style="194"/>
    <col min="9985" max="9985" width="18.25" style="194" customWidth="1"/>
    <col min="9986" max="9986" width="11.625" style="194" customWidth="1"/>
    <col min="9987" max="9987" width="7.625" style="194" customWidth="1"/>
    <col min="9988" max="9991" width="8.625" style="194" customWidth="1"/>
    <col min="9992" max="9993" width="10.625" style="194" customWidth="1"/>
    <col min="9994" max="10240" width="9" style="194"/>
    <col min="10241" max="10241" width="18.25" style="194" customWidth="1"/>
    <col min="10242" max="10242" width="11.625" style="194" customWidth="1"/>
    <col min="10243" max="10243" width="7.625" style="194" customWidth="1"/>
    <col min="10244" max="10247" width="8.625" style="194" customWidth="1"/>
    <col min="10248" max="10249" width="10.625" style="194" customWidth="1"/>
    <col min="10250" max="10496" width="9" style="194"/>
    <col min="10497" max="10497" width="18.25" style="194" customWidth="1"/>
    <col min="10498" max="10498" width="11.625" style="194" customWidth="1"/>
    <col min="10499" max="10499" width="7.625" style="194" customWidth="1"/>
    <col min="10500" max="10503" width="8.625" style="194" customWidth="1"/>
    <col min="10504" max="10505" width="10.625" style="194" customWidth="1"/>
    <col min="10506" max="10752" width="9" style="194"/>
    <col min="10753" max="10753" width="18.25" style="194" customWidth="1"/>
    <col min="10754" max="10754" width="11.625" style="194" customWidth="1"/>
    <col min="10755" max="10755" width="7.625" style="194" customWidth="1"/>
    <col min="10756" max="10759" width="8.625" style="194" customWidth="1"/>
    <col min="10760" max="10761" width="10.625" style="194" customWidth="1"/>
    <col min="10762" max="11008" width="9" style="194"/>
    <col min="11009" max="11009" width="18.25" style="194" customWidth="1"/>
    <col min="11010" max="11010" width="11.625" style="194" customWidth="1"/>
    <col min="11011" max="11011" width="7.625" style="194" customWidth="1"/>
    <col min="11012" max="11015" width="8.625" style="194" customWidth="1"/>
    <col min="11016" max="11017" width="10.625" style="194" customWidth="1"/>
    <col min="11018" max="11264" width="9" style="194"/>
    <col min="11265" max="11265" width="18.25" style="194" customWidth="1"/>
    <col min="11266" max="11266" width="11.625" style="194" customWidth="1"/>
    <col min="11267" max="11267" width="7.625" style="194" customWidth="1"/>
    <col min="11268" max="11271" width="8.625" style="194" customWidth="1"/>
    <col min="11272" max="11273" width="10.625" style="194" customWidth="1"/>
    <col min="11274" max="11520" width="9" style="194"/>
    <col min="11521" max="11521" width="18.25" style="194" customWidth="1"/>
    <col min="11522" max="11522" width="11.625" style="194" customWidth="1"/>
    <col min="11523" max="11523" width="7.625" style="194" customWidth="1"/>
    <col min="11524" max="11527" width="8.625" style="194" customWidth="1"/>
    <col min="11528" max="11529" width="10.625" style="194" customWidth="1"/>
    <col min="11530" max="11776" width="9" style="194"/>
    <col min="11777" max="11777" width="18.25" style="194" customWidth="1"/>
    <col min="11778" max="11778" width="11.625" style="194" customWidth="1"/>
    <col min="11779" max="11779" width="7.625" style="194" customWidth="1"/>
    <col min="11780" max="11783" width="8.625" style="194" customWidth="1"/>
    <col min="11784" max="11785" width="10.625" style="194" customWidth="1"/>
    <col min="11786" max="12032" width="9" style="194"/>
    <col min="12033" max="12033" width="18.25" style="194" customWidth="1"/>
    <col min="12034" max="12034" width="11.625" style="194" customWidth="1"/>
    <col min="12035" max="12035" width="7.625" style="194" customWidth="1"/>
    <col min="12036" max="12039" width="8.625" style="194" customWidth="1"/>
    <col min="12040" max="12041" width="10.625" style="194" customWidth="1"/>
    <col min="12042" max="12288" width="9" style="194"/>
    <col min="12289" max="12289" width="18.25" style="194" customWidth="1"/>
    <col min="12290" max="12290" width="11.625" style="194" customWidth="1"/>
    <col min="12291" max="12291" width="7.625" style="194" customWidth="1"/>
    <col min="12292" max="12295" width="8.625" style="194" customWidth="1"/>
    <col min="12296" max="12297" width="10.625" style="194" customWidth="1"/>
    <col min="12298" max="12544" width="9" style="194"/>
    <col min="12545" max="12545" width="18.25" style="194" customWidth="1"/>
    <col min="12546" max="12546" width="11.625" style="194" customWidth="1"/>
    <col min="12547" max="12547" width="7.625" style="194" customWidth="1"/>
    <col min="12548" max="12551" width="8.625" style="194" customWidth="1"/>
    <col min="12552" max="12553" width="10.625" style="194" customWidth="1"/>
    <col min="12554" max="12800" width="9" style="194"/>
    <col min="12801" max="12801" width="18.25" style="194" customWidth="1"/>
    <col min="12802" max="12802" width="11.625" style="194" customWidth="1"/>
    <col min="12803" max="12803" width="7.625" style="194" customWidth="1"/>
    <col min="12804" max="12807" width="8.625" style="194" customWidth="1"/>
    <col min="12808" max="12809" width="10.625" style="194" customWidth="1"/>
    <col min="12810" max="13056" width="9" style="194"/>
    <col min="13057" max="13057" width="18.25" style="194" customWidth="1"/>
    <col min="13058" max="13058" width="11.625" style="194" customWidth="1"/>
    <col min="13059" max="13059" width="7.625" style="194" customWidth="1"/>
    <col min="13060" max="13063" width="8.625" style="194" customWidth="1"/>
    <col min="13064" max="13065" width="10.625" style="194" customWidth="1"/>
    <col min="13066" max="13312" width="9" style="194"/>
    <col min="13313" max="13313" width="18.25" style="194" customWidth="1"/>
    <col min="13314" max="13314" width="11.625" style="194" customWidth="1"/>
    <col min="13315" max="13315" width="7.625" style="194" customWidth="1"/>
    <col min="13316" max="13319" width="8.625" style="194" customWidth="1"/>
    <col min="13320" max="13321" width="10.625" style="194" customWidth="1"/>
    <col min="13322" max="13568" width="9" style="194"/>
    <col min="13569" max="13569" width="18.25" style="194" customWidth="1"/>
    <col min="13570" max="13570" width="11.625" style="194" customWidth="1"/>
    <col min="13571" max="13571" width="7.625" style="194" customWidth="1"/>
    <col min="13572" max="13575" width="8.625" style="194" customWidth="1"/>
    <col min="13576" max="13577" width="10.625" style="194" customWidth="1"/>
    <col min="13578" max="13824" width="9" style="194"/>
    <col min="13825" max="13825" width="18.25" style="194" customWidth="1"/>
    <col min="13826" max="13826" width="11.625" style="194" customWidth="1"/>
    <col min="13827" max="13827" width="7.625" style="194" customWidth="1"/>
    <col min="13828" max="13831" width="8.625" style="194" customWidth="1"/>
    <col min="13832" max="13833" width="10.625" style="194" customWidth="1"/>
    <col min="13834" max="14080" width="9" style="194"/>
    <col min="14081" max="14081" width="18.25" style="194" customWidth="1"/>
    <col min="14082" max="14082" width="11.625" style="194" customWidth="1"/>
    <col min="14083" max="14083" width="7.625" style="194" customWidth="1"/>
    <col min="14084" max="14087" width="8.625" style="194" customWidth="1"/>
    <col min="14088" max="14089" width="10.625" style="194" customWidth="1"/>
    <col min="14090" max="14336" width="9" style="194"/>
    <col min="14337" max="14337" width="18.25" style="194" customWidth="1"/>
    <col min="14338" max="14338" width="11.625" style="194" customWidth="1"/>
    <col min="14339" max="14339" width="7.625" style="194" customWidth="1"/>
    <col min="14340" max="14343" width="8.625" style="194" customWidth="1"/>
    <col min="14344" max="14345" width="10.625" style="194" customWidth="1"/>
    <col min="14346" max="14592" width="9" style="194"/>
    <col min="14593" max="14593" width="18.25" style="194" customWidth="1"/>
    <col min="14594" max="14594" width="11.625" style="194" customWidth="1"/>
    <col min="14595" max="14595" width="7.625" style="194" customWidth="1"/>
    <col min="14596" max="14599" width="8.625" style="194" customWidth="1"/>
    <col min="14600" max="14601" width="10.625" style="194" customWidth="1"/>
    <col min="14602" max="14848" width="9" style="194"/>
    <col min="14849" max="14849" width="18.25" style="194" customWidth="1"/>
    <col min="14850" max="14850" width="11.625" style="194" customWidth="1"/>
    <col min="14851" max="14851" width="7.625" style="194" customWidth="1"/>
    <col min="14852" max="14855" width="8.625" style="194" customWidth="1"/>
    <col min="14856" max="14857" width="10.625" style="194" customWidth="1"/>
    <col min="14858" max="15104" width="9" style="194"/>
    <col min="15105" max="15105" width="18.25" style="194" customWidth="1"/>
    <col min="15106" max="15106" width="11.625" style="194" customWidth="1"/>
    <col min="15107" max="15107" width="7.625" style="194" customWidth="1"/>
    <col min="15108" max="15111" width="8.625" style="194" customWidth="1"/>
    <col min="15112" max="15113" width="10.625" style="194" customWidth="1"/>
    <col min="15114" max="15360" width="9" style="194"/>
    <col min="15361" max="15361" width="18.25" style="194" customWidth="1"/>
    <col min="15362" max="15362" width="11.625" style="194" customWidth="1"/>
    <col min="15363" max="15363" width="7.625" style="194" customWidth="1"/>
    <col min="15364" max="15367" width="8.625" style="194" customWidth="1"/>
    <col min="15368" max="15369" width="10.625" style="194" customWidth="1"/>
    <col min="15370" max="15616" width="9" style="194"/>
    <col min="15617" max="15617" width="18.25" style="194" customWidth="1"/>
    <col min="15618" max="15618" width="11.625" style="194" customWidth="1"/>
    <col min="15619" max="15619" width="7.625" style="194" customWidth="1"/>
    <col min="15620" max="15623" width="8.625" style="194" customWidth="1"/>
    <col min="15624" max="15625" width="10.625" style="194" customWidth="1"/>
    <col min="15626" max="15872" width="9" style="194"/>
    <col min="15873" max="15873" width="18.25" style="194" customWidth="1"/>
    <col min="15874" max="15874" width="11.625" style="194" customWidth="1"/>
    <col min="15875" max="15875" width="7.625" style="194" customWidth="1"/>
    <col min="15876" max="15879" width="8.625" style="194" customWidth="1"/>
    <col min="15880" max="15881" width="10.625" style="194" customWidth="1"/>
    <col min="15882" max="16128" width="9" style="194"/>
    <col min="16129" max="16129" width="18.25" style="194" customWidth="1"/>
    <col min="16130" max="16130" width="11.625" style="194" customWidth="1"/>
    <col min="16131" max="16131" width="7.625" style="194" customWidth="1"/>
    <col min="16132" max="16135" width="8.625" style="194" customWidth="1"/>
    <col min="16136" max="16137" width="10.625" style="194" customWidth="1"/>
    <col min="16138" max="16384" width="9" style="194"/>
  </cols>
  <sheetData>
    <row r="1" spans="1:11" ht="18" customHeight="1"/>
    <row r="2" spans="1:11" ht="30" customHeight="1">
      <c r="A2" s="577" t="s">
        <v>472</v>
      </c>
      <c r="B2" s="577"/>
      <c r="C2" s="577"/>
      <c r="D2" s="577"/>
      <c r="E2" s="577"/>
      <c r="F2" s="577"/>
      <c r="G2" s="577"/>
      <c r="H2" s="577"/>
      <c r="I2" s="577"/>
    </row>
    <row r="3" spans="1:11" ht="18" customHeight="1">
      <c r="G3" s="255"/>
      <c r="H3" s="256"/>
    </row>
    <row r="4" spans="1:11" ht="18" customHeight="1">
      <c r="H4" s="257"/>
    </row>
    <row r="5" spans="1:11" ht="24.75" customHeight="1">
      <c r="A5" s="570" t="s">
        <v>473</v>
      </c>
      <c r="B5" s="571"/>
      <c r="C5" s="571"/>
      <c r="D5" s="572"/>
      <c r="E5" s="578" t="str">
        <f>Input!D18</f>
        <v>THAI BINH 1 THERMAL POWER PLANT</v>
      </c>
      <c r="F5" s="579"/>
      <c r="G5" s="579"/>
      <c r="H5" s="579"/>
      <c r="I5" s="580"/>
    </row>
    <row r="6" spans="1:11" ht="24.75" customHeight="1">
      <c r="A6" s="570" t="s">
        <v>474</v>
      </c>
      <c r="B6" s="571"/>
      <c r="C6" s="571"/>
      <c r="D6" s="572"/>
      <c r="E6" s="578" t="str">
        <f>Input!D26&amp;"　　"&amp;Input!D29</f>
        <v>ESP　　ESP Inlet</v>
      </c>
      <c r="F6" s="579"/>
      <c r="G6" s="579"/>
      <c r="H6" s="579"/>
      <c r="I6" s="580"/>
    </row>
    <row r="7" spans="1:11" ht="24.75" customHeight="1">
      <c r="A7" s="570" t="s">
        <v>475</v>
      </c>
      <c r="B7" s="571"/>
      <c r="C7" s="571"/>
      <c r="D7" s="572"/>
      <c r="E7" s="573">
        <f>Input!C5</f>
        <v>43074</v>
      </c>
      <c r="F7" s="574"/>
      <c r="G7" s="574"/>
      <c r="H7" s="575" t="s">
        <v>476</v>
      </c>
      <c r="I7" s="576"/>
    </row>
    <row r="8" spans="1:11" ht="24.75" customHeight="1">
      <c r="A8" s="561" t="s">
        <v>477</v>
      </c>
      <c r="B8" s="561"/>
      <c r="C8" s="258" t="s">
        <v>478</v>
      </c>
      <c r="D8" s="259" t="s">
        <v>432</v>
      </c>
      <c r="E8" s="562" t="s">
        <v>479</v>
      </c>
      <c r="F8" s="562"/>
      <c r="G8" s="562"/>
      <c r="H8" s="563" t="s">
        <v>480</v>
      </c>
      <c r="I8" s="564"/>
    </row>
    <row r="9" spans="1:11" ht="24.75" customHeight="1">
      <c r="A9" s="517" t="s">
        <v>481</v>
      </c>
      <c r="B9" s="517"/>
      <c r="C9" s="260" t="s">
        <v>482</v>
      </c>
      <c r="D9" s="261" t="s">
        <v>483</v>
      </c>
      <c r="E9" s="565"/>
      <c r="F9" s="566"/>
      <c r="G9" s="567"/>
      <c r="H9" s="568" t="s">
        <v>337</v>
      </c>
      <c r="I9" s="569"/>
      <c r="K9" s="262"/>
    </row>
    <row r="10" spans="1:11" ht="24.75" customHeight="1">
      <c r="A10" s="517" t="s">
        <v>484</v>
      </c>
      <c r="B10" s="517"/>
      <c r="C10" s="260" t="s">
        <v>485</v>
      </c>
      <c r="D10" s="261" t="s">
        <v>483</v>
      </c>
      <c r="E10" s="558"/>
      <c r="F10" s="559"/>
      <c r="G10" s="560"/>
      <c r="H10" s="542" t="s">
        <v>337</v>
      </c>
      <c r="I10" s="543"/>
    </row>
    <row r="11" spans="1:11" ht="24.75" customHeight="1">
      <c r="A11" s="517" t="s">
        <v>486</v>
      </c>
      <c r="B11" s="517"/>
      <c r="C11" s="260" t="s">
        <v>487</v>
      </c>
      <c r="D11" s="261" t="s">
        <v>488</v>
      </c>
      <c r="E11" s="539"/>
      <c r="F11" s="540"/>
      <c r="G11" s="541"/>
      <c r="H11" s="542" t="s">
        <v>337</v>
      </c>
      <c r="I11" s="543"/>
    </row>
    <row r="12" spans="1:11" ht="24.75" customHeight="1">
      <c r="A12" s="517" t="s">
        <v>489</v>
      </c>
      <c r="B12" s="517"/>
      <c r="C12" s="260" t="s">
        <v>490</v>
      </c>
      <c r="D12" s="263" t="s">
        <v>491</v>
      </c>
      <c r="E12" s="552"/>
      <c r="F12" s="553"/>
      <c r="G12" s="554"/>
      <c r="H12" s="542" t="s">
        <v>337</v>
      </c>
      <c r="I12" s="543"/>
    </row>
    <row r="13" spans="1:11" ht="24.75" customHeight="1">
      <c r="A13" s="517" t="s">
        <v>492</v>
      </c>
      <c r="B13" s="517"/>
      <c r="C13" s="260" t="s">
        <v>493</v>
      </c>
      <c r="D13" s="263" t="s">
        <v>494</v>
      </c>
      <c r="E13" s="555"/>
      <c r="F13" s="556"/>
      <c r="G13" s="557"/>
      <c r="H13" s="542" t="s">
        <v>337</v>
      </c>
      <c r="I13" s="543"/>
    </row>
    <row r="14" spans="1:11" ht="24.75" customHeight="1">
      <c r="A14" s="546" t="s">
        <v>348</v>
      </c>
      <c r="B14" s="547"/>
      <c r="C14" s="260" t="s">
        <v>495</v>
      </c>
      <c r="D14" s="264" t="s">
        <v>496</v>
      </c>
      <c r="E14" s="539"/>
      <c r="F14" s="540"/>
      <c r="G14" s="541"/>
      <c r="H14" s="542" t="s">
        <v>337</v>
      </c>
      <c r="I14" s="543"/>
    </row>
    <row r="15" spans="1:11" ht="24.75" customHeight="1">
      <c r="A15" s="548"/>
      <c r="B15" s="549"/>
      <c r="C15" s="260" t="s">
        <v>497</v>
      </c>
      <c r="D15" s="264" t="s">
        <v>496</v>
      </c>
      <c r="E15" s="539"/>
      <c r="F15" s="540"/>
      <c r="G15" s="541"/>
      <c r="H15" s="542" t="s">
        <v>337</v>
      </c>
      <c r="I15" s="543"/>
    </row>
    <row r="16" spans="1:11" ht="24.75" customHeight="1">
      <c r="A16" s="548"/>
      <c r="B16" s="549"/>
      <c r="C16" s="260" t="s">
        <v>498</v>
      </c>
      <c r="D16" s="264" t="s">
        <v>496</v>
      </c>
      <c r="E16" s="539"/>
      <c r="F16" s="540"/>
      <c r="G16" s="541"/>
      <c r="H16" s="542" t="s">
        <v>337</v>
      </c>
      <c r="I16" s="543"/>
      <c r="J16" s="265"/>
      <c r="K16" s="265"/>
    </row>
    <row r="17" spans="1:11" ht="24.75" customHeight="1">
      <c r="A17" s="550"/>
      <c r="B17" s="551"/>
      <c r="C17" s="260" t="s">
        <v>499</v>
      </c>
      <c r="D17" s="264" t="s">
        <v>496</v>
      </c>
      <c r="E17" s="539"/>
      <c r="F17" s="540"/>
      <c r="G17" s="541"/>
      <c r="H17" s="542" t="s">
        <v>337</v>
      </c>
      <c r="I17" s="543"/>
      <c r="J17" s="265"/>
      <c r="K17" s="265"/>
    </row>
    <row r="18" spans="1:11" ht="24.75" customHeight="1">
      <c r="A18" s="537" t="s">
        <v>500</v>
      </c>
      <c r="B18" s="538"/>
      <c r="C18" s="260" t="s">
        <v>501</v>
      </c>
      <c r="D18" s="264" t="s">
        <v>496</v>
      </c>
      <c r="E18" s="539"/>
      <c r="F18" s="540"/>
      <c r="G18" s="541"/>
      <c r="H18" s="542" t="s">
        <v>337</v>
      </c>
      <c r="I18" s="543"/>
      <c r="J18" s="266"/>
      <c r="K18" s="266"/>
    </row>
    <row r="19" spans="1:11" ht="24.75" customHeight="1">
      <c r="A19" s="544" t="s">
        <v>86</v>
      </c>
      <c r="B19" s="267" t="s">
        <v>437</v>
      </c>
      <c r="C19" s="260" t="s">
        <v>502</v>
      </c>
      <c r="D19" s="261" t="s">
        <v>436</v>
      </c>
      <c r="E19" s="508"/>
      <c r="F19" s="509"/>
      <c r="G19" s="510"/>
      <c r="H19" s="525">
        <v>200</v>
      </c>
      <c r="I19" s="526"/>
      <c r="J19" s="268"/>
      <c r="K19" s="268"/>
    </row>
    <row r="20" spans="1:11" ht="24.75" customHeight="1">
      <c r="A20" s="545"/>
      <c r="B20" s="269" t="s">
        <v>88</v>
      </c>
      <c r="C20" s="260" t="s">
        <v>359</v>
      </c>
      <c r="D20" s="261" t="s">
        <v>436</v>
      </c>
      <c r="E20" s="534"/>
      <c r="F20" s="535"/>
      <c r="G20" s="536"/>
      <c r="H20" s="529"/>
      <c r="I20" s="530"/>
      <c r="J20" s="268"/>
      <c r="K20" s="268"/>
    </row>
    <row r="21" spans="1:11" ht="24.75" hidden="1" customHeight="1">
      <c r="A21" s="523" t="s">
        <v>446</v>
      </c>
      <c r="B21" s="267" t="s">
        <v>503</v>
      </c>
      <c r="C21" s="260" t="s">
        <v>502</v>
      </c>
      <c r="D21" s="261" t="s">
        <v>436</v>
      </c>
      <c r="E21" s="499"/>
      <c r="F21" s="500"/>
      <c r="G21" s="501"/>
      <c r="H21" s="525">
        <v>500</v>
      </c>
      <c r="I21" s="531"/>
      <c r="J21" s="268"/>
      <c r="K21" s="268"/>
    </row>
    <row r="22" spans="1:11" ht="24.75" hidden="1" customHeight="1">
      <c r="A22" s="524"/>
      <c r="B22" s="269" t="s">
        <v>88</v>
      </c>
      <c r="C22" s="260" t="s">
        <v>359</v>
      </c>
      <c r="D22" s="261" t="s">
        <v>436</v>
      </c>
      <c r="E22" s="534"/>
      <c r="F22" s="535"/>
      <c r="G22" s="536"/>
      <c r="H22" s="527"/>
      <c r="I22" s="532"/>
      <c r="J22" s="268"/>
      <c r="K22" s="268"/>
    </row>
    <row r="23" spans="1:11" ht="24.75" hidden="1" customHeight="1">
      <c r="A23" s="523" t="s">
        <v>504</v>
      </c>
      <c r="B23" s="269" t="s">
        <v>452</v>
      </c>
      <c r="C23" s="260" t="s">
        <v>502</v>
      </c>
      <c r="D23" s="261" t="s">
        <v>436</v>
      </c>
      <c r="E23" s="499"/>
      <c r="F23" s="500"/>
      <c r="G23" s="501"/>
      <c r="H23" s="527"/>
      <c r="I23" s="532"/>
      <c r="J23" s="268"/>
      <c r="K23" s="268"/>
    </row>
    <row r="24" spans="1:11" ht="24.75" hidden="1" customHeight="1">
      <c r="A24" s="524"/>
      <c r="B24" s="269" t="s">
        <v>88</v>
      </c>
      <c r="C24" s="260" t="s">
        <v>359</v>
      </c>
      <c r="D24" s="261" t="s">
        <v>436</v>
      </c>
      <c r="E24" s="534"/>
      <c r="F24" s="535"/>
      <c r="G24" s="536"/>
      <c r="H24" s="529"/>
      <c r="I24" s="533"/>
      <c r="J24" s="268"/>
      <c r="K24" s="268"/>
    </row>
    <row r="25" spans="1:11" ht="24.75" hidden="1" customHeight="1">
      <c r="A25" s="517" t="s">
        <v>505</v>
      </c>
      <c r="B25" s="517"/>
      <c r="C25" s="260" t="s">
        <v>502</v>
      </c>
      <c r="D25" s="261" t="s">
        <v>436</v>
      </c>
      <c r="E25" s="518"/>
      <c r="F25" s="519"/>
      <c r="G25" s="520"/>
      <c r="H25" s="521">
        <v>850</v>
      </c>
      <c r="I25" s="522"/>
      <c r="J25" s="268"/>
      <c r="K25" s="268"/>
    </row>
    <row r="26" spans="1:11" ht="24.75" hidden="1" customHeight="1">
      <c r="A26" s="523" t="s">
        <v>458</v>
      </c>
      <c r="B26" s="267" t="s">
        <v>503</v>
      </c>
      <c r="C26" s="260" t="s">
        <v>502</v>
      </c>
      <c r="D26" s="261" t="s">
        <v>436</v>
      </c>
      <c r="E26" s="508"/>
      <c r="F26" s="509"/>
      <c r="G26" s="510"/>
      <c r="H26" s="525">
        <v>850</v>
      </c>
      <c r="I26" s="526"/>
      <c r="J26" s="268"/>
      <c r="K26" s="268"/>
    </row>
    <row r="27" spans="1:11" ht="24.75" hidden="1" customHeight="1">
      <c r="A27" s="524"/>
      <c r="B27" s="269" t="s">
        <v>88</v>
      </c>
      <c r="C27" s="260" t="s">
        <v>359</v>
      </c>
      <c r="D27" s="261" t="s">
        <v>436</v>
      </c>
      <c r="E27" s="508"/>
      <c r="F27" s="509"/>
      <c r="G27" s="510"/>
      <c r="H27" s="527"/>
      <c r="I27" s="528"/>
      <c r="J27" s="268"/>
      <c r="K27" s="268"/>
    </row>
    <row r="28" spans="1:11" ht="24.75" hidden="1" customHeight="1">
      <c r="A28" s="523" t="s">
        <v>506</v>
      </c>
      <c r="B28" s="269" t="s">
        <v>452</v>
      </c>
      <c r="C28" s="260" t="s">
        <v>502</v>
      </c>
      <c r="D28" s="261" t="s">
        <v>436</v>
      </c>
      <c r="E28" s="508"/>
      <c r="F28" s="509"/>
      <c r="G28" s="510"/>
      <c r="H28" s="527"/>
      <c r="I28" s="528"/>
      <c r="J28" s="268"/>
      <c r="K28" s="268"/>
    </row>
    <row r="29" spans="1:11" ht="24.75" hidden="1" customHeight="1">
      <c r="A29" s="524"/>
      <c r="B29" s="269" t="s">
        <v>88</v>
      </c>
      <c r="C29" s="260" t="s">
        <v>359</v>
      </c>
      <c r="D29" s="261" t="s">
        <v>436</v>
      </c>
      <c r="E29" s="508"/>
      <c r="F29" s="509"/>
      <c r="G29" s="510"/>
      <c r="H29" s="529"/>
      <c r="I29" s="530"/>
      <c r="J29" s="268"/>
      <c r="K29" s="268"/>
    </row>
    <row r="30" spans="1:11" ht="24.75" hidden="1" customHeight="1">
      <c r="A30" s="506" t="s">
        <v>507</v>
      </c>
      <c r="B30" s="269" t="s">
        <v>452</v>
      </c>
      <c r="C30" s="260" t="s">
        <v>502</v>
      </c>
      <c r="D30" s="261" t="s">
        <v>436</v>
      </c>
      <c r="E30" s="508"/>
      <c r="F30" s="509"/>
      <c r="G30" s="510"/>
      <c r="H30" s="511">
        <v>1000</v>
      </c>
      <c r="I30" s="512"/>
      <c r="J30" s="268"/>
      <c r="K30" s="268"/>
    </row>
    <row r="31" spans="1:11" ht="24.75" hidden="1" customHeight="1">
      <c r="A31" s="507"/>
      <c r="B31" s="269" t="s">
        <v>88</v>
      </c>
      <c r="C31" s="260" t="s">
        <v>359</v>
      </c>
      <c r="D31" s="261" t="s">
        <v>436</v>
      </c>
      <c r="E31" s="508"/>
      <c r="F31" s="509"/>
      <c r="G31" s="510"/>
      <c r="H31" s="513"/>
      <c r="I31" s="514"/>
      <c r="J31" s="268"/>
      <c r="K31" s="268"/>
    </row>
    <row r="32" spans="1:11" ht="38.25" hidden="1" customHeight="1">
      <c r="A32" s="270" t="s">
        <v>508</v>
      </c>
      <c r="B32" s="271" t="s">
        <v>509</v>
      </c>
      <c r="C32" s="260" t="s">
        <v>502</v>
      </c>
      <c r="D32" s="261" t="s">
        <v>51</v>
      </c>
      <c r="E32" s="499"/>
      <c r="F32" s="500"/>
      <c r="G32" s="501"/>
      <c r="H32" s="515" t="s">
        <v>337</v>
      </c>
      <c r="I32" s="516"/>
      <c r="J32" s="268"/>
      <c r="K32" s="268"/>
    </row>
    <row r="33" spans="1:11" ht="24.75" hidden="1" customHeight="1">
      <c r="A33" s="270" t="s">
        <v>510</v>
      </c>
      <c r="B33" s="271" t="s">
        <v>509</v>
      </c>
      <c r="C33" s="260" t="s">
        <v>511</v>
      </c>
      <c r="D33" s="261" t="s">
        <v>51</v>
      </c>
      <c r="E33" s="499"/>
      <c r="F33" s="500"/>
      <c r="G33" s="501"/>
      <c r="H33" s="502" t="s">
        <v>337</v>
      </c>
      <c r="I33" s="503"/>
      <c r="J33" s="268"/>
      <c r="K33" s="268"/>
    </row>
    <row r="34" spans="1:11" ht="21.75" customHeight="1">
      <c r="A34" s="504" t="s">
        <v>512</v>
      </c>
      <c r="B34" s="505"/>
      <c r="C34" s="272" t="str">
        <f>Input!D28</f>
        <v>ESP</v>
      </c>
      <c r="D34" s="273"/>
      <c r="E34" s="273"/>
      <c r="F34" s="273"/>
      <c r="G34" s="273"/>
      <c r="H34" s="274"/>
      <c r="I34" s="275"/>
      <c r="J34" s="265"/>
      <c r="K34" s="265"/>
    </row>
    <row r="35" spans="1:11" ht="12.75" customHeight="1">
      <c r="A35" s="276"/>
      <c r="B35" s="277"/>
      <c r="C35" s="278"/>
      <c r="D35" s="277"/>
      <c r="E35" s="277"/>
      <c r="F35" s="277"/>
      <c r="G35" s="277"/>
      <c r="H35" s="277"/>
      <c r="I35" s="279"/>
    </row>
    <row r="36" spans="1:11" ht="6" customHeight="1">
      <c r="A36" s="280"/>
      <c r="B36" s="280"/>
      <c r="C36" s="281"/>
      <c r="D36" s="280"/>
      <c r="E36" s="280"/>
      <c r="F36" s="280"/>
      <c r="G36" s="280"/>
      <c r="H36" s="280"/>
      <c r="I36" s="282"/>
    </row>
    <row r="37" spans="1:11" ht="12.75" customHeight="1">
      <c r="A37" s="283" t="s">
        <v>513</v>
      </c>
      <c r="B37" s="280"/>
      <c r="C37" s="281"/>
      <c r="D37" s="280"/>
      <c r="E37" s="280"/>
      <c r="F37" s="280"/>
      <c r="G37" s="280"/>
      <c r="H37" s="280"/>
    </row>
    <row r="38" spans="1:11" ht="12.75" customHeight="1">
      <c r="A38" s="283"/>
      <c r="B38" s="280"/>
      <c r="C38" s="281"/>
      <c r="D38" s="280"/>
      <c r="E38" s="280"/>
      <c r="F38" s="280"/>
      <c r="G38" s="280"/>
      <c r="H38" s="280"/>
    </row>
    <row r="39" spans="1:11" ht="12.75" customHeight="1">
      <c r="A39" s="283"/>
      <c r="B39" s="280"/>
      <c r="C39" s="281"/>
      <c r="D39" s="280"/>
      <c r="E39" s="280"/>
      <c r="F39" s="280"/>
      <c r="G39" s="280"/>
      <c r="H39" s="280"/>
    </row>
    <row r="40" spans="1:11" ht="12.75" customHeight="1">
      <c r="A40" s="283"/>
      <c r="B40" s="280"/>
      <c r="C40" s="281"/>
      <c r="D40" s="280"/>
      <c r="E40" s="280"/>
      <c r="F40" s="280"/>
      <c r="G40" s="280"/>
      <c r="H40" s="280"/>
    </row>
    <row r="41" spans="1:11" ht="12.75" customHeight="1">
      <c r="A41" s="283"/>
      <c r="B41" s="280"/>
      <c r="C41" s="281"/>
      <c r="D41" s="280"/>
      <c r="E41" s="280"/>
      <c r="F41" s="280"/>
      <c r="G41" s="280"/>
      <c r="H41" s="280"/>
    </row>
    <row r="42" spans="1:11" ht="12.75" customHeight="1">
      <c r="A42" s="284"/>
      <c r="B42" s="280"/>
      <c r="C42" s="281"/>
      <c r="D42" s="280"/>
      <c r="E42" s="280"/>
      <c r="F42" s="280"/>
      <c r="G42" s="280"/>
      <c r="H42" s="280"/>
    </row>
    <row r="43" spans="1:11" ht="12.75" customHeight="1">
      <c r="A43" s="250"/>
      <c r="B43" s="280"/>
      <c r="C43" s="281"/>
      <c r="D43" s="280"/>
      <c r="E43" s="280"/>
      <c r="F43" s="280"/>
      <c r="G43" s="280"/>
      <c r="H43" s="280"/>
    </row>
    <row r="44" spans="1:11">
      <c r="A44" s="197"/>
    </row>
  </sheetData>
  <mergeCells count="68">
    <mergeCell ref="A7:D7"/>
    <mergeCell ref="E7:G7"/>
    <mergeCell ref="H7:I7"/>
    <mergeCell ref="A2:I2"/>
    <mergeCell ref="A5:D5"/>
    <mergeCell ref="E5:I5"/>
    <mergeCell ref="A6:D6"/>
    <mergeCell ref="E6:I6"/>
    <mergeCell ref="A8:B8"/>
    <mergeCell ref="E8:G8"/>
    <mergeCell ref="H8:I8"/>
    <mergeCell ref="A9:B9"/>
    <mergeCell ref="E9:G9"/>
    <mergeCell ref="H9:I9"/>
    <mergeCell ref="A10:B10"/>
    <mergeCell ref="E10:G10"/>
    <mergeCell ref="H10:I10"/>
    <mergeCell ref="A11:B11"/>
    <mergeCell ref="E11:G11"/>
    <mergeCell ref="H11:I11"/>
    <mergeCell ref="A12:B12"/>
    <mergeCell ref="E12:G12"/>
    <mergeCell ref="H12:I12"/>
    <mergeCell ref="A13:B13"/>
    <mergeCell ref="E13:G13"/>
    <mergeCell ref="H13:I13"/>
    <mergeCell ref="A14:B17"/>
    <mergeCell ref="E14:G14"/>
    <mergeCell ref="H14:I14"/>
    <mergeCell ref="E15:G15"/>
    <mergeCell ref="H15:I15"/>
    <mergeCell ref="E16:G16"/>
    <mergeCell ref="H16:I16"/>
    <mergeCell ref="E17:G17"/>
    <mergeCell ref="H17:I17"/>
    <mergeCell ref="A18:B18"/>
    <mergeCell ref="E18:G18"/>
    <mergeCell ref="H18:I18"/>
    <mergeCell ref="A19:A20"/>
    <mergeCell ref="E19:G19"/>
    <mergeCell ref="H19:I20"/>
    <mergeCell ref="E20:G20"/>
    <mergeCell ref="A21:A22"/>
    <mergeCell ref="E21:G21"/>
    <mergeCell ref="H21:I24"/>
    <mergeCell ref="E22:G22"/>
    <mergeCell ref="A23:A24"/>
    <mergeCell ref="E23:G23"/>
    <mergeCell ref="E24:G24"/>
    <mergeCell ref="A25:B25"/>
    <mergeCell ref="E25:G25"/>
    <mergeCell ref="H25:I25"/>
    <mergeCell ref="A26:A27"/>
    <mergeCell ref="E26:G26"/>
    <mergeCell ref="H26:I29"/>
    <mergeCell ref="E27:G27"/>
    <mergeCell ref="A28:A29"/>
    <mergeCell ref="E28:G28"/>
    <mergeCell ref="E29:G29"/>
    <mergeCell ref="E33:G33"/>
    <mergeCell ref="H33:I33"/>
    <mergeCell ref="A34:B34"/>
    <mergeCell ref="A30:A31"/>
    <mergeCell ref="E30:G30"/>
    <mergeCell ref="H30:I31"/>
    <mergeCell ref="E31:G31"/>
    <mergeCell ref="E32:G32"/>
    <mergeCell ref="H32:I32"/>
  </mergeCells>
  <pageMargins left="0.78740157480314965" right="0.27559055118110237" top="0.57999999999999996" bottom="0.35433070866141736" header="0.51181102362204722" footer="0.31496062992125984"/>
  <pageSetup paperSize="9" scale="84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H93"/>
  <sheetViews>
    <sheetView view="pageBreakPreview" zoomScale="85" zoomScaleNormal="100" zoomScaleSheetLayoutView="85" workbookViewId="0">
      <selection activeCell="M2" sqref="M2"/>
    </sheetView>
  </sheetViews>
  <sheetFormatPr defaultColWidth="2.5" defaultRowHeight="15.75" customHeight="1"/>
  <cols>
    <col min="1" max="16384" width="2.5" style="194"/>
  </cols>
  <sheetData>
    <row r="2" spans="1:60" ht="15.75" customHeight="1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 t="s">
        <v>514</v>
      </c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306"/>
      <c r="AW2" s="306"/>
      <c r="AX2" s="306"/>
      <c r="AY2" s="306"/>
      <c r="AZ2" s="306"/>
      <c r="BA2" s="306"/>
      <c r="BB2" s="306"/>
      <c r="BC2" s="306"/>
      <c r="BD2" s="306"/>
      <c r="BE2" s="306"/>
      <c r="BF2" s="306"/>
      <c r="BG2" s="306"/>
      <c r="BH2" s="306"/>
    </row>
    <row r="5" spans="1:60" ht="15.75" customHeight="1">
      <c r="A5" s="286"/>
      <c r="B5" s="285" t="s">
        <v>515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O5" s="286"/>
      <c r="P5" s="286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6"/>
      <c r="AG5" s="286"/>
      <c r="AH5" s="286"/>
      <c r="AI5" s="286"/>
      <c r="AJ5" s="286"/>
      <c r="AK5" s="286"/>
      <c r="AL5" s="286"/>
      <c r="AM5" s="286"/>
      <c r="AN5" s="286"/>
      <c r="AO5" s="286"/>
      <c r="AP5" s="286"/>
      <c r="AQ5" s="286"/>
      <c r="AR5" s="286"/>
      <c r="AS5" s="286"/>
      <c r="AT5" s="286"/>
      <c r="AU5" s="286"/>
      <c r="AV5" s="286"/>
      <c r="AW5" s="286"/>
      <c r="AX5" s="286"/>
      <c r="AY5" s="286"/>
      <c r="AZ5" s="286"/>
      <c r="BA5" s="286"/>
      <c r="BB5" s="286"/>
      <c r="BC5" s="286"/>
      <c r="BD5" s="286"/>
      <c r="BE5" s="286"/>
      <c r="BF5" s="286"/>
      <c r="BG5" s="286"/>
    </row>
    <row r="7" spans="1:60" ht="15.75" customHeight="1">
      <c r="AF7" s="280"/>
      <c r="AG7" s="280"/>
      <c r="AH7" s="280"/>
      <c r="AI7" s="280"/>
      <c r="AJ7" s="280"/>
      <c r="AK7" s="280"/>
      <c r="AL7" s="280"/>
      <c r="AM7" s="280"/>
      <c r="AN7" s="280"/>
      <c r="AO7" s="280"/>
      <c r="AP7" s="280"/>
      <c r="AQ7" s="280"/>
      <c r="AR7" s="280"/>
      <c r="AS7" s="280"/>
      <c r="AT7" s="280"/>
      <c r="AU7" s="280"/>
      <c r="AV7" s="287"/>
      <c r="AW7" s="287"/>
      <c r="AX7" s="287"/>
      <c r="AY7" s="287"/>
      <c r="AZ7" s="287"/>
      <c r="BA7" s="287"/>
      <c r="BB7" s="287"/>
      <c r="BC7" s="227"/>
      <c r="BD7" s="227"/>
      <c r="BE7" s="227"/>
      <c r="BF7" s="227"/>
      <c r="BG7" s="227"/>
      <c r="BH7" s="227"/>
    </row>
    <row r="8" spans="1:60" ht="15.75" customHeight="1">
      <c r="AF8" s="280"/>
      <c r="AG8" s="280"/>
      <c r="AH8" s="280"/>
      <c r="AI8" s="280"/>
      <c r="AJ8" s="280"/>
      <c r="AK8" s="280"/>
      <c r="AL8" s="280"/>
      <c r="AM8" s="280"/>
      <c r="AN8" s="280"/>
      <c r="AO8" s="280"/>
      <c r="AP8" s="280"/>
      <c r="AQ8" s="280"/>
      <c r="AR8" s="280"/>
      <c r="AS8" s="280"/>
      <c r="AT8" s="280"/>
      <c r="AU8" s="280"/>
      <c r="AV8" s="287"/>
      <c r="AW8" s="287"/>
      <c r="AX8" s="287"/>
      <c r="AY8" s="287"/>
      <c r="AZ8" s="287"/>
      <c r="BA8" s="287"/>
      <c r="BB8" s="287"/>
      <c r="BC8" s="227"/>
      <c r="BD8" s="227"/>
      <c r="BE8" s="227"/>
      <c r="BF8" s="227"/>
      <c r="BG8" s="227"/>
      <c r="BH8" s="227"/>
    </row>
    <row r="9" spans="1:60" ht="15.75" customHeight="1">
      <c r="AF9" s="288"/>
      <c r="AG9" s="288"/>
      <c r="AH9" s="288"/>
      <c r="AI9" s="288"/>
      <c r="AJ9" s="288"/>
      <c r="AK9" s="288"/>
      <c r="AL9" s="288"/>
      <c r="AM9" s="288"/>
      <c r="AN9" s="288"/>
      <c r="AO9" s="288"/>
      <c r="AP9" s="288"/>
      <c r="AQ9" s="288"/>
      <c r="AR9" s="288"/>
      <c r="AS9" s="288"/>
      <c r="AT9" s="288"/>
      <c r="AU9" s="288"/>
      <c r="AV9" s="289"/>
      <c r="AW9" s="289"/>
      <c r="AX9" s="289"/>
      <c r="AY9" s="289"/>
      <c r="AZ9" s="289"/>
      <c r="BA9" s="289"/>
      <c r="BB9" s="289"/>
      <c r="BC9" s="288"/>
      <c r="BD9" s="288"/>
      <c r="BE9" s="288"/>
      <c r="BF9" s="288"/>
      <c r="BG9" s="288"/>
      <c r="BH9" s="288"/>
    </row>
    <row r="10" spans="1:60" ht="15.75" customHeight="1">
      <c r="AF10" s="288"/>
      <c r="AG10" s="288"/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9"/>
      <c r="AW10" s="289"/>
      <c r="AX10" s="289"/>
      <c r="AY10" s="289"/>
      <c r="AZ10" s="289"/>
      <c r="BA10" s="289"/>
      <c r="BB10" s="289"/>
      <c r="BC10" s="288"/>
      <c r="BD10" s="288"/>
      <c r="BE10" s="288"/>
      <c r="BF10" s="288"/>
      <c r="BG10" s="288"/>
      <c r="BH10" s="288"/>
    </row>
    <row r="11" spans="1:60" ht="15.75" customHeight="1">
      <c r="AF11" s="290"/>
      <c r="AG11" s="290"/>
      <c r="AH11" s="290"/>
      <c r="AI11" s="290"/>
      <c r="AJ11" s="290"/>
      <c r="AK11" s="290"/>
      <c r="AL11" s="290"/>
      <c r="AM11" s="290"/>
      <c r="AN11" s="290"/>
      <c r="AO11" s="290"/>
      <c r="AP11" s="290"/>
      <c r="AQ11" s="290"/>
      <c r="AR11" s="290"/>
      <c r="AS11" s="290"/>
      <c r="AT11" s="290"/>
      <c r="AU11" s="290"/>
      <c r="AV11" s="290"/>
      <c r="AW11" s="290"/>
      <c r="AX11" s="290"/>
      <c r="AY11" s="290"/>
      <c r="AZ11" s="290"/>
      <c r="BA11" s="290"/>
      <c r="BB11" s="290"/>
      <c r="BC11" s="290"/>
      <c r="BD11" s="290"/>
      <c r="BE11" s="290"/>
      <c r="BF11" s="290"/>
      <c r="BG11" s="290"/>
      <c r="BH11" s="290"/>
    </row>
    <row r="12" spans="1:60" ht="15.75" customHeight="1">
      <c r="AF12" s="290"/>
      <c r="AG12" s="290"/>
      <c r="AH12" s="290"/>
      <c r="AI12" s="290"/>
      <c r="AJ12" s="290"/>
      <c r="AK12" s="290"/>
      <c r="AL12" s="290"/>
      <c r="AM12" s="290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290"/>
      <c r="AY12" s="290"/>
      <c r="AZ12" s="290"/>
      <c r="BA12" s="290"/>
      <c r="BB12" s="290"/>
      <c r="BC12" s="290"/>
      <c r="BD12" s="290"/>
      <c r="BE12" s="290"/>
      <c r="BF12" s="290"/>
      <c r="BG12" s="290"/>
      <c r="BH12" s="290"/>
    </row>
    <row r="14" spans="1:60" ht="15.75" customHeight="1"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0"/>
      <c r="AQ14" s="280"/>
      <c r="AR14" s="280"/>
      <c r="AS14" s="280"/>
      <c r="AT14" s="280"/>
      <c r="AU14" s="280"/>
      <c r="AV14" s="291"/>
      <c r="AW14" s="291"/>
      <c r="AX14" s="291"/>
      <c r="AY14" s="291"/>
      <c r="AZ14" s="291"/>
      <c r="BA14" s="291"/>
      <c r="BB14" s="291"/>
      <c r="BC14" s="227"/>
      <c r="BD14" s="227"/>
      <c r="BE14" s="227"/>
      <c r="BF14" s="227"/>
      <c r="BG14" s="227"/>
    </row>
    <row r="15" spans="1:60" ht="15.75" customHeight="1">
      <c r="AF15" s="280"/>
      <c r="AG15" s="280"/>
      <c r="AH15" s="280"/>
      <c r="AI15" s="280"/>
      <c r="AJ15" s="280"/>
      <c r="AK15" s="280"/>
      <c r="AL15" s="280"/>
      <c r="AM15" s="280"/>
      <c r="AN15" s="280"/>
      <c r="AO15" s="280"/>
      <c r="AP15" s="280"/>
      <c r="AQ15" s="280"/>
      <c r="AR15" s="280"/>
      <c r="AS15" s="280"/>
      <c r="AT15" s="280"/>
      <c r="AU15" s="280"/>
      <c r="AV15" s="291"/>
      <c r="AW15" s="291"/>
      <c r="AX15" s="291"/>
      <c r="AY15" s="291"/>
      <c r="AZ15" s="291"/>
      <c r="BA15" s="291"/>
      <c r="BB15" s="291"/>
      <c r="BC15" s="227"/>
      <c r="BD15" s="227"/>
      <c r="BE15" s="227"/>
      <c r="BF15" s="227"/>
      <c r="BG15" s="227"/>
    </row>
    <row r="16" spans="1:60" ht="15.75" customHeight="1"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92"/>
      <c r="AW16" s="292"/>
      <c r="AX16" s="292"/>
      <c r="AY16" s="292"/>
      <c r="AZ16" s="292"/>
      <c r="BA16" s="292"/>
      <c r="BB16" s="292"/>
      <c r="BC16" s="288"/>
      <c r="BD16" s="288"/>
      <c r="BE16" s="288"/>
      <c r="BF16" s="288"/>
      <c r="BG16" s="288"/>
    </row>
    <row r="17" spans="1:59" ht="15.75" customHeight="1">
      <c r="A17" s="293"/>
      <c r="B17" s="293"/>
      <c r="C17" s="293"/>
      <c r="D17" s="293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88"/>
      <c r="AG17" s="288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92"/>
      <c r="AW17" s="292"/>
      <c r="AX17" s="292"/>
      <c r="AY17" s="292"/>
      <c r="AZ17" s="292"/>
      <c r="BA17" s="292"/>
      <c r="BB17" s="292"/>
      <c r="BC17" s="288"/>
      <c r="BD17" s="288"/>
      <c r="BE17" s="288"/>
      <c r="BF17" s="288"/>
      <c r="BG17" s="288"/>
    </row>
    <row r="18" spans="1:59" ht="15.75" customHeight="1">
      <c r="A18" s="293"/>
      <c r="B18" s="293"/>
      <c r="C18" s="293"/>
      <c r="D18" s="293"/>
      <c r="E18" s="293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0"/>
      <c r="AG18" s="290"/>
      <c r="AH18" s="290"/>
      <c r="AI18" s="290"/>
      <c r="AJ18" s="290"/>
      <c r="AK18" s="290"/>
      <c r="AL18" s="290"/>
      <c r="AM18" s="290"/>
      <c r="AN18" s="290"/>
      <c r="AO18" s="290"/>
      <c r="AP18" s="290"/>
      <c r="AQ18" s="296"/>
      <c r="AR18" s="296"/>
      <c r="AS18" s="296"/>
      <c r="AT18" s="296"/>
      <c r="AU18" s="296"/>
      <c r="AV18" s="296"/>
      <c r="AW18" s="296"/>
      <c r="AX18" s="296"/>
      <c r="AY18" s="296"/>
      <c r="AZ18" s="290"/>
      <c r="BA18" s="290"/>
      <c r="BB18" s="290"/>
      <c r="BC18" s="290"/>
      <c r="BD18" s="290"/>
      <c r="BE18" s="290"/>
      <c r="BF18" s="290"/>
      <c r="BG18" s="290"/>
    </row>
    <row r="19" spans="1:59" ht="15.75" customHeight="1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0"/>
      <c r="AG19" s="290"/>
      <c r="AH19" s="290"/>
      <c r="AI19" s="290"/>
      <c r="AJ19" s="290"/>
      <c r="AK19" s="290"/>
      <c r="AL19" s="290"/>
      <c r="AM19" s="290"/>
      <c r="AN19" s="290"/>
      <c r="AO19" s="290"/>
      <c r="AP19" s="290"/>
      <c r="AQ19" s="296"/>
      <c r="AR19" s="296"/>
      <c r="AS19" s="296"/>
      <c r="AT19" s="296"/>
      <c r="AU19" s="296"/>
      <c r="AV19" s="296"/>
      <c r="AW19" s="296"/>
      <c r="AX19" s="296"/>
      <c r="AY19" s="296"/>
      <c r="AZ19" s="290"/>
      <c r="BA19" s="290"/>
      <c r="BB19" s="290"/>
      <c r="BC19" s="290"/>
      <c r="BD19" s="290"/>
      <c r="BE19" s="290"/>
      <c r="BF19" s="290"/>
      <c r="BG19" s="290"/>
    </row>
    <row r="20" spans="1:59" ht="15.75" customHeight="1">
      <c r="A20" s="293"/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80"/>
      <c r="AG20" s="280"/>
      <c r="AH20" s="280"/>
      <c r="AI20" s="280"/>
      <c r="AJ20" s="280"/>
      <c r="AK20" s="280"/>
      <c r="AL20" s="280"/>
      <c r="AM20" s="280"/>
      <c r="AN20" s="280"/>
      <c r="AO20" s="280"/>
      <c r="AP20" s="280"/>
      <c r="AQ20" s="280"/>
      <c r="AR20" s="280"/>
      <c r="AS20" s="280"/>
      <c r="AU20" s="280"/>
      <c r="AV20" s="292"/>
      <c r="AW20" s="292"/>
      <c r="AX20" s="292"/>
      <c r="AY20" s="292"/>
      <c r="AZ20" s="292"/>
      <c r="BA20" s="292"/>
      <c r="BB20" s="292"/>
      <c r="BC20" s="227"/>
      <c r="BD20" s="227"/>
      <c r="BE20" s="227"/>
      <c r="BF20" s="227"/>
      <c r="BG20" s="227"/>
    </row>
    <row r="21" spans="1:59" ht="15.75" customHeight="1">
      <c r="A21" s="293"/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80"/>
      <c r="AG21" s="280"/>
      <c r="AH21" s="280"/>
      <c r="AI21" s="280"/>
      <c r="AJ21" s="280"/>
      <c r="AK21" s="280"/>
      <c r="AL21" s="280"/>
      <c r="AM21" s="280"/>
      <c r="AN21" s="280"/>
      <c r="AO21" s="280"/>
      <c r="AP21" s="280"/>
      <c r="AQ21" s="280"/>
      <c r="AR21" s="280"/>
      <c r="AS21" s="280"/>
      <c r="AT21" s="280"/>
      <c r="AU21" s="280"/>
      <c r="AV21" s="292"/>
      <c r="AW21" s="292"/>
      <c r="AX21" s="292"/>
      <c r="AY21" s="292"/>
      <c r="AZ21" s="292"/>
      <c r="BA21" s="292"/>
      <c r="BB21" s="292"/>
      <c r="BC21" s="227"/>
      <c r="BD21" s="227"/>
      <c r="BE21" s="227"/>
      <c r="BF21" s="227"/>
      <c r="BG21" s="227"/>
    </row>
    <row r="22" spans="1:59" ht="15.75" customHeight="1">
      <c r="A22" s="293"/>
      <c r="B22" s="293"/>
      <c r="C22" s="293"/>
      <c r="D22" s="293"/>
      <c r="E22" s="293"/>
      <c r="F22" s="293"/>
      <c r="G22" s="293"/>
      <c r="H22" s="293"/>
      <c r="I22" s="293"/>
      <c r="J22" s="293"/>
      <c r="K22" s="293"/>
      <c r="L22" s="293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3"/>
      <c r="AA22" s="293"/>
      <c r="AB22" s="293"/>
      <c r="AC22" s="293"/>
      <c r="AD22" s="293"/>
      <c r="AE22" s="293"/>
      <c r="AF22" s="280"/>
      <c r="AG22" s="280"/>
      <c r="AH22" s="280"/>
      <c r="AI22" s="280"/>
      <c r="AJ22" s="280"/>
      <c r="AK22" s="280"/>
      <c r="AL22" s="280"/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0"/>
      <c r="BF22" s="280"/>
      <c r="BG22" s="280"/>
    </row>
    <row r="23" spans="1:59" ht="15.75" customHeight="1">
      <c r="A23" s="293"/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3"/>
      <c r="AA23" s="293"/>
      <c r="AB23" s="293"/>
      <c r="AC23" s="293"/>
      <c r="AD23" s="293"/>
      <c r="AE23" s="293"/>
      <c r="AF23" s="280"/>
      <c r="AG23" s="280"/>
      <c r="AH23" s="280"/>
      <c r="AI23" s="280"/>
      <c r="AJ23" s="280"/>
      <c r="AK23" s="280"/>
      <c r="AL23" s="280"/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0"/>
      <c r="BF23" s="280"/>
      <c r="BG23" s="280"/>
    </row>
    <row r="24" spans="1:59" ht="15.75" customHeight="1">
      <c r="A24" s="293"/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80"/>
      <c r="AG24" s="280"/>
      <c r="AH24" s="280"/>
      <c r="AI24" s="280"/>
      <c r="AJ24" s="280"/>
      <c r="AK24" s="280"/>
      <c r="AL24" s="280"/>
      <c r="AM24" s="280"/>
      <c r="AN24" s="280"/>
      <c r="AO24" s="280"/>
      <c r="AP24" s="280"/>
      <c r="AQ24" s="280"/>
      <c r="AR24" s="280"/>
      <c r="AS24" s="280"/>
      <c r="AT24" s="280"/>
      <c r="AU24" s="280"/>
      <c r="AV24" s="295"/>
      <c r="AW24" s="295"/>
      <c r="AX24" s="295"/>
      <c r="AY24" s="295"/>
      <c r="AZ24" s="295"/>
      <c r="BA24" s="295"/>
      <c r="BB24" s="295"/>
      <c r="BC24" s="227"/>
      <c r="BD24" s="227"/>
      <c r="BE24" s="227"/>
      <c r="BF24" s="227"/>
      <c r="BG24" s="227"/>
    </row>
    <row r="25" spans="1:59" ht="15.75" customHeight="1">
      <c r="A25" s="293"/>
      <c r="B25" s="293"/>
      <c r="C25" s="293"/>
      <c r="D25" s="293"/>
      <c r="E25" s="293"/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0"/>
      <c r="AU25" s="280"/>
      <c r="AV25" s="295"/>
      <c r="AW25" s="295"/>
      <c r="AX25" s="295"/>
      <c r="AY25" s="295"/>
      <c r="AZ25" s="295"/>
      <c r="BA25" s="295"/>
      <c r="BB25" s="295"/>
      <c r="BC25" s="227"/>
      <c r="BD25" s="227"/>
      <c r="BE25" s="227"/>
      <c r="BF25" s="227"/>
      <c r="BG25" s="227"/>
    </row>
    <row r="26" spans="1:59" ht="15.75" customHeight="1">
      <c r="A26" s="293"/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293"/>
      <c r="AZ26" s="293"/>
      <c r="BA26" s="293"/>
      <c r="BB26" s="293"/>
      <c r="BC26" s="293"/>
      <c r="BD26" s="293"/>
      <c r="BE26" s="293"/>
      <c r="BF26" s="293"/>
    </row>
    <row r="27" spans="1:59" ht="15.75" customHeight="1">
      <c r="A27" s="293"/>
      <c r="B27" s="293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3"/>
      <c r="BC27" s="293"/>
      <c r="BD27" s="293"/>
      <c r="BE27" s="293"/>
      <c r="BF27" s="293"/>
    </row>
    <row r="28" spans="1:59" ht="15.75" customHeight="1">
      <c r="A28" s="293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6"/>
      <c r="AG28" s="296"/>
      <c r="AH28" s="296"/>
      <c r="AI28" s="296"/>
      <c r="AJ28" s="296"/>
      <c r="AK28" s="296"/>
      <c r="AL28" s="293"/>
      <c r="AM28" s="293"/>
      <c r="AN28" s="225"/>
      <c r="AO28" s="225"/>
      <c r="AP28" s="225"/>
      <c r="AQ28" s="225"/>
      <c r="AR28" s="225"/>
      <c r="AS28" s="225"/>
      <c r="AT28" s="293"/>
      <c r="AU28" s="293"/>
      <c r="AV28" s="293"/>
      <c r="AW28" s="293"/>
      <c r="AX28" s="293"/>
      <c r="AY28" s="293"/>
      <c r="AZ28" s="293"/>
      <c r="BA28" s="293"/>
      <c r="BB28" s="293"/>
      <c r="BC28" s="293"/>
      <c r="BD28" s="293"/>
      <c r="BE28" s="293"/>
      <c r="BF28" s="293"/>
    </row>
    <row r="29" spans="1:59" ht="15.75" customHeight="1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6"/>
      <c r="AG29" s="296"/>
      <c r="AH29" s="296"/>
      <c r="AI29" s="296"/>
      <c r="AJ29" s="296"/>
      <c r="AK29" s="296"/>
      <c r="AL29" s="293"/>
      <c r="AM29" s="293"/>
      <c r="AN29" s="225"/>
      <c r="AO29" s="225"/>
      <c r="AP29" s="225"/>
      <c r="AQ29" s="225"/>
      <c r="AR29" s="225"/>
      <c r="AS29" s="225"/>
      <c r="AT29" s="293"/>
      <c r="AU29" s="293"/>
      <c r="AV29" s="293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</row>
    <row r="30" spans="1:59" ht="15.75" customHeight="1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6"/>
      <c r="AG30" s="296"/>
      <c r="AH30" s="296"/>
      <c r="AI30" s="296"/>
      <c r="AJ30" s="296"/>
      <c r="AK30" s="296"/>
      <c r="AL30" s="293"/>
      <c r="AM30" s="293"/>
      <c r="AN30" s="225"/>
      <c r="AO30" s="225"/>
      <c r="AP30" s="225"/>
      <c r="AQ30" s="225"/>
      <c r="AR30" s="225"/>
      <c r="AS30" s="225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</row>
    <row r="31" spans="1:59" ht="15.75" customHeight="1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6"/>
      <c r="AG31" s="296"/>
      <c r="AH31" s="296"/>
      <c r="AI31" s="296"/>
      <c r="AJ31" s="296"/>
      <c r="AK31" s="296"/>
      <c r="AL31" s="293"/>
      <c r="AM31" s="293"/>
      <c r="AN31" s="225"/>
      <c r="AO31" s="225"/>
      <c r="AP31" s="225"/>
      <c r="AQ31" s="225"/>
      <c r="AR31" s="225"/>
      <c r="AS31" s="225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</row>
    <row r="32" spans="1:59" ht="15.75" customHeight="1">
      <c r="A32" s="293"/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6"/>
      <c r="AG32" s="296"/>
      <c r="AH32" s="296"/>
      <c r="AI32" s="296"/>
      <c r="AJ32" s="296"/>
      <c r="AK32" s="296"/>
      <c r="AL32" s="293"/>
      <c r="AM32" s="293"/>
      <c r="AN32" s="225"/>
      <c r="AO32" s="225"/>
      <c r="AP32" s="225"/>
      <c r="AQ32" s="225"/>
      <c r="AR32" s="225"/>
      <c r="AS32" s="225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</row>
    <row r="33" spans="1:58" ht="15.75" customHeight="1">
      <c r="A33" s="293"/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6"/>
      <c r="AG33" s="296"/>
      <c r="AH33" s="296"/>
      <c r="AI33" s="296"/>
      <c r="AJ33" s="296"/>
      <c r="AK33" s="296"/>
      <c r="AL33" s="293"/>
      <c r="AM33" s="293"/>
      <c r="AN33" s="225"/>
      <c r="AO33" s="225"/>
      <c r="AP33" s="225"/>
      <c r="AQ33" s="225"/>
      <c r="AR33" s="225"/>
      <c r="AS33" s="225"/>
      <c r="AT33" s="293"/>
      <c r="AU33" s="293"/>
      <c r="AV33" s="293"/>
      <c r="AW33" s="296"/>
      <c r="AX33" s="296"/>
      <c r="AY33" s="296"/>
      <c r="AZ33" s="296"/>
      <c r="BA33" s="296"/>
      <c r="BB33" s="296"/>
      <c r="BC33" s="296"/>
      <c r="BD33" s="293"/>
      <c r="BE33" s="293"/>
      <c r="BF33" s="293"/>
    </row>
    <row r="34" spans="1:58" ht="15.75" customHeight="1">
      <c r="A34" s="293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7"/>
      <c r="AD34" s="297"/>
      <c r="AE34" s="293"/>
      <c r="AF34" s="296"/>
      <c r="AG34" s="296"/>
      <c r="AH34" s="296"/>
      <c r="AI34" s="296"/>
      <c r="AJ34" s="296"/>
      <c r="AK34" s="296"/>
      <c r="AL34" s="293"/>
      <c r="AM34" s="293"/>
      <c r="AN34" s="225"/>
      <c r="AO34" s="225"/>
      <c r="AP34" s="225"/>
      <c r="AQ34" s="225"/>
      <c r="AR34" s="225"/>
      <c r="AS34" s="225"/>
      <c r="AT34" s="293"/>
      <c r="AU34" s="293"/>
      <c r="AV34" s="293"/>
      <c r="AW34" s="296"/>
      <c r="AX34" s="296"/>
      <c r="AY34" s="296"/>
      <c r="AZ34" s="296"/>
      <c r="BA34" s="296"/>
      <c r="BB34" s="296"/>
      <c r="BC34" s="296"/>
      <c r="BD34" s="293"/>
      <c r="BE34" s="293"/>
      <c r="BF34" s="293"/>
    </row>
    <row r="35" spans="1:58" ht="15.75" customHeight="1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7"/>
      <c r="AD35" s="297"/>
      <c r="AE35" s="293"/>
      <c r="AF35" s="296"/>
      <c r="AG35" s="296"/>
      <c r="AH35" s="296"/>
      <c r="AI35" s="296"/>
      <c r="AJ35" s="296"/>
      <c r="AK35" s="296"/>
      <c r="AL35" s="293"/>
      <c r="AM35" s="293"/>
      <c r="AN35" s="225"/>
      <c r="AO35" s="225"/>
      <c r="AP35" s="225"/>
      <c r="AQ35" s="225"/>
      <c r="AR35" s="225"/>
      <c r="AS35" s="225"/>
      <c r="AT35" s="293"/>
      <c r="AU35" s="293"/>
      <c r="AV35" s="293"/>
      <c r="AW35" s="296"/>
      <c r="AX35" s="296"/>
      <c r="AY35" s="296"/>
      <c r="AZ35" s="296"/>
      <c r="BA35" s="296"/>
      <c r="BB35" s="296"/>
      <c r="BC35" s="296"/>
      <c r="BD35" s="293"/>
      <c r="BE35" s="293"/>
      <c r="BF35" s="293"/>
    </row>
    <row r="36" spans="1:58" ht="15.75" customHeight="1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7"/>
      <c r="AD36" s="297"/>
      <c r="AE36" s="293"/>
      <c r="AF36" s="296"/>
      <c r="AG36" s="296"/>
      <c r="AH36" s="296"/>
      <c r="AI36" s="296"/>
      <c r="AJ36" s="296"/>
      <c r="AK36" s="296"/>
      <c r="AL36" s="293"/>
      <c r="AM36" s="293"/>
      <c r="AN36" s="225"/>
      <c r="AO36" s="225"/>
      <c r="AP36" s="225"/>
      <c r="AQ36" s="225"/>
      <c r="AR36" s="225"/>
      <c r="AS36" s="225"/>
      <c r="AT36" s="293"/>
      <c r="AU36" s="293"/>
      <c r="AV36" s="293"/>
      <c r="AW36" s="296"/>
      <c r="AX36" s="296"/>
      <c r="AY36" s="296"/>
      <c r="AZ36" s="296"/>
      <c r="BA36" s="296"/>
      <c r="BB36" s="296"/>
      <c r="BC36" s="296"/>
      <c r="BD36" s="293"/>
      <c r="BE36" s="293"/>
      <c r="BF36" s="293"/>
    </row>
    <row r="37" spans="1:58" ht="15.75" customHeight="1">
      <c r="B37" s="298" t="s">
        <v>516</v>
      </c>
      <c r="AE37" s="280"/>
    </row>
    <row r="38" spans="1:58" ht="15.75" customHeight="1">
      <c r="AC38" s="205"/>
    </row>
    <row r="41" spans="1:58" ht="15.75" customHeight="1">
      <c r="AE41" s="280"/>
    </row>
    <row r="42" spans="1:58" ht="15.75" customHeight="1">
      <c r="H42" s="11"/>
      <c r="I42" s="11"/>
      <c r="J42" s="11"/>
      <c r="K42" s="11"/>
      <c r="L42" s="11"/>
      <c r="M42" s="54"/>
      <c r="N42" s="616"/>
      <c r="O42" s="616"/>
      <c r="P42" s="54"/>
      <c r="Q42" s="11"/>
      <c r="R42" s="616"/>
      <c r="S42" s="616"/>
      <c r="T42" s="11"/>
      <c r="U42" s="11"/>
      <c r="V42" s="616"/>
      <c r="W42" s="616"/>
      <c r="X42" s="11"/>
      <c r="Y42" s="11"/>
      <c r="Z42" s="616"/>
      <c r="AA42" s="616"/>
      <c r="AB42" s="11"/>
      <c r="AC42" s="11"/>
      <c r="AD42" s="11"/>
      <c r="AE42" s="11"/>
      <c r="AF42" s="11"/>
      <c r="AG42" s="11"/>
      <c r="AH42" s="11"/>
      <c r="AI42" s="11"/>
    </row>
    <row r="43" spans="1:58" ht="15.75" customHeight="1">
      <c r="H43" s="11"/>
      <c r="I43" s="11"/>
      <c r="J43" s="11"/>
      <c r="K43" s="11"/>
      <c r="L43" s="11"/>
      <c r="M43" s="11"/>
      <c r="N43" s="56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58" ht="15.75" customHeight="1"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spans="1:58" ht="15.75" customHeight="1"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58" ht="15.75" customHeight="1" thickBot="1">
      <c r="H46" s="11"/>
      <c r="I46" s="11"/>
      <c r="J46" s="11"/>
      <c r="K46" s="11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"/>
      <c r="AE46" s="11"/>
      <c r="AF46" s="11"/>
      <c r="AG46" s="11"/>
      <c r="AH46" s="11"/>
      <c r="AI46" s="11"/>
    </row>
    <row r="47" spans="1:58" ht="15.75" customHeight="1">
      <c r="G47" s="227"/>
      <c r="H47" s="11"/>
      <c r="I47" s="11"/>
      <c r="J47" s="11"/>
      <c r="K47" s="618"/>
      <c r="L47" s="619"/>
      <c r="M47" s="622"/>
      <c r="N47" s="623"/>
      <c r="O47" s="624"/>
      <c r="P47" s="625"/>
      <c r="Q47" s="622"/>
      <c r="R47" s="623"/>
      <c r="S47" s="624"/>
      <c r="T47" s="625"/>
      <c r="U47" s="622"/>
      <c r="V47" s="623"/>
      <c r="W47" s="624"/>
      <c r="X47" s="625"/>
      <c r="Y47" s="622"/>
      <c r="Z47" s="623"/>
      <c r="AA47" s="624"/>
      <c r="AB47" s="625"/>
      <c r="AC47" s="622"/>
      <c r="AD47" s="631"/>
      <c r="AE47" s="11"/>
      <c r="AF47" s="11"/>
      <c r="AG47" s="11"/>
      <c r="AH47" s="11"/>
      <c r="AI47" s="11"/>
      <c r="AJ47" s="293"/>
      <c r="AK47" s="293"/>
      <c r="AL47" s="293"/>
      <c r="AM47" s="293"/>
      <c r="AN47" s="293"/>
      <c r="AO47" s="293"/>
      <c r="AP47" s="293"/>
      <c r="AQ47" s="293"/>
      <c r="AR47" s="293"/>
      <c r="AS47" s="293"/>
      <c r="AT47" s="293"/>
      <c r="AU47" s="293"/>
      <c r="AV47" s="293"/>
      <c r="AW47" s="293"/>
      <c r="AX47" s="293"/>
    </row>
    <row r="48" spans="1:58" ht="15.75" customHeight="1">
      <c r="G48" s="227"/>
      <c r="H48" s="11"/>
      <c r="I48" s="11"/>
      <c r="J48" s="118"/>
      <c r="K48" s="620"/>
      <c r="L48" s="621"/>
      <c r="M48" s="582"/>
      <c r="N48" s="601"/>
      <c r="O48" s="602"/>
      <c r="P48" s="591"/>
      <c r="Q48" s="582"/>
      <c r="R48" s="601"/>
      <c r="S48" s="602"/>
      <c r="T48" s="591"/>
      <c r="U48" s="582"/>
      <c r="V48" s="601"/>
      <c r="W48" s="602"/>
      <c r="X48" s="591"/>
      <c r="Y48" s="582"/>
      <c r="Z48" s="601"/>
      <c r="AA48" s="602"/>
      <c r="AB48" s="591"/>
      <c r="AC48" s="582"/>
      <c r="AD48" s="604"/>
      <c r="AE48" s="11"/>
      <c r="AF48" s="11"/>
      <c r="AG48" s="11"/>
      <c r="AH48" s="11"/>
      <c r="AI48" s="118"/>
      <c r="AJ48" s="293"/>
      <c r="AK48" s="293"/>
      <c r="AL48" s="293"/>
      <c r="AM48" s="293"/>
      <c r="AN48" s="293"/>
      <c r="AO48" s="293"/>
      <c r="AP48" s="293"/>
      <c r="AQ48" s="293"/>
      <c r="AR48" s="293"/>
      <c r="AS48" s="293"/>
      <c r="AT48" s="293"/>
      <c r="AU48" s="293"/>
      <c r="AV48" s="293"/>
      <c r="AW48" s="293"/>
      <c r="AX48" s="293"/>
    </row>
    <row r="49" spans="4:50" ht="15.75" customHeight="1">
      <c r="H49" s="11"/>
      <c r="I49" s="11"/>
      <c r="J49" s="118"/>
      <c r="K49" s="581"/>
      <c r="L49" s="582"/>
      <c r="M49" s="585"/>
      <c r="N49" s="586"/>
      <c r="O49" s="589"/>
      <c r="P49" s="582"/>
      <c r="Q49" s="591"/>
      <c r="R49" s="592"/>
      <c r="S49" s="589"/>
      <c r="T49" s="582"/>
      <c r="U49" s="591"/>
      <c r="V49" s="592"/>
      <c r="W49" s="589"/>
      <c r="X49" s="582"/>
      <c r="Y49" s="591"/>
      <c r="Z49" s="592"/>
      <c r="AA49" s="589"/>
      <c r="AB49" s="582"/>
      <c r="AC49" s="591"/>
      <c r="AD49" s="599"/>
      <c r="AE49" s="11"/>
      <c r="AF49" s="11"/>
      <c r="AG49" s="11"/>
      <c r="AH49" s="11"/>
      <c r="AI49" s="118"/>
      <c r="AJ49" s="293"/>
      <c r="AK49" s="293"/>
      <c r="AL49" s="293"/>
      <c r="AM49" s="293"/>
      <c r="AN49" s="293"/>
      <c r="AO49" s="299"/>
      <c r="AP49" s="299"/>
      <c r="AQ49" s="293"/>
      <c r="AR49" s="293"/>
      <c r="AS49" s="293"/>
      <c r="AT49" s="293"/>
      <c r="AU49" s="293"/>
      <c r="AV49" s="293"/>
      <c r="AW49" s="293"/>
      <c r="AX49" s="293"/>
    </row>
    <row r="50" spans="4:50" ht="15.75" customHeight="1">
      <c r="H50" s="11"/>
      <c r="I50" s="11"/>
      <c r="J50" s="118"/>
      <c r="K50" s="611"/>
      <c r="L50" s="598"/>
      <c r="M50" s="585"/>
      <c r="N50" s="586"/>
      <c r="O50" s="589"/>
      <c r="P50" s="582"/>
      <c r="Q50" s="591"/>
      <c r="R50" s="592"/>
      <c r="S50" s="589"/>
      <c r="T50" s="582"/>
      <c r="U50" s="591"/>
      <c r="V50" s="592"/>
      <c r="W50" s="589"/>
      <c r="X50" s="582"/>
      <c r="Y50" s="591"/>
      <c r="Z50" s="592"/>
      <c r="AA50" s="589"/>
      <c r="AB50" s="582"/>
      <c r="AC50" s="591"/>
      <c r="AD50" s="599"/>
      <c r="AE50" s="11"/>
      <c r="AF50" s="11"/>
      <c r="AG50" s="11"/>
      <c r="AH50" s="11"/>
      <c r="AI50" s="118"/>
      <c r="AJ50" s="293"/>
      <c r="AK50" s="293"/>
      <c r="AL50" s="293"/>
      <c r="AM50" s="293"/>
      <c r="AN50" s="293"/>
      <c r="AO50" s="299"/>
      <c r="AP50" s="299"/>
      <c r="AQ50" s="293"/>
      <c r="AR50" s="293"/>
      <c r="AS50" s="293"/>
      <c r="AT50" s="293"/>
      <c r="AU50" s="293"/>
      <c r="AV50" s="293"/>
      <c r="AW50" s="293"/>
      <c r="AX50" s="293"/>
    </row>
    <row r="51" spans="4:50" ht="15.75" customHeight="1">
      <c r="H51" s="11"/>
      <c r="I51" s="11"/>
      <c r="J51" s="118"/>
      <c r="K51" s="614"/>
      <c r="L51" s="609"/>
      <c r="M51" s="606"/>
      <c r="N51" s="607"/>
      <c r="O51" s="608"/>
      <c r="P51" s="609"/>
      <c r="Q51" s="606"/>
      <c r="R51" s="607"/>
      <c r="S51" s="608"/>
      <c r="T51" s="609"/>
      <c r="U51" s="606"/>
      <c r="V51" s="607"/>
      <c r="W51" s="608"/>
      <c r="X51" s="609"/>
      <c r="Y51" s="606"/>
      <c r="Z51" s="607"/>
      <c r="AA51" s="608"/>
      <c r="AB51" s="609"/>
      <c r="AC51" s="606"/>
      <c r="AD51" s="610"/>
      <c r="AE51" s="11"/>
      <c r="AF51" s="11"/>
      <c r="AG51" s="11"/>
      <c r="AH51" s="11"/>
      <c r="AI51" s="118"/>
      <c r="AJ51" s="293"/>
      <c r="AK51" s="293"/>
      <c r="AL51" s="293"/>
      <c r="AM51" s="293"/>
      <c r="AN51" s="293"/>
      <c r="AO51" s="293"/>
      <c r="AP51" s="293"/>
      <c r="AQ51" s="293"/>
      <c r="AR51" s="293"/>
      <c r="AS51" s="293"/>
      <c r="AT51" s="293"/>
      <c r="AU51" s="293"/>
      <c r="AV51" s="293"/>
      <c r="AW51" s="293"/>
      <c r="AX51" s="293"/>
    </row>
    <row r="52" spans="4:50" ht="15.75" customHeight="1">
      <c r="E52" s="227"/>
      <c r="F52" s="227"/>
      <c r="H52" s="11"/>
      <c r="I52" s="11"/>
      <c r="J52" s="118"/>
      <c r="K52" s="605"/>
      <c r="L52" s="591"/>
      <c r="M52" s="582"/>
      <c r="N52" s="601"/>
      <c r="O52" s="602"/>
      <c r="P52" s="591"/>
      <c r="Q52" s="582"/>
      <c r="R52" s="601"/>
      <c r="S52" s="602"/>
      <c r="T52" s="591"/>
      <c r="U52" s="582"/>
      <c r="V52" s="601"/>
      <c r="W52" s="602"/>
      <c r="X52" s="591"/>
      <c r="Y52" s="582"/>
      <c r="Z52" s="601"/>
      <c r="AA52" s="602"/>
      <c r="AB52" s="591"/>
      <c r="AC52" s="582"/>
      <c r="AD52" s="604"/>
      <c r="AE52" s="11"/>
      <c r="AF52" s="11"/>
      <c r="AG52" s="11"/>
      <c r="AH52" s="11"/>
      <c r="AI52" s="118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293"/>
      <c r="AX52" s="293"/>
    </row>
    <row r="53" spans="4:50" ht="15.75" customHeight="1">
      <c r="E53" s="227"/>
      <c r="F53" s="227"/>
      <c r="H53" s="11"/>
      <c r="I53" s="11"/>
      <c r="J53" s="118"/>
      <c r="K53" s="581"/>
      <c r="L53" s="582"/>
      <c r="M53" s="585"/>
      <c r="N53" s="586"/>
      <c r="O53" s="589"/>
      <c r="P53" s="582"/>
      <c r="Q53" s="591"/>
      <c r="R53" s="592"/>
      <c r="S53" s="589"/>
      <c r="T53" s="582"/>
      <c r="U53" s="591"/>
      <c r="V53" s="592"/>
      <c r="W53" s="589"/>
      <c r="X53" s="582"/>
      <c r="Y53" s="591"/>
      <c r="Z53" s="592"/>
      <c r="AA53" s="589"/>
      <c r="AB53" s="582"/>
      <c r="AC53" s="591"/>
      <c r="AD53" s="599"/>
      <c r="AE53" s="11"/>
      <c r="AF53" s="11"/>
      <c r="AG53" s="11"/>
      <c r="AH53" s="11"/>
      <c r="AI53" s="118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  <c r="AU53" s="293"/>
      <c r="AV53" s="293"/>
      <c r="AW53" s="293"/>
      <c r="AX53" s="293"/>
    </row>
    <row r="54" spans="4:50" ht="15.75" customHeight="1">
      <c r="H54" s="11"/>
      <c r="I54" s="11"/>
      <c r="J54" s="118"/>
      <c r="K54" s="611"/>
      <c r="L54" s="598"/>
      <c r="M54" s="612"/>
      <c r="N54" s="613"/>
      <c r="O54" s="597"/>
      <c r="P54" s="598"/>
      <c r="Q54" s="595"/>
      <c r="R54" s="596"/>
      <c r="S54" s="597"/>
      <c r="T54" s="598"/>
      <c r="U54" s="595"/>
      <c r="V54" s="596"/>
      <c r="W54" s="597"/>
      <c r="X54" s="598"/>
      <c r="Y54" s="595"/>
      <c r="Z54" s="596"/>
      <c r="AA54" s="597"/>
      <c r="AB54" s="598"/>
      <c r="AC54" s="595"/>
      <c r="AD54" s="600"/>
      <c r="AE54" s="11"/>
      <c r="AF54" s="11"/>
      <c r="AG54" s="11"/>
      <c r="AH54" s="11"/>
      <c r="AI54" s="118"/>
      <c r="AJ54" s="293"/>
      <c r="AK54" s="293"/>
      <c r="AL54" s="293"/>
      <c r="AM54" s="293"/>
      <c r="AN54" s="293"/>
      <c r="AO54" s="293"/>
      <c r="AP54" s="293"/>
      <c r="AQ54" s="293"/>
      <c r="AR54" s="293"/>
      <c r="AS54" s="293"/>
      <c r="AT54" s="293"/>
      <c r="AU54" s="293"/>
      <c r="AV54" s="293"/>
      <c r="AW54" s="293"/>
      <c r="AX54" s="293"/>
    </row>
    <row r="55" spans="4:50" ht="15.75" customHeight="1">
      <c r="H55" s="11"/>
      <c r="I55" s="11"/>
      <c r="J55" s="11"/>
      <c r="K55" s="605"/>
      <c r="L55" s="591"/>
      <c r="M55" s="582"/>
      <c r="N55" s="601"/>
      <c r="O55" s="602"/>
      <c r="P55" s="591"/>
      <c r="Q55" s="582"/>
      <c r="R55" s="601"/>
      <c r="S55" s="602"/>
      <c r="T55" s="591"/>
      <c r="U55" s="582"/>
      <c r="V55" s="601"/>
      <c r="W55" s="602"/>
      <c r="X55" s="591"/>
      <c r="Y55" s="582"/>
      <c r="Z55" s="601"/>
      <c r="AA55" s="602"/>
      <c r="AB55" s="591"/>
      <c r="AC55" s="582"/>
      <c r="AD55" s="604"/>
      <c r="AE55" s="11"/>
      <c r="AF55" s="11"/>
      <c r="AG55" s="11"/>
      <c r="AH55" s="11"/>
      <c r="AI55" s="11"/>
      <c r="AJ55" s="293"/>
      <c r="AK55" s="293"/>
      <c r="AL55" s="293"/>
      <c r="AM55" s="293"/>
      <c r="AN55" s="293"/>
      <c r="AO55" s="293"/>
      <c r="AP55" s="293"/>
      <c r="AQ55" s="293"/>
      <c r="AR55" s="293"/>
      <c r="AS55" s="293"/>
      <c r="AT55" s="293"/>
      <c r="AU55" s="293"/>
      <c r="AV55" s="293"/>
      <c r="AW55" s="293"/>
      <c r="AX55" s="293"/>
    </row>
    <row r="56" spans="4:50" ht="15.75" customHeight="1">
      <c r="H56" s="11"/>
      <c r="I56" s="11"/>
      <c r="J56" s="11"/>
      <c r="K56" s="605"/>
      <c r="L56" s="591"/>
      <c r="M56" s="582"/>
      <c r="N56" s="601"/>
      <c r="O56" s="602"/>
      <c r="P56" s="591"/>
      <c r="Q56" s="582"/>
      <c r="R56" s="601"/>
      <c r="S56" s="602"/>
      <c r="T56" s="591"/>
      <c r="U56" s="582"/>
      <c r="V56" s="601"/>
      <c r="W56" s="602"/>
      <c r="X56" s="591"/>
      <c r="Y56" s="582"/>
      <c r="Z56" s="601"/>
      <c r="AA56" s="602"/>
      <c r="AB56" s="591"/>
      <c r="AC56" s="582"/>
      <c r="AD56" s="604"/>
      <c r="AE56" s="11"/>
      <c r="AF56" s="11"/>
      <c r="AG56" s="11"/>
      <c r="AH56" s="11"/>
      <c r="AI56" s="11"/>
      <c r="AJ56" s="293"/>
      <c r="AK56" s="293"/>
      <c r="AL56" s="293"/>
      <c r="AM56" s="293"/>
      <c r="AN56" s="293"/>
      <c r="AO56" s="299"/>
      <c r="AP56" s="299"/>
      <c r="AQ56" s="293"/>
      <c r="AR56" s="293"/>
      <c r="AS56" s="293"/>
      <c r="AT56" s="293"/>
      <c r="AU56" s="293"/>
      <c r="AV56" s="293"/>
      <c r="AW56" s="293"/>
      <c r="AX56" s="293"/>
    </row>
    <row r="57" spans="4:50" ht="15.75" customHeight="1">
      <c r="H57" s="11"/>
      <c r="I57" s="11"/>
      <c r="J57" s="11"/>
      <c r="K57" s="581"/>
      <c r="L57" s="582"/>
      <c r="M57" s="585"/>
      <c r="N57" s="586"/>
      <c r="O57" s="589"/>
      <c r="P57" s="582"/>
      <c r="Q57" s="591"/>
      <c r="R57" s="592"/>
      <c r="S57" s="589"/>
      <c r="T57" s="582"/>
      <c r="U57" s="591"/>
      <c r="V57" s="592"/>
      <c r="W57" s="589"/>
      <c r="X57" s="582"/>
      <c r="Y57" s="591"/>
      <c r="Z57" s="592"/>
      <c r="AA57" s="589"/>
      <c r="AB57" s="582"/>
      <c r="AC57" s="591"/>
      <c r="AD57" s="599"/>
      <c r="AE57" s="11"/>
      <c r="AF57" s="11"/>
      <c r="AG57" s="11"/>
      <c r="AH57" s="11"/>
      <c r="AI57" s="11"/>
      <c r="AJ57" s="293"/>
      <c r="AK57" s="293"/>
      <c r="AL57" s="293"/>
      <c r="AM57" s="293"/>
      <c r="AN57" s="293"/>
      <c r="AO57" s="299"/>
      <c r="AP57" s="299"/>
      <c r="AQ57" s="293"/>
      <c r="AR57" s="293"/>
      <c r="AS57" s="293"/>
      <c r="AT57" s="293"/>
      <c r="AU57" s="293"/>
      <c r="AV57" s="293"/>
      <c r="AW57" s="293"/>
      <c r="AX57" s="293"/>
    </row>
    <row r="58" spans="4:50" ht="15.75" customHeight="1" thickBot="1">
      <c r="D58" s="227"/>
      <c r="F58" s="227"/>
      <c r="H58" s="11"/>
      <c r="I58" s="11"/>
      <c r="J58" s="11"/>
      <c r="K58" s="583"/>
      <c r="L58" s="584"/>
      <c r="M58" s="587"/>
      <c r="N58" s="588"/>
      <c r="O58" s="590"/>
      <c r="P58" s="584"/>
      <c r="Q58" s="593"/>
      <c r="R58" s="594"/>
      <c r="S58" s="590"/>
      <c r="T58" s="584"/>
      <c r="U58" s="593"/>
      <c r="V58" s="594"/>
      <c r="W58" s="590"/>
      <c r="X58" s="584"/>
      <c r="Y58" s="593"/>
      <c r="Z58" s="594"/>
      <c r="AA58" s="590"/>
      <c r="AB58" s="584"/>
      <c r="AC58" s="593"/>
      <c r="AD58" s="603"/>
      <c r="AE58" s="11"/>
      <c r="AF58" s="11"/>
      <c r="AG58" s="11"/>
      <c r="AH58" s="11"/>
      <c r="AI58" s="11"/>
      <c r="AJ58" s="293"/>
      <c r="AK58" s="293"/>
      <c r="AL58" s="293"/>
      <c r="AM58" s="293"/>
      <c r="AN58" s="293"/>
      <c r="AO58" s="293"/>
      <c r="AP58" s="293"/>
      <c r="AQ58" s="293"/>
      <c r="AR58" s="293"/>
      <c r="AS58" s="293"/>
      <c r="AT58" s="293"/>
      <c r="AU58" s="293"/>
      <c r="AV58" s="293"/>
      <c r="AW58" s="293"/>
      <c r="AX58" s="293"/>
    </row>
    <row r="59" spans="4:50" ht="15.75" customHeight="1">
      <c r="D59" s="227"/>
      <c r="F59" s="227"/>
      <c r="H59" s="11"/>
      <c r="I59" s="11"/>
      <c r="J59" s="11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11"/>
      <c r="AF59" s="11"/>
      <c r="AG59" s="11"/>
      <c r="AH59" s="11"/>
      <c r="AI59" s="11"/>
      <c r="AJ59" s="293"/>
      <c r="AK59" s="293"/>
      <c r="AL59" s="293"/>
      <c r="AM59" s="293"/>
      <c r="AN59" s="293"/>
      <c r="AO59" s="293"/>
      <c r="AP59" s="293"/>
      <c r="AQ59" s="293"/>
      <c r="AR59" s="293"/>
      <c r="AS59" s="293"/>
      <c r="AT59" s="293"/>
      <c r="AU59" s="293"/>
      <c r="AV59" s="293"/>
      <c r="AW59" s="293"/>
      <c r="AX59" s="293"/>
    </row>
    <row r="60" spans="4:50" ht="15.75" customHeight="1">
      <c r="E60" s="227"/>
      <c r="F60" s="227"/>
      <c r="H60" s="11"/>
      <c r="I60" s="11"/>
      <c r="J60" s="11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11"/>
      <c r="AF60" s="11"/>
      <c r="AG60" s="11"/>
      <c r="AH60" s="11"/>
      <c r="AI60" s="11"/>
      <c r="AJ60" s="293"/>
      <c r="AK60" s="293"/>
      <c r="AL60" s="293"/>
      <c r="AM60" s="293"/>
      <c r="AN60" s="293"/>
      <c r="AO60" s="293"/>
      <c r="AP60" s="293"/>
      <c r="AQ60" s="293"/>
      <c r="AR60" s="293"/>
      <c r="AS60" s="293"/>
      <c r="AT60" s="293"/>
      <c r="AU60" s="293"/>
      <c r="AV60" s="293"/>
      <c r="AW60" s="293"/>
      <c r="AX60" s="293"/>
    </row>
    <row r="61" spans="4:50" ht="15.75" customHeight="1">
      <c r="I61" s="227"/>
      <c r="J61" s="227"/>
      <c r="R61" s="617" t="s">
        <v>158</v>
      </c>
      <c r="S61" s="617"/>
      <c r="T61" s="617"/>
      <c r="U61" s="617"/>
      <c r="V61" s="617"/>
      <c r="W61" s="617"/>
      <c r="X61" s="293"/>
      <c r="Y61" s="293"/>
      <c r="Z61" s="293"/>
      <c r="AA61" s="293"/>
      <c r="AB61" s="293"/>
      <c r="AC61" s="293"/>
      <c r="AD61" s="293"/>
      <c r="AE61" s="280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3"/>
      <c r="AQ61" s="293"/>
      <c r="AR61" s="293"/>
      <c r="AS61" s="293"/>
      <c r="AT61" s="293"/>
      <c r="AU61" s="293"/>
      <c r="AV61" s="293"/>
      <c r="AW61" s="293"/>
      <c r="AX61" s="293"/>
    </row>
    <row r="62" spans="4:50" ht="15.75" customHeight="1">
      <c r="N62" s="227"/>
      <c r="V62" s="293"/>
      <c r="W62" s="293"/>
      <c r="X62" s="293"/>
      <c r="Y62" s="293"/>
      <c r="Z62" s="293"/>
      <c r="AA62" s="293"/>
      <c r="AB62" s="293"/>
      <c r="AC62" s="293"/>
      <c r="AD62" s="293"/>
      <c r="AE62" s="280"/>
      <c r="AF62" s="293"/>
      <c r="AG62" s="293"/>
      <c r="AH62" s="293"/>
      <c r="AI62" s="293"/>
      <c r="AJ62" s="293"/>
      <c r="AK62" s="293"/>
      <c r="AL62" s="293"/>
      <c r="AM62" s="293"/>
      <c r="AN62" s="293"/>
      <c r="AO62" s="299"/>
      <c r="AP62" s="299"/>
      <c r="AQ62" s="293"/>
      <c r="AR62" s="293"/>
      <c r="AS62" s="293"/>
      <c r="AT62" s="293"/>
      <c r="AU62" s="293"/>
      <c r="AV62" s="293"/>
      <c r="AW62" s="293"/>
      <c r="AX62" s="293"/>
    </row>
    <row r="63" spans="4:50" ht="15.75" customHeight="1">
      <c r="N63" s="227"/>
      <c r="V63" s="293"/>
      <c r="W63" s="293"/>
      <c r="X63" s="293"/>
      <c r="Y63" s="293"/>
      <c r="Z63" s="293"/>
      <c r="AA63" s="293"/>
      <c r="AB63" s="293"/>
      <c r="AC63" s="293"/>
      <c r="AD63" s="293"/>
      <c r="AE63" s="280"/>
      <c r="AF63" s="293"/>
      <c r="AG63" s="293"/>
      <c r="AH63" s="293"/>
      <c r="AI63" s="293"/>
      <c r="AJ63" s="293"/>
      <c r="AK63" s="293"/>
      <c r="AL63" s="293"/>
      <c r="AM63" s="293"/>
      <c r="AN63" s="293"/>
      <c r="AO63" s="299"/>
      <c r="AP63" s="299"/>
      <c r="AQ63" s="293"/>
      <c r="AR63" s="293"/>
      <c r="AS63" s="293"/>
      <c r="AT63" s="293"/>
      <c r="AU63" s="293"/>
      <c r="AV63" s="293"/>
      <c r="AW63" s="293"/>
      <c r="AX63" s="293"/>
    </row>
    <row r="64" spans="4:50" ht="15.75" customHeight="1">
      <c r="N64" s="227"/>
      <c r="V64" s="293"/>
      <c r="W64" s="293"/>
      <c r="X64" s="293"/>
      <c r="Y64" s="293"/>
      <c r="Z64" s="293"/>
      <c r="AA64" s="293"/>
      <c r="AB64" s="293"/>
      <c r="AC64" s="293"/>
      <c r="AD64" s="293"/>
      <c r="AE64" s="280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3"/>
      <c r="AQ64" s="293"/>
      <c r="AR64" s="293"/>
      <c r="AS64" s="293"/>
      <c r="AT64" s="293"/>
      <c r="AU64" s="293"/>
      <c r="AV64" s="293"/>
      <c r="AW64" s="293"/>
      <c r="AX64" s="293"/>
    </row>
    <row r="65" spans="14:59" ht="15.75" customHeight="1">
      <c r="N65" s="227"/>
      <c r="V65" s="293"/>
      <c r="W65" s="293"/>
      <c r="X65" s="293"/>
      <c r="Y65" s="293"/>
      <c r="Z65" s="293"/>
      <c r="AA65" s="293"/>
      <c r="AB65" s="293"/>
      <c r="AC65" s="293"/>
      <c r="AD65" s="293"/>
      <c r="AE65" s="280"/>
    </row>
    <row r="66" spans="14:59" ht="15.75" customHeight="1">
      <c r="V66" s="293"/>
      <c r="W66" s="293"/>
      <c r="X66" s="293"/>
      <c r="Y66" s="293"/>
      <c r="Z66" s="293"/>
      <c r="AA66" s="293"/>
      <c r="AB66" s="293"/>
      <c r="AC66" s="293"/>
      <c r="AD66" s="293"/>
      <c r="AE66" s="280"/>
    </row>
    <row r="67" spans="14:59" ht="15.75" customHeight="1">
      <c r="AE67" s="280"/>
    </row>
    <row r="68" spans="14:59" ht="15.75" customHeight="1">
      <c r="AE68" s="280"/>
    </row>
    <row r="69" spans="14:59" ht="15.75" customHeight="1">
      <c r="AE69" s="280"/>
    </row>
    <row r="75" spans="14:59" ht="15.75" customHeight="1"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300"/>
      <c r="AW75" s="300"/>
      <c r="AX75" s="300"/>
      <c r="AY75" s="300"/>
      <c r="AZ75" s="300"/>
      <c r="BA75" s="300"/>
      <c r="BB75" s="300"/>
      <c r="BC75" s="218"/>
      <c r="BD75" s="218"/>
      <c r="BE75" s="218"/>
      <c r="BF75" s="218"/>
      <c r="BG75" s="218"/>
    </row>
    <row r="76" spans="14:59" ht="15.75" customHeight="1">
      <c r="AF76" s="280"/>
      <c r="AG76" s="280"/>
      <c r="AH76" s="280"/>
      <c r="AI76" s="280"/>
      <c r="AJ76" s="280"/>
      <c r="AK76" s="280"/>
      <c r="AL76" s="280"/>
      <c r="AM76" s="280"/>
      <c r="AN76" s="280"/>
      <c r="AO76" s="280"/>
      <c r="AP76" s="280"/>
      <c r="AQ76" s="280"/>
      <c r="AR76" s="280"/>
      <c r="AS76" s="280"/>
      <c r="AT76" s="280"/>
      <c r="AU76" s="280"/>
      <c r="AV76" s="300"/>
      <c r="AW76" s="300"/>
      <c r="AX76" s="300"/>
      <c r="AY76" s="300"/>
      <c r="AZ76" s="300"/>
      <c r="BA76" s="300"/>
      <c r="BB76" s="300"/>
      <c r="BC76" s="218"/>
      <c r="BD76" s="218"/>
      <c r="BE76" s="218"/>
      <c r="BF76" s="218"/>
      <c r="BG76" s="218"/>
    </row>
    <row r="77" spans="14:59" ht="15.75" customHeight="1">
      <c r="AF77" s="301"/>
    </row>
    <row r="78" spans="14:59" ht="15.75" customHeight="1">
      <c r="N78" s="628" t="s">
        <v>517</v>
      </c>
      <c r="O78" s="628"/>
      <c r="P78" s="628"/>
      <c r="Q78" s="628"/>
      <c r="R78" s="628"/>
      <c r="S78" s="628"/>
      <c r="T78" s="628"/>
      <c r="U78" s="628"/>
      <c r="V78" s="628"/>
      <c r="W78" s="628"/>
      <c r="X78" s="628"/>
      <c r="Y78" s="628"/>
      <c r="Z78" s="628"/>
      <c r="AA78" s="628"/>
      <c r="AB78" s="628"/>
      <c r="AC78" s="628"/>
      <c r="AD78" s="630">
        <v>1.3</v>
      </c>
      <c r="AE78" s="630"/>
      <c r="AF78" s="630"/>
      <c r="AG78" s="630"/>
      <c r="AH78" s="630"/>
      <c r="AI78" s="630"/>
      <c r="AJ78" s="630"/>
      <c r="AK78" s="218"/>
      <c r="AL78" s="218"/>
      <c r="AM78" s="218"/>
      <c r="AN78" s="218"/>
      <c r="AO78" s="218"/>
    </row>
    <row r="79" spans="14:59" ht="15.75" customHeight="1">
      <c r="N79" s="628"/>
      <c r="O79" s="628"/>
      <c r="P79" s="628"/>
      <c r="Q79" s="628"/>
      <c r="R79" s="628"/>
      <c r="S79" s="628"/>
      <c r="T79" s="628"/>
      <c r="U79" s="628"/>
      <c r="V79" s="628"/>
      <c r="W79" s="628"/>
      <c r="X79" s="628"/>
      <c r="Y79" s="628"/>
      <c r="Z79" s="628"/>
      <c r="AA79" s="628"/>
      <c r="AB79" s="628"/>
      <c r="AC79" s="628"/>
      <c r="AD79" s="630"/>
      <c r="AE79" s="630"/>
      <c r="AF79" s="630"/>
      <c r="AG79" s="630"/>
      <c r="AH79" s="630"/>
      <c r="AI79" s="630"/>
      <c r="AJ79" s="630"/>
      <c r="AK79" s="218"/>
      <c r="AL79" s="218"/>
      <c r="AM79" s="218"/>
      <c r="AN79" s="218"/>
      <c r="AO79" s="218"/>
    </row>
    <row r="80" spans="14:59" ht="15.75" customHeight="1">
      <c r="N80" s="626" t="s">
        <v>518</v>
      </c>
      <c r="O80" s="626"/>
      <c r="P80" s="626"/>
      <c r="Q80" s="626"/>
      <c r="R80" s="626"/>
      <c r="S80" s="626"/>
      <c r="T80" s="626"/>
      <c r="U80" s="626"/>
      <c r="V80" s="626"/>
      <c r="W80" s="626"/>
      <c r="X80" s="626"/>
      <c r="Y80" s="626"/>
      <c r="Z80" s="626"/>
      <c r="AA80" s="626"/>
      <c r="AB80" s="626"/>
      <c r="AC80" s="626"/>
      <c r="AD80" s="626"/>
      <c r="AE80" s="626"/>
      <c r="AF80" s="626"/>
      <c r="AG80" s="626"/>
      <c r="AH80" s="626"/>
      <c r="AI80" s="626"/>
      <c r="AJ80" s="626"/>
      <c r="AK80" s="626"/>
      <c r="AL80" s="626"/>
      <c r="AM80" s="626"/>
      <c r="AN80" s="626"/>
      <c r="AO80" s="626"/>
    </row>
    <row r="81" spans="1:59" ht="15.75" customHeight="1">
      <c r="N81" s="626"/>
      <c r="O81" s="626"/>
      <c r="P81" s="626"/>
      <c r="Q81" s="626"/>
      <c r="R81" s="626"/>
      <c r="S81" s="626"/>
      <c r="T81" s="626"/>
      <c r="U81" s="626"/>
      <c r="V81" s="626"/>
      <c r="W81" s="626"/>
      <c r="X81" s="626"/>
      <c r="Y81" s="626"/>
      <c r="Z81" s="626"/>
      <c r="AA81" s="626"/>
      <c r="AB81" s="626"/>
      <c r="AC81" s="626"/>
      <c r="AD81" s="626"/>
      <c r="AE81" s="626"/>
      <c r="AF81" s="626"/>
      <c r="AG81" s="626"/>
      <c r="AH81" s="626"/>
      <c r="AI81" s="626"/>
      <c r="AJ81" s="626"/>
      <c r="AK81" s="626"/>
      <c r="AL81" s="626"/>
      <c r="AM81" s="626"/>
      <c r="AN81" s="626"/>
      <c r="AO81" s="626"/>
    </row>
    <row r="82" spans="1:59" ht="15.75" customHeight="1">
      <c r="N82" s="626" t="s">
        <v>519</v>
      </c>
      <c r="O82" s="626"/>
      <c r="P82" s="626"/>
      <c r="Q82" s="626"/>
      <c r="R82" s="626"/>
      <c r="S82" s="626"/>
      <c r="T82" s="626"/>
      <c r="U82" s="626"/>
      <c r="V82" s="626"/>
      <c r="W82" s="288"/>
      <c r="X82" s="288"/>
      <c r="Y82" s="288"/>
      <c r="Z82" s="288"/>
      <c r="AA82" s="288"/>
      <c r="AB82" s="288"/>
      <c r="AC82" s="288"/>
      <c r="AD82" s="627">
        <f>ROUND(0.5*0.5*AD78,3)</f>
        <v>0.32500000000000001</v>
      </c>
      <c r="AE82" s="627"/>
      <c r="AF82" s="627"/>
      <c r="AG82" s="627"/>
      <c r="AH82" s="627"/>
      <c r="AI82" s="627"/>
      <c r="AJ82" s="627"/>
      <c r="AK82" s="218"/>
      <c r="AL82" s="218"/>
      <c r="AM82" s="218"/>
      <c r="AN82" s="218"/>
      <c r="AO82" s="218"/>
    </row>
    <row r="83" spans="1:59" ht="15.75" customHeight="1">
      <c r="N83" s="626"/>
      <c r="O83" s="626"/>
      <c r="P83" s="626"/>
      <c r="Q83" s="626"/>
      <c r="R83" s="626"/>
      <c r="S83" s="626"/>
      <c r="T83" s="626"/>
      <c r="U83" s="626"/>
      <c r="V83" s="626"/>
      <c r="W83" s="288"/>
      <c r="X83" s="288"/>
      <c r="Y83" s="288"/>
      <c r="Z83" s="288"/>
      <c r="AA83" s="288"/>
      <c r="AB83" s="288"/>
      <c r="AC83" s="288"/>
      <c r="AD83" s="627"/>
      <c r="AE83" s="627"/>
      <c r="AF83" s="627"/>
      <c r="AG83" s="627"/>
      <c r="AH83" s="627"/>
      <c r="AI83" s="627"/>
      <c r="AJ83" s="627"/>
      <c r="AK83" s="218"/>
      <c r="AL83" s="218"/>
      <c r="AM83" s="218"/>
      <c r="AN83" s="218"/>
      <c r="AO83" s="218"/>
    </row>
    <row r="84" spans="1:59" ht="15.75" customHeight="1">
      <c r="N84" s="628" t="s">
        <v>520</v>
      </c>
      <c r="O84" s="628"/>
      <c r="P84" s="628"/>
      <c r="Q84" s="628"/>
      <c r="R84" s="628"/>
      <c r="S84" s="628"/>
      <c r="T84" s="628"/>
      <c r="U84" s="628"/>
      <c r="V84" s="628"/>
      <c r="W84" s="280"/>
      <c r="X84" s="280"/>
      <c r="Y84" s="280"/>
      <c r="Z84" s="280"/>
      <c r="AA84" s="280"/>
      <c r="AB84" s="280"/>
      <c r="AC84" s="280"/>
      <c r="AD84" s="627">
        <f>ROUND(0.866*0.5*AD78,3)</f>
        <v>0.56299999999999994</v>
      </c>
      <c r="AE84" s="627"/>
      <c r="AF84" s="627"/>
      <c r="AG84" s="627"/>
      <c r="AH84" s="627"/>
      <c r="AI84" s="627"/>
      <c r="AJ84" s="627"/>
      <c r="AK84" s="218"/>
      <c r="AL84" s="218"/>
      <c r="AM84" s="218"/>
      <c r="AN84" s="218"/>
      <c r="AO84" s="218"/>
    </row>
    <row r="85" spans="1:59" ht="15.75" customHeight="1">
      <c r="N85" s="628"/>
      <c r="O85" s="628"/>
      <c r="P85" s="628"/>
      <c r="Q85" s="628"/>
      <c r="R85" s="628"/>
      <c r="S85" s="628"/>
      <c r="T85" s="628"/>
      <c r="U85" s="628"/>
      <c r="V85" s="628"/>
      <c r="W85" s="280"/>
      <c r="X85" s="280"/>
      <c r="Y85" s="280"/>
      <c r="Z85" s="280"/>
      <c r="AA85" s="280"/>
      <c r="AB85" s="280"/>
      <c r="AC85" s="280"/>
      <c r="AD85" s="627"/>
      <c r="AE85" s="627"/>
      <c r="AF85" s="627"/>
      <c r="AG85" s="627"/>
      <c r="AH85" s="627"/>
      <c r="AI85" s="627"/>
      <c r="AJ85" s="627"/>
      <c r="AK85" s="218"/>
      <c r="AL85" s="218"/>
      <c r="AM85" s="218"/>
      <c r="AN85" s="218"/>
      <c r="AO85" s="218"/>
    </row>
    <row r="86" spans="1:59" ht="15.75" customHeight="1">
      <c r="N86" s="628" t="s">
        <v>521</v>
      </c>
      <c r="O86" s="628"/>
      <c r="P86" s="628"/>
      <c r="Q86" s="628"/>
      <c r="R86" s="628"/>
      <c r="S86" s="628"/>
      <c r="T86" s="628"/>
      <c r="U86" s="628"/>
      <c r="V86" s="628"/>
      <c r="W86" s="628"/>
      <c r="X86" s="628"/>
      <c r="Y86" s="628"/>
      <c r="Z86" s="628"/>
      <c r="AA86" s="628"/>
      <c r="AB86" s="628"/>
      <c r="AC86" s="628"/>
      <c r="AD86" s="628"/>
      <c r="AE86" s="628"/>
      <c r="AF86" s="628"/>
      <c r="AG86" s="628"/>
      <c r="AH86" s="628"/>
      <c r="AI86" s="628"/>
      <c r="AJ86" s="628"/>
      <c r="AK86" s="628"/>
      <c r="AL86" s="628"/>
      <c r="AM86" s="629">
        <f>ROUND(AD78/2*AD78/2*PI(),2)</f>
        <v>1.33</v>
      </c>
      <c r="AN86" s="629"/>
      <c r="AO86" s="629"/>
      <c r="AP86" s="629"/>
      <c r="AQ86" s="629"/>
      <c r="AR86" s="629"/>
      <c r="AS86" s="629"/>
    </row>
    <row r="87" spans="1:59" ht="15.75" customHeight="1">
      <c r="N87" s="628"/>
      <c r="O87" s="628"/>
      <c r="P87" s="628"/>
      <c r="Q87" s="628"/>
      <c r="R87" s="628"/>
      <c r="S87" s="628"/>
      <c r="T87" s="628"/>
      <c r="U87" s="628"/>
      <c r="V87" s="628"/>
      <c r="W87" s="628"/>
      <c r="X87" s="628"/>
      <c r="Y87" s="628"/>
      <c r="Z87" s="628"/>
      <c r="AA87" s="628"/>
      <c r="AB87" s="628"/>
      <c r="AC87" s="628"/>
      <c r="AD87" s="628"/>
      <c r="AE87" s="628"/>
      <c r="AF87" s="628"/>
      <c r="AG87" s="628"/>
      <c r="AH87" s="628"/>
      <c r="AI87" s="628"/>
      <c r="AJ87" s="628"/>
      <c r="AK87" s="628"/>
      <c r="AL87" s="628"/>
      <c r="AM87" s="629"/>
      <c r="AN87" s="629"/>
      <c r="AO87" s="629"/>
      <c r="AP87" s="629"/>
      <c r="AQ87" s="629"/>
      <c r="AR87" s="629"/>
      <c r="AS87" s="629"/>
    </row>
    <row r="93" spans="1:59" ht="15.75" customHeight="1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  <c r="O93" s="615"/>
      <c r="P93" s="615"/>
      <c r="Q93" s="615"/>
      <c r="R93" s="615"/>
      <c r="S93" s="615"/>
      <c r="T93" s="615"/>
      <c r="U93" s="615"/>
      <c r="V93" s="615"/>
      <c r="W93" s="615"/>
      <c r="X93" s="615"/>
      <c r="Y93" s="615"/>
      <c r="Z93" s="615"/>
      <c r="AA93" s="615"/>
      <c r="AB93" s="615"/>
      <c r="AC93" s="615"/>
      <c r="AD93" s="615"/>
      <c r="AE93" s="615"/>
      <c r="AF93" s="615"/>
      <c r="AG93" s="615"/>
      <c r="AH93" s="615"/>
      <c r="AI93" s="615"/>
      <c r="AJ93" s="615"/>
      <c r="AK93" s="615"/>
      <c r="AL93" s="615"/>
      <c r="AM93" s="615"/>
      <c r="AN93" s="615"/>
      <c r="AO93" s="615"/>
      <c r="AP93" s="615"/>
      <c r="AQ93" s="615"/>
      <c r="AR93" s="615"/>
      <c r="AS93" s="615"/>
      <c r="AT93" s="615"/>
      <c r="AU93" s="615"/>
      <c r="AV93" s="615"/>
      <c r="AW93" s="615"/>
      <c r="AX93" s="615"/>
      <c r="AY93" s="615"/>
      <c r="AZ93" s="615"/>
      <c r="BA93" s="615"/>
      <c r="BB93" s="615"/>
      <c r="BC93" s="615"/>
      <c r="BD93" s="615"/>
      <c r="BE93" s="615"/>
      <c r="BF93" s="615"/>
      <c r="BG93" s="615"/>
    </row>
  </sheetData>
  <mergeCells count="75">
    <mergeCell ref="AM86:AS87"/>
    <mergeCell ref="N78:AC79"/>
    <mergeCell ref="AD78:AJ79"/>
    <mergeCell ref="S47:T48"/>
    <mergeCell ref="U47:V48"/>
    <mergeCell ref="W47:X48"/>
    <mergeCell ref="Y47:Z48"/>
    <mergeCell ref="AA47:AB48"/>
    <mergeCell ref="AC47:AD48"/>
    <mergeCell ref="U49:V50"/>
    <mergeCell ref="W49:X50"/>
    <mergeCell ref="Y49:Z50"/>
    <mergeCell ref="AA49:AB50"/>
    <mergeCell ref="AC49:AD50"/>
    <mergeCell ref="U51:V52"/>
    <mergeCell ref="W51:X52"/>
    <mergeCell ref="A93:BG93"/>
    <mergeCell ref="N42:O42"/>
    <mergeCell ref="R42:S42"/>
    <mergeCell ref="V42:W42"/>
    <mergeCell ref="Z42:AA42"/>
    <mergeCell ref="R61:W61"/>
    <mergeCell ref="K47:L48"/>
    <mergeCell ref="M47:N48"/>
    <mergeCell ref="O47:P48"/>
    <mergeCell ref="Q47:R48"/>
    <mergeCell ref="N80:AO81"/>
    <mergeCell ref="N82:V83"/>
    <mergeCell ref="AD82:AJ83"/>
    <mergeCell ref="N84:V85"/>
    <mergeCell ref="AD84:AJ85"/>
    <mergeCell ref="N86:AL87"/>
    <mergeCell ref="K49:L50"/>
    <mergeCell ref="M49:N50"/>
    <mergeCell ref="O49:P50"/>
    <mergeCell ref="Q49:R50"/>
    <mergeCell ref="S49:T50"/>
    <mergeCell ref="Y51:Z52"/>
    <mergeCell ref="AA51:AB52"/>
    <mergeCell ref="AC51:AD52"/>
    <mergeCell ref="K53:L54"/>
    <mergeCell ref="M53:N54"/>
    <mergeCell ref="O53:P54"/>
    <mergeCell ref="Q53:R54"/>
    <mergeCell ref="S53:T54"/>
    <mergeCell ref="U53:V54"/>
    <mergeCell ref="W53:X54"/>
    <mergeCell ref="K51:L52"/>
    <mergeCell ref="M51:N52"/>
    <mergeCell ref="O51:P52"/>
    <mergeCell ref="Q51:R52"/>
    <mergeCell ref="S51:T52"/>
    <mergeCell ref="K55:L56"/>
    <mergeCell ref="M55:N56"/>
    <mergeCell ref="O55:P56"/>
    <mergeCell ref="Q55:R56"/>
    <mergeCell ref="S55:T56"/>
    <mergeCell ref="U57:V58"/>
    <mergeCell ref="W57:X58"/>
    <mergeCell ref="Y53:Z54"/>
    <mergeCell ref="AA53:AB54"/>
    <mergeCell ref="AC53:AD54"/>
    <mergeCell ref="U55:V56"/>
    <mergeCell ref="W55:X56"/>
    <mergeCell ref="Y57:Z58"/>
    <mergeCell ref="AA57:AB58"/>
    <mergeCell ref="AC57:AD58"/>
    <mergeCell ref="Y55:Z56"/>
    <mergeCell ref="AA55:AB56"/>
    <mergeCell ref="AC55:AD56"/>
    <mergeCell ref="K57:L58"/>
    <mergeCell ref="M57:N58"/>
    <mergeCell ref="O57:P58"/>
    <mergeCell ref="Q57:R58"/>
    <mergeCell ref="S57:T58"/>
  </mergeCells>
  <pageMargins left="0.39370078740157483" right="0.19685039370078741" top="0.28999999999999998" bottom="0.17" header="0.31496062992125984" footer="0.31496062992125984"/>
  <pageSetup paperSize="9" scale="6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I59"/>
  <sheetViews>
    <sheetView showFormulas="1" view="pageBreakPreview" zoomScale="85" zoomScaleNormal="100" zoomScaleSheetLayoutView="85" workbookViewId="0">
      <selection activeCell="Y39" sqref="Y39"/>
    </sheetView>
  </sheetViews>
  <sheetFormatPr defaultColWidth="1.25" defaultRowHeight="16.5" customHeight="1"/>
  <cols>
    <col min="1" max="6" width="1.25" style="11"/>
    <col min="7" max="7" width="1.25" style="11" customWidth="1"/>
    <col min="8" max="50" width="1.25" style="11"/>
    <col min="51" max="53" width="2.375" style="11" customWidth="1"/>
    <col min="54" max="56" width="1.25" style="11"/>
    <col min="57" max="57" width="5.125" style="11" bestFit="1" customWidth="1"/>
    <col min="58" max="16384" width="1.25" style="11"/>
  </cols>
  <sheetData>
    <row r="2" spans="2:48" ht="16.5" customHeight="1">
      <c r="B2" s="642" t="s">
        <v>155</v>
      </c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AG2" s="59"/>
      <c r="AH2" s="59"/>
      <c r="AI2" s="59"/>
      <c r="AJ2" s="59"/>
      <c r="AK2" s="59"/>
      <c r="AL2" s="59"/>
      <c r="AM2" s="59"/>
      <c r="AN2" s="319"/>
      <c r="AO2" s="320"/>
      <c r="AP2" s="320"/>
      <c r="AQ2" s="320"/>
      <c r="AR2" s="320"/>
      <c r="AS2" s="320"/>
      <c r="AT2" s="320"/>
      <c r="AU2" s="320"/>
      <c r="AV2" s="320"/>
    </row>
    <row r="3" spans="2:48" ht="16.5" customHeight="1">
      <c r="AH3" s="59"/>
      <c r="AI3" s="59"/>
      <c r="AJ3" s="59"/>
      <c r="AK3" s="59"/>
      <c r="AL3" s="59"/>
      <c r="AM3" s="59"/>
      <c r="AN3" s="56"/>
      <c r="AO3" s="56"/>
      <c r="AP3" s="56"/>
      <c r="AQ3" s="56"/>
      <c r="AR3" s="56"/>
      <c r="AS3" s="56"/>
      <c r="AT3" s="56"/>
      <c r="AU3" s="56"/>
      <c r="AV3" s="56"/>
    </row>
    <row r="4" spans="2:48" ht="16.5" customHeight="1">
      <c r="AH4" s="316"/>
      <c r="AI4" s="316"/>
      <c r="AJ4" s="316"/>
      <c r="AK4" s="316"/>
      <c r="AL4" s="316"/>
      <c r="AM4" s="316"/>
      <c r="AN4" s="317"/>
      <c r="AO4" s="317"/>
      <c r="AP4" s="317"/>
      <c r="AQ4" s="317"/>
      <c r="AR4" s="317"/>
      <c r="AS4" s="317"/>
      <c r="AT4" s="317"/>
      <c r="AU4" s="317"/>
      <c r="AV4" s="317"/>
    </row>
    <row r="5" spans="2:48" ht="16.5" customHeight="1">
      <c r="AH5" s="316"/>
      <c r="AI5" s="316"/>
      <c r="AJ5" s="316"/>
      <c r="AK5" s="316"/>
      <c r="AL5" s="316"/>
      <c r="AM5" s="316"/>
      <c r="AN5" s="317"/>
      <c r="AO5" s="317"/>
      <c r="AP5" s="317"/>
      <c r="AQ5" s="317"/>
      <c r="AR5" s="317"/>
      <c r="AS5" s="317"/>
      <c r="AT5" s="317"/>
      <c r="AU5" s="317"/>
      <c r="AV5" s="317"/>
    </row>
    <row r="6" spans="2:48" ht="16.5" customHeight="1">
      <c r="AH6" s="316"/>
      <c r="AI6" s="316"/>
      <c r="AJ6" s="316"/>
      <c r="AK6" s="316"/>
      <c r="AL6" s="316"/>
      <c r="AM6" s="316"/>
      <c r="AN6" s="317"/>
      <c r="AO6" s="317"/>
      <c r="AP6" s="317"/>
      <c r="AQ6" s="317"/>
      <c r="AR6" s="317"/>
      <c r="AS6" s="317"/>
      <c r="AT6" s="317"/>
      <c r="AU6" s="317"/>
      <c r="AV6" s="317"/>
    </row>
    <row r="8" spans="2:48" ht="16.5" customHeight="1"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</row>
    <row r="10" spans="2:48" ht="25.5" customHeight="1">
      <c r="D10" s="641" t="s">
        <v>558</v>
      </c>
      <c r="E10" s="641"/>
      <c r="F10" s="641"/>
      <c r="G10" s="641"/>
      <c r="H10" s="641"/>
      <c r="I10" s="641"/>
      <c r="J10" s="641"/>
      <c r="K10" s="641"/>
      <c r="L10" s="641"/>
      <c r="M10" s="641"/>
      <c r="N10" s="641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  <c r="AA10" s="641"/>
      <c r="AB10" s="641"/>
      <c r="AC10" s="641"/>
      <c r="AD10" s="641"/>
      <c r="AE10" s="641"/>
      <c r="AF10" s="641"/>
      <c r="AG10" s="641"/>
      <c r="AH10" s="641"/>
      <c r="AI10" s="641"/>
      <c r="AJ10" s="641"/>
      <c r="AK10" s="641"/>
      <c r="AL10" s="641"/>
      <c r="AM10" s="641"/>
      <c r="AN10" s="641"/>
      <c r="AO10" s="641"/>
      <c r="AP10" s="641"/>
      <c r="AQ10" s="641"/>
      <c r="AR10" s="641"/>
      <c r="AS10" s="641"/>
      <c r="AT10" s="641"/>
      <c r="AU10" s="641"/>
      <c r="AV10" s="641"/>
    </row>
    <row r="11" spans="2:48" ht="16.5" customHeight="1">
      <c r="D11" s="617" t="s">
        <v>522</v>
      </c>
      <c r="E11" s="617"/>
      <c r="F11" s="617"/>
      <c r="G11" s="617"/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  <c r="Y11" s="617"/>
      <c r="Z11" s="617"/>
      <c r="AA11" s="617"/>
      <c r="AB11" s="617"/>
      <c r="AC11" s="617"/>
      <c r="AD11" s="617"/>
      <c r="AE11" s="617"/>
      <c r="AF11" s="617"/>
      <c r="AG11" s="617"/>
      <c r="AH11" s="617"/>
      <c r="AI11" s="617"/>
      <c r="AJ11" s="617"/>
      <c r="AK11" s="617"/>
      <c r="AL11" s="617"/>
      <c r="AM11" s="617"/>
      <c r="AN11" s="617"/>
      <c r="AO11" s="617"/>
      <c r="AP11" s="617"/>
      <c r="AQ11" s="617"/>
      <c r="AR11" s="617"/>
      <c r="AS11" s="617"/>
      <c r="AT11" s="617"/>
      <c r="AU11" s="617"/>
      <c r="AV11" s="617"/>
    </row>
    <row r="14" spans="2:48" ht="16.5" customHeight="1">
      <c r="F14" s="54"/>
      <c r="G14" s="616"/>
      <c r="H14" s="616"/>
      <c r="I14" s="54"/>
      <c r="K14" s="616"/>
      <c r="L14" s="616"/>
      <c r="O14" s="616"/>
      <c r="P14" s="616"/>
      <c r="S14" s="616"/>
      <c r="T14" s="616"/>
      <c r="AE14" s="54"/>
      <c r="AF14" s="616"/>
      <c r="AG14" s="616"/>
      <c r="AH14" s="54"/>
      <c r="AJ14" s="616"/>
      <c r="AK14" s="616"/>
      <c r="AN14" s="616"/>
      <c r="AO14" s="616"/>
      <c r="AR14" s="616"/>
      <c r="AS14" s="616"/>
    </row>
    <row r="15" spans="2:48" ht="16.5" customHeight="1">
      <c r="G15" s="56"/>
      <c r="AF15" s="56"/>
    </row>
    <row r="16" spans="2:48" ht="16.5" customHeight="1">
      <c r="W16" s="617" t="s">
        <v>158</v>
      </c>
      <c r="X16" s="617"/>
      <c r="Y16" s="617"/>
      <c r="Z16" s="617"/>
      <c r="AA16" s="617"/>
      <c r="AB16" s="617"/>
      <c r="AV16" s="54"/>
    </row>
    <row r="18" spans="3:61" ht="16.5" customHeight="1" thickBot="1"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</row>
    <row r="19" spans="3:61" ht="16.5" customHeight="1">
      <c r="D19" s="618"/>
      <c r="E19" s="619"/>
      <c r="F19" s="625"/>
      <c r="G19" s="640"/>
      <c r="H19" s="624"/>
      <c r="I19" s="625"/>
      <c r="J19" s="625"/>
      <c r="K19" s="640"/>
      <c r="L19" s="624"/>
      <c r="M19" s="625"/>
      <c r="N19" s="625"/>
      <c r="O19" s="640"/>
      <c r="P19" s="624"/>
      <c r="Q19" s="625"/>
      <c r="R19" s="625"/>
      <c r="S19" s="640"/>
      <c r="T19" s="624"/>
      <c r="U19" s="625"/>
      <c r="V19" s="625"/>
      <c r="W19" s="638"/>
      <c r="AC19" s="639"/>
      <c r="AD19" s="625"/>
      <c r="AE19" s="625"/>
      <c r="AF19" s="640"/>
      <c r="AG19" s="624"/>
      <c r="AH19" s="625"/>
      <c r="AI19" s="625"/>
      <c r="AJ19" s="640"/>
      <c r="AK19" s="624"/>
      <c r="AL19" s="625"/>
      <c r="AM19" s="625"/>
      <c r="AN19" s="640"/>
      <c r="AO19" s="624"/>
      <c r="AP19" s="625"/>
      <c r="AQ19" s="625"/>
      <c r="AR19" s="640"/>
      <c r="AS19" s="624"/>
      <c r="AT19" s="625"/>
      <c r="AU19" s="625"/>
      <c r="AV19" s="638"/>
      <c r="AY19" s="57"/>
      <c r="AZ19" s="53"/>
      <c r="BA19" s="53"/>
      <c r="BB19" s="57"/>
      <c r="BC19" s="57"/>
      <c r="BD19" s="57"/>
      <c r="BE19" s="57"/>
      <c r="BF19" s="57"/>
      <c r="BG19" s="57"/>
      <c r="BH19" s="617"/>
      <c r="BI19" s="617"/>
    </row>
    <row r="20" spans="3:61" ht="16.5" customHeight="1">
      <c r="C20" s="52"/>
      <c r="D20" s="620"/>
      <c r="E20" s="621"/>
      <c r="F20" s="591"/>
      <c r="G20" s="592"/>
      <c r="H20" s="602"/>
      <c r="I20" s="591"/>
      <c r="J20" s="591"/>
      <c r="K20" s="592"/>
      <c r="L20" s="602"/>
      <c r="M20" s="591"/>
      <c r="N20" s="591"/>
      <c r="O20" s="592"/>
      <c r="P20" s="602"/>
      <c r="Q20" s="591"/>
      <c r="R20" s="591"/>
      <c r="S20" s="592"/>
      <c r="T20" s="602"/>
      <c r="U20" s="591"/>
      <c r="V20" s="591"/>
      <c r="W20" s="599"/>
      <c r="AB20" s="52"/>
      <c r="AC20" s="605"/>
      <c r="AD20" s="591"/>
      <c r="AE20" s="591"/>
      <c r="AF20" s="592"/>
      <c r="AG20" s="602"/>
      <c r="AH20" s="591"/>
      <c r="AI20" s="591"/>
      <c r="AJ20" s="592"/>
      <c r="AK20" s="602"/>
      <c r="AL20" s="591"/>
      <c r="AM20" s="591"/>
      <c r="AN20" s="592"/>
      <c r="AO20" s="602"/>
      <c r="AP20" s="591"/>
      <c r="AQ20" s="591"/>
      <c r="AR20" s="592"/>
      <c r="AS20" s="602"/>
      <c r="AT20" s="591"/>
      <c r="AU20" s="591"/>
      <c r="AV20" s="599"/>
      <c r="AY20" s="57"/>
      <c r="AZ20" s="53"/>
      <c r="BA20" s="53"/>
      <c r="BB20" s="57"/>
      <c r="BC20" s="57"/>
      <c r="BD20" s="57"/>
      <c r="BE20" s="57"/>
      <c r="BF20" s="57"/>
      <c r="BG20" s="57"/>
      <c r="BH20" s="617"/>
      <c r="BI20" s="617"/>
    </row>
    <row r="21" spans="3:61" ht="16.5" customHeight="1">
      <c r="C21" s="52"/>
      <c r="D21" s="605"/>
      <c r="E21" s="591"/>
      <c r="F21" s="585"/>
      <c r="G21" s="586"/>
      <c r="H21" s="602"/>
      <c r="I21" s="591"/>
      <c r="J21" s="591"/>
      <c r="K21" s="592"/>
      <c r="L21" s="602"/>
      <c r="M21" s="591"/>
      <c r="N21" s="591"/>
      <c r="O21" s="592"/>
      <c r="P21" s="602"/>
      <c r="Q21" s="591"/>
      <c r="R21" s="591"/>
      <c r="S21" s="592"/>
      <c r="T21" s="602"/>
      <c r="U21" s="591"/>
      <c r="V21" s="591"/>
      <c r="W21" s="599"/>
      <c r="AB21" s="52"/>
      <c r="AC21" s="605"/>
      <c r="AD21" s="591"/>
      <c r="AE21" s="585"/>
      <c r="AF21" s="586"/>
      <c r="AG21" s="602"/>
      <c r="AH21" s="591"/>
      <c r="AI21" s="591"/>
      <c r="AJ21" s="592"/>
      <c r="AK21" s="602"/>
      <c r="AL21" s="591"/>
      <c r="AM21" s="591"/>
      <c r="AN21" s="592"/>
      <c r="AO21" s="602"/>
      <c r="AP21" s="591"/>
      <c r="AQ21" s="591"/>
      <c r="AR21" s="592"/>
      <c r="AS21" s="602"/>
      <c r="AT21" s="591"/>
      <c r="AU21" s="591"/>
      <c r="AV21" s="599"/>
      <c r="AY21" s="57"/>
      <c r="AZ21" s="53"/>
      <c r="BA21" s="53"/>
      <c r="BB21" s="57"/>
      <c r="BC21" s="57"/>
      <c r="BD21" s="57"/>
      <c r="BE21" s="57"/>
      <c r="BF21" s="57"/>
      <c r="BG21" s="57"/>
      <c r="BH21" s="617"/>
      <c r="BI21" s="617"/>
    </row>
    <row r="22" spans="3:61" ht="16.5" customHeight="1">
      <c r="C22" s="52"/>
      <c r="D22" s="635"/>
      <c r="E22" s="595"/>
      <c r="F22" s="585"/>
      <c r="G22" s="586"/>
      <c r="H22" s="602"/>
      <c r="I22" s="591"/>
      <c r="J22" s="591"/>
      <c r="K22" s="592"/>
      <c r="L22" s="602"/>
      <c r="M22" s="591"/>
      <c r="N22" s="591"/>
      <c r="O22" s="592"/>
      <c r="P22" s="602"/>
      <c r="Q22" s="591"/>
      <c r="R22" s="591"/>
      <c r="S22" s="592"/>
      <c r="T22" s="602"/>
      <c r="U22" s="591"/>
      <c r="V22" s="591"/>
      <c r="W22" s="599"/>
      <c r="AB22" s="52"/>
      <c r="AC22" s="605"/>
      <c r="AD22" s="591"/>
      <c r="AE22" s="585"/>
      <c r="AF22" s="586"/>
      <c r="AG22" s="602"/>
      <c r="AH22" s="591"/>
      <c r="AI22" s="591"/>
      <c r="AJ22" s="592"/>
      <c r="AK22" s="602"/>
      <c r="AL22" s="591"/>
      <c r="AM22" s="591"/>
      <c r="AN22" s="592"/>
      <c r="AO22" s="602"/>
      <c r="AP22" s="591"/>
      <c r="AQ22" s="591"/>
      <c r="AR22" s="592"/>
      <c r="AS22" s="602"/>
      <c r="AT22" s="591"/>
      <c r="AU22" s="591"/>
      <c r="AV22" s="599"/>
      <c r="AY22" s="57"/>
      <c r="AZ22" s="53"/>
      <c r="BA22" s="53"/>
      <c r="BB22" s="57"/>
      <c r="BC22" s="57"/>
      <c r="BD22" s="57"/>
      <c r="BE22" s="57"/>
      <c r="BF22" s="57"/>
      <c r="BG22" s="57"/>
      <c r="BH22" s="617"/>
      <c r="BI22" s="617"/>
    </row>
    <row r="23" spans="3:61" ht="16.5" customHeight="1">
      <c r="C23" s="52"/>
      <c r="D23" s="614"/>
      <c r="E23" s="609"/>
      <c r="F23" s="609"/>
      <c r="G23" s="637"/>
      <c r="H23" s="608"/>
      <c r="I23" s="609"/>
      <c r="J23" s="609"/>
      <c r="K23" s="637"/>
      <c r="L23" s="608"/>
      <c r="M23" s="609"/>
      <c r="N23" s="609"/>
      <c r="O23" s="637"/>
      <c r="P23" s="608"/>
      <c r="Q23" s="609"/>
      <c r="R23" s="609"/>
      <c r="S23" s="637"/>
      <c r="T23" s="608"/>
      <c r="U23" s="609"/>
      <c r="V23" s="609"/>
      <c r="W23" s="634"/>
      <c r="AB23" s="52"/>
      <c r="AC23" s="614"/>
      <c r="AD23" s="609"/>
      <c r="AE23" s="609"/>
      <c r="AF23" s="637"/>
      <c r="AG23" s="608"/>
      <c r="AH23" s="609"/>
      <c r="AI23" s="609"/>
      <c r="AJ23" s="637"/>
      <c r="AK23" s="608"/>
      <c r="AL23" s="609"/>
      <c r="AM23" s="609"/>
      <c r="AN23" s="637"/>
      <c r="AO23" s="608"/>
      <c r="AP23" s="609"/>
      <c r="AQ23" s="609"/>
      <c r="AR23" s="637"/>
      <c r="AS23" s="608"/>
      <c r="AT23" s="609"/>
      <c r="AU23" s="609"/>
      <c r="AV23" s="634"/>
      <c r="AY23" s="57"/>
      <c r="AZ23" s="53"/>
      <c r="BA23" s="53"/>
      <c r="BB23" s="57"/>
      <c r="BC23" s="57"/>
      <c r="BD23" s="57"/>
      <c r="BE23" s="57"/>
      <c r="BF23" s="57"/>
      <c r="BG23" s="57"/>
      <c r="BH23" s="617"/>
      <c r="BI23" s="617"/>
    </row>
    <row r="24" spans="3:61" ht="16.5" customHeight="1">
      <c r="C24" s="52"/>
      <c r="D24" s="605"/>
      <c r="E24" s="591"/>
      <c r="F24" s="591"/>
      <c r="G24" s="592"/>
      <c r="H24" s="602"/>
      <c r="I24" s="591"/>
      <c r="J24" s="591"/>
      <c r="K24" s="592"/>
      <c r="L24" s="602"/>
      <c r="M24" s="591"/>
      <c r="N24" s="591"/>
      <c r="O24" s="592"/>
      <c r="P24" s="602"/>
      <c r="Q24" s="591"/>
      <c r="R24" s="591"/>
      <c r="S24" s="592"/>
      <c r="T24" s="602"/>
      <c r="U24" s="591"/>
      <c r="V24" s="591"/>
      <c r="W24" s="599"/>
      <c r="AB24" s="52"/>
      <c r="AC24" s="605"/>
      <c r="AD24" s="591"/>
      <c r="AE24" s="591"/>
      <c r="AF24" s="592"/>
      <c r="AG24" s="602"/>
      <c r="AH24" s="591"/>
      <c r="AI24" s="591"/>
      <c r="AJ24" s="592"/>
      <c r="AK24" s="602"/>
      <c r="AL24" s="591"/>
      <c r="AM24" s="591"/>
      <c r="AN24" s="592"/>
      <c r="AO24" s="602"/>
      <c r="AP24" s="591"/>
      <c r="AQ24" s="591"/>
      <c r="AR24" s="592"/>
      <c r="AS24" s="602"/>
      <c r="AT24" s="591"/>
      <c r="AU24" s="591"/>
      <c r="AV24" s="599"/>
      <c r="AY24" s="57"/>
      <c r="AZ24" s="53"/>
      <c r="BA24" s="53"/>
      <c r="BB24" s="57"/>
      <c r="BC24" s="57"/>
      <c r="BD24" s="57"/>
      <c r="BE24" s="57"/>
      <c r="BF24" s="57"/>
      <c r="BG24" s="57"/>
      <c r="BH24" s="617"/>
      <c r="BI24" s="617"/>
    </row>
    <row r="25" spans="3:61" ht="16.5" customHeight="1">
      <c r="C25" s="52"/>
      <c r="D25" s="605"/>
      <c r="E25" s="591"/>
      <c r="F25" s="585"/>
      <c r="G25" s="586"/>
      <c r="H25" s="602"/>
      <c r="I25" s="591"/>
      <c r="J25" s="591"/>
      <c r="K25" s="592"/>
      <c r="L25" s="602"/>
      <c r="M25" s="591"/>
      <c r="N25" s="591"/>
      <c r="O25" s="592"/>
      <c r="P25" s="602"/>
      <c r="Q25" s="591"/>
      <c r="R25" s="591"/>
      <c r="S25" s="592"/>
      <c r="T25" s="602"/>
      <c r="U25" s="591"/>
      <c r="V25" s="591"/>
      <c r="W25" s="599"/>
      <c r="AB25" s="52"/>
      <c r="AC25" s="605"/>
      <c r="AD25" s="591"/>
      <c r="AE25" s="585"/>
      <c r="AF25" s="586"/>
      <c r="AG25" s="602"/>
      <c r="AH25" s="591"/>
      <c r="AI25" s="591"/>
      <c r="AJ25" s="592"/>
      <c r="AK25" s="602"/>
      <c r="AL25" s="591"/>
      <c r="AM25" s="591"/>
      <c r="AN25" s="592"/>
      <c r="AO25" s="602"/>
      <c r="AP25" s="591"/>
      <c r="AQ25" s="591"/>
      <c r="AR25" s="592"/>
      <c r="AS25" s="602"/>
      <c r="AT25" s="591"/>
      <c r="AU25" s="591"/>
      <c r="AV25" s="599"/>
      <c r="AY25" s="57"/>
      <c r="AZ25" s="53"/>
      <c r="BA25" s="53"/>
      <c r="BB25" s="57"/>
      <c r="BC25" s="57"/>
      <c r="BD25" s="57"/>
      <c r="BE25" s="57"/>
      <c r="BF25" s="57"/>
      <c r="BG25" s="57"/>
      <c r="BH25" s="617"/>
      <c r="BI25" s="617"/>
    </row>
    <row r="26" spans="3:61" ht="16.5" customHeight="1">
      <c r="C26" s="52"/>
      <c r="D26" s="635"/>
      <c r="E26" s="595"/>
      <c r="F26" s="612"/>
      <c r="G26" s="613"/>
      <c r="H26" s="636"/>
      <c r="I26" s="595"/>
      <c r="J26" s="595"/>
      <c r="K26" s="596"/>
      <c r="L26" s="636"/>
      <c r="M26" s="595"/>
      <c r="N26" s="595"/>
      <c r="O26" s="596"/>
      <c r="P26" s="636"/>
      <c r="Q26" s="595"/>
      <c r="R26" s="595"/>
      <c r="S26" s="596"/>
      <c r="T26" s="636"/>
      <c r="U26" s="595"/>
      <c r="V26" s="595"/>
      <c r="W26" s="600"/>
      <c r="AB26" s="52"/>
      <c r="AC26" s="635"/>
      <c r="AD26" s="595"/>
      <c r="AE26" s="612"/>
      <c r="AF26" s="613"/>
      <c r="AG26" s="636"/>
      <c r="AH26" s="595"/>
      <c r="AI26" s="595"/>
      <c r="AJ26" s="596"/>
      <c r="AK26" s="636"/>
      <c r="AL26" s="595"/>
      <c r="AM26" s="595"/>
      <c r="AN26" s="596"/>
      <c r="AO26" s="636"/>
      <c r="AP26" s="595"/>
      <c r="AQ26" s="595"/>
      <c r="AR26" s="596"/>
      <c r="AS26" s="636"/>
      <c r="AT26" s="595"/>
      <c r="AU26" s="595"/>
      <c r="AV26" s="600"/>
      <c r="AY26" s="57"/>
      <c r="AZ26" s="53"/>
      <c r="BA26" s="53"/>
      <c r="BB26" s="57"/>
      <c r="BC26" s="57"/>
      <c r="BD26" s="57"/>
      <c r="BE26" s="57"/>
      <c r="BF26" s="57"/>
      <c r="BG26" s="57"/>
      <c r="BH26" s="617"/>
      <c r="BI26" s="617"/>
    </row>
    <row r="27" spans="3:61" ht="16.5" customHeight="1">
      <c r="D27" s="605"/>
      <c r="E27" s="591"/>
      <c r="F27" s="591"/>
      <c r="G27" s="592"/>
      <c r="H27" s="602"/>
      <c r="I27" s="591"/>
      <c r="J27" s="591"/>
      <c r="K27" s="592"/>
      <c r="L27" s="602"/>
      <c r="M27" s="591"/>
      <c r="N27" s="591"/>
      <c r="O27" s="592"/>
      <c r="P27" s="602"/>
      <c r="Q27" s="591"/>
      <c r="R27" s="591"/>
      <c r="S27" s="592"/>
      <c r="T27" s="602"/>
      <c r="U27" s="591"/>
      <c r="V27" s="591"/>
      <c r="W27" s="599"/>
      <c r="AC27" s="605"/>
      <c r="AD27" s="591"/>
      <c r="AE27" s="591"/>
      <c r="AF27" s="592"/>
      <c r="AG27" s="602"/>
      <c r="AH27" s="591"/>
      <c r="AI27" s="591"/>
      <c r="AJ27" s="592"/>
      <c r="AK27" s="602"/>
      <c r="AL27" s="591"/>
      <c r="AM27" s="591"/>
      <c r="AN27" s="592"/>
      <c r="AO27" s="602"/>
      <c r="AP27" s="591"/>
      <c r="AQ27" s="591"/>
      <c r="AR27" s="592"/>
      <c r="AS27" s="602"/>
      <c r="AT27" s="591"/>
      <c r="AU27" s="591"/>
      <c r="AV27" s="599"/>
      <c r="AY27" s="57"/>
      <c r="AZ27" s="53"/>
      <c r="BA27" s="53"/>
      <c r="BB27" s="57"/>
      <c r="BC27" s="57"/>
      <c r="BD27" s="57"/>
      <c r="BE27" s="57"/>
      <c r="BF27" s="57"/>
      <c r="BG27" s="57"/>
      <c r="BH27" s="617"/>
      <c r="BI27" s="617"/>
    </row>
    <row r="28" spans="3:61" ht="16.5" customHeight="1">
      <c r="D28" s="605"/>
      <c r="E28" s="591"/>
      <c r="F28" s="591"/>
      <c r="G28" s="592"/>
      <c r="H28" s="602"/>
      <c r="I28" s="591"/>
      <c r="J28" s="591"/>
      <c r="K28" s="592"/>
      <c r="L28" s="602"/>
      <c r="M28" s="591"/>
      <c r="N28" s="591"/>
      <c r="O28" s="592"/>
      <c r="P28" s="602"/>
      <c r="Q28" s="591"/>
      <c r="R28" s="591"/>
      <c r="S28" s="592"/>
      <c r="T28" s="602"/>
      <c r="U28" s="591"/>
      <c r="V28" s="591"/>
      <c r="W28" s="599"/>
      <c r="AC28" s="605"/>
      <c r="AD28" s="591"/>
      <c r="AE28" s="591"/>
      <c r="AF28" s="592"/>
      <c r="AG28" s="602"/>
      <c r="AH28" s="591"/>
      <c r="AI28" s="591"/>
      <c r="AJ28" s="592"/>
      <c r="AK28" s="602"/>
      <c r="AL28" s="591"/>
      <c r="AM28" s="591"/>
      <c r="AN28" s="592"/>
      <c r="AO28" s="602"/>
      <c r="AP28" s="591"/>
      <c r="AQ28" s="591"/>
      <c r="AR28" s="592"/>
      <c r="AS28" s="602"/>
      <c r="AT28" s="591"/>
      <c r="AU28" s="591"/>
      <c r="AV28" s="599"/>
      <c r="AY28" s="57"/>
      <c r="AZ28" s="53"/>
      <c r="BA28" s="53"/>
      <c r="BB28" s="57"/>
      <c r="BC28" s="57"/>
      <c r="BD28" s="57"/>
      <c r="BE28" s="57"/>
      <c r="BF28" s="57"/>
      <c r="BG28" s="57"/>
      <c r="BH28" s="617"/>
      <c r="BI28" s="617"/>
    </row>
    <row r="29" spans="3:61" ht="16.5" customHeight="1">
      <c r="D29" s="605"/>
      <c r="E29" s="591"/>
      <c r="F29" s="585"/>
      <c r="G29" s="586"/>
      <c r="H29" s="602"/>
      <c r="I29" s="591"/>
      <c r="J29" s="591"/>
      <c r="K29" s="592"/>
      <c r="L29" s="602"/>
      <c r="M29" s="591"/>
      <c r="N29" s="591"/>
      <c r="O29" s="592"/>
      <c r="P29" s="602"/>
      <c r="Q29" s="591"/>
      <c r="R29" s="591"/>
      <c r="S29" s="592"/>
      <c r="T29" s="602"/>
      <c r="U29" s="591"/>
      <c r="V29" s="591"/>
      <c r="W29" s="599"/>
      <c r="AC29" s="605"/>
      <c r="AD29" s="591"/>
      <c r="AE29" s="585"/>
      <c r="AF29" s="586"/>
      <c r="AG29" s="602"/>
      <c r="AH29" s="591"/>
      <c r="AI29" s="591"/>
      <c r="AJ29" s="592"/>
      <c r="AK29" s="602"/>
      <c r="AL29" s="591"/>
      <c r="AM29" s="591"/>
      <c r="AN29" s="592"/>
      <c r="AO29" s="602"/>
      <c r="AP29" s="591"/>
      <c r="AQ29" s="591"/>
      <c r="AR29" s="592"/>
      <c r="AS29" s="602"/>
      <c r="AT29" s="591"/>
      <c r="AU29" s="591"/>
      <c r="AV29" s="599"/>
      <c r="AY29" s="57"/>
      <c r="AZ29" s="53"/>
      <c r="BA29" s="53"/>
      <c r="BB29" s="57"/>
      <c r="BC29" s="57"/>
      <c r="BD29" s="57"/>
      <c r="BE29" s="57"/>
      <c r="BF29" s="57"/>
      <c r="BG29" s="57"/>
      <c r="BH29" s="617"/>
      <c r="BI29" s="617"/>
    </row>
    <row r="30" spans="3:61" ht="16.5" customHeight="1" thickBot="1">
      <c r="D30" s="632"/>
      <c r="E30" s="593"/>
      <c r="F30" s="587"/>
      <c r="G30" s="588"/>
      <c r="H30" s="633"/>
      <c r="I30" s="593"/>
      <c r="J30" s="593"/>
      <c r="K30" s="594"/>
      <c r="L30" s="633"/>
      <c r="M30" s="593"/>
      <c r="N30" s="593"/>
      <c r="O30" s="594"/>
      <c r="P30" s="633"/>
      <c r="Q30" s="593"/>
      <c r="R30" s="593"/>
      <c r="S30" s="594"/>
      <c r="T30" s="633"/>
      <c r="U30" s="593"/>
      <c r="V30" s="593"/>
      <c r="W30" s="603"/>
      <c r="AC30" s="632"/>
      <c r="AD30" s="593"/>
      <c r="AE30" s="587"/>
      <c r="AF30" s="588"/>
      <c r="AG30" s="633"/>
      <c r="AH30" s="593"/>
      <c r="AI30" s="593"/>
      <c r="AJ30" s="594"/>
      <c r="AK30" s="633"/>
      <c r="AL30" s="593"/>
      <c r="AM30" s="593"/>
      <c r="AN30" s="594"/>
      <c r="AO30" s="633"/>
      <c r="AP30" s="593"/>
      <c r="AQ30" s="593"/>
      <c r="AR30" s="594"/>
      <c r="AS30" s="633"/>
      <c r="AT30" s="593"/>
      <c r="AU30" s="593"/>
      <c r="AV30" s="603"/>
      <c r="AY30" s="57"/>
      <c r="AZ30" s="53"/>
      <c r="BA30" s="53"/>
      <c r="BB30" s="57"/>
      <c r="BC30" s="57"/>
      <c r="BD30" s="57"/>
      <c r="BE30" s="57"/>
      <c r="BF30" s="57"/>
      <c r="BG30" s="57"/>
      <c r="BH30" s="617"/>
      <c r="BI30" s="617"/>
    </row>
    <row r="31" spans="3:61" ht="16.5" customHeight="1"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</row>
    <row r="32" spans="3:61" ht="16.5" customHeight="1"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</row>
    <row r="33" spans="3:61" ht="16.5" customHeight="1">
      <c r="D33" s="591" t="s">
        <v>553</v>
      </c>
      <c r="E33" s="591"/>
      <c r="F33" s="591"/>
      <c r="G33" s="591"/>
      <c r="H33" s="591"/>
      <c r="I33" s="591"/>
      <c r="J33" s="591"/>
      <c r="K33" s="591"/>
      <c r="L33" s="591"/>
      <c r="M33" s="591"/>
      <c r="N33" s="591"/>
      <c r="O33" s="591"/>
      <c r="P33" s="591"/>
      <c r="Q33" s="591"/>
      <c r="R33" s="591"/>
      <c r="S33" s="591"/>
      <c r="T33" s="591"/>
      <c r="U33" s="591"/>
      <c r="V33" s="591"/>
      <c r="W33" s="591"/>
      <c r="AC33" s="591" t="s">
        <v>554</v>
      </c>
      <c r="AD33" s="591"/>
      <c r="AE33" s="591"/>
      <c r="AF33" s="591"/>
      <c r="AG33" s="591"/>
      <c r="AH33" s="591"/>
      <c r="AI33" s="591"/>
      <c r="AJ33" s="591"/>
      <c r="AK33" s="591"/>
      <c r="AL33" s="591"/>
      <c r="AM33" s="591"/>
      <c r="AN33" s="591"/>
      <c r="AO33" s="591"/>
      <c r="AP33" s="591"/>
      <c r="AQ33" s="591"/>
      <c r="AR33" s="591"/>
      <c r="AS33" s="591"/>
      <c r="AT33" s="591"/>
      <c r="AU33" s="591"/>
      <c r="AV33" s="591"/>
    </row>
    <row r="40" spans="3:61" ht="16.5" customHeight="1">
      <c r="F40" s="54"/>
      <c r="G40" s="616"/>
      <c r="H40" s="616"/>
      <c r="I40" s="54"/>
      <c r="K40" s="616"/>
      <c r="L40" s="616"/>
      <c r="O40" s="616"/>
      <c r="P40" s="616"/>
      <c r="S40" s="616"/>
      <c r="T40" s="616"/>
      <c r="AE40" s="54"/>
      <c r="AF40" s="616"/>
      <c r="AG40" s="616"/>
      <c r="AH40" s="54"/>
      <c r="AJ40" s="616"/>
      <c r="AK40" s="616"/>
      <c r="AN40" s="616"/>
      <c r="AO40" s="616"/>
      <c r="AR40" s="616"/>
      <c r="AS40" s="616"/>
    </row>
    <row r="41" spans="3:61" ht="16.5" customHeight="1">
      <c r="G41" s="56"/>
      <c r="AF41" s="56"/>
    </row>
    <row r="42" spans="3:61" ht="16.5" customHeight="1">
      <c r="W42" s="617" t="s">
        <v>158</v>
      </c>
      <c r="X42" s="617"/>
      <c r="Y42" s="617"/>
      <c r="Z42" s="617"/>
      <c r="AA42" s="617"/>
      <c r="AB42" s="617"/>
      <c r="AV42" s="54"/>
    </row>
    <row r="44" spans="3:61" ht="16.5" customHeight="1" thickBot="1"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  <c r="U44" s="308"/>
      <c r="V44" s="308"/>
      <c r="AD44" s="308"/>
      <c r="AE44" s="308"/>
      <c r="AF44" s="308"/>
      <c r="AG44" s="308"/>
      <c r="AH44" s="308"/>
      <c r="AI44" s="308"/>
      <c r="AJ44" s="308"/>
      <c r="AK44" s="308"/>
      <c r="AL44" s="308"/>
      <c r="AM44" s="308"/>
      <c r="AN44" s="308"/>
      <c r="AO44" s="308"/>
      <c r="AP44" s="308"/>
      <c r="AQ44" s="308"/>
      <c r="AR44" s="308"/>
      <c r="AS44" s="308"/>
      <c r="AT44" s="308"/>
      <c r="AU44" s="308"/>
    </row>
    <row r="45" spans="3:61" ht="16.5" customHeight="1">
      <c r="D45" s="618"/>
      <c r="E45" s="619"/>
      <c r="F45" s="625"/>
      <c r="G45" s="640"/>
      <c r="H45" s="624"/>
      <c r="I45" s="625"/>
      <c r="J45" s="625"/>
      <c r="K45" s="640"/>
      <c r="L45" s="624"/>
      <c r="M45" s="625"/>
      <c r="N45" s="625"/>
      <c r="O45" s="640"/>
      <c r="P45" s="624"/>
      <c r="Q45" s="625"/>
      <c r="R45" s="625"/>
      <c r="S45" s="640"/>
      <c r="T45" s="624"/>
      <c r="U45" s="625"/>
      <c r="V45" s="625"/>
      <c r="W45" s="638"/>
      <c r="AC45" s="639"/>
      <c r="AD45" s="625"/>
      <c r="AE45" s="625"/>
      <c r="AF45" s="640"/>
      <c r="AG45" s="624"/>
      <c r="AH45" s="625"/>
      <c r="AI45" s="625"/>
      <c r="AJ45" s="640"/>
      <c r="AK45" s="624"/>
      <c r="AL45" s="625"/>
      <c r="AM45" s="625"/>
      <c r="AN45" s="640"/>
      <c r="AO45" s="624"/>
      <c r="AP45" s="625"/>
      <c r="AQ45" s="625"/>
      <c r="AR45" s="640"/>
      <c r="AS45" s="624"/>
      <c r="AT45" s="625"/>
      <c r="AU45" s="625"/>
      <c r="AV45" s="638"/>
      <c r="AY45" s="57"/>
      <c r="AZ45" s="53"/>
      <c r="BA45" s="53"/>
      <c r="BB45" s="57"/>
      <c r="BC45" s="57"/>
      <c r="BD45" s="57"/>
      <c r="BE45" s="57"/>
      <c r="BF45" s="57"/>
      <c r="BG45" s="57"/>
      <c r="BH45" s="617"/>
      <c r="BI45" s="617"/>
    </row>
    <row r="46" spans="3:61" ht="16.5" customHeight="1">
      <c r="C46" s="308"/>
      <c r="D46" s="620"/>
      <c r="E46" s="621"/>
      <c r="F46" s="591"/>
      <c r="G46" s="592"/>
      <c r="H46" s="602"/>
      <c r="I46" s="591"/>
      <c r="J46" s="591"/>
      <c r="K46" s="592"/>
      <c r="L46" s="602"/>
      <c r="M46" s="591"/>
      <c r="N46" s="591"/>
      <c r="O46" s="592"/>
      <c r="P46" s="602"/>
      <c r="Q46" s="591"/>
      <c r="R46" s="591"/>
      <c r="S46" s="592"/>
      <c r="T46" s="602"/>
      <c r="U46" s="591"/>
      <c r="V46" s="591"/>
      <c r="W46" s="599"/>
      <c r="AB46" s="308"/>
      <c r="AC46" s="605"/>
      <c r="AD46" s="591"/>
      <c r="AE46" s="591"/>
      <c r="AF46" s="592"/>
      <c r="AG46" s="602"/>
      <c r="AH46" s="591"/>
      <c r="AI46" s="591"/>
      <c r="AJ46" s="592"/>
      <c r="AK46" s="602"/>
      <c r="AL46" s="591"/>
      <c r="AM46" s="591"/>
      <c r="AN46" s="592"/>
      <c r="AO46" s="602"/>
      <c r="AP46" s="591"/>
      <c r="AQ46" s="591"/>
      <c r="AR46" s="592"/>
      <c r="AS46" s="602"/>
      <c r="AT46" s="591"/>
      <c r="AU46" s="591"/>
      <c r="AV46" s="599"/>
      <c r="AY46" s="57"/>
      <c r="AZ46" s="53"/>
      <c r="BA46" s="53"/>
      <c r="BB46" s="57"/>
      <c r="BC46" s="57"/>
      <c r="BD46" s="57"/>
      <c r="BE46" s="57"/>
      <c r="BF46" s="57"/>
      <c r="BG46" s="57"/>
      <c r="BH46" s="617"/>
      <c r="BI46" s="617"/>
    </row>
    <row r="47" spans="3:61" ht="16.5" customHeight="1">
      <c r="C47" s="308"/>
      <c r="D47" s="605"/>
      <c r="E47" s="591"/>
      <c r="F47" s="585"/>
      <c r="G47" s="586"/>
      <c r="H47" s="602"/>
      <c r="I47" s="591"/>
      <c r="J47" s="591"/>
      <c r="K47" s="592"/>
      <c r="L47" s="602"/>
      <c r="M47" s="591"/>
      <c r="N47" s="591"/>
      <c r="O47" s="592"/>
      <c r="P47" s="602"/>
      <c r="Q47" s="591"/>
      <c r="R47" s="591"/>
      <c r="S47" s="592"/>
      <c r="T47" s="602"/>
      <c r="U47" s="591"/>
      <c r="V47" s="591"/>
      <c r="W47" s="599"/>
      <c r="AB47" s="308"/>
      <c r="AC47" s="605"/>
      <c r="AD47" s="591"/>
      <c r="AE47" s="585"/>
      <c r="AF47" s="586"/>
      <c r="AG47" s="602"/>
      <c r="AH47" s="591"/>
      <c r="AI47" s="591"/>
      <c r="AJ47" s="592"/>
      <c r="AK47" s="602"/>
      <c r="AL47" s="591"/>
      <c r="AM47" s="591"/>
      <c r="AN47" s="592"/>
      <c r="AO47" s="602"/>
      <c r="AP47" s="591"/>
      <c r="AQ47" s="591"/>
      <c r="AR47" s="592"/>
      <c r="AS47" s="602"/>
      <c r="AT47" s="591"/>
      <c r="AU47" s="591"/>
      <c r="AV47" s="599"/>
      <c r="AY47" s="57"/>
      <c r="AZ47" s="53"/>
      <c r="BA47" s="53"/>
      <c r="BB47" s="57"/>
      <c r="BC47" s="57"/>
      <c r="BD47" s="57"/>
      <c r="BE47" s="57"/>
      <c r="BF47" s="57"/>
      <c r="BG47" s="57"/>
      <c r="BH47" s="617"/>
      <c r="BI47" s="617"/>
    </row>
    <row r="48" spans="3:61" ht="16.5" customHeight="1">
      <c r="C48" s="308"/>
      <c r="D48" s="635"/>
      <c r="E48" s="595"/>
      <c r="F48" s="585"/>
      <c r="G48" s="586"/>
      <c r="H48" s="602"/>
      <c r="I48" s="591"/>
      <c r="J48" s="591"/>
      <c r="K48" s="592"/>
      <c r="L48" s="602"/>
      <c r="M48" s="591"/>
      <c r="N48" s="591"/>
      <c r="O48" s="592"/>
      <c r="P48" s="602"/>
      <c r="Q48" s="591"/>
      <c r="R48" s="591"/>
      <c r="S48" s="592"/>
      <c r="T48" s="602"/>
      <c r="U48" s="591"/>
      <c r="V48" s="591"/>
      <c r="W48" s="599"/>
      <c r="AB48" s="308"/>
      <c r="AC48" s="605"/>
      <c r="AD48" s="591"/>
      <c r="AE48" s="585"/>
      <c r="AF48" s="586"/>
      <c r="AG48" s="602"/>
      <c r="AH48" s="591"/>
      <c r="AI48" s="591"/>
      <c r="AJ48" s="592"/>
      <c r="AK48" s="602"/>
      <c r="AL48" s="591"/>
      <c r="AM48" s="591"/>
      <c r="AN48" s="592"/>
      <c r="AO48" s="602"/>
      <c r="AP48" s="591"/>
      <c r="AQ48" s="591"/>
      <c r="AR48" s="592"/>
      <c r="AS48" s="602"/>
      <c r="AT48" s="591"/>
      <c r="AU48" s="591"/>
      <c r="AV48" s="599"/>
      <c r="AY48" s="57"/>
      <c r="AZ48" s="53"/>
      <c r="BA48" s="53"/>
      <c r="BB48" s="57"/>
      <c r="BC48" s="57"/>
      <c r="BD48" s="57"/>
      <c r="BE48" s="57"/>
      <c r="BF48" s="57"/>
      <c r="BG48" s="57"/>
      <c r="BH48" s="617"/>
      <c r="BI48" s="617"/>
    </row>
    <row r="49" spans="3:61" ht="16.5" customHeight="1">
      <c r="C49" s="308"/>
      <c r="D49" s="614"/>
      <c r="E49" s="609"/>
      <c r="F49" s="609"/>
      <c r="G49" s="637"/>
      <c r="H49" s="608"/>
      <c r="I49" s="609"/>
      <c r="J49" s="609"/>
      <c r="K49" s="637"/>
      <c r="L49" s="608"/>
      <c r="M49" s="609"/>
      <c r="N49" s="609"/>
      <c r="O49" s="637"/>
      <c r="P49" s="608"/>
      <c r="Q49" s="609"/>
      <c r="R49" s="609"/>
      <c r="S49" s="637"/>
      <c r="T49" s="608"/>
      <c r="U49" s="609"/>
      <c r="V49" s="609"/>
      <c r="W49" s="634"/>
      <c r="AB49" s="308"/>
      <c r="AC49" s="614"/>
      <c r="AD49" s="609"/>
      <c r="AE49" s="609"/>
      <c r="AF49" s="637"/>
      <c r="AG49" s="608"/>
      <c r="AH49" s="609"/>
      <c r="AI49" s="609"/>
      <c r="AJ49" s="637"/>
      <c r="AK49" s="608"/>
      <c r="AL49" s="609"/>
      <c r="AM49" s="609"/>
      <c r="AN49" s="637"/>
      <c r="AO49" s="608"/>
      <c r="AP49" s="609"/>
      <c r="AQ49" s="609"/>
      <c r="AR49" s="637"/>
      <c r="AS49" s="608"/>
      <c r="AT49" s="609"/>
      <c r="AU49" s="609"/>
      <c r="AV49" s="634"/>
      <c r="AY49" s="57"/>
      <c r="AZ49" s="53"/>
      <c r="BA49" s="53"/>
      <c r="BB49" s="57"/>
      <c r="BC49" s="57"/>
      <c r="BD49" s="57"/>
      <c r="BE49" s="57"/>
      <c r="BF49" s="57"/>
      <c r="BG49" s="57"/>
      <c r="BH49" s="617"/>
      <c r="BI49" s="617"/>
    </row>
    <row r="50" spans="3:61" ht="16.5" customHeight="1">
      <c r="C50" s="308"/>
      <c r="D50" s="605"/>
      <c r="E50" s="591"/>
      <c r="F50" s="591"/>
      <c r="G50" s="592"/>
      <c r="H50" s="602"/>
      <c r="I50" s="591"/>
      <c r="J50" s="591"/>
      <c r="K50" s="592"/>
      <c r="L50" s="602"/>
      <c r="M50" s="591"/>
      <c r="N50" s="591"/>
      <c r="O50" s="592"/>
      <c r="P50" s="602"/>
      <c r="Q50" s="591"/>
      <c r="R50" s="591"/>
      <c r="S50" s="592"/>
      <c r="T50" s="602"/>
      <c r="U50" s="591"/>
      <c r="V50" s="591"/>
      <c r="W50" s="599"/>
      <c r="AB50" s="308"/>
      <c r="AC50" s="605"/>
      <c r="AD50" s="591"/>
      <c r="AE50" s="591"/>
      <c r="AF50" s="592"/>
      <c r="AG50" s="602"/>
      <c r="AH50" s="591"/>
      <c r="AI50" s="591"/>
      <c r="AJ50" s="592"/>
      <c r="AK50" s="602"/>
      <c r="AL50" s="591"/>
      <c r="AM50" s="591"/>
      <c r="AN50" s="592"/>
      <c r="AO50" s="602"/>
      <c r="AP50" s="591"/>
      <c r="AQ50" s="591"/>
      <c r="AR50" s="592"/>
      <c r="AS50" s="602"/>
      <c r="AT50" s="591"/>
      <c r="AU50" s="591"/>
      <c r="AV50" s="599"/>
      <c r="AY50" s="57"/>
      <c r="AZ50" s="53"/>
      <c r="BA50" s="53"/>
      <c r="BB50" s="57"/>
      <c r="BC50" s="57"/>
      <c r="BD50" s="57"/>
      <c r="BE50" s="57"/>
      <c r="BF50" s="57"/>
      <c r="BG50" s="57"/>
      <c r="BH50" s="617"/>
      <c r="BI50" s="617"/>
    </row>
    <row r="51" spans="3:61" ht="16.5" customHeight="1">
      <c r="C51" s="308"/>
      <c r="D51" s="605"/>
      <c r="E51" s="591"/>
      <c r="F51" s="585"/>
      <c r="G51" s="586"/>
      <c r="H51" s="602"/>
      <c r="I51" s="591"/>
      <c r="J51" s="591"/>
      <c r="K51" s="592"/>
      <c r="L51" s="602"/>
      <c r="M51" s="591"/>
      <c r="N51" s="591"/>
      <c r="O51" s="592"/>
      <c r="P51" s="602"/>
      <c r="Q51" s="591"/>
      <c r="R51" s="591"/>
      <c r="S51" s="592"/>
      <c r="T51" s="602"/>
      <c r="U51" s="591"/>
      <c r="V51" s="591"/>
      <c r="W51" s="599"/>
      <c r="AB51" s="308"/>
      <c r="AC51" s="605"/>
      <c r="AD51" s="591"/>
      <c r="AE51" s="585"/>
      <c r="AF51" s="586"/>
      <c r="AG51" s="602"/>
      <c r="AH51" s="591"/>
      <c r="AI51" s="591"/>
      <c r="AJ51" s="592"/>
      <c r="AK51" s="602"/>
      <c r="AL51" s="591"/>
      <c r="AM51" s="591"/>
      <c r="AN51" s="592"/>
      <c r="AO51" s="602"/>
      <c r="AP51" s="591"/>
      <c r="AQ51" s="591"/>
      <c r="AR51" s="592"/>
      <c r="AS51" s="602"/>
      <c r="AT51" s="591"/>
      <c r="AU51" s="591"/>
      <c r="AV51" s="599"/>
      <c r="AY51" s="57"/>
      <c r="AZ51" s="53"/>
      <c r="BA51" s="53"/>
      <c r="BB51" s="57"/>
      <c r="BC51" s="57"/>
      <c r="BD51" s="57"/>
      <c r="BE51" s="57"/>
      <c r="BF51" s="57"/>
      <c r="BG51" s="57"/>
      <c r="BH51" s="617"/>
      <c r="BI51" s="617"/>
    </row>
    <row r="52" spans="3:61" ht="16.5" customHeight="1">
      <c r="C52" s="308"/>
      <c r="D52" s="635"/>
      <c r="E52" s="595"/>
      <c r="F52" s="612"/>
      <c r="G52" s="613"/>
      <c r="H52" s="636"/>
      <c r="I52" s="595"/>
      <c r="J52" s="595"/>
      <c r="K52" s="596"/>
      <c r="L52" s="636"/>
      <c r="M52" s="595"/>
      <c r="N52" s="595"/>
      <c r="O52" s="596"/>
      <c r="P52" s="636"/>
      <c r="Q52" s="595"/>
      <c r="R52" s="595"/>
      <c r="S52" s="596"/>
      <c r="T52" s="636"/>
      <c r="U52" s="595"/>
      <c r="V52" s="595"/>
      <c r="W52" s="600"/>
      <c r="AB52" s="308"/>
      <c r="AC52" s="635"/>
      <c r="AD52" s="595"/>
      <c r="AE52" s="612"/>
      <c r="AF52" s="613"/>
      <c r="AG52" s="636"/>
      <c r="AH52" s="595"/>
      <c r="AI52" s="595"/>
      <c r="AJ52" s="596"/>
      <c r="AK52" s="636"/>
      <c r="AL52" s="595"/>
      <c r="AM52" s="595"/>
      <c r="AN52" s="596"/>
      <c r="AO52" s="636"/>
      <c r="AP52" s="595"/>
      <c r="AQ52" s="595"/>
      <c r="AR52" s="596"/>
      <c r="AS52" s="636"/>
      <c r="AT52" s="595"/>
      <c r="AU52" s="595"/>
      <c r="AV52" s="600"/>
      <c r="AY52" s="57"/>
      <c r="AZ52" s="53"/>
      <c r="BA52" s="53"/>
      <c r="BB52" s="57"/>
      <c r="BC52" s="57"/>
      <c r="BD52" s="57"/>
      <c r="BE52" s="57"/>
      <c r="BF52" s="57"/>
      <c r="BG52" s="57"/>
      <c r="BH52" s="617"/>
      <c r="BI52" s="617"/>
    </row>
    <row r="53" spans="3:61" ht="16.5" customHeight="1">
      <c r="D53" s="605"/>
      <c r="E53" s="591"/>
      <c r="F53" s="591"/>
      <c r="G53" s="592"/>
      <c r="H53" s="602"/>
      <c r="I53" s="591"/>
      <c r="J53" s="591"/>
      <c r="K53" s="592"/>
      <c r="L53" s="602"/>
      <c r="M53" s="591"/>
      <c r="N53" s="591"/>
      <c r="O53" s="592"/>
      <c r="P53" s="602"/>
      <c r="Q53" s="591"/>
      <c r="R53" s="591"/>
      <c r="S53" s="592"/>
      <c r="T53" s="602"/>
      <c r="U53" s="591"/>
      <c r="V53" s="591"/>
      <c r="W53" s="599"/>
      <c r="AC53" s="605"/>
      <c r="AD53" s="591"/>
      <c r="AE53" s="591"/>
      <c r="AF53" s="592"/>
      <c r="AG53" s="602"/>
      <c r="AH53" s="591"/>
      <c r="AI53" s="591"/>
      <c r="AJ53" s="592"/>
      <c r="AK53" s="602"/>
      <c r="AL53" s="591"/>
      <c r="AM53" s="591"/>
      <c r="AN53" s="592"/>
      <c r="AO53" s="602"/>
      <c r="AP53" s="591"/>
      <c r="AQ53" s="591"/>
      <c r="AR53" s="592"/>
      <c r="AS53" s="602"/>
      <c r="AT53" s="591"/>
      <c r="AU53" s="591"/>
      <c r="AV53" s="599"/>
      <c r="AY53" s="57"/>
      <c r="AZ53" s="53"/>
      <c r="BA53" s="53"/>
      <c r="BB53" s="57"/>
      <c r="BC53" s="57"/>
      <c r="BD53" s="57"/>
      <c r="BE53" s="57"/>
      <c r="BF53" s="57"/>
      <c r="BG53" s="57"/>
      <c r="BH53" s="617"/>
      <c r="BI53" s="617"/>
    </row>
    <row r="54" spans="3:61" ht="16.5" customHeight="1">
      <c r="D54" s="605"/>
      <c r="E54" s="591"/>
      <c r="F54" s="591"/>
      <c r="G54" s="592"/>
      <c r="H54" s="602"/>
      <c r="I54" s="591"/>
      <c r="J54" s="591"/>
      <c r="K54" s="592"/>
      <c r="L54" s="602"/>
      <c r="M54" s="591"/>
      <c r="N54" s="591"/>
      <c r="O54" s="592"/>
      <c r="P54" s="602"/>
      <c r="Q54" s="591"/>
      <c r="R54" s="591"/>
      <c r="S54" s="592"/>
      <c r="T54" s="602"/>
      <c r="U54" s="591"/>
      <c r="V54" s="591"/>
      <c r="W54" s="599"/>
      <c r="AC54" s="605"/>
      <c r="AD54" s="591"/>
      <c r="AE54" s="591"/>
      <c r="AF54" s="592"/>
      <c r="AG54" s="602"/>
      <c r="AH54" s="591"/>
      <c r="AI54" s="591"/>
      <c r="AJ54" s="592"/>
      <c r="AK54" s="602"/>
      <c r="AL54" s="591"/>
      <c r="AM54" s="591"/>
      <c r="AN54" s="592"/>
      <c r="AO54" s="602"/>
      <c r="AP54" s="591"/>
      <c r="AQ54" s="591"/>
      <c r="AR54" s="592"/>
      <c r="AS54" s="602"/>
      <c r="AT54" s="591"/>
      <c r="AU54" s="591"/>
      <c r="AV54" s="599"/>
      <c r="AY54" s="57"/>
      <c r="AZ54" s="53"/>
      <c r="BA54" s="53"/>
      <c r="BB54" s="57"/>
      <c r="BC54" s="57"/>
      <c r="BD54" s="57"/>
      <c r="BE54" s="57"/>
      <c r="BF54" s="57"/>
      <c r="BG54" s="57"/>
      <c r="BH54" s="617"/>
      <c r="BI54" s="617"/>
    </row>
    <row r="55" spans="3:61" ht="16.5" customHeight="1">
      <c r="D55" s="605"/>
      <c r="E55" s="591"/>
      <c r="F55" s="585"/>
      <c r="G55" s="586"/>
      <c r="H55" s="602"/>
      <c r="I55" s="591"/>
      <c r="J55" s="591"/>
      <c r="K55" s="592"/>
      <c r="L55" s="602"/>
      <c r="M55" s="591"/>
      <c r="N55" s="591"/>
      <c r="O55" s="592"/>
      <c r="P55" s="602"/>
      <c r="Q55" s="591"/>
      <c r="R55" s="591"/>
      <c r="S55" s="592"/>
      <c r="T55" s="602"/>
      <c r="U55" s="591"/>
      <c r="V55" s="591"/>
      <c r="W55" s="599"/>
      <c r="AC55" s="605"/>
      <c r="AD55" s="591"/>
      <c r="AE55" s="585"/>
      <c r="AF55" s="586"/>
      <c r="AG55" s="602"/>
      <c r="AH55" s="591"/>
      <c r="AI55" s="591"/>
      <c r="AJ55" s="592"/>
      <c r="AK55" s="602"/>
      <c r="AL55" s="591"/>
      <c r="AM55" s="591"/>
      <c r="AN55" s="592"/>
      <c r="AO55" s="602"/>
      <c r="AP55" s="591"/>
      <c r="AQ55" s="591"/>
      <c r="AR55" s="592"/>
      <c r="AS55" s="602"/>
      <c r="AT55" s="591"/>
      <c r="AU55" s="591"/>
      <c r="AV55" s="599"/>
      <c r="AY55" s="57"/>
      <c r="AZ55" s="53"/>
      <c r="BA55" s="53"/>
      <c r="BB55" s="57"/>
      <c r="BC55" s="57"/>
      <c r="BD55" s="57"/>
      <c r="BE55" s="57"/>
      <c r="BF55" s="57"/>
      <c r="BG55" s="57"/>
      <c r="BH55" s="617"/>
      <c r="BI55" s="617"/>
    </row>
    <row r="56" spans="3:61" ht="16.5" customHeight="1" thickBot="1">
      <c r="D56" s="632"/>
      <c r="E56" s="593"/>
      <c r="F56" s="587"/>
      <c r="G56" s="588"/>
      <c r="H56" s="633"/>
      <c r="I56" s="593"/>
      <c r="J56" s="593"/>
      <c r="K56" s="594"/>
      <c r="L56" s="633"/>
      <c r="M56" s="593"/>
      <c r="N56" s="593"/>
      <c r="O56" s="594"/>
      <c r="P56" s="633"/>
      <c r="Q56" s="593"/>
      <c r="R56" s="593"/>
      <c r="S56" s="594"/>
      <c r="T56" s="633"/>
      <c r="U56" s="593"/>
      <c r="V56" s="593"/>
      <c r="W56" s="603"/>
      <c r="AC56" s="632"/>
      <c r="AD56" s="593"/>
      <c r="AE56" s="587"/>
      <c r="AF56" s="588"/>
      <c r="AG56" s="633"/>
      <c r="AH56" s="593"/>
      <c r="AI56" s="593"/>
      <c r="AJ56" s="594"/>
      <c r="AK56" s="633"/>
      <c r="AL56" s="593"/>
      <c r="AM56" s="593"/>
      <c r="AN56" s="594"/>
      <c r="AO56" s="633"/>
      <c r="AP56" s="593"/>
      <c r="AQ56" s="593"/>
      <c r="AR56" s="594"/>
      <c r="AS56" s="633"/>
      <c r="AT56" s="593"/>
      <c r="AU56" s="593"/>
      <c r="AV56" s="603"/>
      <c r="AY56" s="57"/>
      <c r="AZ56" s="53"/>
      <c r="BA56" s="53"/>
      <c r="BB56" s="57"/>
      <c r="BC56" s="57"/>
      <c r="BD56" s="57"/>
      <c r="BE56" s="57"/>
      <c r="BF56" s="57"/>
      <c r="BG56" s="57"/>
      <c r="BH56" s="617"/>
      <c r="BI56" s="617"/>
    </row>
    <row r="57" spans="3:61" ht="16.5" customHeight="1"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</row>
    <row r="58" spans="3:61" ht="16.5" customHeight="1"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AC58" s="307"/>
      <c r="AD58" s="307"/>
      <c r="AE58" s="307"/>
      <c r="AF58" s="307"/>
      <c r="AG58" s="307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7"/>
      <c r="AS58" s="307"/>
      <c r="AT58" s="307"/>
      <c r="AU58" s="307"/>
      <c r="AV58" s="307"/>
    </row>
    <row r="59" spans="3:61" ht="16.5" customHeight="1">
      <c r="D59" s="591" t="s">
        <v>555</v>
      </c>
      <c r="E59" s="591"/>
      <c r="F59" s="591"/>
      <c r="G59" s="591"/>
      <c r="H59" s="591"/>
      <c r="I59" s="591"/>
      <c r="J59" s="591"/>
      <c r="K59" s="591"/>
      <c r="L59" s="591"/>
      <c r="M59" s="591"/>
      <c r="N59" s="591"/>
      <c r="O59" s="591"/>
      <c r="P59" s="591"/>
      <c r="Q59" s="591"/>
      <c r="R59" s="591"/>
      <c r="S59" s="591"/>
      <c r="T59" s="591"/>
      <c r="U59" s="591"/>
      <c r="V59" s="591"/>
      <c r="W59" s="591"/>
      <c r="AC59" s="591" t="s">
        <v>556</v>
      </c>
      <c r="AD59" s="591"/>
      <c r="AE59" s="591"/>
      <c r="AF59" s="591"/>
      <c r="AG59" s="591"/>
      <c r="AH59" s="591"/>
      <c r="AI59" s="591"/>
      <c r="AJ59" s="591"/>
      <c r="AK59" s="591"/>
      <c r="AL59" s="591"/>
      <c r="AM59" s="591"/>
      <c r="AN59" s="591"/>
      <c r="AO59" s="591"/>
      <c r="AP59" s="591"/>
      <c r="AQ59" s="591"/>
      <c r="AR59" s="591"/>
      <c r="AS59" s="591"/>
      <c r="AT59" s="591"/>
      <c r="AU59" s="591"/>
      <c r="AV59" s="591"/>
    </row>
  </sheetData>
  <mergeCells count="271">
    <mergeCell ref="H27:I28"/>
    <mergeCell ref="J27:K28"/>
    <mergeCell ref="F25:G26"/>
    <mergeCell ref="H25:I26"/>
    <mergeCell ref="J25:K26"/>
    <mergeCell ref="L25:M26"/>
    <mergeCell ref="R21:S22"/>
    <mergeCell ref="L27:M28"/>
    <mergeCell ref="N25:O26"/>
    <mergeCell ref="P25:Q26"/>
    <mergeCell ref="F23:G24"/>
    <mergeCell ref="H23:I24"/>
    <mergeCell ref="J23:K24"/>
    <mergeCell ref="L23:M24"/>
    <mergeCell ref="N23:O24"/>
    <mergeCell ref="P23:Q24"/>
    <mergeCell ref="R23:S24"/>
    <mergeCell ref="AC33:AV33"/>
    <mergeCell ref="V25:W26"/>
    <mergeCell ref="P19:Q20"/>
    <mergeCell ref="R19:S20"/>
    <mergeCell ref="R25:S26"/>
    <mergeCell ref="T25:U26"/>
    <mergeCell ref="D29:E30"/>
    <mergeCell ref="F29:G30"/>
    <mergeCell ref="H29:I30"/>
    <mergeCell ref="J29:K30"/>
    <mergeCell ref="L29:M30"/>
    <mergeCell ref="H19:I20"/>
    <mergeCell ref="J19:K20"/>
    <mergeCell ref="L19:M20"/>
    <mergeCell ref="N19:O20"/>
    <mergeCell ref="H21:I22"/>
    <mergeCell ref="J21:K22"/>
    <mergeCell ref="L21:M22"/>
    <mergeCell ref="T19:U20"/>
    <mergeCell ref="F21:G22"/>
    <mergeCell ref="D25:E26"/>
    <mergeCell ref="T21:U22"/>
    <mergeCell ref="D27:E28"/>
    <mergeCell ref="F27:G28"/>
    <mergeCell ref="V21:W22"/>
    <mergeCell ref="D23:E24"/>
    <mergeCell ref="AE21:AF22"/>
    <mergeCell ref="AG21:AH22"/>
    <mergeCell ref="AI21:AJ22"/>
    <mergeCell ref="AK21:AL22"/>
    <mergeCell ref="AM21:AN22"/>
    <mergeCell ref="N29:O30"/>
    <mergeCell ref="P29:Q30"/>
    <mergeCell ref="R29:S30"/>
    <mergeCell ref="T29:U30"/>
    <mergeCell ref="V29:W30"/>
    <mergeCell ref="N27:O28"/>
    <mergeCell ref="P27:Q28"/>
    <mergeCell ref="R27:S28"/>
    <mergeCell ref="T27:U28"/>
    <mergeCell ref="V27:W28"/>
    <mergeCell ref="AM25:AN26"/>
    <mergeCell ref="AM27:AN28"/>
    <mergeCell ref="AM29:AN30"/>
    <mergeCell ref="N21:O22"/>
    <mergeCell ref="P21:Q22"/>
    <mergeCell ref="T23:U24"/>
    <mergeCell ref="V23:W24"/>
    <mergeCell ref="AO25:AP26"/>
    <mergeCell ref="AQ25:AR26"/>
    <mergeCell ref="AS25:AT26"/>
    <mergeCell ref="AU25:AV26"/>
    <mergeCell ref="AC25:AD26"/>
    <mergeCell ref="AE25:AF26"/>
    <mergeCell ref="AG25:AH26"/>
    <mergeCell ref="AI25:AJ26"/>
    <mergeCell ref="AK25:AL26"/>
    <mergeCell ref="AU29:AV30"/>
    <mergeCell ref="AC29:AD30"/>
    <mergeCell ref="AE29:AF30"/>
    <mergeCell ref="AG29:AH30"/>
    <mergeCell ref="AI29:AJ30"/>
    <mergeCell ref="AK29:AL30"/>
    <mergeCell ref="AO27:AP28"/>
    <mergeCell ref="AQ27:AR28"/>
    <mergeCell ref="AS27:AT28"/>
    <mergeCell ref="AU27:AV28"/>
    <mergeCell ref="AC27:AD28"/>
    <mergeCell ref="AE27:AF28"/>
    <mergeCell ref="AG27:AH28"/>
    <mergeCell ref="AI27:AJ28"/>
    <mergeCell ref="AK27:AL28"/>
    <mergeCell ref="B2:Q2"/>
    <mergeCell ref="AO21:AP22"/>
    <mergeCell ref="AQ21:AR22"/>
    <mergeCell ref="AS21:AT22"/>
    <mergeCell ref="AU21:AV22"/>
    <mergeCell ref="AC19:AD20"/>
    <mergeCell ref="AC21:AD22"/>
    <mergeCell ref="W16:AB16"/>
    <mergeCell ref="G14:H14"/>
    <mergeCell ref="K14:L14"/>
    <mergeCell ref="O14:P14"/>
    <mergeCell ref="S14:T14"/>
    <mergeCell ref="D19:E20"/>
    <mergeCell ref="F19:G20"/>
    <mergeCell ref="D21:E22"/>
    <mergeCell ref="AF14:AG14"/>
    <mergeCell ref="AJ14:AK14"/>
    <mergeCell ref="AN14:AO14"/>
    <mergeCell ref="AR14:AS14"/>
    <mergeCell ref="AE19:AF20"/>
    <mergeCell ref="AG19:AH20"/>
    <mergeCell ref="AI19:AJ20"/>
    <mergeCell ref="AK19:AL20"/>
    <mergeCell ref="AM19:AN20"/>
    <mergeCell ref="BH19:BI22"/>
    <mergeCell ref="BH23:BI26"/>
    <mergeCell ref="BH27:BI30"/>
    <mergeCell ref="D10:AV10"/>
    <mergeCell ref="D33:W33"/>
    <mergeCell ref="D11:AV11"/>
    <mergeCell ref="V19:W20"/>
    <mergeCell ref="AC23:AD24"/>
    <mergeCell ref="AE23:AF24"/>
    <mergeCell ref="AG23:AH24"/>
    <mergeCell ref="AI23:AJ24"/>
    <mergeCell ref="AU23:AV24"/>
    <mergeCell ref="AO19:AP20"/>
    <mergeCell ref="AQ19:AR20"/>
    <mergeCell ref="AS19:AT20"/>
    <mergeCell ref="AU19:AV20"/>
    <mergeCell ref="AK23:AL24"/>
    <mergeCell ref="AM23:AN24"/>
    <mergeCell ref="AO23:AP24"/>
    <mergeCell ref="AQ23:AR24"/>
    <mergeCell ref="AS23:AT24"/>
    <mergeCell ref="AO29:AP30"/>
    <mergeCell ref="AQ29:AR30"/>
    <mergeCell ref="AS29:AT30"/>
    <mergeCell ref="G40:H40"/>
    <mergeCell ref="K40:L40"/>
    <mergeCell ref="O40:P40"/>
    <mergeCell ref="S40:T40"/>
    <mergeCell ref="AF40:AG40"/>
    <mergeCell ref="AJ40:AK40"/>
    <mergeCell ref="AN40:AO40"/>
    <mergeCell ref="AR40:AS40"/>
    <mergeCell ref="W42:AB42"/>
    <mergeCell ref="AC45:AD46"/>
    <mergeCell ref="AE45:AF46"/>
    <mergeCell ref="AG45:AH46"/>
    <mergeCell ref="AI45:AJ46"/>
    <mergeCell ref="AK45:AL46"/>
    <mergeCell ref="AM45:AN46"/>
    <mergeCell ref="AO45:AP46"/>
    <mergeCell ref="AQ45:AR46"/>
    <mergeCell ref="D45:E46"/>
    <mergeCell ref="F45:G46"/>
    <mergeCell ref="H45:I46"/>
    <mergeCell ref="J45:K46"/>
    <mergeCell ref="L45:M46"/>
    <mergeCell ref="N45:O46"/>
    <mergeCell ref="P45:Q46"/>
    <mergeCell ref="R45:S46"/>
    <mergeCell ref="T45:U46"/>
    <mergeCell ref="AS45:AT46"/>
    <mergeCell ref="AU45:AV46"/>
    <mergeCell ref="BH45:BI48"/>
    <mergeCell ref="D47:E48"/>
    <mergeCell ref="F47:G48"/>
    <mergeCell ref="H47:I48"/>
    <mergeCell ref="J47:K48"/>
    <mergeCell ref="L47:M48"/>
    <mergeCell ref="N47:O48"/>
    <mergeCell ref="P47:Q48"/>
    <mergeCell ref="R47:S48"/>
    <mergeCell ref="T47:U48"/>
    <mergeCell ref="V47:W48"/>
    <mergeCell ref="AC47:AD48"/>
    <mergeCell ref="AE47:AF48"/>
    <mergeCell ref="AG47:AH48"/>
    <mergeCell ref="AI47:AJ48"/>
    <mergeCell ref="AK47:AL48"/>
    <mergeCell ref="AM47:AN48"/>
    <mergeCell ref="AO47:AP48"/>
    <mergeCell ref="AQ47:AR48"/>
    <mergeCell ref="AS47:AT48"/>
    <mergeCell ref="AU47:AV48"/>
    <mergeCell ref="V45:W46"/>
    <mergeCell ref="AC49:AD50"/>
    <mergeCell ref="AE49:AF50"/>
    <mergeCell ref="AG49:AH50"/>
    <mergeCell ref="AI49:AJ50"/>
    <mergeCell ref="AK49:AL50"/>
    <mergeCell ref="AM49:AN50"/>
    <mergeCell ref="AO49:AP50"/>
    <mergeCell ref="AQ49:AR50"/>
    <mergeCell ref="D49:E50"/>
    <mergeCell ref="F49:G50"/>
    <mergeCell ref="H49:I50"/>
    <mergeCell ref="J49:K50"/>
    <mergeCell ref="L49:M50"/>
    <mergeCell ref="N49:O50"/>
    <mergeCell ref="P49:Q50"/>
    <mergeCell ref="R49:S50"/>
    <mergeCell ref="T49:U50"/>
    <mergeCell ref="AS49:AT50"/>
    <mergeCell ref="AU49:AV50"/>
    <mergeCell ref="BH49:BI52"/>
    <mergeCell ref="D51:E52"/>
    <mergeCell ref="F51:G52"/>
    <mergeCell ref="H51:I52"/>
    <mergeCell ref="J51:K52"/>
    <mergeCell ref="L51:M52"/>
    <mergeCell ref="N51:O52"/>
    <mergeCell ref="P51:Q52"/>
    <mergeCell ref="R51:S52"/>
    <mergeCell ref="T51:U52"/>
    <mergeCell ref="V51:W52"/>
    <mergeCell ref="AC51:AD52"/>
    <mergeCell ref="AE51:AF52"/>
    <mergeCell ref="AG51:AH52"/>
    <mergeCell ref="AI51:AJ52"/>
    <mergeCell ref="AK51:AL52"/>
    <mergeCell ref="AM51:AN52"/>
    <mergeCell ref="AO51:AP52"/>
    <mergeCell ref="AQ51:AR52"/>
    <mergeCell ref="AS51:AT52"/>
    <mergeCell ref="AU51:AV52"/>
    <mergeCell ref="V49:W50"/>
    <mergeCell ref="D53:E54"/>
    <mergeCell ref="F53:G54"/>
    <mergeCell ref="H53:I54"/>
    <mergeCell ref="J53:K54"/>
    <mergeCell ref="L53:M54"/>
    <mergeCell ref="N53:O54"/>
    <mergeCell ref="P53:Q54"/>
    <mergeCell ref="R53:S54"/>
    <mergeCell ref="T53:U54"/>
    <mergeCell ref="AU55:AV56"/>
    <mergeCell ref="V53:W54"/>
    <mergeCell ref="AC53:AD54"/>
    <mergeCell ref="AE53:AF54"/>
    <mergeCell ref="AG53:AH54"/>
    <mergeCell ref="AI53:AJ54"/>
    <mergeCell ref="AK53:AL54"/>
    <mergeCell ref="AM53:AN54"/>
    <mergeCell ref="AO53:AP54"/>
    <mergeCell ref="AQ53:AR54"/>
    <mergeCell ref="D59:W59"/>
    <mergeCell ref="AC59:AV59"/>
    <mergeCell ref="AS53:AT54"/>
    <mergeCell ref="AU53:AV54"/>
    <mergeCell ref="BH53:BI56"/>
    <mergeCell ref="D55:E56"/>
    <mergeCell ref="F55:G56"/>
    <mergeCell ref="H55:I56"/>
    <mergeCell ref="J55:K56"/>
    <mergeCell ref="L55:M56"/>
    <mergeCell ref="N55:O56"/>
    <mergeCell ref="P55:Q56"/>
    <mergeCell ref="R55:S56"/>
    <mergeCell ref="T55:U56"/>
    <mergeCell ref="V55:W56"/>
    <mergeCell ref="AC55:AD56"/>
    <mergeCell ref="AE55:AF56"/>
    <mergeCell ref="AG55:AH56"/>
    <mergeCell ref="AI55:AJ56"/>
    <mergeCell ref="AK55:AL56"/>
    <mergeCell ref="AM55:AN56"/>
    <mergeCell ref="AO55:AP56"/>
    <mergeCell ref="AQ55:AR56"/>
    <mergeCell ref="AS55:AT56"/>
  </mergeCells>
  <pageMargins left="0.7" right="0.46" top="0.49" bottom="0.75" header="0.3" footer="0.3"/>
  <pageSetup paperSize="9" scale="73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topLeftCell="A59" zoomScale="110" zoomScaleNormal="70" zoomScaleSheetLayoutView="110" workbookViewId="0">
      <selection activeCell="M4" sqref="M4:AC4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585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582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663" t="s">
        <v>559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0.47916666666666669</v>
      </c>
      <c r="J13" s="709"/>
      <c r="K13" s="709"/>
      <c r="L13" s="709"/>
      <c r="M13" s="709"/>
      <c r="N13" s="709"/>
      <c r="O13" s="709"/>
      <c r="P13" s="709">
        <v>1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0.53039999999999998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6.7</v>
      </c>
      <c r="AW13" s="714"/>
      <c r="AX13" s="714"/>
      <c r="AY13" s="714"/>
      <c r="AZ13" s="714"/>
      <c r="BA13" s="714"/>
      <c r="BB13" s="714"/>
      <c r="BC13" s="714">
        <f>ROUND(AVERAGE(AV13:BB15),1)</f>
        <v>6.8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0.48472222222222222</v>
      </c>
      <c r="J14" s="710"/>
      <c r="K14" s="710"/>
      <c r="L14" s="710"/>
      <c r="M14" s="710"/>
      <c r="N14" s="710"/>
      <c r="O14" s="710"/>
      <c r="P14" s="710">
        <v>2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0.53790000000000004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6.8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587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588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571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560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0.4777777777777778</v>
      </c>
      <c r="J23" s="709"/>
      <c r="K23" s="709"/>
      <c r="L23" s="709"/>
      <c r="M23" s="709"/>
      <c r="N23" s="709"/>
      <c r="O23" s="709"/>
      <c r="P23" s="713">
        <v>14</v>
      </c>
      <c r="Q23" s="714"/>
      <c r="R23" s="714"/>
      <c r="S23" s="714"/>
      <c r="T23" s="714"/>
      <c r="U23" s="714"/>
      <c r="V23" s="714"/>
      <c r="W23" s="684">
        <v>5.6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80.400000000000006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1.2103722108704538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0.4916666666666667</v>
      </c>
      <c r="J24" s="710"/>
      <c r="K24" s="710"/>
      <c r="L24" s="710"/>
      <c r="M24" s="710"/>
      <c r="N24" s="710"/>
      <c r="O24" s="710"/>
      <c r="P24" s="741">
        <v>14</v>
      </c>
      <c r="Q24" s="736"/>
      <c r="R24" s="736"/>
      <c r="S24" s="736"/>
      <c r="T24" s="736"/>
      <c r="U24" s="736"/>
      <c r="V24" s="736"/>
      <c r="W24" s="736">
        <v>5.6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80.400000000000006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1.2103722108704538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</v>
      </c>
      <c r="Q25" s="738"/>
      <c r="R25" s="738"/>
      <c r="S25" s="738"/>
      <c r="T25" s="738"/>
      <c r="U25" s="738"/>
      <c r="V25" s="788"/>
      <c r="W25" s="738">
        <f>ROUND(AVERAGE(W23:AC24),1)</f>
        <v>5.6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80.400000000000006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589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0.45833333333333331</v>
      </c>
      <c r="I33" s="684"/>
      <c r="J33" s="684"/>
      <c r="K33" s="684"/>
      <c r="L33" s="684"/>
      <c r="M33" s="684"/>
      <c r="N33" s="684"/>
      <c r="O33" s="685"/>
      <c r="P33" s="719">
        <v>162</v>
      </c>
      <c r="Q33" s="684"/>
      <c r="R33" s="684"/>
      <c r="S33" s="684"/>
      <c r="T33" s="684"/>
      <c r="U33" s="684"/>
      <c r="V33" s="684"/>
      <c r="W33" s="685"/>
      <c r="X33" s="719">
        <v>132</v>
      </c>
      <c r="Y33" s="684"/>
      <c r="Z33" s="684"/>
      <c r="AA33" s="684"/>
      <c r="AB33" s="684"/>
      <c r="AC33" s="684"/>
      <c r="AD33" s="684"/>
      <c r="AE33" s="685"/>
      <c r="AF33" s="713">
        <v>-2</v>
      </c>
      <c r="AG33" s="714"/>
      <c r="AH33" s="714"/>
      <c r="AI33" s="714"/>
      <c r="AJ33" s="684"/>
      <c r="AK33" s="684"/>
      <c r="AL33" s="684"/>
      <c r="AM33" s="685"/>
      <c r="AN33" s="713">
        <f>IF(P33="","",ROUND($S$50*SQRT(2*P33/$AV$33),1))</f>
        <v>18.899999999999999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796">
        <f>ROUND($AR$25*298.15/101.32*($BF$8+AF33)/(273.15+X49),3)</f>
        <v>0.90600000000000003</v>
      </c>
      <c r="AW33" s="675"/>
      <c r="AX33" s="675"/>
      <c r="AY33" s="675"/>
      <c r="AZ33" s="675"/>
      <c r="BA33" s="675"/>
      <c r="BB33" s="67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92</v>
      </c>
      <c r="Q34" s="698"/>
      <c r="R34" s="698"/>
      <c r="S34" s="698"/>
      <c r="T34" s="698"/>
      <c r="U34" s="698"/>
      <c r="V34" s="698"/>
      <c r="W34" s="699"/>
      <c r="X34" s="700">
        <v>132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7" si="1">IF(P34="","",ROUND($S$50*SQRT(2*P34/$AV$33),1))</f>
        <v>14.3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156</v>
      </c>
      <c r="Q35" s="687"/>
      <c r="R35" s="687"/>
      <c r="S35" s="688"/>
      <c r="T35" s="698"/>
      <c r="U35" s="698"/>
      <c r="V35" s="698"/>
      <c r="W35" s="699"/>
      <c r="X35" s="700">
        <v>130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18.600000000000001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66</v>
      </c>
      <c r="Q36" s="687"/>
      <c r="R36" s="687"/>
      <c r="S36" s="688"/>
      <c r="T36" s="698"/>
      <c r="U36" s="698"/>
      <c r="V36" s="698"/>
      <c r="W36" s="699"/>
      <c r="X36" s="700">
        <v>130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12.1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194</v>
      </c>
      <c r="Q37" s="687"/>
      <c r="R37" s="687"/>
      <c r="S37" s="688"/>
      <c r="T37" s="698"/>
      <c r="U37" s="698"/>
      <c r="V37" s="698"/>
      <c r="W37" s="699"/>
      <c r="X37" s="700">
        <v>131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20.7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739000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64</v>
      </c>
      <c r="Q38" s="687"/>
      <c r="R38" s="687"/>
      <c r="S38" s="688"/>
      <c r="T38" s="698"/>
      <c r="U38" s="698"/>
      <c r="V38" s="698"/>
      <c r="W38" s="699"/>
      <c r="X38" s="700">
        <v>127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11.9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68</v>
      </c>
      <c r="Q39" s="687"/>
      <c r="R39" s="687"/>
      <c r="S39" s="688"/>
      <c r="T39" s="698"/>
      <c r="U39" s="698"/>
      <c r="V39" s="698"/>
      <c r="W39" s="699"/>
      <c r="X39" s="700">
        <v>125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12.3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82</v>
      </c>
      <c r="Q40" s="687"/>
      <c r="R40" s="687"/>
      <c r="S40" s="688"/>
      <c r="T40" s="698"/>
      <c r="U40" s="698"/>
      <c r="V40" s="698"/>
      <c r="W40" s="699"/>
      <c r="X40" s="700">
        <v>124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13.5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78</v>
      </c>
      <c r="Q41" s="687"/>
      <c r="R41" s="687"/>
      <c r="S41" s="688"/>
      <c r="T41" s="698"/>
      <c r="U41" s="698"/>
      <c r="V41" s="698"/>
      <c r="W41" s="699"/>
      <c r="X41" s="700">
        <v>124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13.1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561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52</v>
      </c>
      <c r="Q42" s="687"/>
      <c r="R42" s="687"/>
      <c r="S42" s="688"/>
      <c r="T42" s="698"/>
      <c r="U42" s="698"/>
      <c r="V42" s="698"/>
      <c r="W42" s="699"/>
      <c r="X42" s="700">
        <v>118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si="1"/>
        <v>10.7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553000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166</v>
      </c>
      <c r="Q43" s="687"/>
      <c r="R43" s="687"/>
      <c r="S43" s="688"/>
      <c r="T43" s="698"/>
      <c r="U43" s="698"/>
      <c r="V43" s="698"/>
      <c r="W43" s="699"/>
      <c r="X43" s="700">
        <v>116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1"/>
        <v>19.100000000000001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62</v>
      </c>
      <c r="Q44" s="687"/>
      <c r="R44" s="687"/>
      <c r="S44" s="688"/>
      <c r="T44" s="698"/>
      <c r="U44" s="698"/>
      <c r="V44" s="698"/>
      <c r="W44" s="699"/>
      <c r="X44" s="700">
        <v>116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1"/>
        <v>11.7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134</v>
      </c>
      <c r="Q45" s="687"/>
      <c r="R45" s="687"/>
      <c r="S45" s="688"/>
      <c r="T45" s="698"/>
      <c r="U45" s="698"/>
      <c r="V45" s="698"/>
      <c r="W45" s="699"/>
      <c r="X45" s="700">
        <v>115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1"/>
        <v>17.2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102</v>
      </c>
      <c r="Q46" s="698"/>
      <c r="R46" s="698"/>
      <c r="S46" s="698"/>
      <c r="T46" s="698"/>
      <c r="U46" s="698"/>
      <c r="V46" s="698"/>
      <c r="W46" s="699"/>
      <c r="X46" s="700">
        <v>115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1"/>
        <v>15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561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0.47291666666666665</v>
      </c>
      <c r="I47" s="698"/>
      <c r="J47" s="698"/>
      <c r="K47" s="698"/>
      <c r="L47" s="698"/>
      <c r="M47" s="698"/>
      <c r="N47" s="698"/>
      <c r="O47" s="699"/>
      <c r="P47" s="700">
        <v>154</v>
      </c>
      <c r="Q47" s="698"/>
      <c r="R47" s="698"/>
      <c r="S47" s="698"/>
      <c r="T47" s="698"/>
      <c r="U47" s="698"/>
      <c r="V47" s="698"/>
      <c r="W47" s="699"/>
      <c r="X47" s="700">
        <v>115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1"/>
        <v>18.399999999999999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516000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123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15.2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593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590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591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41" t="s">
        <v>6</v>
      </c>
      <c r="Y53" s="341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39" t="s">
        <v>592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567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562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563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topLeftCell="A4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595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582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663" t="s">
        <v>559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0.51388888888888895</v>
      </c>
      <c r="J13" s="709"/>
      <c r="K13" s="709"/>
      <c r="L13" s="709"/>
      <c r="M13" s="709"/>
      <c r="N13" s="709"/>
      <c r="O13" s="709"/>
      <c r="P13" s="709">
        <v>3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0.53969999999999996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6.8</v>
      </c>
      <c r="AW13" s="714"/>
      <c r="AX13" s="714"/>
      <c r="AY13" s="714"/>
      <c r="AZ13" s="714"/>
      <c r="BA13" s="714"/>
      <c r="BB13" s="714"/>
      <c r="BC13" s="714">
        <f>ROUND(AVERAGE(AV13:BB15),1)</f>
        <v>6.8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0.51874999999999993</v>
      </c>
      <c r="J14" s="710"/>
      <c r="K14" s="710"/>
      <c r="L14" s="710"/>
      <c r="M14" s="710"/>
      <c r="N14" s="710"/>
      <c r="O14" s="710"/>
      <c r="P14" s="710">
        <v>7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0.53549999999999998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6.7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600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596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571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560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0.5131944444444444</v>
      </c>
      <c r="J23" s="709"/>
      <c r="K23" s="709"/>
      <c r="L23" s="709"/>
      <c r="M23" s="709"/>
      <c r="N23" s="709"/>
      <c r="O23" s="709"/>
      <c r="P23" s="713">
        <v>14.2</v>
      </c>
      <c r="Q23" s="714"/>
      <c r="R23" s="714"/>
      <c r="S23" s="714"/>
      <c r="T23" s="714"/>
      <c r="U23" s="714"/>
      <c r="V23" s="714"/>
      <c r="W23" s="684">
        <v>5.4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80.399999999999991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1.2112863097670616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0.52361111111111114</v>
      </c>
      <c r="J24" s="710"/>
      <c r="K24" s="710"/>
      <c r="L24" s="710"/>
      <c r="M24" s="710"/>
      <c r="N24" s="710"/>
      <c r="O24" s="710"/>
      <c r="P24" s="741">
        <v>14.2</v>
      </c>
      <c r="Q24" s="736"/>
      <c r="R24" s="736"/>
      <c r="S24" s="736"/>
      <c r="T24" s="736"/>
      <c r="U24" s="736"/>
      <c r="V24" s="736"/>
      <c r="W24" s="736">
        <v>5.4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80.399999999999991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1.2112863097670616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14.2</v>
      </c>
      <c r="Q25" s="738"/>
      <c r="R25" s="738"/>
      <c r="S25" s="738"/>
      <c r="T25" s="738"/>
      <c r="U25" s="738"/>
      <c r="V25" s="788"/>
      <c r="W25" s="738">
        <f>ROUND(AVERAGE(W23:AC24),1)</f>
        <v>5.4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80.399999999999991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589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0.5</v>
      </c>
      <c r="I33" s="684"/>
      <c r="J33" s="684"/>
      <c r="K33" s="684"/>
      <c r="L33" s="684"/>
      <c r="M33" s="684"/>
      <c r="N33" s="684"/>
      <c r="O33" s="685"/>
      <c r="P33" s="719">
        <v>144</v>
      </c>
      <c r="Q33" s="684"/>
      <c r="R33" s="684"/>
      <c r="S33" s="684"/>
      <c r="T33" s="684"/>
      <c r="U33" s="684"/>
      <c r="V33" s="684"/>
      <c r="W33" s="685"/>
      <c r="X33" s="719">
        <v>115</v>
      </c>
      <c r="Y33" s="684"/>
      <c r="Z33" s="684"/>
      <c r="AA33" s="684"/>
      <c r="AB33" s="684"/>
      <c r="AC33" s="684"/>
      <c r="AD33" s="684"/>
      <c r="AE33" s="685"/>
      <c r="AF33" s="713">
        <v>-2.2000000000000002</v>
      </c>
      <c r="AG33" s="714"/>
      <c r="AH33" s="714"/>
      <c r="AI33" s="714"/>
      <c r="AJ33" s="684"/>
      <c r="AK33" s="684"/>
      <c r="AL33" s="684"/>
      <c r="AM33" s="685"/>
      <c r="AN33" s="713">
        <f>IF(P33="","",ROUND($S$50*SQRT(2*P33/$AV$33),1))</f>
        <v>17.899999999999999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864">
        <f>ROUND($AR$25*298.15/101.32*($BF$8+AF33)/(273.15+X49),3)</f>
        <v>0.9</v>
      </c>
      <c r="AW33" s="865"/>
      <c r="AX33" s="865"/>
      <c r="AY33" s="865"/>
      <c r="AZ33" s="865"/>
      <c r="BA33" s="865"/>
      <c r="BB33" s="86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86</v>
      </c>
      <c r="Q34" s="698"/>
      <c r="R34" s="698"/>
      <c r="S34" s="698"/>
      <c r="T34" s="698"/>
      <c r="U34" s="698"/>
      <c r="V34" s="698"/>
      <c r="W34" s="699"/>
      <c r="X34" s="700">
        <v>115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7" si="1">IF(P34="","",ROUND($S$50*SQRT(2*P34/$AV$33),1))</f>
        <v>13.8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152</v>
      </c>
      <c r="Q35" s="687"/>
      <c r="R35" s="687"/>
      <c r="S35" s="688"/>
      <c r="T35" s="698"/>
      <c r="U35" s="698"/>
      <c r="V35" s="698"/>
      <c r="W35" s="699"/>
      <c r="X35" s="700">
        <v>115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18.399999999999999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48</v>
      </c>
      <c r="Q36" s="687"/>
      <c r="R36" s="687"/>
      <c r="S36" s="688"/>
      <c r="T36" s="698"/>
      <c r="U36" s="698"/>
      <c r="V36" s="698"/>
      <c r="W36" s="699"/>
      <c r="X36" s="700">
        <v>119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10.3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182</v>
      </c>
      <c r="Q37" s="687"/>
      <c r="R37" s="687"/>
      <c r="S37" s="688"/>
      <c r="T37" s="698"/>
      <c r="U37" s="698"/>
      <c r="V37" s="698"/>
      <c r="W37" s="699"/>
      <c r="X37" s="700">
        <v>118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20.100000000000001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700000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58</v>
      </c>
      <c r="Q38" s="687"/>
      <c r="R38" s="687"/>
      <c r="S38" s="688"/>
      <c r="T38" s="698"/>
      <c r="U38" s="698"/>
      <c r="V38" s="698"/>
      <c r="W38" s="699"/>
      <c r="X38" s="700">
        <v>121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11.4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64</v>
      </c>
      <c r="Q39" s="687"/>
      <c r="R39" s="687"/>
      <c r="S39" s="688"/>
      <c r="T39" s="698"/>
      <c r="U39" s="698"/>
      <c r="V39" s="698"/>
      <c r="W39" s="699"/>
      <c r="X39" s="700">
        <v>125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11.9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76</v>
      </c>
      <c r="Q40" s="687"/>
      <c r="R40" s="687"/>
      <c r="S40" s="688"/>
      <c r="T40" s="698"/>
      <c r="U40" s="698"/>
      <c r="V40" s="698"/>
      <c r="W40" s="699"/>
      <c r="X40" s="700">
        <v>125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13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54</v>
      </c>
      <c r="Q41" s="687"/>
      <c r="R41" s="687"/>
      <c r="S41" s="688"/>
      <c r="T41" s="698"/>
      <c r="U41" s="698"/>
      <c r="V41" s="698"/>
      <c r="W41" s="699"/>
      <c r="X41" s="700">
        <v>127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11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561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58</v>
      </c>
      <c r="Q42" s="687"/>
      <c r="R42" s="687"/>
      <c r="S42" s="688"/>
      <c r="T42" s="698"/>
      <c r="U42" s="698"/>
      <c r="V42" s="698"/>
      <c r="W42" s="699"/>
      <c r="X42" s="700">
        <v>132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si="1"/>
        <v>11.4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520000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166</v>
      </c>
      <c r="Q43" s="687"/>
      <c r="R43" s="687"/>
      <c r="S43" s="688"/>
      <c r="T43" s="698"/>
      <c r="U43" s="698"/>
      <c r="V43" s="698"/>
      <c r="W43" s="699"/>
      <c r="X43" s="700">
        <v>132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1"/>
        <v>19.2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68</v>
      </c>
      <c r="Q44" s="687"/>
      <c r="R44" s="687"/>
      <c r="S44" s="688"/>
      <c r="T44" s="698"/>
      <c r="U44" s="698"/>
      <c r="V44" s="698"/>
      <c r="W44" s="699"/>
      <c r="X44" s="700">
        <v>128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1"/>
        <v>12.3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94</v>
      </c>
      <c r="Q45" s="687"/>
      <c r="R45" s="687"/>
      <c r="S45" s="688"/>
      <c r="T45" s="698"/>
      <c r="U45" s="698"/>
      <c r="V45" s="698"/>
      <c r="W45" s="699"/>
      <c r="X45" s="700">
        <v>135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1"/>
        <v>14.5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86</v>
      </c>
      <c r="Q46" s="698"/>
      <c r="R46" s="698"/>
      <c r="S46" s="698"/>
      <c r="T46" s="698"/>
      <c r="U46" s="698"/>
      <c r="V46" s="698"/>
      <c r="W46" s="699"/>
      <c r="X46" s="700">
        <v>135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1"/>
        <v>13.8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561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0.51250000000000007</v>
      </c>
      <c r="I47" s="698"/>
      <c r="J47" s="698"/>
      <c r="K47" s="698"/>
      <c r="L47" s="698"/>
      <c r="M47" s="698"/>
      <c r="N47" s="698"/>
      <c r="O47" s="699"/>
      <c r="P47" s="700">
        <v>138</v>
      </c>
      <c r="Q47" s="698"/>
      <c r="R47" s="698"/>
      <c r="S47" s="698"/>
      <c r="T47" s="698"/>
      <c r="U47" s="698"/>
      <c r="V47" s="698"/>
      <c r="W47" s="699"/>
      <c r="X47" s="700">
        <v>132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1"/>
        <v>17.5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485000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125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14.4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593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590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591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41" t="s">
        <v>6</v>
      </c>
      <c r="Y53" s="341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39" t="s">
        <v>592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567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562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563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583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569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12"/>
      <c r="N5" s="312"/>
      <c r="O5" s="312"/>
      <c r="P5" s="312"/>
      <c r="Q5" s="312"/>
      <c r="R5" s="312"/>
      <c r="S5" s="312"/>
      <c r="T5" s="312"/>
      <c r="U5" s="312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46"/>
      <c r="AG5" s="46"/>
      <c r="AH5" s="46"/>
      <c r="AI5" s="46"/>
      <c r="AJ5" s="46"/>
      <c r="AK5" s="46"/>
      <c r="AL5" s="46"/>
      <c r="AM5" s="46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13"/>
      <c r="N6" s="313"/>
      <c r="O6" s="313"/>
      <c r="R6" s="663" t="s">
        <v>559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13"/>
      <c r="AO6" s="313"/>
      <c r="AP6" s="313"/>
      <c r="AQ6" s="313"/>
      <c r="AR6" s="313"/>
      <c r="AS6" s="313"/>
      <c r="AT6" s="313"/>
      <c r="AU6" s="313"/>
      <c r="AV6" s="313"/>
      <c r="AW6" s="313"/>
      <c r="AX6" s="313"/>
      <c r="AY6" s="313"/>
      <c r="AZ6" s="313"/>
      <c r="BA6" s="313"/>
      <c r="BB6" s="313"/>
      <c r="BC6" s="313"/>
      <c r="BD6" s="313"/>
      <c r="BE6" s="313"/>
      <c r="BF6" s="313"/>
      <c r="BG6" s="313"/>
      <c r="BH6" s="313"/>
      <c r="BI6" s="313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0.47083333333333338</v>
      </c>
      <c r="J13" s="709"/>
      <c r="K13" s="709"/>
      <c r="L13" s="709"/>
      <c r="M13" s="709"/>
      <c r="N13" s="709"/>
      <c r="O13" s="709"/>
      <c r="P13" s="709">
        <v>11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0.56269999999999998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7</v>
      </c>
      <c r="AW13" s="714"/>
      <c r="AX13" s="714"/>
      <c r="AY13" s="714"/>
      <c r="AZ13" s="714"/>
      <c r="BA13" s="714"/>
      <c r="BB13" s="714"/>
      <c r="BC13" s="714">
        <f>ROUND(AVERAGE(AV13:BB15),1)</f>
        <v>7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0.47638888888888892</v>
      </c>
      <c r="J14" s="710"/>
      <c r="K14" s="710"/>
      <c r="L14" s="710"/>
      <c r="M14" s="710"/>
      <c r="N14" s="710"/>
      <c r="O14" s="710"/>
      <c r="P14" s="710">
        <v>12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0.56020000000000003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7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570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572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571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560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0.4680555555555555</v>
      </c>
      <c r="J23" s="709"/>
      <c r="K23" s="709"/>
      <c r="L23" s="709"/>
      <c r="M23" s="709"/>
      <c r="N23" s="709"/>
      <c r="O23" s="709"/>
      <c r="P23" s="719">
        <v>14.2</v>
      </c>
      <c r="Q23" s="684"/>
      <c r="R23" s="684"/>
      <c r="S23" s="684"/>
      <c r="T23" s="684"/>
      <c r="U23" s="684"/>
      <c r="V23" s="684"/>
      <c r="W23" s="684">
        <v>5.4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80.399999999999991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1.2102672660400489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0.48194444444444445</v>
      </c>
      <c r="J24" s="710"/>
      <c r="K24" s="710"/>
      <c r="L24" s="710"/>
      <c r="M24" s="710"/>
      <c r="N24" s="710"/>
      <c r="O24" s="710"/>
      <c r="P24" s="700">
        <v>14.2</v>
      </c>
      <c r="Q24" s="698"/>
      <c r="R24" s="698"/>
      <c r="S24" s="698"/>
      <c r="T24" s="698"/>
      <c r="U24" s="698"/>
      <c r="V24" s="698"/>
      <c r="W24" s="736">
        <v>5.4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80.399999999999991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1.2102672660400489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14.2</v>
      </c>
      <c r="Q25" s="738"/>
      <c r="R25" s="738"/>
      <c r="S25" s="738"/>
      <c r="T25" s="738"/>
      <c r="U25" s="738"/>
      <c r="V25" s="788"/>
      <c r="W25" s="738">
        <f>ROUND(AVERAGE(W23:AC24),1)</f>
        <v>5.4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80.399999999999991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586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11"/>
      <c r="AJ26" s="309"/>
      <c r="AK26" s="47"/>
      <c r="AL26" s="311"/>
      <c r="AM26" s="311"/>
      <c r="AN26" s="311"/>
      <c r="AO26" s="311"/>
      <c r="AP26" s="311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0.45833333333333331</v>
      </c>
      <c r="I33" s="684"/>
      <c r="J33" s="684"/>
      <c r="K33" s="684"/>
      <c r="L33" s="684"/>
      <c r="M33" s="684"/>
      <c r="N33" s="684"/>
      <c r="O33" s="685"/>
      <c r="P33" s="719">
        <v>102</v>
      </c>
      <c r="Q33" s="684"/>
      <c r="R33" s="684"/>
      <c r="S33" s="684"/>
      <c r="T33" s="684"/>
      <c r="U33" s="684"/>
      <c r="V33" s="684"/>
      <c r="W33" s="685"/>
      <c r="X33" s="719">
        <v>129</v>
      </c>
      <c r="Y33" s="684"/>
      <c r="Z33" s="684"/>
      <c r="AA33" s="684"/>
      <c r="AB33" s="684"/>
      <c r="AC33" s="684"/>
      <c r="AD33" s="684"/>
      <c r="AE33" s="685"/>
      <c r="AF33" s="719">
        <v>-2.2999999999999998</v>
      </c>
      <c r="AG33" s="684"/>
      <c r="AH33" s="684"/>
      <c r="AI33" s="684"/>
      <c r="AJ33" s="684"/>
      <c r="AK33" s="684"/>
      <c r="AL33" s="684"/>
      <c r="AM33" s="685"/>
      <c r="AN33" s="713">
        <f>IF(P33="","",ROUND($S$50*SQRT(2*P33/$AV$33),1))</f>
        <v>15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796">
        <f>ROUND($AR$25*298.15/101.32*($BF$8+AF33)/(273.15+X49),3)</f>
        <v>0.90100000000000002</v>
      </c>
      <c r="AW33" s="675"/>
      <c r="AX33" s="675"/>
      <c r="AY33" s="675"/>
      <c r="AZ33" s="675"/>
      <c r="BA33" s="675"/>
      <c r="BB33" s="67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95</v>
      </c>
      <c r="Q34" s="698"/>
      <c r="R34" s="698"/>
      <c r="S34" s="698"/>
      <c r="T34" s="698"/>
      <c r="U34" s="698"/>
      <c r="V34" s="698"/>
      <c r="W34" s="699"/>
      <c r="X34" s="700">
        <v>128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1" si="1">IF(P34="","",ROUND($S$50*SQRT(2*P34/$AV$33),1))</f>
        <v>14.5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105</v>
      </c>
      <c r="Q35" s="687"/>
      <c r="R35" s="687"/>
      <c r="S35" s="688"/>
      <c r="T35" s="698"/>
      <c r="U35" s="698"/>
      <c r="V35" s="698"/>
      <c r="W35" s="699"/>
      <c r="X35" s="700">
        <v>124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15.3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94</v>
      </c>
      <c r="Q36" s="687"/>
      <c r="R36" s="687"/>
      <c r="S36" s="688"/>
      <c r="T36" s="698"/>
      <c r="U36" s="698"/>
      <c r="V36" s="698"/>
      <c r="W36" s="699"/>
      <c r="X36" s="700">
        <v>130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14.4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126</v>
      </c>
      <c r="Q37" s="687"/>
      <c r="R37" s="687"/>
      <c r="S37" s="688"/>
      <c r="T37" s="698"/>
      <c r="U37" s="698"/>
      <c r="V37" s="698"/>
      <c r="W37" s="699"/>
      <c r="X37" s="700">
        <v>125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16.7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719000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94</v>
      </c>
      <c r="Q38" s="687"/>
      <c r="R38" s="687"/>
      <c r="S38" s="688"/>
      <c r="T38" s="698"/>
      <c r="U38" s="698"/>
      <c r="V38" s="698"/>
      <c r="W38" s="699"/>
      <c r="X38" s="700">
        <v>119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14.4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100</v>
      </c>
      <c r="Q39" s="687"/>
      <c r="R39" s="687"/>
      <c r="S39" s="688"/>
      <c r="T39" s="698"/>
      <c r="U39" s="698"/>
      <c r="V39" s="698"/>
      <c r="W39" s="699"/>
      <c r="X39" s="700">
        <v>129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14.9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96</v>
      </c>
      <c r="Q40" s="687"/>
      <c r="R40" s="687"/>
      <c r="S40" s="688"/>
      <c r="T40" s="698"/>
      <c r="U40" s="698"/>
      <c r="V40" s="698"/>
      <c r="W40" s="699"/>
      <c r="X40" s="700">
        <v>125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14.6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101</v>
      </c>
      <c r="Q41" s="687"/>
      <c r="R41" s="687"/>
      <c r="S41" s="688"/>
      <c r="T41" s="698"/>
      <c r="U41" s="698"/>
      <c r="V41" s="698"/>
      <c r="W41" s="699"/>
      <c r="X41" s="700">
        <v>118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15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561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94</v>
      </c>
      <c r="Q42" s="687"/>
      <c r="R42" s="687"/>
      <c r="S42" s="688"/>
      <c r="T42" s="698"/>
      <c r="U42" s="698"/>
      <c r="V42" s="698"/>
      <c r="W42" s="699"/>
      <c r="X42" s="700">
        <v>126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ref="AN42:AN47" si="3">IF(P42="","",ROUND($S$50*SQRT(2*P42/$AV$33),1))</f>
        <v>14.4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536000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119</v>
      </c>
      <c r="Q43" s="687"/>
      <c r="R43" s="687"/>
      <c r="S43" s="688"/>
      <c r="T43" s="698"/>
      <c r="U43" s="698"/>
      <c r="V43" s="698"/>
      <c r="W43" s="699"/>
      <c r="X43" s="700">
        <v>122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3"/>
        <v>16.3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95</v>
      </c>
      <c r="Q44" s="687"/>
      <c r="R44" s="687"/>
      <c r="S44" s="688"/>
      <c r="T44" s="698"/>
      <c r="U44" s="698"/>
      <c r="V44" s="698"/>
      <c r="W44" s="699"/>
      <c r="X44" s="700">
        <v>119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3"/>
        <v>14.5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102</v>
      </c>
      <c r="Q45" s="687"/>
      <c r="R45" s="687"/>
      <c r="S45" s="688"/>
      <c r="T45" s="698"/>
      <c r="U45" s="698"/>
      <c r="V45" s="698"/>
      <c r="W45" s="699"/>
      <c r="X45" s="700">
        <v>123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3"/>
        <v>15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78</v>
      </c>
      <c r="Q46" s="698"/>
      <c r="R46" s="698"/>
      <c r="S46" s="698"/>
      <c r="T46" s="698"/>
      <c r="U46" s="698"/>
      <c r="V46" s="698"/>
      <c r="W46" s="699"/>
      <c r="X46" s="700">
        <v>120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3"/>
        <v>13.2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561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0.47222222222222227</v>
      </c>
      <c r="I47" s="698"/>
      <c r="J47" s="698"/>
      <c r="K47" s="698"/>
      <c r="L47" s="698"/>
      <c r="M47" s="698"/>
      <c r="N47" s="698"/>
      <c r="O47" s="699"/>
      <c r="P47" s="700">
        <v>90</v>
      </c>
      <c r="Q47" s="698"/>
      <c r="R47" s="698"/>
      <c r="S47" s="698"/>
      <c r="T47" s="698"/>
      <c r="U47" s="698"/>
      <c r="V47" s="698"/>
      <c r="W47" s="699"/>
      <c r="X47" s="700">
        <v>118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3"/>
        <v>14.1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498000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124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14.8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573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574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575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15" t="s">
        <v>6</v>
      </c>
      <c r="Y53" s="315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14" t="s">
        <v>576</v>
      </c>
      <c r="AQ53" s="309"/>
      <c r="AR53" s="309"/>
      <c r="AS53" s="309"/>
      <c r="AT53" s="309"/>
      <c r="AU53" s="309"/>
      <c r="AV53" s="315"/>
      <c r="AW53" s="315"/>
      <c r="AX53" s="315"/>
      <c r="AY53" s="315"/>
      <c r="AZ53" s="315"/>
      <c r="BA53" s="315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567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562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563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A2:W2"/>
    <mergeCell ref="X2:AM2"/>
    <mergeCell ref="AN2:BJ2"/>
    <mergeCell ref="A3:L3"/>
    <mergeCell ref="M3:AC3"/>
    <mergeCell ref="AD3:AM3"/>
    <mergeCell ref="AN3:BJ3"/>
    <mergeCell ref="V7:Y7"/>
    <mergeCell ref="Z7:AC7"/>
    <mergeCell ref="AD7:AG7"/>
    <mergeCell ref="AH7:AK7"/>
    <mergeCell ref="R6:U6"/>
    <mergeCell ref="R7:U7"/>
    <mergeCell ref="AL8:AW8"/>
    <mergeCell ref="AX8:BA8"/>
    <mergeCell ref="A4:L4"/>
    <mergeCell ref="M4:AC4"/>
    <mergeCell ref="AD4:AM4"/>
    <mergeCell ref="AN4:BJ4"/>
    <mergeCell ref="V6:Y6"/>
    <mergeCell ref="Z6:AC6"/>
    <mergeCell ref="AD6:AG6"/>
    <mergeCell ref="AH6:AK6"/>
    <mergeCell ref="BB8:BE8"/>
    <mergeCell ref="BF8:BI8"/>
    <mergeCell ref="AO9:AU10"/>
    <mergeCell ref="AV9:BI9"/>
    <mergeCell ref="V10:AD10"/>
    <mergeCell ref="AE10:AH10"/>
    <mergeCell ref="V12:AD12"/>
    <mergeCell ref="AE12:AH12"/>
    <mergeCell ref="AI12:AN12"/>
    <mergeCell ref="AO12:AU12"/>
    <mergeCell ref="AV12:BB12"/>
    <mergeCell ref="BC12:BI12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7"/>
  <sheetViews>
    <sheetView view="pageBreakPreview" topLeftCell="A8" zoomScale="110" zoomScaleNormal="70" zoomScaleSheetLayoutView="110" workbookViewId="0">
      <selection activeCell="M3" sqref="M3:AC3"/>
    </sheetView>
  </sheetViews>
  <sheetFormatPr defaultColWidth="1.625" defaultRowHeight="12.75"/>
  <cols>
    <col min="1" max="1" width="0.5" style="1" customWidth="1"/>
    <col min="2" max="6" width="1.5" style="1" customWidth="1"/>
    <col min="7" max="7" width="1.75" style="1" customWidth="1"/>
    <col min="8" max="15" width="1.5" style="1" customWidth="1"/>
    <col min="16" max="30" width="1.625" style="1" customWidth="1"/>
    <col min="31" max="34" width="1.875" style="1" customWidth="1"/>
    <col min="35" max="61" width="1.625" style="1" customWidth="1"/>
    <col min="62" max="62" width="0.5" style="1" customWidth="1"/>
    <col min="63" max="63" width="6" style="1" customWidth="1"/>
    <col min="64" max="16384" width="1.625" style="1"/>
  </cols>
  <sheetData>
    <row r="1" spans="1:63" ht="24" customHeight="1" thickBot="1"/>
    <row r="2" spans="1:63" ht="24" customHeight="1">
      <c r="A2" s="643" t="s">
        <v>70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584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569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s="20" customFormat="1" ht="23.25" customHeight="1">
      <c r="A6" s="18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338"/>
      <c r="N6" s="338"/>
      <c r="O6" s="338"/>
      <c r="R6" s="663" t="s">
        <v>559</v>
      </c>
      <c r="S6" s="663"/>
      <c r="T6" s="663"/>
      <c r="U6" s="663"/>
      <c r="V6" s="663" t="s">
        <v>90</v>
      </c>
      <c r="W6" s="663"/>
      <c r="X6" s="663"/>
      <c r="Y6" s="663"/>
      <c r="Z6" s="663" t="s">
        <v>91</v>
      </c>
      <c r="AA6" s="663"/>
      <c r="AB6" s="663"/>
      <c r="AC6" s="663"/>
      <c r="AD6" s="663" t="s">
        <v>92</v>
      </c>
      <c r="AE6" s="663"/>
      <c r="AF6" s="663"/>
      <c r="AG6" s="663"/>
      <c r="AH6" s="663" t="s">
        <v>94</v>
      </c>
      <c r="AI6" s="663"/>
      <c r="AJ6" s="663"/>
      <c r="AK6" s="663"/>
      <c r="AL6" s="46"/>
      <c r="AM6" s="46"/>
      <c r="AN6" s="338"/>
      <c r="AO6" s="338"/>
      <c r="AP6" s="338"/>
      <c r="AQ6" s="338"/>
      <c r="AR6" s="338"/>
      <c r="AS6" s="338"/>
      <c r="AT6" s="338"/>
      <c r="AU6" s="338"/>
      <c r="AV6" s="338"/>
      <c r="AW6" s="338"/>
      <c r="AX6" s="338"/>
      <c r="AY6" s="338"/>
      <c r="AZ6" s="338"/>
      <c r="BA6" s="338"/>
      <c r="BB6" s="338"/>
      <c r="BC6" s="338"/>
      <c r="BD6" s="338"/>
      <c r="BE6" s="338"/>
      <c r="BF6" s="338"/>
      <c r="BG6" s="338"/>
      <c r="BH6" s="338"/>
      <c r="BI6" s="338"/>
      <c r="BJ6" s="19"/>
    </row>
    <row r="7" spans="1:63" ht="30" customHeight="1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Z7" s="3"/>
      <c r="BA7" s="3"/>
      <c r="BB7" s="3"/>
      <c r="BC7" s="3"/>
      <c r="BD7" s="3"/>
      <c r="BE7" s="3"/>
      <c r="BF7" s="3"/>
      <c r="BG7" s="3"/>
      <c r="BH7" s="3"/>
      <c r="BI7" s="3"/>
      <c r="BJ7" s="4"/>
    </row>
    <row r="8" spans="1:63" ht="17.25" customHeight="1">
      <c r="A8" s="2"/>
      <c r="B8" s="12" t="s">
        <v>37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D8" s="13"/>
      <c r="AL8" s="664" t="s">
        <v>45</v>
      </c>
      <c r="AM8" s="661"/>
      <c r="AN8" s="661"/>
      <c r="AO8" s="661"/>
      <c r="AP8" s="661"/>
      <c r="AQ8" s="661"/>
      <c r="AR8" s="661"/>
      <c r="AS8" s="661"/>
      <c r="AT8" s="661"/>
      <c r="AU8" s="661"/>
      <c r="AV8" s="661"/>
      <c r="AW8" s="665"/>
      <c r="AX8" s="674" t="s">
        <v>29</v>
      </c>
      <c r="AY8" s="674"/>
      <c r="AZ8" s="674"/>
      <c r="BA8" s="674"/>
      <c r="BB8" s="675" t="s">
        <v>0</v>
      </c>
      <c r="BC8" s="675"/>
      <c r="BD8" s="675"/>
      <c r="BE8" s="675"/>
      <c r="BF8" s="660">
        <v>102.8</v>
      </c>
      <c r="BG8" s="661"/>
      <c r="BH8" s="661"/>
      <c r="BI8" s="676"/>
      <c r="BJ8" s="4"/>
    </row>
    <row r="9" spans="1:63" ht="16.5" customHeight="1">
      <c r="A9" s="2"/>
      <c r="B9" s="716" t="s">
        <v>38</v>
      </c>
      <c r="C9" s="716"/>
      <c r="D9" s="716"/>
      <c r="E9" s="716"/>
      <c r="F9" s="716"/>
      <c r="G9" s="716"/>
      <c r="H9" s="716"/>
      <c r="I9" s="716" t="s">
        <v>39</v>
      </c>
      <c r="J9" s="716"/>
      <c r="K9" s="716"/>
      <c r="L9" s="716"/>
      <c r="M9" s="716"/>
      <c r="N9" s="716"/>
      <c r="O9" s="716"/>
      <c r="P9" s="716" t="s">
        <v>40</v>
      </c>
      <c r="Q9" s="716"/>
      <c r="R9" s="716"/>
      <c r="S9" s="716"/>
      <c r="T9" s="716"/>
      <c r="U9" s="716"/>
      <c r="V9" s="719" t="s">
        <v>41</v>
      </c>
      <c r="W9" s="684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5"/>
      <c r="AO9" s="677" t="s">
        <v>48</v>
      </c>
      <c r="AP9" s="678"/>
      <c r="AQ9" s="678"/>
      <c r="AR9" s="678"/>
      <c r="AS9" s="678"/>
      <c r="AT9" s="678"/>
      <c r="AU9" s="679"/>
      <c r="AV9" s="683" t="s">
        <v>136</v>
      </c>
      <c r="AW9" s="684"/>
      <c r="AX9" s="684"/>
      <c r="AY9" s="684"/>
      <c r="AZ9" s="684"/>
      <c r="BA9" s="684"/>
      <c r="BB9" s="684"/>
      <c r="BC9" s="684"/>
      <c r="BD9" s="684"/>
      <c r="BE9" s="684"/>
      <c r="BF9" s="684"/>
      <c r="BG9" s="684"/>
      <c r="BH9" s="684"/>
      <c r="BI9" s="685"/>
      <c r="BJ9" s="4"/>
    </row>
    <row r="10" spans="1:63" ht="16.5" customHeight="1">
      <c r="A10" s="2"/>
      <c r="B10" s="717"/>
      <c r="C10" s="717"/>
      <c r="D10" s="717"/>
      <c r="E10" s="717"/>
      <c r="F10" s="717"/>
      <c r="G10" s="717"/>
      <c r="H10" s="717"/>
      <c r="I10" s="717"/>
      <c r="J10" s="717"/>
      <c r="K10" s="717"/>
      <c r="L10" s="717"/>
      <c r="M10" s="717"/>
      <c r="N10" s="717"/>
      <c r="O10" s="717"/>
      <c r="P10" s="717"/>
      <c r="Q10" s="717"/>
      <c r="R10" s="717"/>
      <c r="S10" s="717"/>
      <c r="T10" s="717"/>
      <c r="U10" s="717"/>
      <c r="V10" s="686" t="s">
        <v>42</v>
      </c>
      <c r="W10" s="687"/>
      <c r="X10" s="687"/>
      <c r="Y10" s="687"/>
      <c r="Z10" s="687"/>
      <c r="AA10" s="687"/>
      <c r="AB10" s="687"/>
      <c r="AC10" s="687"/>
      <c r="AD10" s="688"/>
      <c r="AE10" s="697" t="s">
        <v>83</v>
      </c>
      <c r="AF10" s="687"/>
      <c r="AG10" s="687"/>
      <c r="AH10" s="688"/>
      <c r="AI10" s="698" t="s">
        <v>44</v>
      </c>
      <c r="AJ10" s="698"/>
      <c r="AK10" s="698"/>
      <c r="AL10" s="698"/>
      <c r="AM10" s="698"/>
      <c r="AN10" s="699"/>
      <c r="AO10" s="680"/>
      <c r="AP10" s="681"/>
      <c r="AQ10" s="681"/>
      <c r="AR10" s="681"/>
      <c r="AS10" s="681"/>
      <c r="AT10" s="681"/>
      <c r="AU10" s="682"/>
      <c r="AV10" s="700" t="s">
        <v>95</v>
      </c>
      <c r="AW10" s="698"/>
      <c r="AX10" s="698"/>
      <c r="AY10" s="698"/>
      <c r="AZ10" s="698"/>
      <c r="BA10" s="698"/>
      <c r="BB10" s="698"/>
      <c r="BC10" s="698" t="s">
        <v>54</v>
      </c>
      <c r="BD10" s="698"/>
      <c r="BE10" s="698"/>
      <c r="BF10" s="698"/>
      <c r="BG10" s="698"/>
      <c r="BH10" s="698"/>
      <c r="BI10" s="699"/>
      <c r="BJ10" s="4"/>
    </row>
    <row r="11" spans="1:63" ht="16.5" customHeight="1">
      <c r="A11" s="2"/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7"/>
      <c r="S11" s="717"/>
      <c r="T11" s="717"/>
      <c r="U11" s="717"/>
      <c r="V11" s="701" t="s">
        <v>1</v>
      </c>
      <c r="W11" s="702"/>
      <c r="X11" s="702"/>
      <c r="Y11" s="702"/>
      <c r="Z11" s="702"/>
      <c r="AA11" s="702"/>
      <c r="AB11" s="702"/>
      <c r="AC11" s="702"/>
      <c r="AD11" s="703"/>
      <c r="AE11" s="704" t="s">
        <v>46</v>
      </c>
      <c r="AF11" s="702"/>
      <c r="AG11" s="702"/>
      <c r="AH11" s="703"/>
      <c r="AI11" s="705" t="s">
        <v>47</v>
      </c>
      <c r="AJ11" s="705"/>
      <c r="AK11" s="705"/>
      <c r="AL11" s="705"/>
      <c r="AM11" s="705"/>
      <c r="AN11" s="706"/>
      <c r="AO11" s="701" t="s">
        <v>2</v>
      </c>
      <c r="AP11" s="702"/>
      <c r="AQ11" s="702"/>
      <c r="AR11" s="702"/>
      <c r="AS11" s="702"/>
      <c r="AT11" s="702"/>
      <c r="AU11" s="707"/>
      <c r="AV11" s="708" t="s">
        <v>55</v>
      </c>
      <c r="AW11" s="705"/>
      <c r="AX11" s="705"/>
      <c r="AY11" s="705"/>
      <c r="AZ11" s="705"/>
      <c r="BA11" s="705"/>
      <c r="BB11" s="704"/>
      <c r="BC11" s="705" t="s">
        <v>55</v>
      </c>
      <c r="BD11" s="705"/>
      <c r="BE11" s="705"/>
      <c r="BF11" s="705"/>
      <c r="BG11" s="705"/>
      <c r="BH11" s="705"/>
      <c r="BI11" s="706"/>
      <c r="BJ11" s="4"/>
    </row>
    <row r="12" spans="1:63" ht="16.5" customHeight="1">
      <c r="A12" s="2"/>
      <c r="B12" s="718"/>
      <c r="C12" s="718"/>
      <c r="D12" s="718"/>
      <c r="E12" s="718"/>
      <c r="F12" s="718"/>
      <c r="G12" s="718"/>
      <c r="H12" s="718"/>
      <c r="I12" s="718"/>
      <c r="J12" s="718"/>
      <c r="K12" s="718"/>
      <c r="L12" s="718"/>
      <c r="M12" s="718"/>
      <c r="N12" s="718"/>
      <c r="O12" s="718"/>
      <c r="P12" s="718"/>
      <c r="Q12" s="718"/>
      <c r="R12" s="718"/>
      <c r="S12" s="718"/>
      <c r="T12" s="718"/>
      <c r="U12" s="718"/>
      <c r="V12" s="689" t="s">
        <v>3</v>
      </c>
      <c r="W12" s="690"/>
      <c r="X12" s="690"/>
      <c r="Y12" s="690"/>
      <c r="Z12" s="690"/>
      <c r="AA12" s="690"/>
      <c r="AB12" s="690"/>
      <c r="AC12" s="690"/>
      <c r="AD12" s="691"/>
      <c r="AE12" s="692" t="s">
        <v>4</v>
      </c>
      <c r="AF12" s="690"/>
      <c r="AG12" s="690"/>
      <c r="AH12" s="691"/>
      <c r="AI12" s="693" t="s">
        <v>0</v>
      </c>
      <c r="AJ12" s="693"/>
      <c r="AK12" s="693"/>
      <c r="AL12" s="693"/>
      <c r="AM12" s="693"/>
      <c r="AN12" s="694"/>
      <c r="AO12" s="689" t="s">
        <v>5</v>
      </c>
      <c r="AP12" s="690"/>
      <c r="AQ12" s="690"/>
      <c r="AR12" s="690"/>
      <c r="AS12" s="690"/>
      <c r="AT12" s="690"/>
      <c r="AU12" s="695"/>
      <c r="AV12" s="696" t="s">
        <v>51</v>
      </c>
      <c r="AW12" s="693"/>
      <c r="AX12" s="693"/>
      <c r="AY12" s="693"/>
      <c r="AZ12" s="693"/>
      <c r="BA12" s="693"/>
      <c r="BB12" s="693"/>
      <c r="BC12" s="693" t="s">
        <v>51</v>
      </c>
      <c r="BD12" s="693"/>
      <c r="BE12" s="693"/>
      <c r="BF12" s="693"/>
      <c r="BG12" s="693"/>
      <c r="BH12" s="693"/>
      <c r="BI12" s="694"/>
      <c r="BJ12" s="4"/>
    </row>
    <row r="13" spans="1:63" ht="16.5" customHeight="1">
      <c r="A13" s="2"/>
      <c r="B13" s="709" t="s">
        <v>528</v>
      </c>
      <c r="C13" s="709"/>
      <c r="D13" s="709"/>
      <c r="E13" s="709"/>
      <c r="F13" s="709"/>
      <c r="G13" s="709"/>
      <c r="H13" s="709"/>
      <c r="I13" s="712">
        <v>0.50138888888888888</v>
      </c>
      <c r="J13" s="709"/>
      <c r="K13" s="709"/>
      <c r="L13" s="709"/>
      <c r="M13" s="709"/>
      <c r="N13" s="709"/>
      <c r="O13" s="709"/>
      <c r="P13" s="709">
        <v>13</v>
      </c>
      <c r="Q13" s="709"/>
      <c r="R13" s="709"/>
      <c r="S13" s="709"/>
      <c r="T13" s="709"/>
      <c r="U13" s="709"/>
      <c r="V13" s="713">
        <v>10</v>
      </c>
      <c r="W13" s="714"/>
      <c r="X13" s="714"/>
      <c r="Y13" s="714"/>
      <c r="Z13" s="714"/>
      <c r="AA13" s="714"/>
      <c r="AB13" s="714"/>
      <c r="AC13" s="714"/>
      <c r="AD13" s="714"/>
      <c r="AE13" s="684">
        <v>20</v>
      </c>
      <c r="AF13" s="684"/>
      <c r="AG13" s="684"/>
      <c r="AH13" s="684"/>
      <c r="AI13" s="714">
        <v>0</v>
      </c>
      <c r="AJ13" s="714"/>
      <c r="AK13" s="714"/>
      <c r="AL13" s="714"/>
      <c r="AM13" s="714"/>
      <c r="AN13" s="715"/>
      <c r="AO13" s="733">
        <v>0.54849999999999999</v>
      </c>
      <c r="AP13" s="734"/>
      <c r="AQ13" s="734"/>
      <c r="AR13" s="734"/>
      <c r="AS13" s="734"/>
      <c r="AT13" s="734"/>
      <c r="AU13" s="735"/>
      <c r="AV13" s="713">
        <f>IF(V13="","",ROUND(AO13/18.02*2447/(AO13/18.02*24.47+V13*298.15/101.32*($BF$8+AI13-BK13)/(273.15+AE13)),1))</f>
        <v>6.9</v>
      </c>
      <c r="AW13" s="714"/>
      <c r="AX13" s="714"/>
      <c r="AY13" s="714"/>
      <c r="AZ13" s="714"/>
      <c r="BA13" s="714"/>
      <c r="BB13" s="714"/>
      <c r="BC13" s="714">
        <f>ROUND(AVERAGE(AV13:BB15),1)</f>
        <v>6.8</v>
      </c>
      <c r="BD13" s="714"/>
      <c r="BE13" s="714"/>
      <c r="BF13" s="714"/>
      <c r="BG13" s="714"/>
      <c r="BH13" s="714"/>
      <c r="BI13" s="715"/>
      <c r="BJ13" s="4"/>
      <c r="BK13" s="1">
        <f>ROUND(VLOOKUP(AE13,'Measurement Act'!$A$4:$C$207,3),2)</f>
        <v>2.34</v>
      </c>
    </row>
    <row r="14" spans="1:63" ht="16.5" customHeight="1">
      <c r="A14" s="2"/>
      <c r="B14" s="710"/>
      <c r="C14" s="710"/>
      <c r="D14" s="710"/>
      <c r="E14" s="710"/>
      <c r="F14" s="710"/>
      <c r="G14" s="710"/>
      <c r="H14" s="710"/>
      <c r="I14" s="740">
        <v>0.50624999999999998</v>
      </c>
      <c r="J14" s="710"/>
      <c r="K14" s="710"/>
      <c r="L14" s="710"/>
      <c r="M14" s="710"/>
      <c r="N14" s="710"/>
      <c r="O14" s="710"/>
      <c r="P14" s="710">
        <v>14</v>
      </c>
      <c r="Q14" s="710"/>
      <c r="R14" s="710"/>
      <c r="S14" s="710"/>
      <c r="T14" s="710"/>
      <c r="U14" s="710"/>
      <c r="V14" s="741">
        <v>10</v>
      </c>
      <c r="W14" s="736"/>
      <c r="X14" s="736"/>
      <c r="Y14" s="736"/>
      <c r="Z14" s="736"/>
      <c r="AA14" s="736"/>
      <c r="AB14" s="736"/>
      <c r="AC14" s="736"/>
      <c r="AD14" s="736"/>
      <c r="AE14" s="698">
        <v>20</v>
      </c>
      <c r="AF14" s="698"/>
      <c r="AG14" s="698"/>
      <c r="AH14" s="698"/>
      <c r="AI14" s="736">
        <v>0</v>
      </c>
      <c r="AJ14" s="736"/>
      <c r="AK14" s="736"/>
      <c r="AL14" s="736"/>
      <c r="AM14" s="736"/>
      <c r="AN14" s="737"/>
      <c r="AO14" s="742">
        <v>0.53690000000000004</v>
      </c>
      <c r="AP14" s="743"/>
      <c r="AQ14" s="743"/>
      <c r="AR14" s="743"/>
      <c r="AS14" s="743"/>
      <c r="AT14" s="743"/>
      <c r="AU14" s="744"/>
      <c r="AV14" s="745">
        <f t="shared" ref="AV14:AV15" si="0">IF(V14="","",ROUND(AO14/18.02*2447/(AO14/18.02*24.47+V14*298.15/101.32*($BF$8+AI14-BK14)/(273.15+AE14)),1))</f>
        <v>6.7</v>
      </c>
      <c r="AW14" s="746"/>
      <c r="AX14" s="746"/>
      <c r="AY14" s="746"/>
      <c r="AZ14" s="746"/>
      <c r="BA14" s="746"/>
      <c r="BB14" s="747"/>
      <c r="BC14" s="736"/>
      <c r="BD14" s="736"/>
      <c r="BE14" s="736"/>
      <c r="BF14" s="736"/>
      <c r="BG14" s="736"/>
      <c r="BH14" s="736"/>
      <c r="BI14" s="737"/>
      <c r="BJ14" s="4"/>
      <c r="BK14" s="1">
        <f>ROUND(VLOOKUP(AE14,'Measurement Act'!$A$4:$C$207,3),2)</f>
        <v>2.34</v>
      </c>
    </row>
    <row r="15" spans="1:63" ht="16.5" customHeight="1">
      <c r="A15" s="2"/>
      <c r="B15" s="711"/>
      <c r="C15" s="711"/>
      <c r="D15" s="711"/>
      <c r="E15" s="711"/>
      <c r="F15" s="711"/>
      <c r="G15" s="711"/>
      <c r="H15" s="711"/>
      <c r="I15" s="752"/>
      <c r="J15" s="711"/>
      <c r="K15" s="711"/>
      <c r="L15" s="711"/>
      <c r="M15" s="711"/>
      <c r="N15" s="711"/>
      <c r="O15" s="711"/>
      <c r="P15" s="711"/>
      <c r="Q15" s="711"/>
      <c r="R15" s="711"/>
      <c r="S15" s="711"/>
      <c r="T15" s="711"/>
      <c r="U15" s="711"/>
      <c r="V15" s="753"/>
      <c r="W15" s="738"/>
      <c r="X15" s="738"/>
      <c r="Y15" s="738"/>
      <c r="Z15" s="738"/>
      <c r="AA15" s="738"/>
      <c r="AB15" s="738"/>
      <c r="AC15" s="738"/>
      <c r="AD15" s="738"/>
      <c r="AE15" s="693"/>
      <c r="AF15" s="693"/>
      <c r="AG15" s="693"/>
      <c r="AH15" s="693"/>
      <c r="AI15" s="738"/>
      <c r="AJ15" s="738"/>
      <c r="AK15" s="738"/>
      <c r="AL15" s="738"/>
      <c r="AM15" s="738"/>
      <c r="AN15" s="739"/>
      <c r="AO15" s="749"/>
      <c r="AP15" s="750"/>
      <c r="AQ15" s="750"/>
      <c r="AR15" s="750"/>
      <c r="AS15" s="750"/>
      <c r="AT15" s="750"/>
      <c r="AU15" s="751"/>
      <c r="AV15" s="689" t="str">
        <f t="shared" si="0"/>
        <v/>
      </c>
      <c r="AW15" s="690"/>
      <c r="AX15" s="690"/>
      <c r="AY15" s="690"/>
      <c r="AZ15" s="690"/>
      <c r="BA15" s="690"/>
      <c r="BB15" s="691"/>
      <c r="BC15" s="738"/>
      <c r="BD15" s="738"/>
      <c r="BE15" s="738"/>
      <c r="BF15" s="738"/>
      <c r="BG15" s="738"/>
      <c r="BH15" s="738"/>
      <c r="BI15" s="739"/>
      <c r="BJ15" s="4"/>
      <c r="BK15" s="1" t="e">
        <f>ROUND(VLOOKUP(AE15,'Measurement Act'!$A$4:$C$207,3),2)</f>
        <v>#N/A</v>
      </c>
    </row>
    <row r="16" spans="1:63" ht="16.5" customHeight="1">
      <c r="A16" s="2"/>
      <c r="B16" s="763" t="s">
        <v>49</v>
      </c>
      <c r="C16" s="764"/>
      <c r="D16" s="764"/>
      <c r="E16" s="764"/>
      <c r="F16" s="764"/>
      <c r="G16" s="764"/>
      <c r="H16" s="765"/>
      <c r="I16" s="720" t="s">
        <v>41</v>
      </c>
      <c r="J16" s="721"/>
      <c r="K16" s="721"/>
      <c r="L16" s="721"/>
      <c r="M16" s="721"/>
      <c r="N16" s="721"/>
      <c r="O16" s="722"/>
      <c r="P16" s="723" t="s">
        <v>581</v>
      </c>
      <c r="Q16" s="723"/>
      <c r="R16" s="723"/>
      <c r="S16" s="723"/>
      <c r="T16" s="723"/>
      <c r="U16" s="723"/>
      <c r="V16" s="723"/>
      <c r="W16" s="723"/>
      <c r="X16" s="723"/>
      <c r="Y16" s="723"/>
      <c r="Z16" s="723"/>
      <c r="AA16" s="723"/>
      <c r="AB16" s="723"/>
      <c r="AC16" s="723"/>
      <c r="AD16" s="723"/>
      <c r="AE16" s="723"/>
      <c r="AF16" s="723"/>
      <c r="AG16" s="723"/>
      <c r="AH16" s="724"/>
      <c r="AI16" s="725" t="s">
        <v>89</v>
      </c>
      <c r="AJ16" s="726"/>
      <c r="AK16" s="726"/>
      <c r="AL16" s="726"/>
      <c r="AM16" s="726"/>
      <c r="AN16" s="726"/>
      <c r="AO16" s="726"/>
      <c r="AP16" s="726"/>
      <c r="AQ16" s="726"/>
      <c r="AR16" s="727"/>
      <c r="AS16" s="728" t="s">
        <v>580</v>
      </c>
      <c r="AT16" s="729"/>
      <c r="AU16" s="729"/>
      <c r="AV16" s="729"/>
      <c r="AW16" s="729"/>
      <c r="AX16" s="729"/>
      <c r="AY16" s="729"/>
      <c r="AZ16" s="729"/>
      <c r="BA16" s="729"/>
      <c r="BB16" s="729"/>
      <c r="BC16" s="729"/>
      <c r="BD16" s="729"/>
      <c r="BE16" s="729"/>
      <c r="BF16" s="729"/>
      <c r="BG16" s="729"/>
      <c r="BH16" s="729"/>
      <c r="BI16" s="730"/>
      <c r="BJ16" s="4"/>
    </row>
    <row r="17" spans="1:62" ht="16.5" customHeight="1">
      <c r="A17" s="2"/>
      <c r="B17" s="766"/>
      <c r="C17" s="767"/>
      <c r="D17" s="767"/>
      <c r="E17" s="767"/>
      <c r="F17" s="767"/>
      <c r="G17" s="767"/>
      <c r="H17" s="768"/>
      <c r="I17" s="689" t="s">
        <v>50</v>
      </c>
      <c r="J17" s="690"/>
      <c r="K17" s="690"/>
      <c r="L17" s="690"/>
      <c r="M17" s="690"/>
      <c r="N17" s="690"/>
      <c r="O17" s="691"/>
      <c r="P17" s="731" t="s">
        <v>571</v>
      </c>
      <c r="Q17" s="731"/>
      <c r="R17" s="731"/>
      <c r="S17" s="731"/>
      <c r="T17" s="731"/>
      <c r="U17" s="731"/>
      <c r="V17" s="731"/>
      <c r="W17" s="731"/>
      <c r="X17" s="731"/>
      <c r="Y17" s="731"/>
      <c r="Z17" s="731"/>
      <c r="AA17" s="731"/>
      <c r="AB17" s="731"/>
      <c r="AC17" s="731"/>
      <c r="AD17" s="731"/>
      <c r="AE17" s="731"/>
      <c r="AF17" s="731"/>
      <c r="AG17" s="731"/>
      <c r="AH17" s="732"/>
      <c r="AI17" s="692"/>
      <c r="AJ17" s="690"/>
      <c r="AK17" s="690"/>
      <c r="AL17" s="690"/>
      <c r="AM17" s="690"/>
      <c r="AN17" s="690"/>
      <c r="AO17" s="690"/>
      <c r="AP17" s="690"/>
      <c r="AQ17" s="690"/>
      <c r="AR17" s="691"/>
      <c r="AS17" s="754"/>
      <c r="AT17" s="755"/>
      <c r="AU17" s="755"/>
      <c r="AV17" s="755"/>
      <c r="AW17" s="755"/>
      <c r="AX17" s="755"/>
      <c r="AY17" s="755"/>
      <c r="AZ17" s="755"/>
      <c r="BA17" s="755"/>
      <c r="BB17" s="755"/>
      <c r="BC17" s="755"/>
      <c r="BD17" s="755"/>
      <c r="BE17" s="755"/>
      <c r="BF17" s="755"/>
      <c r="BG17" s="755"/>
      <c r="BH17" s="755"/>
      <c r="BI17" s="756"/>
      <c r="BJ17" s="4"/>
    </row>
    <row r="18" spans="1:62" ht="6.7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4"/>
    </row>
    <row r="19" spans="1:62" ht="15" customHeight="1">
      <c r="A19" s="2"/>
      <c r="B19" s="12" t="s">
        <v>137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757" t="s">
        <v>57</v>
      </c>
      <c r="AS19" s="758"/>
      <c r="AT19" s="758"/>
      <c r="AU19" s="758"/>
      <c r="AV19" s="758"/>
      <c r="AW19" s="758"/>
      <c r="AX19" s="758"/>
      <c r="AY19" s="758"/>
      <c r="AZ19" s="758"/>
      <c r="BA19" s="758"/>
      <c r="BB19" s="758"/>
      <c r="BC19" s="758"/>
      <c r="BD19" s="758"/>
      <c r="BE19" s="758"/>
      <c r="BF19" s="758"/>
      <c r="BG19" s="758"/>
      <c r="BH19" s="758"/>
      <c r="BI19" s="759"/>
      <c r="BJ19" s="4"/>
    </row>
    <row r="20" spans="1:62" ht="15" customHeight="1">
      <c r="A20" s="2"/>
      <c r="B20" s="716" t="s">
        <v>38</v>
      </c>
      <c r="C20" s="716"/>
      <c r="D20" s="716"/>
      <c r="E20" s="716"/>
      <c r="F20" s="716"/>
      <c r="G20" s="716"/>
      <c r="H20" s="716"/>
      <c r="I20" s="716" t="s">
        <v>39</v>
      </c>
      <c r="J20" s="716"/>
      <c r="K20" s="716"/>
      <c r="L20" s="716"/>
      <c r="M20" s="716"/>
      <c r="N20" s="716"/>
      <c r="O20" s="716"/>
      <c r="P20" s="719" t="s">
        <v>56</v>
      </c>
      <c r="Q20" s="684"/>
      <c r="R20" s="684"/>
      <c r="S20" s="684"/>
      <c r="T20" s="684"/>
      <c r="U20" s="684"/>
      <c r="V20" s="684"/>
      <c r="W20" s="684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748"/>
      <c r="AR20" s="760"/>
      <c r="AS20" s="761"/>
      <c r="AT20" s="761"/>
      <c r="AU20" s="761"/>
      <c r="AV20" s="761"/>
      <c r="AW20" s="761"/>
      <c r="AX20" s="761"/>
      <c r="AY20" s="761"/>
      <c r="AZ20" s="761"/>
      <c r="BA20" s="761"/>
      <c r="BB20" s="761"/>
      <c r="BC20" s="761"/>
      <c r="BD20" s="761"/>
      <c r="BE20" s="761"/>
      <c r="BF20" s="761"/>
      <c r="BG20" s="761"/>
      <c r="BH20" s="761"/>
      <c r="BI20" s="762"/>
      <c r="BJ20" s="4"/>
    </row>
    <row r="21" spans="1:62" ht="15" customHeight="1">
      <c r="A21" s="2"/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00" t="s">
        <v>30</v>
      </c>
      <c r="Q21" s="698"/>
      <c r="R21" s="698"/>
      <c r="S21" s="698"/>
      <c r="T21" s="698"/>
      <c r="U21" s="698"/>
      <c r="V21" s="698"/>
      <c r="W21" s="698" t="s">
        <v>31</v>
      </c>
      <c r="X21" s="698"/>
      <c r="Y21" s="698"/>
      <c r="Z21" s="698"/>
      <c r="AA21" s="698"/>
      <c r="AB21" s="698"/>
      <c r="AC21" s="698"/>
      <c r="AD21" s="698" t="s">
        <v>7</v>
      </c>
      <c r="AE21" s="698"/>
      <c r="AF21" s="698"/>
      <c r="AG21" s="698"/>
      <c r="AH21" s="698"/>
      <c r="AI21" s="698"/>
      <c r="AJ21" s="698"/>
      <c r="AK21" s="698" t="s">
        <v>32</v>
      </c>
      <c r="AL21" s="698"/>
      <c r="AM21" s="698"/>
      <c r="AN21" s="698"/>
      <c r="AO21" s="698"/>
      <c r="AP21" s="698"/>
      <c r="AQ21" s="697"/>
      <c r="AR21" s="701" t="s">
        <v>93</v>
      </c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  <c r="BE21" s="702"/>
      <c r="BF21" s="702"/>
      <c r="BG21" s="702"/>
      <c r="BH21" s="702"/>
      <c r="BI21" s="707"/>
      <c r="BJ21" s="4"/>
    </row>
    <row r="22" spans="1:62" ht="15" customHeight="1">
      <c r="A22" s="2"/>
      <c r="B22" s="718"/>
      <c r="C22" s="718"/>
      <c r="D22" s="718"/>
      <c r="E22" s="718"/>
      <c r="F22" s="718"/>
      <c r="G22" s="718"/>
      <c r="H22" s="718"/>
      <c r="I22" s="718"/>
      <c r="J22" s="718"/>
      <c r="K22" s="718"/>
      <c r="L22" s="718"/>
      <c r="M22" s="718"/>
      <c r="N22" s="718"/>
      <c r="O22" s="718"/>
      <c r="P22" s="696" t="s">
        <v>51</v>
      </c>
      <c r="Q22" s="693"/>
      <c r="R22" s="693"/>
      <c r="S22" s="693"/>
      <c r="T22" s="693"/>
      <c r="U22" s="693"/>
      <c r="V22" s="693"/>
      <c r="W22" s="693" t="s">
        <v>51</v>
      </c>
      <c r="X22" s="693"/>
      <c r="Y22" s="693"/>
      <c r="Z22" s="693"/>
      <c r="AA22" s="693"/>
      <c r="AB22" s="693"/>
      <c r="AC22" s="693"/>
      <c r="AD22" s="693" t="s">
        <v>51</v>
      </c>
      <c r="AE22" s="693"/>
      <c r="AF22" s="693"/>
      <c r="AG22" s="693"/>
      <c r="AH22" s="693"/>
      <c r="AI22" s="693"/>
      <c r="AJ22" s="693"/>
      <c r="AK22" s="693" t="s">
        <v>51</v>
      </c>
      <c r="AL22" s="693"/>
      <c r="AM22" s="693"/>
      <c r="AN22" s="693"/>
      <c r="AO22" s="693"/>
      <c r="AP22" s="693"/>
      <c r="AQ22" s="692"/>
      <c r="AR22" s="689" t="s">
        <v>560</v>
      </c>
      <c r="AS22" s="690"/>
      <c r="AT22" s="690"/>
      <c r="AU22" s="690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2" ht="15" customHeight="1">
      <c r="A23" s="2"/>
      <c r="B23" s="709" t="s">
        <v>528</v>
      </c>
      <c r="C23" s="709"/>
      <c r="D23" s="709"/>
      <c r="E23" s="709"/>
      <c r="F23" s="709"/>
      <c r="G23" s="709"/>
      <c r="H23" s="709"/>
      <c r="I23" s="712">
        <v>0.5</v>
      </c>
      <c r="J23" s="709"/>
      <c r="K23" s="709"/>
      <c r="L23" s="709"/>
      <c r="M23" s="709"/>
      <c r="N23" s="709"/>
      <c r="O23" s="709"/>
      <c r="P23" s="713">
        <v>14</v>
      </c>
      <c r="Q23" s="714"/>
      <c r="R23" s="714"/>
      <c r="S23" s="714"/>
      <c r="T23" s="714"/>
      <c r="U23" s="714"/>
      <c r="V23" s="714"/>
      <c r="W23" s="684">
        <v>5.6</v>
      </c>
      <c r="X23" s="684"/>
      <c r="Y23" s="684"/>
      <c r="Z23" s="684"/>
      <c r="AA23" s="684"/>
      <c r="AB23" s="684"/>
      <c r="AC23" s="684"/>
      <c r="AD23" s="684" t="s">
        <v>337</v>
      </c>
      <c r="AE23" s="684"/>
      <c r="AF23" s="684"/>
      <c r="AG23" s="684"/>
      <c r="AH23" s="684"/>
      <c r="AI23" s="684"/>
      <c r="AJ23" s="684"/>
      <c r="AK23" s="714">
        <f>100-P23-W23</f>
        <v>80.400000000000006</v>
      </c>
      <c r="AL23" s="714"/>
      <c r="AM23" s="714"/>
      <c r="AN23" s="714"/>
      <c r="AO23" s="714"/>
      <c r="AP23" s="714"/>
      <c r="AQ23" s="715"/>
      <c r="AR23" s="782">
        <f>((44*P23+32*W23+28*AK23)*(1-$BC$13/100)+18.02*$BC$13)/2447</f>
        <v>1.2103722108704538</v>
      </c>
      <c r="AS23" s="783"/>
      <c r="AT23" s="783"/>
      <c r="AU23" s="783"/>
      <c r="AV23" s="783"/>
      <c r="AW23" s="783"/>
      <c r="AX23" s="783"/>
      <c r="AY23" s="783"/>
      <c r="AZ23" s="783"/>
      <c r="BA23" s="783"/>
      <c r="BB23" s="783"/>
      <c r="BC23" s="783"/>
      <c r="BD23" s="783"/>
      <c r="BE23" s="783"/>
      <c r="BF23" s="783"/>
      <c r="BG23" s="783"/>
      <c r="BH23" s="783"/>
      <c r="BI23" s="784"/>
      <c r="BJ23" s="4"/>
    </row>
    <row r="24" spans="1:62" ht="15" customHeight="1">
      <c r="A24" s="2"/>
      <c r="B24" s="710"/>
      <c r="C24" s="710"/>
      <c r="D24" s="710"/>
      <c r="E24" s="710"/>
      <c r="F24" s="710"/>
      <c r="G24" s="710"/>
      <c r="H24" s="710"/>
      <c r="I24" s="740">
        <v>0.51250000000000007</v>
      </c>
      <c r="J24" s="710"/>
      <c r="K24" s="710"/>
      <c r="L24" s="710"/>
      <c r="M24" s="710"/>
      <c r="N24" s="710"/>
      <c r="O24" s="710"/>
      <c r="P24" s="700">
        <v>14.2</v>
      </c>
      <c r="Q24" s="698"/>
      <c r="R24" s="698"/>
      <c r="S24" s="698"/>
      <c r="T24" s="698"/>
      <c r="U24" s="698"/>
      <c r="V24" s="698"/>
      <c r="W24" s="736">
        <v>5.4</v>
      </c>
      <c r="X24" s="736"/>
      <c r="Y24" s="736"/>
      <c r="Z24" s="736"/>
      <c r="AA24" s="736"/>
      <c r="AB24" s="736"/>
      <c r="AC24" s="736"/>
      <c r="AD24" s="698" t="s">
        <v>337</v>
      </c>
      <c r="AE24" s="698"/>
      <c r="AF24" s="698"/>
      <c r="AG24" s="698"/>
      <c r="AH24" s="698"/>
      <c r="AI24" s="698"/>
      <c r="AJ24" s="698"/>
      <c r="AK24" s="736">
        <f>100-P24-W24</f>
        <v>80.399999999999991</v>
      </c>
      <c r="AL24" s="736"/>
      <c r="AM24" s="736"/>
      <c r="AN24" s="736"/>
      <c r="AO24" s="736"/>
      <c r="AP24" s="736"/>
      <c r="AQ24" s="737"/>
      <c r="AR24" s="785">
        <f>((44*P24+32*W24+28*AK24)*(1-$BC$13/100)+18.02*$BC$13)/2447</f>
        <v>1.2112863097670616</v>
      </c>
      <c r="AS24" s="786"/>
      <c r="AT24" s="786"/>
      <c r="AU24" s="786"/>
      <c r="AV24" s="786"/>
      <c r="AW24" s="786"/>
      <c r="AX24" s="786"/>
      <c r="AY24" s="786"/>
      <c r="AZ24" s="786"/>
      <c r="BA24" s="786"/>
      <c r="BB24" s="786"/>
      <c r="BC24" s="786"/>
      <c r="BD24" s="786"/>
      <c r="BE24" s="786"/>
      <c r="BF24" s="786"/>
      <c r="BG24" s="786"/>
      <c r="BH24" s="786"/>
      <c r="BI24" s="787"/>
      <c r="BJ24" s="4"/>
    </row>
    <row r="25" spans="1:62" ht="15" customHeight="1">
      <c r="A25" s="2"/>
      <c r="B25" s="711"/>
      <c r="C25" s="711"/>
      <c r="D25" s="711"/>
      <c r="E25" s="711"/>
      <c r="F25" s="711"/>
      <c r="G25" s="711"/>
      <c r="H25" s="711"/>
      <c r="I25" s="711" t="s">
        <v>54</v>
      </c>
      <c r="J25" s="711"/>
      <c r="K25" s="711"/>
      <c r="L25" s="711"/>
      <c r="M25" s="711"/>
      <c r="N25" s="711"/>
      <c r="O25" s="711"/>
      <c r="P25" s="753">
        <f>ROUND(AVERAGE(P23:V24),1)</f>
        <v>14.1</v>
      </c>
      <c r="Q25" s="738"/>
      <c r="R25" s="738"/>
      <c r="S25" s="738"/>
      <c r="T25" s="738"/>
      <c r="U25" s="738"/>
      <c r="V25" s="788"/>
      <c r="W25" s="738">
        <f>ROUND(AVERAGE(W23:AC24),1)</f>
        <v>5.5</v>
      </c>
      <c r="X25" s="738"/>
      <c r="Y25" s="738"/>
      <c r="Z25" s="738"/>
      <c r="AA25" s="738"/>
      <c r="AB25" s="738"/>
      <c r="AC25" s="738"/>
      <c r="AD25" s="693" t="s">
        <v>337</v>
      </c>
      <c r="AE25" s="693"/>
      <c r="AF25" s="693"/>
      <c r="AG25" s="693"/>
      <c r="AH25" s="693"/>
      <c r="AI25" s="693"/>
      <c r="AJ25" s="693"/>
      <c r="AK25" s="738">
        <f>100-P25-W25</f>
        <v>80.400000000000006</v>
      </c>
      <c r="AL25" s="738"/>
      <c r="AM25" s="738"/>
      <c r="AN25" s="738"/>
      <c r="AO25" s="738"/>
      <c r="AP25" s="738"/>
      <c r="AQ25" s="739"/>
      <c r="AR25" s="789">
        <f>ROUND(AVERAGE(AR23:BI24),2)</f>
        <v>1.21</v>
      </c>
      <c r="AS25" s="790"/>
      <c r="AT25" s="790"/>
      <c r="AU25" s="790"/>
      <c r="AV25" s="790"/>
      <c r="AW25" s="790"/>
      <c r="AX25" s="790"/>
      <c r="AY25" s="790"/>
      <c r="AZ25" s="790"/>
      <c r="BA25" s="790"/>
      <c r="BB25" s="790"/>
      <c r="BC25" s="790"/>
      <c r="BD25" s="790"/>
      <c r="BE25" s="790"/>
      <c r="BF25" s="790"/>
      <c r="BG25" s="790"/>
      <c r="BH25" s="790"/>
      <c r="BI25" s="791"/>
      <c r="BJ25" s="4"/>
    </row>
    <row r="26" spans="1:62" ht="30" customHeight="1">
      <c r="A26" s="2"/>
      <c r="B26" s="769" t="s">
        <v>49</v>
      </c>
      <c r="C26" s="770"/>
      <c r="D26" s="770"/>
      <c r="E26" s="770"/>
      <c r="F26" s="770"/>
      <c r="G26" s="770"/>
      <c r="H26" s="771"/>
      <c r="I26" s="772" t="s">
        <v>102</v>
      </c>
      <c r="J26" s="773"/>
      <c r="K26" s="773"/>
      <c r="L26" s="773"/>
      <c r="M26" s="773"/>
      <c r="N26" s="773"/>
      <c r="O26" s="774"/>
      <c r="P26" s="775" t="s">
        <v>586</v>
      </c>
      <c r="Q26" s="775"/>
      <c r="R26" s="775"/>
      <c r="S26" s="775"/>
      <c r="T26" s="775"/>
      <c r="U26" s="775"/>
      <c r="V26" s="775"/>
      <c r="W26" s="775"/>
      <c r="X26" s="775"/>
      <c r="Y26" s="775"/>
      <c r="Z26" s="775"/>
      <c r="AA26" s="775"/>
      <c r="AB26" s="775"/>
      <c r="AC26" s="775"/>
      <c r="AD26" s="775"/>
      <c r="AE26" s="775"/>
      <c r="AF26" s="775"/>
      <c r="AG26" s="775"/>
      <c r="AH26" s="775"/>
      <c r="AI26" s="335"/>
      <c r="AJ26" s="334"/>
      <c r="AK26" s="47"/>
      <c r="AL26" s="335"/>
      <c r="AM26" s="335"/>
      <c r="AN26" s="335"/>
      <c r="AO26" s="335"/>
      <c r="AP26" s="335"/>
      <c r="AQ26" s="51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6"/>
      <c r="BJ26" s="4"/>
    </row>
    <row r="27" spans="1:62" ht="1.5" customHeight="1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4"/>
    </row>
    <row r="28" spans="1:62" ht="16.5" customHeight="1">
      <c r="A28" s="2"/>
      <c r="B28" s="12" t="s">
        <v>138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7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4"/>
    </row>
    <row r="29" spans="1:62" ht="30" customHeight="1">
      <c r="A29" s="2"/>
      <c r="B29" s="757" t="s">
        <v>58</v>
      </c>
      <c r="C29" s="726"/>
      <c r="D29" s="726"/>
      <c r="E29" s="726"/>
      <c r="F29" s="726"/>
      <c r="G29" s="776"/>
      <c r="H29" s="683" t="s">
        <v>59</v>
      </c>
      <c r="I29" s="684"/>
      <c r="J29" s="684"/>
      <c r="K29" s="684"/>
      <c r="L29" s="684"/>
      <c r="M29" s="684"/>
      <c r="N29" s="684"/>
      <c r="O29" s="685"/>
      <c r="P29" s="683" t="s">
        <v>60</v>
      </c>
      <c r="Q29" s="684"/>
      <c r="R29" s="684"/>
      <c r="S29" s="684"/>
      <c r="T29" s="684"/>
      <c r="U29" s="684"/>
      <c r="V29" s="684"/>
      <c r="W29" s="685"/>
      <c r="X29" s="719" t="s">
        <v>43</v>
      </c>
      <c r="Y29" s="684"/>
      <c r="Z29" s="684"/>
      <c r="AA29" s="684"/>
      <c r="AB29" s="684"/>
      <c r="AC29" s="684"/>
      <c r="AD29" s="684"/>
      <c r="AE29" s="685"/>
      <c r="AF29" s="683" t="s">
        <v>61</v>
      </c>
      <c r="AG29" s="684"/>
      <c r="AH29" s="684"/>
      <c r="AI29" s="684"/>
      <c r="AJ29" s="684"/>
      <c r="AK29" s="684"/>
      <c r="AL29" s="684"/>
      <c r="AM29" s="685"/>
      <c r="AN29" s="719" t="s">
        <v>62</v>
      </c>
      <c r="AO29" s="684"/>
      <c r="AP29" s="684"/>
      <c r="AQ29" s="684"/>
      <c r="AR29" s="684"/>
      <c r="AS29" s="684"/>
      <c r="AT29" s="684"/>
      <c r="AU29" s="685"/>
      <c r="AV29" s="719" t="s">
        <v>63</v>
      </c>
      <c r="AW29" s="684"/>
      <c r="AX29" s="684"/>
      <c r="AY29" s="684"/>
      <c r="AZ29" s="684"/>
      <c r="BA29" s="684"/>
      <c r="BB29" s="684"/>
      <c r="BC29" s="684"/>
      <c r="BD29" s="684"/>
      <c r="BE29" s="684"/>
      <c r="BF29" s="684"/>
      <c r="BG29" s="684"/>
      <c r="BH29" s="684"/>
      <c r="BI29" s="685"/>
      <c r="BJ29" s="4"/>
    </row>
    <row r="30" spans="1:62" ht="15" customHeight="1">
      <c r="A30" s="2"/>
      <c r="B30" s="777"/>
      <c r="C30" s="778"/>
      <c r="D30" s="778"/>
      <c r="E30" s="778"/>
      <c r="F30" s="778"/>
      <c r="G30" s="779"/>
      <c r="H30" s="700"/>
      <c r="I30" s="698"/>
      <c r="J30" s="698"/>
      <c r="K30" s="698"/>
      <c r="L30" s="698"/>
      <c r="M30" s="698"/>
      <c r="N30" s="698"/>
      <c r="O30" s="699"/>
      <c r="P30" s="708" t="s">
        <v>96</v>
      </c>
      <c r="Q30" s="705"/>
      <c r="R30" s="705"/>
      <c r="S30" s="705"/>
      <c r="T30" s="705"/>
      <c r="U30" s="705"/>
      <c r="V30" s="705"/>
      <c r="W30" s="706"/>
      <c r="X30" s="708" t="s">
        <v>97</v>
      </c>
      <c r="Y30" s="705"/>
      <c r="Z30" s="705"/>
      <c r="AA30" s="705"/>
      <c r="AB30" s="705"/>
      <c r="AC30" s="705"/>
      <c r="AD30" s="705"/>
      <c r="AE30" s="706"/>
      <c r="AF30" s="708" t="s">
        <v>98</v>
      </c>
      <c r="AG30" s="705"/>
      <c r="AH30" s="705"/>
      <c r="AI30" s="705"/>
      <c r="AJ30" s="705"/>
      <c r="AK30" s="705"/>
      <c r="AL30" s="705"/>
      <c r="AM30" s="706"/>
      <c r="AN30" s="708" t="s">
        <v>8</v>
      </c>
      <c r="AO30" s="705"/>
      <c r="AP30" s="705"/>
      <c r="AQ30" s="705"/>
      <c r="AR30" s="705"/>
      <c r="AS30" s="705"/>
      <c r="AT30" s="705"/>
      <c r="AU30" s="706"/>
      <c r="AV30" s="708" t="s">
        <v>154</v>
      </c>
      <c r="AW30" s="705"/>
      <c r="AX30" s="705"/>
      <c r="AY30" s="705"/>
      <c r="AZ30" s="705"/>
      <c r="BA30" s="705"/>
      <c r="BB30" s="705"/>
      <c r="BC30" s="705"/>
      <c r="BD30" s="705"/>
      <c r="BE30" s="705"/>
      <c r="BF30" s="705"/>
      <c r="BG30" s="705"/>
      <c r="BH30" s="705"/>
      <c r="BI30" s="706"/>
      <c r="BJ30" s="4"/>
    </row>
    <row r="31" spans="1:62" ht="15" customHeight="1">
      <c r="A31" s="2"/>
      <c r="B31" s="777"/>
      <c r="C31" s="778"/>
      <c r="D31" s="778"/>
      <c r="E31" s="778"/>
      <c r="F31" s="778"/>
      <c r="G31" s="779"/>
      <c r="H31" s="700"/>
      <c r="I31" s="698"/>
      <c r="J31" s="698"/>
      <c r="K31" s="698"/>
      <c r="L31" s="698"/>
      <c r="M31" s="698"/>
      <c r="N31" s="698"/>
      <c r="O31" s="699"/>
      <c r="P31" s="700" t="s">
        <v>9</v>
      </c>
      <c r="Q31" s="698"/>
      <c r="R31" s="698"/>
      <c r="S31" s="698"/>
      <c r="T31" s="698"/>
      <c r="U31" s="698"/>
      <c r="V31" s="698"/>
      <c r="W31" s="699"/>
      <c r="X31" s="700" t="s">
        <v>350</v>
      </c>
      <c r="Y31" s="698"/>
      <c r="Z31" s="698"/>
      <c r="AA31" s="698"/>
      <c r="AB31" s="698"/>
      <c r="AC31" s="698"/>
      <c r="AD31" s="698"/>
      <c r="AE31" s="699"/>
      <c r="AF31" s="700" t="s">
        <v>0</v>
      </c>
      <c r="AG31" s="698"/>
      <c r="AH31" s="698"/>
      <c r="AI31" s="698"/>
      <c r="AJ31" s="698"/>
      <c r="AK31" s="698"/>
      <c r="AL31" s="698"/>
      <c r="AM31" s="699"/>
      <c r="AN31" s="700" t="s">
        <v>10</v>
      </c>
      <c r="AO31" s="698"/>
      <c r="AP31" s="698"/>
      <c r="AQ31" s="698"/>
      <c r="AR31" s="698"/>
      <c r="AS31" s="698"/>
      <c r="AT31" s="698"/>
      <c r="AU31" s="699"/>
      <c r="AV31" s="700" t="s">
        <v>33</v>
      </c>
      <c r="AW31" s="698"/>
      <c r="AX31" s="698"/>
      <c r="AY31" s="698"/>
      <c r="AZ31" s="698"/>
      <c r="BA31" s="698"/>
      <c r="BB31" s="698"/>
      <c r="BC31" s="698"/>
      <c r="BD31" s="698"/>
      <c r="BE31" s="698"/>
      <c r="BF31" s="698"/>
      <c r="BG31" s="698"/>
      <c r="BH31" s="698"/>
      <c r="BI31" s="699"/>
      <c r="BJ31" s="4"/>
    </row>
    <row r="32" spans="1:62" ht="15" customHeight="1">
      <c r="A32" s="2"/>
      <c r="B32" s="780"/>
      <c r="C32" s="670"/>
      <c r="D32" s="670"/>
      <c r="E32" s="670"/>
      <c r="F32" s="670"/>
      <c r="G32" s="781"/>
      <c r="H32" s="696" t="s">
        <v>11</v>
      </c>
      <c r="I32" s="693"/>
      <c r="J32" s="693"/>
      <c r="K32" s="693"/>
      <c r="L32" s="693" t="s">
        <v>12</v>
      </c>
      <c r="M32" s="693"/>
      <c r="N32" s="693"/>
      <c r="O32" s="694"/>
      <c r="P32" s="696" t="s">
        <v>11</v>
      </c>
      <c r="Q32" s="693"/>
      <c r="R32" s="693"/>
      <c r="S32" s="693"/>
      <c r="T32" s="693" t="s">
        <v>12</v>
      </c>
      <c r="U32" s="693"/>
      <c r="V32" s="693"/>
      <c r="W32" s="694"/>
      <c r="X32" s="696" t="s">
        <v>11</v>
      </c>
      <c r="Y32" s="693"/>
      <c r="Z32" s="693"/>
      <c r="AA32" s="693"/>
      <c r="AB32" s="693" t="s">
        <v>12</v>
      </c>
      <c r="AC32" s="693"/>
      <c r="AD32" s="693"/>
      <c r="AE32" s="694"/>
      <c r="AF32" s="696" t="s">
        <v>11</v>
      </c>
      <c r="AG32" s="693"/>
      <c r="AH32" s="693"/>
      <c r="AI32" s="693"/>
      <c r="AJ32" s="693" t="s">
        <v>12</v>
      </c>
      <c r="AK32" s="693"/>
      <c r="AL32" s="693"/>
      <c r="AM32" s="694"/>
      <c r="AN32" s="696" t="s">
        <v>11</v>
      </c>
      <c r="AO32" s="693"/>
      <c r="AP32" s="693"/>
      <c r="AQ32" s="693"/>
      <c r="AR32" s="693" t="s">
        <v>12</v>
      </c>
      <c r="AS32" s="693"/>
      <c r="AT32" s="693"/>
      <c r="AU32" s="694"/>
      <c r="AV32" s="696" t="s">
        <v>11</v>
      </c>
      <c r="AW32" s="693"/>
      <c r="AX32" s="693"/>
      <c r="AY32" s="693"/>
      <c r="AZ32" s="693"/>
      <c r="BA32" s="693"/>
      <c r="BB32" s="693"/>
      <c r="BC32" s="693" t="s">
        <v>12</v>
      </c>
      <c r="BD32" s="693"/>
      <c r="BE32" s="693"/>
      <c r="BF32" s="693"/>
      <c r="BG32" s="693"/>
      <c r="BH32" s="693"/>
      <c r="BI32" s="694"/>
      <c r="BJ32" s="4"/>
    </row>
    <row r="33" spans="1:62" ht="15.75" customHeight="1">
      <c r="A33" s="2"/>
      <c r="B33" s="793" t="s">
        <v>543</v>
      </c>
      <c r="C33" s="726"/>
      <c r="D33" s="726"/>
      <c r="E33" s="726"/>
      <c r="F33" s="726"/>
      <c r="G33" s="776"/>
      <c r="H33" s="794">
        <v>0.48958333333333331</v>
      </c>
      <c r="I33" s="684"/>
      <c r="J33" s="684"/>
      <c r="K33" s="684"/>
      <c r="L33" s="684"/>
      <c r="M33" s="684"/>
      <c r="N33" s="684"/>
      <c r="O33" s="685"/>
      <c r="P33" s="719">
        <v>110</v>
      </c>
      <c r="Q33" s="684"/>
      <c r="R33" s="684"/>
      <c r="S33" s="684"/>
      <c r="T33" s="684"/>
      <c r="U33" s="684"/>
      <c r="V33" s="684"/>
      <c r="W33" s="685"/>
      <c r="X33" s="719">
        <v>123</v>
      </c>
      <c r="Y33" s="684"/>
      <c r="Z33" s="684"/>
      <c r="AA33" s="684"/>
      <c r="AB33" s="684"/>
      <c r="AC33" s="684"/>
      <c r="AD33" s="684"/>
      <c r="AE33" s="685"/>
      <c r="AF33" s="719">
        <v>-2.5</v>
      </c>
      <c r="AG33" s="684"/>
      <c r="AH33" s="684"/>
      <c r="AI33" s="684"/>
      <c r="AJ33" s="684"/>
      <c r="AK33" s="684"/>
      <c r="AL33" s="684"/>
      <c r="AM33" s="685"/>
      <c r="AN33" s="713">
        <f>IF(P33="","",ROUND($S$50*SQRT(2*P33/$AV$33),1))</f>
        <v>15.6</v>
      </c>
      <c r="AO33" s="714"/>
      <c r="AP33" s="714"/>
      <c r="AQ33" s="714"/>
      <c r="AR33" s="684" t="str">
        <f>IF(T33="","",ROUND($S$50*SQRT(2*T33/$BC$33),1))</f>
        <v/>
      </c>
      <c r="AS33" s="684"/>
      <c r="AT33" s="684"/>
      <c r="AU33" s="685"/>
      <c r="AV33" s="796">
        <f>ROUND($AR$25*298.15/101.32*($BF$8+AF33)/(273.15+X49),3)</f>
        <v>0.89900000000000002</v>
      </c>
      <c r="AW33" s="675"/>
      <c r="AX33" s="675"/>
      <c r="AY33" s="675"/>
      <c r="AZ33" s="675"/>
      <c r="BA33" s="675"/>
      <c r="BB33" s="675"/>
      <c r="BC33" s="797" t="e">
        <f ca="1">IFROUND($AR$25*298.15/101.32*($BF$8+AJ33)/(273.15+AB49),3)</f>
        <v>#NAME?</v>
      </c>
      <c r="BD33" s="797"/>
      <c r="BE33" s="797"/>
      <c r="BF33" s="797"/>
      <c r="BG33" s="797"/>
      <c r="BH33" s="797"/>
      <c r="BI33" s="798"/>
      <c r="BJ33" s="4"/>
    </row>
    <row r="34" spans="1:62" ht="15.75" customHeight="1">
      <c r="A34" s="2"/>
      <c r="B34" s="686" t="s">
        <v>544</v>
      </c>
      <c r="C34" s="687"/>
      <c r="D34" s="687"/>
      <c r="E34" s="687"/>
      <c r="F34" s="687"/>
      <c r="G34" s="792"/>
      <c r="H34" s="700"/>
      <c r="I34" s="698"/>
      <c r="J34" s="698"/>
      <c r="K34" s="698"/>
      <c r="L34" s="698"/>
      <c r="M34" s="698"/>
      <c r="N34" s="698"/>
      <c r="O34" s="699"/>
      <c r="P34" s="700">
        <v>97</v>
      </c>
      <c r="Q34" s="698"/>
      <c r="R34" s="698"/>
      <c r="S34" s="698"/>
      <c r="T34" s="698"/>
      <c r="U34" s="698"/>
      <c r="V34" s="698"/>
      <c r="W34" s="699"/>
      <c r="X34" s="700">
        <v>120</v>
      </c>
      <c r="Y34" s="698"/>
      <c r="Z34" s="698"/>
      <c r="AA34" s="698"/>
      <c r="AB34" s="698"/>
      <c r="AC34" s="698"/>
      <c r="AD34" s="698"/>
      <c r="AE34" s="699"/>
      <c r="AF34" s="700"/>
      <c r="AG34" s="698"/>
      <c r="AH34" s="698"/>
      <c r="AI34" s="698"/>
      <c r="AJ34" s="698"/>
      <c r="AK34" s="698"/>
      <c r="AL34" s="698"/>
      <c r="AM34" s="699"/>
      <c r="AN34" s="741">
        <f t="shared" ref="AN34:AN47" si="1">IF(P34="","",ROUND($S$50*SQRT(2*P34/$AV$33),1))</f>
        <v>14.7</v>
      </c>
      <c r="AO34" s="736"/>
      <c r="AP34" s="736"/>
      <c r="AQ34" s="736"/>
      <c r="AR34" s="698" t="str">
        <f t="shared" ref="AR34:AR47" si="2">IF(T34="","",ROUND($S$50*SQRT(2*T34/$BC$33),1))</f>
        <v/>
      </c>
      <c r="AS34" s="698"/>
      <c r="AT34" s="698"/>
      <c r="AU34" s="699"/>
      <c r="AV34" s="795" t="s">
        <v>64</v>
      </c>
      <c r="AW34" s="795"/>
      <c r="AX34" s="795"/>
      <c r="AY34" s="795"/>
      <c r="AZ34" s="795"/>
      <c r="BA34" s="795"/>
      <c r="BB34" s="795"/>
      <c r="BC34" s="795"/>
      <c r="BD34" s="795"/>
      <c r="BE34" s="795"/>
      <c r="BF34" s="795"/>
      <c r="BG34" s="795"/>
      <c r="BH34" s="795"/>
      <c r="BI34" s="795"/>
      <c r="BJ34" s="4"/>
    </row>
    <row r="35" spans="1:62" ht="15.75" customHeight="1">
      <c r="A35" s="2"/>
      <c r="B35" s="686" t="s">
        <v>545</v>
      </c>
      <c r="C35" s="687"/>
      <c r="D35" s="687"/>
      <c r="E35" s="687"/>
      <c r="F35" s="687"/>
      <c r="G35" s="792"/>
      <c r="H35" s="700"/>
      <c r="I35" s="698"/>
      <c r="J35" s="698"/>
      <c r="K35" s="698"/>
      <c r="L35" s="698"/>
      <c r="M35" s="698"/>
      <c r="N35" s="698"/>
      <c r="O35" s="699"/>
      <c r="P35" s="686">
        <v>110</v>
      </c>
      <c r="Q35" s="687"/>
      <c r="R35" s="687"/>
      <c r="S35" s="688"/>
      <c r="T35" s="698"/>
      <c r="U35" s="698"/>
      <c r="V35" s="698"/>
      <c r="W35" s="699"/>
      <c r="X35" s="700">
        <v>119</v>
      </c>
      <c r="Y35" s="698"/>
      <c r="Z35" s="698"/>
      <c r="AA35" s="698"/>
      <c r="AB35" s="698"/>
      <c r="AC35" s="698"/>
      <c r="AD35" s="698"/>
      <c r="AE35" s="699"/>
      <c r="AF35" s="700"/>
      <c r="AG35" s="698"/>
      <c r="AH35" s="698"/>
      <c r="AI35" s="698"/>
      <c r="AJ35" s="698"/>
      <c r="AK35" s="698"/>
      <c r="AL35" s="698"/>
      <c r="AM35" s="699"/>
      <c r="AN35" s="741">
        <f t="shared" si="1"/>
        <v>15.6</v>
      </c>
      <c r="AO35" s="736"/>
      <c r="AP35" s="736"/>
      <c r="AQ35" s="736"/>
      <c r="AR35" s="698" t="str">
        <f t="shared" si="2"/>
        <v/>
      </c>
      <c r="AS35" s="698"/>
      <c r="AT35" s="698"/>
      <c r="AU35" s="699"/>
      <c r="AV35" s="700"/>
      <c r="AW35" s="698"/>
      <c r="AX35" s="698"/>
      <c r="AY35" s="698"/>
      <c r="AZ35" s="698"/>
      <c r="BA35" s="705" t="s">
        <v>101</v>
      </c>
      <c r="BB35" s="705"/>
      <c r="BC35" s="705"/>
      <c r="BD35" s="705"/>
      <c r="BE35" s="705"/>
      <c r="BF35" s="705"/>
      <c r="BG35" s="705"/>
      <c r="BH35" s="705"/>
      <c r="BI35" s="706"/>
      <c r="BJ35" s="4"/>
    </row>
    <row r="36" spans="1:62" ht="15.75" customHeight="1">
      <c r="A36" s="2"/>
      <c r="B36" s="686" t="s">
        <v>529</v>
      </c>
      <c r="C36" s="687"/>
      <c r="D36" s="687"/>
      <c r="E36" s="687"/>
      <c r="F36" s="687"/>
      <c r="G36" s="792"/>
      <c r="H36" s="700"/>
      <c r="I36" s="698"/>
      <c r="J36" s="698"/>
      <c r="K36" s="698"/>
      <c r="L36" s="698"/>
      <c r="M36" s="698"/>
      <c r="N36" s="698"/>
      <c r="O36" s="699"/>
      <c r="P36" s="686">
        <v>105</v>
      </c>
      <c r="Q36" s="687"/>
      <c r="R36" s="687"/>
      <c r="S36" s="688"/>
      <c r="T36" s="698"/>
      <c r="U36" s="698"/>
      <c r="V36" s="698"/>
      <c r="W36" s="699"/>
      <c r="X36" s="700">
        <v>126</v>
      </c>
      <c r="Y36" s="698"/>
      <c r="Z36" s="698"/>
      <c r="AA36" s="698"/>
      <c r="AB36" s="698"/>
      <c r="AC36" s="698"/>
      <c r="AD36" s="698"/>
      <c r="AE36" s="699"/>
      <c r="AF36" s="700"/>
      <c r="AG36" s="698"/>
      <c r="AH36" s="698"/>
      <c r="AI36" s="698"/>
      <c r="AJ36" s="698"/>
      <c r="AK36" s="698"/>
      <c r="AL36" s="698"/>
      <c r="AM36" s="699"/>
      <c r="AN36" s="741">
        <f t="shared" si="1"/>
        <v>15.3</v>
      </c>
      <c r="AO36" s="736"/>
      <c r="AP36" s="736"/>
      <c r="AQ36" s="736"/>
      <c r="AR36" s="698" t="str">
        <f t="shared" si="2"/>
        <v/>
      </c>
      <c r="AS36" s="698"/>
      <c r="AT36" s="698"/>
      <c r="AU36" s="699"/>
      <c r="AV36" s="696"/>
      <c r="AW36" s="693"/>
      <c r="AX36" s="693"/>
      <c r="AY36" s="693"/>
      <c r="AZ36" s="693"/>
      <c r="BA36" s="693" t="s">
        <v>34</v>
      </c>
      <c r="BB36" s="693"/>
      <c r="BC36" s="693"/>
      <c r="BD36" s="693"/>
      <c r="BE36" s="693"/>
      <c r="BF36" s="693"/>
      <c r="BG36" s="693"/>
      <c r="BH36" s="693"/>
      <c r="BI36" s="694"/>
      <c r="BJ36" s="4"/>
    </row>
    <row r="37" spans="1:62" ht="15.75" customHeight="1">
      <c r="A37" s="2"/>
      <c r="B37" s="686" t="s">
        <v>530</v>
      </c>
      <c r="C37" s="687"/>
      <c r="D37" s="687"/>
      <c r="E37" s="687"/>
      <c r="F37" s="687"/>
      <c r="G37" s="792"/>
      <c r="H37" s="700"/>
      <c r="I37" s="698"/>
      <c r="J37" s="698"/>
      <c r="K37" s="698"/>
      <c r="L37" s="698"/>
      <c r="M37" s="698"/>
      <c r="N37" s="698"/>
      <c r="O37" s="699"/>
      <c r="P37" s="686">
        <v>125</v>
      </c>
      <c r="Q37" s="687"/>
      <c r="R37" s="687"/>
      <c r="S37" s="688"/>
      <c r="T37" s="698"/>
      <c r="U37" s="698"/>
      <c r="V37" s="698"/>
      <c r="W37" s="699"/>
      <c r="X37" s="700">
        <v>122</v>
      </c>
      <c r="Y37" s="698"/>
      <c r="Z37" s="698"/>
      <c r="AA37" s="698"/>
      <c r="AB37" s="698"/>
      <c r="AC37" s="698"/>
      <c r="AD37" s="698"/>
      <c r="AE37" s="699"/>
      <c r="AF37" s="700"/>
      <c r="AG37" s="698"/>
      <c r="AH37" s="698"/>
      <c r="AI37" s="698"/>
      <c r="AJ37" s="698"/>
      <c r="AK37" s="698"/>
      <c r="AL37" s="698"/>
      <c r="AM37" s="699"/>
      <c r="AN37" s="741">
        <f t="shared" si="1"/>
        <v>16.7</v>
      </c>
      <c r="AO37" s="736"/>
      <c r="AP37" s="736"/>
      <c r="AQ37" s="736"/>
      <c r="AR37" s="698" t="str">
        <f t="shared" si="2"/>
        <v/>
      </c>
      <c r="AS37" s="698"/>
      <c r="AT37" s="698"/>
      <c r="AU37" s="699"/>
      <c r="AV37" s="799" t="s">
        <v>11</v>
      </c>
      <c r="AW37" s="800"/>
      <c r="AX37" s="800"/>
      <c r="AY37" s="800"/>
      <c r="AZ37" s="800"/>
      <c r="BA37" s="801">
        <f>ROUND($AN$49*$AX$50*3600,-3)</f>
        <v>748000</v>
      </c>
      <c r="BB37" s="801"/>
      <c r="BC37" s="801"/>
      <c r="BD37" s="801"/>
      <c r="BE37" s="801"/>
      <c r="BF37" s="801"/>
      <c r="BG37" s="801"/>
      <c r="BH37" s="801"/>
      <c r="BI37" s="802"/>
      <c r="BJ37" s="4"/>
    </row>
    <row r="38" spans="1:62" ht="15.75" customHeight="1">
      <c r="A38" s="2"/>
      <c r="B38" s="686" t="s">
        <v>531</v>
      </c>
      <c r="C38" s="687"/>
      <c r="D38" s="687"/>
      <c r="E38" s="687"/>
      <c r="F38" s="687"/>
      <c r="G38" s="792"/>
      <c r="H38" s="700"/>
      <c r="I38" s="698"/>
      <c r="J38" s="698"/>
      <c r="K38" s="698"/>
      <c r="L38" s="698"/>
      <c r="M38" s="698"/>
      <c r="N38" s="698"/>
      <c r="O38" s="699"/>
      <c r="P38" s="686">
        <v>98</v>
      </c>
      <c r="Q38" s="687"/>
      <c r="R38" s="687"/>
      <c r="S38" s="688"/>
      <c r="T38" s="698"/>
      <c r="U38" s="698"/>
      <c r="V38" s="698"/>
      <c r="W38" s="699"/>
      <c r="X38" s="700">
        <v>119</v>
      </c>
      <c r="Y38" s="698"/>
      <c r="Z38" s="698"/>
      <c r="AA38" s="698"/>
      <c r="AB38" s="698"/>
      <c r="AC38" s="698"/>
      <c r="AD38" s="698"/>
      <c r="AE38" s="699"/>
      <c r="AF38" s="700"/>
      <c r="AG38" s="698"/>
      <c r="AH38" s="698"/>
      <c r="AI38" s="698"/>
      <c r="AJ38" s="698"/>
      <c r="AK38" s="698"/>
      <c r="AL38" s="698"/>
      <c r="AM38" s="699"/>
      <c r="AN38" s="741">
        <f t="shared" si="1"/>
        <v>14.8</v>
      </c>
      <c r="AO38" s="736"/>
      <c r="AP38" s="736"/>
      <c r="AQ38" s="736"/>
      <c r="AR38" s="698" t="str">
        <f t="shared" si="2"/>
        <v/>
      </c>
      <c r="AS38" s="698"/>
      <c r="AT38" s="698"/>
      <c r="AU38" s="699"/>
      <c r="AV38" s="805" t="s">
        <v>12</v>
      </c>
      <c r="AW38" s="806"/>
      <c r="AX38" s="806"/>
      <c r="AY38" s="806"/>
      <c r="AZ38" s="806"/>
      <c r="BA38" s="803" t="e">
        <f>ROUND($AR$49*$AX$50*3600,-3)</f>
        <v>#DIV/0!</v>
      </c>
      <c r="BB38" s="803"/>
      <c r="BC38" s="803"/>
      <c r="BD38" s="803"/>
      <c r="BE38" s="803"/>
      <c r="BF38" s="803"/>
      <c r="BG38" s="803"/>
      <c r="BH38" s="803"/>
      <c r="BI38" s="804"/>
      <c r="BJ38" s="4"/>
    </row>
    <row r="39" spans="1:62" ht="15.75" customHeight="1">
      <c r="A39" s="2"/>
      <c r="B39" s="686" t="s">
        <v>532</v>
      </c>
      <c r="C39" s="687"/>
      <c r="D39" s="687"/>
      <c r="E39" s="687"/>
      <c r="F39" s="687"/>
      <c r="G39" s="792"/>
      <c r="H39" s="700"/>
      <c r="I39" s="698"/>
      <c r="J39" s="698"/>
      <c r="K39" s="698"/>
      <c r="L39" s="698"/>
      <c r="M39" s="698"/>
      <c r="N39" s="698"/>
      <c r="O39" s="699"/>
      <c r="P39" s="686">
        <v>109</v>
      </c>
      <c r="Q39" s="687"/>
      <c r="R39" s="687"/>
      <c r="S39" s="688"/>
      <c r="T39" s="698"/>
      <c r="U39" s="698"/>
      <c r="V39" s="698"/>
      <c r="W39" s="699"/>
      <c r="X39" s="700">
        <v>129</v>
      </c>
      <c r="Y39" s="698"/>
      <c r="Z39" s="698"/>
      <c r="AA39" s="698"/>
      <c r="AB39" s="698"/>
      <c r="AC39" s="698"/>
      <c r="AD39" s="698"/>
      <c r="AE39" s="699"/>
      <c r="AF39" s="700"/>
      <c r="AG39" s="698"/>
      <c r="AH39" s="698"/>
      <c r="AI39" s="698"/>
      <c r="AJ39" s="698"/>
      <c r="AK39" s="698"/>
      <c r="AL39" s="698"/>
      <c r="AM39" s="699"/>
      <c r="AN39" s="741">
        <f t="shared" si="1"/>
        <v>15.6</v>
      </c>
      <c r="AO39" s="736"/>
      <c r="AP39" s="736"/>
      <c r="AQ39" s="736"/>
      <c r="AR39" s="698" t="str">
        <f t="shared" si="2"/>
        <v/>
      </c>
      <c r="AS39" s="698"/>
      <c r="AT39" s="698"/>
      <c r="AU39" s="699"/>
      <c r="AV39" s="696" t="s">
        <v>54</v>
      </c>
      <c r="AW39" s="693"/>
      <c r="AX39" s="693"/>
      <c r="AY39" s="693"/>
      <c r="AZ39" s="693"/>
      <c r="BA39" s="807" t="e">
        <f>AVERAGE(BA37:BI38)</f>
        <v>#DIV/0!</v>
      </c>
      <c r="BB39" s="808"/>
      <c r="BC39" s="808"/>
      <c r="BD39" s="808"/>
      <c r="BE39" s="808"/>
      <c r="BF39" s="808"/>
      <c r="BG39" s="808"/>
      <c r="BH39" s="808"/>
      <c r="BI39" s="809"/>
      <c r="BJ39" s="4"/>
    </row>
    <row r="40" spans="1:62" ht="15.75" customHeight="1">
      <c r="A40" s="2"/>
      <c r="B40" s="686" t="s">
        <v>528</v>
      </c>
      <c r="C40" s="687"/>
      <c r="D40" s="687"/>
      <c r="E40" s="687"/>
      <c r="F40" s="687"/>
      <c r="G40" s="792"/>
      <c r="H40" s="700"/>
      <c r="I40" s="698"/>
      <c r="J40" s="698"/>
      <c r="K40" s="698"/>
      <c r="L40" s="698"/>
      <c r="M40" s="698"/>
      <c r="N40" s="698"/>
      <c r="O40" s="699"/>
      <c r="P40" s="686">
        <v>96</v>
      </c>
      <c r="Q40" s="687"/>
      <c r="R40" s="687"/>
      <c r="S40" s="688"/>
      <c r="T40" s="698"/>
      <c r="U40" s="698"/>
      <c r="V40" s="698"/>
      <c r="W40" s="699"/>
      <c r="X40" s="700">
        <v>125</v>
      </c>
      <c r="Y40" s="698"/>
      <c r="Z40" s="698"/>
      <c r="AA40" s="698"/>
      <c r="AB40" s="698"/>
      <c r="AC40" s="698"/>
      <c r="AD40" s="698"/>
      <c r="AE40" s="699"/>
      <c r="AF40" s="700"/>
      <c r="AG40" s="698"/>
      <c r="AH40" s="698"/>
      <c r="AI40" s="698"/>
      <c r="AJ40" s="698"/>
      <c r="AK40" s="698"/>
      <c r="AL40" s="698"/>
      <c r="AM40" s="699"/>
      <c r="AN40" s="741">
        <f t="shared" si="1"/>
        <v>14.6</v>
      </c>
      <c r="AO40" s="736"/>
      <c r="AP40" s="736"/>
      <c r="AQ40" s="736"/>
      <c r="AR40" s="698" t="str">
        <f t="shared" si="2"/>
        <v/>
      </c>
      <c r="AS40" s="698"/>
      <c r="AT40" s="698"/>
      <c r="AU40" s="699"/>
      <c r="AV40" s="793" t="s">
        <v>65</v>
      </c>
      <c r="AW40" s="726"/>
      <c r="AX40" s="726"/>
      <c r="AY40" s="726"/>
      <c r="AZ40" s="727"/>
      <c r="BA40" s="810" t="s">
        <v>99</v>
      </c>
      <c r="BB40" s="810"/>
      <c r="BC40" s="810"/>
      <c r="BD40" s="810"/>
      <c r="BE40" s="810"/>
      <c r="BF40" s="810"/>
      <c r="BG40" s="810"/>
      <c r="BH40" s="810"/>
      <c r="BI40" s="811"/>
      <c r="BJ40" s="4"/>
    </row>
    <row r="41" spans="1:62" ht="15.75" customHeight="1">
      <c r="A41" s="2"/>
      <c r="B41" s="686" t="s">
        <v>534</v>
      </c>
      <c r="C41" s="687"/>
      <c r="D41" s="687"/>
      <c r="E41" s="687"/>
      <c r="F41" s="687"/>
      <c r="G41" s="792"/>
      <c r="H41" s="814"/>
      <c r="I41" s="698"/>
      <c r="J41" s="698"/>
      <c r="K41" s="698"/>
      <c r="L41" s="698"/>
      <c r="M41" s="698"/>
      <c r="N41" s="698"/>
      <c r="O41" s="699"/>
      <c r="P41" s="686">
        <v>103</v>
      </c>
      <c r="Q41" s="687"/>
      <c r="R41" s="687"/>
      <c r="S41" s="688"/>
      <c r="T41" s="698"/>
      <c r="U41" s="698"/>
      <c r="V41" s="698"/>
      <c r="W41" s="699"/>
      <c r="X41" s="700">
        <v>119</v>
      </c>
      <c r="Y41" s="698"/>
      <c r="Z41" s="698"/>
      <c r="AA41" s="698"/>
      <c r="AB41" s="698"/>
      <c r="AC41" s="698"/>
      <c r="AD41" s="698"/>
      <c r="AE41" s="699"/>
      <c r="AF41" s="700"/>
      <c r="AG41" s="698"/>
      <c r="AH41" s="698"/>
      <c r="AI41" s="698"/>
      <c r="AJ41" s="698"/>
      <c r="AK41" s="698"/>
      <c r="AL41" s="698"/>
      <c r="AM41" s="699"/>
      <c r="AN41" s="741">
        <f t="shared" si="1"/>
        <v>15.1</v>
      </c>
      <c r="AO41" s="736"/>
      <c r="AP41" s="736"/>
      <c r="AQ41" s="736"/>
      <c r="AR41" s="698" t="str">
        <f t="shared" si="2"/>
        <v/>
      </c>
      <c r="AS41" s="698"/>
      <c r="AT41" s="698"/>
      <c r="AU41" s="699"/>
      <c r="AV41" s="777"/>
      <c r="AW41" s="778"/>
      <c r="AX41" s="778"/>
      <c r="AY41" s="778"/>
      <c r="AZ41" s="812"/>
      <c r="BA41" s="806" t="s">
        <v>561</v>
      </c>
      <c r="BB41" s="806"/>
      <c r="BC41" s="806"/>
      <c r="BD41" s="806"/>
      <c r="BE41" s="806"/>
      <c r="BF41" s="806"/>
      <c r="BG41" s="806"/>
      <c r="BH41" s="806"/>
      <c r="BI41" s="813"/>
      <c r="BJ41" s="4"/>
    </row>
    <row r="42" spans="1:62" ht="15.75" customHeight="1">
      <c r="A42" s="2"/>
      <c r="B42" s="686" t="s">
        <v>533</v>
      </c>
      <c r="C42" s="687"/>
      <c r="D42" s="687"/>
      <c r="E42" s="687"/>
      <c r="F42" s="687"/>
      <c r="G42" s="792"/>
      <c r="H42" s="700"/>
      <c r="I42" s="698"/>
      <c r="J42" s="698"/>
      <c r="K42" s="698"/>
      <c r="L42" s="698"/>
      <c r="M42" s="698"/>
      <c r="N42" s="698"/>
      <c r="O42" s="699"/>
      <c r="P42" s="686">
        <v>91</v>
      </c>
      <c r="Q42" s="687"/>
      <c r="R42" s="687"/>
      <c r="S42" s="688"/>
      <c r="T42" s="698"/>
      <c r="U42" s="698"/>
      <c r="V42" s="698"/>
      <c r="W42" s="699"/>
      <c r="X42" s="700">
        <v>130</v>
      </c>
      <c r="Y42" s="698"/>
      <c r="Z42" s="698"/>
      <c r="AA42" s="698"/>
      <c r="AB42" s="698"/>
      <c r="AC42" s="698"/>
      <c r="AD42" s="698"/>
      <c r="AE42" s="699"/>
      <c r="AF42" s="700"/>
      <c r="AG42" s="698"/>
      <c r="AH42" s="698"/>
      <c r="AI42" s="698"/>
      <c r="AJ42" s="698"/>
      <c r="AK42" s="698"/>
      <c r="AL42" s="698"/>
      <c r="AM42" s="699"/>
      <c r="AN42" s="741">
        <f t="shared" si="1"/>
        <v>14.2</v>
      </c>
      <c r="AO42" s="736"/>
      <c r="AP42" s="736"/>
      <c r="AQ42" s="736"/>
      <c r="AR42" s="698" t="str">
        <f t="shared" si="2"/>
        <v/>
      </c>
      <c r="AS42" s="698"/>
      <c r="AT42" s="698"/>
      <c r="AU42" s="699"/>
      <c r="AV42" s="700" t="s">
        <v>11</v>
      </c>
      <c r="AW42" s="698"/>
      <c r="AX42" s="698"/>
      <c r="AY42" s="698"/>
      <c r="AZ42" s="698"/>
      <c r="BA42" s="817">
        <f>ROUND($AN$49*$AX$50*3600*298.15/101.32*($BF$8+$AF$33)/(273.15+$X$49),-3)</f>
        <v>556000</v>
      </c>
      <c r="BB42" s="817"/>
      <c r="BC42" s="817"/>
      <c r="BD42" s="817"/>
      <c r="BE42" s="817"/>
      <c r="BF42" s="817"/>
      <c r="BG42" s="817"/>
      <c r="BH42" s="817"/>
      <c r="BI42" s="818"/>
      <c r="BJ42" s="4"/>
    </row>
    <row r="43" spans="1:62" ht="15.75" customHeight="1">
      <c r="A43" s="2"/>
      <c r="B43" s="686" t="s">
        <v>535</v>
      </c>
      <c r="C43" s="687"/>
      <c r="D43" s="687"/>
      <c r="E43" s="687"/>
      <c r="F43" s="687"/>
      <c r="G43" s="792"/>
      <c r="H43" s="700"/>
      <c r="I43" s="698"/>
      <c r="J43" s="698"/>
      <c r="K43" s="698"/>
      <c r="L43" s="698"/>
      <c r="M43" s="698"/>
      <c r="N43" s="698"/>
      <c r="O43" s="699"/>
      <c r="P43" s="686">
        <v>125</v>
      </c>
      <c r="Q43" s="687"/>
      <c r="R43" s="687"/>
      <c r="S43" s="688"/>
      <c r="T43" s="698"/>
      <c r="U43" s="698"/>
      <c r="V43" s="698"/>
      <c r="W43" s="699"/>
      <c r="X43" s="700">
        <v>127</v>
      </c>
      <c r="Y43" s="698"/>
      <c r="Z43" s="698"/>
      <c r="AA43" s="698"/>
      <c r="AB43" s="698"/>
      <c r="AC43" s="698"/>
      <c r="AD43" s="698"/>
      <c r="AE43" s="699"/>
      <c r="AF43" s="700"/>
      <c r="AG43" s="698"/>
      <c r="AH43" s="698"/>
      <c r="AI43" s="698"/>
      <c r="AJ43" s="698"/>
      <c r="AK43" s="698"/>
      <c r="AL43" s="698"/>
      <c r="AM43" s="699"/>
      <c r="AN43" s="741">
        <f t="shared" si="1"/>
        <v>16.7</v>
      </c>
      <c r="AO43" s="736"/>
      <c r="AP43" s="736"/>
      <c r="AQ43" s="736"/>
      <c r="AR43" s="698" t="str">
        <f t="shared" si="2"/>
        <v/>
      </c>
      <c r="AS43" s="698"/>
      <c r="AT43" s="698"/>
      <c r="AU43" s="699"/>
      <c r="AV43" s="700" t="s">
        <v>12</v>
      </c>
      <c r="AW43" s="698"/>
      <c r="AX43" s="698"/>
      <c r="AY43" s="698"/>
      <c r="AZ43" s="698"/>
      <c r="BA43" s="815" t="e">
        <f>ROUND($AR$49*$AX$50*3600*298.15/101.32*($BF$8+$AJ$33)/(273.15+$AB$49),-3)</f>
        <v>#DIV/0!</v>
      </c>
      <c r="BB43" s="815"/>
      <c r="BC43" s="815"/>
      <c r="BD43" s="815"/>
      <c r="BE43" s="815"/>
      <c r="BF43" s="815"/>
      <c r="BG43" s="815"/>
      <c r="BH43" s="815"/>
      <c r="BI43" s="816"/>
      <c r="BJ43" s="4"/>
    </row>
    <row r="44" spans="1:62" ht="15.75" customHeight="1">
      <c r="A44" s="2"/>
      <c r="B44" s="686" t="s">
        <v>536</v>
      </c>
      <c r="C44" s="687"/>
      <c r="D44" s="687"/>
      <c r="E44" s="687"/>
      <c r="F44" s="687"/>
      <c r="G44" s="792"/>
      <c r="H44" s="700"/>
      <c r="I44" s="698"/>
      <c r="J44" s="698"/>
      <c r="K44" s="698"/>
      <c r="L44" s="698"/>
      <c r="M44" s="698"/>
      <c r="N44" s="698"/>
      <c r="O44" s="699"/>
      <c r="P44" s="686">
        <v>90</v>
      </c>
      <c r="Q44" s="687"/>
      <c r="R44" s="687"/>
      <c r="S44" s="688"/>
      <c r="T44" s="698"/>
      <c r="U44" s="698"/>
      <c r="V44" s="698"/>
      <c r="W44" s="699"/>
      <c r="X44" s="700">
        <v>121</v>
      </c>
      <c r="Y44" s="698"/>
      <c r="Z44" s="698"/>
      <c r="AA44" s="698"/>
      <c r="AB44" s="698"/>
      <c r="AC44" s="698"/>
      <c r="AD44" s="698"/>
      <c r="AE44" s="699"/>
      <c r="AF44" s="700"/>
      <c r="AG44" s="698"/>
      <c r="AH44" s="698"/>
      <c r="AI44" s="698"/>
      <c r="AJ44" s="698"/>
      <c r="AK44" s="698"/>
      <c r="AL44" s="698"/>
      <c r="AM44" s="699"/>
      <c r="AN44" s="741">
        <f t="shared" si="1"/>
        <v>14.1</v>
      </c>
      <c r="AO44" s="736"/>
      <c r="AP44" s="736"/>
      <c r="AQ44" s="736"/>
      <c r="AR44" s="698" t="str">
        <f t="shared" si="2"/>
        <v/>
      </c>
      <c r="AS44" s="698"/>
      <c r="AT44" s="698"/>
      <c r="AU44" s="699"/>
      <c r="AV44" s="819" t="s">
        <v>54</v>
      </c>
      <c r="AW44" s="820"/>
      <c r="AX44" s="820"/>
      <c r="AY44" s="820"/>
      <c r="AZ44" s="820"/>
      <c r="BA44" s="807" t="e">
        <f>AVERAGE(BA42:BI43)</f>
        <v>#DIV/0!</v>
      </c>
      <c r="BB44" s="808"/>
      <c r="BC44" s="808"/>
      <c r="BD44" s="808"/>
      <c r="BE44" s="808"/>
      <c r="BF44" s="808"/>
      <c r="BG44" s="808"/>
      <c r="BH44" s="808"/>
      <c r="BI44" s="809"/>
      <c r="BJ44" s="4"/>
    </row>
    <row r="45" spans="1:62" ht="15.75" customHeight="1">
      <c r="A45" s="2"/>
      <c r="B45" s="686" t="s">
        <v>546</v>
      </c>
      <c r="C45" s="687"/>
      <c r="D45" s="687"/>
      <c r="E45" s="687"/>
      <c r="F45" s="687"/>
      <c r="G45" s="792"/>
      <c r="H45" s="700"/>
      <c r="I45" s="698"/>
      <c r="J45" s="698"/>
      <c r="K45" s="698"/>
      <c r="L45" s="698"/>
      <c r="M45" s="698"/>
      <c r="N45" s="698"/>
      <c r="O45" s="699"/>
      <c r="P45" s="686">
        <v>123</v>
      </c>
      <c r="Q45" s="687"/>
      <c r="R45" s="687"/>
      <c r="S45" s="688"/>
      <c r="T45" s="698"/>
      <c r="U45" s="698"/>
      <c r="V45" s="698"/>
      <c r="W45" s="699"/>
      <c r="X45" s="700">
        <v>129</v>
      </c>
      <c r="Y45" s="698"/>
      <c r="Z45" s="698"/>
      <c r="AA45" s="698"/>
      <c r="AB45" s="698"/>
      <c r="AC45" s="698"/>
      <c r="AD45" s="698"/>
      <c r="AE45" s="699"/>
      <c r="AF45" s="700"/>
      <c r="AG45" s="698"/>
      <c r="AH45" s="698"/>
      <c r="AI45" s="698"/>
      <c r="AJ45" s="698"/>
      <c r="AK45" s="698"/>
      <c r="AL45" s="698"/>
      <c r="AM45" s="699"/>
      <c r="AN45" s="741">
        <f t="shared" si="1"/>
        <v>16.5</v>
      </c>
      <c r="AO45" s="736"/>
      <c r="AP45" s="736"/>
      <c r="AQ45" s="736"/>
      <c r="AR45" s="698" t="str">
        <f t="shared" si="2"/>
        <v/>
      </c>
      <c r="AS45" s="698"/>
      <c r="AT45" s="698"/>
      <c r="AU45" s="699"/>
      <c r="AV45" s="793" t="s">
        <v>66</v>
      </c>
      <c r="AW45" s="726"/>
      <c r="AX45" s="726"/>
      <c r="AY45" s="726"/>
      <c r="AZ45" s="727"/>
      <c r="BA45" s="810" t="s">
        <v>100</v>
      </c>
      <c r="BB45" s="810"/>
      <c r="BC45" s="810"/>
      <c r="BD45" s="810"/>
      <c r="BE45" s="810"/>
      <c r="BF45" s="810"/>
      <c r="BG45" s="810"/>
      <c r="BH45" s="810"/>
      <c r="BI45" s="811"/>
      <c r="BJ45" s="4"/>
    </row>
    <row r="46" spans="1:62" ht="15.75" customHeight="1">
      <c r="A46" s="2"/>
      <c r="B46" s="686" t="s">
        <v>547</v>
      </c>
      <c r="C46" s="687"/>
      <c r="D46" s="687"/>
      <c r="E46" s="687"/>
      <c r="F46" s="687"/>
      <c r="G46" s="792"/>
      <c r="H46" s="700"/>
      <c r="I46" s="698"/>
      <c r="J46" s="698"/>
      <c r="K46" s="698"/>
      <c r="L46" s="698"/>
      <c r="M46" s="698"/>
      <c r="N46" s="698"/>
      <c r="O46" s="699"/>
      <c r="P46" s="700">
        <v>108</v>
      </c>
      <c r="Q46" s="698"/>
      <c r="R46" s="698"/>
      <c r="S46" s="698"/>
      <c r="T46" s="698"/>
      <c r="U46" s="698"/>
      <c r="V46" s="698"/>
      <c r="W46" s="699"/>
      <c r="X46" s="700">
        <v>129</v>
      </c>
      <c r="Y46" s="698"/>
      <c r="Z46" s="698"/>
      <c r="AA46" s="698"/>
      <c r="AB46" s="698"/>
      <c r="AC46" s="698"/>
      <c r="AD46" s="698"/>
      <c r="AE46" s="699"/>
      <c r="AF46" s="700"/>
      <c r="AG46" s="698"/>
      <c r="AH46" s="698"/>
      <c r="AI46" s="698"/>
      <c r="AJ46" s="698"/>
      <c r="AK46" s="698"/>
      <c r="AL46" s="698"/>
      <c r="AM46" s="699"/>
      <c r="AN46" s="741">
        <f t="shared" si="1"/>
        <v>15.5</v>
      </c>
      <c r="AO46" s="736"/>
      <c r="AP46" s="736"/>
      <c r="AQ46" s="736"/>
      <c r="AR46" s="698" t="str">
        <f t="shared" si="2"/>
        <v/>
      </c>
      <c r="AS46" s="698"/>
      <c r="AT46" s="698"/>
      <c r="AU46" s="699"/>
      <c r="AV46" s="821"/>
      <c r="AW46" s="822"/>
      <c r="AX46" s="822"/>
      <c r="AY46" s="822"/>
      <c r="AZ46" s="823"/>
      <c r="BA46" s="698" t="s">
        <v>561</v>
      </c>
      <c r="BB46" s="698"/>
      <c r="BC46" s="698"/>
      <c r="BD46" s="698"/>
      <c r="BE46" s="698"/>
      <c r="BF46" s="698"/>
      <c r="BG46" s="698"/>
      <c r="BH46" s="698"/>
      <c r="BI46" s="699"/>
      <c r="BJ46" s="4"/>
    </row>
    <row r="47" spans="1:62" ht="15.75" customHeight="1">
      <c r="A47" s="2"/>
      <c r="B47" s="686" t="s">
        <v>548</v>
      </c>
      <c r="C47" s="687"/>
      <c r="D47" s="687"/>
      <c r="E47" s="687"/>
      <c r="F47" s="687"/>
      <c r="G47" s="792"/>
      <c r="H47" s="814">
        <v>0.50347222222222221</v>
      </c>
      <c r="I47" s="698"/>
      <c r="J47" s="698"/>
      <c r="K47" s="698"/>
      <c r="L47" s="698"/>
      <c r="M47" s="698"/>
      <c r="N47" s="698"/>
      <c r="O47" s="699"/>
      <c r="P47" s="700">
        <v>114</v>
      </c>
      <c r="Q47" s="698"/>
      <c r="R47" s="698"/>
      <c r="S47" s="698"/>
      <c r="T47" s="698"/>
      <c r="U47" s="698"/>
      <c r="V47" s="698"/>
      <c r="W47" s="699"/>
      <c r="X47" s="700">
        <v>122</v>
      </c>
      <c r="Y47" s="698"/>
      <c r="Z47" s="698"/>
      <c r="AA47" s="698"/>
      <c r="AB47" s="698"/>
      <c r="AC47" s="698"/>
      <c r="AD47" s="698"/>
      <c r="AE47" s="699"/>
      <c r="AF47" s="700"/>
      <c r="AG47" s="698"/>
      <c r="AH47" s="698"/>
      <c r="AI47" s="698"/>
      <c r="AJ47" s="698"/>
      <c r="AK47" s="698"/>
      <c r="AL47" s="698"/>
      <c r="AM47" s="699"/>
      <c r="AN47" s="741">
        <f t="shared" si="1"/>
        <v>15.9</v>
      </c>
      <c r="AO47" s="736"/>
      <c r="AP47" s="736"/>
      <c r="AQ47" s="736"/>
      <c r="AR47" s="698" t="str">
        <f t="shared" si="2"/>
        <v/>
      </c>
      <c r="AS47" s="698"/>
      <c r="AT47" s="698"/>
      <c r="AU47" s="699"/>
      <c r="AV47" s="799" t="s">
        <v>11</v>
      </c>
      <c r="AW47" s="800"/>
      <c r="AX47" s="800"/>
      <c r="AY47" s="800"/>
      <c r="AZ47" s="800"/>
      <c r="BA47" s="817">
        <f>ROUND($AN$49*$AX$50*3600*298.15/101.32*($BF$8+$AF$33)/(273.15+$X$49)*(1-$BC$13/100),-3)</f>
        <v>518000</v>
      </c>
      <c r="BB47" s="817"/>
      <c r="BC47" s="817"/>
      <c r="BD47" s="817"/>
      <c r="BE47" s="817"/>
      <c r="BF47" s="817"/>
      <c r="BG47" s="817"/>
      <c r="BH47" s="817"/>
      <c r="BI47" s="818"/>
      <c r="BJ47" s="4"/>
    </row>
    <row r="48" spans="1:62" ht="15.75" customHeight="1">
      <c r="A48" s="2"/>
      <c r="B48" s="689"/>
      <c r="C48" s="690"/>
      <c r="D48" s="690"/>
      <c r="E48" s="690"/>
      <c r="F48" s="690"/>
      <c r="G48" s="695"/>
      <c r="H48" s="696"/>
      <c r="I48" s="693"/>
      <c r="J48" s="693"/>
      <c r="K48" s="693"/>
      <c r="L48" s="693"/>
      <c r="M48" s="693"/>
      <c r="N48" s="693"/>
      <c r="O48" s="694"/>
      <c r="P48" s="696"/>
      <c r="Q48" s="693"/>
      <c r="R48" s="693"/>
      <c r="S48" s="693"/>
      <c r="T48" s="693"/>
      <c r="U48" s="693"/>
      <c r="V48" s="693"/>
      <c r="W48" s="694"/>
      <c r="X48" s="696"/>
      <c r="Y48" s="693"/>
      <c r="Z48" s="693"/>
      <c r="AA48" s="693"/>
      <c r="AB48" s="693"/>
      <c r="AC48" s="693"/>
      <c r="AD48" s="693"/>
      <c r="AE48" s="694"/>
      <c r="AF48" s="696"/>
      <c r="AG48" s="693"/>
      <c r="AH48" s="693"/>
      <c r="AI48" s="693"/>
      <c r="AJ48" s="693"/>
      <c r="AK48" s="693"/>
      <c r="AL48" s="693"/>
      <c r="AM48" s="694"/>
      <c r="AN48" s="696"/>
      <c r="AO48" s="693"/>
      <c r="AP48" s="693"/>
      <c r="AQ48" s="693"/>
      <c r="AR48" s="693"/>
      <c r="AS48" s="693"/>
      <c r="AT48" s="693"/>
      <c r="AU48" s="694"/>
      <c r="AV48" s="700" t="s">
        <v>12</v>
      </c>
      <c r="AW48" s="698"/>
      <c r="AX48" s="698"/>
      <c r="AY48" s="698"/>
      <c r="AZ48" s="698"/>
      <c r="BA48" s="803" t="e">
        <f>ROUND($AR$49*$AX$50*3600*298.15/101.32*($BF$8+$AJ$33)/(273.15+$AB$49)*(1-$BC$13/100),-3)</f>
        <v>#DIV/0!</v>
      </c>
      <c r="BB48" s="803"/>
      <c r="BC48" s="803"/>
      <c r="BD48" s="803"/>
      <c r="BE48" s="803"/>
      <c r="BF48" s="803"/>
      <c r="BG48" s="803"/>
      <c r="BH48" s="803"/>
      <c r="BI48" s="804"/>
      <c r="BJ48" s="4"/>
    </row>
    <row r="49" spans="1:62" ht="15" customHeight="1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93" t="s">
        <v>54</v>
      </c>
      <c r="Q49" s="726"/>
      <c r="R49" s="726"/>
      <c r="S49" s="726"/>
      <c r="T49" s="726"/>
      <c r="U49" s="726"/>
      <c r="V49" s="726"/>
      <c r="W49" s="776"/>
      <c r="X49" s="664">
        <f>ROUND(AVERAGE(X33:AA47),0)</f>
        <v>124</v>
      </c>
      <c r="Y49" s="661"/>
      <c r="Z49" s="661"/>
      <c r="AA49" s="665"/>
      <c r="AB49" s="797" t="e">
        <f>ROUND(AVERAGE(AB33:AE47),0)</f>
        <v>#DIV/0!</v>
      </c>
      <c r="AC49" s="797"/>
      <c r="AD49" s="797"/>
      <c r="AE49" s="798"/>
      <c r="AF49" s="824"/>
      <c r="AG49" s="825"/>
      <c r="AH49" s="825"/>
      <c r="AI49" s="675"/>
      <c r="AJ49" s="675"/>
      <c r="AK49" s="675"/>
      <c r="AL49" s="675"/>
      <c r="AM49" s="826"/>
      <c r="AN49" s="827">
        <f>ROUND(AVERAGE(AN33:AQ47),1)</f>
        <v>15.4</v>
      </c>
      <c r="AO49" s="825"/>
      <c r="AP49" s="825"/>
      <c r="AQ49" s="825"/>
      <c r="AR49" s="797" t="e">
        <f>ROUND(AVERAGE(AR33:AU47),1)</f>
        <v>#DIV/0!</v>
      </c>
      <c r="AS49" s="797"/>
      <c r="AT49" s="797"/>
      <c r="AU49" s="798"/>
      <c r="AV49" s="819" t="s">
        <v>54</v>
      </c>
      <c r="AW49" s="820"/>
      <c r="AX49" s="820"/>
      <c r="AY49" s="820"/>
      <c r="AZ49" s="820"/>
      <c r="BA49" s="807" t="e">
        <f>AVERAGE(BA47:BI48)</f>
        <v>#DIV/0!</v>
      </c>
      <c r="BB49" s="808"/>
      <c r="BC49" s="808"/>
      <c r="BD49" s="808"/>
      <c r="BE49" s="808"/>
      <c r="BF49" s="808"/>
      <c r="BG49" s="808"/>
      <c r="BH49" s="808"/>
      <c r="BI49" s="809"/>
      <c r="BJ49" s="4"/>
    </row>
    <row r="50" spans="1:62" ht="15" customHeight="1">
      <c r="A50" s="2"/>
      <c r="B50" s="796" t="s">
        <v>146</v>
      </c>
      <c r="C50" s="675"/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4" t="s">
        <v>13</v>
      </c>
      <c r="P50" s="674"/>
      <c r="Q50" s="674"/>
      <c r="R50" s="674"/>
      <c r="S50" s="846">
        <v>1</v>
      </c>
      <c r="T50" s="847"/>
      <c r="U50" s="847"/>
      <c r="V50" s="847"/>
      <c r="W50" s="848"/>
      <c r="X50" s="664" t="s">
        <v>67</v>
      </c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61"/>
      <c r="AK50" s="661"/>
      <c r="AL50" s="661"/>
      <c r="AM50" s="661"/>
      <c r="AN50" s="661"/>
      <c r="AO50" s="665"/>
      <c r="AP50" s="674" t="s">
        <v>14</v>
      </c>
      <c r="AQ50" s="674"/>
      <c r="AR50" s="674"/>
      <c r="AS50" s="674"/>
      <c r="AT50" s="675" t="s">
        <v>35</v>
      </c>
      <c r="AU50" s="675"/>
      <c r="AV50" s="675"/>
      <c r="AW50" s="675"/>
      <c r="AX50" s="828">
        <v>13.5</v>
      </c>
      <c r="AY50" s="828"/>
      <c r="AZ50" s="828"/>
      <c r="BA50" s="828"/>
      <c r="BB50" s="828"/>
      <c r="BC50" s="828"/>
      <c r="BD50" s="828"/>
      <c r="BE50" s="828"/>
      <c r="BF50" s="828"/>
      <c r="BG50" s="828"/>
      <c r="BH50" s="828"/>
      <c r="BI50" s="829"/>
      <c r="BJ50" s="4"/>
    </row>
    <row r="51" spans="1:62" ht="15" customHeight="1">
      <c r="A51" s="2"/>
      <c r="B51" s="763" t="s">
        <v>49</v>
      </c>
      <c r="C51" s="764"/>
      <c r="D51" s="764"/>
      <c r="E51" s="764"/>
      <c r="F51" s="764"/>
      <c r="G51" s="764"/>
      <c r="H51" s="765"/>
      <c r="I51" s="757" t="s">
        <v>68</v>
      </c>
      <c r="J51" s="758"/>
      <c r="K51" s="758"/>
      <c r="L51" s="758"/>
      <c r="M51" s="758"/>
      <c r="N51" s="758"/>
      <c r="O51" s="833"/>
      <c r="P51" s="840" t="s">
        <v>139</v>
      </c>
      <c r="Q51" s="723"/>
      <c r="R51" s="723"/>
      <c r="S51" s="723"/>
      <c r="T51" s="841" t="s">
        <v>537</v>
      </c>
      <c r="U51" s="678"/>
      <c r="V51" s="678"/>
      <c r="W51" s="678"/>
      <c r="X51" s="36" t="s">
        <v>6</v>
      </c>
      <c r="Y51" s="36"/>
      <c r="Z51" s="841" t="s">
        <v>573</v>
      </c>
      <c r="AA51" s="678"/>
      <c r="AB51" s="678"/>
      <c r="AC51" s="678"/>
      <c r="AD51" s="678"/>
      <c r="AE51" s="842"/>
      <c r="AF51" s="748" t="s">
        <v>69</v>
      </c>
      <c r="AG51" s="721"/>
      <c r="AH51" s="721"/>
      <c r="AI51" s="721"/>
      <c r="AJ51" s="721"/>
      <c r="AK51" s="721"/>
      <c r="AL51" s="721"/>
      <c r="AM51" s="721"/>
      <c r="AN51" s="721"/>
      <c r="AO51" s="722"/>
      <c r="AP51" s="840" t="s">
        <v>574</v>
      </c>
      <c r="AQ51" s="723"/>
      <c r="AR51" s="723"/>
      <c r="AS51" s="723"/>
      <c r="AT51" s="723"/>
      <c r="AU51" s="723"/>
      <c r="AV51" s="723"/>
      <c r="AW51" s="723"/>
      <c r="AX51" s="723"/>
      <c r="AY51" s="723"/>
      <c r="AZ51" s="723"/>
      <c r="BA51" s="723"/>
      <c r="BB51" s="723"/>
      <c r="BC51" s="723"/>
      <c r="BD51" s="723"/>
      <c r="BE51" s="723"/>
      <c r="BF51" s="723"/>
      <c r="BG51" s="723"/>
      <c r="BH51" s="723"/>
      <c r="BI51" s="843"/>
      <c r="BJ51" s="4"/>
    </row>
    <row r="52" spans="1:62" ht="15" customHeight="1">
      <c r="A52" s="2"/>
      <c r="B52" s="830"/>
      <c r="C52" s="831"/>
      <c r="D52" s="831"/>
      <c r="E52" s="831"/>
      <c r="F52" s="831"/>
      <c r="G52" s="831"/>
      <c r="H52" s="832"/>
      <c r="I52" s="834"/>
      <c r="J52" s="835"/>
      <c r="K52" s="835"/>
      <c r="L52" s="835"/>
      <c r="M52" s="835"/>
      <c r="N52" s="835"/>
      <c r="O52" s="836"/>
      <c r="P52" s="844" t="s">
        <v>139</v>
      </c>
      <c r="Q52" s="845"/>
      <c r="R52" s="845"/>
      <c r="S52" s="845"/>
      <c r="T52" s="681"/>
      <c r="U52" s="681"/>
      <c r="V52" s="681"/>
      <c r="W52" s="681"/>
      <c r="X52" s="14" t="s">
        <v>6</v>
      </c>
      <c r="Y52" s="14"/>
      <c r="Z52" s="681"/>
      <c r="AA52" s="681"/>
      <c r="AB52" s="681"/>
      <c r="AC52" s="681"/>
      <c r="AD52" s="681"/>
      <c r="AE52" s="855"/>
      <c r="AF52" s="856" t="s">
        <v>135</v>
      </c>
      <c r="AG52" s="857"/>
      <c r="AH52" s="857"/>
      <c r="AI52" s="857"/>
      <c r="AJ52" s="857"/>
      <c r="AK52" s="857"/>
      <c r="AL52" s="857"/>
      <c r="AM52" s="857"/>
      <c r="AN52" s="857"/>
      <c r="AO52" s="858"/>
      <c r="AP52" s="844" t="s">
        <v>575</v>
      </c>
      <c r="AQ52" s="845"/>
      <c r="AR52" s="845"/>
      <c r="AS52" s="845"/>
      <c r="AT52" s="845"/>
      <c r="AU52" s="845"/>
      <c r="AV52" s="845"/>
      <c r="AW52" s="845"/>
      <c r="AX52" s="845"/>
      <c r="AY52" s="845"/>
      <c r="AZ52" s="845"/>
      <c r="BA52" s="845"/>
      <c r="BB52" s="845"/>
      <c r="BC52" s="845"/>
      <c r="BD52" s="845"/>
      <c r="BE52" s="845"/>
      <c r="BF52" s="845"/>
      <c r="BG52" s="845"/>
      <c r="BH52" s="845"/>
      <c r="BI52" s="859"/>
      <c r="BJ52" s="4"/>
    </row>
    <row r="53" spans="1:62" ht="15" customHeight="1">
      <c r="A53" s="2"/>
      <c r="B53" s="766"/>
      <c r="C53" s="767"/>
      <c r="D53" s="767"/>
      <c r="E53" s="767"/>
      <c r="F53" s="767"/>
      <c r="G53" s="767"/>
      <c r="H53" s="768"/>
      <c r="I53" s="837"/>
      <c r="J53" s="838"/>
      <c r="K53" s="838"/>
      <c r="L53" s="838"/>
      <c r="M53" s="838"/>
      <c r="N53" s="838"/>
      <c r="O53" s="839"/>
      <c r="P53" s="860" t="s">
        <v>139</v>
      </c>
      <c r="Q53" s="731"/>
      <c r="R53" s="731"/>
      <c r="S53" s="731"/>
      <c r="T53" s="861"/>
      <c r="U53" s="861"/>
      <c r="V53" s="861"/>
      <c r="W53" s="861"/>
      <c r="X53" s="341" t="s">
        <v>6</v>
      </c>
      <c r="Y53" s="341"/>
      <c r="Z53" s="861"/>
      <c r="AA53" s="861"/>
      <c r="AB53" s="861"/>
      <c r="AC53" s="861"/>
      <c r="AD53" s="861"/>
      <c r="AE53" s="862"/>
      <c r="AF53" s="692" t="s">
        <v>140</v>
      </c>
      <c r="AG53" s="690"/>
      <c r="AH53" s="690"/>
      <c r="AI53" s="690"/>
      <c r="AJ53" s="690"/>
      <c r="AK53" s="690"/>
      <c r="AL53" s="690"/>
      <c r="AM53" s="690"/>
      <c r="AN53" s="690"/>
      <c r="AO53" s="691"/>
      <c r="AP53" s="339" t="s">
        <v>576</v>
      </c>
      <c r="AQ53" s="334"/>
      <c r="AR53" s="334"/>
      <c r="AS53" s="334"/>
      <c r="AT53" s="334"/>
      <c r="AU53" s="334"/>
      <c r="AV53" s="341"/>
      <c r="AW53" s="341"/>
      <c r="AX53" s="341"/>
      <c r="AY53" s="341"/>
      <c r="AZ53" s="341"/>
      <c r="BA53" s="341"/>
      <c r="BB53" s="690"/>
      <c r="BC53" s="690"/>
      <c r="BD53" s="731"/>
      <c r="BE53" s="731"/>
      <c r="BF53" s="731"/>
      <c r="BG53" s="731"/>
      <c r="BH53" s="731"/>
      <c r="BI53" s="863"/>
      <c r="BJ53" s="4"/>
    </row>
    <row r="54" spans="1:62" ht="3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4"/>
    </row>
    <row r="55" spans="1:62" s="50" customFormat="1" ht="30" customHeight="1">
      <c r="A55" s="48"/>
      <c r="B55" s="851" t="s">
        <v>147</v>
      </c>
      <c r="C55" s="851"/>
      <c r="D55" s="851"/>
      <c r="E55" s="851"/>
      <c r="F55" s="851"/>
      <c r="G55" s="851"/>
      <c r="H55" s="851"/>
      <c r="I55" s="851"/>
      <c r="J55" s="852"/>
      <c r="K55" s="853" t="s">
        <v>148</v>
      </c>
      <c r="L55" s="851"/>
      <c r="M55" s="851"/>
      <c r="N55" s="851"/>
      <c r="O55" s="851"/>
      <c r="P55" s="851"/>
      <c r="Q55" s="851"/>
      <c r="R55" s="851" t="s">
        <v>149</v>
      </c>
      <c r="S55" s="851"/>
      <c r="T55" s="851"/>
      <c r="U55" s="851"/>
      <c r="V55" s="851"/>
      <c r="W55" s="851"/>
      <c r="X55" s="851"/>
      <c r="Y55" s="852"/>
      <c r="Z55" s="853" t="s">
        <v>567</v>
      </c>
      <c r="AA55" s="851"/>
      <c r="AB55" s="851"/>
      <c r="AC55" s="851"/>
      <c r="AD55" s="851"/>
      <c r="AE55" s="851"/>
      <c r="AF55" s="851"/>
      <c r="AG55" s="851"/>
      <c r="AH55" s="851"/>
      <c r="AI55" s="854" t="s">
        <v>562</v>
      </c>
      <c r="AJ55" s="854"/>
      <c r="AK55" s="854"/>
      <c r="AL55" s="854"/>
      <c r="AM55" s="854"/>
      <c r="AN55" s="854"/>
      <c r="AO55" s="854"/>
      <c r="AP55" s="854"/>
      <c r="AQ55" s="854"/>
      <c r="AR55" s="851" t="s">
        <v>563</v>
      </c>
      <c r="AS55" s="851"/>
      <c r="AT55" s="851"/>
      <c r="AU55" s="851"/>
      <c r="AV55" s="851"/>
      <c r="AW55" s="851"/>
      <c r="AX55" s="851"/>
      <c r="AY55" s="851"/>
      <c r="AZ55" s="851"/>
      <c r="BA55" s="852"/>
      <c r="BB55" s="849">
        <v>43117</v>
      </c>
      <c r="BC55" s="850"/>
      <c r="BD55" s="850"/>
      <c r="BE55" s="850"/>
      <c r="BF55" s="850"/>
      <c r="BG55" s="850"/>
      <c r="BH55" s="850"/>
      <c r="BI55" s="850"/>
      <c r="BJ55" s="49"/>
    </row>
    <row r="56" spans="1:62" ht="6.75" customHeight="1" thickBot="1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ht="6.75" customHeight="1"/>
  </sheetData>
  <mergeCells count="390">
    <mergeCell ref="BB55:BI55"/>
    <mergeCell ref="B55:J55"/>
    <mergeCell ref="K55:Q55"/>
    <mergeCell ref="R55:Y55"/>
    <mergeCell ref="Z55:AH55"/>
    <mergeCell ref="AI55:AQ55"/>
    <mergeCell ref="AR55:BA55"/>
    <mergeCell ref="Z52:AE52"/>
    <mergeCell ref="AF52:AO52"/>
    <mergeCell ref="AP52:BI52"/>
    <mergeCell ref="P53:S53"/>
    <mergeCell ref="T53:W53"/>
    <mergeCell ref="Z53:AE53"/>
    <mergeCell ref="AF53:AO53"/>
    <mergeCell ref="BB53:BC53"/>
    <mergeCell ref="BD53:BI53"/>
    <mergeCell ref="AX50:BI50"/>
    <mergeCell ref="B51:H53"/>
    <mergeCell ref="I51:O53"/>
    <mergeCell ref="P51:S51"/>
    <mergeCell ref="T51:W51"/>
    <mergeCell ref="Z51:AE51"/>
    <mergeCell ref="AF51:AO51"/>
    <mergeCell ref="AP51:BI51"/>
    <mergeCell ref="P52:S52"/>
    <mergeCell ref="T52:W52"/>
    <mergeCell ref="B50:N50"/>
    <mergeCell ref="O50:R50"/>
    <mergeCell ref="S50:W50"/>
    <mergeCell ref="X50:AO50"/>
    <mergeCell ref="AP50:AS50"/>
    <mergeCell ref="AT50:AW50"/>
    <mergeCell ref="P49:W49"/>
    <mergeCell ref="X49:AA49"/>
    <mergeCell ref="AB49:AE49"/>
    <mergeCell ref="AF49:AI49"/>
    <mergeCell ref="AJ49:AM49"/>
    <mergeCell ref="AN49:AQ49"/>
    <mergeCell ref="AR49:AU49"/>
    <mergeCell ref="AV49:AZ49"/>
    <mergeCell ref="BA49:BI49"/>
    <mergeCell ref="AN47:AQ47"/>
    <mergeCell ref="AR47:AU47"/>
    <mergeCell ref="AV47:AZ47"/>
    <mergeCell ref="BA47:BI47"/>
    <mergeCell ref="B48:G48"/>
    <mergeCell ref="H48:K48"/>
    <mergeCell ref="L48:O48"/>
    <mergeCell ref="P48:S48"/>
    <mergeCell ref="T48:W48"/>
    <mergeCell ref="X48:AA48"/>
    <mergeCell ref="BA48:BI48"/>
    <mergeCell ref="AB48:AE48"/>
    <mergeCell ref="AF48:AI48"/>
    <mergeCell ref="AJ48:AM48"/>
    <mergeCell ref="AN48:AQ48"/>
    <mergeCell ref="AR48:AU48"/>
    <mergeCell ref="AV48:AZ48"/>
    <mergeCell ref="B47:G47"/>
    <mergeCell ref="H47:K47"/>
    <mergeCell ref="L47:O47"/>
    <mergeCell ref="P47:S47"/>
    <mergeCell ref="T47:W47"/>
    <mergeCell ref="X47:AA47"/>
    <mergeCell ref="AB47:AE47"/>
    <mergeCell ref="B44:G44"/>
    <mergeCell ref="H44:K44"/>
    <mergeCell ref="L44:O44"/>
    <mergeCell ref="P44:S44"/>
    <mergeCell ref="AF47:AI47"/>
    <mergeCell ref="AJ47:AM47"/>
    <mergeCell ref="B46:G46"/>
    <mergeCell ref="H46:K46"/>
    <mergeCell ref="L46:O46"/>
    <mergeCell ref="P46:S46"/>
    <mergeCell ref="T46:W46"/>
    <mergeCell ref="X46:AA46"/>
    <mergeCell ref="AB46:AE46"/>
    <mergeCell ref="AF46:AI46"/>
    <mergeCell ref="AJ46:AM46"/>
    <mergeCell ref="B45:G45"/>
    <mergeCell ref="H45:K45"/>
    <mergeCell ref="L45:O45"/>
    <mergeCell ref="P45:S45"/>
    <mergeCell ref="T45:W45"/>
    <mergeCell ref="X45:AA45"/>
    <mergeCell ref="T44:W44"/>
    <mergeCell ref="X44:AA44"/>
    <mergeCell ref="AB44:AE44"/>
    <mergeCell ref="BA45:BI45"/>
    <mergeCell ref="AB45:AE45"/>
    <mergeCell ref="AF45:AI45"/>
    <mergeCell ref="AJ45:AM45"/>
    <mergeCell ref="AN45:AQ45"/>
    <mergeCell ref="AR45:AU45"/>
    <mergeCell ref="AV45:AZ46"/>
    <mergeCell ref="AN46:AQ46"/>
    <mergeCell ref="AR46:AU46"/>
    <mergeCell ref="BA46:BI46"/>
    <mergeCell ref="AF44:AI44"/>
    <mergeCell ref="AJ44:AM44"/>
    <mergeCell ref="AN42:AQ42"/>
    <mergeCell ref="AR42:AU42"/>
    <mergeCell ref="AV42:AZ42"/>
    <mergeCell ref="BA42:BI42"/>
    <mergeCell ref="AN44:AQ44"/>
    <mergeCell ref="AR44:AU44"/>
    <mergeCell ref="AV44:AZ44"/>
    <mergeCell ref="BA44:BI44"/>
    <mergeCell ref="B43:G43"/>
    <mergeCell ref="H43:K43"/>
    <mergeCell ref="L43:O43"/>
    <mergeCell ref="P43:S43"/>
    <mergeCell ref="T43:W43"/>
    <mergeCell ref="X43:AA43"/>
    <mergeCell ref="BA43:BI43"/>
    <mergeCell ref="AB43:AE43"/>
    <mergeCell ref="AF43:AI43"/>
    <mergeCell ref="AJ43:AM43"/>
    <mergeCell ref="AN43:AQ43"/>
    <mergeCell ref="AR43:AU43"/>
    <mergeCell ref="AV43:AZ43"/>
    <mergeCell ref="AB41:AE41"/>
    <mergeCell ref="AF41:AI41"/>
    <mergeCell ref="AJ41:AM41"/>
    <mergeCell ref="B42:G42"/>
    <mergeCell ref="H42:K42"/>
    <mergeCell ref="L42:O42"/>
    <mergeCell ref="P42:S42"/>
    <mergeCell ref="T42:W42"/>
    <mergeCell ref="X42:AA42"/>
    <mergeCell ref="AB42:AE42"/>
    <mergeCell ref="AF42:AI42"/>
    <mergeCell ref="AJ42:AM42"/>
    <mergeCell ref="AV39:AZ39"/>
    <mergeCell ref="BA39:BI39"/>
    <mergeCell ref="B40:G40"/>
    <mergeCell ref="H40:K40"/>
    <mergeCell ref="L40:O40"/>
    <mergeCell ref="P40:S40"/>
    <mergeCell ref="T40:W40"/>
    <mergeCell ref="X40:AA40"/>
    <mergeCell ref="BA40:BI40"/>
    <mergeCell ref="AB40:AE40"/>
    <mergeCell ref="AF40:AI40"/>
    <mergeCell ref="AJ40:AM40"/>
    <mergeCell ref="AN40:AQ40"/>
    <mergeCell ref="AR40:AU40"/>
    <mergeCell ref="AV40:AZ41"/>
    <mergeCell ref="AN41:AQ41"/>
    <mergeCell ref="AR41:AU41"/>
    <mergeCell ref="BA41:BI41"/>
    <mergeCell ref="B41:G41"/>
    <mergeCell ref="H41:K41"/>
    <mergeCell ref="L41:O41"/>
    <mergeCell ref="P41:S41"/>
    <mergeCell ref="T41:W41"/>
    <mergeCell ref="X41:AA41"/>
    <mergeCell ref="B38:G38"/>
    <mergeCell ref="H38:K38"/>
    <mergeCell ref="L38:O38"/>
    <mergeCell ref="P38:S38"/>
    <mergeCell ref="T38:W38"/>
    <mergeCell ref="X38:AA38"/>
    <mergeCell ref="BA38:BI38"/>
    <mergeCell ref="B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B38:AE38"/>
    <mergeCell ref="AF38:AI38"/>
    <mergeCell ref="AJ38:AM38"/>
    <mergeCell ref="AN38:AQ38"/>
    <mergeCell ref="AR38:AU38"/>
    <mergeCell ref="AV38:AZ38"/>
    <mergeCell ref="AN39:AQ39"/>
    <mergeCell ref="AR39:AU39"/>
    <mergeCell ref="BA36:BI36"/>
    <mergeCell ref="B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Z37"/>
    <mergeCell ref="BA37:BI37"/>
    <mergeCell ref="AB35:AE35"/>
    <mergeCell ref="AF35:AI35"/>
    <mergeCell ref="AJ35:AM35"/>
    <mergeCell ref="AN35:AQ35"/>
    <mergeCell ref="AR35:AU35"/>
    <mergeCell ref="AV35:AZ36"/>
    <mergeCell ref="AN36:AQ36"/>
    <mergeCell ref="AR36:AU36"/>
    <mergeCell ref="B35:G35"/>
    <mergeCell ref="H35:K35"/>
    <mergeCell ref="L35:O35"/>
    <mergeCell ref="P35:S35"/>
    <mergeCell ref="T35:W35"/>
    <mergeCell ref="X35:AA35"/>
    <mergeCell ref="B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J34:AM34"/>
    <mergeCell ref="AN34:AQ34"/>
    <mergeCell ref="AR34:AU34"/>
    <mergeCell ref="AV34:BI34"/>
    <mergeCell ref="AN33:AQ33"/>
    <mergeCell ref="AR33:AU33"/>
    <mergeCell ref="AV33:BB33"/>
    <mergeCell ref="BC33:BI33"/>
    <mergeCell ref="BA35:BI35"/>
    <mergeCell ref="B34:G34"/>
    <mergeCell ref="H34:K34"/>
    <mergeCell ref="L34:O34"/>
    <mergeCell ref="P34:S34"/>
    <mergeCell ref="T34:W34"/>
    <mergeCell ref="X34:AA34"/>
    <mergeCell ref="BC32:BI32"/>
    <mergeCell ref="B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B32:AE32"/>
    <mergeCell ref="AF32:AI32"/>
    <mergeCell ref="AJ32:AM32"/>
    <mergeCell ref="AN32:AQ32"/>
    <mergeCell ref="AR32:AU32"/>
    <mergeCell ref="AV32:BB32"/>
    <mergeCell ref="AB34:AE34"/>
    <mergeCell ref="AF34:AI34"/>
    <mergeCell ref="P31:W31"/>
    <mergeCell ref="X31:AE31"/>
    <mergeCell ref="AF31:AM31"/>
    <mergeCell ref="AN31:AU31"/>
    <mergeCell ref="AV31:BI31"/>
    <mergeCell ref="H32:K32"/>
    <mergeCell ref="L32:O32"/>
    <mergeCell ref="P32:S32"/>
    <mergeCell ref="T32:W32"/>
    <mergeCell ref="X32:AA32"/>
    <mergeCell ref="AN29:AU29"/>
    <mergeCell ref="AV29:BI29"/>
    <mergeCell ref="P30:W30"/>
    <mergeCell ref="X30:AE30"/>
    <mergeCell ref="AF30:AM30"/>
    <mergeCell ref="AN30:AU30"/>
    <mergeCell ref="AV30:BI30"/>
    <mergeCell ref="AK25:AQ25"/>
    <mergeCell ref="AR25:BI25"/>
    <mergeCell ref="AD25:AJ25"/>
    <mergeCell ref="B26:H26"/>
    <mergeCell ref="I26:O26"/>
    <mergeCell ref="P26:AH26"/>
    <mergeCell ref="B29:G32"/>
    <mergeCell ref="H29:O31"/>
    <mergeCell ref="P29:W29"/>
    <mergeCell ref="X29:AE29"/>
    <mergeCell ref="AF29:AM29"/>
    <mergeCell ref="AR23:BI23"/>
    <mergeCell ref="I24:O24"/>
    <mergeCell ref="P24:V24"/>
    <mergeCell ref="W24:AC24"/>
    <mergeCell ref="AD24:AJ24"/>
    <mergeCell ref="AK24:AQ24"/>
    <mergeCell ref="AR24:BI24"/>
    <mergeCell ref="B23:H25"/>
    <mergeCell ref="I23:O23"/>
    <mergeCell ref="P23:V23"/>
    <mergeCell ref="W23:AC23"/>
    <mergeCell ref="AD23:AJ23"/>
    <mergeCell ref="AK23:AQ23"/>
    <mergeCell ref="I25:O25"/>
    <mergeCell ref="P25:V25"/>
    <mergeCell ref="W25:AC25"/>
    <mergeCell ref="B20:H22"/>
    <mergeCell ref="I20:O22"/>
    <mergeCell ref="P20:AQ20"/>
    <mergeCell ref="P21:V21"/>
    <mergeCell ref="W21:AC21"/>
    <mergeCell ref="AD21:AJ21"/>
    <mergeCell ref="AK21:AQ21"/>
    <mergeCell ref="AI15:AN15"/>
    <mergeCell ref="AO15:AU15"/>
    <mergeCell ref="I15:O15"/>
    <mergeCell ref="P15:U15"/>
    <mergeCell ref="V15:AD15"/>
    <mergeCell ref="AE15:AH15"/>
    <mergeCell ref="AR21:BI21"/>
    <mergeCell ref="P22:V22"/>
    <mergeCell ref="W22:AC22"/>
    <mergeCell ref="AD22:AJ22"/>
    <mergeCell ref="AK22:AQ22"/>
    <mergeCell ref="AR22:BI22"/>
    <mergeCell ref="AI17:AR17"/>
    <mergeCell ref="AS17:BI17"/>
    <mergeCell ref="AR19:BI20"/>
    <mergeCell ref="AV15:BB15"/>
    <mergeCell ref="B16:H17"/>
    <mergeCell ref="I16:O16"/>
    <mergeCell ref="P16:AH16"/>
    <mergeCell ref="AI16:AR16"/>
    <mergeCell ref="AS16:BI16"/>
    <mergeCell ref="I17:O17"/>
    <mergeCell ref="P17:AH17"/>
    <mergeCell ref="AO13:AU13"/>
    <mergeCell ref="AV13:BB13"/>
    <mergeCell ref="BC13:BI15"/>
    <mergeCell ref="I14:O14"/>
    <mergeCell ref="P14:U14"/>
    <mergeCell ref="V14:AD14"/>
    <mergeCell ref="AE14:AH14"/>
    <mergeCell ref="AI14:AN14"/>
    <mergeCell ref="AO14:AU14"/>
    <mergeCell ref="AV14:BB14"/>
    <mergeCell ref="B13:H15"/>
    <mergeCell ref="I13:O13"/>
    <mergeCell ref="P13:U13"/>
    <mergeCell ref="V13:AD13"/>
    <mergeCell ref="AE13:AH13"/>
    <mergeCell ref="AI13:AN13"/>
    <mergeCell ref="B9:H12"/>
    <mergeCell ref="I9:O12"/>
    <mergeCell ref="P9:U12"/>
    <mergeCell ref="V9:AN9"/>
    <mergeCell ref="AO9:AU10"/>
    <mergeCell ref="AV9:BI9"/>
    <mergeCell ref="V10:AD10"/>
    <mergeCell ref="V12:AD12"/>
    <mergeCell ref="AE12:AH12"/>
    <mergeCell ref="AI12:AN12"/>
    <mergeCell ref="AO12:AU12"/>
    <mergeCell ref="AV12:BB12"/>
    <mergeCell ref="BC12:BI12"/>
    <mergeCell ref="AE10:AH10"/>
    <mergeCell ref="AI10:AN10"/>
    <mergeCell ref="AV10:BB10"/>
    <mergeCell ref="BC10:BI10"/>
    <mergeCell ref="V11:AD11"/>
    <mergeCell ref="AE11:AH11"/>
    <mergeCell ref="AI11:AN11"/>
    <mergeCell ref="AO11:AU11"/>
    <mergeCell ref="AV11:BB11"/>
    <mergeCell ref="BC11:BI11"/>
    <mergeCell ref="AL8:AW8"/>
    <mergeCell ref="A4:L4"/>
    <mergeCell ref="M4:AC4"/>
    <mergeCell ref="AD4:AM4"/>
    <mergeCell ref="AN4:BJ4"/>
    <mergeCell ref="R6:U6"/>
    <mergeCell ref="V6:Y6"/>
    <mergeCell ref="Z6:AC6"/>
    <mergeCell ref="AD6:AG6"/>
    <mergeCell ref="AH6:AK6"/>
    <mergeCell ref="AX8:BA8"/>
    <mergeCell ref="BB8:BE8"/>
    <mergeCell ref="BF8:BI8"/>
    <mergeCell ref="A2:W2"/>
    <mergeCell ref="X2:AM2"/>
    <mergeCell ref="AN2:BJ2"/>
    <mergeCell ref="A3:L3"/>
    <mergeCell ref="M3:AC3"/>
    <mergeCell ref="AD3:AM3"/>
    <mergeCell ref="AN3:BJ3"/>
    <mergeCell ref="R7:U7"/>
    <mergeCell ref="V7:Y7"/>
    <mergeCell ref="Z7:AC7"/>
    <mergeCell ref="AD7:AG7"/>
    <mergeCell ref="AH7:AK7"/>
  </mergeCells>
  <pageMargins left="0.32" right="0.11811023622047245" top="0.41" bottom="0.19685039370078741" header="0.23622047244094491" footer="0.19685039370078741"/>
  <pageSetup paperSize="9" scale="84" fitToHeight="0" orientation="portrait" horizontalDpi="4294967293" vertic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585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599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42"/>
      <c r="N5" s="42"/>
      <c r="O5" s="42"/>
      <c r="P5" s="42"/>
      <c r="Q5" s="42"/>
      <c r="R5" s="42"/>
      <c r="S5" s="42"/>
      <c r="T5" s="42"/>
      <c r="U5" s="42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6"/>
      <c r="AG5" s="46"/>
      <c r="AH5" s="46"/>
      <c r="AI5" s="46"/>
      <c r="AJ5" s="46"/>
      <c r="AK5" s="46"/>
      <c r="AL5" s="46"/>
      <c r="AM5" s="46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559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873"/>
      <c r="BA7" s="873"/>
      <c r="BB7" s="873"/>
      <c r="BC7" s="873"/>
      <c r="BD7" s="873"/>
      <c r="BJ7" s="4"/>
    </row>
    <row r="8" spans="1:63" ht="18.75" customHeight="1">
      <c r="A8" s="2"/>
      <c r="B8" s="874" t="s">
        <v>549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538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549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538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102.8</v>
      </c>
      <c r="BF9" s="714"/>
      <c r="BG9" s="714"/>
      <c r="BH9" s="714"/>
      <c r="BI9" s="715"/>
      <c r="BJ9" s="4"/>
    </row>
    <row r="10" spans="1:63" ht="18.75" customHeight="1">
      <c r="A10" s="2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9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40"/>
      <c r="X10" s="40"/>
      <c r="Y10" s="40"/>
      <c r="Z10" s="40"/>
      <c r="AA10" s="40"/>
      <c r="AB10" s="40"/>
      <c r="AC10" s="43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564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565</v>
      </c>
      <c r="AV14" s="912"/>
      <c r="AW14" s="912"/>
      <c r="AX14" s="912"/>
      <c r="AY14" s="983"/>
      <c r="AZ14" s="912" t="s">
        <v>565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0.65833333333333333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3</v>
      </c>
      <c r="Q15" s="709"/>
      <c r="R15" s="709"/>
      <c r="S15" s="709"/>
      <c r="T15" s="709">
        <v>9</v>
      </c>
      <c r="U15" s="709"/>
      <c r="V15" s="709"/>
      <c r="W15" s="709"/>
      <c r="X15" s="719">
        <v>124</v>
      </c>
      <c r="Y15" s="684"/>
      <c r="Z15" s="684"/>
      <c r="AA15" s="684"/>
      <c r="AB15" s="684"/>
      <c r="AC15" s="684">
        <v>21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0.125</v>
      </c>
      <c r="AL15" s="979"/>
      <c r="AM15" s="979"/>
      <c r="AN15" s="979"/>
      <c r="AO15" s="979"/>
      <c r="AP15" s="980">
        <v>3.0059</v>
      </c>
      <c r="AQ15" s="980"/>
      <c r="AR15" s="980"/>
      <c r="AS15" s="980"/>
      <c r="AT15" s="980"/>
      <c r="AU15" s="713">
        <f>IF(AP15="","",ROUND(AP15/AK15,1))</f>
        <v>24</v>
      </c>
      <c r="AV15" s="714"/>
      <c r="AW15" s="714"/>
      <c r="AX15" s="714"/>
      <c r="AY15" s="714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2.4900000000000002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0.70277777777777783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4</v>
      </c>
      <c r="Q16" s="710"/>
      <c r="R16" s="710"/>
      <c r="S16" s="710"/>
      <c r="T16" s="710">
        <v>9</v>
      </c>
      <c r="U16" s="710"/>
      <c r="V16" s="710"/>
      <c r="W16" s="710"/>
      <c r="X16" s="700">
        <v>107</v>
      </c>
      <c r="Y16" s="698"/>
      <c r="Z16" s="698"/>
      <c r="AA16" s="698"/>
      <c r="AB16" s="698"/>
      <c r="AC16" s="698">
        <v>21</v>
      </c>
      <c r="AD16" s="698"/>
      <c r="AE16" s="698"/>
      <c r="AF16" s="698"/>
      <c r="AG16" s="698">
        <v>0.1</v>
      </c>
      <c r="AH16" s="698"/>
      <c r="AI16" s="698"/>
      <c r="AJ16" s="699"/>
      <c r="AK16" s="710">
        <f t="shared" ref="AK16:AK19" si="0">IF(X16="","",ROUND(X16*298.15/101.32*($BE$9+AG16-BK16)/(273.15+AC16)/1000,3))</f>
        <v>0.107</v>
      </c>
      <c r="AL16" s="710"/>
      <c r="AM16" s="710"/>
      <c r="AN16" s="710"/>
      <c r="AO16" s="710"/>
      <c r="AP16" s="990">
        <v>2.5333700000000001</v>
      </c>
      <c r="AQ16" s="990"/>
      <c r="AR16" s="990"/>
      <c r="AS16" s="990"/>
      <c r="AT16" s="990"/>
      <c r="AU16" s="741">
        <f t="shared" ref="AU16:AU19" si="1">IF(AP16="","",ROUND(AP16/AK16,1))</f>
        <v>23.7</v>
      </c>
      <c r="AV16" s="736"/>
      <c r="AW16" s="736"/>
      <c r="AX16" s="736"/>
      <c r="AY16" s="736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2.4900000000000002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0.71388888888888891</v>
      </c>
      <c r="G17" s="710"/>
      <c r="H17" s="710"/>
      <c r="I17" s="710"/>
      <c r="J17" s="710">
        <v>3</v>
      </c>
      <c r="K17" s="710"/>
      <c r="L17" s="710"/>
      <c r="M17" s="710">
        <v>5</v>
      </c>
      <c r="N17" s="710"/>
      <c r="O17" s="710"/>
      <c r="P17" s="710">
        <v>6</v>
      </c>
      <c r="Q17" s="710"/>
      <c r="R17" s="710"/>
      <c r="S17" s="710"/>
      <c r="T17" s="710">
        <v>9</v>
      </c>
      <c r="U17" s="710"/>
      <c r="V17" s="710"/>
      <c r="W17" s="710"/>
      <c r="X17" s="700">
        <v>95</v>
      </c>
      <c r="Y17" s="698"/>
      <c r="Z17" s="698"/>
      <c r="AA17" s="698"/>
      <c r="AB17" s="698"/>
      <c r="AC17" s="698">
        <v>21</v>
      </c>
      <c r="AD17" s="698"/>
      <c r="AE17" s="698"/>
      <c r="AF17" s="698"/>
      <c r="AG17" s="698">
        <v>0.1</v>
      </c>
      <c r="AH17" s="698"/>
      <c r="AI17" s="698"/>
      <c r="AJ17" s="699"/>
      <c r="AK17" s="710">
        <f t="shared" si="0"/>
        <v>9.5000000000000001E-2</v>
      </c>
      <c r="AL17" s="710"/>
      <c r="AM17" s="710"/>
      <c r="AN17" s="710"/>
      <c r="AO17" s="710"/>
      <c r="AP17" s="990">
        <v>2.4203399999999999</v>
      </c>
      <c r="AQ17" s="990"/>
      <c r="AR17" s="990"/>
      <c r="AS17" s="990"/>
      <c r="AT17" s="990"/>
      <c r="AU17" s="741">
        <f t="shared" si="1"/>
        <v>25.5</v>
      </c>
      <c r="AV17" s="736"/>
      <c r="AW17" s="736"/>
      <c r="AX17" s="736"/>
      <c r="AY17" s="736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2.4900000000000002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0.72430555555555554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7</v>
      </c>
      <c r="Q18" s="710"/>
      <c r="R18" s="710"/>
      <c r="S18" s="710"/>
      <c r="T18" s="710">
        <v>9</v>
      </c>
      <c r="U18" s="710"/>
      <c r="V18" s="710"/>
      <c r="W18" s="710"/>
      <c r="X18" s="700">
        <v>103</v>
      </c>
      <c r="Y18" s="698"/>
      <c r="Z18" s="698"/>
      <c r="AA18" s="698"/>
      <c r="AB18" s="698"/>
      <c r="AC18" s="698">
        <v>21</v>
      </c>
      <c r="AD18" s="698"/>
      <c r="AE18" s="698"/>
      <c r="AF18" s="698"/>
      <c r="AG18" s="698">
        <v>0.1</v>
      </c>
      <c r="AH18" s="698"/>
      <c r="AI18" s="698"/>
      <c r="AJ18" s="699"/>
      <c r="AK18" s="710">
        <f t="shared" si="0"/>
        <v>0.10299999999999999</v>
      </c>
      <c r="AL18" s="710"/>
      <c r="AM18" s="710"/>
      <c r="AN18" s="710"/>
      <c r="AO18" s="710"/>
      <c r="AP18" s="990">
        <v>2.7461000000000002</v>
      </c>
      <c r="AQ18" s="990"/>
      <c r="AR18" s="990"/>
      <c r="AS18" s="990"/>
      <c r="AT18" s="990"/>
      <c r="AU18" s="741">
        <f t="shared" si="1"/>
        <v>26.7</v>
      </c>
      <c r="AV18" s="736"/>
      <c r="AW18" s="736"/>
      <c r="AX18" s="736"/>
      <c r="AY18" s="736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2.4900000000000002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0.73541666666666661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8</v>
      </c>
      <c r="Q19" s="711"/>
      <c r="R19" s="711"/>
      <c r="S19" s="711"/>
      <c r="T19" s="711">
        <v>9</v>
      </c>
      <c r="U19" s="711"/>
      <c r="V19" s="711"/>
      <c r="W19" s="711"/>
      <c r="X19" s="696">
        <v>126</v>
      </c>
      <c r="Y19" s="693"/>
      <c r="Z19" s="693"/>
      <c r="AA19" s="693"/>
      <c r="AB19" s="693"/>
      <c r="AC19" s="693">
        <v>21</v>
      </c>
      <c r="AD19" s="693"/>
      <c r="AE19" s="693"/>
      <c r="AF19" s="693"/>
      <c r="AG19" s="693">
        <v>0.1</v>
      </c>
      <c r="AH19" s="693"/>
      <c r="AI19" s="693"/>
      <c r="AJ19" s="694"/>
      <c r="AK19" s="981">
        <f t="shared" si="0"/>
        <v>0.127</v>
      </c>
      <c r="AL19" s="981"/>
      <c r="AM19" s="981"/>
      <c r="AN19" s="981"/>
      <c r="AO19" s="981"/>
      <c r="AP19" s="982">
        <v>3.3465799999999999</v>
      </c>
      <c r="AQ19" s="982"/>
      <c r="AR19" s="982"/>
      <c r="AS19" s="982"/>
      <c r="AT19" s="982"/>
      <c r="AU19" s="753">
        <f t="shared" si="1"/>
        <v>26.4</v>
      </c>
      <c r="AV19" s="738"/>
      <c r="AW19" s="738"/>
      <c r="AX19" s="738"/>
      <c r="AY19" s="738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2.4900000000000002</v>
      </c>
    </row>
    <row r="20" spans="1:63" ht="18.75" customHeight="1">
      <c r="A20" s="2"/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P20" s="305"/>
      <c r="Q20" s="305"/>
      <c r="R20" s="305"/>
      <c r="S20" s="305"/>
      <c r="T20" s="305"/>
      <c r="U20" s="305"/>
      <c r="V20" s="305"/>
      <c r="W20" s="305"/>
      <c r="X20" s="305"/>
      <c r="Y20" s="305"/>
      <c r="Z20" s="305"/>
      <c r="AA20" s="305"/>
      <c r="AB20" s="305"/>
      <c r="AC20" s="305"/>
      <c r="AD20" s="305"/>
      <c r="AE20" s="305"/>
      <c r="AF20" s="305"/>
      <c r="AG20" s="305"/>
      <c r="AH20" s="305"/>
      <c r="AI20" s="305"/>
      <c r="AJ20" s="305"/>
      <c r="AK20" s="305"/>
      <c r="AL20" s="305"/>
      <c r="AM20" s="305"/>
      <c r="AN20" s="305"/>
      <c r="AO20" s="305"/>
      <c r="AP20" s="664" t="s">
        <v>54</v>
      </c>
      <c r="AQ20" s="661"/>
      <c r="AR20" s="661"/>
      <c r="AS20" s="661"/>
      <c r="AT20" s="676"/>
      <c r="AU20" s="995">
        <f>ROUND(AVERAGE(AU15:AY19),1)</f>
        <v>25.3</v>
      </c>
      <c r="AV20" s="996"/>
      <c r="AW20" s="996"/>
      <c r="AX20" s="996"/>
      <c r="AY20" s="846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594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588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45" t="s">
        <v>577</v>
      </c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44"/>
      <c r="C23" s="44"/>
      <c r="D23" s="44"/>
      <c r="E23" s="44"/>
      <c r="F23" s="44"/>
      <c r="G23" s="44"/>
      <c r="H23" s="44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44"/>
      <c r="C24" s="44"/>
      <c r="D24" s="44"/>
      <c r="E24" s="44"/>
      <c r="F24" s="44"/>
      <c r="G24" s="44"/>
      <c r="H24" s="44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42"/>
      <c r="AJ24" s="42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45" t="s">
        <v>151</v>
      </c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44"/>
      <c r="C46" s="44"/>
      <c r="D46" s="44"/>
      <c r="E46" s="44"/>
      <c r="F46" s="44"/>
      <c r="G46" s="44"/>
      <c r="H46" s="44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44"/>
      <c r="C47" s="44"/>
      <c r="D47" s="44"/>
      <c r="E47" s="44"/>
      <c r="F47" s="44"/>
      <c r="G47" s="44"/>
      <c r="H47" s="44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567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566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563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44:H45"/>
    <mergeCell ref="I44:S44"/>
    <mergeCell ref="AI44:AR44"/>
    <mergeCell ref="AS44:BI44"/>
    <mergeCell ref="I45:S45"/>
    <mergeCell ref="AI45:AR45"/>
    <mergeCell ref="AS45:BI45"/>
    <mergeCell ref="Z40:AE40"/>
    <mergeCell ref="Z41:AE41"/>
    <mergeCell ref="Z42:AE42"/>
    <mergeCell ref="S40:Y42"/>
    <mergeCell ref="B49:J49"/>
    <mergeCell ref="K49:Q49"/>
    <mergeCell ref="R49:Y49"/>
    <mergeCell ref="Z49:AH49"/>
    <mergeCell ref="AZ6:BD6"/>
    <mergeCell ref="AK7:AO8"/>
    <mergeCell ref="AP7:AT8"/>
    <mergeCell ref="AU7:AY8"/>
    <mergeCell ref="AZ20:BD20"/>
    <mergeCell ref="AZ27:BI27"/>
    <mergeCell ref="BE20:BI20"/>
    <mergeCell ref="P40:R40"/>
    <mergeCell ref="P41:R41"/>
    <mergeCell ref="P42:R42"/>
    <mergeCell ref="AI49:AQ49"/>
    <mergeCell ref="AR49:BA49"/>
    <mergeCell ref="BB49:BI49"/>
    <mergeCell ref="AZ18:BD18"/>
    <mergeCell ref="BE18:BI18"/>
    <mergeCell ref="AG18:AJ18"/>
    <mergeCell ref="BF36:BI36"/>
    <mergeCell ref="AT35:AW35"/>
    <mergeCell ref="AX35:BA35"/>
    <mergeCell ref="BB35:BE35"/>
    <mergeCell ref="P38:R39"/>
    <mergeCell ref="AK18:AO18"/>
    <mergeCell ref="AP18:AT18"/>
    <mergeCell ref="Z38:AE38"/>
    <mergeCell ref="Z27:AQ27"/>
    <mergeCell ref="AP36:AW36"/>
    <mergeCell ref="P36:U36"/>
    <mergeCell ref="Z36:AE36"/>
    <mergeCell ref="P37:AE37"/>
    <mergeCell ref="Z30:AC30"/>
    <mergeCell ref="AU18:AY18"/>
    <mergeCell ref="AX36:BA36"/>
    <mergeCell ref="S39:Y39"/>
    <mergeCell ref="Z39:AE39"/>
    <mergeCell ref="AL35:AO35"/>
    <mergeCell ref="AP35:AS35"/>
    <mergeCell ref="Z33:AC33"/>
    <mergeCell ref="AD33:AG33"/>
    <mergeCell ref="S38:Y38"/>
    <mergeCell ref="AU20:AY20"/>
    <mergeCell ref="AG15:AJ15"/>
    <mergeCell ref="AK15:AO15"/>
    <mergeCell ref="AP15:AT15"/>
    <mergeCell ref="AZ16:BD16"/>
    <mergeCell ref="BB36:BE36"/>
    <mergeCell ref="AZ7:BD8"/>
    <mergeCell ref="AG19:AJ19"/>
    <mergeCell ref="AK19:AO19"/>
    <mergeCell ref="AP19:AT19"/>
    <mergeCell ref="AU19:AY19"/>
    <mergeCell ref="AZ19:BD19"/>
    <mergeCell ref="AU15:AY15"/>
    <mergeCell ref="AZ15:BD15"/>
    <mergeCell ref="AU14:AY14"/>
    <mergeCell ref="BE19:BI19"/>
    <mergeCell ref="BE17:BI17"/>
    <mergeCell ref="BE16:BI16"/>
    <mergeCell ref="AG16:AJ16"/>
    <mergeCell ref="AK16:AO16"/>
    <mergeCell ref="AP16:AT16"/>
    <mergeCell ref="AU16:AY16"/>
    <mergeCell ref="AG17:AJ17"/>
    <mergeCell ref="AK17:AO17"/>
    <mergeCell ref="AP17:AT17"/>
    <mergeCell ref="AU17:AY17"/>
    <mergeCell ref="AZ17:BD17"/>
    <mergeCell ref="BF35:BI35"/>
    <mergeCell ref="AD30:AG30"/>
    <mergeCell ref="BF31:BI31"/>
    <mergeCell ref="AH31:AK31"/>
    <mergeCell ref="AL31:AO31"/>
    <mergeCell ref="AP31:AS31"/>
    <mergeCell ref="AT31:AW31"/>
    <mergeCell ref="AX31:BA31"/>
    <mergeCell ref="BB31:BE31"/>
    <mergeCell ref="AT32:AW32"/>
    <mergeCell ref="AX32:BA32"/>
    <mergeCell ref="BB32:BE32"/>
    <mergeCell ref="BF32:BI32"/>
    <mergeCell ref="AR27:AU27"/>
    <mergeCell ref="AV27:AY27"/>
    <mergeCell ref="AP20:AT20"/>
    <mergeCell ref="AH35:AK35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B34:E34"/>
    <mergeCell ref="F34:I34"/>
    <mergeCell ref="J34:M34"/>
    <mergeCell ref="N34:Q34"/>
    <mergeCell ref="R34:U34"/>
    <mergeCell ref="V34:Y34"/>
    <mergeCell ref="Z34:AC34"/>
    <mergeCell ref="B33:E33"/>
    <mergeCell ref="F33:I33"/>
    <mergeCell ref="J33:M33"/>
    <mergeCell ref="N33:Q33"/>
    <mergeCell ref="R33:U33"/>
    <mergeCell ref="V33:Y33"/>
    <mergeCell ref="BB34:BE34"/>
    <mergeCell ref="BF34:BI34"/>
    <mergeCell ref="AH34:AK34"/>
    <mergeCell ref="AL34:AO34"/>
    <mergeCell ref="AP34:AS34"/>
    <mergeCell ref="AT34:AW34"/>
    <mergeCell ref="AX34:BA34"/>
    <mergeCell ref="BB33:BE33"/>
    <mergeCell ref="BF33:BI33"/>
    <mergeCell ref="AH33:AK33"/>
    <mergeCell ref="AL33:AO33"/>
    <mergeCell ref="AP33:AS33"/>
    <mergeCell ref="AT33:AW33"/>
    <mergeCell ref="AX33:BA33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B28:E32"/>
    <mergeCell ref="F28:AK28"/>
    <mergeCell ref="AL28:AO30"/>
    <mergeCell ref="AP28:AW29"/>
    <mergeCell ref="AX28:BE29"/>
    <mergeCell ref="BF28:BI30"/>
    <mergeCell ref="F29:I32"/>
    <mergeCell ref="J29:U29"/>
    <mergeCell ref="V29:AG29"/>
    <mergeCell ref="AP30:AS30"/>
    <mergeCell ref="AT30:AW30"/>
    <mergeCell ref="AX30:BA30"/>
    <mergeCell ref="BB30:BE30"/>
    <mergeCell ref="J31:M31"/>
    <mergeCell ref="N31:Q31"/>
    <mergeCell ref="R31:U31"/>
    <mergeCell ref="V31:Y31"/>
    <mergeCell ref="Z31:AC31"/>
    <mergeCell ref="AD31:AG31"/>
    <mergeCell ref="AH29:AK30"/>
    <mergeCell ref="J30:M30"/>
    <mergeCell ref="N30:Q30"/>
    <mergeCell ref="R30:U30"/>
    <mergeCell ref="V30:Y30"/>
    <mergeCell ref="B21:H22"/>
    <mergeCell ref="I21:S21"/>
    <mergeCell ref="I22:S22"/>
    <mergeCell ref="B27:M27"/>
    <mergeCell ref="N27:U27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U21:BI21"/>
    <mergeCell ref="AU22:BI22"/>
    <mergeCell ref="AK21:AT21"/>
    <mergeCell ref="AK22:AT22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B18:E18"/>
    <mergeCell ref="F18:I18"/>
    <mergeCell ref="J18:L18"/>
    <mergeCell ref="M18:O18"/>
    <mergeCell ref="P18:S18"/>
    <mergeCell ref="T18:W18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B16:E16"/>
    <mergeCell ref="F16:I16"/>
    <mergeCell ref="J16:L16"/>
    <mergeCell ref="M16:O16"/>
    <mergeCell ref="P16:S16"/>
    <mergeCell ref="T16:W16"/>
    <mergeCell ref="BE15:BI15"/>
    <mergeCell ref="AZ14:BD14"/>
    <mergeCell ref="BE14:BI14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AZ13:BD13"/>
    <mergeCell ref="BE13:BI13"/>
    <mergeCell ref="M14:O14"/>
    <mergeCell ref="T14:W14"/>
    <mergeCell ref="X14:AB14"/>
    <mergeCell ref="AC14:AF14"/>
    <mergeCell ref="AG14:AJ14"/>
    <mergeCell ref="AK14:AO14"/>
    <mergeCell ref="AP14:AT14"/>
    <mergeCell ref="AU13:AY13"/>
    <mergeCell ref="P11:S14"/>
    <mergeCell ref="T11:W12"/>
    <mergeCell ref="M13:O13"/>
    <mergeCell ref="T13:W13"/>
    <mergeCell ref="P10:Q10"/>
    <mergeCell ref="R10:V10"/>
    <mergeCell ref="AU9:AY9"/>
    <mergeCell ref="AZ9:BD9"/>
    <mergeCell ref="AP13:AT13"/>
    <mergeCell ref="X13:AB13"/>
    <mergeCell ref="AC13:AF13"/>
    <mergeCell ref="AG13:AJ13"/>
    <mergeCell ref="AK13:AO13"/>
    <mergeCell ref="BE9:BI9"/>
    <mergeCell ref="X11:AJ11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D10:AT10"/>
    <mergeCell ref="AD9:AT9"/>
    <mergeCell ref="AU10:AY10"/>
    <mergeCell ref="AZ10:BD10"/>
    <mergeCell ref="BE10:BI10"/>
    <mergeCell ref="AP6:AT6"/>
    <mergeCell ref="AU6:AY6"/>
    <mergeCell ref="B9:C9"/>
    <mergeCell ref="D9:H9"/>
    <mergeCell ref="I9:J9"/>
    <mergeCell ref="K9:O9"/>
    <mergeCell ref="P9:Q9"/>
    <mergeCell ref="R9:V9"/>
    <mergeCell ref="W9:X9"/>
    <mergeCell ref="Y9:AC9"/>
    <mergeCell ref="B7:O7"/>
    <mergeCell ref="P7:AC7"/>
    <mergeCell ref="B8:C8"/>
    <mergeCell ref="D8:H8"/>
    <mergeCell ref="I8:J8"/>
    <mergeCell ref="K8:O8"/>
    <mergeCell ref="P8:Q8"/>
    <mergeCell ref="R8:V8"/>
    <mergeCell ref="W8:X8"/>
    <mergeCell ref="Y8:AC8"/>
    <mergeCell ref="AK6:AO6"/>
    <mergeCell ref="AF6:AJ6"/>
    <mergeCell ref="AF7:AJ8"/>
    <mergeCell ref="A2:W2"/>
    <mergeCell ref="X2:AM2"/>
    <mergeCell ref="AN2:BJ2"/>
    <mergeCell ref="A3:L3"/>
    <mergeCell ref="A4:L4"/>
    <mergeCell ref="M3:AC3"/>
    <mergeCell ref="AD3:AM3"/>
    <mergeCell ref="AN3:BJ3"/>
    <mergeCell ref="AN4:BJ4"/>
    <mergeCell ref="M4:AC4"/>
    <mergeCell ref="AD4:AM4"/>
  </mergeCells>
  <pageMargins left="0.49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7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595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597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28"/>
      <c r="N5" s="328"/>
      <c r="O5" s="328"/>
      <c r="P5" s="328"/>
      <c r="Q5" s="328"/>
      <c r="R5" s="328"/>
      <c r="S5" s="328"/>
      <c r="T5" s="328"/>
      <c r="U5" s="328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46"/>
      <c r="AG5" s="46"/>
      <c r="AH5" s="46"/>
      <c r="AI5" s="46"/>
      <c r="AJ5" s="46"/>
      <c r="AK5" s="46"/>
      <c r="AL5" s="46"/>
      <c r="AM5" s="46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559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873"/>
      <c r="BA7" s="873"/>
      <c r="BB7" s="873"/>
      <c r="BC7" s="873"/>
      <c r="BD7" s="873"/>
      <c r="BJ7" s="4"/>
    </row>
    <row r="8" spans="1:63" ht="18.75" customHeight="1">
      <c r="A8" s="2"/>
      <c r="B8" s="874" t="s">
        <v>549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538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549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538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102.8</v>
      </c>
      <c r="BF9" s="714"/>
      <c r="BG9" s="714"/>
      <c r="BH9" s="714"/>
      <c r="BI9" s="715"/>
      <c r="BJ9" s="4"/>
    </row>
    <row r="10" spans="1:63" ht="18.75" customHeight="1">
      <c r="A10" s="2"/>
      <c r="B10" s="326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7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321"/>
      <c r="X10" s="321"/>
      <c r="Y10" s="321"/>
      <c r="Z10" s="321"/>
      <c r="AA10" s="321"/>
      <c r="AB10" s="321"/>
      <c r="AC10" s="323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564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565</v>
      </c>
      <c r="AV14" s="912"/>
      <c r="AW14" s="912"/>
      <c r="AX14" s="912"/>
      <c r="AY14" s="983"/>
      <c r="AZ14" s="912" t="s">
        <v>565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0.65833333333333333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33</v>
      </c>
      <c r="Q15" s="709"/>
      <c r="R15" s="709"/>
      <c r="S15" s="709"/>
      <c r="T15" s="709">
        <v>9</v>
      </c>
      <c r="U15" s="709"/>
      <c r="V15" s="709"/>
      <c r="W15" s="709"/>
      <c r="X15" s="719">
        <v>122</v>
      </c>
      <c r="Y15" s="684"/>
      <c r="Z15" s="684"/>
      <c r="AA15" s="684"/>
      <c r="AB15" s="684"/>
      <c r="AC15" s="684">
        <v>20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0.123</v>
      </c>
      <c r="AL15" s="979"/>
      <c r="AM15" s="979"/>
      <c r="AN15" s="979"/>
      <c r="AO15" s="979"/>
      <c r="AP15" s="709">
        <v>3.9549099999999999</v>
      </c>
      <c r="AQ15" s="709"/>
      <c r="AR15" s="709"/>
      <c r="AS15" s="709"/>
      <c r="AT15" s="709"/>
      <c r="AU15" s="713">
        <f>IF(AP15="","",ROUND(AP15/AK15,1))</f>
        <v>32.200000000000003</v>
      </c>
      <c r="AV15" s="714"/>
      <c r="AW15" s="714"/>
      <c r="AX15" s="714"/>
      <c r="AY15" s="714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2.34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0.70347222222222217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34</v>
      </c>
      <c r="Q16" s="710"/>
      <c r="R16" s="710"/>
      <c r="S16" s="710"/>
      <c r="T16" s="710">
        <v>9</v>
      </c>
      <c r="U16" s="710"/>
      <c r="V16" s="710"/>
      <c r="W16" s="710"/>
      <c r="X16" s="700">
        <v>106</v>
      </c>
      <c r="Y16" s="698"/>
      <c r="Z16" s="698"/>
      <c r="AA16" s="698"/>
      <c r="AB16" s="698"/>
      <c r="AC16" s="698">
        <v>20</v>
      </c>
      <c r="AD16" s="698"/>
      <c r="AE16" s="698"/>
      <c r="AF16" s="698"/>
      <c r="AG16" s="698">
        <v>0.1</v>
      </c>
      <c r="AH16" s="698"/>
      <c r="AI16" s="698"/>
      <c r="AJ16" s="699"/>
      <c r="AK16" s="710">
        <f t="shared" ref="AK16:AK19" si="0">IF(X16="","",ROUND(X16*298.15/101.32*($BE$9+AG16-BK16)/(273.15+AC16)/1000,3))</f>
        <v>0.107</v>
      </c>
      <c r="AL16" s="710"/>
      <c r="AM16" s="710"/>
      <c r="AN16" s="710"/>
      <c r="AO16" s="710"/>
      <c r="AP16" s="710">
        <v>2.6496900000000001</v>
      </c>
      <c r="AQ16" s="710"/>
      <c r="AR16" s="710"/>
      <c r="AS16" s="710"/>
      <c r="AT16" s="710"/>
      <c r="AU16" s="741">
        <f t="shared" ref="AU16:AU19" si="1">IF(AP16="","",ROUND(AP16/AK16,1))</f>
        <v>24.8</v>
      </c>
      <c r="AV16" s="736"/>
      <c r="AW16" s="736"/>
      <c r="AX16" s="736"/>
      <c r="AY16" s="736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2.34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0.71458333333333324</v>
      </c>
      <c r="G17" s="710"/>
      <c r="H17" s="710"/>
      <c r="I17" s="710"/>
      <c r="J17" s="710">
        <v>3</v>
      </c>
      <c r="K17" s="710"/>
      <c r="L17" s="710"/>
      <c r="M17" s="710">
        <v>6</v>
      </c>
      <c r="N17" s="710"/>
      <c r="O17" s="710"/>
      <c r="P17" s="710">
        <v>35</v>
      </c>
      <c r="Q17" s="710"/>
      <c r="R17" s="710"/>
      <c r="S17" s="710"/>
      <c r="T17" s="710">
        <v>9</v>
      </c>
      <c r="U17" s="710"/>
      <c r="V17" s="710"/>
      <c r="W17" s="710"/>
      <c r="X17" s="700">
        <v>128</v>
      </c>
      <c r="Y17" s="698"/>
      <c r="Z17" s="698"/>
      <c r="AA17" s="698"/>
      <c r="AB17" s="698"/>
      <c r="AC17" s="698">
        <v>20</v>
      </c>
      <c r="AD17" s="698"/>
      <c r="AE17" s="698"/>
      <c r="AF17" s="698"/>
      <c r="AG17" s="698">
        <v>0.1</v>
      </c>
      <c r="AH17" s="698"/>
      <c r="AI17" s="698"/>
      <c r="AJ17" s="699"/>
      <c r="AK17" s="710">
        <f t="shared" si="0"/>
        <v>0.129</v>
      </c>
      <c r="AL17" s="710"/>
      <c r="AM17" s="710"/>
      <c r="AN17" s="710"/>
      <c r="AO17" s="710"/>
      <c r="AP17" s="990">
        <v>3.06318</v>
      </c>
      <c r="AQ17" s="990"/>
      <c r="AR17" s="990"/>
      <c r="AS17" s="990"/>
      <c r="AT17" s="990"/>
      <c r="AU17" s="741">
        <f t="shared" si="1"/>
        <v>23.7</v>
      </c>
      <c r="AV17" s="736"/>
      <c r="AW17" s="736"/>
      <c r="AX17" s="736"/>
      <c r="AY17" s="736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2.34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0.72430555555555554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36</v>
      </c>
      <c r="Q18" s="710"/>
      <c r="R18" s="710"/>
      <c r="S18" s="710"/>
      <c r="T18" s="710">
        <v>9</v>
      </c>
      <c r="U18" s="710"/>
      <c r="V18" s="710"/>
      <c r="W18" s="710"/>
      <c r="X18" s="700">
        <v>106</v>
      </c>
      <c r="Y18" s="698"/>
      <c r="Z18" s="698"/>
      <c r="AA18" s="698"/>
      <c r="AB18" s="698"/>
      <c r="AC18" s="698">
        <v>20</v>
      </c>
      <c r="AD18" s="698"/>
      <c r="AE18" s="698"/>
      <c r="AF18" s="698"/>
      <c r="AG18" s="698">
        <v>0.1</v>
      </c>
      <c r="AH18" s="698"/>
      <c r="AI18" s="698"/>
      <c r="AJ18" s="699"/>
      <c r="AK18" s="710">
        <f t="shared" si="0"/>
        <v>0.107</v>
      </c>
      <c r="AL18" s="710"/>
      <c r="AM18" s="710"/>
      <c r="AN18" s="710"/>
      <c r="AO18" s="710"/>
      <c r="AP18" s="990">
        <v>2.5389900000000001</v>
      </c>
      <c r="AQ18" s="990"/>
      <c r="AR18" s="990"/>
      <c r="AS18" s="990"/>
      <c r="AT18" s="990"/>
      <c r="AU18" s="741">
        <f t="shared" si="1"/>
        <v>23.7</v>
      </c>
      <c r="AV18" s="736"/>
      <c r="AW18" s="736"/>
      <c r="AX18" s="736"/>
      <c r="AY18" s="736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2.34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0.73125000000000007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37</v>
      </c>
      <c r="Q19" s="711"/>
      <c r="R19" s="711"/>
      <c r="S19" s="711"/>
      <c r="T19" s="711">
        <v>9</v>
      </c>
      <c r="U19" s="711"/>
      <c r="V19" s="711"/>
      <c r="W19" s="711"/>
      <c r="X19" s="696">
        <v>108</v>
      </c>
      <c r="Y19" s="693"/>
      <c r="Z19" s="693"/>
      <c r="AA19" s="693"/>
      <c r="AB19" s="693"/>
      <c r="AC19" s="693">
        <v>20</v>
      </c>
      <c r="AD19" s="693"/>
      <c r="AE19" s="693"/>
      <c r="AF19" s="693"/>
      <c r="AG19" s="693">
        <v>0.1</v>
      </c>
      <c r="AH19" s="693"/>
      <c r="AI19" s="693"/>
      <c r="AJ19" s="694"/>
      <c r="AK19" s="981">
        <f t="shared" si="0"/>
        <v>0.109</v>
      </c>
      <c r="AL19" s="981"/>
      <c r="AM19" s="981"/>
      <c r="AN19" s="981"/>
      <c r="AO19" s="981"/>
      <c r="AP19" s="982">
        <v>2.5655800000000002</v>
      </c>
      <c r="AQ19" s="982"/>
      <c r="AR19" s="982"/>
      <c r="AS19" s="982"/>
      <c r="AT19" s="982"/>
      <c r="AU19" s="753">
        <f t="shared" si="1"/>
        <v>23.5</v>
      </c>
      <c r="AV19" s="738"/>
      <c r="AW19" s="738"/>
      <c r="AX19" s="738"/>
      <c r="AY19" s="738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2.34</v>
      </c>
    </row>
    <row r="20" spans="1:63" ht="18.75" customHeight="1">
      <c r="A20" s="2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664" t="s">
        <v>54</v>
      </c>
      <c r="AQ20" s="661"/>
      <c r="AR20" s="661"/>
      <c r="AS20" s="661"/>
      <c r="AT20" s="676"/>
      <c r="AU20" s="995">
        <f>ROUND(AVERAGE(AU15:AY19),1)</f>
        <v>25.6</v>
      </c>
      <c r="AV20" s="996"/>
      <c r="AW20" s="996"/>
      <c r="AX20" s="996"/>
      <c r="AY20" s="846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598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596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329" t="s">
        <v>577</v>
      </c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324"/>
      <c r="C23" s="324"/>
      <c r="D23" s="324"/>
      <c r="E23" s="324"/>
      <c r="F23" s="324"/>
      <c r="G23" s="324"/>
      <c r="H23" s="324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24"/>
      <c r="C24" s="324"/>
      <c r="D24" s="324"/>
      <c r="E24" s="324"/>
      <c r="F24" s="324"/>
      <c r="G24" s="324"/>
      <c r="H24" s="324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28"/>
      <c r="AJ24" s="328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329" t="s">
        <v>151</v>
      </c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  <c r="AG45" s="329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324"/>
      <c r="C46" s="324"/>
      <c r="D46" s="324"/>
      <c r="E46" s="324"/>
      <c r="F46" s="324"/>
      <c r="G46" s="324"/>
      <c r="H46" s="32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24"/>
      <c r="C47" s="324"/>
      <c r="D47" s="324"/>
      <c r="E47" s="324"/>
      <c r="F47" s="324"/>
      <c r="G47" s="324"/>
      <c r="H47" s="3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567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566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563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ageMargins left="0.49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tabSelected="1" view="pageBreakPreview" topLeftCell="A4" zoomScale="120" zoomScaleNormal="100" zoomScaleSheetLayoutView="120" workbookViewId="0">
      <selection activeCell="AD10" sqref="AD10:AT10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43165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583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582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28"/>
      <c r="N5" s="328"/>
      <c r="O5" s="328"/>
      <c r="P5" s="328"/>
      <c r="Q5" s="328"/>
      <c r="R5" s="328"/>
      <c r="S5" s="328"/>
      <c r="T5" s="328"/>
      <c r="U5" s="328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46"/>
      <c r="AG5" s="46"/>
      <c r="AH5" s="46"/>
      <c r="AI5" s="46"/>
      <c r="AJ5" s="46"/>
      <c r="AK5" s="46"/>
      <c r="AL5" s="46"/>
      <c r="AM5" s="46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559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1012"/>
      <c r="BA7" s="873"/>
      <c r="BB7" s="873"/>
      <c r="BC7" s="873"/>
      <c r="BD7" s="873"/>
      <c r="BJ7" s="4"/>
    </row>
    <row r="8" spans="1:63" ht="18.75" customHeight="1">
      <c r="A8" s="2"/>
      <c r="B8" s="874" t="s">
        <v>538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549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538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549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101.4</v>
      </c>
      <c r="BF9" s="714"/>
      <c r="BG9" s="714"/>
      <c r="BH9" s="714"/>
      <c r="BI9" s="715"/>
      <c r="BJ9" s="4"/>
    </row>
    <row r="10" spans="1:63" ht="18.75" customHeight="1">
      <c r="A10" s="2"/>
      <c r="B10" s="326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  <c r="O10" s="327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321"/>
      <c r="X10" s="321"/>
      <c r="Y10" s="321"/>
      <c r="Z10" s="321"/>
      <c r="AA10" s="321"/>
      <c r="AB10" s="321"/>
      <c r="AC10" s="323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564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565</v>
      </c>
      <c r="AV14" s="912"/>
      <c r="AW14" s="912"/>
      <c r="AX14" s="912"/>
      <c r="AY14" s="983"/>
      <c r="AZ14" s="912" t="s">
        <v>565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0.58750000000000002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571</v>
      </c>
      <c r="Q15" s="709"/>
      <c r="R15" s="709"/>
      <c r="S15" s="709"/>
      <c r="T15" s="709">
        <v>15</v>
      </c>
      <c r="U15" s="709"/>
      <c r="V15" s="709"/>
      <c r="W15" s="709"/>
      <c r="X15" s="719">
        <v>199</v>
      </c>
      <c r="Y15" s="684"/>
      <c r="Z15" s="684"/>
      <c r="AA15" s="684"/>
      <c r="AB15" s="684"/>
      <c r="AC15" s="684">
        <v>36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0.18099999999999999</v>
      </c>
      <c r="AL15" s="979"/>
      <c r="AM15" s="979"/>
      <c r="AN15" s="979"/>
      <c r="AO15" s="979"/>
      <c r="AP15" s="709">
        <v>1.3140000000000001E-2</v>
      </c>
      <c r="AQ15" s="709"/>
      <c r="AR15" s="709"/>
      <c r="AS15" s="709"/>
      <c r="AT15" s="709"/>
      <c r="AU15" s="1010">
        <f>IF(AP15="","",ROUND(AP15/AK15,4))</f>
        <v>7.2599999999999998E-2</v>
      </c>
      <c r="AV15" s="1011"/>
      <c r="AW15" s="1011"/>
      <c r="AX15" s="1011"/>
      <c r="AY15" s="1011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5.95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0.60277777777777775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690</v>
      </c>
      <c r="Q16" s="710"/>
      <c r="R16" s="710"/>
      <c r="S16" s="710"/>
      <c r="T16" s="710">
        <v>15</v>
      </c>
      <c r="U16" s="710"/>
      <c r="V16" s="710"/>
      <c r="W16" s="710"/>
      <c r="X16" s="700">
        <v>200</v>
      </c>
      <c r="Y16" s="698"/>
      <c r="Z16" s="698"/>
      <c r="AA16" s="698"/>
      <c r="AB16" s="698"/>
      <c r="AC16" s="698">
        <v>35</v>
      </c>
      <c r="AD16" s="698"/>
      <c r="AE16" s="698"/>
      <c r="AF16" s="698"/>
      <c r="AG16" s="698">
        <v>0.1</v>
      </c>
      <c r="AH16" s="698"/>
      <c r="AI16" s="698"/>
      <c r="AJ16" s="699"/>
      <c r="AK16" s="1007">
        <f>IF(X16="","",ROUND(X16*298.15/101.32*($BE$9+AG16-BK16)/(273.15+AC16)/1000,3))</f>
        <v>0.183</v>
      </c>
      <c r="AL16" s="1007"/>
      <c r="AM16" s="1007"/>
      <c r="AN16" s="1007"/>
      <c r="AO16" s="1007"/>
      <c r="AP16" s="710">
        <v>9.9799999999999993E-3</v>
      </c>
      <c r="AQ16" s="710"/>
      <c r="AR16" s="710"/>
      <c r="AS16" s="710"/>
      <c r="AT16" s="710"/>
      <c r="AU16" s="1008">
        <f>IF(AP16="","",ROUND(AP16/AK16,4))</f>
        <v>5.45E-2</v>
      </c>
      <c r="AV16" s="1009"/>
      <c r="AW16" s="1009"/>
      <c r="AX16" s="1009"/>
      <c r="AY16" s="1009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5.63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0.59305555555555556</v>
      </c>
      <c r="G17" s="710"/>
      <c r="H17" s="710"/>
      <c r="I17" s="710"/>
      <c r="J17" s="710">
        <v>3</v>
      </c>
      <c r="K17" s="710"/>
      <c r="L17" s="710"/>
      <c r="M17" s="710">
        <v>5</v>
      </c>
      <c r="N17" s="710"/>
      <c r="O17" s="710"/>
      <c r="P17" s="710">
        <v>572</v>
      </c>
      <c r="Q17" s="710"/>
      <c r="R17" s="710"/>
      <c r="S17" s="710"/>
      <c r="T17" s="710">
        <v>15</v>
      </c>
      <c r="U17" s="710"/>
      <c r="V17" s="710"/>
      <c r="W17" s="710"/>
      <c r="X17" s="700">
        <v>190</v>
      </c>
      <c r="Y17" s="698"/>
      <c r="Z17" s="698"/>
      <c r="AA17" s="698"/>
      <c r="AB17" s="698"/>
      <c r="AC17" s="698">
        <v>32</v>
      </c>
      <c r="AD17" s="698"/>
      <c r="AE17" s="698"/>
      <c r="AF17" s="698"/>
      <c r="AG17" s="698">
        <v>0.1</v>
      </c>
      <c r="AH17" s="698"/>
      <c r="AI17" s="698"/>
      <c r="AJ17" s="699"/>
      <c r="AK17" s="1007">
        <f>IF(X17="","",ROUND(X17*298.15/101.32*($BE$9+AG17-BK17)/(273.15+AC17)/1000,3))</f>
        <v>0.17699999999999999</v>
      </c>
      <c r="AL17" s="1007"/>
      <c r="AM17" s="1007"/>
      <c r="AN17" s="1007"/>
      <c r="AO17" s="1007"/>
      <c r="AP17" s="990">
        <v>9.7699999999999992E-3</v>
      </c>
      <c r="AQ17" s="990"/>
      <c r="AR17" s="990"/>
      <c r="AS17" s="990"/>
      <c r="AT17" s="990"/>
      <c r="AU17" s="1008">
        <f>IF(AP17="","",ROUND(AP17/AK17,4))</f>
        <v>5.5199999999999999E-2</v>
      </c>
      <c r="AV17" s="1009"/>
      <c r="AW17" s="1009"/>
      <c r="AX17" s="1009"/>
      <c r="AY17" s="1009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4.76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0.60277777777777775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580</v>
      </c>
      <c r="Q18" s="710"/>
      <c r="R18" s="710"/>
      <c r="S18" s="710"/>
      <c r="T18" s="710">
        <v>15</v>
      </c>
      <c r="U18" s="710"/>
      <c r="V18" s="710"/>
      <c r="W18" s="710"/>
      <c r="X18" s="700">
        <v>203</v>
      </c>
      <c r="Y18" s="698"/>
      <c r="Z18" s="698"/>
      <c r="AA18" s="698"/>
      <c r="AB18" s="698"/>
      <c r="AC18" s="698">
        <v>32</v>
      </c>
      <c r="AD18" s="698"/>
      <c r="AE18" s="698"/>
      <c r="AF18" s="698"/>
      <c r="AG18" s="698">
        <v>0.1</v>
      </c>
      <c r="AH18" s="698"/>
      <c r="AI18" s="698"/>
      <c r="AJ18" s="699"/>
      <c r="AK18" s="1007">
        <f>IF(X18="","",ROUND(X18*298.15/101.32*($BE$9+AG18-BK18)/(273.15+AC18)/1000,3))</f>
        <v>0.189</v>
      </c>
      <c r="AL18" s="1007"/>
      <c r="AM18" s="1007"/>
      <c r="AN18" s="1007"/>
      <c r="AO18" s="1007"/>
      <c r="AP18" s="710">
        <v>1.363E-2</v>
      </c>
      <c r="AQ18" s="710"/>
      <c r="AR18" s="710"/>
      <c r="AS18" s="710"/>
      <c r="AT18" s="710"/>
      <c r="AU18" s="1008">
        <f>IF(AP18="","",ROUND(AP18/AK18,4))</f>
        <v>7.2099999999999997E-2</v>
      </c>
      <c r="AV18" s="1009"/>
      <c r="AW18" s="1009"/>
      <c r="AX18" s="1009"/>
      <c r="AY18" s="1009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4.76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0.58680555555555558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18</v>
      </c>
      <c r="Q19" s="711"/>
      <c r="R19" s="711"/>
      <c r="S19" s="711"/>
      <c r="T19" s="711">
        <v>15</v>
      </c>
      <c r="U19" s="711"/>
      <c r="V19" s="711"/>
      <c r="W19" s="711"/>
      <c r="X19" s="696">
        <v>190</v>
      </c>
      <c r="Y19" s="693"/>
      <c r="Z19" s="693"/>
      <c r="AA19" s="693"/>
      <c r="AB19" s="693"/>
      <c r="AC19" s="693">
        <v>32</v>
      </c>
      <c r="AD19" s="693"/>
      <c r="AE19" s="693"/>
      <c r="AF19" s="693"/>
      <c r="AG19" s="693">
        <v>0.1</v>
      </c>
      <c r="AH19" s="693"/>
      <c r="AI19" s="693"/>
      <c r="AJ19" s="694"/>
      <c r="AK19" s="981">
        <f>IF(X19="","",ROUND(X19*298.15/101.32*($BE$9+AG19-BK19)/(273.15+AC19)/1000,3))</f>
        <v>0.17699999999999999</v>
      </c>
      <c r="AL19" s="981"/>
      <c r="AM19" s="981"/>
      <c r="AN19" s="981"/>
      <c r="AO19" s="981"/>
      <c r="AP19" s="711">
        <v>1.477E-2</v>
      </c>
      <c r="AQ19" s="711"/>
      <c r="AR19" s="711"/>
      <c r="AS19" s="711"/>
      <c r="AT19" s="711"/>
      <c r="AU19" s="1005">
        <f>IF(AP19="","",ROUND(AP19/AK19,4))</f>
        <v>8.3400000000000002E-2</v>
      </c>
      <c r="AV19" s="1006"/>
      <c r="AW19" s="1006"/>
      <c r="AX19" s="1006"/>
      <c r="AY19" s="1006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4.76</v>
      </c>
    </row>
    <row r="20" spans="1:63" ht="18.75" customHeight="1">
      <c r="A20" s="2"/>
      <c r="B20" s="328"/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664" t="s">
        <v>54</v>
      </c>
      <c r="AQ20" s="661"/>
      <c r="AR20" s="661"/>
      <c r="AS20" s="661"/>
      <c r="AT20" s="676"/>
      <c r="AU20" s="1003">
        <f>ROUND(AVERAGE(AU15:AY19),4)</f>
        <v>6.7599999999999993E-2</v>
      </c>
      <c r="AV20" s="997"/>
      <c r="AW20" s="997"/>
      <c r="AX20" s="997"/>
      <c r="AY20" s="1004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603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604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329" t="s">
        <v>577</v>
      </c>
      <c r="U22" s="329"/>
      <c r="V22" s="329"/>
      <c r="W22" s="329"/>
      <c r="X22" s="329"/>
      <c r="Y22" s="329"/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324"/>
      <c r="C23" s="324"/>
      <c r="D23" s="324"/>
      <c r="E23" s="324"/>
      <c r="F23" s="324"/>
      <c r="G23" s="324"/>
      <c r="H23" s="324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24"/>
      <c r="C24" s="324"/>
      <c r="D24" s="324"/>
      <c r="E24" s="324"/>
      <c r="F24" s="324"/>
      <c r="G24" s="324"/>
      <c r="H24" s="324"/>
      <c r="I24" s="328"/>
      <c r="J24" s="328"/>
      <c r="K24" s="328"/>
      <c r="L24" s="328"/>
      <c r="M24" s="328"/>
      <c r="N24" s="328"/>
      <c r="O24" s="328"/>
      <c r="P24" s="328"/>
      <c r="Q24" s="328"/>
      <c r="R24" s="328"/>
      <c r="S24" s="328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28"/>
      <c r="AJ24" s="328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329" t="s">
        <v>151</v>
      </c>
      <c r="U45" s="329"/>
      <c r="V45" s="329"/>
      <c r="W45" s="329"/>
      <c r="X45" s="329"/>
      <c r="Y45" s="329"/>
      <c r="Z45" s="329"/>
      <c r="AA45" s="329"/>
      <c r="AB45" s="329"/>
      <c r="AC45" s="329"/>
      <c r="AD45" s="329"/>
      <c r="AE45" s="329"/>
      <c r="AF45" s="329"/>
      <c r="AG45" s="329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324"/>
      <c r="C46" s="324"/>
      <c r="D46" s="324"/>
      <c r="E46" s="324"/>
      <c r="F46" s="324"/>
      <c r="G46" s="324"/>
      <c r="H46" s="324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24"/>
      <c r="C47" s="324"/>
      <c r="D47" s="324"/>
      <c r="E47" s="324"/>
      <c r="F47" s="324"/>
      <c r="G47" s="324"/>
      <c r="H47" s="324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567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566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563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</mergeCells>
  <pageMargins left="0.49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51"/>
  <sheetViews>
    <sheetView view="pageBreakPreview" topLeftCell="A8" zoomScale="120" zoomScaleNormal="100" zoomScaleSheetLayoutView="120" workbookViewId="0">
      <selection activeCell="M3" sqref="M3:AC3"/>
    </sheetView>
  </sheetViews>
  <sheetFormatPr defaultColWidth="1.625" defaultRowHeight="12.75"/>
  <cols>
    <col min="1" max="1" width="0.5" style="1" customWidth="1"/>
    <col min="2" max="9" width="1.5" style="1" customWidth="1"/>
    <col min="10" max="20" width="1.625" style="1" customWidth="1"/>
    <col min="21" max="21" width="1.875" style="1" customWidth="1"/>
    <col min="22" max="32" width="1.625" style="1" customWidth="1"/>
    <col min="33" max="33" width="2.125" style="1" customWidth="1"/>
    <col min="34" max="55" width="1.625" style="1" customWidth="1"/>
    <col min="56" max="56" width="1.75" style="1" customWidth="1"/>
    <col min="57" max="57" width="2" style="1" customWidth="1"/>
    <col min="58" max="61" width="1.625" style="1" customWidth="1"/>
    <col min="62" max="62" width="0.5" style="1" customWidth="1"/>
    <col min="63" max="63" width="5.125" style="1" customWidth="1"/>
    <col min="64" max="16384" width="1.625" style="1"/>
  </cols>
  <sheetData>
    <row r="1" spans="1:63" ht="24" customHeight="1" thickBot="1"/>
    <row r="2" spans="1:63" ht="24" customHeight="1">
      <c r="A2" s="643" t="s">
        <v>71</v>
      </c>
      <c r="B2" s="644"/>
      <c r="C2" s="644"/>
      <c r="D2" s="644"/>
      <c r="E2" s="644"/>
      <c r="F2" s="644"/>
      <c r="G2" s="644"/>
      <c r="H2" s="644"/>
      <c r="I2" s="644"/>
      <c r="J2" s="644"/>
      <c r="K2" s="644"/>
      <c r="L2" s="644"/>
      <c r="M2" s="644"/>
      <c r="N2" s="644"/>
      <c r="O2" s="644"/>
      <c r="P2" s="644"/>
      <c r="Q2" s="644"/>
      <c r="R2" s="644"/>
      <c r="S2" s="644"/>
      <c r="T2" s="644"/>
      <c r="U2" s="644"/>
      <c r="V2" s="644"/>
      <c r="W2" s="645"/>
      <c r="X2" s="646" t="s">
        <v>152</v>
      </c>
      <c r="Y2" s="647"/>
      <c r="Z2" s="647"/>
      <c r="AA2" s="647"/>
      <c r="AB2" s="647"/>
      <c r="AC2" s="647"/>
      <c r="AD2" s="647"/>
      <c r="AE2" s="647"/>
      <c r="AF2" s="647"/>
      <c r="AG2" s="647"/>
      <c r="AH2" s="647"/>
      <c r="AI2" s="647"/>
      <c r="AJ2" s="647"/>
      <c r="AK2" s="647"/>
      <c r="AL2" s="647"/>
      <c r="AM2" s="648"/>
      <c r="AN2" s="649" t="s">
        <v>155</v>
      </c>
      <c r="AO2" s="647"/>
      <c r="AP2" s="647"/>
      <c r="AQ2" s="647"/>
      <c r="AR2" s="647"/>
      <c r="AS2" s="647"/>
      <c r="AT2" s="647"/>
      <c r="AU2" s="647"/>
      <c r="AV2" s="647"/>
      <c r="AW2" s="647"/>
      <c r="AX2" s="647"/>
      <c r="AY2" s="647"/>
      <c r="AZ2" s="647"/>
      <c r="BA2" s="647"/>
      <c r="BB2" s="647"/>
      <c r="BC2" s="647"/>
      <c r="BD2" s="647"/>
      <c r="BE2" s="647"/>
      <c r="BF2" s="647"/>
      <c r="BG2" s="647"/>
      <c r="BH2" s="647"/>
      <c r="BI2" s="647"/>
      <c r="BJ2" s="650"/>
    </row>
    <row r="3" spans="1:63" ht="21.75" customHeight="1">
      <c r="A3" s="651" t="s">
        <v>52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3"/>
      <c r="M3" s="654">
        <v>43143</v>
      </c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6"/>
      <c r="AD3" s="657" t="s">
        <v>156</v>
      </c>
      <c r="AE3" s="658"/>
      <c r="AF3" s="658"/>
      <c r="AG3" s="658"/>
      <c r="AH3" s="658"/>
      <c r="AI3" s="658"/>
      <c r="AJ3" s="658"/>
      <c r="AK3" s="658"/>
      <c r="AL3" s="658"/>
      <c r="AM3" s="659"/>
      <c r="AN3" s="660" t="s">
        <v>568</v>
      </c>
      <c r="AO3" s="661"/>
      <c r="AP3" s="661"/>
      <c r="AQ3" s="661"/>
      <c r="AR3" s="661"/>
      <c r="AS3" s="661"/>
      <c r="AT3" s="661"/>
      <c r="AU3" s="661"/>
      <c r="AV3" s="661"/>
      <c r="AW3" s="661"/>
      <c r="AX3" s="661"/>
      <c r="AY3" s="661"/>
      <c r="AZ3" s="661"/>
      <c r="BA3" s="661"/>
      <c r="BB3" s="661"/>
      <c r="BC3" s="661"/>
      <c r="BD3" s="661"/>
      <c r="BE3" s="661"/>
      <c r="BF3" s="661"/>
      <c r="BG3" s="661"/>
      <c r="BH3" s="661"/>
      <c r="BI3" s="661"/>
      <c r="BJ3" s="662"/>
    </row>
    <row r="4" spans="1:63" ht="21.75" customHeight="1">
      <c r="A4" s="666" t="s">
        <v>53</v>
      </c>
      <c r="B4" s="667"/>
      <c r="C4" s="667"/>
      <c r="D4" s="667"/>
      <c r="E4" s="667"/>
      <c r="F4" s="667"/>
      <c r="G4" s="667"/>
      <c r="H4" s="667"/>
      <c r="I4" s="667"/>
      <c r="J4" s="667"/>
      <c r="K4" s="667"/>
      <c r="L4" s="668"/>
      <c r="M4" s="669" t="s">
        <v>584</v>
      </c>
      <c r="N4" s="670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  <c r="AA4" s="670"/>
      <c r="AB4" s="670"/>
      <c r="AC4" s="670"/>
      <c r="AD4" s="671" t="s">
        <v>72</v>
      </c>
      <c r="AE4" s="672"/>
      <c r="AF4" s="672"/>
      <c r="AG4" s="672"/>
      <c r="AH4" s="672"/>
      <c r="AI4" s="672"/>
      <c r="AJ4" s="672"/>
      <c r="AK4" s="672"/>
      <c r="AL4" s="672"/>
      <c r="AM4" s="673"/>
      <c r="AN4" s="660" t="s">
        <v>578</v>
      </c>
      <c r="AO4" s="661"/>
      <c r="AP4" s="661"/>
      <c r="AQ4" s="661"/>
      <c r="AR4" s="661"/>
      <c r="AS4" s="661"/>
      <c r="AT4" s="661"/>
      <c r="AU4" s="661"/>
      <c r="AV4" s="661"/>
      <c r="AW4" s="661"/>
      <c r="AX4" s="661"/>
      <c r="AY4" s="661"/>
      <c r="AZ4" s="661"/>
      <c r="BA4" s="661"/>
      <c r="BB4" s="661"/>
      <c r="BC4" s="661"/>
      <c r="BD4" s="661"/>
      <c r="BE4" s="661"/>
      <c r="BF4" s="661"/>
      <c r="BG4" s="661"/>
      <c r="BH4" s="661"/>
      <c r="BI4" s="661"/>
      <c r="BJ4" s="662"/>
    </row>
    <row r="5" spans="1:63" ht="2.25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6"/>
      <c r="N5" s="336"/>
      <c r="O5" s="336"/>
      <c r="P5" s="336"/>
      <c r="Q5" s="336"/>
      <c r="R5" s="336"/>
      <c r="S5" s="336"/>
      <c r="T5" s="336"/>
      <c r="U5" s="336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46"/>
      <c r="AG5" s="46"/>
      <c r="AH5" s="46"/>
      <c r="AI5" s="46"/>
      <c r="AJ5" s="46"/>
      <c r="AK5" s="46"/>
      <c r="AL5" s="46"/>
      <c r="AM5" s="4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6"/>
      <c r="AZ5" s="336"/>
      <c r="BA5" s="336"/>
      <c r="BB5" s="336"/>
      <c r="BC5" s="336"/>
      <c r="BD5" s="336"/>
      <c r="BE5" s="336"/>
      <c r="BF5" s="336"/>
      <c r="BG5" s="336"/>
      <c r="BH5" s="336"/>
      <c r="BI5" s="336"/>
      <c r="BJ5" s="17"/>
    </row>
    <row r="6" spans="1:63" ht="17.25" customHeight="1">
      <c r="A6" s="2"/>
      <c r="B6" s="12" t="s">
        <v>73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AB6" s="3"/>
      <c r="AC6" s="3"/>
      <c r="AD6" s="3"/>
      <c r="AE6" s="3"/>
      <c r="AF6" s="663" t="s">
        <v>559</v>
      </c>
      <c r="AG6" s="663"/>
      <c r="AH6" s="663"/>
      <c r="AI6" s="663"/>
      <c r="AJ6" s="663"/>
      <c r="AK6" s="663" t="s">
        <v>90</v>
      </c>
      <c r="AL6" s="663"/>
      <c r="AM6" s="663"/>
      <c r="AN6" s="663"/>
      <c r="AO6" s="663"/>
      <c r="AP6" s="663" t="s">
        <v>91</v>
      </c>
      <c r="AQ6" s="663"/>
      <c r="AR6" s="663"/>
      <c r="AS6" s="663"/>
      <c r="AT6" s="663"/>
      <c r="AU6" s="663" t="s">
        <v>92</v>
      </c>
      <c r="AV6" s="663"/>
      <c r="AW6" s="663"/>
      <c r="AX6" s="663"/>
      <c r="AY6" s="663"/>
      <c r="AZ6" s="663" t="s">
        <v>94</v>
      </c>
      <c r="BA6" s="663"/>
      <c r="BB6" s="663"/>
      <c r="BC6" s="663"/>
      <c r="BD6" s="663"/>
      <c r="BE6" s="3"/>
      <c r="BF6" s="3"/>
      <c r="BG6" s="3"/>
      <c r="BH6" s="3"/>
      <c r="BI6" s="3"/>
      <c r="BJ6" s="4"/>
    </row>
    <row r="7" spans="1:63" ht="18.75" customHeight="1">
      <c r="A7" s="2"/>
      <c r="B7" s="873" t="s">
        <v>74</v>
      </c>
      <c r="C7" s="873"/>
      <c r="D7" s="873"/>
      <c r="E7" s="873"/>
      <c r="F7" s="873"/>
      <c r="G7" s="873"/>
      <c r="H7" s="873"/>
      <c r="I7" s="873"/>
      <c r="J7" s="873"/>
      <c r="K7" s="873"/>
      <c r="L7" s="873"/>
      <c r="M7" s="873"/>
      <c r="N7" s="873"/>
      <c r="O7" s="873"/>
      <c r="P7" s="873" t="s">
        <v>75</v>
      </c>
      <c r="Q7" s="873"/>
      <c r="R7" s="873"/>
      <c r="S7" s="873"/>
      <c r="T7" s="873"/>
      <c r="U7" s="873"/>
      <c r="V7" s="873"/>
      <c r="W7" s="873"/>
      <c r="X7" s="873"/>
      <c r="Y7" s="873"/>
      <c r="Z7" s="873"/>
      <c r="AA7" s="873"/>
      <c r="AB7" s="873"/>
      <c r="AC7" s="873"/>
      <c r="AF7" s="873"/>
      <c r="AG7" s="873"/>
      <c r="AH7" s="873"/>
      <c r="AI7" s="873"/>
      <c r="AJ7" s="873"/>
      <c r="AK7" s="873"/>
      <c r="AL7" s="873"/>
      <c r="AM7" s="873"/>
      <c r="AN7" s="873"/>
      <c r="AO7" s="873"/>
      <c r="AP7" s="873"/>
      <c r="AQ7" s="873"/>
      <c r="AR7" s="873"/>
      <c r="AS7" s="873"/>
      <c r="AT7" s="873"/>
      <c r="AU7" s="873"/>
      <c r="AV7" s="873"/>
      <c r="AW7" s="873"/>
      <c r="AX7" s="873"/>
      <c r="AY7" s="873"/>
      <c r="AZ7" s="873"/>
      <c r="BA7" s="873"/>
      <c r="BB7" s="873"/>
      <c r="BC7" s="873"/>
      <c r="BD7" s="873"/>
      <c r="BJ7" s="4"/>
    </row>
    <row r="8" spans="1:63" ht="18.75" customHeight="1">
      <c r="A8" s="2"/>
      <c r="B8" s="874" t="s">
        <v>538</v>
      </c>
      <c r="C8" s="748"/>
      <c r="D8" s="724" t="s">
        <v>76</v>
      </c>
      <c r="E8" s="875"/>
      <c r="F8" s="875"/>
      <c r="G8" s="875"/>
      <c r="H8" s="840"/>
      <c r="I8" s="722" t="s">
        <v>549</v>
      </c>
      <c r="J8" s="748"/>
      <c r="K8" s="724" t="s">
        <v>77</v>
      </c>
      <c r="L8" s="875"/>
      <c r="M8" s="875"/>
      <c r="N8" s="875"/>
      <c r="O8" s="876"/>
      <c r="P8" s="719" t="s">
        <v>549</v>
      </c>
      <c r="Q8" s="748"/>
      <c r="R8" s="724" t="s">
        <v>76</v>
      </c>
      <c r="S8" s="875"/>
      <c r="T8" s="875"/>
      <c r="U8" s="875"/>
      <c r="V8" s="840"/>
      <c r="W8" s="722" t="s">
        <v>15</v>
      </c>
      <c r="X8" s="748"/>
      <c r="Y8" s="724" t="s">
        <v>77</v>
      </c>
      <c r="Z8" s="875"/>
      <c r="AA8" s="875"/>
      <c r="AB8" s="875"/>
      <c r="AC8" s="876"/>
      <c r="AF8" s="873"/>
      <c r="AG8" s="873"/>
      <c r="AH8" s="873"/>
      <c r="AI8" s="873"/>
      <c r="AJ8" s="873"/>
      <c r="AK8" s="873"/>
      <c r="AL8" s="873"/>
      <c r="AM8" s="873"/>
      <c r="AN8" s="873"/>
      <c r="AO8" s="873"/>
      <c r="AP8" s="873"/>
      <c r="AQ8" s="873"/>
      <c r="AR8" s="873"/>
      <c r="AS8" s="873"/>
      <c r="AT8" s="873"/>
      <c r="AU8" s="873"/>
      <c r="AV8" s="873"/>
      <c r="AW8" s="873"/>
      <c r="AX8" s="873"/>
      <c r="AY8" s="873"/>
      <c r="AZ8" s="873"/>
      <c r="BA8" s="873"/>
      <c r="BB8" s="873"/>
      <c r="BC8" s="873"/>
      <c r="BD8" s="873"/>
      <c r="BJ8" s="4"/>
    </row>
    <row r="9" spans="1:63" ht="18.75" customHeight="1">
      <c r="A9" s="2"/>
      <c r="B9" s="700" t="s">
        <v>538</v>
      </c>
      <c r="C9" s="697"/>
      <c r="D9" s="866" t="s">
        <v>16</v>
      </c>
      <c r="E9" s="867"/>
      <c r="F9" s="867"/>
      <c r="G9" s="867"/>
      <c r="H9" s="868"/>
      <c r="I9" s="688" t="s">
        <v>15</v>
      </c>
      <c r="J9" s="697"/>
      <c r="K9" s="866" t="s">
        <v>17</v>
      </c>
      <c r="L9" s="867"/>
      <c r="M9" s="867"/>
      <c r="N9" s="867"/>
      <c r="O9" s="869"/>
      <c r="P9" s="686" t="s">
        <v>549</v>
      </c>
      <c r="Q9" s="687"/>
      <c r="R9" s="870" t="s">
        <v>78</v>
      </c>
      <c r="S9" s="870"/>
      <c r="T9" s="870"/>
      <c r="U9" s="870"/>
      <c r="V9" s="870"/>
      <c r="W9" s="687" t="s">
        <v>15</v>
      </c>
      <c r="X9" s="687"/>
      <c r="Y9" s="871">
        <v>89</v>
      </c>
      <c r="Z9" s="871"/>
      <c r="AA9" s="871"/>
      <c r="AB9" s="871"/>
      <c r="AC9" s="872"/>
      <c r="AD9" s="720" t="s">
        <v>45</v>
      </c>
      <c r="AE9" s="721"/>
      <c r="AF9" s="721"/>
      <c r="AG9" s="721"/>
      <c r="AH9" s="721"/>
      <c r="AI9" s="721"/>
      <c r="AJ9" s="721"/>
      <c r="AK9" s="721"/>
      <c r="AL9" s="721"/>
      <c r="AM9" s="721"/>
      <c r="AN9" s="721"/>
      <c r="AO9" s="721"/>
      <c r="AP9" s="721"/>
      <c r="AQ9" s="721"/>
      <c r="AR9" s="721"/>
      <c r="AS9" s="721"/>
      <c r="AT9" s="722"/>
      <c r="AU9" s="810" t="s">
        <v>29</v>
      </c>
      <c r="AV9" s="810"/>
      <c r="AW9" s="810"/>
      <c r="AX9" s="810"/>
      <c r="AY9" s="810"/>
      <c r="AZ9" s="684" t="s">
        <v>0</v>
      </c>
      <c r="BA9" s="684"/>
      <c r="BB9" s="684"/>
      <c r="BC9" s="684"/>
      <c r="BD9" s="684"/>
      <c r="BE9" s="714">
        <v>102.8</v>
      </c>
      <c r="BF9" s="714"/>
      <c r="BG9" s="714"/>
      <c r="BH9" s="714"/>
      <c r="BI9" s="715"/>
      <c r="BJ9" s="4"/>
    </row>
    <row r="10" spans="1:63" ht="18.75" customHeight="1">
      <c r="A10" s="2"/>
      <c r="B10" s="330"/>
      <c r="C10" s="331"/>
      <c r="D10" s="331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2"/>
      <c r="P10" s="689" t="s">
        <v>15</v>
      </c>
      <c r="Q10" s="690"/>
      <c r="R10" s="904" t="s">
        <v>18</v>
      </c>
      <c r="S10" s="904"/>
      <c r="T10" s="904"/>
      <c r="U10" s="904"/>
      <c r="V10" s="904"/>
      <c r="W10" s="334"/>
      <c r="X10" s="334"/>
      <c r="Y10" s="334"/>
      <c r="Z10" s="334"/>
      <c r="AA10" s="334"/>
      <c r="AB10" s="334"/>
      <c r="AC10" s="340"/>
      <c r="AD10" s="837" t="s">
        <v>80</v>
      </c>
      <c r="AE10" s="838"/>
      <c r="AF10" s="838"/>
      <c r="AG10" s="838"/>
      <c r="AH10" s="838"/>
      <c r="AI10" s="838"/>
      <c r="AJ10" s="838"/>
      <c r="AK10" s="838"/>
      <c r="AL10" s="838"/>
      <c r="AM10" s="838"/>
      <c r="AN10" s="838"/>
      <c r="AO10" s="838"/>
      <c r="AP10" s="838"/>
      <c r="AQ10" s="838"/>
      <c r="AR10" s="838"/>
      <c r="AS10" s="838"/>
      <c r="AT10" s="839"/>
      <c r="AU10" s="895" t="s">
        <v>36</v>
      </c>
      <c r="AV10" s="896"/>
      <c r="AW10" s="896"/>
      <c r="AX10" s="896"/>
      <c r="AY10" s="897"/>
      <c r="AZ10" s="692" t="s">
        <v>79</v>
      </c>
      <c r="BA10" s="690"/>
      <c r="BB10" s="690"/>
      <c r="BC10" s="690"/>
      <c r="BD10" s="691"/>
      <c r="BE10" s="692"/>
      <c r="BF10" s="690"/>
      <c r="BG10" s="690"/>
      <c r="BH10" s="690"/>
      <c r="BI10" s="695"/>
      <c r="BJ10" s="4"/>
    </row>
    <row r="11" spans="1:63" s="23" customFormat="1" ht="15" customHeight="1">
      <c r="A11" s="21"/>
      <c r="B11" s="917" t="s">
        <v>153</v>
      </c>
      <c r="C11" s="917"/>
      <c r="D11" s="917"/>
      <c r="E11" s="917"/>
      <c r="F11" s="917" t="s">
        <v>59</v>
      </c>
      <c r="G11" s="917"/>
      <c r="H11" s="917"/>
      <c r="I11" s="917"/>
      <c r="J11" s="917" t="s">
        <v>81</v>
      </c>
      <c r="K11" s="917"/>
      <c r="L11" s="917"/>
      <c r="M11" s="917" t="s">
        <v>134</v>
      </c>
      <c r="N11" s="917"/>
      <c r="O11" s="917"/>
      <c r="P11" s="900" t="s">
        <v>111</v>
      </c>
      <c r="Q11" s="900"/>
      <c r="R11" s="900"/>
      <c r="S11" s="900"/>
      <c r="T11" s="900" t="s">
        <v>145</v>
      </c>
      <c r="U11" s="900"/>
      <c r="V11" s="900"/>
      <c r="W11" s="900"/>
      <c r="X11" s="877" t="s">
        <v>41</v>
      </c>
      <c r="Y11" s="878"/>
      <c r="Z11" s="878"/>
      <c r="AA11" s="878"/>
      <c r="AB11" s="878"/>
      <c r="AC11" s="878"/>
      <c r="AD11" s="878"/>
      <c r="AE11" s="878"/>
      <c r="AF11" s="878"/>
      <c r="AG11" s="878"/>
      <c r="AH11" s="878"/>
      <c r="AI11" s="878"/>
      <c r="AJ11" s="879"/>
      <c r="AK11" s="880" t="s">
        <v>84</v>
      </c>
      <c r="AL11" s="881"/>
      <c r="AM11" s="881"/>
      <c r="AN11" s="881"/>
      <c r="AO11" s="882"/>
      <c r="AP11" s="880" t="s">
        <v>85</v>
      </c>
      <c r="AQ11" s="881"/>
      <c r="AR11" s="881"/>
      <c r="AS11" s="881"/>
      <c r="AT11" s="882"/>
      <c r="AU11" s="877" t="s">
        <v>86</v>
      </c>
      <c r="AV11" s="878"/>
      <c r="AW11" s="878"/>
      <c r="AX11" s="878"/>
      <c r="AY11" s="878"/>
      <c r="AZ11" s="878"/>
      <c r="BA11" s="878"/>
      <c r="BB11" s="878"/>
      <c r="BC11" s="878"/>
      <c r="BD11" s="879"/>
      <c r="BE11" s="886" t="s">
        <v>141</v>
      </c>
      <c r="BF11" s="887"/>
      <c r="BG11" s="887"/>
      <c r="BH11" s="887"/>
      <c r="BI11" s="888"/>
      <c r="BJ11" s="22"/>
    </row>
    <row r="12" spans="1:63" s="23" customFormat="1" ht="30" customHeight="1">
      <c r="A12" s="21"/>
      <c r="B12" s="918"/>
      <c r="C12" s="918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01"/>
      <c r="Q12" s="901"/>
      <c r="R12" s="901"/>
      <c r="S12" s="901"/>
      <c r="T12" s="901"/>
      <c r="U12" s="901"/>
      <c r="V12" s="901"/>
      <c r="W12" s="901"/>
      <c r="X12" s="892" t="s">
        <v>82</v>
      </c>
      <c r="Y12" s="893"/>
      <c r="Z12" s="893"/>
      <c r="AA12" s="893"/>
      <c r="AB12" s="893"/>
      <c r="AC12" s="893" t="s">
        <v>83</v>
      </c>
      <c r="AD12" s="893"/>
      <c r="AE12" s="893"/>
      <c r="AF12" s="893"/>
      <c r="AG12" s="893" t="s">
        <v>44</v>
      </c>
      <c r="AH12" s="893"/>
      <c r="AI12" s="893"/>
      <c r="AJ12" s="894"/>
      <c r="AK12" s="883"/>
      <c r="AL12" s="884"/>
      <c r="AM12" s="884"/>
      <c r="AN12" s="884"/>
      <c r="AO12" s="885"/>
      <c r="AP12" s="883"/>
      <c r="AQ12" s="884"/>
      <c r="AR12" s="884"/>
      <c r="AS12" s="884"/>
      <c r="AT12" s="885"/>
      <c r="AU12" s="892" t="s">
        <v>87</v>
      </c>
      <c r="AV12" s="893"/>
      <c r="AW12" s="893"/>
      <c r="AX12" s="893"/>
      <c r="AY12" s="893"/>
      <c r="AZ12" s="893" t="s">
        <v>88</v>
      </c>
      <c r="BA12" s="893"/>
      <c r="BB12" s="893"/>
      <c r="BC12" s="893"/>
      <c r="BD12" s="894"/>
      <c r="BE12" s="889"/>
      <c r="BF12" s="890"/>
      <c r="BG12" s="890"/>
      <c r="BH12" s="890"/>
      <c r="BI12" s="891"/>
      <c r="BJ12" s="22"/>
    </row>
    <row r="13" spans="1:63" s="28" customFormat="1" ht="15" customHeight="1">
      <c r="A13" s="26"/>
      <c r="B13" s="918"/>
      <c r="C13" s="918"/>
      <c r="D13" s="918"/>
      <c r="E13" s="918"/>
      <c r="F13" s="918"/>
      <c r="G13" s="918"/>
      <c r="H13" s="918"/>
      <c r="I13" s="918"/>
      <c r="J13" s="918"/>
      <c r="K13" s="918"/>
      <c r="L13" s="918"/>
      <c r="M13" s="903" t="s">
        <v>19</v>
      </c>
      <c r="N13" s="903"/>
      <c r="O13" s="903"/>
      <c r="P13" s="901"/>
      <c r="Q13" s="901"/>
      <c r="R13" s="901"/>
      <c r="S13" s="901"/>
      <c r="T13" s="903" t="s">
        <v>20</v>
      </c>
      <c r="U13" s="903"/>
      <c r="V13" s="903"/>
      <c r="W13" s="903"/>
      <c r="X13" s="898" t="s">
        <v>1</v>
      </c>
      <c r="Y13" s="899"/>
      <c r="Z13" s="899"/>
      <c r="AA13" s="899"/>
      <c r="AB13" s="899"/>
      <c r="AC13" s="899" t="s">
        <v>107</v>
      </c>
      <c r="AD13" s="899"/>
      <c r="AE13" s="899"/>
      <c r="AF13" s="899"/>
      <c r="AG13" s="899" t="s">
        <v>109</v>
      </c>
      <c r="AH13" s="899"/>
      <c r="AI13" s="899"/>
      <c r="AJ13" s="908"/>
      <c r="AK13" s="905" t="s">
        <v>110</v>
      </c>
      <c r="AL13" s="906"/>
      <c r="AM13" s="906"/>
      <c r="AN13" s="906"/>
      <c r="AO13" s="907"/>
      <c r="AP13" s="905" t="s">
        <v>2</v>
      </c>
      <c r="AQ13" s="906"/>
      <c r="AR13" s="906"/>
      <c r="AS13" s="906"/>
      <c r="AT13" s="907"/>
      <c r="AU13" s="898" t="s">
        <v>108</v>
      </c>
      <c r="AV13" s="899"/>
      <c r="AW13" s="899"/>
      <c r="AX13" s="899"/>
      <c r="AY13" s="899"/>
      <c r="AZ13" s="899" t="s">
        <v>13</v>
      </c>
      <c r="BA13" s="899"/>
      <c r="BB13" s="899"/>
      <c r="BC13" s="899"/>
      <c r="BD13" s="908"/>
      <c r="BE13" s="905" t="s">
        <v>106</v>
      </c>
      <c r="BF13" s="906"/>
      <c r="BG13" s="906"/>
      <c r="BH13" s="906"/>
      <c r="BI13" s="907"/>
      <c r="BJ13" s="27"/>
    </row>
    <row r="14" spans="1:63" s="23" customFormat="1" ht="15" customHeight="1">
      <c r="A14" s="21"/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02" t="s">
        <v>21</v>
      </c>
      <c r="N14" s="902"/>
      <c r="O14" s="902"/>
      <c r="P14" s="902"/>
      <c r="Q14" s="902"/>
      <c r="R14" s="902"/>
      <c r="S14" s="902"/>
      <c r="T14" s="902" t="s">
        <v>22</v>
      </c>
      <c r="U14" s="902"/>
      <c r="V14" s="902"/>
      <c r="W14" s="902"/>
      <c r="X14" s="920" t="s">
        <v>3</v>
      </c>
      <c r="Y14" s="912"/>
      <c r="Z14" s="912"/>
      <c r="AA14" s="912"/>
      <c r="AB14" s="912"/>
      <c r="AC14" s="912" t="s">
        <v>4</v>
      </c>
      <c r="AD14" s="912"/>
      <c r="AE14" s="912"/>
      <c r="AF14" s="912"/>
      <c r="AG14" s="912" t="s">
        <v>0</v>
      </c>
      <c r="AH14" s="912"/>
      <c r="AI14" s="912"/>
      <c r="AJ14" s="913"/>
      <c r="AK14" s="914" t="s">
        <v>564</v>
      </c>
      <c r="AL14" s="915"/>
      <c r="AM14" s="915"/>
      <c r="AN14" s="915"/>
      <c r="AO14" s="916"/>
      <c r="AP14" s="914" t="s">
        <v>5</v>
      </c>
      <c r="AQ14" s="915"/>
      <c r="AR14" s="915"/>
      <c r="AS14" s="915"/>
      <c r="AT14" s="916"/>
      <c r="AU14" s="920" t="s">
        <v>565</v>
      </c>
      <c r="AV14" s="912"/>
      <c r="AW14" s="912"/>
      <c r="AX14" s="912"/>
      <c r="AY14" s="983"/>
      <c r="AZ14" s="912" t="s">
        <v>565</v>
      </c>
      <c r="BA14" s="912"/>
      <c r="BB14" s="912"/>
      <c r="BC14" s="912"/>
      <c r="BD14" s="913"/>
      <c r="BE14" s="914" t="s">
        <v>79</v>
      </c>
      <c r="BF14" s="915"/>
      <c r="BG14" s="915"/>
      <c r="BH14" s="915"/>
      <c r="BI14" s="916"/>
      <c r="BJ14" s="22"/>
    </row>
    <row r="15" spans="1:63" ht="18.75" customHeight="1">
      <c r="A15" s="2"/>
      <c r="B15" s="709" t="s">
        <v>550</v>
      </c>
      <c r="C15" s="709"/>
      <c r="D15" s="709"/>
      <c r="E15" s="709"/>
      <c r="F15" s="712">
        <v>0.70416666666666661</v>
      </c>
      <c r="G15" s="709"/>
      <c r="H15" s="709"/>
      <c r="I15" s="709"/>
      <c r="J15" s="709">
        <v>3</v>
      </c>
      <c r="K15" s="709"/>
      <c r="L15" s="709"/>
      <c r="M15" s="709">
        <v>5</v>
      </c>
      <c r="N15" s="709"/>
      <c r="O15" s="709"/>
      <c r="P15" s="709">
        <v>665</v>
      </c>
      <c r="Q15" s="709"/>
      <c r="R15" s="709"/>
      <c r="S15" s="709"/>
      <c r="T15" s="709">
        <v>15</v>
      </c>
      <c r="U15" s="709"/>
      <c r="V15" s="709"/>
      <c r="W15" s="709"/>
      <c r="X15" s="719">
        <v>190</v>
      </c>
      <c r="Y15" s="684"/>
      <c r="Z15" s="684"/>
      <c r="AA15" s="684"/>
      <c r="AB15" s="684"/>
      <c r="AC15" s="684">
        <v>18</v>
      </c>
      <c r="AD15" s="684"/>
      <c r="AE15" s="684"/>
      <c r="AF15" s="684"/>
      <c r="AG15" s="684">
        <v>0.1</v>
      </c>
      <c r="AH15" s="684"/>
      <c r="AI15" s="684"/>
      <c r="AJ15" s="685"/>
      <c r="AK15" s="979">
        <f>IF(X15="","",ROUND(X15*298.15/101.32*($BE$9+AG15-BK15)/(273.15+AC15)/1000,3))</f>
        <v>0.19400000000000001</v>
      </c>
      <c r="AL15" s="979"/>
      <c r="AM15" s="979"/>
      <c r="AN15" s="979"/>
      <c r="AO15" s="979"/>
      <c r="AP15" s="709">
        <v>1.273E-2</v>
      </c>
      <c r="AQ15" s="709"/>
      <c r="AR15" s="709"/>
      <c r="AS15" s="709"/>
      <c r="AT15" s="709"/>
      <c r="AU15" s="1010">
        <f>IF(AP15="","",ROUND(AP15/AK15,4))</f>
        <v>6.5600000000000006E-2</v>
      </c>
      <c r="AV15" s="1011"/>
      <c r="AW15" s="1011"/>
      <c r="AX15" s="1011"/>
      <c r="AY15" s="1011"/>
      <c r="AZ15" s="684" t="s">
        <v>337</v>
      </c>
      <c r="BA15" s="684"/>
      <c r="BB15" s="684"/>
      <c r="BC15" s="684"/>
      <c r="BD15" s="685"/>
      <c r="BE15" s="909" t="s">
        <v>337</v>
      </c>
      <c r="BF15" s="910"/>
      <c r="BG15" s="910"/>
      <c r="BH15" s="910"/>
      <c r="BI15" s="911"/>
      <c r="BJ15" s="4"/>
      <c r="BK15" s="101">
        <f>ROUND(VLOOKUP(AC15,'Measurement Act'!$A$4:$C$207,3),2)</f>
        <v>2.06</v>
      </c>
    </row>
    <row r="16" spans="1:63" ht="18.75" customHeight="1">
      <c r="A16" s="2"/>
      <c r="B16" s="710" t="s">
        <v>539</v>
      </c>
      <c r="C16" s="710"/>
      <c r="D16" s="710"/>
      <c r="E16" s="710"/>
      <c r="F16" s="740">
        <v>0.71736111111111101</v>
      </c>
      <c r="G16" s="710"/>
      <c r="H16" s="710"/>
      <c r="I16" s="710"/>
      <c r="J16" s="710">
        <v>3</v>
      </c>
      <c r="K16" s="710"/>
      <c r="L16" s="710"/>
      <c r="M16" s="710">
        <v>5</v>
      </c>
      <c r="N16" s="710"/>
      <c r="O16" s="710"/>
      <c r="P16" s="710">
        <v>666</v>
      </c>
      <c r="Q16" s="710"/>
      <c r="R16" s="710"/>
      <c r="S16" s="710"/>
      <c r="T16" s="710">
        <v>15</v>
      </c>
      <c r="U16" s="710"/>
      <c r="V16" s="710"/>
      <c r="W16" s="710"/>
      <c r="X16" s="700">
        <v>190</v>
      </c>
      <c r="Y16" s="698"/>
      <c r="Z16" s="698"/>
      <c r="AA16" s="698"/>
      <c r="AB16" s="698"/>
      <c r="AC16" s="698">
        <v>18</v>
      </c>
      <c r="AD16" s="698"/>
      <c r="AE16" s="698"/>
      <c r="AF16" s="698"/>
      <c r="AG16" s="698">
        <v>0.1</v>
      </c>
      <c r="AH16" s="698"/>
      <c r="AI16" s="698"/>
      <c r="AJ16" s="699"/>
      <c r="AK16" s="710">
        <f t="shared" ref="AK16:AK19" si="0">IF(X16="","",ROUND(X16*298.15/101.32*($BE$9+AG16-BK16)/(273.15+AC16)/1000,3))</f>
        <v>0.19400000000000001</v>
      </c>
      <c r="AL16" s="710"/>
      <c r="AM16" s="710"/>
      <c r="AN16" s="710"/>
      <c r="AO16" s="710"/>
      <c r="AP16" s="990">
        <v>1.06E-2</v>
      </c>
      <c r="AQ16" s="990"/>
      <c r="AR16" s="990"/>
      <c r="AS16" s="990"/>
      <c r="AT16" s="990"/>
      <c r="AU16" s="1008">
        <f t="shared" ref="AU16:AU19" si="1">IF(AP16="","",ROUND(AP16/AK16,4))</f>
        <v>5.4600000000000003E-2</v>
      </c>
      <c r="AV16" s="1009"/>
      <c r="AW16" s="1009"/>
      <c r="AX16" s="1009"/>
      <c r="AY16" s="1009"/>
      <c r="AZ16" s="698" t="s">
        <v>337</v>
      </c>
      <c r="BA16" s="698"/>
      <c r="BB16" s="698"/>
      <c r="BC16" s="698"/>
      <c r="BD16" s="699"/>
      <c r="BE16" s="987" t="s">
        <v>337</v>
      </c>
      <c r="BF16" s="988"/>
      <c r="BG16" s="988"/>
      <c r="BH16" s="988"/>
      <c r="BI16" s="989"/>
      <c r="BJ16" s="4"/>
      <c r="BK16" s="101">
        <f>ROUND(VLOOKUP(AC16,'Measurement Act'!$A$4:$C$207,3),2)</f>
        <v>2.06</v>
      </c>
    </row>
    <row r="17" spans="1:63" ht="18.75" customHeight="1">
      <c r="A17" s="2"/>
      <c r="B17" s="710" t="s">
        <v>540</v>
      </c>
      <c r="C17" s="710"/>
      <c r="D17" s="710"/>
      <c r="E17" s="710"/>
      <c r="F17" s="740">
        <v>0.73055555555555562</v>
      </c>
      <c r="G17" s="710"/>
      <c r="H17" s="710"/>
      <c r="I17" s="710"/>
      <c r="J17" s="710">
        <v>3</v>
      </c>
      <c r="K17" s="710"/>
      <c r="L17" s="710"/>
      <c r="M17" s="710">
        <v>5</v>
      </c>
      <c r="N17" s="710"/>
      <c r="O17" s="710"/>
      <c r="P17" s="710">
        <v>667</v>
      </c>
      <c r="Q17" s="710"/>
      <c r="R17" s="710"/>
      <c r="S17" s="710"/>
      <c r="T17" s="710">
        <v>15</v>
      </c>
      <c r="U17" s="710"/>
      <c r="V17" s="710"/>
      <c r="W17" s="710"/>
      <c r="X17" s="700">
        <v>180</v>
      </c>
      <c r="Y17" s="698"/>
      <c r="Z17" s="698"/>
      <c r="AA17" s="698"/>
      <c r="AB17" s="698"/>
      <c r="AC17" s="698">
        <v>18</v>
      </c>
      <c r="AD17" s="698"/>
      <c r="AE17" s="698"/>
      <c r="AF17" s="698"/>
      <c r="AG17" s="698">
        <v>0.1</v>
      </c>
      <c r="AH17" s="698"/>
      <c r="AI17" s="698"/>
      <c r="AJ17" s="699"/>
      <c r="AK17" s="710">
        <f t="shared" si="0"/>
        <v>0.183</v>
      </c>
      <c r="AL17" s="710"/>
      <c r="AM17" s="710"/>
      <c r="AN17" s="710"/>
      <c r="AO17" s="710"/>
      <c r="AP17" s="990">
        <v>8.7100000000000007E-3</v>
      </c>
      <c r="AQ17" s="990"/>
      <c r="AR17" s="990"/>
      <c r="AS17" s="990"/>
      <c r="AT17" s="990"/>
      <c r="AU17" s="1008">
        <f t="shared" si="1"/>
        <v>4.7600000000000003E-2</v>
      </c>
      <c r="AV17" s="1009"/>
      <c r="AW17" s="1009"/>
      <c r="AX17" s="1009"/>
      <c r="AY17" s="1009"/>
      <c r="AZ17" s="698" t="s">
        <v>337</v>
      </c>
      <c r="BA17" s="698"/>
      <c r="BB17" s="698"/>
      <c r="BC17" s="698"/>
      <c r="BD17" s="699"/>
      <c r="BE17" s="987" t="s">
        <v>337</v>
      </c>
      <c r="BF17" s="988"/>
      <c r="BG17" s="988"/>
      <c r="BH17" s="988"/>
      <c r="BI17" s="989"/>
      <c r="BJ17" s="4"/>
      <c r="BK17" s="101">
        <f>ROUND(VLOOKUP(AC17,'Measurement Act'!$A$4:$C$207,3),2)</f>
        <v>2.06</v>
      </c>
    </row>
    <row r="18" spans="1:63" ht="18.75" customHeight="1">
      <c r="A18" s="2"/>
      <c r="B18" s="710" t="s">
        <v>541</v>
      </c>
      <c r="C18" s="710"/>
      <c r="D18" s="710"/>
      <c r="E18" s="710"/>
      <c r="F18" s="740">
        <v>0.74305555555555547</v>
      </c>
      <c r="G18" s="710"/>
      <c r="H18" s="710"/>
      <c r="I18" s="710"/>
      <c r="J18" s="710">
        <v>3</v>
      </c>
      <c r="K18" s="710"/>
      <c r="L18" s="710"/>
      <c r="M18" s="710">
        <v>5</v>
      </c>
      <c r="N18" s="710"/>
      <c r="O18" s="710"/>
      <c r="P18" s="710">
        <v>668</v>
      </c>
      <c r="Q18" s="710"/>
      <c r="R18" s="710"/>
      <c r="S18" s="710"/>
      <c r="T18" s="710">
        <v>15</v>
      </c>
      <c r="U18" s="710"/>
      <c r="V18" s="710"/>
      <c r="W18" s="710"/>
      <c r="X18" s="700">
        <v>187</v>
      </c>
      <c r="Y18" s="698"/>
      <c r="Z18" s="698"/>
      <c r="AA18" s="698"/>
      <c r="AB18" s="698"/>
      <c r="AC18" s="698">
        <v>19</v>
      </c>
      <c r="AD18" s="698"/>
      <c r="AE18" s="698"/>
      <c r="AF18" s="698"/>
      <c r="AG18" s="698">
        <v>0.1</v>
      </c>
      <c r="AH18" s="698"/>
      <c r="AI18" s="698"/>
      <c r="AJ18" s="699"/>
      <c r="AK18" s="1007">
        <f t="shared" si="0"/>
        <v>0.19</v>
      </c>
      <c r="AL18" s="1007"/>
      <c r="AM18" s="1007"/>
      <c r="AN18" s="1007"/>
      <c r="AO18" s="1007"/>
      <c r="AP18" s="710">
        <v>1.1350000000000001E-2</v>
      </c>
      <c r="AQ18" s="710"/>
      <c r="AR18" s="710"/>
      <c r="AS18" s="710"/>
      <c r="AT18" s="710"/>
      <c r="AU18" s="1008">
        <f t="shared" si="1"/>
        <v>5.9700000000000003E-2</v>
      </c>
      <c r="AV18" s="1009"/>
      <c r="AW18" s="1009"/>
      <c r="AX18" s="1009"/>
      <c r="AY18" s="1009"/>
      <c r="AZ18" s="698" t="s">
        <v>337</v>
      </c>
      <c r="BA18" s="698"/>
      <c r="BB18" s="698"/>
      <c r="BC18" s="698"/>
      <c r="BD18" s="699"/>
      <c r="BE18" s="987" t="s">
        <v>337</v>
      </c>
      <c r="BF18" s="988"/>
      <c r="BG18" s="988"/>
      <c r="BH18" s="988"/>
      <c r="BI18" s="989"/>
      <c r="BJ18" s="4"/>
      <c r="BK18" s="101">
        <f>ROUND(VLOOKUP(AC18,'Measurement Act'!$A$4:$C$207,3),2)</f>
        <v>2.2000000000000002</v>
      </c>
    </row>
    <row r="19" spans="1:63" ht="18.75" customHeight="1">
      <c r="A19" s="2"/>
      <c r="B19" s="711" t="s">
        <v>551</v>
      </c>
      <c r="C19" s="711"/>
      <c r="D19" s="711"/>
      <c r="E19" s="711"/>
      <c r="F19" s="752">
        <v>0.75624999999999998</v>
      </c>
      <c r="G19" s="711"/>
      <c r="H19" s="711"/>
      <c r="I19" s="711"/>
      <c r="J19" s="711">
        <v>3</v>
      </c>
      <c r="K19" s="711"/>
      <c r="L19" s="711"/>
      <c r="M19" s="711">
        <v>5</v>
      </c>
      <c r="N19" s="711"/>
      <c r="O19" s="711"/>
      <c r="P19" s="711">
        <v>669</v>
      </c>
      <c r="Q19" s="711"/>
      <c r="R19" s="711"/>
      <c r="S19" s="711"/>
      <c r="T19" s="711">
        <v>15</v>
      </c>
      <c r="U19" s="711"/>
      <c r="V19" s="711"/>
      <c r="W19" s="711"/>
      <c r="X19" s="696">
        <v>197</v>
      </c>
      <c r="Y19" s="693"/>
      <c r="Z19" s="693"/>
      <c r="AA19" s="693"/>
      <c r="AB19" s="693"/>
      <c r="AC19" s="693">
        <v>19</v>
      </c>
      <c r="AD19" s="693"/>
      <c r="AE19" s="693"/>
      <c r="AF19" s="693"/>
      <c r="AG19" s="693">
        <v>0.1</v>
      </c>
      <c r="AH19" s="693"/>
      <c r="AI19" s="693"/>
      <c r="AJ19" s="694"/>
      <c r="AK19" s="981">
        <f t="shared" si="0"/>
        <v>0.2</v>
      </c>
      <c r="AL19" s="981"/>
      <c r="AM19" s="981"/>
      <c r="AN19" s="981"/>
      <c r="AO19" s="981"/>
      <c r="AP19" s="711">
        <v>7.4099999999999999E-3</v>
      </c>
      <c r="AQ19" s="711"/>
      <c r="AR19" s="711"/>
      <c r="AS19" s="711"/>
      <c r="AT19" s="711"/>
      <c r="AU19" s="1005">
        <f t="shared" si="1"/>
        <v>3.7100000000000001E-2</v>
      </c>
      <c r="AV19" s="1006"/>
      <c r="AW19" s="1006"/>
      <c r="AX19" s="1006"/>
      <c r="AY19" s="1006"/>
      <c r="AZ19" s="693" t="s">
        <v>337</v>
      </c>
      <c r="BA19" s="693"/>
      <c r="BB19" s="693"/>
      <c r="BC19" s="693"/>
      <c r="BD19" s="694"/>
      <c r="BE19" s="984" t="s">
        <v>337</v>
      </c>
      <c r="BF19" s="985"/>
      <c r="BG19" s="985"/>
      <c r="BH19" s="985"/>
      <c r="BI19" s="986"/>
      <c r="BJ19" s="4"/>
      <c r="BK19" s="101">
        <f>ROUND(VLOOKUP(AC19,'Measurement Act'!$A$4:$C$207,3),2)</f>
        <v>2.2000000000000002</v>
      </c>
    </row>
    <row r="20" spans="1:63" ht="18.75" customHeight="1">
      <c r="A20" s="2"/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  <c r="AP20" s="664" t="s">
        <v>54</v>
      </c>
      <c r="AQ20" s="661"/>
      <c r="AR20" s="661"/>
      <c r="AS20" s="661"/>
      <c r="AT20" s="676"/>
      <c r="AU20" s="1003">
        <f>ROUND(AVERAGE(AU15:AY19),4)</f>
        <v>5.2900000000000003E-2</v>
      </c>
      <c r="AV20" s="997"/>
      <c r="AW20" s="997"/>
      <c r="AX20" s="997"/>
      <c r="AY20" s="1004"/>
      <c r="AZ20" s="997" t="s">
        <v>337</v>
      </c>
      <c r="BA20" s="675"/>
      <c r="BB20" s="675"/>
      <c r="BC20" s="675"/>
      <c r="BD20" s="826"/>
      <c r="BE20" s="998" t="s">
        <v>337</v>
      </c>
      <c r="BF20" s="998"/>
      <c r="BG20" s="998"/>
      <c r="BH20" s="998"/>
      <c r="BI20" s="999"/>
      <c r="BJ20" s="4"/>
    </row>
    <row r="21" spans="1:63" ht="16.5" customHeight="1">
      <c r="A21" s="2"/>
      <c r="B21" s="763" t="s">
        <v>49</v>
      </c>
      <c r="C21" s="764"/>
      <c r="D21" s="764"/>
      <c r="E21" s="764"/>
      <c r="F21" s="764"/>
      <c r="G21" s="764"/>
      <c r="H21" s="765"/>
      <c r="I21" s="793" t="s">
        <v>41</v>
      </c>
      <c r="J21" s="726"/>
      <c r="K21" s="726"/>
      <c r="L21" s="726"/>
      <c r="M21" s="726"/>
      <c r="N21" s="726"/>
      <c r="O21" s="726"/>
      <c r="P21" s="726"/>
      <c r="Q21" s="726"/>
      <c r="R21" s="726"/>
      <c r="S21" s="727"/>
      <c r="T21" s="36" t="s">
        <v>579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24"/>
      <c r="AK21" s="748" t="s">
        <v>89</v>
      </c>
      <c r="AL21" s="721"/>
      <c r="AM21" s="721"/>
      <c r="AN21" s="721"/>
      <c r="AO21" s="721"/>
      <c r="AP21" s="721"/>
      <c r="AQ21" s="721"/>
      <c r="AR21" s="721"/>
      <c r="AS21" s="721"/>
      <c r="AT21" s="722"/>
      <c r="AU21" s="921" t="s">
        <v>580</v>
      </c>
      <c r="AV21" s="921"/>
      <c r="AW21" s="921"/>
      <c r="AX21" s="921"/>
      <c r="AY21" s="921"/>
      <c r="AZ21" s="921"/>
      <c r="BA21" s="921"/>
      <c r="BB21" s="921"/>
      <c r="BC21" s="921"/>
      <c r="BD21" s="921"/>
      <c r="BE21" s="921"/>
      <c r="BF21" s="921"/>
      <c r="BG21" s="921"/>
      <c r="BH21" s="921"/>
      <c r="BI21" s="922"/>
      <c r="BJ21" s="4"/>
    </row>
    <row r="22" spans="1:63" ht="16.5" customHeight="1">
      <c r="A22" s="2"/>
      <c r="B22" s="766"/>
      <c r="C22" s="767"/>
      <c r="D22" s="767"/>
      <c r="E22" s="767"/>
      <c r="F22" s="767"/>
      <c r="G22" s="767"/>
      <c r="H22" s="768"/>
      <c r="I22" s="689" t="s">
        <v>102</v>
      </c>
      <c r="J22" s="690"/>
      <c r="K22" s="690"/>
      <c r="L22" s="690"/>
      <c r="M22" s="690"/>
      <c r="N22" s="690"/>
      <c r="O22" s="690"/>
      <c r="P22" s="690"/>
      <c r="Q22" s="690"/>
      <c r="R22" s="690"/>
      <c r="S22" s="691"/>
      <c r="T22" s="341" t="s">
        <v>577</v>
      </c>
      <c r="U22" s="341"/>
      <c r="V22" s="341"/>
      <c r="W22" s="341"/>
      <c r="X22" s="341"/>
      <c r="Y22" s="341"/>
      <c r="Z22" s="341"/>
      <c r="AA22" s="341"/>
      <c r="AB22" s="341"/>
      <c r="AC22" s="341"/>
      <c r="AD22" s="341"/>
      <c r="AE22" s="341"/>
      <c r="AF22" s="341"/>
      <c r="AG22" s="341"/>
      <c r="AH22" s="341"/>
      <c r="AI22" s="341"/>
      <c r="AJ22" s="25"/>
      <c r="AK22" s="692"/>
      <c r="AL22" s="690"/>
      <c r="AM22" s="690"/>
      <c r="AN22" s="690"/>
      <c r="AO22" s="690"/>
      <c r="AP22" s="690"/>
      <c r="AQ22" s="690"/>
      <c r="AR22" s="690"/>
      <c r="AS22" s="690"/>
      <c r="AT22" s="691"/>
      <c r="AU22" s="692"/>
      <c r="AV22" s="690"/>
      <c r="AW22" s="690"/>
      <c r="AX22" s="690"/>
      <c r="AY22" s="690"/>
      <c r="AZ22" s="690"/>
      <c r="BA22" s="690"/>
      <c r="BB22" s="690"/>
      <c r="BC22" s="690"/>
      <c r="BD22" s="690"/>
      <c r="BE22" s="690"/>
      <c r="BF22" s="690"/>
      <c r="BG22" s="690"/>
      <c r="BH22" s="690"/>
      <c r="BI22" s="695"/>
      <c r="BJ22" s="4"/>
    </row>
    <row r="23" spans="1:63" ht="3.75" customHeight="1">
      <c r="A23" s="2"/>
      <c r="B23" s="337"/>
      <c r="C23" s="337"/>
      <c r="D23" s="337"/>
      <c r="E23" s="337"/>
      <c r="F23" s="337"/>
      <c r="G23" s="337"/>
      <c r="H23" s="337"/>
      <c r="I23" s="336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36"/>
      <c r="AJ23" s="336"/>
      <c r="AK23" s="336"/>
      <c r="AL23" s="336"/>
      <c r="AM23" s="336"/>
      <c r="AN23" s="336"/>
      <c r="AO23" s="336"/>
      <c r="AP23" s="336"/>
      <c r="AQ23" s="336"/>
      <c r="AR23" s="336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4"/>
    </row>
    <row r="24" spans="1:63" ht="16.5" hidden="1" customHeight="1">
      <c r="A24" s="2"/>
      <c r="B24" s="337"/>
      <c r="C24" s="337"/>
      <c r="D24" s="337"/>
      <c r="E24" s="337"/>
      <c r="F24" s="337"/>
      <c r="G24" s="337"/>
      <c r="H24" s="337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36"/>
      <c r="AJ24" s="336"/>
      <c r="AK24" s="663" t="s">
        <v>90</v>
      </c>
      <c r="AL24" s="663"/>
      <c r="AM24" s="663"/>
      <c r="AN24" s="663"/>
      <c r="AO24" s="663"/>
      <c r="AP24" s="663" t="s">
        <v>91</v>
      </c>
      <c r="AQ24" s="663"/>
      <c r="AR24" s="663"/>
      <c r="AS24" s="663"/>
      <c r="AT24" s="663"/>
      <c r="AU24" s="663" t="s">
        <v>92</v>
      </c>
      <c r="AV24" s="663"/>
      <c r="AW24" s="663"/>
      <c r="AX24" s="663"/>
      <c r="AY24" s="663"/>
      <c r="AZ24" s="663" t="s">
        <v>94</v>
      </c>
      <c r="BA24" s="663"/>
      <c r="BB24" s="663"/>
      <c r="BC24" s="663"/>
      <c r="BD24" s="663"/>
      <c r="BE24" s="32"/>
      <c r="BF24" s="32"/>
      <c r="BG24" s="32"/>
      <c r="BH24" s="32"/>
      <c r="BI24" s="32"/>
      <c r="BJ24" s="4"/>
    </row>
    <row r="25" spans="1:63" hidden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873"/>
      <c r="AL25" s="873"/>
      <c r="AM25" s="873"/>
      <c r="AN25" s="873"/>
      <c r="AO25" s="873"/>
      <c r="AP25" s="873"/>
      <c r="AQ25" s="873"/>
      <c r="AR25" s="873"/>
      <c r="AS25" s="873"/>
      <c r="AT25" s="873"/>
      <c r="AU25" s="873"/>
      <c r="AV25" s="873"/>
      <c r="AW25" s="873"/>
      <c r="AX25" s="873"/>
      <c r="AY25" s="873"/>
      <c r="AZ25" s="873"/>
      <c r="BA25" s="873"/>
      <c r="BB25" s="873"/>
      <c r="BC25" s="873"/>
      <c r="BD25" s="873"/>
      <c r="BE25" s="3"/>
      <c r="BF25" s="3"/>
      <c r="BG25" s="3"/>
      <c r="BH25" s="3"/>
      <c r="BI25" s="3"/>
      <c r="BJ25" s="4"/>
    </row>
    <row r="26" spans="1:63" ht="16.5" hidden="1" customHeight="1">
      <c r="A26" s="2"/>
      <c r="B26" s="12" t="s">
        <v>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873"/>
      <c r="AL26" s="873"/>
      <c r="AM26" s="873"/>
      <c r="AN26" s="873"/>
      <c r="AO26" s="873"/>
      <c r="AP26" s="873"/>
      <c r="AQ26" s="873"/>
      <c r="AR26" s="873"/>
      <c r="AS26" s="873"/>
      <c r="AT26" s="873"/>
      <c r="AU26" s="873"/>
      <c r="AV26" s="873"/>
      <c r="AW26" s="873"/>
      <c r="AX26" s="873"/>
      <c r="AY26" s="873"/>
      <c r="AZ26" s="873"/>
      <c r="BA26" s="873"/>
      <c r="BB26" s="873"/>
      <c r="BC26" s="873"/>
      <c r="BD26" s="873"/>
      <c r="BE26" s="3"/>
      <c r="BF26" s="3"/>
      <c r="BG26" s="3"/>
      <c r="BH26" s="3"/>
      <c r="BI26" s="3"/>
      <c r="BJ26" s="4"/>
    </row>
    <row r="27" spans="1:63" ht="18.75" hidden="1" customHeight="1">
      <c r="A27" s="2"/>
      <c r="B27" s="772" t="s">
        <v>38</v>
      </c>
      <c r="C27" s="773"/>
      <c r="D27" s="773"/>
      <c r="E27" s="773"/>
      <c r="F27" s="773"/>
      <c r="G27" s="773"/>
      <c r="H27" s="773"/>
      <c r="I27" s="773"/>
      <c r="J27" s="773"/>
      <c r="K27" s="773"/>
      <c r="L27" s="773"/>
      <c r="M27" s="774"/>
      <c r="N27" s="660"/>
      <c r="O27" s="661"/>
      <c r="P27" s="661"/>
      <c r="Q27" s="661"/>
      <c r="R27" s="661"/>
      <c r="S27" s="661"/>
      <c r="T27" s="661"/>
      <c r="U27" s="676"/>
      <c r="V27" s="3"/>
      <c r="W27" s="3"/>
      <c r="X27" s="3"/>
      <c r="Y27" s="3"/>
      <c r="Z27" s="664" t="s">
        <v>80</v>
      </c>
      <c r="AA27" s="661"/>
      <c r="AB27" s="661"/>
      <c r="AC27" s="661"/>
      <c r="AD27" s="661"/>
      <c r="AE27" s="661"/>
      <c r="AF27" s="661"/>
      <c r="AG27" s="661"/>
      <c r="AH27" s="661"/>
      <c r="AI27" s="661"/>
      <c r="AJ27" s="661"/>
      <c r="AK27" s="661"/>
      <c r="AL27" s="661"/>
      <c r="AM27" s="661"/>
      <c r="AN27" s="661"/>
      <c r="AO27" s="661"/>
      <c r="AP27" s="661"/>
      <c r="AQ27" s="665"/>
      <c r="AR27" s="674" t="s">
        <v>36</v>
      </c>
      <c r="AS27" s="674"/>
      <c r="AT27" s="674"/>
      <c r="AU27" s="674"/>
      <c r="AV27" s="675" t="s">
        <v>79</v>
      </c>
      <c r="AW27" s="675"/>
      <c r="AX27" s="675"/>
      <c r="AY27" s="675"/>
      <c r="AZ27" s="828"/>
      <c r="BA27" s="828"/>
      <c r="BB27" s="828"/>
      <c r="BC27" s="828"/>
      <c r="BD27" s="828"/>
      <c r="BE27" s="828"/>
      <c r="BF27" s="828"/>
      <c r="BG27" s="828"/>
      <c r="BH27" s="828"/>
      <c r="BI27" s="829"/>
      <c r="BJ27" s="4"/>
    </row>
    <row r="28" spans="1:63" s="23" customFormat="1" ht="16.5" hidden="1" customHeight="1">
      <c r="A28" s="21"/>
      <c r="B28" s="923" t="s">
        <v>59</v>
      </c>
      <c r="C28" s="924"/>
      <c r="D28" s="924"/>
      <c r="E28" s="925"/>
      <c r="F28" s="877" t="s">
        <v>150</v>
      </c>
      <c r="G28" s="878"/>
      <c r="H28" s="878"/>
      <c r="I28" s="878"/>
      <c r="J28" s="878"/>
      <c r="K28" s="878"/>
      <c r="L28" s="878"/>
      <c r="M28" s="878"/>
      <c r="N28" s="878"/>
      <c r="O28" s="878"/>
      <c r="P28" s="878"/>
      <c r="Q28" s="878"/>
      <c r="R28" s="878"/>
      <c r="S28" s="878"/>
      <c r="T28" s="878"/>
      <c r="U28" s="878"/>
      <c r="V28" s="878"/>
      <c r="W28" s="878"/>
      <c r="X28" s="878"/>
      <c r="Y28" s="878"/>
      <c r="Z28" s="878"/>
      <c r="AA28" s="878"/>
      <c r="AB28" s="878"/>
      <c r="AC28" s="878"/>
      <c r="AD28" s="878"/>
      <c r="AE28" s="878"/>
      <c r="AF28" s="878"/>
      <c r="AG28" s="878"/>
      <c r="AH28" s="878"/>
      <c r="AI28" s="878"/>
      <c r="AJ28" s="878"/>
      <c r="AK28" s="879"/>
      <c r="AL28" s="932" t="s">
        <v>118</v>
      </c>
      <c r="AM28" s="933"/>
      <c r="AN28" s="933"/>
      <c r="AO28" s="934"/>
      <c r="AP28" s="877" t="s">
        <v>142</v>
      </c>
      <c r="AQ28" s="878"/>
      <c r="AR28" s="878"/>
      <c r="AS28" s="878"/>
      <c r="AT28" s="878"/>
      <c r="AU28" s="878"/>
      <c r="AV28" s="878"/>
      <c r="AW28" s="879"/>
      <c r="AX28" s="877" t="s">
        <v>119</v>
      </c>
      <c r="AY28" s="878"/>
      <c r="AZ28" s="878"/>
      <c r="BA28" s="878"/>
      <c r="BB28" s="878"/>
      <c r="BC28" s="878"/>
      <c r="BD28" s="878"/>
      <c r="BE28" s="879"/>
      <c r="BF28" s="941" t="s">
        <v>141</v>
      </c>
      <c r="BG28" s="942"/>
      <c r="BH28" s="942"/>
      <c r="BI28" s="943"/>
      <c r="BJ28" s="22"/>
    </row>
    <row r="29" spans="1:63" s="23" customFormat="1" ht="16.5" hidden="1" customHeight="1">
      <c r="A29" s="21"/>
      <c r="B29" s="926"/>
      <c r="C29" s="927"/>
      <c r="D29" s="927"/>
      <c r="E29" s="928"/>
      <c r="F29" s="947" t="s">
        <v>103</v>
      </c>
      <c r="G29" s="948"/>
      <c r="H29" s="948"/>
      <c r="I29" s="948"/>
      <c r="J29" s="893" t="s">
        <v>104</v>
      </c>
      <c r="K29" s="893"/>
      <c r="L29" s="893"/>
      <c r="M29" s="893"/>
      <c r="N29" s="893"/>
      <c r="O29" s="893"/>
      <c r="P29" s="893"/>
      <c r="Q29" s="893"/>
      <c r="R29" s="893"/>
      <c r="S29" s="893"/>
      <c r="T29" s="893"/>
      <c r="U29" s="893"/>
      <c r="V29" s="893" t="s">
        <v>105</v>
      </c>
      <c r="W29" s="893"/>
      <c r="X29" s="893"/>
      <c r="Y29" s="893"/>
      <c r="Z29" s="893"/>
      <c r="AA29" s="893"/>
      <c r="AB29" s="893"/>
      <c r="AC29" s="893"/>
      <c r="AD29" s="893"/>
      <c r="AE29" s="893"/>
      <c r="AF29" s="893"/>
      <c r="AG29" s="893"/>
      <c r="AH29" s="893" t="s">
        <v>117</v>
      </c>
      <c r="AI29" s="893"/>
      <c r="AJ29" s="893"/>
      <c r="AK29" s="894"/>
      <c r="AL29" s="935"/>
      <c r="AM29" s="936"/>
      <c r="AN29" s="936"/>
      <c r="AO29" s="937"/>
      <c r="AP29" s="892"/>
      <c r="AQ29" s="893"/>
      <c r="AR29" s="893"/>
      <c r="AS29" s="893"/>
      <c r="AT29" s="893"/>
      <c r="AU29" s="893"/>
      <c r="AV29" s="893"/>
      <c r="AW29" s="894"/>
      <c r="AX29" s="892"/>
      <c r="AY29" s="893"/>
      <c r="AZ29" s="893"/>
      <c r="BA29" s="893"/>
      <c r="BB29" s="893"/>
      <c r="BC29" s="893"/>
      <c r="BD29" s="893"/>
      <c r="BE29" s="894"/>
      <c r="BF29" s="944"/>
      <c r="BG29" s="945"/>
      <c r="BH29" s="945"/>
      <c r="BI29" s="946"/>
      <c r="BJ29" s="22"/>
    </row>
    <row r="30" spans="1:63" s="23" customFormat="1" ht="37.5" hidden="1" customHeight="1">
      <c r="A30" s="21"/>
      <c r="B30" s="926"/>
      <c r="C30" s="927"/>
      <c r="D30" s="927"/>
      <c r="E30" s="928"/>
      <c r="F30" s="947"/>
      <c r="G30" s="948"/>
      <c r="H30" s="948"/>
      <c r="I30" s="948"/>
      <c r="J30" s="893" t="s">
        <v>115</v>
      </c>
      <c r="K30" s="893"/>
      <c r="L30" s="893"/>
      <c r="M30" s="893"/>
      <c r="N30" s="893" t="s">
        <v>83</v>
      </c>
      <c r="O30" s="893"/>
      <c r="P30" s="893"/>
      <c r="Q30" s="893"/>
      <c r="R30" s="955" t="s">
        <v>116</v>
      </c>
      <c r="S30" s="884"/>
      <c r="T30" s="884"/>
      <c r="U30" s="956"/>
      <c r="V30" s="893" t="s">
        <v>115</v>
      </c>
      <c r="W30" s="893"/>
      <c r="X30" s="893"/>
      <c r="Y30" s="893"/>
      <c r="Z30" s="893" t="s">
        <v>83</v>
      </c>
      <c r="AA30" s="893"/>
      <c r="AB30" s="893"/>
      <c r="AC30" s="893"/>
      <c r="AD30" s="955" t="s">
        <v>116</v>
      </c>
      <c r="AE30" s="884"/>
      <c r="AF30" s="884"/>
      <c r="AG30" s="956"/>
      <c r="AH30" s="893"/>
      <c r="AI30" s="893"/>
      <c r="AJ30" s="893"/>
      <c r="AK30" s="894"/>
      <c r="AL30" s="938"/>
      <c r="AM30" s="939"/>
      <c r="AN30" s="939"/>
      <c r="AO30" s="940"/>
      <c r="AP30" s="892" t="s">
        <v>120</v>
      </c>
      <c r="AQ30" s="893"/>
      <c r="AR30" s="893"/>
      <c r="AS30" s="893"/>
      <c r="AT30" s="893" t="s">
        <v>121</v>
      </c>
      <c r="AU30" s="893"/>
      <c r="AV30" s="893"/>
      <c r="AW30" s="894"/>
      <c r="AX30" s="951" t="s">
        <v>132</v>
      </c>
      <c r="AY30" s="952"/>
      <c r="AZ30" s="952"/>
      <c r="BA30" s="952"/>
      <c r="BB30" s="952" t="s">
        <v>88</v>
      </c>
      <c r="BC30" s="952"/>
      <c r="BD30" s="952"/>
      <c r="BE30" s="953"/>
      <c r="BF30" s="944"/>
      <c r="BG30" s="945"/>
      <c r="BH30" s="945"/>
      <c r="BI30" s="946"/>
      <c r="BJ30" s="22"/>
    </row>
    <row r="31" spans="1:63" s="35" customFormat="1" ht="16.5" hidden="1" customHeight="1">
      <c r="A31" s="33"/>
      <c r="B31" s="926"/>
      <c r="C31" s="927"/>
      <c r="D31" s="927"/>
      <c r="E31" s="928"/>
      <c r="F31" s="947"/>
      <c r="G31" s="948"/>
      <c r="H31" s="948"/>
      <c r="I31" s="948"/>
      <c r="J31" s="954" t="s">
        <v>123</v>
      </c>
      <c r="K31" s="954"/>
      <c r="L31" s="954"/>
      <c r="M31" s="954"/>
      <c r="N31" s="954" t="s">
        <v>124</v>
      </c>
      <c r="O31" s="954"/>
      <c r="P31" s="954"/>
      <c r="Q31" s="954"/>
      <c r="R31" s="954" t="s">
        <v>125</v>
      </c>
      <c r="S31" s="954"/>
      <c r="T31" s="954"/>
      <c r="U31" s="954"/>
      <c r="V31" s="954" t="s">
        <v>126</v>
      </c>
      <c r="W31" s="954"/>
      <c r="X31" s="954"/>
      <c r="Y31" s="954"/>
      <c r="Z31" s="954" t="s">
        <v>127</v>
      </c>
      <c r="AA31" s="954"/>
      <c r="AB31" s="954"/>
      <c r="AC31" s="954"/>
      <c r="AD31" s="954" t="s">
        <v>128</v>
      </c>
      <c r="AE31" s="954"/>
      <c r="AF31" s="954"/>
      <c r="AG31" s="954"/>
      <c r="AH31" s="954" t="s">
        <v>23</v>
      </c>
      <c r="AI31" s="954"/>
      <c r="AJ31" s="954"/>
      <c r="AK31" s="975"/>
      <c r="AL31" s="972" t="s">
        <v>129</v>
      </c>
      <c r="AM31" s="973"/>
      <c r="AN31" s="973"/>
      <c r="AO31" s="974"/>
      <c r="AP31" s="972" t="s">
        <v>24</v>
      </c>
      <c r="AQ31" s="973"/>
      <c r="AR31" s="973"/>
      <c r="AS31" s="976"/>
      <c r="AT31" s="954" t="s">
        <v>25</v>
      </c>
      <c r="AU31" s="954"/>
      <c r="AV31" s="954"/>
      <c r="AW31" s="975"/>
      <c r="AX31" s="977" t="s">
        <v>130</v>
      </c>
      <c r="AY31" s="954"/>
      <c r="AZ31" s="954"/>
      <c r="BA31" s="954"/>
      <c r="BB31" s="954" t="s">
        <v>13</v>
      </c>
      <c r="BC31" s="954"/>
      <c r="BD31" s="954"/>
      <c r="BE31" s="975"/>
      <c r="BF31" s="972" t="s">
        <v>131</v>
      </c>
      <c r="BG31" s="973"/>
      <c r="BH31" s="973"/>
      <c r="BI31" s="974"/>
      <c r="BJ31" s="34"/>
    </row>
    <row r="32" spans="1:63" s="20" customFormat="1" ht="16.5" hidden="1" customHeight="1">
      <c r="A32" s="29"/>
      <c r="B32" s="929"/>
      <c r="C32" s="930"/>
      <c r="D32" s="930"/>
      <c r="E32" s="931"/>
      <c r="F32" s="949"/>
      <c r="G32" s="950"/>
      <c r="H32" s="950"/>
      <c r="I32" s="950"/>
      <c r="J32" s="950" t="s">
        <v>0</v>
      </c>
      <c r="K32" s="950"/>
      <c r="L32" s="950"/>
      <c r="M32" s="950"/>
      <c r="N32" s="950" t="s">
        <v>4</v>
      </c>
      <c r="O32" s="950"/>
      <c r="P32" s="950"/>
      <c r="Q32" s="950"/>
      <c r="R32" s="950" t="s">
        <v>0</v>
      </c>
      <c r="S32" s="950"/>
      <c r="T32" s="950"/>
      <c r="U32" s="950"/>
      <c r="V32" s="950" t="s">
        <v>0</v>
      </c>
      <c r="W32" s="950"/>
      <c r="X32" s="950"/>
      <c r="Y32" s="950"/>
      <c r="Z32" s="950" t="s">
        <v>4</v>
      </c>
      <c r="AA32" s="950"/>
      <c r="AB32" s="950"/>
      <c r="AC32" s="950"/>
      <c r="AD32" s="950" t="s">
        <v>0</v>
      </c>
      <c r="AE32" s="950"/>
      <c r="AF32" s="950"/>
      <c r="AG32" s="950"/>
      <c r="AH32" s="950" t="s">
        <v>26</v>
      </c>
      <c r="AI32" s="950"/>
      <c r="AJ32" s="950"/>
      <c r="AK32" s="957"/>
      <c r="AL32" s="958" t="s">
        <v>26</v>
      </c>
      <c r="AM32" s="861"/>
      <c r="AN32" s="861"/>
      <c r="AO32" s="959"/>
      <c r="AP32" s="949" t="s">
        <v>27</v>
      </c>
      <c r="AQ32" s="950"/>
      <c r="AR32" s="950"/>
      <c r="AS32" s="950"/>
      <c r="AT32" s="950" t="s">
        <v>27</v>
      </c>
      <c r="AU32" s="950"/>
      <c r="AV32" s="950"/>
      <c r="AW32" s="957"/>
      <c r="AX32" s="949" t="s">
        <v>28</v>
      </c>
      <c r="AY32" s="950"/>
      <c r="AZ32" s="950"/>
      <c r="BA32" s="950"/>
      <c r="BB32" s="950" t="s">
        <v>28</v>
      </c>
      <c r="BC32" s="950"/>
      <c r="BD32" s="950"/>
      <c r="BE32" s="957"/>
      <c r="BF32" s="958" t="s">
        <v>79</v>
      </c>
      <c r="BG32" s="861"/>
      <c r="BH32" s="861"/>
      <c r="BI32" s="959"/>
      <c r="BJ32" s="30"/>
    </row>
    <row r="33" spans="1:62" ht="18.75" hidden="1" customHeight="1">
      <c r="A33" s="2"/>
      <c r="B33" s="960"/>
      <c r="C33" s="723"/>
      <c r="D33" s="723"/>
      <c r="E33" s="843"/>
      <c r="F33" s="961"/>
      <c r="G33" s="875"/>
      <c r="H33" s="875"/>
      <c r="I33" s="875"/>
      <c r="J33" s="875"/>
      <c r="K33" s="875"/>
      <c r="L33" s="875"/>
      <c r="M33" s="875"/>
      <c r="N33" s="875"/>
      <c r="O33" s="875"/>
      <c r="P33" s="875"/>
      <c r="Q33" s="875"/>
      <c r="R33" s="875"/>
      <c r="S33" s="875"/>
      <c r="T33" s="875"/>
      <c r="U33" s="875"/>
      <c r="V33" s="875"/>
      <c r="W33" s="875"/>
      <c r="X33" s="875"/>
      <c r="Y33" s="875"/>
      <c r="Z33" s="875"/>
      <c r="AA33" s="875"/>
      <c r="AB33" s="875"/>
      <c r="AC33" s="875"/>
      <c r="AD33" s="875"/>
      <c r="AE33" s="875"/>
      <c r="AF33" s="875"/>
      <c r="AG33" s="875"/>
      <c r="AH33" s="875"/>
      <c r="AI33" s="875"/>
      <c r="AJ33" s="875"/>
      <c r="AK33" s="876"/>
      <c r="AL33" s="967"/>
      <c r="AM33" s="967"/>
      <c r="AN33" s="967"/>
      <c r="AO33" s="967"/>
      <c r="AP33" s="961"/>
      <c r="AQ33" s="875"/>
      <c r="AR33" s="875"/>
      <c r="AS33" s="875"/>
      <c r="AT33" s="875"/>
      <c r="AU33" s="875"/>
      <c r="AV33" s="875"/>
      <c r="AW33" s="876"/>
      <c r="AX33" s="961"/>
      <c r="AY33" s="875"/>
      <c r="AZ33" s="875"/>
      <c r="BA33" s="875"/>
      <c r="BB33" s="875"/>
      <c r="BC33" s="875"/>
      <c r="BD33" s="875"/>
      <c r="BE33" s="876"/>
      <c r="BF33" s="960"/>
      <c r="BG33" s="723"/>
      <c r="BH33" s="723"/>
      <c r="BI33" s="843"/>
      <c r="BJ33" s="4"/>
    </row>
    <row r="34" spans="1:62" ht="18.75" hidden="1" customHeight="1">
      <c r="A34" s="2"/>
      <c r="B34" s="964"/>
      <c r="C34" s="845"/>
      <c r="D34" s="845"/>
      <c r="E34" s="859"/>
      <c r="F34" s="966"/>
      <c r="G34" s="962"/>
      <c r="H34" s="962"/>
      <c r="I34" s="962"/>
      <c r="J34" s="962"/>
      <c r="K34" s="962"/>
      <c r="L34" s="962"/>
      <c r="M34" s="962"/>
      <c r="N34" s="962"/>
      <c r="O34" s="962"/>
      <c r="P34" s="962"/>
      <c r="Q34" s="962"/>
      <c r="R34" s="962"/>
      <c r="S34" s="962"/>
      <c r="T34" s="962"/>
      <c r="U34" s="962"/>
      <c r="V34" s="962"/>
      <c r="W34" s="962"/>
      <c r="X34" s="962"/>
      <c r="Y34" s="962"/>
      <c r="Z34" s="962"/>
      <c r="AA34" s="962"/>
      <c r="AB34" s="962"/>
      <c r="AC34" s="962"/>
      <c r="AD34" s="962"/>
      <c r="AE34" s="962"/>
      <c r="AF34" s="962"/>
      <c r="AG34" s="962"/>
      <c r="AH34" s="962"/>
      <c r="AI34" s="962"/>
      <c r="AJ34" s="962"/>
      <c r="AK34" s="963"/>
      <c r="AL34" s="965"/>
      <c r="AM34" s="965"/>
      <c r="AN34" s="965"/>
      <c r="AO34" s="965"/>
      <c r="AP34" s="966"/>
      <c r="AQ34" s="962"/>
      <c r="AR34" s="962"/>
      <c r="AS34" s="962"/>
      <c r="AT34" s="962"/>
      <c r="AU34" s="962"/>
      <c r="AV34" s="962"/>
      <c r="AW34" s="963"/>
      <c r="AX34" s="966"/>
      <c r="AY34" s="962"/>
      <c r="AZ34" s="962"/>
      <c r="BA34" s="962"/>
      <c r="BB34" s="962"/>
      <c r="BC34" s="962"/>
      <c r="BD34" s="962"/>
      <c r="BE34" s="963"/>
      <c r="BF34" s="964"/>
      <c r="BG34" s="845"/>
      <c r="BH34" s="845"/>
      <c r="BI34" s="859"/>
      <c r="BJ34" s="4"/>
    </row>
    <row r="35" spans="1:62" ht="18.75" hidden="1" customHeight="1">
      <c r="A35" s="2"/>
      <c r="B35" s="968"/>
      <c r="C35" s="731"/>
      <c r="D35" s="731"/>
      <c r="E35" s="863"/>
      <c r="F35" s="969"/>
      <c r="G35" s="970"/>
      <c r="H35" s="970"/>
      <c r="I35" s="970"/>
      <c r="J35" s="970"/>
      <c r="K35" s="970"/>
      <c r="L35" s="970"/>
      <c r="M35" s="970"/>
      <c r="N35" s="970"/>
      <c r="O35" s="970"/>
      <c r="P35" s="970"/>
      <c r="Q35" s="970"/>
      <c r="R35" s="970"/>
      <c r="S35" s="970"/>
      <c r="T35" s="970"/>
      <c r="U35" s="970"/>
      <c r="V35" s="971"/>
      <c r="W35" s="971"/>
      <c r="X35" s="971"/>
      <c r="Y35" s="971"/>
      <c r="Z35" s="970"/>
      <c r="AA35" s="970"/>
      <c r="AB35" s="970"/>
      <c r="AC35" s="970"/>
      <c r="AD35" s="970"/>
      <c r="AE35" s="970"/>
      <c r="AF35" s="970"/>
      <c r="AG35" s="970"/>
      <c r="AH35" s="970"/>
      <c r="AI35" s="970"/>
      <c r="AJ35" s="970"/>
      <c r="AK35" s="978"/>
      <c r="AL35" s="994"/>
      <c r="AM35" s="994"/>
      <c r="AN35" s="994"/>
      <c r="AO35" s="994"/>
      <c r="AP35" s="969"/>
      <c r="AQ35" s="970"/>
      <c r="AR35" s="970"/>
      <c r="AS35" s="970"/>
      <c r="AT35" s="970"/>
      <c r="AU35" s="970"/>
      <c r="AV35" s="970"/>
      <c r="AW35" s="978"/>
      <c r="AX35" s="969"/>
      <c r="AY35" s="970"/>
      <c r="AZ35" s="970"/>
      <c r="BA35" s="970"/>
      <c r="BB35" s="970"/>
      <c r="BC35" s="970"/>
      <c r="BD35" s="970"/>
      <c r="BE35" s="978"/>
      <c r="BF35" s="968"/>
      <c r="BG35" s="731"/>
      <c r="BH35" s="731"/>
      <c r="BI35" s="863"/>
      <c r="BJ35" s="4"/>
    </row>
    <row r="36" spans="1:62" ht="18.75" hidden="1" customHeight="1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991"/>
      <c r="Q36" s="991"/>
      <c r="R36" s="991"/>
      <c r="S36" s="991"/>
      <c r="T36" s="991"/>
      <c r="U36" s="991"/>
      <c r="V36" s="3"/>
      <c r="W36" s="3"/>
      <c r="X36" s="3"/>
      <c r="Y36" s="3"/>
      <c r="Z36" s="992"/>
      <c r="AA36" s="992"/>
      <c r="AB36" s="992"/>
      <c r="AC36" s="992"/>
      <c r="AD36" s="992"/>
      <c r="AE36" s="99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664" t="s">
        <v>54</v>
      </c>
      <c r="AQ36" s="661"/>
      <c r="AR36" s="661"/>
      <c r="AS36" s="661"/>
      <c r="AT36" s="661"/>
      <c r="AU36" s="661"/>
      <c r="AV36" s="661"/>
      <c r="AW36" s="676"/>
      <c r="AX36" s="993"/>
      <c r="AY36" s="828"/>
      <c r="AZ36" s="828"/>
      <c r="BA36" s="828"/>
      <c r="BB36" s="828"/>
      <c r="BC36" s="828"/>
      <c r="BD36" s="828"/>
      <c r="BE36" s="829"/>
      <c r="BF36" s="1000"/>
      <c r="BG36" s="775"/>
      <c r="BH36" s="775"/>
      <c r="BI36" s="1001"/>
      <c r="BJ36" s="4"/>
    </row>
    <row r="37" spans="1:62" ht="16.5" hidden="1" customHeight="1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873" t="s">
        <v>133</v>
      </c>
      <c r="Q37" s="873"/>
      <c r="R37" s="873"/>
      <c r="S37" s="873"/>
      <c r="T37" s="873"/>
      <c r="U37" s="873"/>
      <c r="V37" s="873"/>
      <c r="W37" s="873"/>
      <c r="X37" s="873"/>
      <c r="Y37" s="873"/>
      <c r="Z37" s="873"/>
      <c r="AA37" s="873"/>
      <c r="AB37" s="873"/>
      <c r="AC37" s="873"/>
      <c r="AD37" s="873"/>
      <c r="AE37" s="87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4"/>
    </row>
    <row r="38" spans="1:62" ht="30" hidden="1" customHeight="1">
      <c r="A38" s="2"/>
      <c r="B38" s="3"/>
      <c r="C38" s="3"/>
      <c r="D38" s="3"/>
      <c r="E38" s="3"/>
      <c r="P38" s="793" t="s">
        <v>103</v>
      </c>
      <c r="Q38" s="726"/>
      <c r="R38" s="776"/>
      <c r="S38" s="716" t="s">
        <v>45</v>
      </c>
      <c r="T38" s="716"/>
      <c r="U38" s="716"/>
      <c r="V38" s="716"/>
      <c r="W38" s="716"/>
      <c r="X38" s="716"/>
      <c r="Y38" s="716"/>
      <c r="Z38" s="757" t="s">
        <v>122</v>
      </c>
      <c r="AA38" s="758"/>
      <c r="AB38" s="758"/>
      <c r="AC38" s="758"/>
      <c r="AD38" s="758"/>
      <c r="AE38" s="759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4"/>
    </row>
    <row r="39" spans="1:62" ht="16.5" hidden="1" customHeight="1">
      <c r="A39" s="2"/>
      <c r="B39" s="3"/>
      <c r="C39" s="3"/>
      <c r="D39" s="3"/>
      <c r="E39" s="3"/>
      <c r="P39" s="780"/>
      <c r="Q39" s="670"/>
      <c r="R39" s="781"/>
      <c r="S39" s="711" t="s">
        <v>0</v>
      </c>
      <c r="T39" s="711"/>
      <c r="U39" s="711"/>
      <c r="V39" s="711"/>
      <c r="W39" s="711"/>
      <c r="X39" s="711"/>
      <c r="Y39" s="711"/>
      <c r="Z39" s="689" t="s">
        <v>0</v>
      </c>
      <c r="AA39" s="690"/>
      <c r="AB39" s="690"/>
      <c r="AC39" s="690"/>
      <c r="AD39" s="690"/>
      <c r="AE39" s="695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4"/>
    </row>
    <row r="40" spans="1:62" ht="18.75" hidden="1" customHeight="1">
      <c r="A40" s="2"/>
      <c r="B40" s="3"/>
      <c r="C40" s="3"/>
      <c r="D40" s="3"/>
      <c r="E40" s="3"/>
      <c r="P40" s="709"/>
      <c r="Q40" s="709"/>
      <c r="R40" s="709"/>
      <c r="S40" s="720"/>
      <c r="T40" s="721"/>
      <c r="U40" s="721"/>
      <c r="V40" s="721"/>
      <c r="W40" s="721"/>
      <c r="X40" s="721"/>
      <c r="Y40" s="1002"/>
      <c r="Z40" s="720"/>
      <c r="AA40" s="721"/>
      <c r="AB40" s="721"/>
      <c r="AC40" s="721"/>
      <c r="AD40" s="721"/>
      <c r="AE40" s="1002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4"/>
    </row>
    <row r="41" spans="1:62" ht="18.75" hidden="1" customHeight="1">
      <c r="A41" s="2"/>
      <c r="B41" s="3"/>
      <c r="C41" s="3"/>
      <c r="D41" s="3"/>
      <c r="E41" s="3"/>
      <c r="P41" s="710"/>
      <c r="Q41" s="710"/>
      <c r="R41" s="710"/>
      <c r="S41" s="686"/>
      <c r="T41" s="687"/>
      <c r="U41" s="687"/>
      <c r="V41" s="687"/>
      <c r="W41" s="687"/>
      <c r="X41" s="687"/>
      <c r="Y41" s="792"/>
      <c r="Z41" s="686"/>
      <c r="AA41" s="687"/>
      <c r="AB41" s="687"/>
      <c r="AC41" s="687"/>
      <c r="AD41" s="687"/>
      <c r="AE41" s="792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4"/>
    </row>
    <row r="42" spans="1:62" ht="18.75" hidden="1" customHeight="1">
      <c r="A42" s="2"/>
      <c r="B42" s="3"/>
      <c r="C42" s="3"/>
      <c r="D42" s="3"/>
      <c r="E42" s="3"/>
      <c r="P42" s="711"/>
      <c r="Q42" s="711"/>
      <c r="R42" s="711"/>
      <c r="S42" s="689"/>
      <c r="T42" s="690"/>
      <c r="U42" s="690"/>
      <c r="V42" s="690"/>
      <c r="W42" s="690"/>
      <c r="X42" s="690"/>
      <c r="Y42" s="695"/>
      <c r="Z42" s="689"/>
      <c r="AA42" s="690"/>
      <c r="AB42" s="690"/>
      <c r="AC42" s="690"/>
      <c r="AD42" s="690"/>
      <c r="AE42" s="69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4"/>
    </row>
    <row r="43" spans="1:62" hidden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4"/>
    </row>
    <row r="44" spans="1:62" ht="16.5" hidden="1" customHeight="1">
      <c r="A44" s="2"/>
      <c r="B44" s="763" t="s">
        <v>49</v>
      </c>
      <c r="C44" s="764"/>
      <c r="D44" s="764"/>
      <c r="E44" s="764"/>
      <c r="F44" s="764"/>
      <c r="G44" s="764"/>
      <c r="H44" s="765"/>
      <c r="I44" s="793" t="s">
        <v>113</v>
      </c>
      <c r="J44" s="726"/>
      <c r="K44" s="726"/>
      <c r="L44" s="726"/>
      <c r="M44" s="726"/>
      <c r="N44" s="726"/>
      <c r="O44" s="726"/>
      <c r="P44" s="726"/>
      <c r="Q44" s="726"/>
      <c r="R44" s="726"/>
      <c r="S44" s="727"/>
      <c r="T44" s="36" t="s">
        <v>143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24"/>
      <c r="AI44" s="725" t="s">
        <v>112</v>
      </c>
      <c r="AJ44" s="726"/>
      <c r="AK44" s="726"/>
      <c r="AL44" s="726"/>
      <c r="AM44" s="726"/>
      <c r="AN44" s="726"/>
      <c r="AO44" s="726"/>
      <c r="AP44" s="726"/>
      <c r="AQ44" s="726"/>
      <c r="AR44" s="727"/>
      <c r="AS44" s="728" t="s">
        <v>144</v>
      </c>
      <c r="AT44" s="729"/>
      <c r="AU44" s="729"/>
      <c r="AV44" s="729"/>
      <c r="AW44" s="729"/>
      <c r="AX44" s="729"/>
      <c r="AY44" s="729"/>
      <c r="AZ44" s="729"/>
      <c r="BA44" s="729"/>
      <c r="BB44" s="729"/>
      <c r="BC44" s="729"/>
      <c r="BD44" s="729"/>
      <c r="BE44" s="729"/>
      <c r="BF44" s="729"/>
      <c r="BG44" s="729"/>
      <c r="BH44" s="729"/>
      <c r="BI44" s="730"/>
      <c r="BJ44" s="4"/>
    </row>
    <row r="45" spans="1:62" ht="16.5" hidden="1" customHeight="1">
      <c r="A45" s="2"/>
      <c r="B45" s="766"/>
      <c r="C45" s="767"/>
      <c r="D45" s="767"/>
      <c r="E45" s="767"/>
      <c r="F45" s="767"/>
      <c r="G45" s="767"/>
      <c r="H45" s="768"/>
      <c r="I45" s="689" t="s">
        <v>102</v>
      </c>
      <c r="J45" s="690"/>
      <c r="K45" s="690"/>
      <c r="L45" s="690"/>
      <c r="M45" s="690"/>
      <c r="N45" s="690"/>
      <c r="O45" s="690"/>
      <c r="P45" s="690"/>
      <c r="Q45" s="690"/>
      <c r="R45" s="690"/>
      <c r="S45" s="691"/>
      <c r="T45" s="341" t="s">
        <v>151</v>
      </c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25"/>
      <c r="AI45" s="692"/>
      <c r="AJ45" s="690"/>
      <c r="AK45" s="690"/>
      <c r="AL45" s="690"/>
      <c r="AM45" s="690"/>
      <c r="AN45" s="690"/>
      <c r="AO45" s="690"/>
      <c r="AP45" s="690"/>
      <c r="AQ45" s="690"/>
      <c r="AR45" s="691"/>
      <c r="AS45" s="754"/>
      <c r="AT45" s="755"/>
      <c r="AU45" s="755"/>
      <c r="AV45" s="755"/>
      <c r="AW45" s="755"/>
      <c r="AX45" s="755"/>
      <c r="AY45" s="755"/>
      <c r="AZ45" s="755"/>
      <c r="BA45" s="755"/>
      <c r="BB45" s="755"/>
      <c r="BC45" s="755"/>
      <c r="BD45" s="755"/>
      <c r="BE45" s="755"/>
      <c r="BF45" s="755"/>
      <c r="BG45" s="755"/>
      <c r="BH45" s="755"/>
      <c r="BI45" s="756"/>
      <c r="BJ45" s="4"/>
    </row>
    <row r="46" spans="1:62" ht="16.5" customHeight="1">
      <c r="A46" s="2"/>
      <c r="B46" s="337"/>
      <c r="C46" s="337"/>
      <c r="D46" s="337"/>
      <c r="E46" s="337"/>
      <c r="F46" s="337"/>
      <c r="G46" s="337"/>
      <c r="H46" s="337"/>
      <c r="I46" s="336"/>
      <c r="J46" s="336"/>
      <c r="K46" s="336"/>
      <c r="L46" s="336"/>
      <c r="M46" s="336"/>
      <c r="N46" s="336"/>
      <c r="O46" s="336"/>
      <c r="P46" s="336"/>
      <c r="Q46" s="336"/>
      <c r="R46" s="336"/>
      <c r="S46" s="336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36"/>
      <c r="AJ46" s="336"/>
      <c r="AK46" s="336"/>
      <c r="AL46" s="336"/>
      <c r="AM46" s="336"/>
      <c r="AN46" s="336"/>
      <c r="AO46" s="336"/>
      <c r="AP46" s="336"/>
      <c r="AQ46" s="336"/>
      <c r="AR46" s="336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4"/>
    </row>
    <row r="47" spans="1:62" ht="12" customHeight="1">
      <c r="A47" s="2"/>
      <c r="B47" s="337"/>
      <c r="C47" s="337"/>
      <c r="D47" s="337"/>
      <c r="E47" s="337"/>
      <c r="F47" s="337"/>
      <c r="G47" s="337"/>
      <c r="H47" s="337"/>
      <c r="I47" s="336"/>
      <c r="J47" s="336"/>
      <c r="K47" s="336"/>
      <c r="L47" s="336"/>
      <c r="M47" s="336"/>
      <c r="N47" s="336"/>
      <c r="O47" s="336"/>
      <c r="P47" s="336"/>
      <c r="Q47" s="336"/>
      <c r="R47" s="336"/>
      <c r="S47" s="336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36"/>
      <c r="AJ47" s="336"/>
      <c r="AK47" s="336"/>
      <c r="AL47" s="336"/>
      <c r="AM47" s="336"/>
      <c r="AN47" s="336"/>
      <c r="AO47" s="336"/>
      <c r="AP47" s="336"/>
      <c r="AQ47" s="336"/>
      <c r="AR47" s="336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4"/>
    </row>
    <row r="48" spans="1:6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4"/>
    </row>
    <row r="49" spans="1:62" s="50" customFormat="1" ht="30" customHeight="1">
      <c r="A49" s="48"/>
      <c r="B49" s="851" t="s">
        <v>147</v>
      </c>
      <c r="C49" s="851"/>
      <c r="D49" s="851"/>
      <c r="E49" s="851"/>
      <c r="F49" s="851"/>
      <c r="G49" s="851"/>
      <c r="H49" s="851"/>
      <c r="I49" s="851"/>
      <c r="J49" s="852"/>
      <c r="K49" s="853" t="s">
        <v>148</v>
      </c>
      <c r="L49" s="851"/>
      <c r="M49" s="851"/>
      <c r="N49" s="851"/>
      <c r="O49" s="851"/>
      <c r="P49" s="851"/>
      <c r="Q49" s="851"/>
      <c r="R49" s="851" t="s">
        <v>149</v>
      </c>
      <c r="S49" s="851"/>
      <c r="T49" s="851"/>
      <c r="U49" s="851"/>
      <c r="V49" s="851"/>
      <c r="W49" s="851"/>
      <c r="X49" s="851"/>
      <c r="Y49" s="852"/>
      <c r="Z49" s="853" t="s">
        <v>567</v>
      </c>
      <c r="AA49" s="851"/>
      <c r="AB49" s="851"/>
      <c r="AC49" s="851"/>
      <c r="AD49" s="851"/>
      <c r="AE49" s="851"/>
      <c r="AF49" s="851"/>
      <c r="AG49" s="851"/>
      <c r="AH49" s="851"/>
      <c r="AI49" s="854" t="s">
        <v>566</v>
      </c>
      <c r="AJ49" s="854"/>
      <c r="AK49" s="854"/>
      <c r="AL49" s="854"/>
      <c r="AM49" s="854"/>
      <c r="AN49" s="854"/>
      <c r="AO49" s="854"/>
      <c r="AP49" s="854"/>
      <c r="AQ49" s="854"/>
      <c r="AR49" s="851" t="s">
        <v>563</v>
      </c>
      <c r="AS49" s="851"/>
      <c r="AT49" s="851"/>
      <c r="AU49" s="851"/>
      <c r="AV49" s="851"/>
      <c r="AW49" s="851"/>
      <c r="AX49" s="851"/>
      <c r="AY49" s="851"/>
      <c r="AZ49" s="851"/>
      <c r="BA49" s="852"/>
      <c r="BB49" s="849">
        <v>43117</v>
      </c>
      <c r="BC49" s="850"/>
      <c r="BD49" s="850"/>
      <c r="BE49" s="850"/>
      <c r="BF49" s="850"/>
      <c r="BG49" s="850"/>
      <c r="BH49" s="850"/>
      <c r="BI49" s="850"/>
      <c r="BJ49" s="49"/>
    </row>
    <row r="50" spans="1:62" ht="6" customHeight="1" thickBot="1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ht="6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</sheetData>
  <mergeCells count="304">
    <mergeCell ref="BB49:BI49"/>
    <mergeCell ref="B49:J49"/>
    <mergeCell ref="K49:Q49"/>
    <mergeCell ref="R49:Y49"/>
    <mergeCell ref="Z49:AH49"/>
    <mergeCell ref="AI49:AQ49"/>
    <mergeCell ref="AR49:BA49"/>
    <mergeCell ref="B44:H45"/>
    <mergeCell ref="I44:S44"/>
    <mergeCell ref="AI44:AR44"/>
    <mergeCell ref="AS44:BI44"/>
    <mergeCell ref="I45:S45"/>
    <mergeCell ref="AI45:AR45"/>
    <mergeCell ref="AS45:BI45"/>
    <mergeCell ref="P40:R40"/>
    <mergeCell ref="S40:Y42"/>
    <mergeCell ref="Z40:AE40"/>
    <mergeCell ref="P41:R41"/>
    <mergeCell ref="Z41:AE41"/>
    <mergeCell ref="P42:R42"/>
    <mergeCell ref="Z42:AE42"/>
    <mergeCell ref="P37:AE37"/>
    <mergeCell ref="P38:R39"/>
    <mergeCell ref="S38:Y38"/>
    <mergeCell ref="Z38:AE38"/>
    <mergeCell ref="S39:Y39"/>
    <mergeCell ref="Z39:AE39"/>
    <mergeCell ref="P36:U36"/>
    <mergeCell ref="Z36:AE36"/>
    <mergeCell ref="AP36:AW36"/>
    <mergeCell ref="AX36:BA36"/>
    <mergeCell ref="BB36:BE36"/>
    <mergeCell ref="BF36:BI36"/>
    <mergeCell ref="AH35:AK35"/>
    <mergeCell ref="AL35:AO35"/>
    <mergeCell ref="AP35:AS35"/>
    <mergeCell ref="AT35:AW35"/>
    <mergeCell ref="AX35:BA35"/>
    <mergeCell ref="BB35:BE35"/>
    <mergeCell ref="BB34:BE34"/>
    <mergeCell ref="BF34:BI34"/>
    <mergeCell ref="B35:E35"/>
    <mergeCell ref="F35:I35"/>
    <mergeCell ref="J35:M35"/>
    <mergeCell ref="N35:Q35"/>
    <mergeCell ref="R35:U35"/>
    <mergeCell ref="V35:Y35"/>
    <mergeCell ref="Z35:AC35"/>
    <mergeCell ref="AD35:AG35"/>
    <mergeCell ref="AD34:AG34"/>
    <mergeCell ref="AH34:AK34"/>
    <mergeCell ref="AL34:AO34"/>
    <mergeCell ref="AP34:AS34"/>
    <mergeCell ref="AT34:AW34"/>
    <mergeCell ref="AX34:BA34"/>
    <mergeCell ref="BF35:BI35"/>
    <mergeCell ref="B34:E34"/>
    <mergeCell ref="F34:I34"/>
    <mergeCell ref="J34:M34"/>
    <mergeCell ref="N34:Q34"/>
    <mergeCell ref="R34:U34"/>
    <mergeCell ref="V34:Y34"/>
    <mergeCell ref="Z34:AC34"/>
    <mergeCell ref="Z33:AC33"/>
    <mergeCell ref="AD33:AG33"/>
    <mergeCell ref="B33:E33"/>
    <mergeCell ref="F33:I33"/>
    <mergeCell ref="J33:M33"/>
    <mergeCell ref="N33:Q33"/>
    <mergeCell ref="R33:U33"/>
    <mergeCell ref="V33:Y33"/>
    <mergeCell ref="B28:E32"/>
    <mergeCell ref="F28:AK28"/>
    <mergeCell ref="J31:M31"/>
    <mergeCell ref="N31:Q31"/>
    <mergeCell ref="R31:U31"/>
    <mergeCell ref="V31:Y31"/>
    <mergeCell ref="Z31:AC31"/>
    <mergeCell ref="AD31:AG31"/>
    <mergeCell ref="J30:M30"/>
    <mergeCell ref="N30:Q30"/>
    <mergeCell ref="R30:U30"/>
    <mergeCell ref="V30:Y30"/>
    <mergeCell ref="Z30:AC30"/>
    <mergeCell ref="AD30:AG30"/>
    <mergeCell ref="J29:U29"/>
    <mergeCell ref="V29:AG29"/>
    <mergeCell ref="J32:M32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T30:AW30"/>
    <mergeCell ref="AX30:BA30"/>
    <mergeCell ref="BB30:BE30"/>
    <mergeCell ref="BF28:BI30"/>
    <mergeCell ref="AX33:BA33"/>
    <mergeCell ref="BB33:BE33"/>
    <mergeCell ref="BF33:BI33"/>
    <mergeCell ref="AH33:AK33"/>
    <mergeCell ref="AL33:AO33"/>
    <mergeCell ref="AP33:AS33"/>
    <mergeCell ref="AT33:AW33"/>
    <mergeCell ref="BF31:BI31"/>
    <mergeCell ref="AH31:AK31"/>
    <mergeCell ref="AL31:AO31"/>
    <mergeCell ref="AP31:AS31"/>
    <mergeCell ref="AT31:AW31"/>
    <mergeCell ref="AX31:BA31"/>
    <mergeCell ref="AH29:AK30"/>
    <mergeCell ref="B27:M27"/>
    <mergeCell ref="N27:U27"/>
    <mergeCell ref="Z27:AQ27"/>
    <mergeCell ref="AR27:AU27"/>
    <mergeCell ref="AV27:AY27"/>
    <mergeCell ref="AZ27:BI27"/>
    <mergeCell ref="F29:I32"/>
    <mergeCell ref="AK24:AO24"/>
    <mergeCell ref="AP24:AT24"/>
    <mergeCell ref="AU24:AY24"/>
    <mergeCell ref="AZ24:BD24"/>
    <mergeCell ref="AK25:AO26"/>
    <mergeCell ref="AP25:AT26"/>
    <mergeCell ref="AU25:AY26"/>
    <mergeCell ref="AZ25:BD26"/>
    <mergeCell ref="AL28:AO30"/>
    <mergeCell ref="AP28:AW29"/>
    <mergeCell ref="AX28:BE29"/>
    <mergeCell ref="BB31:BE31"/>
    <mergeCell ref="AT32:AW32"/>
    <mergeCell ref="AX32:BA32"/>
    <mergeCell ref="BB32:BE32"/>
    <mergeCell ref="BF32:BI32"/>
    <mergeCell ref="AP30:AS30"/>
    <mergeCell ref="AP20:AT20"/>
    <mergeCell ref="AU20:AY20"/>
    <mergeCell ref="AZ20:BD20"/>
    <mergeCell ref="BE20:BI20"/>
    <mergeCell ref="B21:H22"/>
    <mergeCell ref="I21:S21"/>
    <mergeCell ref="AK21:AT21"/>
    <mergeCell ref="AU21:BI21"/>
    <mergeCell ref="I22:S22"/>
    <mergeCell ref="AK22:AT22"/>
    <mergeCell ref="AU22:BI22"/>
    <mergeCell ref="AG19:AJ19"/>
    <mergeCell ref="AK19:AO19"/>
    <mergeCell ref="AP19:AT19"/>
    <mergeCell ref="AU19:AY19"/>
    <mergeCell ref="AZ19:BD19"/>
    <mergeCell ref="BE19:BI19"/>
    <mergeCell ref="AZ18:BD18"/>
    <mergeCell ref="BE18:BI18"/>
    <mergeCell ref="B19:E19"/>
    <mergeCell ref="F19:I19"/>
    <mergeCell ref="J19:L19"/>
    <mergeCell ref="M19:O19"/>
    <mergeCell ref="P19:S19"/>
    <mergeCell ref="T19:W19"/>
    <mergeCell ref="X19:AB19"/>
    <mergeCell ref="AC19:AF19"/>
    <mergeCell ref="X18:AB18"/>
    <mergeCell ref="AC18:AF18"/>
    <mergeCell ref="AG18:AJ18"/>
    <mergeCell ref="AK18:AO18"/>
    <mergeCell ref="AP18:AT18"/>
    <mergeCell ref="AU18:AY18"/>
    <mergeCell ref="B18:E18"/>
    <mergeCell ref="F18:I18"/>
    <mergeCell ref="J18:L18"/>
    <mergeCell ref="M18:O18"/>
    <mergeCell ref="P18:S18"/>
    <mergeCell ref="T18:W18"/>
    <mergeCell ref="AG17:AJ17"/>
    <mergeCell ref="AK17:AO17"/>
    <mergeCell ref="AP17:AT17"/>
    <mergeCell ref="AU17:AY17"/>
    <mergeCell ref="AZ17:BD17"/>
    <mergeCell ref="BE17:BI17"/>
    <mergeCell ref="AZ16:BD16"/>
    <mergeCell ref="BE16:BI16"/>
    <mergeCell ref="B17:E17"/>
    <mergeCell ref="F17:I17"/>
    <mergeCell ref="J17:L17"/>
    <mergeCell ref="M17:O17"/>
    <mergeCell ref="P17:S17"/>
    <mergeCell ref="T17:W17"/>
    <mergeCell ref="X17:AB17"/>
    <mergeCell ref="AC17:AF17"/>
    <mergeCell ref="X16:AB16"/>
    <mergeCell ref="AC16:AF16"/>
    <mergeCell ref="AG16:AJ16"/>
    <mergeCell ref="AK16:AO16"/>
    <mergeCell ref="AP16:AT16"/>
    <mergeCell ref="AU16:AY16"/>
    <mergeCell ref="B16:E16"/>
    <mergeCell ref="F16:I16"/>
    <mergeCell ref="J16:L16"/>
    <mergeCell ref="M16:O16"/>
    <mergeCell ref="P16:S16"/>
    <mergeCell ref="T16:W16"/>
    <mergeCell ref="B15:E15"/>
    <mergeCell ref="F15:I15"/>
    <mergeCell ref="J15:L15"/>
    <mergeCell ref="M15:O15"/>
    <mergeCell ref="P15:S15"/>
    <mergeCell ref="T15:W15"/>
    <mergeCell ref="X15:AB15"/>
    <mergeCell ref="AC15:AF15"/>
    <mergeCell ref="B11:E14"/>
    <mergeCell ref="F11:I14"/>
    <mergeCell ref="J11:L14"/>
    <mergeCell ref="M11:O12"/>
    <mergeCell ref="M14:O14"/>
    <mergeCell ref="T14:W14"/>
    <mergeCell ref="P11:S14"/>
    <mergeCell ref="T11:W12"/>
    <mergeCell ref="M13:O13"/>
    <mergeCell ref="T13:W13"/>
    <mergeCell ref="X11:AJ11"/>
    <mergeCell ref="X14:AB14"/>
    <mergeCell ref="AC14:AF14"/>
    <mergeCell ref="X13:AB13"/>
    <mergeCell ref="AC13:AF13"/>
    <mergeCell ref="AP13:AT13"/>
    <mergeCell ref="AU13:AY13"/>
    <mergeCell ref="AG15:AJ15"/>
    <mergeCell ref="AK15:AO15"/>
    <mergeCell ref="AP15:AT15"/>
    <mergeCell ref="AU15:AY15"/>
    <mergeCell ref="AZ15:BD15"/>
    <mergeCell ref="BE15:BI15"/>
    <mergeCell ref="AZ14:BD14"/>
    <mergeCell ref="BE14:BI14"/>
    <mergeCell ref="AZ13:BD13"/>
    <mergeCell ref="BE13:BI13"/>
    <mergeCell ref="AG14:AJ14"/>
    <mergeCell ref="AK14:AO14"/>
    <mergeCell ref="AP14:AT14"/>
    <mergeCell ref="AU14:AY14"/>
    <mergeCell ref="AG13:AJ13"/>
    <mergeCell ref="AK13:AO13"/>
    <mergeCell ref="AK11:AO12"/>
    <mergeCell ref="AP11:AT12"/>
    <mergeCell ref="AU11:BD11"/>
    <mergeCell ref="BE11:BI12"/>
    <mergeCell ref="X12:AB12"/>
    <mergeCell ref="AC12:AF12"/>
    <mergeCell ref="AG12:AJ12"/>
    <mergeCell ref="AU12:AY12"/>
    <mergeCell ref="AZ12:BD12"/>
    <mergeCell ref="AP7:AT8"/>
    <mergeCell ref="AU7:AY8"/>
    <mergeCell ref="P10:Q10"/>
    <mergeCell ref="R10:V10"/>
    <mergeCell ref="AD10:AT10"/>
    <mergeCell ref="AU10:AY10"/>
    <mergeCell ref="AZ10:BD10"/>
    <mergeCell ref="BE10:BI10"/>
    <mergeCell ref="W9:X9"/>
    <mergeCell ref="Y9:AC9"/>
    <mergeCell ref="AD9:AT9"/>
    <mergeCell ref="AU9:AY9"/>
    <mergeCell ref="AZ9:BD9"/>
    <mergeCell ref="BE9:BI9"/>
    <mergeCell ref="AF6:AJ6"/>
    <mergeCell ref="AK6:AO6"/>
    <mergeCell ref="AP6:AT6"/>
    <mergeCell ref="AU6:AY6"/>
    <mergeCell ref="AZ6:BD6"/>
    <mergeCell ref="B9:C9"/>
    <mergeCell ref="D9:H9"/>
    <mergeCell ref="I9:J9"/>
    <mergeCell ref="K9:O9"/>
    <mergeCell ref="P9:Q9"/>
    <mergeCell ref="R9:V9"/>
    <mergeCell ref="AZ7:BD8"/>
    <mergeCell ref="B8:C8"/>
    <mergeCell ref="D8:H8"/>
    <mergeCell ref="I8:J8"/>
    <mergeCell ref="K8:O8"/>
    <mergeCell ref="P8:Q8"/>
    <mergeCell ref="R8:V8"/>
    <mergeCell ref="W8:X8"/>
    <mergeCell ref="Y8:AC8"/>
    <mergeCell ref="B7:O7"/>
    <mergeCell ref="P7:AC7"/>
    <mergeCell ref="AF7:AJ8"/>
    <mergeCell ref="AK7:AO8"/>
    <mergeCell ref="A2:W2"/>
    <mergeCell ref="X2:AM2"/>
    <mergeCell ref="AN2:BJ2"/>
    <mergeCell ref="A3:L3"/>
    <mergeCell ref="M3:AC3"/>
    <mergeCell ref="AD3:AM3"/>
    <mergeCell ref="AN3:BJ3"/>
    <mergeCell ref="A4:L4"/>
    <mergeCell ref="M4:AC4"/>
    <mergeCell ref="AD4:AM4"/>
    <mergeCell ref="AN4:BJ4"/>
  </mergeCells>
  <pageMargins left="0.49" right="0.11811023622047245" top="0.53" bottom="0.19685039370078741" header="0.47" footer="0.11811023622047245"/>
  <pageSetup paperSize="9" fitToHeight="0" orientation="portrait" horizontalDpi="4294967293" verticalDpi="4294967293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62"/>
  <sheetViews>
    <sheetView showFormulas="1" view="pageBreakPreview" zoomScale="85" zoomScaleNormal="100" zoomScaleSheetLayoutView="85" workbookViewId="0">
      <selection activeCell="Y67" sqref="Y67"/>
    </sheetView>
  </sheetViews>
  <sheetFormatPr defaultColWidth="1.25" defaultRowHeight="16.5" customHeight="1"/>
  <cols>
    <col min="1" max="6" width="1.25" style="11"/>
    <col min="7" max="7" width="1.25" style="11" customWidth="1"/>
    <col min="8" max="56" width="1.25" style="11"/>
    <col min="57" max="57" width="5.125" style="11" bestFit="1" customWidth="1"/>
    <col min="58" max="16384" width="1.25" style="11"/>
  </cols>
  <sheetData>
    <row r="2" spans="2:48" ht="16.5" customHeight="1">
      <c r="B2" s="1037" t="s">
        <v>155</v>
      </c>
      <c r="C2" s="1037"/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AG2" s="59"/>
      <c r="AH2" s="1037" t="s">
        <v>157</v>
      </c>
      <c r="AI2" s="1037"/>
      <c r="AJ2" s="1037"/>
      <c r="AK2" s="1037"/>
      <c r="AL2" s="1037"/>
      <c r="AM2" s="1037"/>
      <c r="AN2" s="1038" t="s">
        <v>601</v>
      </c>
      <c r="AO2" s="1039"/>
      <c r="AP2" s="1039"/>
      <c r="AQ2" s="1039"/>
      <c r="AR2" s="1039"/>
      <c r="AS2" s="1039"/>
      <c r="AT2" s="1039"/>
      <c r="AU2" s="1039"/>
      <c r="AV2" s="1039"/>
    </row>
    <row r="3" spans="2:48" ht="16.5" customHeight="1">
      <c r="AH3" s="1037" t="s">
        <v>159</v>
      </c>
      <c r="AI3" s="1037"/>
      <c r="AJ3" s="1037"/>
      <c r="AK3" s="1037"/>
      <c r="AL3" s="1037"/>
      <c r="AM3" s="1037"/>
      <c r="AN3" s="1040" t="s">
        <v>568</v>
      </c>
      <c r="AO3" s="1040"/>
      <c r="AP3" s="1040"/>
      <c r="AQ3" s="1040"/>
      <c r="AR3" s="1040"/>
      <c r="AS3" s="1040"/>
      <c r="AT3" s="1040"/>
      <c r="AU3" s="1040"/>
      <c r="AV3" s="1040"/>
    </row>
    <row r="5" spans="2:48" ht="16.5" customHeight="1"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</row>
    <row r="7" spans="2:48" ht="25.5" customHeight="1">
      <c r="D7" s="641" t="s">
        <v>552</v>
      </c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1"/>
      <c r="AM7" s="641"/>
      <c r="AN7" s="641"/>
      <c r="AO7" s="641"/>
      <c r="AP7" s="641"/>
      <c r="AQ7" s="641"/>
      <c r="AR7" s="641"/>
      <c r="AS7" s="641"/>
      <c r="AT7" s="641"/>
      <c r="AU7" s="641"/>
      <c r="AV7" s="641"/>
    </row>
    <row r="8" spans="2:48" ht="16.5" customHeight="1">
      <c r="D8" s="617" t="s">
        <v>340</v>
      </c>
      <c r="E8" s="617"/>
      <c r="F8" s="617"/>
      <c r="G8" s="617"/>
      <c r="H8" s="617"/>
      <c r="I8" s="617"/>
      <c r="J8" s="617"/>
      <c r="K8" s="617"/>
      <c r="L8" s="617"/>
      <c r="M8" s="617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17"/>
      <c r="AI8" s="617"/>
      <c r="AJ8" s="617"/>
      <c r="AK8" s="617"/>
      <c r="AL8" s="617"/>
      <c r="AM8" s="617"/>
      <c r="AN8" s="617"/>
      <c r="AO8" s="617"/>
      <c r="AP8" s="617"/>
      <c r="AQ8" s="617"/>
      <c r="AR8" s="617"/>
      <c r="AS8" s="617"/>
      <c r="AT8" s="617"/>
      <c r="AU8" s="617"/>
      <c r="AV8" s="617"/>
    </row>
    <row r="11" spans="2:48" ht="16.5" customHeight="1">
      <c r="F11" s="54"/>
      <c r="G11" s="616"/>
      <c r="H11" s="616"/>
      <c r="I11" s="54"/>
      <c r="K11" s="616"/>
      <c r="L11" s="616"/>
      <c r="O11" s="616"/>
      <c r="P11" s="616"/>
      <c r="S11" s="616"/>
      <c r="T11" s="616"/>
      <c r="AE11" s="54"/>
      <c r="AF11" s="616"/>
      <c r="AG11" s="616"/>
      <c r="AH11" s="54"/>
      <c r="AJ11" s="616"/>
      <c r="AK11" s="616"/>
      <c r="AN11" s="616"/>
      <c r="AO11" s="616"/>
      <c r="AR11" s="616"/>
      <c r="AS11" s="616"/>
    </row>
    <row r="12" spans="2:48" ht="16.5" customHeight="1">
      <c r="G12" s="56"/>
      <c r="AF12" s="56"/>
    </row>
    <row r="13" spans="2:48" ht="16.5" customHeight="1">
      <c r="W13" s="617" t="s">
        <v>158</v>
      </c>
      <c r="X13" s="617"/>
      <c r="Y13" s="617"/>
      <c r="Z13" s="617"/>
      <c r="AA13" s="617"/>
      <c r="AB13" s="617"/>
      <c r="AV13" s="54"/>
    </row>
    <row r="15" spans="2:48" ht="16.5" customHeight="1" thickBot="1"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</row>
    <row r="16" spans="2:48" ht="16.5" customHeight="1">
      <c r="D16" s="102"/>
      <c r="E16" s="103"/>
      <c r="F16" s="103"/>
      <c r="G16" s="103"/>
      <c r="H16" s="111"/>
      <c r="I16" s="103"/>
      <c r="J16" s="103"/>
      <c r="K16" s="106"/>
      <c r="L16" s="103"/>
      <c r="M16" s="103"/>
      <c r="N16" s="103"/>
      <c r="O16" s="106"/>
      <c r="P16" s="111"/>
      <c r="Q16" s="103"/>
      <c r="R16" s="103"/>
      <c r="S16" s="103"/>
      <c r="T16" s="111"/>
      <c r="U16" s="103"/>
      <c r="V16" s="103"/>
      <c r="W16" s="114"/>
      <c r="AC16" s="102"/>
      <c r="AD16" s="103"/>
      <c r="AE16" s="103"/>
      <c r="AF16" s="103"/>
      <c r="AG16" s="111"/>
      <c r="AH16" s="103"/>
      <c r="AI16" s="103"/>
      <c r="AJ16" s="106"/>
      <c r="AK16" s="103"/>
      <c r="AL16" s="103"/>
      <c r="AM16" s="103"/>
      <c r="AN16" s="106"/>
      <c r="AO16" s="111"/>
      <c r="AP16" s="103"/>
      <c r="AQ16" s="103"/>
      <c r="AR16" s="103"/>
      <c r="AS16" s="111"/>
      <c r="AT16" s="103"/>
      <c r="AU16" s="103"/>
      <c r="AV16" s="114"/>
    </row>
    <row r="17" spans="3:48" ht="16.5" customHeight="1">
      <c r="C17" s="52"/>
      <c r="D17" s="104"/>
      <c r="E17" s="105"/>
      <c r="F17" s="105"/>
      <c r="G17" s="105"/>
      <c r="H17" s="112"/>
      <c r="I17" s="105"/>
      <c r="J17" s="105"/>
      <c r="K17" s="107"/>
      <c r="L17" s="105"/>
      <c r="M17" s="105"/>
      <c r="N17" s="105"/>
      <c r="O17" s="107"/>
      <c r="P17" s="112"/>
      <c r="Q17" s="105"/>
      <c r="R17" s="105"/>
      <c r="S17" s="105"/>
      <c r="T17" s="112"/>
      <c r="U17" s="105"/>
      <c r="V17" s="105"/>
      <c r="W17" s="115"/>
      <c r="AB17" s="52"/>
      <c r="AC17" s="104"/>
      <c r="AD17" s="105"/>
      <c r="AE17" s="105"/>
      <c r="AF17" s="105"/>
      <c r="AG17" s="112"/>
      <c r="AH17" s="105"/>
      <c r="AI17" s="105"/>
      <c r="AJ17" s="107"/>
      <c r="AK17" s="105"/>
      <c r="AL17" s="105"/>
      <c r="AM17" s="105"/>
      <c r="AN17" s="107"/>
      <c r="AO17" s="112"/>
      <c r="AP17" s="105"/>
      <c r="AQ17" s="105"/>
      <c r="AR17" s="105"/>
      <c r="AS17" s="112"/>
      <c r="AT17" s="105"/>
      <c r="AU17" s="105"/>
      <c r="AV17" s="115"/>
    </row>
    <row r="18" spans="3:48" ht="16.5" customHeight="1">
      <c r="C18" s="52"/>
      <c r="D18" s="104"/>
      <c r="E18" s="105"/>
      <c r="F18" s="105"/>
      <c r="G18" s="105"/>
      <c r="H18" s="112"/>
      <c r="I18" s="105"/>
      <c r="J18" s="105"/>
      <c r="K18" s="107"/>
      <c r="L18" s="105"/>
      <c r="M18" s="105"/>
      <c r="N18" s="105"/>
      <c r="O18" s="107"/>
      <c r="P18" s="112"/>
      <c r="Q18" s="105"/>
      <c r="R18" s="105"/>
      <c r="S18" s="105"/>
      <c r="T18" s="112"/>
      <c r="U18" s="105"/>
      <c r="V18" s="105"/>
      <c r="W18" s="115"/>
      <c r="AB18" s="52"/>
      <c r="AC18" s="104"/>
      <c r="AD18" s="105"/>
      <c r="AE18" s="105"/>
      <c r="AF18" s="105"/>
      <c r="AG18" s="112"/>
      <c r="AH18" s="105"/>
      <c r="AI18" s="105"/>
      <c r="AJ18" s="107"/>
      <c r="AK18" s="105"/>
      <c r="AL18" s="105"/>
      <c r="AM18" s="105"/>
      <c r="AN18" s="107"/>
      <c r="AO18" s="112"/>
      <c r="AP18" s="105"/>
      <c r="AQ18" s="105"/>
      <c r="AR18" s="105"/>
      <c r="AS18" s="112"/>
      <c r="AT18" s="105"/>
      <c r="AU18" s="105"/>
      <c r="AV18" s="115"/>
    </row>
    <row r="19" spans="3:48" ht="16.5" customHeight="1">
      <c r="C19" s="52"/>
      <c r="D19" s="104"/>
      <c r="E19" s="105"/>
      <c r="F19" s="105"/>
      <c r="G19" s="105"/>
      <c r="H19" s="112"/>
      <c r="I19" s="105"/>
      <c r="J19" s="105"/>
      <c r="K19" s="107"/>
      <c r="L19" s="105"/>
      <c r="M19" s="105"/>
      <c r="N19" s="105"/>
      <c r="O19" s="107"/>
      <c r="P19" s="112"/>
      <c r="Q19" s="105"/>
      <c r="R19" s="105"/>
      <c r="S19" s="105"/>
      <c r="T19" s="112"/>
      <c r="U19" s="105"/>
      <c r="V19" s="105"/>
      <c r="W19" s="115"/>
      <c r="AB19" s="52"/>
      <c r="AC19" s="104"/>
      <c r="AD19" s="105"/>
      <c r="AE19" s="105"/>
      <c r="AF19" s="105"/>
      <c r="AG19" s="112"/>
      <c r="AH19" s="105"/>
      <c r="AI19" s="105"/>
      <c r="AJ19" s="107"/>
      <c r="AK19" s="105"/>
      <c r="AL19" s="105"/>
      <c r="AM19" s="105"/>
      <c r="AN19" s="107"/>
      <c r="AO19" s="112"/>
      <c r="AP19" s="105"/>
      <c r="AQ19" s="105"/>
      <c r="AR19" s="105"/>
      <c r="AS19" s="112"/>
      <c r="AT19" s="105"/>
      <c r="AU19" s="105"/>
      <c r="AV19" s="115"/>
    </row>
    <row r="20" spans="3:48" ht="16.5" customHeight="1">
      <c r="C20" s="52"/>
      <c r="D20" s="1018"/>
      <c r="E20" s="1019"/>
      <c r="F20" s="1019"/>
      <c r="G20" s="1019"/>
      <c r="H20" s="1022"/>
      <c r="I20" s="1019"/>
      <c r="J20" s="1019"/>
      <c r="K20" s="1023"/>
      <c r="L20" s="1031"/>
      <c r="M20" s="1031"/>
      <c r="N20" s="1031"/>
      <c r="O20" s="1031"/>
      <c r="P20" s="1034"/>
      <c r="Q20" s="1031"/>
      <c r="R20" s="1031"/>
      <c r="S20" s="1031"/>
      <c r="T20" s="1022"/>
      <c r="U20" s="1019"/>
      <c r="V20" s="1019"/>
      <c r="W20" s="1028"/>
      <c r="AB20" s="52"/>
      <c r="AC20" s="1018"/>
      <c r="AD20" s="1019"/>
      <c r="AE20" s="1019"/>
      <c r="AF20" s="1019"/>
      <c r="AG20" s="1022"/>
      <c r="AH20" s="1019"/>
      <c r="AI20" s="1019"/>
      <c r="AJ20" s="1023"/>
      <c r="AK20" s="1019"/>
      <c r="AL20" s="1019"/>
      <c r="AM20" s="1019"/>
      <c r="AN20" s="1019"/>
      <c r="AO20" s="1022"/>
      <c r="AP20" s="1019"/>
      <c r="AQ20" s="1019"/>
      <c r="AR20" s="1019"/>
      <c r="AS20" s="1022"/>
      <c r="AT20" s="1019"/>
      <c r="AU20" s="1019"/>
      <c r="AV20" s="1028"/>
    </row>
    <row r="21" spans="3:48" ht="16.5" customHeight="1">
      <c r="C21" s="52"/>
      <c r="D21" s="620"/>
      <c r="E21" s="621"/>
      <c r="F21" s="621"/>
      <c r="G21" s="621"/>
      <c r="H21" s="1024"/>
      <c r="I21" s="621"/>
      <c r="J21" s="621"/>
      <c r="K21" s="1025"/>
      <c r="L21" s="1032"/>
      <c r="M21" s="1032"/>
      <c r="N21" s="1032"/>
      <c r="O21" s="1032"/>
      <c r="P21" s="1035"/>
      <c r="Q21" s="1032"/>
      <c r="R21" s="1032"/>
      <c r="S21" s="1032"/>
      <c r="T21" s="1024"/>
      <c r="U21" s="621"/>
      <c r="V21" s="621"/>
      <c r="W21" s="1029"/>
      <c r="AB21" s="52"/>
      <c r="AC21" s="620"/>
      <c r="AD21" s="621"/>
      <c r="AE21" s="621"/>
      <c r="AF21" s="621"/>
      <c r="AG21" s="1024"/>
      <c r="AH21" s="621"/>
      <c r="AI21" s="621"/>
      <c r="AJ21" s="1025"/>
      <c r="AK21" s="621"/>
      <c r="AL21" s="621"/>
      <c r="AM21" s="621"/>
      <c r="AN21" s="621"/>
      <c r="AO21" s="1024"/>
      <c r="AP21" s="621"/>
      <c r="AQ21" s="621"/>
      <c r="AR21" s="621"/>
      <c r="AS21" s="1024"/>
      <c r="AT21" s="621"/>
      <c r="AU21" s="621"/>
      <c r="AV21" s="1029"/>
    </row>
    <row r="22" spans="3:48" ht="16.5" customHeight="1">
      <c r="C22" s="52"/>
      <c r="D22" s="620"/>
      <c r="E22" s="621"/>
      <c r="F22" s="621"/>
      <c r="G22" s="621"/>
      <c r="H22" s="1024"/>
      <c r="I22" s="621"/>
      <c r="J22" s="621"/>
      <c r="K22" s="1025"/>
      <c r="L22" s="1032"/>
      <c r="M22" s="1032"/>
      <c r="N22" s="1032"/>
      <c r="O22" s="1032"/>
      <c r="P22" s="1035"/>
      <c r="Q22" s="1032"/>
      <c r="R22" s="1032"/>
      <c r="S22" s="1032"/>
      <c r="T22" s="1024"/>
      <c r="U22" s="621"/>
      <c r="V22" s="621"/>
      <c r="W22" s="1029"/>
      <c r="AB22" s="52"/>
      <c r="AC22" s="620"/>
      <c r="AD22" s="621"/>
      <c r="AE22" s="621"/>
      <c r="AF22" s="621"/>
      <c r="AG22" s="1024"/>
      <c r="AH22" s="621"/>
      <c r="AI22" s="621"/>
      <c r="AJ22" s="1025"/>
      <c r="AK22" s="621"/>
      <c r="AL22" s="621"/>
      <c r="AM22" s="621"/>
      <c r="AN22" s="621"/>
      <c r="AO22" s="1024"/>
      <c r="AP22" s="621"/>
      <c r="AQ22" s="621"/>
      <c r="AR22" s="621"/>
      <c r="AS22" s="1024"/>
      <c r="AT22" s="621"/>
      <c r="AU22" s="621"/>
      <c r="AV22" s="1029"/>
    </row>
    <row r="23" spans="3:48" ht="16.5" customHeight="1">
      <c r="C23" s="52"/>
      <c r="D23" s="1020"/>
      <c r="E23" s="1021"/>
      <c r="F23" s="1021"/>
      <c r="G23" s="1021"/>
      <c r="H23" s="1026"/>
      <c r="I23" s="1021"/>
      <c r="J23" s="1021"/>
      <c r="K23" s="1027"/>
      <c r="L23" s="1033"/>
      <c r="M23" s="1033"/>
      <c r="N23" s="1033"/>
      <c r="O23" s="1033"/>
      <c r="P23" s="1036"/>
      <c r="Q23" s="1033"/>
      <c r="R23" s="1033"/>
      <c r="S23" s="1033"/>
      <c r="T23" s="1026"/>
      <c r="U23" s="1021"/>
      <c r="V23" s="1021"/>
      <c r="W23" s="1030"/>
      <c r="AB23" s="52"/>
      <c r="AC23" s="1020"/>
      <c r="AD23" s="1021"/>
      <c r="AE23" s="1021"/>
      <c r="AF23" s="1021"/>
      <c r="AG23" s="1026"/>
      <c r="AH23" s="1021"/>
      <c r="AI23" s="1021"/>
      <c r="AJ23" s="1027"/>
      <c r="AK23" s="1021"/>
      <c r="AL23" s="1021"/>
      <c r="AM23" s="1021"/>
      <c r="AN23" s="1021"/>
      <c r="AO23" s="1026"/>
      <c r="AP23" s="1021"/>
      <c r="AQ23" s="1021"/>
      <c r="AR23" s="1021"/>
      <c r="AS23" s="1026"/>
      <c r="AT23" s="1021"/>
      <c r="AU23" s="1021"/>
      <c r="AV23" s="1030"/>
    </row>
    <row r="24" spans="3:48" ht="16.5" customHeight="1">
      <c r="D24" s="104"/>
      <c r="E24" s="105"/>
      <c r="F24" s="105"/>
      <c r="G24" s="105"/>
      <c r="H24" s="112"/>
      <c r="I24" s="105"/>
      <c r="J24" s="105"/>
      <c r="K24" s="107"/>
      <c r="L24" s="105"/>
      <c r="M24" s="105"/>
      <c r="N24" s="105"/>
      <c r="O24" s="107"/>
      <c r="P24" s="112"/>
      <c r="Q24" s="105"/>
      <c r="R24" s="105"/>
      <c r="S24" s="105"/>
      <c r="T24" s="112"/>
      <c r="U24" s="105"/>
      <c r="V24" s="105"/>
      <c r="W24" s="115"/>
      <c r="AC24" s="104"/>
      <c r="AD24" s="105"/>
      <c r="AE24" s="105"/>
      <c r="AF24" s="105"/>
      <c r="AG24" s="112"/>
      <c r="AH24" s="105"/>
      <c r="AI24" s="105"/>
      <c r="AJ24" s="107"/>
      <c r="AK24" s="105"/>
      <c r="AL24" s="105"/>
      <c r="AM24" s="105"/>
      <c r="AN24" s="107"/>
      <c r="AO24" s="112"/>
      <c r="AP24" s="105"/>
      <c r="AQ24" s="105"/>
      <c r="AR24" s="105"/>
      <c r="AS24" s="112"/>
      <c r="AT24" s="105"/>
      <c r="AU24" s="105"/>
      <c r="AV24" s="115"/>
    </row>
    <row r="25" spans="3:48" ht="16.5" customHeight="1">
      <c r="D25" s="104"/>
      <c r="E25" s="105"/>
      <c r="F25" s="105"/>
      <c r="G25" s="105"/>
      <c r="H25" s="112"/>
      <c r="I25" s="105"/>
      <c r="J25" s="105"/>
      <c r="K25" s="107"/>
      <c r="L25" s="105"/>
      <c r="M25" s="105"/>
      <c r="N25" s="105"/>
      <c r="O25" s="107"/>
      <c r="P25" s="112"/>
      <c r="Q25" s="105"/>
      <c r="R25" s="105"/>
      <c r="S25" s="105"/>
      <c r="T25" s="112"/>
      <c r="U25" s="105"/>
      <c r="V25" s="105"/>
      <c r="W25" s="115"/>
      <c r="AC25" s="104"/>
      <c r="AD25" s="105"/>
      <c r="AE25" s="105"/>
      <c r="AF25" s="105"/>
      <c r="AG25" s="112"/>
      <c r="AH25" s="105"/>
      <c r="AI25" s="105"/>
      <c r="AJ25" s="107"/>
      <c r="AK25" s="105"/>
      <c r="AL25" s="105"/>
      <c r="AM25" s="105"/>
      <c r="AN25" s="107"/>
      <c r="AO25" s="112"/>
      <c r="AP25" s="105"/>
      <c r="AQ25" s="105"/>
      <c r="AR25" s="105"/>
      <c r="AS25" s="112"/>
      <c r="AT25" s="105"/>
      <c r="AU25" s="105"/>
      <c r="AV25" s="115"/>
    </row>
    <row r="26" spans="3:48" ht="16.5" customHeight="1">
      <c r="D26" s="104"/>
      <c r="E26" s="105"/>
      <c r="F26" s="105"/>
      <c r="G26" s="105"/>
      <c r="H26" s="112"/>
      <c r="I26" s="105"/>
      <c r="J26" s="105"/>
      <c r="K26" s="107"/>
      <c r="L26" s="105"/>
      <c r="M26" s="105"/>
      <c r="N26" s="105"/>
      <c r="O26" s="107"/>
      <c r="P26" s="112"/>
      <c r="Q26" s="105"/>
      <c r="R26" s="105"/>
      <c r="S26" s="105"/>
      <c r="T26" s="112"/>
      <c r="U26" s="105"/>
      <c r="V26" s="105"/>
      <c r="W26" s="115"/>
      <c r="AC26" s="104"/>
      <c r="AD26" s="105"/>
      <c r="AE26" s="105"/>
      <c r="AF26" s="105"/>
      <c r="AG26" s="112"/>
      <c r="AH26" s="105"/>
      <c r="AI26" s="105"/>
      <c r="AJ26" s="107"/>
      <c r="AK26" s="105"/>
      <c r="AL26" s="105"/>
      <c r="AM26" s="105"/>
      <c r="AN26" s="107"/>
      <c r="AO26" s="112"/>
      <c r="AP26" s="105"/>
      <c r="AQ26" s="105"/>
      <c r="AR26" s="105"/>
      <c r="AS26" s="112"/>
      <c r="AT26" s="105"/>
      <c r="AU26" s="105"/>
      <c r="AV26" s="115"/>
    </row>
    <row r="27" spans="3:48" ht="16.5" customHeight="1" thickBot="1">
      <c r="D27" s="108"/>
      <c r="E27" s="109"/>
      <c r="F27" s="109"/>
      <c r="G27" s="109"/>
      <c r="H27" s="113"/>
      <c r="I27" s="109"/>
      <c r="J27" s="109"/>
      <c r="K27" s="110"/>
      <c r="L27" s="109"/>
      <c r="M27" s="109"/>
      <c r="N27" s="109"/>
      <c r="O27" s="110"/>
      <c r="P27" s="113"/>
      <c r="Q27" s="109"/>
      <c r="R27" s="109"/>
      <c r="S27" s="109"/>
      <c r="T27" s="113"/>
      <c r="U27" s="109"/>
      <c r="V27" s="109"/>
      <c r="W27" s="116"/>
      <c r="AC27" s="108"/>
      <c r="AD27" s="109"/>
      <c r="AE27" s="109"/>
      <c r="AF27" s="109"/>
      <c r="AG27" s="113"/>
      <c r="AH27" s="109"/>
      <c r="AI27" s="109"/>
      <c r="AJ27" s="110"/>
      <c r="AK27" s="109"/>
      <c r="AL27" s="109"/>
      <c r="AM27" s="109"/>
      <c r="AN27" s="110"/>
      <c r="AO27" s="113"/>
      <c r="AP27" s="109"/>
      <c r="AQ27" s="109"/>
      <c r="AR27" s="109"/>
      <c r="AS27" s="113"/>
      <c r="AT27" s="109"/>
      <c r="AU27" s="109"/>
      <c r="AV27" s="116"/>
    </row>
    <row r="28" spans="3:48" ht="16.5" customHeight="1"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</row>
    <row r="29" spans="3:48" ht="16.5" customHeight="1"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3:48" ht="16.5" customHeight="1">
      <c r="D30" s="591" t="s">
        <v>553</v>
      </c>
      <c r="E30" s="591"/>
      <c r="F30" s="591"/>
      <c r="G30" s="591"/>
      <c r="H30" s="591"/>
      <c r="I30" s="591"/>
      <c r="J30" s="591"/>
      <c r="K30" s="591"/>
      <c r="L30" s="591"/>
      <c r="M30" s="591"/>
      <c r="N30" s="591"/>
      <c r="O30" s="591"/>
      <c r="P30" s="591"/>
      <c r="Q30" s="591"/>
      <c r="R30" s="591"/>
      <c r="S30" s="591"/>
      <c r="T30" s="591"/>
      <c r="U30" s="591"/>
      <c r="V30" s="591"/>
      <c r="W30" s="591"/>
      <c r="AC30" s="591" t="s">
        <v>554</v>
      </c>
      <c r="AD30" s="591"/>
      <c r="AE30" s="591"/>
      <c r="AF30" s="591"/>
      <c r="AG30" s="591"/>
      <c r="AH30" s="591"/>
      <c r="AI30" s="591"/>
      <c r="AJ30" s="591"/>
      <c r="AK30" s="591"/>
      <c r="AL30" s="591"/>
      <c r="AM30" s="591"/>
      <c r="AN30" s="591"/>
      <c r="AO30" s="591"/>
      <c r="AP30" s="591"/>
      <c r="AQ30" s="591"/>
      <c r="AR30" s="591"/>
      <c r="AS30" s="591"/>
      <c r="AT30" s="591"/>
      <c r="AU30" s="591"/>
      <c r="AV30" s="591"/>
    </row>
    <row r="32" spans="3:48" ht="22.5" customHeight="1">
      <c r="D32" s="1013" t="s">
        <v>54</v>
      </c>
      <c r="E32" s="1013"/>
      <c r="F32" s="1013"/>
      <c r="G32" s="1013"/>
      <c r="H32" s="1013"/>
      <c r="I32" s="1013"/>
      <c r="J32" s="1013"/>
      <c r="K32" s="1013"/>
      <c r="L32" s="1013"/>
      <c r="M32" s="1013"/>
      <c r="N32" s="1013"/>
      <c r="O32" s="1014"/>
      <c r="P32" s="1015" t="s">
        <v>602</v>
      </c>
      <c r="Q32" s="1013"/>
      <c r="R32" s="1013"/>
      <c r="S32" s="1013"/>
      <c r="T32" s="57"/>
      <c r="U32" s="57"/>
      <c r="V32" s="57"/>
      <c r="W32" s="53"/>
      <c r="X32" s="53"/>
      <c r="Y32" s="53"/>
      <c r="AC32" s="1013" t="s">
        <v>54</v>
      </c>
      <c r="AD32" s="1013"/>
      <c r="AE32" s="1013"/>
      <c r="AF32" s="1013"/>
      <c r="AG32" s="1013"/>
      <c r="AH32" s="1013"/>
      <c r="AI32" s="1013"/>
      <c r="AJ32" s="1013"/>
      <c r="AK32" s="1013"/>
      <c r="AL32" s="1013"/>
      <c r="AM32" s="1013"/>
      <c r="AN32" s="1014"/>
      <c r="AO32" s="1015" t="s">
        <v>602</v>
      </c>
      <c r="AP32" s="1013"/>
      <c r="AQ32" s="1013"/>
      <c r="AR32" s="1013"/>
    </row>
    <row r="33" spans="3:48" ht="22.5" customHeight="1">
      <c r="D33" s="303"/>
      <c r="E33" s="303"/>
      <c r="F33" s="303"/>
      <c r="G33" s="303"/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57"/>
      <c r="U33" s="57"/>
      <c r="V33" s="57"/>
      <c r="W33" s="53"/>
      <c r="X33" s="53"/>
      <c r="Y33" s="5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03"/>
      <c r="AN33" s="303"/>
      <c r="AO33" s="303"/>
      <c r="AP33" s="303"/>
      <c r="AQ33" s="303"/>
      <c r="AR33" s="303"/>
    </row>
    <row r="34" spans="3:48" ht="22.5" customHeight="1"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57"/>
      <c r="U34" s="57"/>
      <c r="V34" s="57"/>
      <c r="W34" s="53"/>
      <c r="X34" s="53"/>
      <c r="Y34" s="53"/>
      <c r="AC34" s="303"/>
      <c r="AD34" s="303"/>
      <c r="AE34" s="303"/>
      <c r="AF34" s="303"/>
      <c r="AG34" s="303"/>
      <c r="AH34" s="303"/>
      <c r="AI34" s="303"/>
      <c r="AJ34" s="303"/>
      <c r="AK34" s="303"/>
      <c r="AL34" s="303"/>
      <c r="AM34" s="303"/>
      <c r="AN34" s="303"/>
      <c r="AO34" s="303"/>
      <c r="AP34" s="303"/>
      <c r="AQ34" s="303"/>
      <c r="AR34" s="303"/>
    </row>
    <row r="35" spans="3:48" ht="22.5" customHeight="1">
      <c r="D35" s="303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57"/>
      <c r="U35" s="57"/>
      <c r="V35" s="57"/>
      <c r="W35" s="53"/>
      <c r="X35" s="53"/>
      <c r="Y35" s="53"/>
      <c r="AC35" s="303"/>
      <c r="AD35" s="303"/>
      <c r="AE35" s="303"/>
      <c r="AF35" s="303"/>
      <c r="AG35" s="303"/>
      <c r="AH35" s="303"/>
      <c r="AI35" s="303"/>
      <c r="AJ35" s="303"/>
      <c r="AK35" s="303"/>
      <c r="AL35" s="303"/>
      <c r="AM35" s="303"/>
      <c r="AN35" s="303"/>
      <c r="AO35" s="303"/>
      <c r="AP35" s="303"/>
      <c r="AQ35" s="303"/>
      <c r="AR35" s="303"/>
    </row>
    <row r="36" spans="3:48" ht="22.5" customHeight="1">
      <c r="D36" s="303"/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57"/>
      <c r="U36" s="57"/>
      <c r="V36" s="57"/>
      <c r="W36" s="53"/>
      <c r="X36" s="53"/>
      <c r="Y36" s="53"/>
      <c r="AC36" s="303"/>
      <c r="AD36" s="303"/>
      <c r="AE36" s="303"/>
      <c r="AF36" s="303"/>
      <c r="AG36" s="303"/>
      <c r="AH36" s="303"/>
      <c r="AI36" s="303"/>
      <c r="AJ36" s="303"/>
      <c r="AK36" s="303"/>
      <c r="AL36" s="303"/>
      <c r="AM36" s="303"/>
      <c r="AN36" s="303"/>
      <c r="AO36" s="303"/>
      <c r="AP36" s="303"/>
      <c r="AQ36" s="303"/>
      <c r="AR36" s="303"/>
    </row>
    <row r="37" spans="3:48" ht="22.5" customHeight="1">
      <c r="D37" s="57"/>
      <c r="E37" s="57"/>
      <c r="F37" s="57"/>
      <c r="G37" s="57"/>
      <c r="H37" s="57"/>
      <c r="I37" s="57"/>
      <c r="J37" s="117"/>
      <c r="K37" s="117"/>
      <c r="L37" s="117"/>
      <c r="M37" s="117"/>
      <c r="N37" s="117"/>
      <c r="O37" s="117"/>
      <c r="T37" s="57"/>
      <c r="U37" s="57"/>
      <c r="V37" s="57"/>
      <c r="W37" s="53"/>
      <c r="X37" s="53"/>
      <c r="Y37" s="53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</row>
    <row r="38" spans="3:48" ht="22.5" customHeight="1">
      <c r="D38" s="57"/>
      <c r="E38" s="57"/>
      <c r="F38" s="57"/>
      <c r="G38" s="57"/>
      <c r="H38" s="57"/>
      <c r="I38" s="57"/>
      <c r="J38" s="117"/>
      <c r="K38" s="117"/>
      <c r="L38" s="117"/>
      <c r="M38" s="117"/>
      <c r="N38" s="117"/>
      <c r="O38" s="117"/>
      <c r="T38" s="57"/>
      <c r="U38" s="57"/>
      <c r="V38" s="57"/>
      <c r="W38" s="57"/>
      <c r="X38" s="57"/>
      <c r="Y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</row>
    <row r="39" spans="3:48" ht="16.5" customHeight="1">
      <c r="F39" s="54"/>
      <c r="G39" s="616"/>
      <c r="H39" s="616"/>
      <c r="I39" s="54"/>
      <c r="K39" s="616"/>
      <c r="L39" s="616"/>
      <c r="O39" s="616"/>
      <c r="P39" s="616"/>
      <c r="S39" s="616"/>
      <c r="T39" s="616"/>
      <c r="AE39" s="54"/>
      <c r="AF39" s="616"/>
      <c r="AG39" s="616"/>
      <c r="AH39" s="54"/>
      <c r="AJ39" s="616"/>
      <c r="AK39" s="616"/>
      <c r="AN39" s="616"/>
      <c r="AO39" s="616"/>
      <c r="AR39" s="616"/>
      <c r="AS39" s="616"/>
    </row>
    <row r="40" spans="3:48" ht="16.5" customHeight="1">
      <c r="G40" s="56"/>
      <c r="AF40" s="56"/>
    </row>
    <row r="41" spans="3:48" ht="16.5" customHeight="1">
      <c r="W41" s="617" t="s">
        <v>158</v>
      </c>
      <c r="X41" s="617"/>
      <c r="Y41" s="617"/>
      <c r="Z41" s="617"/>
      <c r="AA41" s="617"/>
      <c r="AB41" s="617"/>
      <c r="AV41" s="54"/>
    </row>
    <row r="43" spans="3:48" ht="16.5" customHeight="1" thickBot="1"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304"/>
      <c r="T43" s="304"/>
      <c r="U43" s="304"/>
      <c r="V43" s="304"/>
      <c r="AD43" s="304"/>
      <c r="AE43" s="304"/>
      <c r="AF43" s="304"/>
      <c r="AG43" s="304"/>
      <c r="AH43" s="304"/>
      <c r="AI43" s="304"/>
      <c r="AJ43" s="304"/>
      <c r="AK43" s="304"/>
      <c r="AL43" s="304"/>
      <c r="AM43" s="304"/>
      <c r="AN43" s="304"/>
      <c r="AO43" s="304"/>
      <c r="AP43" s="304"/>
      <c r="AQ43" s="304"/>
      <c r="AR43" s="304"/>
      <c r="AS43" s="304"/>
      <c r="AT43" s="304"/>
      <c r="AU43" s="304"/>
    </row>
    <row r="44" spans="3:48" ht="16.5" customHeight="1">
      <c r="D44" s="102"/>
      <c r="E44" s="103"/>
      <c r="F44" s="103"/>
      <c r="G44" s="103"/>
      <c r="H44" s="111"/>
      <c r="I44" s="103"/>
      <c r="J44" s="103"/>
      <c r="K44" s="106"/>
      <c r="L44" s="103"/>
      <c r="M44" s="103"/>
      <c r="N44" s="103"/>
      <c r="O44" s="106"/>
      <c r="P44" s="111"/>
      <c r="Q44" s="103"/>
      <c r="R44" s="103"/>
      <c r="S44" s="103"/>
      <c r="T44" s="111"/>
      <c r="U44" s="103"/>
      <c r="V44" s="103"/>
      <c r="W44" s="114"/>
      <c r="AC44" s="102"/>
      <c r="AD44" s="103"/>
      <c r="AE44" s="103"/>
      <c r="AF44" s="103"/>
      <c r="AG44" s="111"/>
      <c r="AH44" s="103"/>
      <c r="AI44" s="103"/>
      <c r="AJ44" s="106"/>
      <c r="AK44" s="103"/>
      <c r="AL44" s="103"/>
      <c r="AM44" s="103"/>
      <c r="AN44" s="106"/>
      <c r="AO44" s="111"/>
      <c r="AP44" s="103"/>
      <c r="AQ44" s="103"/>
      <c r="AR44" s="103"/>
      <c r="AS44" s="111"/>
      <c r="AT44" s="103"/>
      <c r="AU44" s="103"/>
      <c r="AV44" s="114"/>
    </row>
    <row r="45" spans="3:48" ht="16.5" customHeight="1">
      <c r="C45" s="304"/>
      <c r="D45" s="104"/>
      <c r="E45" s="105"/>
      <c r="F45" s="105"/>
      <c r="G45" s="105"/>
      <c r="H45" s="112"/>
      <c r="I45" s="105"/>
      <c r="J45" s="105"/>
      <c r="K45" s="107"/>
      <c r="L45" s="105"/>
      <c r="M45" s="105"/>
      <c r="N45" s="105"/>
      <c r="O45" s="107"/>
      <c r="P45" s="112"/>
      <c r="Q45" s="105"/>
      <c r="R45" s="105"/>
      <c r="S45" s="105"/>
      <c r="T45" s="112"/>
      <c r="U45" s="105"/>
      <c r="V45" s="105"/>
      <c r="W45" s="115"/>
      <c r="AB45" s="304"/>
      <c r="AC45" s="104"/>
      <c r="AD45" s="105"/>
      <c r="AE45" s="105"/>
      <c r="AF45" s="105"/>
      <c r="AG45" s="112"/>
      <c r="AH45" s="105"/>
      <c r="AI45" s="105"/>
      <c r="AJ45" s="107"/>
      <c r="AK45" s="105"/>
      <c r="AL45" s="105"/>
      <c r="AM45" s="105"/>
      <c r="AN45" s="107"/>
      <c r="AO45" s="112"/>
      <c r="AP45" s="105"/>
      <c r="AQ45" s="105"/>
      <c r="AR45" s="105"/>
      <c r="AS45" s="112"/>
      <c r="AT45" s="105"/>
      <c r="AU45" s="105"/>
      <c r="AV45" s="115"/>
    </row>
    <row r="46" spans="3:48" ht="16.5" customHeight="1">
      <c r="C46" s="304"/>
      <c r="D46" s="104"/>
      <c r="E46" s="105"/>
      <c r="F46" s="105"/>
      <c r="G46" s="105"/>
      <c r="H46" s="112"/>
      <c r="I46" s="105"/>
      <c r="J46" s="105"/>
      <c r="K46" s="107"/>
      <c r="L46" s="105"/>
      <c r="M46" s="105"/>
      <c r="N46" s="105"/>
      <c r="O46" s="107"/>
      <c r="P46" s="112"/>
      <c r="Q46" s="105"/>
      <c r="R46" s="105"/>
      <c r="S46" s="105"/>
      <c r="T46" s="112"/>
      <c r="U46" s="105"/>
      <c r="V46" s="105"/>
      <c r="W46" s="115"/>
      <c r="AB46" s="304"/>
      <c r="AC46" s="104"/>
      <c r="AD46" s="105"/>
      <c r="AE46" s="105"/>
      <c r="AF46" s="105"/>
      <c r="AG46" s="112"/>
      <c r="AH46" s="105"/>
      <c r="AI46" s="105"/>
      <c r="AJ46" s="107"/>
      <c r="AK46" s="105"/>
      <c r="AL46" s="105"/>
      <c r="AM46" s="105"/>
      <c r="AN46" s="107"/>
      <c r="AO46" s="112"/>
      <c r="AP46" s="105"/>
      <c r="AQ46" s="105"/>
      <c r="AR46" s="105"/>
      <c r="AS46" s="112"/>
      <c r="AT46" s="105"/>
      <c r="AU46" s="105"/>
      <c r="AV46" s="115"/>
    </row>
    <row r="47" spans="3:48" ht="16.5" customHeight="1">
      <c r="C47" s="304"/>
      <c r="D47" s="104"/>
      <c r="E47" s="105"/>
      <c r="F47" s="105"/>
      <c r="G47" s="105"/>
      <c r="H47" s="112"/>
      <c r="I47" s="105"/>
      <c r="J47" s="105"/>
      <c r="K47" s="107"/>
      <c r="L47" s="105"/>
      <c r="M47" s="105"/>
      <c r="N47" s="105"/>
      <c r="O47" s="107"/>
      <c r="P47" s="112"/>
      <c r="Q47" s="105"/>
      <c r="R47" s="105"/>
      <c r="S47" s="105"/>
      <c r="T47" s="112"/>
      <c r="U47" s="105"/>
      <c r="V47" s="105"/>
      <c r="W47" s="115"/>
      <c r="AB47" s="304"/>
      <c r="AC47" s="104"/>
      <c r="AD47" s="105"/>
      <c r="AE47" s="105"/>
      <c r="AF47" s="105"/>
      <c r="AG47" s="112"/>
      <c r="AH47" s="105"/>
      <c r="AI47" s="105"/>
      <c r="AJ47" s="107"/>
      <c r="AK47" s="105"/>
      <c r="AL47" s="105"/>
      <c r="AM47" s="105"/>
      <c r="AN47" s="107"/>
      <c r="AO47" s="112"/>
      <c r="AP47" s="105"/>
      <c r="AQ47" s="105"/>
      <c r="AR47" s="105"/>
      <c r="AS47" s="112"/>
      <c r="AT47" s="105"/>
      <c r="AU47" s="105"/>
      <c r="AV47" s="115"/>
    </row>
    <row r="48" spans="3:48" ht="16.5" customHeight="1">
      <c r="C48" s="304"/>
      <c r="D48" s="1018"/>
      <c r="E48" s="1019"/>
      <c r="F48" s="1019"/>
      <c r="G48" s="1019"/>
      <c r="H48" s="1022"/>
      <c r="I48" s="1019"/>
      <c r="J48" s="1019"/>
      <c r="K48" s="1023"/>
      <c r="L48" s="1019"/>
      <c r="M48" s="1019"/>
      <c r="N48" s="1019"/>
      <c r="O48" s="1019"/>
      <c r="P48" s="1022"/>
      <c r="Q48" s="1019"/>
      <c r="R48" s="1019"/>
      <c r="S48" s="1019"/>
      <c r="T48" s="1022"/>
      <c r="U48" s="1019"/>
      <c r="V48" s="1019"/>
      <c r="W48" s="1028"/>
      <c r="AB48" s="304"/>
      <c r="AC48" s="1018"/>
      <c r="AD48" s="1019"/>
      <c r="AE48" s="1019"/>
      <c r="AF48" s="1019"/>
      <c r="AG48" s="1022"/>
      <c r="AH48" s="1019"/>
      <c r="AI48" s="1019"/>
      <c r="AJ48" s="1023"/>
      <c r="AK48" s="1019"/>
      <c r="AL48" s="1019"/>
      <c r="AM48" s="1019"/>
      <c r="AN48" s="1019"/>
      <c r="AO48" s="1022"/>
      <c r="AP48" s="1019"/>
      <c r="AQ48" s="1019"/>
      <c r="AR48" s="1019"/>
      <c r="AS48" s="1022"/>
      <c r="AT48" s="1019"/>
      <c r="AU48" s="1019"/>
      <c r="AV48" s="1028"/>
    </row>
    <row r="49" spans="3:48" ht="16.5" customHeight="1">
      <c r="C49" s="304"/>
      <c r="D49" s="620"/>
      <c r="E49" s="621"/>
      <c r="F49" s="621"/>
      <c r="G49" s="621"/>
      <c r="H49" s="1024"/>
      <c r="I49" s="621"/>
      <c r="J49" s="621"/>
      <c r="K49" s="1025"/>
      <c r="L49" s="621"/>
      <c r="M49" s="621"/>
      <c r="N49" s="621"/>
      <c r="O49" s="621"/>
      <c r="P49" s="1024"/>
      <c r="Q49" s="621"/>
      <c r="R49" s="621"/>
      <c r="S49" s="621"/>
      <c r="T49" s="1024"/>
      <c r="U49" s="621"/>
      <c r="V49" s="621"/>
      <c r="W49" s="1029"/>
      <c r="AB49" s="304"/>
      <c r="AC49" s="620"/>
      <c r="AD49" s="621"/>
      <c r="AE49" s="621"/>
      <c r="AF49" s="621"/>
      <c r="AG49" s="1024"/>
      <c r="AH49" s="621"/>
      <c r="AI49" s="621"/>
      <c r="AJ49" s="1025"/>
      <c r="AK49" s="621"/>
      <c r="AL49" s="621"/>
      <c r="AM49" s="621"/>
      <c r="AN49" s="621"/>
      <c r="AO49" s="1024"/>
      <c r="AP49" s="621"/>
      <c r="AQ49" s="621"/>
      <c r="AR49" s="621"/>
      <c r="AS49" s="1024"/>
      <c r="AT49" s="621"/>
      <c r="AU49" s="621"/>
      <c r="AV49" s="1029"/>
    </row>
    <row r="50" spans="3:48" ht="16.5" customHeight="1">
      <c r="C50" s="304"/>
      <c r="D50" s="620"/>
      <c r="E50" s="621"/>
      <c r="F50" s="621"/>
      <c r="G50" s="621"/>
      <c r="H50" s="1024"/>
      <c r="I50" s="621"/>
      <c r="J50" s="621"/>
      <c r="K50" s="1025"/>
      <c r="L50" s="621"/>
      <c r="M50" s="621"/>
      <c r="N50" s="621"/>
      <c r="O50" s="621"/>
      <c r="P50" s="1024"/>
      <c r="Q50" s="621"/>
      <c r="R50" s="621"/>
      <c r="S50" s="621"/>
      <c r="T50" s="1024"/>
      <c r="U50" s="621"/>
      <c r="V50" s="621"/>
      <c r="W50" s="1029"/>
      <c r="AB50" s="304"/>
      <c r="AC50" s="620"/>
      <c r="AD50" s="621"/>
      <c r="AE50" s="621"/>
      <c r="AF50" s="621"/>
      <c r="AG50" s="1024"/>
      <c r="AH50" s="621"/>
      <c r="AI50" s="621"/>
      <c r="AJ50" s="1025"/>
      <c r="AK50" s="621"/>
      <c r="AL50" s="621"/>
      <c r="AM50" s="621"/>
      <c r="AN50" s="621"/>
      <c r="AO50" s="1024"/>
      <c r="AP50" s="621"/>
      <c r="AQ50" s="621"/>
      <c r="AR50" s="621"/>
      <c r="AS50" s="1024"/>
      <c r="AT50" s="621"/>
      <c r="AU50" s="621"/>
      <c r="AV50" s="1029"/>
    </row>
    <row r="51" spans="3:48" ht="16.5" customHeight="1">
      <c r="C51" s="304"/>
      <c r="D51" s="1020"/>
      <c r="E51" s="1021"/>
      <c r="F51" s="1021"/>
      <c r="G51" s="1021"/>
      <c r="H51" s="1026"/>
      <c r="I51" s="1021"/>
      <c r="J51" s="1021"/>
      <c r="K51" s="1027"/>
      <c r="L51" s="1021"/>
      <c r="M51" s="1021"/>
      <c r="N51" s="1021"/>
      <c r="O51" s="1021"/>
      <c r="P51" s="1026"/>
      <c r="Q51" s="1021"/>
      <c r="R51" s="1021"/>
      <c r="S51" s="1021"/>
      <c r="T51" s="1026"/>
      <c r="U51" s="1021"/>
      <c r="V51" s="1021"/>
      <c r="W51" s="1030"/>
      <c r="AB51" s="304"/>
      <c r="AC51" s="1020"/>
      <c r="AD51" s="1021"/>
      <c r="AE51" s="1021"/>
      <c r="AF51" s="1021"/>
      <c r="AG51" s="1026"/>
      <c r="AH51" s="1021"/>
      <c r="AI51" s="1021"/>
      <c r="AJ51" s="1027"/>
      <c r="AK51" s="1021"/>
      <c r="AL51" s="1021"/>
      <c r="AM51" s="1021"/>
      <c r="AN51" s="1021"/>
      <c r="AO51" s="1026"/>
      <c r="AP51" s="1021"/>
      <c r="AQ51" s="1021"/>
      <c r="AR51" s="1021"/>
      <c r="AS51" s="1026"/>
      <c r="AT51" s="1021"/>
      <c r="AU51" s="1021"/>
      <c r="AV51" s="1030"/>
    </row>
    <row r="52" spans="3:48" ht="16.5" customHeight="1">
      <c r="D52" s="104"/>
      <c r="E52" s="105"/>
      <c r="F52" s="105"/>
      <c r="G52" s="105"/>
      <c r="H52" s="112"/>
      <c r="I52" s="105"/>
      <c r="J52" s="105"/>
      <c r="K52" s="107"/>
      <c r="L52" s="105"/>
      <c r="M52" s="105"/>
      <c r="N52" s="105"/>
      <c r="O52" s="107"/>
      <c r="P52" s="112"/>
      <c r="Q52" s="105"/>
      <c r="R52" s="105"/>
      <c r="S52" s="105"/>
      <c r="T52" s="112"/>
      <c r="U52" s="105"/>
      <c r="V52" s="105"/>
      <c r="W52" s="115"/>
      <c r="AC52" s="104"/>
      <c r="AD52" s="105"/>
      <c r="AE52" s="105"/>
      <c r="AF52" s="105"/>
      <c r="AG52" s="112"/>
      <c r="AH52" s="105"/>
      <c r="AI52" s="105"/>
      <c r="AJ52" s="107"/>
      <c r="AK52" s="105"/>
      <c r="AL52" s="105"/>
      <c r="AM52" s="105"/>
      <c r="AN52" s="107"/>
      <c r="AO52" s="112"/>
      <c r="AP52" s="105"/>
      <c r="AQ52" s="105"/>
      <c r="AR52" s="105"/>
      <c r="AS52" s="112"/>
      <c r="AT52" s="105"/>
      <c r="AU52" s="105"/>
      <c r="AV52" s="115"/>
    </row>
    <row r="53" spans="3:48" ht="16.5" customHeight="1">
      <c r="D53" s="104"/>
      <c r="E53" s="105"/>
      <c r="F53" s="105"/>
      <c r="G53" s="105"/>
      <c r="H53" s="112"/>
      <c r="I53" s="105"/>
      <c r="J53" s="105"/>
      <c r="K53" s="107"/>
      <c r="L53" s="105"/>
      <c r="M53" s="105"/>
      <c r="N53" s="105"/>
      <c r="O53" s="107"/>
      <c r="P53" s="112"/>
      <c r="Q53" s="105"/>
      <c r="R53" s="105"/>
      <c r="S53" s="105"/>
      <c r="T53" s="112"/>
      <c r="U53" s="105"/>
      <c r="V53" s="105"/>
      <c r="W53" s="115"/>
      <c r="AC53" s="104"/>
      <c r="AD53" s="105"/>
      <c r="AE53" s="105"/>
      <c r="AF53" s="105"/>
      <c r="AG53" s="112"/>
      <c r="AH53" s="105"/>
      <c r="AI53" s="105"/>
      <c r="AJ53" s="107"/>
      <c r="AK53" s="105"/>
      <c r="AL53" s="105"/>
      <c r="AM53" s="105"/>
      <c r="AN53" s="107"/>
      <c r="AO53" s="112"/>
      <c r="AP53" s="105"/>
      <c r="AQ53" s="105"/>
      <c r="AR53" s="105"/>
      <c r="AS53" s="112"/>
      <c r="AT53" s="105"/>
      <c r="AU53" s="105"/>
      <c r="AV53" s="115"/>
    </row>
    <row r="54" spans="3:48" ht="16.5" customHeight="1">
      <c r="D54" s="104"/>
      <c r="E54" s="105"/>
      <c r="F54" s="105"/>
      <c r="G54" s="105"/>
      <c r="H54" s="112"/>
      <c r="I54" s="105"/>
      <c r="J54" s="105"/>
      <c r="K54" s="107"/>
      <c r="L54" s="105"/>
      <c r="M54" s="105"/>
      <c r="N54" s="105"/>
      <c r="O54" s="107"/>
      <c r="P54" s="112"/>
      <c r="Q54" s="105"/>
      <c r="R54" s="105"/>
      <c r="S54" s="105"/>
      <c r="T54" s="112"/>
      <c r="U54" s="105"/>
      <c r="V54" s="105"/>
      <c r="W54" s="115"/>
      <c r="AC54" s="104"/>
      <c r="AD54" s="105"/>
      <c r="AE54" s="105"/>
      <c r="AF54" s="105"/>
      <c r="AG54" s="112"/>
      <c r="AH54" s="105"/>
      <c r="AI54" s="105"/>
      <c r="AJ54" s="107"/>
      <c r="AK54" s="105"/>
      <c r="AL54" s="105"/>
      <c r="AM54" s="105"/>
      <c r="AN54" s="107"/>
      <c r="AO54" s="112"/>
      <c r="AP54" s="105"/>
      <c r="AQ54" s="105"/>
      <c r="AR54" s="105"/>
      <c r="AS54" s="112"/>
      <c r="AT54" s="105"/>
      <c r="AU54" s="105"/>
      <c r="AV54" s="115"/>
    </row>
    <row r="55" spans="3:48" ht="16.5" customHeight="1" thickBot="1">
      <c r="D55" s="108"/>
      <c r="E55" s="109"/>
      <c r="F55" s="109"/>
      <c r="G55" s="109"/>
      <c r="H55" s="113"/>
      <c r="I55" s="109"/>
      <c r="J55" s="109"/>
      <c r="K55" s="110"/>
      <c r="L55" s="109"/>
      <c r="M55" s="109"/>
      <c r="N55" s="109"/>
      <c r="O55" s="110"/>
      <c r="P55" s="113"/>
      <c r="Q55" s="109"/>
      <c r="R55" s="109"/>
      <c r="S55" s="109"/>
      <c r="T55" s="113"/>
      <c r="U55" s="109"/>
      <c r="V55" s="109"/>
      <c r="W55" s="116"/>
      <c r="AC55" s="108"/>
      <c r="AD55" s="109"/>
      <c r="AE55" s="109"/>
      <c r="AF55" s="109"/>
      <c r="AG55" s="113"/>
      <c r="AH55" s="109"/>
      <c r="AI55" s="109"/>
      <c r="AJ55" s="110"/>
      <c r="AK55" s="109"/>
      <c r="AL55" s="109"/>
      <c r="AM55" s="109"/>
      <c r="AN55" s="110"/>
      <c r="AO55" s="113"/>
      <c r="AP55" s="109"/>
      <c r="AQ55" s="109"/>
      <c r="AR55" s="109"/>
      <c r="AS55" s="113"/>
      <c r="AT55" s="109"/>
      <c r="AU55" s="109"/>
      <c r="AV55" s="116"/>
    </row>
    <row r="56" spans="3:48" ht="16.5" customHeight="1"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</row>
    <row r="57" spans="3:48" ht="16.5" customHeight="1"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</row>
    <row r="58" spans="3:48" ht="16.5" customHeight="1">
      <c r="D58" s="591" t="s">
        <v>555</v>
      </c>
      <c r="E58" s="591"/>
      <c r="F58" s="591"/>
      <c r="G58" s="591"/>
      <c r="H58" s="591"/>
      <c r="I58" s="591"/>
      <c r="J58" s="591"/>
      <c r="K58" s="591"/>
      <c r="L58" s="591"/>
      <c r="M58" s="591"/>
      <c r="N58" s="591"/>
      <c r="O58" s="591"/>
      <c r="P58" s="591"/>
      <c r="Q58" s="591"/>
      <c r="R58" s="591"/>
      <c r="S58" s="591"/>
      <c r="T58" s="591"/>
      <c r="U58" s="591"/>
      <c r="V58" s="591"/>
      <c r="W58" s="591"/>
      <c r="AC58" s="591" t="s">
        <v>556</v>
      </c>
      <c r="AD58" s="591"/>
      <c r="AE58" s="591"/>
      <c r="AF58" s="591"/>
      <c r="AG58" s="591"/>
      <c r="AH58" s="591"/>
      <c r="AI58" s="591"/>
      <c r="AJ58" s="591"/>
      <c r="AK58" s="591"/>
      <c r="AL58" s="591"/>
      <c r="AM58" s="591"/>
      <c r="AN58" s="591"/>
      <c r="AO58" s="591"/>
      <c r="AP58" s="591"/>
      <c r="AQ58" s="591"/>
      <c r="AR58" s="591"/>
      <c r="AS58" s="591"/>
      <c r="AT58" s="591"/>
      <c r="AU58" s="591"/>
      <c r="AV58" s="591"/>
    </row>
    <row r="60" spans="3:48" ht="22.5" customHeight="1">
      <c r="D60" s="1013" t="s">
        <v>54</v>
      </c>
      <c r="E60" s="1013"/>
      <c r="F60" s="1013"/>
      <c r="G60" s="1013"/>
      <c r="H60" s="1013"/>
      <c r="I60" s="1013"/>
      <c r="J60" s="1013"/>
      <c r="K60" s="1013"/>
      <c r="L60" s="1013"/>
      <c r="M60" s="1013"/>
      <c r="N60" s="1013"/>
      <c r="O60" s="1014"/>
      <c r="P60" s="1015" t="s">
        <v>602</v>
      </c>
      <c r="Q60" s="1013"/>
      <c r="R60" s="1013"/>
      <c r="S60" s="1013"/>
      <c r="T60" s="57"/>
      <c r="U60" s="57"/>
      <c r="V60" s="57"/>
      <c r="W60" s="53"/>
      <c r="X60" s="53"/>
      <c r="Y60" s="53"/>
      <c r="AC60" s="1013" t="s">
        <v>54</v>
      </c>
      <c r="AD60" s="1013"/>
      <c r="AE60" s="1013"/>
      <c r="AF60" s="1013"/>
      <c r="AG60" s="1013"/>
      <c r="AH60" s="1013"/>
      <c r="AI60" s="1013"/>
      <c r="AJ60" s="1013"/>
      <c r="AK60" s="1016"/>
      <c r="AL60" s="1016"/>
      <c r="AM60" s="1016"/>
      <c r="AN60" s="1017"/>
      <c r="AO60" s="1015" t="s">
        <v>602</v>
      </c>
      <c r="AP60" s="1013"/>
      <c r="AQ60" s="1013"/>
      <c r="AR60" s="1013"/>
    </row>
    <row r="61" spans="3:48" ht="22.5" customHeight="1">
      <c r="D61" s="57"/>
      <c r="E61" s="57"/>
      <c r="F61" s="57"/>
      <c r="G61" s="57"/>
      <c r="H61" s="57"/>
      <c r="I61" s="57"/>
      <c r="J61" s="117"/>
      <c r="K61" s="117"/>
      <c r="L61" s="117"/>
      <c r="M61" s="117"/>
      <c r="N61" s="117"/>
      <c r="O61" s="117"/>
      <c r="T61" s="57"/>
      <c r="U61" s="57"/>
      <c r="V61" s="57"/>
      <c r="W61" s="57"/>
      <c r="X61" s="57"/>
      <c r="Y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</row>
    <row r="62" spans="3:48" ht="22.5" customHeight="1">
      <c r="D62" s="57"/>
      <c r="E62" s="57"/>
      <c r="F62" s="57"/>
      <c r="G62" s="57"/>
      <c r="H62" s="57"/>
      <c r="I62" s="57"/>
      <c r="J62" s="117"/>
      <c r="K62" s="117"/>
      <c r="L62" s="117"/>
      <c r="M62" s="117"/>
      <c r="N62" s="117"/>
      <c r="O62" s="117"/>
      <c r="T62" s="54"/>
      <c r="U62" s="54"/>
      <c r="V62" s="54"/>
      <c r="W62" s="54"/>
      <c r="X62" s="54"/>
      <c r="Y62" s="54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</row>
  </sheetData>
  <mergeCells count="61">
    <mergeCell ref="B2:Q2"/>
    <mergeCell ref="AH2:AM2"/>
    <mergeCell ref="AN2:AV2"/>
    <mergeCell ref="AH3:AM3"/>
    <mergeCell ref="AN3:AV3"/>
    <mergeCell ref="G11:H11"/>
    <mergeCell ref="K11:L11"/>
    <mergeCell ref="O11:P11"/>
    <mergeCell ref="S11:T11"/>
    <mergeCell ref="D7:AV7"/>
    <mergeCell ref="AN11:AO11"/>
    <mergeCell ref="AR11:AS11"/>
    <mergeCell ref="AF11:AG11"/>
    <mergeCell ref="AJ11:AK11"/>
    <mergeCell ref="D8:AV8"/>
    <mergeCell ref="W13:AB13"/>
    <mergeCell ref="D30:W30"/>
    <mergeCell ref="AG20:AJ23"/>
    <mergeCell ref="AK20:AN23"/>
    <mergeCell ref="AO20:AR23"/>
    <mergeCell ref="D20:G23"/>
    <mergeCell ref="H20:K23"/>
    <mergeCell ref="AS20:AV23"/>
    <mergeCell ref="AC20:AF23"/>
    <mergeCell ref="O39:P39"/>
    <mergeCell ref="S39:T39"/>
    <mergeCell ref="AF39:AG39"/>
    <mergeCell ref="AC30:AV30"/>
    <mergeCell ref="AO32:AR32"/>
    <mergeCell ref="L20:O23"/>
    <mergeCell ref="P20:S23"/>
    <mergeCell ref="T20:W23"/>
    <mergeCell ref="AJ39:AK39"/>
    <mergeCell ref="AN39:AO39"/>
    <mergeCell ref="AR39:AS39"/>
    <mergeCell ref="D32:K32"/>
    <mergeCell ref="L32:O32"/>
    <mergeCell ref="P32:S32"/>
    <mergeCell ref="AC32:AJ32"/>
    <mergeCell ref="AK32:AN32"/>
    <mergeCell ref="D48:G51"/>
    <mergeCell ref="H48:K51"/>
    <mergeCell ref="L48:O51"/>
    <mergeCell ref="P48:S51"/>
    <mergeCell ref="T48:W51"/>
    <mergeCell ref="G39:H39"/>
    <mergeCell ref="K39:L39"/>
    <mergeCell ref="D58:W58"/>
    <mergeCell ref="AC58:AV58"/>
    <mergeCell ref="D60:K60"/>
    <mergeCell ref="L60:O60"/>
    <mergeCell ref="P60:S60"/>
    <mergeCell ref="AC60:AJ60"/>
    <mergeCell ref="AK60:AN60"/>
    <mergeCell ref="AO60:AR60"/>
    <mergeCell ref="AC48:AF51"/>
    <mergeCell ref="AG48:AJ51"/>
    <mergeCell ref="AK48:AN51"/>
    <mergeCell ref="AO48:AR51"/>
    <mergeCell ref="AS48:AV51"/>
    <mergeCell ref="W41:AB41"/>
  </mergeCells>
  <pageMargins left="0.7" right="0.46" top="0.49" bottom="0.48" header="0.3" footer="0.3"/>
  <pageSetup scale="75" fitToHeight="0" orientation="portrait" horizontalDpi="4294967293" vertic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V36"/>
  <sheetViews>
    <sheetView showFormulas="1" view="pageBreakPreview" zoomScaleNormal="100" zoomScaleSheetLayoutView="100" workbookViewId="0">
      <selection activeCell="D7" sqref="D7:AV7"/>
    </sheetView>
  </sheetViews>
  <sheetFormatPr defaultColWidth="1.25" defaultRowHeight="16.5" customHeight="1"/>
  <cols>
    <col min="1" max="6" width="1.25" style="11"/>
    <col min="7" max="7" width="1.25" style="11" customWidth="1"/>
    <col min="8" max="13" width="1.25" style="11"/>
    <col min="14" max="14" width="3" style="11" customWidth="1"/>
    <col min="15" max="15" width="2.125" style="11" customWidth="1"/>
    <col min="16" max="56" width="1.25" style="11"/>
    <col min="57" max="57" width="5.125" style="11" bestFit="1" customWidth="1"/>
    <col min="58" max="16384" width="1.25" style="11"/>
  </cols>
  <sheetData>
    <row r="2" spans="2:48" ht="16.5" customHeight="1">
      <c r="B2" s="1037" t="s">
        <v>155</v>
      </c>
      <c r="C2" s="1037"/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  <c r="AG2" s="59"/>
      <c r="AH2" s="1037" t="s">
        <v>157</v>
      </c>
      <c r="AI2" s="1037"/>
      <c r="AJ2" s="1037"/>
      <c r="AK2" s="1037"/>
      <c r="AL2" s="1037"/>
      <c r="AM2" s="1037"/>
      <c r="AN2" s="1038">
        <v>43143</v>
      </c>
      <c r="AO2" s="1039"/>
      <c r="AP2" s="1039"/>
      <c r="AQ2" s="1039"/>
      <c r="AR2" s="1039"/>
      <c r="AS2" s="1039"/>
      <c r="AT2" s="1039"/>
      <c r="AU2" s="1039"/>
      <c r="AV2" s="1039"/>
    </row>
    <row r="3" spans="2:48" ht="16.5" customHeight="1">
      <c r="AH3" s="1037" t="s">
        <v>159</v>
      </c>
      <c r="AI3" s="1037"/>
      <c r="AJ3" s="1037"/>
      <c r="AK3" s="1037"/>
      <c r="AL3" s="1037"/>
      <c r="AM3" s="1037"/>
      <c r="AN3" s="1040"/>
      <c r="AO3" s="1040"/>
      <c r="AP3" s="1040"/>
      <c r="AQ3" s="1040"/>
      <c r="AR3" s="1040"/>
      <c r="AS3" s="1040"/>
      <c r="AT3" s="1040"/>
      <c r="AU3" s="1040"/>
      <c r="AV3" s="1040"/>
    </row>
    <row r="5" spans="2:48" ht="16.5" customHeight="1"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</row>
    <row r="7" spans="2:48" ht="25.5" customHeight="1">
      <c r="D7" s="641" t="s">
        <v>341</v>
      </c>
      <c r="E7" s="641"/>
      <c r="F7" s="641"/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  <c r="AH7" s="641"/>
      <c r="AI7" s="641"/>
      <c r="AJ7" s="641"/>
      <c r="AK7" s="641"/>
      <c r="AL7" s="641"/>
      <c r="AM7" s="641"/>
      <c r="AN7" s="641"/>
      <c r="AO7" s="641"/>
      <c r="AP7" s="641"/>
      <c r="AQ7" s="641"/>
      <c r="AR7" s="641"/>
      <c r="AS7" s="641"/>
      <c r="AT7" s="641"/>
      <c r="AU7" s="641"/>
      <c r="AV7" s="641"/>
    </row>
    <row r="8" spans="2:48" ht="16.5" customHeight="1">
      <c r="D8" s="617" t="s">
        <v>557</v>
      </c>
      <c r="E8" s="617"/>
      <c r="F8" s="617"/>
      <c r="G8" s="617"/>
      <c r="H8" s="617"/>
      <c r="I8" s="617"/>
      <c r="J8" s="617"/>
      <c r="K8" s="617"/>
      <c r="L8" s="617"/>
      <c r="M8" s="617"/>
      <c r="N8" s="617"/>
      <c r="O8" s="617"/>
      <c r="P8" s="617"/>
      <c r="Q8" s="617"/>
      <c r="R8" s="617"/>
      <c r="S8" s="617"/>
      <c r="T8" s="617"/>
      <c r="U8" s="617"/>
      <c r="V8" s="617"/>
      <c r="W8" s="617"/>
      <c r="X8" s="617"/>
      <c r="Y8" s="617"/>
      <c r="Z8" s="617"/>
      <c r="AA8" s="617"/>
      <c r="AB8" s="617"/>
      <c r="AC8" s="617"/>
      <c r="AD8" s="617"/>
      <c r="AE8" s="617"/>
      <c r="AF8" s="617"/>
      <c r="AG8" s="617"/>
      <c r="AH8" s="617"/>
      <c r="AI8" s="617"/>
      <c r="AJ8" s="617"/>
      <c r="AK8" s="617"/>
      <c r="AL8" s="617"/>
      <c r="AM8" s="617"/>
      <c r="AN8" s="617"/>
      <c r="AO8" s="617"/>
      <c r="AP8" s="617"/>
      <c r="AQ8" s="617"/>
      <c r="AR8" s="617"/>
      <c r="AS8" s="617"/>
      <c r="AT8" s="617"/>
      <c r="AU8" s="617"/>
      <c r="AV8" s="617"/>
    </row>
    <row r="11" spans="2:48" ht="23.25" customHeight="1">
      <c r="D11" s="1013" t="s">
        <v>349</v>
      </c>
      <c r="E11" s="1013"/>
      <c r="F11" s="1013"/>
      <c r="G11" s="1013"/>
      <c r="H11" s="1013"/>
      <c r="I11" s="1013"/>
      <c r="J11" s="1013"/>
      <c r="K11" s="1013"/>
      <c r="L11" s="1013"/>
      <c r="M11" s="1013"/>
      <c r="N11" s="1013"/>
      <c r="O11" s="1013"/>
      <c r="P11" s="1041" t="s">
        <v>342</v>
      </c>
      <c r="Q11" s="1041"/>
      <c r="R11" s="1041"/>
      <c r="S11" s="1041"/>
      <c r="T11" s="1041"/>
      <c r="U11" s="1041"/>
      <c r="V11" s="1041"/>
      <c r="W11" s="1041"/>
      <c r="X11" s="1041"/>
      <c r="Y11" s="1041"/>
      <c r="Z11" s="1041"/>
      <c r="AA11" s="1041"/>
      <c r="AB11" s="1041"/>
      <c r="AC11" s="1041"/>
      <c r="AD11" s="1041"/>
      <c r="AE11" s="1041"/>
      <c r="AF11" s="1041" t="s">
        <v>343</v>
      </c>
      <c r="AG11" s="1041"/>
      <c r="AH11" s="1041"/>
      <c r="AI11" s="1041"/>
      <c r="AJ11" s="1041"/>
      <c r="AK11" s="1041"/>
      <c r="AL11" s="1041"/>
      <c r="AM11" s="1041"/>
      <c r="AN11" s="1041"/>
      <c r="AO11" s="1041"/>
      <c r="AP11" s="1041"/>
      <c r="AQ11" s="1041"/>
      <c r="AR11" s="1041"/>
      <c r="AS11" s="1041"/>
      <c r="AT11" s="1041"/>
      <c r="AU11" s="1041"/>
    </row>
    <row r="12" spans="2:48" ht="23.25" customHeight="1">
      <c r="D12" s="1013"/>
      <c r="E12" s="1013"/>
      <c r="F12" s="1013"/>
      <c r="G12" s="1013"/>
      <c r="H12" s="1013"/>
      <c r="I12" s="1013"/>
      <c r="J12" s="1013"/>
      <c r="K12" s="1013"/>
      <c r="L12" s="1013"/>
      <c r="M12" s="1013"/>
      <c r="N12" s="1013"/>
      <c r="O12" s="1013"/>
      <c r="P12" s="1041" t="s">
        <v>344</v>
      </c>
      <c r="Q12" s="1041"/>
      <c r="R12" s="1041"/>
      <c r="S12" s="1041"/>
      <c r="T12" s="1041"/>
      <c r="U12" s="1041"/>
      <c r="V12" s="1041"/>
      <c r="W12" s="1041"/>
      <c r="X12" s="1041" t="s">
        <v>345</v>
      </c>
      <c r="Y12" s="1041"/>
      <c r="Z12" s="1041"/>
      <c r="AA12" s="1041"/>
      <c r="AB12" s="1041"/>
      <c r="AC12" s="1041"/>
      <c r="AD12" s="1041"/>
      <c r="AE12" s="1041"/>
      <c r="AF12" s="1041" t="s">
        <v>344</v>
      </c>
      <c r="AG12" s="1041"/>
      <c r="AH12" s="1041"/>
      <c r="AI12" s="1041"/>
      <c r="AJ12" s="1041"/>
      <c r="AK12" s="1041"/>
      <c r="AL12" s="1041"/>
      <c r="AM12" s="1041"/>
      <c r="AN12" s="1041" t="s">
        <v>345</v>
      </c>
      <c r="AO12" s="1041"/>
      <c r="AP12" s="1041"/>
      <c r="AQ12" s="1041"/>
      <c r="AR12" s="1041"/>
      <c r="AS12" s="1041"/>
      <c r="AT12" s="1041"/>
      <c r="AU12" s="1041"/>
    </row>
    <row r="13" spans="2:48" ht="30" customHeight="1">
      <c r="D13" s="1013" t="s">
        <v>136</v>
      </c>
      <c r="E13" s="1013"/>
      <c r="F13" s="1013"/>
      <c r="G13" s="1013"/>
      <c r="H13" s="1013"/>
      <c r="I13" s="1013"/>
      <c r="J13" s="1013"/>
      <c r="K13" s="1013"/>
      <c r="L13" s="1013"/>
      <c r="M13" s="1014"/>
      <c r="N13" s="1015" t="s">
        <v>79</v>
      </c>
      <c r="O13" s="1013"/>
      <c r="P13" s="1041"/>
      <c r="Q13" s="1041"/>
      <c r="R13" s="1041"/>
      <c r="S13" s="1041"/>
      <c r="T13" s="1041"/>
      <c r="U13" s="1041"/>
      <c r="V13" s="1041"/>
      <c r="W13" s="1041"/>
      <c r="X13" s="1041"/>
      <c r="Y13" s="1041"/>
      <c r="Z13" s="1041"/>
      <c r="AA13" s="1041"/>
      <c r="AB13" s="1041"/>
      <c r="AC13" s="1041"/>
      <c r="AD13" s="1041"/>
      <c r="AE13" s="1041"/>
      <c r="AF13" s="1041"/>
      <c r="AG13" s="1041"/>
      <c r="AH13" s="1041"/>
      <c r="AI13" s="1041"/>
      <c r="AJ13" s="1041"/>
      <c r="AK13" s="1041"/>
      <c r="AL13" s="1041"/>
      <c r="AM13" s="1041"/>
      <c r="AN13" s="1041"/>
      <c r="AO13" s="1041"/>
      <c r="AP13" s="1041"/>
      <c r="AQ13" s="1041"/>
      <c r="AR13" s="1041"/>
      <c r="AS13" s="1041"/>
      <c r="AT13" s="1041"/>
      <c r="AU13" s="1041"/>
      <c r="AV13" s="54"/>
    </row>
    <row r="14" spans="2:48" ht="30" customHeight="1">
      <c r="D14" s="1013" t="s">
        <v>346</v>
      </c>
      <c r="E14" s="1013"/>
      <c r="F14" s="1013"/>
      <c r="G14" s="1013"/>
      <c r="H14" s="1013"/>
      <c r="I14" s="1013"/>
      <c r="J14" s="1013"/>
      <c r="K14" s="1013"/>
      <c r="L14" s="1013"/>
      <c r="M14" s="1014"/>
      <c r="N14" s="1015" t="s">
        <v>350</v>
      </c>
      <c r="O14" s="1013"/>
      <c r="P14" s="1041"/>
      <c r="Q14" s="1041"/>
      <c r="R14" s="1041"/>
      <c r="S14" s="1041"/>
      <c r="T14" s="1041"/>
      <c r="U14" s="1041"/>
      <c r="V14" s="1041"/>
      <c r="W14" s="1041"/>
      <c r="X14" s="1041"/>
      <c r="Y14" s="1041"/>
      <c r="Z14" s="1041"/>
      <c r="AA14" s="1041"/>
      <c r="AB14" s="1041"/>
      <c r="AC14" s="1041"/>
      <c r="AD14" s="1041"/>
      <c r="AE14" s="1041"/>
      <c r="AF14" s="1041"/>
      <c r="AG14" s="1041"/>
      <c r="AH14" s="1041"/>
      <c r="AI14" s="1041"/>
      <c r="AJ14" s="1041"/>
      <c r="AK14" s="1041"/>
      <c r="AL14" s="1041"/>
      <c r="AM14" s="1041"/>
      <c r="AN14" s="1041"/>
      <c r="AO14" s="1041"/>
      <c r="AP14" s="1041"/>
      <c r="AQ14" s="1041"/>
      <c r="AR14" s="1041"/>
      <c r="AS14" s="1041"/>
      <c r="AT14" s="1041"/>
      <c r="AU14" s="1041"/>
    </row>
    <row r="15" spans="2:48" ht="30" customHeight="1">
      <c r="D15" s="1013" t="s">
        <v>347</v>
      </c>
      <c r="E15" s="1013"/>
      <c r="F15" s="1013"/>
      <c r="G15" s="1013"/>
      <c r="H15" s="1013"/>
      <c r="I15" s="1013"/>
      <c r="J15" s="1013"/>
      <c r="K15" s="1013"/>
      <c r="L15" s="1013"/>
      <c r="M15" s="1014"/>
      <c r="N15" s="1015" t="s">
        <v>351</v>
      </c>
      <c r="O15" s="1013"/>
      <c r="P15" s="1041"/>
      <c r="Q15" s="1041"/>
      <c r="R15" s="1041"/>
      <c r="S15" s="1041"/>
      <c r="T15" s="1041"/>
      <c r="U15" s="1041"/>
      <c r="V15" s="1041"/>
      <c r="W15" s="1041"/>
      <c r="X15" s="1041"/>
      <c r="Y15" s="1041"/>
      <c r="Z15" s="1041"/>
      <c r="AA15" s="1041"/>
      <c r="AB15" s="1041"/>
      <c r="AC15" s="1041"/>
      <c r="AD15" s="1041"/>
      <c r="AE15" s="1041"/>
      <c r="AF15" s="1041"/>
      <c r="AG15" s="1041"/>
      <c r="AH15" s="1041"/>
      <c r="AI15" s="1041"/>
      <c r="AJ15" s="1041"/>
      <c r="AK15" s="1041"/>
      <c r="AL15" s="1041"/>
      <c r="AM15" s="1041"/>
      <c r="AN15" s="1041"/>
      <c r="AO15" s="1041"/>
      <c r="AP15" s="1041"/>
      <c r="AQ15" s="1041"/>
      <c r="AR15" s="1041"/>
      <c r="AS15" s="1041"/>
      <c r="AT15" s="1041"/>
      <c r="AU15" s="1041"/>
    </row>
    <row r="16" spans="2:48" ht="30" customHeight="1">
      <c r="D16" s="1013" t="s">
        <v>338</v>
      </c>
      <c r="E16" s="1013"/>
      <c r="F16" s="1013"/>
      <c r="G16" s="1013"/>
      <c r="H16" s="1013"/>
      <c r="I16" s="1013"/>
      <c r="J16" s="1013"/>
      <c r="K16" s="1013"/>
      <c r="L16" s="1013"/>
      <c r="M16" s="1014"/>
      <c r="N16" s="1015" t="s">
        <v>356</v>
      </c>
      <c r="O16" s="1013"/>
      <c r="P16" s="1041"/>
      <c r="Q16" s="1041"/>
      <c r="R16" s="1041"/>
      <c r="S16" s="1041"/>
      <c r="T16" s="1041"/>
      <c r="U16" s="1041"/>
      <c r="V16" s="1041"/>
      <c r="W16" s="1041"/>
      <c r="X16" s="1041"/>
      <c r="Y16" s="1041"/>
      <c r="Z16" s="1041"/>
      <c r="AA16" s="1041"/>
      <c r="AB16" s="1041"/>
      <c r="AC16" s="1041"/>
      <c r="AD16" s="1041"/>
      <c r="AE16" s="1041"/>
      <c r="AF16" s="1041"/>
      <c r="AG16" s="1041"/>
      <c r="AH16" s="1041"/>
      <c r="AI16" s="1041"/>
      <c r="AJ16" s="1041"/>
      <c r="AK16" s="1041"/>
      <c r="AL16" s="1041"/>
      <c r="AM16" s="1041"/>
      <c r="AN16" s="1041"/>
      <c r="AO16" s="1041"/>
      <c r="AP16" s="1041"/>
      <c r="AQ16" s="1041"/>
      <c r="AR16" s="1041"/>
      <c r="AS16" s="1041"/>
      <c r="AT16" s="1041"/>
      <c r="AU16" s="1041"/>
      <c r="AV16" s="105"/>
    </row>
    <row r="17" spans="3:48" ht="30" customHeight="1">
      <c r="C17" s="52"/>
      <c r="D17" s="1013" t="s">
        <v>339</v>
      </c>
      <c r="E17" s="1013"/>
      <c r="F17" s="1013"/>
      <c r="G17" s="1013"/>
      <c r="H17" s="1013"/>
      <c r="I17" s="1013"/>
      <c r="J17" s="1013"/>
      <c r="K17" s="1013"/>
      <c r="L17" s="1013"/>
      <c r="M17" s="1014"/>
      <c r="N17" s="1015" t="s">
        <v>356</v>
      </c>
      <c r="O17" s="1013"/>
      <c r="P17" s="1041"/>
      <c r="Q17" s="1041"/>
      <c r="R17" s="1041"/>
      <c r="S17" s="1041"/>
      <c r="T17" s="1041"/>
      <c r="U17" s="1041"/>
      <c r="V17" s="1041"/>
      <c r="W17" s="1041"/>
      <c r="X17" s="1041"/>
      <c r="Y17" s="1041"/>
      <c r="Z17" s="1041"/>
      <c r="AA17" s="1041"/>
      <c r="AB17" s="1041"/>
      <c r="AC17" s="1041"/>
      <c r="AD17" s="1041"/>
      <c r="AE17" s="1041"/>
      <c r="AF17" s="1041"/>
      <c r="AG17" s="1041"/>
      <c r="AH17" s="1041"/>
      <c r="AI17" s="1041"/>
      <c r="AJ17" s="1041"/>
      <c r="AK17" s="1041"/>
      <c r="AL17" s="1041"/>
      <c r="AM17" s="1041"/>
      <c r="AN17" s="1041"/>
      <c r="AO17" s="1041"/>
      <c r="AP17" s="1041"/>
      <c r="AQ17" s="1041"/>
      <c r="AR17" s="1041"/>
      <c r="AS17" s="1041"/>
      <c r="AT17" s="1041"/>
      <c r="AU17" s="1041"/>
      <c r="AV17" s="105"/>
    </row>
    <row r="18" spans="3:48" ht="30" customHeight="1">
      <c r="C18" s="52"/>
      <c r="D18" s="1055" t="s">
        <v>348</v>
      </c>
      <c r="E18" s="1055"/>
      <c r="F18" s="1055"/>
      <c r="G18" s="1055"/>
      <c r="H18" s="1055"/>
      <c r="I18" s="1056"/>
      <c r="J18" s="1042" t="s">
        <v>352</v>
      </c>
      <c r="K18" s="1043"/>
      <c r="L18" s="1043"/>
      <c r="M18" s="1044"/>
      <c r="N18" s="1053" t="s">
        <v>79</v>
      </c>
      <c r="O18" s="1054"/>
      <c r="P18" s="1041"/>
      <c r="Q18" s="1041"/>
      <c r="R18" s="1041"/>
      <c r="S18" s="1041"/>
      <c r="T18" s="1041"/>
      <c r="U18" s="1041"/>
      <c r="V18" s="1041"/>
      <c r="W18" s="1041"/>
      <c r="X18" s="1041"/>
      <c r="Y18" s="1041"/>
      <c r="Z18" s="1041"/>
      <c r="AA18" s="1041"/>
      <c r="AB18" s="1041"/>
      <c r="AC18" s="1041"/>
      <c r="AD18" s="1041"/>
      <c r="AE18" s="1041"/>
      <c r="AF18" s="1041"/>
      <c r="AG18" s="1041"/>
      <c r="AH18" s="1041"/>
      <c r="AI18" s="1041"/>
      <c r="AJ18" s="1041"/>
      <c r="AK18" s="1041"/>
      <c r="AL18" s="1041"/>
      <c r="AM18" s="1041"/>
      <c r="AN18" s="1041"/>
      <c r="AO18" s="1041"/>
      <c r="AP18" s="1041"/>
      <c r="AQ18" s="1041"/>
      <c r="AR18" s="1041"/>
      <c r="AS18" s="1041"/>
      <c r="AT18" s="1041"/>
      <c r="AU18" s="1041"/>
      <c r="AV18" s="105"/>
    </row>
    <row r="19" spans="3:48" ht="30" customHeight="1">
      <c r="C19" s="52"/>
      <c r="D19" s="1055"/>
      <c r="E19" s="1055"/>
      <c r="F19" s="1055"/>
      <c r="G19" s="1055"/>
      <c r="H19" s="1055"/>
      <c r="I19" s="1056"/>
      <c r="J19" s="1045" t="s">
        <v>353</v>
      </c>
      <c r="K19" s="1046"/>
      <c r="L19" s="1046"/>
      <c r="M19" s="1047"/>
      <c r="N19" s="1045" t="s">
        <v>79</v>
      </c>
      <c r="O19" s="1046"/>
      <c r="P19" s="1041"/>
      <c r="Q19" s="1041"/>
      <c r="R19" s="1041"/>
      <c r="S19" s="1041"/>
      <c r="T19" s="1041"/>
      <c r="U19" s="1041"/>
      <c r="V19" s="1041"/>
      <c r="W19" s="1041"/>
      <c r="X19" s="1041"/>
      <c r="Y19" s="1041"/>
      <c r="Z19" s="1041"/>
      <c r="AA19" s="1041"/>
      <c r="AB19" s="1041"/>
      <c r="AC19" s="1041"/>
      <c r="AD19" s="1041"/>
      <c r="AE19" s="1041"/>
      <c r="AF19" s="1041"/>
      <c r="AG19" s="1041"/>
      <c r="AH19" s="1041"/>
      <c r="AI19" s="1041"/>
      <c r="AJ19" s="1041"/>
      <c r="AK19" s="1041"/>
      <c r="AL19" s="1041"/>
      <c r="AM19" s="1041"/>
      <c r="AN19" s="1041"/>
      <c r="AO19" s="1041"/>
      <c r="AP19" s="1041"/>
      <c r="AQ19" s="1041"/>
      <c r="AR19" s="1041"/>
      <c r="AS19" s="1041"/>
      <c r="AT19" s="1041"/>
      <c r="AU19" s="1041"/>
      <c r="AV19" s="105"/>
    </row>
    <row r="20" spans="3:48" ht="30" customHeight="1">
      <c r="C20" s="52"/>
      <c r="D20" s="1055"/>
      <c r="E20" s="1055"/>
      <c r="F20" s="1055"/>
      <c r="G20" s="1055"/>
      <c r="H20" s="1055"/>
      <c r="I20" s="1056"/>
      <c r="J20" s="1045" t="s">
        <v>354</v>
      </c>
      <c r="K20" s="1046"/>
      <c r="L20" s="1046"/>
      <c r="M20" s="1047"/>
      <c r="N20" s="1045" t="s">
        <v>79</v>
      </c>
      <c r="O20" s="1046"/>
      <c r="P20" s="1041"/>
      <c r="Q20" s="1041"/>
      <c r="R20" s="1041"/>
      <c r="S20" s="1041"/>
      <c r="T20" s="1041"/>
      <c r="U20" s="1041"/>
      <c r="V20" s="1041"/>
      <c r="W20" s="1041"/>
      <c r="X20" s="1041"/>
      <c r="Y20" s="1041"/>
      <c r="Z20" s="1041"/>
      <c r="AA20" s="1041"/>
      <c r="AB20" s="1041"/>
      <c r="AC20" s="1041"/>
      <c r="AD20" s="1041"/>
      <c r="AE20" s="1041"/>
      <c r="AF20" s="1041"/>
      <c r="AG20" s="1041"/>
      <c r="AH20" s="1041"/>
      <c r="AI20" s="1041"/>
      <c r="AJ20" s="1041"/>
      <c r="AK20" s="1041"/>
      <c r="AL20" s="1041"/>
      <c r="AM20" s="1041"/>
      <c r="AN20" s="1041"/>
      <c r="AO20" s="1041"/>
      <c r="AP20" s="1041"/>
      <c r="AQ20" s="1041"/>
      <c r="AR20" s="1041"/>
      <c r="AS20" s="1041"/>
      <c r="AT20" s="1041"/>
      <c r="AU20" s="1041"/>
      <c r="AV20" s="105"/>
    </row>
    <row r="21" spans="3:48" ht="30" customHeight="1">
      <c r="C21" s="52"/>
      <c r="D21" s="1055"/>
      <c r="E21" s="1055"/>
      <c r="F21" s="1055"/>
      <c r="G21" s="1055"/>
      <c r="H21" s="1055"/>
      <c r="I21" s="1056"/>
      <c r="J21" s="1048" t="s">
        <v>355</v>
      </c>
      <c r="K21" s="1049"/>
      <c r="L21" s="1049"/>
      <c r="M21" s="1050"/>
      <c r="N21" s="1051" t="s">
        <v>79</v>
      </c>
      <c r="O21" s="1052"/>
      <c r="P21" s="1041"/>
      <c r="Q21" s="1041"/>
      <c r="R21" s="1041"/>
      <c r="S21" s="1041"/>
      <c r="T21" s="1041"/>
      <c r="U21" s="1041"/>
      <c r="V21" s="1041"/>
      <c r="W21" s="1041"/>
      <c r="X21" s="1041"/>
      <c r="Y21" s="1041"/>
      <c r="Z21" s="1041"/>
      <c r="AA21" s="1041"/>
      <c r="AB21" s="1041"/>
      <c r="AC21" s="1041"/>
      <c r="AD21" s="1041"/>
      <c r="AE21" s="1041"/>
      <c r="AF21" s="1041"/>
      <c r="AG21" s="1041"/>
      <c r="AH21" s="1041"/>
      <c r="AI21" s="1041"/>
      <c r="AJ21" s="1041"/>
      <c r="AK21" s="1041"/>
      <c r="AL21" s="1041"/>
      <c r="AM21" s="1041"/>
      <c r="AN21" s="1041"/>
      <c r="AO21" s="1041"/>
      <c r="AP21" s="1041"/>
      <c r="AQ21" s="1041"/>
      <c r="AR21" s="1041"/>
      <c r="AS21" s="1041"/>
      <c r="AT21" s="1041"/>
      <c r="AU21" s="1041"/>
      <c r="AV21" s="105"/>
    </row>
    <row r="22" spans="3:48" ht="30" customHeight="1">
      <c r="C22" s="308"/>
      <c r="D22" s="1013" t="s">
        <v>86</v>
      </c>
      <c r="E22" s="1013"/>
      <c r="F22" s="1013"/>
      <c r="G22" s="1013"/>
      <c r="H22" s="1013"/>
      <c r="I22" s="1013"/>
      <c r="J22" s="1013"/>
      <c r="K22" s="1013"/>
      <c r="L22" s="1013"/>
      <c r="M22" s="1014"/>
      <c r="N22" s="1015" t="s">
        <v>542</v>
      </c>
      <c r="O22" s="1013"/>
      <c r="P22" s="1041"/>
      <c r="Q22" s="1041"/>
      <c r="R22" s="1041"/>
      <c r="S22" s="1041"/>
      <c r="T22" s="1041"/>
      <c r="U22" s="1041"/>
      <c r="V22" s="1041"/>
      <c r="W22" s="1041"/>
      <c r="X22" s="1041"/>
      <c r="Y22" s="1041"/>
      <c r="Z22" s="1041"/>
      <c r="AA22" s="1041"/>
      <c r="AB22" s="1041"/>
      <c r="AC22" s="1041"/>
      <c r="AD22" s="1041"/>
      <c r="AE22" s="1041"/>
      <c r="AF22" s="1041"/>
      <c r="AG22" s="1041"/>
      <c r="AH22" s="1041"/>
      <c r="AI22" s="1041"/>
      <c r="AJ22" s="1041"/>
      <c r="AK22" s="1041"/>
      <c r="AL22" s="1041"/>
      <c r="AM22" s="1041"/>
      <c r="AN22" s="1041"/>
      <c r="AO22" s="1041"/>
      <c r="AP22" s="1041"/>
      <c r="AQ22" s="1041"/>
      <c r="AR22" s="1041"/>
      <c r="AS22" s="1041"/>
      <c r="AT22" s="1041"/>
      <c r="AU22" s="1041"/>
      <c r="AV22" s="318"/>
    </row>
    <row r="23" spans="3:48" ht="30" customHeight="1">
      <c r="C23" s="52"/>
      <c r="D23" s="1013" t="s">
        <v>86</v>
      </c>
      <c r="E23" s="1013"/>
      <c r="F23" s="1013"/>
      <c r="G23" s="1013"/>
      <c r="H23" s="1013"/>
      <c r="I23" s="1013"/>
      <c r="J23" s="1013"/>
      <c r="K23" s="1013"/>
      <c r="L23" s="1013"/>
      <c r="M23" s="1014"/>
      <c r="N23" s="1015" t="s">
        <v>542</v>
      </c>
      <c r="O23" s="1013"/>
      <c r="P23" s="1041"/>
      <c r="Q23" s="1041"/>
      <c r="R23" s="1041"/>
      <c r="S23" s="1041"/>
      <c r="T23" s="1041"/>
      <c r="U23" s="1041"/>
      <c r="V23" s="1041"/>
      <c r="W23" s="1041"/>
      <c r="X23" s="1041"/>
      <c r="Y23" s="1041"/>
      <c r="Z23" s="1041"/>
      <c r="AA23" s="1041"/>
      <c r="AB23" s="1041"/>
      <c r="AC23" s="1041"/>
      <c r="AD23" s="1041"/>
      <c r="AE23" s="1041"/>
      <c r="AF23" s="1041"/>
      <c r="AG23" s="1041"/>
      <c r="AH23" s="1041"/>
      <c r="AI23" s="1041"/>
      <c r="AJ23" s="1041"/>
      <c r="AK23" s="1041"/>
      <c r="AL23" s="1041"/>
      <c r="AM23" s="1041"/>
      <c r="AN23" s="1041"/>
      <c r="AO23" s="1041"/>
      <c r="AP23" s="1041"/>
      <c r="AQ23" s="1041"/>
      <c r="AR23" s="1041"/>
      <c r="AS23" s="1041"/>
      <c r="AT23" s="1041"/>
      <c r="AU23" s="1041"/>
      <c r="AV23" s="105"/>
    </row>
    <row r="24" spans="3:48" ht="23.25" customHeight="1"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617"/>
      <c r="O24" s="617"/>
      <c r="P24" s="105"/>
      <c r="Q24" s="105"/>
      <c r="R24" s="105"/>
      <c r="S24" s="105"/>
      <c r="T24" s="105"/>
      <c r="U24" s="105"/>
      <c r="V24" s="105"/>
      <c r="W24" s="105"/>
      <c r="X24" s="53"/>
      <c r="Y24" s="53"/>
      <c r="Z24" s="53"/>
      <c r="AA24" s="53"/>
      <c r="AB24" s="53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</row>
    <row r="25" spans="3:48" ht="16.5" customHeight="1"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53"/>
      <c r="Y25" s="53"/>
      <c r="Z25" s="53"/>
      <c r="AA25" s="53"/>
      <c r="AB25" s="53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</row>
    <row r="26" spans="3:48" ht="16.5" customHeight="1"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53"/>
      <c r="Y26" s="53"/>
      <c r="Z26" s="53"/>
      <c r="AA26" s="53"/>
      <c r="AB26" s="53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</row>
    <row r="27" spans="3:48" ht="16.5" customHeight="1"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53"/>
      <c r="Y27" s="53"/>
      <c r="Z27" s="53"/>
      <c r="AA27" s="53"/>
      <c r="AB27" s="53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</row>
    <row r="28" spans="3:48" ht="16.5" customHeight="1"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3"/>
      <c r="Y28" s="53"/>
      <c r="Z28" s="53"/>
      <c r="AA28" s="53"/>
      <c r="AB28" s="53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spans="3:48" ht="16.5" customHeight="1"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3"/>
      <c r="Y29" s="53"/>
      <c r="Z29" s="53"/>
      <c r="AA29" s="53"/>
      <c r="AB29" s="53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</row>
    <row r="30" spans="3:48" ht="16.5" customHeight="1"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3"/>
      <c r="Y30" s="53"/>
      <c r="Z30" s="53"/>
      <c r="AA30" s="53"/>
      <c r="AB30" s="53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</row>
    <row r="31" spans="3:48" ht="16.5" customHeight="1"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3:48" ht="22.5" customHeight="1"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3"/>
      <c r="X32" s="53"/>
      <c r="Y32" s="53"/>
      <c r="Z32" s="53"/>
      <c r="AA32" s="53"/>
      <c r="AB32" s="53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3"/>
      <c r="AT32" s="53"/>
      <c r="AU32" s="53"/>
      <c r="AV32" s="53"/>
    </row>
    <row r="33" spans="4:48" ht="22.5" customHeight="1">
      <c r="D33" s="57"/>
      <c r="E33" s="57"/>
      <c r="F33" s="57"/>
      <c r="G33" s="57"/>
      <c r="H33" s="57"/>
      <c r="I33" s="57"/>
      <c r="J33" s="117"/>
      <c r="K33" s="117"/>
      <c r="L33" s="117"/>
      <c r="M33" s="117"/>
      <c r="N33" s="117"/>
      <c r="O33" s="117"/>
      <c r="P33" s="53"/>
      <c r="Q33" s="53"/>
      <c r="R33" s="53"/>
      <c r="S33" s="53"/>
      <c r="T33" s="57"/>
      <c r="U33" s="57"/>
      <c r="V33" s="57"/>
      <c r="W33" s="53"/>
      <c r="X33" s="53"/>
      <c r="Y33" s="53"/>
      <c r="Z33" s="53"/>
      <c r="AA33" s="53"/>
      <c r="AB33" s="53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3"/>
      <c r="AP33" s="53"/>
      <c r="AQ33" s="53"/>
      <c r="AR33" s="53"/>
      <c r="AS33" s="53"/>
      <c r="AT33" s="53"/>
      <c r="AU33" s="53"/>
      <c r="AV33" s="53"/>
    </row>
    <row r="34" spans="4:48" ht="22.5" customHeight="1">
      <c r="D34" s="57"/>
      <c r="E34" s="57"/>
      <c r="F34" s="57"/>
      <c r="G34" s="57"/>
      <c r="H34" s="57"/>
      <c r="I34" s="57"/>
      <c r="J34" s="117"/>
      <c r="K34" s="117"/>
      <c r="L34" s="117"/>
      <c r="M34" s="117"/>
      <c r="N34" s="117"/>
      <c r="O34" s="117"/>
      <c r="P34" s="53"/>
      <c r="Q34" s="53"/>
      <c r="R34" s="53"/>
      <c r="S34" s="53"/>
      <c r="T34" s="57"/>
      <c r="U34" s="57"/>
      <c r="V34" s="57"/>
      <c r="W34" s="57"/>
      <c r="X34" s="57"/>
      <c r="Y34" s="57"/>
      <c r="Z34" s="53"/>
      <c r="AA34" s="53"/>
      <c r="AB34" s="53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3"/>
      <c r="AP34" s="53"/>
      <c r="AQ34" s="53"/>
      <c r="AR34" s="53"/>
      <c r="AS34" s="53"/>
      <c r="AT34" s="53"/>
      <c r="AU34" s="53"/>
      <c r="AV34" s="53"/>
    </row>
    <row r="35" spans="4:48" ht="22.5" customHeight="1">
      <c r="D35" s="57"/>
      <c r="E35" s="57"/>
      <c r="F35" s="57"/>
      <c r="G35" s="57"/>
      <c r="H35" s="57"/>
      <c r="I35" s="57"/>
      <c r="J35" s="117"/>
      <c r="K35" s="117"/>
      <c r="L35" s="117"/>
      <c r="M35" s="117"/>
      <c r="N35" s="117"/>
      <c r="O35" s="117"/>
      <c r="P35" s="53"/>
      <c r="Q35" s="53"/>
      <c r="R35" s="53"/>
      <c r="S35" s="53"/>
      <c r="T35" s="57"/>
      <c r="U35" s="57"/>
      <c r="V35" s="57"/>
      <c r="W35" s="57"/>
      <c r="X35" s="57"/>
      <c r="Y35" s="57"/>
      <c r="Z35" s="53"/>
      <c r="AA35" s="53"/>
      <c r="AB35" s="53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3"/>
      <c r="AP35" s="53"/>
      <c r="AQ35" s="53"/>
      <c r="AR35" s="53"/>
      <c r="AS35" s="53"/>
      <c r="AT35" s="53"/>
      <c r="AU35" s="53"/>
      <c r="AV35" s="53"/>
    </row>
    <row r="36" spans="4:48" ht="22.5" customHeight="1">
      <c r="D36" s="57"/>
      <c r="E36" s="57"/>
      <c r="F36" s="57"/>
      <c r="G36" s="57"/>
      <c r="H36" s="57"/>
      <c r="I36" s="57"/>
      <c r="J36" s="117"/>
      <c r="K36" s="117"/>
      <c r="L36" s="117"/>
      <c r="M36" s="117"/>
      <c r="N36" s="117"/>
      <c r="O36" s="117"/>
      <c r="T36" s="54"/>
      <c r="U36" s="54"/>
      <c r="V36" s="54"/>
      <c r="W36" s="54"/>
      <c r="X36" s="54"/>
      <c r="Y36" s="54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</row>
  </sheetData>
  <mergeCells count="82">
    <mergeCell ref="D8:AV8"/>
    <mergeCell ref="B2:Q2"/>
    <mergeCell ref="AH2:AM2"/>
    <mergeCell ref="AN2:AV2"/>
    <mergeCell ref="AH3:AM3"/>
    <mergeCell ref="AN3:AV3"/>
    <mergeCell ref="D7:AV7"/>
    <mergeCell ref="D11:O12"/>
    <mergeCell ref="P13:W13"/>
    <mergeCell ref="X13:AE13"/>
    <mergeCell ref="AF13:AM13"/>
    <mergeCell ref="AN13:AU13"/>
    <mergeCell ref="P12:W12"/>
    <mergeCell ref="X12:AE12"/>
    <mergeCell ref="AF12:AM12"/>
    <mergeCell ref="AN12:AU12"/>
    <mergeCell ref="P11:AE11"/>
    <mergeCell ref="AF11:AU11"/>
    <mergeCell ref="AF14:AM14"/>
    <mergeCell ref="AN14:AU14"/>
    <mergeCell ref="P15:W15"/>
    <mergeCell ref="X15:AE15"/>
    <mergeCell ref="AF15:AM15"/>
    <mergeCell ref="AN15:AU15"/>
    <mergeCell ref="P14:W14"/>
    <mergeCell ref="X14:AE14"/>
    <mergeCell ref="AF16:AM16"/>
    <mergeCell ref="AN16:AU16"/>
    <mergeCell ref="P17:W17"/>
    <mergeCell ref="X17:AE17"/>
    <mergeCell ref="AF17:AM17"/>
    <mergeCell ref="AN17:AU17"/>
    <mergeCell ref="P16:W16"/>
    <mergeCell ref="X16:AE16"/>
    <mergeCell ref="AN18:AU18"/>
    <mergeCell ref="P19:W19"/>
    <mergeCell ref="X19:AE19"/>
    <mergeCell ref="AF19:AM19"/>
    <mergeCell ref="AN19:AU19"/>
    <mergeCell ref="D22:M22"/>
    <mergeCell ref="N22:O22"/>
    <mergeCell ref="P18:W18"/>
    <mergeCell ref="X18:AE18"/>
    <mergeCell ref="AF18:AM18"/>
    <mergeCell ref="P20:W20"/>
    <mergeCell ref="X20:AE20"/>
    <mergeCell ref="AF20:AM20"/>
    <mergeCell ref="P22:W22"/>
    <mergeCell ref="X22:AE22"/>
    <mergeCell ref="AF22:AM22"/>
    <mergeCell ref="AN22:AU22"/>
    <mergeCell ref="X23:AE23"/>
    <mergeCell ref="N24:O24"/>
    <mergeCell ref="D13:M13"/>
    <mergeCell ref="D14:M14"/>
    <mergeCell ref="D15:M15"/>
    <mergeCell ref="D16:M16"/>
    <mergeCell ref="D17:M17"/>
    <mergeCell ref="N13:O13"/>
    <mergeCell ref="N14:O14"/>
    <mergeCell ref="N15:O15"/>
    <mergeCell ref="N16:O16"/>
    <mergeCell ref="N17:O17"/>
    <mergeCell ref="N18:O18"/>
    <mergeCell ref="N19:O19"/>
    <mergeCell ref="D18:I21"/>
    <mergeCell ref="AF23:AM23"/>
    <mergeCell ref="AN23:AU23"/>
    <mergeCell ref="P23:W23"/>
    <mergeCell ref="J18:M18"/>
    <mergeCell ref="D23:M23"/>
    <mergeCell ref="J19:M19"/>
    <mergeCell ref="J20:M20"/>
    <mergeCell ref="J21:M21"/>
    <mergeCell ref="N20:O20"/>
    <mergeCell ref="N21:O21"/>
    <mergeCell ref="N23:O23"/>
    <mergeCell ref="AN20:AU20"/>
    <mergeCell ref="P21:W21"/>
    <mergeCell ref="X21:AE21"/>
    <mergeCell ref="AF21:AM21"/>
    <mergeCell ref="AN21:AU21"/>
  </mergeCells>
  <pageMargins left="0.7" right="0.46" top="0.49" bottom="0.37" header="0.3" footer="0.3"/>
  <pageSetup paperSize="9" fitToHeight="0" orientation="landscape" r:id="rId1"/>
  <rowBreaks count="1" manualBreakCount="1">
    <brk id="26" max="4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showGridLines="0" zoomScaleNormal="100" workbookViewId="0"/>
  </sheetViews>
  <sheetFormatPr defaultRowHeight="15"/>
  <cols>
    <col min="1" max="4" width="9" style="60"/>
    <col min="5" max="5" width="4.625" style="60" customWidth="1"/>
    <col min="6" max="6" width="31.75" style="99" customWidth="1"/>
    <col min="7" max="7" width="34.625" style="60" customWidth="1"/>
    <col min="8" max="8" width="76.875" style="60" customWidth="1"/>
    <col min="9" max="260" width="9" style="60"/>
    <col min="261" max="261" width="4.625" style="60" customWidth="1"/>
    <col min="262" max="262" width="31.75" style="60" customWidth="1"/>
    <col min="263" max="263" width="34.625" style="60" customWidth="1"/>
    <col min="264" max="264" width="76.875" style="60" customWidth="1"/>
    <col min="265" max="516" width="9" style="60"/>
    <col min="517" max="517" width="4.625" style="60" customWidth="1"/>
    <col min="518" max="518" width="31.75" style="60" customWidth="1"/>
    <col min="519" max="519" width="34.625" style="60" customWidth="1"/>
    <col min="520" max="520" width="76.875" style="60" customWidth="1"/>
    <col min="521" max="772" width="9" style="60"/>
    <col min="773" max="773" width="4.625" style="60" customWidth="1"/>
    <col min="774" max="774" width="31.75" style="60" customWidth="1"/>
    <col min="775" max="775" width="34.625" style="60" customWidth="1"/>
    <col min="776" max="776" width="76.875" style="60" customWidth="1"/>
    <col min="777" max="1028" width="9" style="60"/>
    <col min="1029" max="1029" width="4.625" style="60" customWidth="1"/>
    <col min="1030" max="1030" width="31.75" style="60" customWidth="1"/>
    <col min="1031" max="1031" width="34.625" style="60" customWidth="1"/>
    <col min="1032" max="1032" width="76.875" style="60" customWidth="1"/>
    <col min="1033" max="1284" width="9" style="60"/>
    <col min="1285" max="1285" width="4.625" style="60" customWidth="1"/>
    <col min="1286" max="1286" width="31.75" style="60" customWidth="1"/>
    <col min="1287" max="1287" width="34.625" style="60" customWidth="1"/>
    <col min="1288" max="1288" width="76.875" style="60" customWidth="1"/>
    <col min="1289" max="1540" width="9" style="60"/>
    <col min="1541" max="1541" width="4.625" style="60" customWidth="1"/>
    <col min="1542" max="1542" width="31.75" style="60" customWidth="1"/>
    <col min="1543" max="1543" width="34.625" style="60" customWidth="1"/>
    <col min="1544" max="1544" width="76.875" style="60" customWidth="1"/>
    <col min="1545" max="1796" width="9" style="60"/>
    <col min="1797" max="1797" width="4.625" style="60" customWidth="1"/>
    <col min="1798" max="1798" width="31.75" style="60" customWidth="1"/>
    <col min="1799" max="1799" width="34.625" style="60" customWidth="1"/>
    <col min="1800" max="1800" width="76.875" style="60" customWidth="1"/>
    <col min="1801" max="2052" width="9" style="60"/>
    <col min="2053" max="2053" width="4.625" style="60" customWidth="1"/>
    <col min="2054" max="2054" width="31.75" style="60" customWidth="1"/>
    <col min="2055" max="2055" width="34.625" style="60" customWidth="1"/>
    <col min="2056" max="2056" width="76.875" style="60" customWidth="1"/>
    <col min="2057" max="2308" width="9" style="60"/>
    <col min="2309" max="2309" width="4.625" style="60" customWidth="1"/>
    <col min="2310" max="2310" width="31.75" style="60" customWidth="1"/>
    <col min="2311" max="2311" width="34.625" style="60" customWidth="1"/>
    <col min="2312" max="2312" width="76.875" style="60" customWidth="1"/>
    <col min="2313" max="2564" width="9" style="60"/>
    <col min="2565" max="2565" width="4.625" style="60" customWidth="1"/>
    <col min="2566" max="2566" width="31.75" style="60" customWidth="1"/>
    <col min="2567" max="2567" width="34.625" style="60" customWidth="1"/>
    <col min="2568" max="2568" width="76.875" style="60" customWidth="1"/>
    <col min="2569" max="2820" width="9" style="60"/>
    <col min="2821" max="2821" width="4.625" style="60" customWidth="1"/>
    <col min="2822" max="2822" width="31.75" style="60" customWidth="1"/>
    <col min="2823" max="2823" width="34.625" style="60" customWidth="1"/>
    <col min="2824" max="2824" width="76.875" style="60" customWidth="1"/>
    <col min="2825" max="3076" width="9" style="60"/>
    <col min="3077" max="3077" width="4.625" style="60" customWidth="1"/>
    <col min="3078" max="3078" width="31.75" style="60" customWidth="1"/>
    <col min="3079" max="3079" width="34.625" style="60" customWidth="1"/>
    <col min="3080" max="3080" width="76.875" style="60" customWidth="1"/>
    <col min="3081" max="3332" width="9" style="60"/>
    <col min="3333" max="3333" width="4.625" style="60" customWidth="1"/>
    <col min="3334" max="3334" width="31.75" style="60" customWidth="1"/>
    <col min="3335" max="3335" width="34.625" style="60" customWidth="1"/>
    <col min="3336" max="3336" width="76.875" style="60" customWidth="1"/>
    <col min="3337" max="3588" width="9" style="60"/>
    <col min="3589" max="3589" width="4.625" style="60" customWidth="1"/>
    <col min="3590" max="3590" width="31.75" style="60" customWidth="1"/>
    <col min="3591" max="3591" width="34.625" style="60" customWidth="1"/>
    <col min="3592" max="3592" width="76.875" style="60" customWidth="1"/>
    <col min="3593" max="3844" width="9" style="60"/>
    <col min="3845" max="3845" width="4.625" style="60" customWidth="1"/>
    <col min="3846" max="3846" width="31.75" style="60" customWidth="1"/>
    <col min="3847" max="3847" width="34.625" style="60" customWidth="1"/>
    <col min="3848" max="3848" width="76.875" style="60" customWidth="1"/>
    <col min="3849" max="4100" width="9" style="60"/>
    <col min="4101" max="4101" width="4.625" style="60" customWidth="1"/>
    <col min="4102" max="4102" width="31.75" style="60" customWidth="1"/>
    <col min="4103" max="4103" width="34.625" style="60" customWidth="1"/>
    <col min="4104" max="4104" width="76.875" style="60" customWidth="1"/>
    <col min="4105" max="4356" width="9" style="60"/>
    <col min="4357" max="4357" width="4.625" style="60" customWidth="1"/>
    <col min="4358" max="4358" width="31.75" style="60" customWidth="1"/>
    <col min="4359" max="4359" width="34.625" style="60" customWidth="1"/>
    <col min="4360" max="4360" width="76.875" style="60" customWidth="1"/>
    <col min="4361" max="4612" width="9" style="60"/>
    <col min="4613" max="4613" width="4.625" style="60" customWidth="1"/>
    <col min="4614" max="4614" width="31.75" style="60" customWidth="1"/>
    <col min="4615" max="4615" width="34.625" style="60" customWidth="1"/>
    <col min="4616" max="4616" width="76.875" style="60" customWidth="1"/>
    <col min="4617" max="4868" width="9" style="60"/>
    <col min="4869" max="4869" width="4.625" style="60" customWidth="1"/>
    <col min="4870" max="4870" width="31.75" style="60" customWidth="1"/>
    <col min="4871" max="4871" width="34.625" style="60" customWidth="1"/>
    <col min="4872" max="4872" width="76.875" style="60" customWidth="1"/>
    <col min="4873" max="5124" width="9" style="60"/>
    <col min="5125" max="5125" width="4.625" style="60" customWidth="1"/>
    <col min="5126" max="5126" width="31.75" style="60" customWidth="1"/>
    <col min="5127" max="5127" width="34.625" style="60" customWidth="1"/>
    <col min="5128" max="5128" width="76.875" style="60" customWidth="1"/>
    <col min="5129" max="5380" width="9" style="60"/>
    <col min="5381" max="5381" width="4.625" style="60" customWidth="1"/>
    <col min="5382" max="5382" width="31.75" style="60" customWidth="1"/>
    <col min="5383" max="5383" width="34.625" style="60" customWidth="1"/>
    <col min="5384" max="5384" width="76.875" style="60" customWidth="1"/>
    <col min="5385" max="5636" width="9" style="60"/>
    <col min="5637" max="5637" width="4.625" style="60" customWidth="1"/>
    <col min="5638" max="5638" width="31.75" style="60" customWidth="1"/>
    <col min="5639" max="5639" width="34.625" style="60" customWidth="1"/>
    <col min="5640" max="5640" width="76.875" style="60" customWidth="1"/>
    <col min="5641" max="5892" width="9" style="60"/>
    <col min="5893" max="5893" width="4.625" style="60" customWidth="1"/>
    <col min="5894" max="5894" width="31.75" style="60" customWidth="1"/>
    <col min="5895" max="5895" width="34.625" style="60" customWidth="1"/>
    <col min="5896" max="5896" width="76.875" style="60" customWidth="1"/>
    <col min="5897" max="6148" width="9" style="60"/>
    <col min="6149" max="6149" width="4.625" style="60" customWidth="1"/>
    <col min="6150" max="6150" width="31.75" style="60" customWidth="1"/>
    <col min="6151" max="6151" width="34.625" style="60" customWidth="1"/>
    <col min="6152" max="6152" width="76.875" style="60" customWidth="1"/>
    <col min="6153" max="6404" width="9" style="60"/>
    <col min="6405" max="6405" width="4.625" style="60" customWidth="1"/>
    <col min="6406" max="6406" width="31.75" style="60" customWidth="1"/>
    <col min="6407" max="6407" width="34.625" style="60" customWidth="1"/>
    <col min="6408" max="6408" width="76.875" style="60" customWidth="1"/>
    <col min="6409" max="6660" width="9" style="60"/>
    <col min="6661" max="6661" width="4.625" style="60" customWidth="1"/>
    <col min="6662" max="6662" width="31.75" style="60" customWidth="1"/>
    <col min="6663" max="6663" width="34.625" style="60" customWidth="1"/>
    <col min="6664" max="6664" width="76.875" style="60" customWidth="1"/>
    <col min="6665" max="6916" width="9" style="60"/>
    <col min="6917" max="6917" width="4.625" style="60" customWidth="1"/>
    <col min="6918" max="6918" width="31.75" style="60" customWidth="1"/>
    <col min="6919" max="6919" width="34.625" style="60" customWidth="1"/>
    <col min="6920" max="6920" width="76.875" style="60" customWidth="1"/>
    <col min="6921" max="7172" width="9" style="60"/>
    <col min="7173" max="7173" width="4.625" style="60" customWidth="1"/>
    <col min="7174" max="7174" width="31.75" style="60" customWidth="1"/>
    <col min="7175" max="7175" width="34.625" style="60" customWidth="1"/>
    <col min="7176" max="7176" width="76.875" style="60" customWidth="1"/>
    <col min="7177" max="7428" width="9" style="60"/>
    <col min="7429" max="7429" width="4.625" style="60" customWidth="1"/>
    <col min="7430" max="7430" width="31.75" style="60" customWidth="1"/>
    <col min="7431" max="7431" width="34.625" style="60" customWidth="1"/>
    <col min="7432" max="7432" width="76.875" style="60" customWidth="1"/>
    <col min="7433" max="7684" width="9" style="60"/>
    <col min="7685" max="7685" width="4.625" style="60" customWidth="1"/>
    <col min="7686" max="7686" width="31.75" style="60" customWidth="1"/>
    <col min="7687" max="7687" width="34.625" style="60" customWidth="1"/>
    <col min="7688" max="7688" width="76.875" style="60" customWidth="1"/>
    <col min="7689" max="7940" width="9" style="60"/>
    <col min="7941" max="7941" width="4.625" style="60" customWidth="1"/>
    <col min="7942" max="7942" width="31.75" style="60" customWidth="1"/>
    <col min="7943" max="7943" width="34.625" style="60" customWidth="1"/>
    <col min="7944" max="7944" width="76.875" style="60" customWidth="1"/>
    <col min="7945" max="8196" width="9" style="60"/>
    <col min="8197" max="8197" width="4.625" style="60" customWidth="1"/>
    <col min="8198" max="8198" width="31.75" style="60" customWidth="1"/>
    <col min="8199" max="8199" width="34.625" style="60" customWidth="1"/>
    <col min="8200" max="8200" width="76.875" style="60" customWidth="1"/>
    <col min="8201" max="8452" width="9" style="60"/>
    <col min="8453" max="8453" width="4.625" style="60" customWidth="1"/>
    <col min="8454" max="8454" width="31.75" style="60" customWidth="1"/>
    <col min="8455" max="8455" width="34.625" style="60" customWidth="1"/>
    <col min="8456" max="8456" width="76.875" style="60" customWidth="1"/>
    <col min="8457" max="8708" width="9" style="60"/>
    <col min="8709" max="8709" width="4.625" style="60" customWidth="1"/>
    <col min="8710" max="8710" width="31.75" style="60" customWidth="1"/>
    <col min="8711" max="8711" width="34.625" style="60" customWidth="1"/>
    <col min="8712" max="8712" width="76.875" style="60" customWidth="1"/>
    <col min="8713" max="8964" width="9" style="60"/>
    <col min="8965" max="8965" width="4.625" style="60" customWidth="1"/>
    <col min="8966" max="8966" width="31.75" style="60" customWidth="1"/>
    <col min="8967" max="8967" width="34.625" style="60" customWidth="1"/>
    <col min="8968" max="8968" width="76.875" style="60" customWidth="1"/>
    <col min="8969" max="9220" width="9" style="60"/>
    <col min="9221" max="9221" width="4.625" style="60" customWidth="1"/>
    <col min="9222" max="9222" width="31.75" style="60" customWidth="1"/>
    <col min="9223" max="9223" width="34.625" style="60" customWidth="1"/>
    <col min="9224" max="9224" width="76.875" style="60" customWidth="1"/>
    <col min="9225" max="9476" width="9" style="60"/>
    <col min="9477" max="9477" width="4.625" style="60" customWidth="1"/>
    <col min="9478" max="9478" width="31.75" style="60" customWidth="1"/>
    <col min="9479" max="9479" width="34.625" style="60" customWidth="1"/>
    <col min="9480" max="9480" width="76.875" style="60" customWidth="1"/>
    <col min="9481" max="9732" width="9" style="60"/>
    <col min="9733" max="9733" width="4.625" style="60" customWidth="1"/>
    <col min="9734" max="9734" width="31.75" style="60" customWidth="1"/>
    <col min="9735" max="9735" width="34.625" style="60" customWidth="1"/>
    <col min="9736" max="9736" width="76.875" style="60" customWidth="1"/>
    <col min="9737" max="9988" width="9" style="60"/>
    <col min="9989" max="9989" width="4.625" style="60" customWidth="1"/>
    <col min="9990" max="9990" width="31.75" style="60" customWidth="1"/>
    <col min="9991" max="9991" width="34.625" style="60" customWidth="1"/>
    <col min="9992" max="9992" width="76.875" style="60" customWidth="1"/>
    <col min="9993" max="10244" width="9" style="60"/>
    <col min="10245" max="10245" width="4.625" style="60" customWidth="1"/>
    <col min="10246" max="10246" width="31.75" style="60" customWidth="1"/>
    <col min="10247" max="10247" width="34.625" style="60" customWidth="1"/>
    <col min="10248" max="10248" width="76.875" style="60" customWidth="1"/>
    <col min="10249" max="10500" width="9" style="60"/>
    <col min="10501" max="10501" width="4.625" style="60" customWidth="1"/>
    <col min="10502" max="10502" width="31.75" style="60" customWidth="1"/>
    <col min="10503" max="10503" width="34.625" style="60" customWidth="1"/>
    <col min="10504" max="10504" width="76.875" style="60" customWidth="1"/>
    <col min="10505" max="10756" width="9" style="60"/>
    <col min="10757" max="10757" width="4.625" style="60" customWidth="1"/>
    <col min="10758" max="10758" width="31.75" style="60" customWidth="1"/>
    <col min="10759" max="10759" width="34.625" style="60" customWidth="1"/>
    <col min="10760" max="10760" width="76.875" style="60" customWidth="1"/>
    <col min="10761" max="11012" width="9" style="60"/>
    <col min="11013" max="11013" width="4.625" style="60" customWidth="1"/>
    <col min="11014" max="11014" width="31.75" style="60" customWidth="1"/>
    <col min="11015" max="11015" width="34.625" style="60" customWidth="1"/>
    <col min="11016" max="11016" width="76.875" style="60" customWidth="1"/>
    <col min="11017" max="11268" width="9" style="60"/>
    <col min="11269" max="11269" width="4.625" style="60" customWidth="1"/>
    <col min="11270" max="11270" width="31.75" style="60" customWidth="1"/>
    <col min="11271" max="11271" width="34.625" style="60" customWidth="1"/>
    <col min="11272" max="11272" width="76.875" style="60" customWidth="1"/>
    <col min="11273" max="11524" width="9" style="60"/>
    <col min="11525" max="11525" width="4.625" style="60" customWidth="1"/>
    <col min="11526" max="11526" width="31.75" style="60" customWidth="1"/>
    <col min="11527" max="11527" width="34.625" style="60" customWidth="1"/>
    <col min="11528" max="11528" width="76.875" style="60" customWidth="1"/>
    <col min="11529" max="11780" width="9" style="60"/>
    <col min="11781" max="11781" width="4.625" style="60" customWidth="1"/>
    <col min="11782" max="11782" width="31.75" style="60" customWidth="1"/>
    <col min="11783" max="11783" width="34.625" style="60" customWidth="1"/>
    <col min="11784" max="11784" width="76.875" style="60" customWidth="1"/>
    <col min="11785" max="12036" width="9" style="60"/>
    <col min="12037" max="12037" width="4.625" style="60" customWidth="1"/>
    <col min="12038" max="12038" width="31.75" style="60" customWidth="1"/>
    <col min="12039" max="12039" width="34.625" style="60" customWidth="1"/>
    <col min="12040" max="12040" width="76.875" style="60" customWidth="1"/>
    <col min="12041" max="12292" width="9" style="60"/>
    <col min="12293" max="12293" width="4.625" style="60" customWidth="1"/>
    <col min="12294" max="12294" width="31.75" style="60" customWidth="1"/>
    <col min="12295" max="12295" width="34.625" style="60" customWidth="1"/>
    <col min="12296" max="12296" width="76.875" style="60" customWidth="1"/>
    <col min="12297" max="12548" width="9" style="60"/>
    <col min="12549" max="12549" width="4.625" style="60" customWidth="1"/>
    <col min="12550" max="12550" width="31.75" style="60" customWidth="1"/>
    <col min="12551" max="12551" width="34.625" style="60" customWidth="1"/>
    <col min="12552" max="12552" width="76.875" style="60" customWidth="1"/>
    <col min="12553" max="12804" width="9" style="60"/>
    <col min="12805" max="12805" width="4.625" style="60" customWidth="1"/>
    <col min="12806" max="12806" width="31.75" style="60" customWidth="1"/>
    <col min="12807" max="12807" width="34.625" style="60" customWidth="1"/>
    <col min="12808" max="12808" width="76.875" style="60" customWidth="1"/>
    <col min="12809" max="13060" width="9" style="60"/>
    <col min="13061" max="13061" width="4.625" style="60" customWidth="1"/>
    <col min="13062" max="13062" width="31.75" style="60" customWidth="1"/>
    <col min="13063" max="13063" width="34.625" style="60" customWidth="1"/>
    <col min="13064" max="13064" width="76.875" style="60" customWidth="1"/>
    <col min="13065" max="13316" width="9" style="60"/>
    <col min="13317" max="13317" width="4.625" style="60" customWidth="1"/>
    <col min="13318" max="13318" width="31.75" style="60" customWidth="1"/>
    <col min="13319" max="13319" width="34.625" style="60" customWidth="1"/>
    <col min="13320" max="13320" width="76.875" style="60" customWidth="1"/>
    <col min="13321" max="13572" width="9" style="60"/>
    <col min="13573" max="13573" width="4.625" style="60" customWidth="1"/>
    <col min="13574" max="13574" width="31.75" style="60" customWidth="1"/>
    <col min="13575" max="13575" width="34.625" style="60" customWidth="1"/>
    <col min="13576" max="13576" width="76.875" style="60" customWidth="1"/>
    <col min="13577" max="13828" width="9" style="60"/>
    <col min="13829" max="13829" width="4.625" style="60" customWidth="1"/>
    <col min="13830" max="13830" width="31.75" style="60" customWidth="1"/>
    <col min="13831" max="13831" width="34.625" style="60" customWidth="1"/>
    <col min="13832" max="13832" width="76.875" style="60" customWidth="1"/>
    <col min="13833" max="14084" width="9" style="60"/>
    <col min="14085" max="14085" width="4.625" style="60" customWidth="1"/>
    <col min="14086" max="14086" width="31.75" style="60" customWidth="1"/>
    <col min="14087" max="14087" width="34.625" style="60" customWidth="1"/>
    <col min="14088" max="14088" width="76.875" style="60" customWidth="1"/>
    <col min="14089" max="14340" width="9" style="60"/>
    <col min="14341" max="14341" width="4.625" style="60" customWidth="1"/>
    <col min="14342" max="14342" width="31.75" style="60" customWidth="1"/>
    <col min="14343" max="14343" width="34.625" style="60" customWidth="1"/>
    <col min="14344" max="14344" width="76.875" style="60" customWidth="1"/>
    <col min="14345" max="14596" width="9" style="60"/>
    <col min="14597" max="14597" width="4.625" style="60" customWidth="1"/>
    <col min="14598" max="14598" width="31.75" style="60" customWidth="1"/>
    <col min="14599" max="14599" width="34.625" style="60" customWidth="1"/>
    <col min="14600" max="14600" width="76.875" style="60" customWidth="1"/>
    <col min="14601" max="14852" width="9" style="60"/>
    <col min="14853" max="14853" width="4.625" style="60" customWidth="1"/>
    <col min="14854" max="14854" width="31.75" style="60" customWidth="1"/>
    <col min="14855" max="14855" width="34.625" style="60" customWidth="1"/>
    <col min="14856" max="14856" width="76.875" style="60" customWidth="1"/>
    <col min="14857" max="15108" width="9" style="60"/>
    <col min="15109" max="15109" width="4.625" style="60" customWidth="1"/>
    <col min="15110" max="15110" width="31.75" style="60" customWidth="1"/>
    <col min="15111" max="15111" width="34.625" style="60" customWidth="1"/>
    <col min="15112" max="15112" width="76.875" style="60" customWidth="1"/>
    <col min="15113" max="15364" width="9" style="60"/>
    <col min="15365" max="15365" width="4.625" style="60" customWidth="1"/>
    <col min="15366" max="15366" width="31.75" style="60" customWidth="1"/>
    <col min="15367" max="15367" width="34.625" style="60" customWidth="1"/>
    <col min="15368" max="15368" width="76.875" style="60" customWidth="1"/>
    <col min="15369" max="15620" width="9" style="60"/>
    <col min="15621" max="15621" width="4.625" style="60" customWidth="1"/>
    <col min="15622" max="15622" width="31.75" style="60" customWidth="1"/>
    <col min="15623" max="15623" width="34.625" style="60" customWidth="1"/>
    <col min="15624" max="15624" width="76.875" style="60" customWidth="1"/>
    <col min="15625" max="15876" width="9" style="60"/>
    <col min="15877" max="15877" width="4.625" style="60" customWidth="1"/>
    <col min="15878" max="15878" width="31.75" style="60" customWidth="1"/>
    <col min="15879" max="15879" width="34.625" style="60" customWidth="1"/>
    <col min="15880" max="15880" width="76.875" style="60" customWidth="1"/>
    <col min="15881" max="16132" width="9" style="60"/>
    <col min="16133" max="16133" width="4.625" style="60" customWidth="1"/>
    <col min="16134" max="16134" width="31.75" style="60" customWidth="1"/>
    <col min="16135" max="16135" width="34.625" style="60" customWidth="1"/>
    <col min="16136" max="16136" width="76.875" style="60" customWidth="1"/>
    <col min="16137" max="16384" width="9" style="60"/>
  </cols>
  <sheetData>
    <row r="1" spans="1:9" ht="27" customHeight="1">
      <c r="A1" s="60">
        <v>0</v>
      </c>
      <c r="B1" s="60">
        <v>611.21</v>
      </c>
      <c r="C1" s="60">
        <f>B1/1000</f>
        <v>0.61121000000000003</v>
      </c>
      <c r="E1" s="61"/>
      <c r="F1" s="62" t="s">
        <v>160</v>
      </c>
      <c r="G1" s="63" t="s">
        <v>161</v>
      </c>
      <c r="H1" s="64" t="s">
        <v>162</v>
      </c>
    </row>
    <row r="2" spans="1:9" ht="15.75" customHeight="1">
      <c r="E2" s="65">
        <v>0</v>
      </c>
      <c r="F2" s="66"/>
      <c r="G2" s="67" t="s">
        <v>163</v>
      </c>
      <c r="H2" s="68"/>
      <c r="I2" s="69"/>
    </row>
    <row r="3" spans="1:9" ht="15.75" customHeight="1">
      <c r="A3" s="60">
        <v>1</v>
      </c>
      <c r="B3" s="60">
        <v>657.08</v>
      </c>
      <c r="C3" s="60">
        <f>B3/1000</f>
        <v>0.65708</v>
      </c>
      <c r="E3" s="70">
        <v>1</v>
      </c>
      <c r="F3" s="71" t="s">
        <v>164</v>
      </c>
      <c r="G3" s="72" t="s">
        <v>165</v>
      </c>
      <c r="H3" s="72" t="s">
        <v>166</v>
      </c>
      <c r="I3" s="73"/>
    </row>
    <row r="4" spans="1:9" ht="15.75" customHeight="1">
      <c r="E4" s="74">
        <v>2</v>
      </c>
      <c r="F4" s="75" t="s">
        <v>86</v>
      </c>
      <c r="G4" s="76" t="s">
        <v>165</v>
      </c>
      <c r="H4" s="76" t="s">
        <v>167</v>
      </c>
      <c r="I4" s="73"/>
    </row>
    <row r="5" spans="1:9" ht="15.75" customHeight="1">
      <c r="A5" s="60">
        <v>2</v>
      </c>
      <c r="B5" s="60">
        <v>705.97</v>
      </c>
      <c r="C5" s="60">
        <f>B5/1000</f>
        <v>0.70596999999999999</v>
      </c>
      <c r="E5" s="77">
        <v>3</v>
      </c>
      <c r="F5" s="78" t="s">
        <v>168</v>
      </c>
      <c r="G5" s="79" t="s">
        <v>169</v>
      </c>
      <c r="H5" s="79" t="s">
        <v>170</v>
      </c>
      <c r="I5" s="73"/>
    </row>
    <row r="6" spans="1:9" ht="15.75" customHeight="1">
      <c r="E6" s="80">
        <v>4</v>
      </c>
      <c r="F6" s="81" t="s">
        <v>168</v>
      </c>
      <c r="G6" s="82" t="s">
        <v>171</v>
      </c>
      <c r="H6" s="82" t="s">
        <v>172</v>
      </c>
      <c r="I6" s="73"/>
    </row>
    <row r="7" spans="1:9" ht="15.75" customHeight="1">
      <c r="A7" s="60">
        <v>3</v>
      </c>
      <c r="B7" s="60">
        <v>758.06</v>
      </c>
      <c r="C7" s="60">
        <f>B7/1000</f>
        <v>0.75805999999999996</v>
      </c>
      <c r="E7" s="80">
        <v>5</v>
      </c>
      <c r="F7" s="81" t="s">
        <v>168</v>
      </c>
      <c r="G7" s="82" t="s">
        <v>173</v>
      </c>
      <c r="H7" s="82" t="s">
        <v>174</v>
      </c>
      <c r="I7" s="73"/>
    </row>
    <row r="8" spans="1:9" ht="15.75" customHeight="1">
      <c r="E8" s="83">
        <v>6</v>
      </c>
      <c r="F8" s="84" t="s">
        <v>168</v>
      </c>
      <c r="G8" s="85" t="s">
        <v>175</v>
      </c>
      <c r="H8" s="85" t="s">
        <v>176</v>
      </c>
      <c r="I8" s="73"/>
    </row>
    <row r="9" spans="1:9" ht="15.75" customHeight="1">
      <c r="A9" s="60">
        <v>4</v>
      </c>
      <c r="B9" s="60">
        <v>813.52</v>
      </c>
      <c r="C9" s="60">
        <f>B9/1000</f>
        <v>0.81352000000000002</v>
      </c>
      <c r="E9" s="70">
        <v>7</v>
      </c>
      <c r="F9" s="71" t="s">
        <v>177</v>
      </c>
      <c r="G9" s="72" t="s">
        <v>178</v>
      </c>
      <c r="H9" s="72" t="s">
        <v>179</v>
      </c>
      <c r="I9" s="73"/>
    </row>
    <row r="10" spans="1:9" ht="15.75" customHeight="1">
      <c r="E10" s="86">
        <v>8</v>
      </c>
      <c r="F10" s="87" t="s">
        <v>177</v>
      </c>
      <c r="G10" s="88" t="s">
        <v>180</v>
      </c>
      <c r="H10" s="88" t="s">
        <v>170</v>
      </c>
      <c r="I10" s="73"/>
    </row>
    <row r="11" spans="1:9" ht="15.75" customHeight="1">
      <c r="A11" s="60">
        <v>5</v>
      </c>
      <c r="B11" s="60">
        <v>872.54</v>
      </c>
      <c r="C11" s="60">
        <f>B11/1000</f>
        <v>0.87253999999999998</v>
      </c>
      <c r="E11" s="86">
        <v>9</v>
      </c>
      <c r="F11" s="87" t="s">
        <v>177</v>
      </c>
      <c r="G11" s="88" t="s">
        <v>181</v>
      </c>
      <c r="H11" s="88" t="s">
        <v>182</v>
      </c>
      <c r="I11" s="73"/>
    </row>
    <row r="12" spans="1:9" ht="15.75" customHeight="1">
      <c r="E12" s="86">
        <v>10</v>
      </c>
      <c r="F12" s="87" t="s">
        <v>177</v>
      </c>
      <c r="G12" s="88" t="s">
        <v>183</v>
      </c>
      <c r="H12" s="88" t="s">
        <v>184</v>
      </c>
      <c r="I12" s="73"/>
    </row>
    <row r="13" spans="1:9" ht="15.75" customHeight="1">
      <c r="A13" s="60">
        <v>6</v>
      </c>
      <c r="B13" s="60">
        <v>935.31</v>
      </c>
      <c r="C13" s="60">
        <f>B13/1000</f>
        <v>0.93530999999999997</v>
      </c>
      <c r="E13" s="74">
        <v>11</v>
      </c>
      <c r="F13" s="75" t="s">
        <v>177</v>
      </c>
      <c r="G13" s="76" t="s">
        <v>185</v>
      </c>
      <c r="H13" s="76" t="s">
        <v>186</v>
      </c>
      <c r="I13" s="73"/>
    </row>
    <row r="14" spans="1:9" ht="15.75" customHeight="1">
      <c r="E14" s="77">
        <v>12</v>
      </c>
      <c r="F14" s="89" t="s">
        <v>187</v>
      </c>
      <c r="G14" s="79" t="s">
        <v>188</v>
      </c>
      <c r="H14" s="79" t="s">
        <v>189</v>
      </c>
      <c r="I14" s="73"/>
    </row>
    <row r="15" spans="1:9" ht="15.75" customHeight="1">
      <c r="A15" s="60">
        <v>7</v>
      </c>
      <c r="B15" s="60">
        <v>1002</v>
      </c>
      <c r="C15" s="60">
        <f>B15/1000</f>
        <v>1.002</v>
      </c>
      <c r="E15" s="80">
        <v>13</v>
      </c>
      <c r="F15" s="90" t="s">
        <v>187</v>
      </c>
      <c r="G15" s="82" t="s">
        <v>190</v>
      </c>
      <c r="H15" s="82" t="s">
        <v>191</v>
      </c>
      <c r="I15" s="73"/>
    </row>
    <row r="16" spans="1:9" ht="15.75" customHeight="1">
      <c r="E16" s="83">
        <v>14</v>
      </c>
      <c r="F16" s="91" t="s">
        <v>187</v>
      </c>
      <c r="G16" s="85" t="s">
        <v>190</v>
      </c>
      <c r="H16" s="85" t="s">
        <v>192</v>
      </c>
      <c r="I16" s="73"/>
    </row>
    <row r="17" spans="1:9" ht="15.75" customHeight="1">
      <c r="A17" s="60">
        <v>8</v>
      </c>
      <c r="B17" s="60">
        <v>1072.9000000000001</v>
      </c>
      <c r="C17" s="60">
        <f>B17/1000</f>
        <v>1.0729000000000002</v>
      </c>
      <c r="E17" s="70">
        <v>15</v>
      </c>
      <c r="F17" s="71" t="s">
        <v>193</v>
      </c>
      <c r="G17" s="72" t="s">
        <v>194</v>
      </c>
      <c r="H17" s="72" t="s">
        <v>195</v>
      </c>
      <c r="I17" s="73"/>
    </row>
    <row r="18" spans="1:9" ht="15.75" customHeight="1">
      <c r="E18" s="74">
        <v>16</v>
      </c>
      <c r="F18" s="75" t="s">
        <v>193</v>
      </c>
      <c r="G18" s="76" t="s">
        <v>196</v>
      </c>
      <c r="H18" s="76" t="s">
        <v>197</v>
      </c>
      <c r="I18" s="73"/>
    </row>
    <row r="19" spans="1:9" ht="15.75" customHeight="1">
      <c r="A19" s="60">
        <v>9</v>
      </c>
      <c r="B19" s="60">
        <v>1148.2</v>
      </c>
      <c r="C19" s="60">
        <f>B19/1000</f>
        <v>1.1482000000000001</v>
      </c>
      <c r="E19" s="77">
        <v>17</v>
      </c>
      <c r="F19" s="89" t="s">
        <v>198</v>
      </c>
      <c r="G19" s="79" t="s">
        <v>199</v>
      </c>
      <c r="H19" s="79" t="s">
        <v>200</v>
      </c>
      <c r="I19" s="73"/>
    </row>
    <row r="20" spans="1:9" ht="15.75" customHeight="1">
      <c r="E20" s="83">
        <v>18</v>
      </c>
      <c r="F20" s="91" t="s">
        <v>201</v>
      </c>
      <c r="G20" s="85" t="s">
        <v>199</v>
      </c>
      <c r="H20" s="85" t="s">
        <v>200</v>
      </c>
      <c r="I20" s="73"/>
    </row>
    <row r="21" spans="1:9" ht="15.75" customHeight="1">
      <c r="A21" s="60">
        <v>10</v>
      </c>
      <c r="B21" s="60">
        <v>1228.0999999999999</v>
      </c>
      <c r="C21" s="60">
        <f>B21/1000</f>
        <v>1.2281</v>
      </c>
      <c r="E21" s="70">
        <v>19</v>
      </c>
      <c r="F21" s="71" t="s">
        <v>202</v>
      </c>
      <c r="G21" s="72" t="s">
        <v>203</v>
      </c>
      <c r="H21" s="72" t="s">
        <v>204</v>
      </c>
      <c r="I21" s="73"/>
    </row>
    <row r="22" spans="1:9" ht="15.75" customHeight="1">
      <c r="E22" s="86">
        <v>20</v>
      </c>
      <c r="F22" s="87" t="s">
        <v>202</v>
      </c>
      <c r="G22" s="88" t="s">
        <v>205</v>
      </c>
      <c r="H22" s="88" t="s">
        <v>206</v>
      </c>
      <c r="I22" s="73"/>
    </row>
    <row r="23" spans="1:9" ht="15.75" customHeight="1">
      <c r="A23" s="60">
        <v>11</v>
      </c>
      <c r="B23" s="60">
        <v>1312.9</v>
      </c>
      <c r="C23" s="60">
        <f>B23/1000</f>
        <v>1.3129000000000002</v>
      </c>
      <c r="E23" s="86">
        <v>21</v>
      </c>
      <c r="F23" s="87" t="s">
        <v>202</v>
      </c>
      <c r="G23" s="88" t="s">
        <v>207</v>
      </c>
      <c r="H23" s="88" t="s">
        <v>170</v>
      </c>
      <c r="I23" s="73"/>
    </row>
    <row r="24" spans="1:9" ht="15.75" customHeight="1">
      <c r="E24" s="74">
        <v>22</v>
      </c>
      <c r="F24" s="75" t="s">
        <v>202</v>
      </c>
      <c r="G24" s="76" t="s">
        <v>208</v>
      </c>
      <c r="H24" s="76" t="s">
        <v>209</v>
      </c>
      <c r="I24" s="73"/>
    </row>
    <row r="25" spans="1:9" ht="15.75" customHeight="1">
      <c r="A25" s="60">
        <v>12</v>
      </c>
      <c r="B25" s="60">
        <v>1402.8</v>
      </c>
      <c r="C25" s="60">
        <f>B25/1000</f>
        <v>1.4028</v>
      </c>
      <c r="E25" s="77">
        <v>23</v>
      </c>
      <c r="F25" s="89" t="s">
        <v>210</v>
      </c>
      <c r="G25" s="79" t="s">
        <v>211</v>
      </c>
      <c r="H25" s="79" t="s">
        <v>170</v>
      </c>
      <c r="I25" s="73"/>
    </row>
    <row r="26" spans="1:9" ht="15.75" customHeight="1">
      <c r="E26" s="80">
        <v>24</v>
      </c>
      <c r="F26" s="90" t="s">
        <v>210</v>
      </c>
      <c r="G26" s="82" t="s">
        <v>212</v>
      </c>
      <c r="H26" s="82" t="s">
        <v>213</v>
      </c>
      <c r="I26" s="73"/>
    </row>
    <row r="27" spans="1:9" ht="15.75" customHeight="1">
      <c r="A27" s="60">
        <v>13</v>
      </c>
      <c r="B27" s="60">
        <v>1498</v>
      </c>
      <c r="C27" s="60">
        <f>B27/1000</f>
        <v>1.498</v>
      </c>
      <c r="E27" s="83">
        <v>25</v>
      </c>
      <c r="F27" s="91" t="s">
        <v>210</v>
      </c>
      <c r="G27" s="85" t="s">
        <v>214</v>
      </c>
      <c r="H27" s="85" t="s">
        <v>215</v>
      </c>
      <c r="I27" s="73"/>
    </row>
    <row r="28" spans="1:9" ht="15.75" customHeight="1">
      <c r="E28" s="70">
        <v>26</v>
      </c>
      <c r="F28" s="71" t="s">
        <v>216</v>
      </c>
      <c r="G28" s="72" t="s">
        <v>217</v>
      </c>
      <c r="H28" s="72" t="s">
        <v>197</v>
      </c>
    </row>
    <row r="29" spans="1:9" ht="15.75" customHeight="1">
      <c r="A29" s="60">
        <v>14</v>
      </c>
      <c r="B29" s="60">
        <v>1598.9</v>
      </c>
      <c r="C29" s="60">
        <f>B29/1000</f>
        <v>1.5989</v>
      </c>
      <c r="E29" s="86">
        <v>27</v>
      </c>
      <c r="F29" s="87" t="s">
        <v>216</v>
      </c>
      <c r="G29" s="88" t="s">
        <v>218</v>
      </c>
      <c r="H29" s="88" t="s">
        <v>219</v>
      </c>
    </row>
    <row r="30" spans="1:9" ht="15.75" customHeight="1">
      <c r="E30" s="74">
        <v>28</v>
      </c>
      <c r="F30" s="75" t="s">
        <v>216</v>
      </c>
      <c r="G30" s="76" t="s">
        <v>220</v>
      </c>
      <c r="H30" s="76" t="s">
        <v>221</v>
      </c>
    </row>
    <row r="31" spans="1:9" ht="15.75" customHeight="1">
      <c r="A31" s="60">
        <v>15</v>
      </c>
      <c r="B31" s="60">
        <v>1705.7</v>
      </c>
      <c r="C31" s="60">
        <f>B31/1000</f>
        <v>1.7057</v>
      </c>
      <c r="E31" s="77">
        <v>29</v>
      </c>
      <c r="F31" s="89" t="s">
        <v>222</v>
      </c>
      <c r="G31" s="79" t="s">
        <v>223</v>
      </c>
      <c r="H31" s="79" t="s">
        <v>197</v>
      </c>
    </row>
    <row r="32" spans="1:9" ht="15.75" customHeight="1">
      <c r="E32" s="83">
        <v>30</v>
      </c>
      <c r="F32" s="91" t="s">
        <v>222</v>
      </c>
      <c r="G32" s="85" t="s">
        <v>224</v>
      </c>
      <c r="H32" s="85" t="s">
        <v>225</v>
      </c>
    </row>
    <row r="33" spans="1:8" ht="15.75" customHeight="1">
      <c r="A33" s="60">
        <v>16</v>
      </c>
      <c r="B33" s="60">
        <v>1818.7</v>
      </c>
      <c r="C33" s="60">
        <f>B33/1000</f>
        <v>1.8187</v>
      </c>
      <c r="E33" s="70">
        <v>31</v>
      </c>
      <c r="F33" s="71" t="s">
        <v>226</v>
      </c>
      <c r="G33" s="72" t="s">
        <v>227</v>
      </c>
      <c r="H33" s="72" t="s">
        <v>197</v>
      </c>
    </row>
    <row r="34" spans="1:8" ht="15.75" customHeight="1">
      <c r="E34" s="74">
        <v>32</v>
      </c>
      <c r="F34" s="75" t="s">
        <v>226</v>
      </c>
      <c r="G34" s="76" t="s">
        <v>228</v>
      </c>
      <c r="H34" s="76" t="s">
        <v>229</v>
      </c>
    </row>
    <row r="35" spans="1:8" ht="15.75" customHeight="1">
      <c r="A35" s="60">
        <v>17</v>
      </c>
      <c r="B35" s="60">
        <v>1938.3</v>
      </c>
      <c r="C35" s="60">
        <f>B35/1000</f>
        <v>1.9382999999999999</v>
      </c>
      <c r="E35" s="77">
        <v>33</v>
      </c>
      <c r="F35" s="89" t="s">
        <v>230</v>
      </c>
      <c r="G35" s="79" t="s">
        <v>231</v>
      </c>
      <c r="H35" s="79" t="s">
        <v>232</v>
      </c>
    </row>
    <row r="36" spans="1:8" ht="15.75" customHeight="1">
      <c r="E36" s="80">
        <v>34</v>
      </c>
      <c r="F36" s="90" t="s">
        <v>230</v>
      </c>
      <c r="G36" s="82" t="s">
        <v>233</v>
      </c>
      <c r="H36" s="82" t="s">
        <v>234</v>
      </c>
    </row>
    <row r="37" spans="1:8" ht="15.75" customHeight="1">
      <c r="A37" s="60">
        <v>18</v>
      </c>
      <c r="B37" s="60">
        <v>2064.6999999999998</v>
      </c>
      <c r="C37" s="60">
        <f>B37/1000</f>
        <v>2.0646999999999998</v>
      </c>
      <c r="E37" s="83">
        <v>35</v>
      </c>
      <c r="F37" s="91" t="s">
        <v>230</v>
      </c>
      <c r="G37" s="85" t="s">
        <v>235</v>
      </c>
      <c r="H37" s="85" t="s">
        <v>236</v>
      </c>
    </row>
    <row r="38" spans="1:8" ht="15.75" customHeight="1">
      <c r="E38" s="70">
        <v>36</v>
      </c>
      <c r="F38" s="71" t="s">
        <v>237</v>
      </c>
      <c r="G38" s="72" t="s">
        <v>238</v>
      </c>
      <c r="H38" s="72" t="s">
        <v>232</v>
      </c>
    </row>
    <row r="39" spans="1:8" ht="15.75" customHeight="1">
      <c r="A39" s="60">
        <v>19</v>
      </c>
      <c r="B39" s="60">
        <v>2198.1999999999998</v>
      </c>
      <c r="C39" s="60">
        <f>B39/1000</f>
        <v>2.1981999999999999</v>
      </c>
      <c r="E39" s="86">
        <v>37</v>
      </c>
      <c r="F39" s="87" t="s">
        <v>237</v>
      </c>
      <c r="G39" s="88" t="s">
        <v>239</v>
      </c>
      <c r="H39" s="88" t="s">
        <v>240</v>
      </c>
    </row>
    <row r="40" spans="1:8" ht="15.75" customHeight="1">
      <c r="E40" s="74">
        <v>38</v>
      </c>
      <c r="F40" s="75" t="s">
        <v>237</v>
      </c>
      <c r="G40" s="76" t="s">
        <v>241</v>
      </c>
      <c r="H40" s="76" t="s">
        <v>236</v>
      </c>
    </row>
    <row r="41" spans="1:8" ht="15.75" customHeight="1">
      <c r="A41" s="60">
        <v>20</v>
      </c>
      <c r="B41" s="60">
        <v>2339.1999999999998</v>
      </c>
      <c r="C41" s="60">
        <f>B41/1000</f>
        <v>2.3391999999999999</v>
      </c>
      <c r="E41" s="77">
        <v>39</v>
      </c>
      <c r="F41" s="89" t="s">
        <v>242</v>
      </c>
      <c r="G41" s="79" t="s">
        <v>243</v>
      </c>
      <c r="H41" s="92" t="s">
        <v>244</v>
      </c>
    </row>
    <row r="42" spans="1:8" ht="15.75" customHeight="1">
      <c r="E42" s="80">
        <v>40</v>
      </c>
      <c r="F42" s="90" t="s">
        <v>242</v>
      </c>
      <c r="G42" s="82" t="s">
        <v>245</v>
      </c>
      <c r="H42" s="82" t="s">
        <v>232</v>
      </c>
    </row>
    <row r="43" spans="1:8" ht="15.75" customHeight="1">
      <c r="A43" s="60">
        <v>21</v>
      </c>
      <c r="B43" s="60">
        <v>2488.1999999999998</v>
      </c>
      <c r="C43" s="60">
        <f>B43/1000</f>
        <v>2.4882</v>
      </c>
      <c r="E43" s="80">
        <v>41</v>
      </c>
      <c r="F43" s="90" t="s">
        <v>242</v>
      </c>
      <c r="G43" s="82" t="s">
        <v>246</v>
      </c>
      <c r="H43" s="82" t="s">
        <v>240</v>
      </c>
    </row>
    <row r="44" spans="1:8" ht="15.75" customHeight="1">
      <c r="E44" s="83">
        <v>42</v>
      </c>
      <c r="F44" s="91" t="s">
        <v>242</v>
      </c>
      <c r="G44" s="85" t="s">
        <v>247</v>
      </c>
      <c r="H44" s="85" t="s">
        <v>236</v>
      </c>
    </row>
    <row r="45" spans="1:8" ht="15.75" customHeight="1">
      <c r="A45" s="60">
        <v>22</v>
      </c>
      <c r="B45" s="60">
        <v>2645.3</v>
      </c>
      <c r="C45" s="60">
        <f>B45/1000</f>
        <v>2.6453000000000002</v>
      </c>
      <c r="E45" s="70">
        <v>43</v>
      </c>
      <c r="F45" s="71" t="s">
        <v>248</v>
      </c>
      <c r="G45" s="72" t="s">
        <v>249</v>
      </c>
      <c r="H45" s="72" t="s">
        <v>250</v>
      </c>
    </row>
    <row r="46" spans="1:8" ht="15.75" customHeight="1">
      <c r="E46" s="86">
        <v>44</v>
      </c>
      <c r="F46" s="87" t="s">
        <v>248</v>
      </c>
      <c r="G46" s="88" t="s">
        <v>251</v>
      </c>
      <c r="H46" s="88" t="s">
        <v>232</v>
      </c>
    </row>
    <row r="47" spans="1:8" ht="15.75" customHeight="1">
      <c r="A47" s="60">
        <v>23</v>
      </c>
      <c r="B47" s="60">
        <v>2811</v>
      </c>
      <c r="C47" s="60">
        <f>B47/1000</f>
        <v>2.8109999999999999</v>
      </c>
      <c r="E47" s="86">
        <v>45</v>
      </c>
      <c r="F47" s="87" t="s">
        <v>248</v>
      </c>
      <c r="G47" s="88" t="s">
        <v>252</v>
      </c>
      <c r="H47" s="88" t="s">
        <v>240</v>
      </c>
    </row>
    <row r="48" spans="1:8" ht="15.75" customHeight="1">
      <c r="E48" s="74">
        <v>46</v>
      </c>
      <c r="F48" s="75" t="s">
        <v>248</v>
      </c>
      <c r="G48" s="76" t="s">
        <v>253</v>
      </c>
      <c r="H48" s="76" t="s">
        <v>236</v>
      </c>
    </row>
    <row r="49" spans="1:8" ht="15.75" customHeight="1">
      <c r="A49" s="60">
        <v>24</v>
      </c>
      <c r="B49" s="60">
        <v>2985.8</v>
      </c>
      <c r="C49" s="60">
        <f>B49/1000</f>
        <v>2.9858000000000002</v>
      </c>
      <c r="E49" s="77">
        <v>47</v>
      </c>
      <c r="F49" s="89" t="s">
        <v>254</v>
      </c>
      <c r="G49" s="79" t="s">
        <v>255</v>
      </c>
      <c r="H49" s="79" t="s">
        <v>256</v>
      </c>
    </row>
    <row r="50" spans="1:8" ht="15.75" customHeight="1">
      <c r="E50" s="80">
        <v>48</v>
      </c>
      <c r="F50" s="90" t="s">
        <v>254</v>
      </c>
      <c r="G50" s="82" t="s">
        <v>257</v>
      </c>
      <c r="H50" s="82" t="s">
        <v>232</v>
      </c>
    </row>
    <row r="51" spans="1:8" ht="15.75" customHeight="1">
      <c r="A51" s="60">
        <v>25</v>
      </c>
      <c r="B51" s="60">
        <v>3169.9</v>
      </c>
      <c r="C51" s="60">
        <f>B51/1000</f>
        <v>3.1699000000000002</v>
      </c>
      <c r="E51" s="80">
        <v>49</v>
      </c>
      <c r="F51" s="90" t="s">
        <v>254</v>
      </c>
      <c r="G51" s="82" t="s">
        <v>258</v>
      </c>
      <c r="H51" s="82" t="s">
        <v>240</v>
      </c>
    </row>
    <row r="52" spans="1:8" ht="15.75" customHeight="1">
      <c r="E52" s="83">
        <v>50</v>
      </c>
      <c r="F52" s="91" t="s">
        <v>254</v>
      </c>
      <c r="G52" s="85" t="s">
        <v>259</v>
      </c>
      <c r="H52" s="85" t="s">
        <v>236</v>
      </c>
    </row>
    <row r="53" spans="1:8" ht="15.75" customHeight="1">
      <c r="A53" s="60">
        <v>26</v>
      </c>
      <c r="B53" s="60">
        <v>3363.9</v>
      </c>
      <c r="C53" s="60">
        <f>B53/1000</f>
        <v>3.3639000000000001</v>
      </c>
      <c r="E53" s="70">
        <v>51</v>
      </c>
      <c r="F53" s="71" t="s">
        <v>260</v>
      </c>
      <c r="G53" s="72" t="s">
        <v>261</v>
      </c>
      <c r="H53" s="72" t="s">
        <v>262</v>
      </c>
    </row>
    <row r="54" spans="1:8" ht="15.75" customHeight="1">
      <c r="E54" s="86">
        <v>52</v>
      </c>
      <c r="F54" s="87" t="s">
        <v>260</v>
      </c>
      <c r="G54" s="88" t="s">
        <v>263</v>
      </c>
      <c r="H54" s="88" t="s">
        <v>232</v>
      </c>
    </row>
    <row r="55" spans="1:8" ht="15.75" customHeight="1">
      <c r="A55" s="60">
        <v>27</v>
      </c>
      <c r="B55" s="60">
        <v>3568.1</v>
      </c>
      <c r="C55" s="60">
        <f>B55/1000</f>
        <v>3.5680999999999998</v>
      </c>
      <c r="E55" s="86">
        <v>53</v>
      </c>
      <c r="F55" s="87" t="s">
        <v>260</v>
      </c>
      <c r="G55" s="88" t="s">
        <v>264</v>
      </c>
      <c r="H55" s="88" t="s">
        <v>240</v>
      </c>
    </row>
    <row r="56" spans="1:8" ht="15.75" customHeight="1">
      <c r="E56" s="74">
        <v>54</v>
      </c>
      <c r="F56" s="75" t="s">
        <v>260</v>
      </c>
      <c r="G56" s="76" t="s">
        <v>265</v>
      </c>
      <c r="H56" s="76" t="s">
        <v>236</v>
      </c>
    </row>
    <row r="57" spans="1:8" ht="15.75" customHeight="1">
      <c r="A57" s="60">
        <v>28</v>
      </c>
      <c r="B57" s="60">
        <v>3783.1</v>
      </c>
      <c r="C57" s="60">
        <f>B57/1000</f>
        <v>3.7831000000000001</v>
      </c>
      <c r="E57" s="77">
        <v>55</v>
      </c>
      <c r="F57" s="89" t="s">
        <v>266</v>
      </c>
      <c r="G57" s="79" t="s">
        <v>267</v>
      </c>
      <c r="H57" s="79" t="s">
        <v>232</v>
      </c>
    </row>
    <row r="58" spans="1:8" ht="15.75" customHeight="1">
      <c r="E58" s="80">
        <v>56</v>
      </c>
      <c r="F58" s="90" t="s">
        <v>266</v>
      </c>
      <c r="G58" s="82" t="s">
        <v>268</v>
      </c>
      <c r="H58" s="82" t="s">
        <v>269</v>
      </c>
    </row>
    <row r="59" spans="1:8" ht="15.75" customHeight="1">
      <c r="A59" s="60">
        <v>29</v>
      </c>
      <c r="B59" s="60">
        <v>4009.2</v>
      </c>
      <c r="C59" s="60">
        <f>B59/1000</f>
        <v>4.0091999999999999</v>
      </c>
      <c r="E59" s="83">
        <v>57</v>
      </c>
      <c r="F59" s="91" t="s">
        <v>266</v>
      </c>
      <c r="G59" s="85" t="s">
        <v>270</v>
      </c>
      <c r="H59" s="85" t="s">
        <v>236</v>
      </c>
    </row>
    <row r="60" spans="1:8" ht="15.75" customHeight="1">
      <c r="E60" s="70">
        <v>58</v>
      </c>
      <c r="F60" s="71" t="s">
        <v>271</v>
      </c>
      <c r="G60" s="72" t="s">
        <v>272</v>
      </c>
      <c r="H60" s="72" t="s">
        <v>273</v>
      </c>
    </row>
    <row r="61" spans="1:8" ht="15.75" customHeight="1">
      <c r="A61" s="60">
        <v>30</v>
      </c>
      <c r="B61" s="60">
        <v>4247</v>
      </c>
      <c r="C61" s="60">
        <f>B61/1000</f>
        <v>4.2469999999999999</v>
      </c>
      <c r="E61" s="86">
        <v>59</v>
      </c>
      <c r="F61" s="87" t="s">
        <v>271</v>
      </c>
      <c r="G61" s="88" t="s">
        <v>274</v>
      </c>
      <c r="H61" s="88" t="s">
        <v>275</v>
      </c>
    </row>
    <row r="62" spans="1:8" ht="15.75" customHeight="1">
      <c r="E62" s="86">
        <v>60</v>
      </c>
      <c r="F62" s="87" t="s">
        <v>271</v>
      </c>
      <c r="G62" s="88" t="s">
        <v>276</v>
      </c>
      <c r="H62" s="88" t="s">
        <v>277</v>
      </c>
    </row>
    <row r="63" spans="1:8" ht="15.75" customHeight="1">
      <c r="A63" s="60">
        <v>31</v>
      </c>
      <c r="B63" s="60">
        <v>4497</v>
      </c>
      <c r="C63" s="60">
        <f>B63/1000</f>
        <v>4.4969999999999999</v>
      </c>
      <c r="E63" s="74">
        <v>61</v>
      </c>
      <c r="F63" s="75" t="s">
        <v>271</v>
      </c>
      <c r="G63" s="76" t="s">
        <v>278</v>
      </c>
      <c r="H63" s="76" t="s">
        <v>236</v>
      </c>
    </row>
    <row r="64" spans="1:8" ht="15.75" customHeight="1">
      <c r="E64" s="77">
        <v>62</v>
      </c>
      <c r="F64" s="89" t="s">
        <v>279</v>
      </c>
      <c r="G64" s="79" t="s">
        <v>280</v>
      </c>
      <c r="H64" s="79" t="s">
        <v>281</v>
      </c>
    </row>
    <row r="65" spans="1:8" ht="15.75" customHeight="1">
      <c r="A65" s="60">
        <v>32</v>
      </c>
      <c r="B65" s="60">
        <v>4759.7</v>
      </c>
      <c r="C65" s="60">
        <f>B65/1000</f>
        <v>4.7596999999999996</v>
      </c>
      <c r="E65" s="80">
        <v>63</v>
      </c>
      <c r="F65" s="90" t="s">
        <v>279</v>
      </c>
      <c r="G65" s="82" t="s">
        <v>282</v>
      </c>
      <c r="H65" s="82" t="s">
        <v>275</v>
      </c>
    </row>
    <row r="66" spans="1:8" ht="15.75" customHeight="1">
      <c r="E66" s="80">
        <v>64</v>
      </c>
      <c r="F66" s="90" t="s">
        <v>279</v>
      </c>
      <c r="G66" s="82" t="s">
        <v>283</v>
      </c>
      <c r="H66" s="82" t="s">
        <v>277</v>
      </c>
    </row>
    <row r="67" spans="1:8" ht="15.75" customHeight="1">
      <c r="A67" s="60">
        <v>33</v>
      </c>
      <c r="B67" s="60">
        <v>5035.6000000000004</v>
      </c>
      <c r="C67" s="60">
        <f>B67/1000</f>
        <v>5.0356000000000005</v>
      </c>
      <c r="E67" s="83">
        <v>65</v>
      </c>
      <c r="F67" s="91" t="s">
        <v>279</v>
      </c>
      <c r="G67" s="85" t="s">
        <v>284</v>
      </c>
      <c r="H67" s="85" t="s">
        <v>236</v>
      </c>
    </row>
    <row r="68" spans="1:8" ht="15.75" customHeight="1">
      <c r="E68" s="70">
        <v>66</v>
      </c>
      <c r="F68" s="71" t="s">
        <v>285</v>
      </c>
      <c r="G68" s="72" t="s">
        <v>286</v>
      </c>
      <c r="H68" s="72" t="s">
        <v>287</v>
      </c>
    </row>
    <row r="69" spans="1:8" ht="15.75" customHeight="1">
      <c r="A69" s="60">
        <v>34</v>
      </c>
      <c r="B69" s="60">
        <v>5325.2</v>
      </c>
      <c r="C69" s="60">
        <f>B69/1000</f>
        <v>5.3251999999999997</v>
      </c>
      <c r="E69" s="74">
        <v>67</v>
      </c>
      <c r="F69" s="75" t="s">
        <v>288</v>
      </c>
      <c r="G69" s="76" t="s">
        <v>289</v>
      </c>
      <c r="H69" s="76" t="s">
        <v>215</v>
      </c>
    </row>
    <row r="70" spans="1:8" ht="15.75" customHeight="1">
      <c r="E70" s="77">
        <v>68</v>
      </c>
      <c r="F70" s="89" t="s">
        <v>290</v>
      </c>
      <c r="G70" s="79" t="s">
        <v>291</v>
      </c>
      <c r="H70" s="79" t="s">
        <v>197</v>
      </c>
    </row>
    <row r="71" spans="1:8" ht="15.75" customHeight="1">
      <c r="A71" s="60">
        <v>35</v>
      </c>
      <c r="B71" s="60">
        <v>5629.2</v>
      </c>
      <c r="C71" s="60">
        <f>B71/1000</f>
        <v>5.6292</v>
      </c>
      <c r="E71" s="80">
        <v>69</v>
      </c>
      <c r="F71" s="90" t="s">
        <v>290</v>
      </c>
      <c r="G71" s="82" t="s">
        <v>292</v>
      </c>
      <c r="H71" s="82" t="s">
        <v>293</v>
      </c>
    </row>
    <row r="72" spans="1:8" ht="15.75" customHeight="1">
      <c r="E72" s="83">
        <v>70</v>
      </c>
      <c r="F72" s="91" t="s">
        <v>290</v>
      </c>
      <c r="G72" s="85" t="s">
        <v>294</v>
      </c>
      <c r="H72" s="85" t="s">
        <v>295</v>
      </c>
    </row>
    <row r="73" spans="1:8" ht="15.75" customHeight="1">
      <c r="A73" s="60">
        <v>36</v>
      </c>
      <c r="B73" s="60">
        <v>5948.1</v>
      </c>
      <c r="C73" s="60">
        <f>B73/1000</f>
        <v>5.9481000000000002</v>
      </c>
      <c r="E73" s="70">
        <v>71</v>
      </c>
      <c r="F73" s="71" t="s">
        <v>296</v>
      </c>
      <c r="G73" s="72" t="s">
        <v>297</v>
      </c>
      <c r="H73" s="72" t="s">
        <v>298</v>
      </c>
    </row>
    <row r="74" spans="1:8" ht="15.75" customHeight="1">
      <c r="E74" s="74">
        <v>72</v>
      </c>
      <c r="F74" s="75" t="s">
        <v>296</v>
      </c>
      <c r="G74" s="76" t="s">
        <v>299</v>
      </c>
      <c r="H74" s="76" t="s">
        <v>197</v>
      </c>
    </row>
    <row r="75" spans="1:8" ht="15.75" customHeight="1">
      <c r="A75" s="60">
        <v>37</v>
      </c>
      <c r="B75" s="60">
        <v>6282.5</v>
      </c>
      <c r="C75" s="60">
        <f>B75/1000</f>
        <v>6.2824999999999998</v>
      </c>
      <c r="E75" s="77">
        <v>73</v>
      </c>
      <c r="F75" s="89" t="s">
        <v>300</v>
      </c>
      <c r="G75" s="79" t="s">
        <v>301</v>
      </c>
      <c r="H75" s="79" t="s">
        <v>197</v>
      </c>
    </row>
    <row r="76" spans="1:8" ht="15.75" customHeight="1">
      <c r="E76" s="83">
        <v>74</v>
      </c>
      <c r="F76" s="91" t="s">
        <v>300</v>
      </c>
      <c r="G76" s="85" t="s">
        <v>302</v>
      </c>
      <c r="H76" s="85" t="s">
        <v>303</v>
      </c>
    </row>
    <row r="77" spans="1:8" ht="15.75" customHeight="1">
      <c r="A77" s="60">
        <v>38</v>
      </c>
      <c r="B77" s="60">
        <v>6633.1</v>
      </c>
      <c r="C77" s="60">
        <f>B77/1000</f>
        <v>6.6331000000000007</v>
      </c>
      <c r="E77" s="70">
        <v>75</v>
      </c>
      <c r="F77" s="71" t="s">
        <v>304</v>
      </c>
      <c r="G77" s="72" t="s">
        <v>305</v>
      </c>
      <c r="H77" s="72" t="s">
        <v>197</v>
      </c>
    </row>
    <row r="78" spans="1:8" ht="15.75" customHeight="1">
      <c r="E78" s="74">
        <v>76</v>
      </c>
      <c r="F78" s="75" t="s">
        <v>304</v>
      </c>
      <c r="G78" s="76" t="s">
        <v>306</v>
      </c>
      <c r="H78" s="76" t="s">
        <v>307</v>
      </c>
    </row>
    <row r="79" spans="1:8" ht="15.75" customHeight="1">
      <c r="A79" s="60">
        <v>39</v>
      </c>
      <c r="B79" s="60">
        <v>7000.5</v>
      </c>
      <c r="C79" s="60">
        <f>B79/1000</f>
        <v>7.0004999999999997</v>
      </c>
      <c r="E79" s="65">
        <v>77</v>
      </c>
      <c r="F79" s="93" t="s">
        <v>308</v>
      </c>
      <c r="G79" s="94" t="s">
        <v>309</v>
      </c>
      <c r="H79" s="94" t="s">
        <v>310</v>
      </c>
    </row>
    <row r="80" spans="1:8">
      <c r="E80" s="70">
        <v>78</v>
      </c>
      <c r="F80" s="71" t="s">
        <v>311</v>
      </c>
      <c r="G80" s="72" t="s">
        <v>312</v>
      </c>
      <c r="H80" s="72" t="s">
        <v>313</v>
      </c>
    </row>
    <row r="81" spans="1:8">
      <c r="A81" s="60">
        <v>40</v>
      </c>
      <c r="B81" s="60">
        <v>7385.3</v>
      </c>
      <c r="C81" s="60">
        <f>B81/1000</f>
        <v>7.3853</v>
      </c>
      <c r="E81" s="74">
        <v>79</v>
      </c>
      <c r="F81" s="75" t="s">
        <v>311</v>
      </c>
      <c r="G81" s="76" t="s">
        <v>314</v>
      </c>
      <c r="H81" s="76" t="s">
        <v>197</v>
      </c>
    </row>
    <row r="82" spans="1:8" ht="15.75" customHeight="1">
      <c r="E82" s="77">
        <v>80</v>
      </c>
      <c r="F82" s="89" t="s">
        <v>315</v>
      </c>
      <c r="G82" s="79" t="s">
        <v>316</v>
      </c>
      <c r="H82" s="79" t="s">
        <v>317</v>
      </c>
    </row>
    <row r="83" spans="1:8" ht="15.75" customHeight="1">
      <c r="A83" s="60">
        <v>41</v>
      </c>
      <c r="B83" s="60">
        <v>7788.2</v>
      </c>
      <c r="C83" s="60">
        <f>B83/1000</f>
        <v>7.7881999999999998</v>
      </c>
      <c r="E83" s="83">
        <v>81</v>
      </c>
      <c r="F83" s="91" t="s">
        <v>315</v>
      </c>
      <c r="G83" s="85" t="s">
        <v>318</v>
      </c>
      <c r="H83" s="85" t="s">
        <v>197</v>
      </c>
    </row>
    <row r="84" spans="1:8" ht="15.75" customHeight="1">
      <c r="E84" s="70">
        <v>82</v>
      </c>
      <c r="F84" s="71" t="s">
        <v>319</v>
      </c>
      <c r="G84" s="72" t="s">
        <v>320</v>
      </c>
      <c r="H84" s="72" t="s">
        <v>321</v>
      </c>
    </row>
    <row r="85" spans="1:8" ht="15.75" customHeight="1">
      <c r="A85" s="60">
        <v>42</v>
      </c>
      <c r="B85" s="60">
        <v>8210</v>
      </c>
      <c r="C85" s="60">
        <f>B85/1000</f>
        <v>8.2100000000000009</v>
      </c>
      <c r="E85" s="74">
        <v>83</v>
      </c>
      <c r="F85" s="75" t="s">
        <v>319</v>
      </c>
      <c r="G85" s="76" t="s">
        <v>322</v>
      </c>
      <c r="H85" s="76" t="s">
        <v>323</v>
      </c>
    </row>
    <row r="86" spans="1:8" ht="15.75" customHeight="1">
      <c r="E86" s="77">
        <v>84</v>
      </c>
      <c r="F86" s="89" t="s">
        <v>324</v>
      </c>
      <c r="G86" s="79" t="s">
        <v>325</v>
      </c>
      <c r="H86" s="79" t="s">
        <v>326</v>
      </c>
    </row>
    <row r="87" spans="1:8" ht="15.75" customHeight="1">
      <c r="A87" s="60">
        <v>43</v>
      </c>
      <c r="B87" s="60">
        <v>8651.2999999999993</v>
      </c>
      <c r="C87" s="60">
        <f>B87/1000</f>
        <v>8.6512999999999991</v>
      </c>
      <c r="E87" s="80">
        <v>85</v>
      </c>
      <c r="F87" s="90" t="s">
        <v>324</v>
      </c>
      <c r="G87" s="82" t="s">
        <v>327</v>
      </c>
      <c r="H87" s="82" t="s">
        <v>328</v>
      </c>
    </row>
    <row r="88" spans="1:8" ht="15.75" customHeight="1">
      <c r="E88" s="80">
        <v>86</v>
      </c>
      <c r="F88" s="90" t="s">
        <v>324</v>
      </c>
      <c r="G88" s="82" t="s">
        <v>329</v>
      </c>
      <c r="H88" s="82" t="s">
        <v>330</v>
      </c>
    </row>
    <row r="89" spans="1:8">
      <c r="A89" s="60">
        <v>44</v>
      </c>
      <c r="B89" s="60">
        <v>9112.9</v>
      </c>
      <c r="C89" s="60">
        <f>B89/1000</f>
        <v>9.1128999999999998</v>
      </c>
      <c r="E89" s="83">
        <v>87</v>
      </c>
      <c r="F89" s="91" t="s">
        <v>324</v>
      </c>
      <c r="G89" s="85" t="s">
        <v>331</v>
      </c>
      <c r="H89" s="85" t="s">
        <v>332</v>
      </c>
    </row>
    <row r="90" spans="1:8" ht="30">
      <c r="E90" s="70">
        <v>88</v>
      </c>
      <c r="F90" s="95" t="s">
        <v>333</v>
      </c>
      <c r="G90" s="72" t="s">
        <v>334</v>
      </c>
      <c r="H90" s="72" t="s">
        <v>335</v>
      </c>
    </row>
    <row r="91" spans="1:8" ht="30">
      <c r="A91" s="60">
        <v>45</v>
      </c>
      <c r="B91" s="60">
        <v>9595.6</v>
      </c>
      <c r="C91" s="60">
        <f>B91/1000</f>
        <v>9.595600000000001</v>
      </c>
      <c r="E91" s="96">
        <v>89</v>
      </c>
      <c r="F91" s="97" t="s">
        <v>333</v>
      </c>
      <c r="G91" s="98" t="s">
        <v>334</v>
      </c>
      <c r="H91" s="98" t="s">
        <v>336</v>
      </c>
    </row>
    <row r="92" spans="1:8">
      <c r="E92" s="77"/>
      <c r="F92" s="89"/>
      <c r="G92" s="79"/>
      <c r="H92" s="79"/>
    </row>
    <row r="93" spans="1:8">
      <c r="A93" s="60">
        <v>46</v>
      </c>
      <c r="B93" s="60">
        <v>10100</v>
      </c>
      <c r="C93" s="60">
        <f>B93/1000</f>
        <v>10.1</v>
      </c>
      <c r="E93" s="80"/>
      <c r="F93" s="90"/>
      <c r="G93" s="82"/>
      <c r="H93" s="82"/>
    </row>
    <row r="94" spans="1:8">
      <c r="E94" s="80"/>
      <c r="F94" s="90"/>
      <c r="G94" s="82"/>
      <c r="H94" s="82"/>
    </row>
    <row r="95" spans="1:8">
      <c r="A95" s="60">
        <v>47</v>
      </c>
      <c r="B95" s="60">
        <v>10627</v>
      </c>
      <c r="C95" s="60">
        <f>B95/1000</f>
        <v>10.627000000000001</v>
      </c>
      <c r="E95" s="80"/>
      <c r="F95" s="90"/>
      <c r="G95" s="82"/>
      <c r="H95" s="82"/>
    </row>
    <row r="96" spans="1:8">
      <c r="E96" s="80"/>
      <c r="F96" s="90"/>
      <c r="G96" s="82"/>
      <c r="H96" s="82"/>
    </row>
    <row r="97" spans="1:8">
      <c r="A97" s="60">
        <v>48</v>
      </c>
      <c r="B97" s="60">
        <v>11178</v>
      </c>
      <c r="C97" s="60">
        <f>B97/1000</f>
        <v>11.178000000000001</v>
      </c>
      <c r="E97" s="83"/>
      <c r="F97" s="91"/>
      <c r="G97" s="85"/>
      <c r="H97" s="85"/>
    </row>
    <row r="99" spans="1:8">
      <c r="A99" s="60">
        <v>49</v>
      </c>
      <c r="B99" s="60">
        <v>11753</v>
      </c>
      <c r="C99" s="60">
        <f>B99/1000</f>
        <v>11.753</v>
      </c>
    </row>
    <row r="101" spans="1:8">
      <c r="A101" s="60">
        <v>50</v>
      </c>
      <c r="B101" s="60">
        <v>12353</v>
      </c>
      <c r="C101" s="60">
        <f>B101/1000</f>
        <v>12.353</v>
      </c>
    </row>
    <row r="103" spans="1:8">
      <c r="A103" s="60">
        <v>51</v>
      </c>
      <c r="B103" s="60">
        <v>12979</v>
      </c>
      <c r="C103" s="60">
        <f>B103/1000</f>
        <v>12.978999999999999</v>
      </c>
    </row>
    <row r="105" spans="1:8">
      <c r="A105" s="60">
        <v>52</v>
      </c>
      <c r="B105" s="60">
        <v>13632</v>
      </c>
      <c r="C105" s="60">
        <f>B105/1000</f>
        <v>13.632</v>
      </c>
    </row>
    <row r="107" spans="1:8">
      <c r="A107" s="60">
        <v>53</v>
      </c>
      <c r="B107" s="60">
        <v>14313</v>
      </c>
      <c r="C107" s="60">
        <f>B107/1000</f>
        <v>14.313000000000001</v>
      </c>
    </row>
    <row r="109" spans="1:8">
      <c r="A109" s="60">
        <v>54</v>
      </c>
      <c r="B109" s="60">
        <v>15023</v>
      </c>
      <c r="C109" s="60">
        <f>B109/1000</f>
        <v>15.023</v>
      </c>
    </row>
    <row r="111" spans="1:8">
      <c r="A111" s="60">
        <v>55</v>
      </c>
      <c r="B111" s="60">
        <v>15763</v>
      </c>
      <c r="C111" s="60">
        <f>B111/1000</f>
        <v>15.763</v>
      </c>
    </row>
    <row r="113" spans="1:3">
      <c r="A113" s="60">
        <v>56</v>
      </c>
      <c r="B113" s="60">
        <v>16534</v>
      </c>
      <c r="C113" s="60">
        <f>B113/1000</f>
        <v>16.533999999999999</v>
      </c>
    </row>
    <row r="115" spans="1:3">
      <c r="A115" s="60">
        <v>57</v>
      </c>
      <c r="B115" s="60">
        <v>17337</v>
      </c>
      <c r="C115" s="60">
        <f>B115/1000</f>
        <v>17.337</v>
      </c>
    </row>
    <row r="117" spans="1:3">
      <c r="A117" s="60">
        <v>58</v>
      </c>
      <c r="B117" s="60">
        <v>18173</v>
      </c>
      <c r="C117" s="60">
        <f>B117/1000</f>
        <v>18.172999999999998</v>
      </c>
    </row>
    <row r="119" spans="1:3">
      <c r="A119" s="60">
        <v>59</v>
      </c>
      <c r="B119" s="60">
        <v>19043</v>
      </c>
      <c r="C119" s="60">
        <f>B119/1000</f>
        <v>19.042999999999999</v>
      </c>
    </row>
    <row r="121" spans="1:3">
      <c r="A121" s="60">
        <v>60</v>
      </c>
      <c r="B121" s="60">
        <v>19948</v>
      </c>
      <c r="C121" s="60">
        <f>B121/1000</f>
        <v>19.948</v>
      </c>
    </row>
    <row r="123" spans="1:3">
      <c r="A123" s="60">
        <v>61</v>
      </c>
      <c r="B123" s="60">
        <v>20889</v>
      </c>
      <c r="C123" s="60">
        <f>B123/1000</f>
        <v>20.888999999999999</v>
      </c>
    </row>
    <row r="125" spans="1:3">
      <c r="A125" s="60">
        <v>62</v>
      </c>
      <c r="B125" s="60">
        <v>21868</v>
      </c>
      <c r="C125" s="60">
        <f>B125/1000</f>
        <v>21.867999999999999</v>
      </c>
    </row>
    <row r="127" spans="1:3">
      <c r="A127" s="60">
        <v>63</v>
      </c>
      <c r="B127" s="60">
        <v>22886</v>
      </c>
      <c r="C127" s="60">
        <f>B127/1000</f>
        <v>22.885999999999999</v>
      </c>
    </row>
    <row r="129" spans="1:3">
      <c r="A129" s="60">
        <v>64</v>
      </c>
      <c r="B129" s="60">
        <v>23944</v>
      </c>
      <c r="C129" s="60">
        <f>B129/1000</f>
        <v>23.943999999999999</v>
      </c>
    </row>
    <row r="131" spans="1:3">
      <c r="A131" s="60">
        <v>65</v>
      </c>
      <c r="B131" s="60">
        <v>25043</v>
      </c>
      <c r="C131" s="60">
        <f>B131/1000</f>
        <v>25.042999999999999</v>
      </c>
    </row>
    <row r="133" spans="1:3">
      <c r="A133" s="60">
        <v>66</v>
      </c>
      <c r="B133" s="60">
        <v>26184</v>
      </c>
      <c r="C133" s="60">
        <f>B133/1000</f>
        <v>26.184000000000001</v>
      </c>
    </row>
    <row r="135" spans="1:3">
      <c r="A135" s="60">
        <v>67</v>
      </c>
      <c r="B135" s="60">
        <v>27370</v>
      </c>
      <c r="C135" s="60">
        <f>B135/1000</f>
        <v>27.37</v>
      </c>
    </row>
    <row r="137" spans="1:3">
      <c r="A137" s="60">
        <v>68</v>
      </c>
      <c r="B137" s="60">
        <v>28600</v>
      </c>
      <c r="C137" s="60">
        <f>B137/1000</f>
        <v>28.6</v>
      </c>
    </row>
    <row r="139" spans="1:3">
      <c r="A139" s="60">
        <v>69</v>
      </c>
      <c r="B139" s="60">
        <v>29877</v>
      </c>
      <c r="C139" s="60">
        <f>B139/1000</f>
        <v>29.876999999999999</v>
      </c>
    </row>
    <row r="141" spans="1:3">
      <c r="A141" s="60">
        <v>70</v>
      </c>
      <c r="B141" s="60">
        <v>31202</v>
      </c>
      <c r="C141" s="60">
        <f>B141/1000</f>
        <v>31.202000000000002</v>
      </c>
    </row>
    <row r="143" spans="1:3">
      <c r="A143" s="60">
        <v>71</v>
      </c>
      <c r="B143" s="60">
        <v>32577</v>
      </c>
      <c r="C143" s="60">
        <f>B143/1000</f>
        <v>32.576999999999998</v>
      </c>
    </row>
    <row r="145" spans="1:3">
      <c r="A145" s="60">
        <v>72</v>
      </c>
      <c r="B145" s="60">
        <v>34002</v>
      </c>
      <c r="C145" s="60">
        <f>B145/1000</f>
        <v>34.002000000000002</v>
      </c>
    </row>
    <row r="147" spans="1:3">
      <c r="A147" s="60">
        <v>73</v>
      </c>
      <c r="B147" s="60">
        <v>35479</v>
      </c>
      <c r="C147" s="60">
        <f>B147/1000</f>
        <v>35.478999999999999</v>
      </c>
    </row>
    <row r="149" spans="1:3">
      <c r="A149" s="60">
        <v>74</v>
      </c>
      <c r="B149" s="60">
        <v>37010</v>
      </c>
      <c r="C149" s="60">
        <f>B149/1000</f>
        <v>37.01</v>
      </c>
    </row>
    <row r="151" spans="1:3">
      <c r="A151" s="60">
        <v>75</v>
      </c>
      <c r="B151" s="60">
        <v>38597</v>
      </c>
      <c r="C151" s="60">
        <f>B151/1000</f>
        <v>38.597000000000001</v>
      </c>
    </row>
    <row r="153" spans="1:3">
      <c r="A153" s="60">
        <v>76</v>
      </c>
      <c r="B153" s="60">
        <v>40240</v>
      </c>
      <c r="C153" s="60">
        <f>B153/1000</f>
        <v>40.24</v>
      </c>
    </row>
    <row r="155" spans="1:3">
      <c r="A155" s="60">
        <v>77</v>
      </c>
      <c r="B155" s="60">
        <v>41942</v>
      </c>
      <c r="C155" s="60">
        <f>B155/1000</f>
        <v>41.942</v>
      </c>
    </row>
    <row r="157" spans="1:3">
      <c r="A157" s="60">
        <v>78</v>
      </c>
      <c r="B157" s="60">
        <v>43704</v>
      </c>
      <c r="C157" s="60">
        <f>B157/1000</f>
        <v>43.704000000000001</v>
      </c>
    </row>
    <row r="159" spans="1:3">
      <c r="A159" s="60">
        <v>79</v>
      </c>
      <c r="B159" s="60">
        <v>45528</v>
      </c>
      <c r="C159" s="60">
        <f>B159/1000</f>
        <v>45.527999999999999</v>
      </c>
    </row>
    <row r="161" spans="1:3">
      <c r="A161" s="60">
        <v>80</v>
      </c>
      <c r="B161" s="60">
        <v>47416</v>
      </c>
      <c r="C161" s="60">
        <f>B161/1000</f>
        <v>47.415999999999997</v>
      </c>
    </row>
    <row r="163" spans="1:3">
      <c r="A163" s="60">
        <v>81</v>
      </c>
      <c r="B163" s="60">
        <v>49368</v>
      </c>
      <c r="C163" s="60">
        <f>B163/1000</f>
        <v>49.368000000000002</v>
      </c>
    </row>
    <row r="165" spans="1:3">
      <c r="A165" s="60">
        <v>82</v>
      </c>
      <c r="B165" s="60">
        <v>51388</v>
      </c>
      <c r="C165" s="60">
        <f>B165/1000</f>
        <v>51.387999999999998</v>
      </c>
    </row>
    <row r="167" spans="1:3">
      <c r="A167" s="60">
        <v>83</v>
      </c>
      <c r="B167" s="60">
        <v>53477</v>
      </c>
      <c r="C167" s="60">
        <f>B167/1000</f>
        <v>53.476999999999997</v>
      </c>
    </row>
    <row r="169" spans="1:3">
      <c r="A169" s="60">
        <v>84</v>
      </c>
      <c r="B169" s="60">
        <v>55636</v>
      </c>
      <c r="C169" s="60">
        <f>B169/1000</f>
        <v>55.636000000000003</v>
      </c>
    </row>
    <row r="171" spans="1:3">
      <c r="A171" s="60">
        <v>85</v>
      </c>
      <c r="B171" s="60">
        <v>57868</v>
      </c>
      <c r="C171" s="60">
        <f>B171/1000</f>
        <v>57.868000000000002</v>
      </c>
    </row>
    <row r="173" spans="1:3">
      <c r="A173" s="60">
        <v>86</v>
      </c>
      <c r="B173" s="60">
        <v>60174</v>
      </c>
      <c r="C173" s="60">
        <f>B173/1000</f>
        <v>60.173999999999999</v>
      </c>
    </row>
    <row r="175" spans="1:3">
      <c r="A175" s="60">
        <v>87</v>
      </c>
      <c r="B175" s="60">
        <v>62557</v>
      </c>
      <c r="C175" s="60">
        <f>B175/1000</f>
        <v>62.557000000000002</v>
      </c>
    </row>
    <row r="177" spans="1:3">
      <c r="A177" s="60">
        <v>88</v>
      </c>
      <c r="B177" s="60">
        <v>65017</v>
      </c>
      <c r="C177" s="60">
        <f>B177/1000</f>
        <v>65.016999999999996</v>
      </c>
    </row>
    <row r="179" spans="1:3">
      <c r="A179" s="60">
        <v>89</v>
      </c>
      <c r="B179" s="60">
        <v>67559</v>
      </c>
      <c r="C179" s="60">
        <f>B179/1000</f>
        <v>67.558999999999997</v>
      </c>
    </row>
    <row r="181" spans="1:3">
      <c r="A181" s="60">
        <v>90</v>
      </c>
      <c r="B181" s="60">
        <v>70182</v>
      </c>
      <c r="C181" s="60">
        <f>B181/1000</f>
        <v>70.182000000000002</v>
      </c>
    </row>
    <row r="183" spans="1:3">
      <c r="A183" s="60">
        <v>91</v>
      </c>
      <c r="B183" s="60">
        <v>72890</v>
      </c>
      <c r="C183" s="60">
        <f>B183/1000</f>
        <v>72.89</v>
      </c>
    </row>
    <row r="185" spans="1:3">
      <c r="A185" s="60">
        <v>92</v>
      </c>
      <c r="B185" s="60">
        <v>75685</v>
      </c>
      <c r="C185" s="60">
        <f>B185/1000</f>
        <v>75.685000000000002</v>
      </c>
    </row>
    <row r="187" spans="1:3">
      <c r="A187" s="60">
        <v>93</v>
      </c>
      <c r="B187" s="60">
        <v>78568</v>
      </c>
      <c r="C187" s="60">
        <f>B187/1000</f>
        <v>78.567999999999998</v>
      </c>
    </row>
    <row r="189" spans="1:3">
      <c r="A189" s="60">
        <v>94</v>
      </c>
      <c r="B189" s="60">
        <v>81542</v>
      </c>
      <c r="C189" s="60">
        <f>B189/1000</f>
        <v>81.542000000000002</v>
      </c>
    </row>
    <row r="191" spans="1:3">
      <c r="A191" s="60">
        <v>95</v>
      </c>
      <c r="B191" s="60">
        <v>84609</v>
      </c>
      <c r="C191" s="60">
        <f>B191/1000</f>
        <v>84.608999999999995</v>
      </c>
    </row>
    <row r="193" spans="1:3">
      <c r="A193" s="60">
        <v>96</v>
      </c>
      <c r="B193" s="60">
        <v>87771</v>
      </c>
      <c r="C193" s="60">
        <f>B193/1000</f>
        <v>87.771000000000001</v>
      </c>
    </row>
    <row r="195" spans="1:3">
      <c r="A195" s="60">
        <v>97</v>
      </c>
      <c r="B195" s="60">
        <v>91031</v>
      </c>
      <c r="C195" s="60">
        <f>B195/1000</f>
        <v>91.031000000000006</v>
      </c>
    </row>
    <row r="197" spans="1:3">
      <c r="A197" s="60">
        <v>98</v>
      </c>
      <c r="B197" s="60">
        <v>94391</v>
      </c>
      <c r="C197" s="60">
        <f>B197/1000</f>
        <v>94.391000000000005</v>
      </c>
    </row>
    <row r="199" spans="1:3">
      <c r="A199" s="60">
        <v>99</v>
      </c>
      <c r="B199" s="60">
        <v>97853</v>
      </c>
      <c r="C199" s="60">
        <f>B199/1000</f>
        <v>97.852999999999994</v>
      </c>
    </row>
    <row r="201" spans="1:3">
      <c r="A201" s="60">
        <v>100</v>
      </c>
      <c r="B201" s="60">
        <v>101419</v>
      </c>
      <c r="C201" s="60">
        <f>B201/1000</f>
        <v>101.419</v>
      </c>
    </row>
    <row r="202" spans="1:3">
      <c r="A202" s="60">
        <v>100.5</v>
      </c>
      <c r="B202" s="60">
        <v>773.68</v>
      </c>
      <c r="C202" s="60">
        <v>103.15</v>
      </c>
    </row>
    <row r="203" spans="1:3">
      <c r="A203" s="60">
        <v>101</v>
      </c>
      <c r="B203" s="60">
        <v>787.57</v>
      </c>
      <c r="C203" s="60">
        <v>105</v>
      </c>
    </row>
    <row r="204" spans="1:3">
      <c r="A204" s="60">
        <v>101.5</v>
      </c>
      <c r="B204" s="60">
        <v>801.66</v>
      </c>
      <c r="C204" s="60">
        <v>106.88</v>
      </c>
    </row>
  </sheetData>
  <printOptions gridLinesSet="0"/>
  <pageMargins left="0.98425196850393704" right="0.39370078740157483" top="1.1811023622047245" bottom="0.82677165354330717" header="0.51181102362204722" footer="0.51181102362204722"/>
  <pageSetup paperSize="9" scale="90" orientation="landscape" horizontalDpi="360" verticalDpi="4294967292" r:id="rId1"/>
  <headerFooter alignWithMargins="0">
    <oddHeader>&amp;C&amp;"Times New Roman,標準"Measuring Method depends on JIS</oddHeader>
    <oddFooter>Page &amp;P</oddFooter>
  </headerFooter>
  <rowBreaks count="1" manualBreakCount="1">
    <brk id="47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19</vt:i4>
      </vt:variant>
    </vt:vector>
  </HeadingPairs>
  <TitlesOfParts>
    <vt:vector size="35" baseType="lpstr">
      <vt:lpstr>Input</vt:lpstr>
      <vt:lpstr>Certificate</vt:lpstr>
      <vt:lpstr>Table</vt:lpstr>
      <vt:lpstr>Fig</vt:lpstr>
      <vt:lpstr>Drawing</vt:lpstr>
      <vt:lpstr>IN-A</vt:lpstr>
      <vt:lpstr>IN-B</vt:lpstr>
      <vt:lpstr>OUT-A </vt:lpstr>
      <vt:lpstr>OUT-B</vt:lpstr>
      <vt:lpstr>Dust IN-A</vt:lpstr>
      <vt:lpstr>Dust IN-B</vt:lpstr>
      <vt:lpstr>Dust OUT-A</vt:lpstr>
      <vt:lpstr>Dust OUT-B</vt:lpstr>
      <vt:lpstr>DUST-RESULT-1</vt:lpstr>
      <vt:lpstr>Summary Result</vt:lpstr>
      <vt:lpstr>Measurement Act</vt:lpstr>
      <vt:lpstr>Certificate!Print_Area</vt:lpstr>
      <vt:lpstr>Drawing!Print_Area</vt:lpstr>
      <vt:lpstr>'Dust IN-A'!Print_Area</vt:lpstr>
      <vt:lpstr>'Dust IN-B'!Print_Area</vt:lpstr>
      <vt:lpstr>'Dust OUT-A'!Print_Area</vt:lpstr>
      <vt:lpstr>'Dust OUT-B'!Print_Area</vt:lpstr>
      <vt:lpstr>'DUST-RESULT-1'!Print_Area</vt:lpstr>
      <vt:lpstr>Fig!Print_Area</vt:lpstr>
      <vt:lpstr>'IN-A'!Print_Area</vt:lpstr>
      <vt:lpstr>'IN-B'!Print_Area</vt:lpstr>
      <vt:lpstr>'Measurement Act'!Print_Area</vt:lpstr>
      <vt:lpstr>'OUT-A '!Print_Area</vt:lpstr>
      <vt:lpstr>'OUT-B'!Print_Area</vt:lpstr>
      <vt:lpstr>'Summary Result'!Print_Area</vt:lpstr>
      <vt:lpstr>Table!Print_Area</vt:lpstr>
      <vt:lpstr>Certificate!Print_Titles</vt:lpstr>
      <vt:lpstr>'Measurement Act'!Print_Titles</vt:lpstr>
      <vt:lpstr>'Measurement Act'!水蒸気圧表</vt:lpstr>
      <vt:lpstr>'Measurement Act'!計量法１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2018-03-07T11:20:12Z</cp:lastPrinted>
  <dcterms:created xsi:type="dcterms:W3CDTF">2015-02-14T11:17:39Z</dcterms:created>
  <dcterms:modified xsi:type="dcterms:W3CDTF">2018-03-08T09:05:48Z</dcterms:modified>
</cp:coreProperties>
</file>