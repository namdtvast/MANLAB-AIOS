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UGAI TECHNOS VIETNAM\JOB\2017\THAI BINH\Jan-2018\Report\"/>
    </mc:Choice>
  </mc:AlternateContent>
  <bookViews>
    <workbookView xWindow="0" yWindow="0" windowWidth="20490" windowHeight="7755" activeTab="1"/>
  </bookViews>
  <sheets>
    <sheet name="Flow rate" sheetId="58" r:id="rId1"/>
    <sheet name="Flow rate A side" sheetId="1" r:id="rId2"/>
    <sheet name="Flow rate B side" sheetId="54" r:id="rId3"/>
    <sheet name="Dust A side" sheetId="2" r:id="rId4"/>
    <sheet name="Summary Temp. Pressure" sheetId="45" r:id="rId5"/>
    <sheet name="Summary dust concecntration" sheetId="47" r:id="rId6"/>
    <sheet name="Summary result" sheetId="48" r:id="rId7"/>
    <sheet name="Measurement Act" sheetId="46" r:id="rId8"/>
  </sheets>
  <externalReferences>
    <externalReference r:id="rId9"/>
    <externalReference r:id="rId10"/>
  </externalReferences>
  <definedNames>
    <definedName name="_" localSheetId="0">#REF!,#REF!,#REF!,#REF!</definedName>
    <definedName name="_" localSheetId="2">#REF!,#REF!,#REF!,#REF!</definedName>
    <definedName name="_" localSheetId="5">#REF!,#REF!,#REF!,#REF!</definedName>
    <definedName name="_" localSheetId="6">#REF!,#REF!,#REF!,#REF!</definedName>
    <definedName name="_">#REF!,#REF!,#REF!,#REF!</definedName>
    <definedName name="__" localSheetId="0">#REF!,#REF!,#REF!,#REF!</definedName>
    <definedName name="__" localSheetId="2">#REF!,#REF!,#REF!,#REF!</definedName>
    <definedName name="__">#REF!,#REF!,#REF!,#REF!</definedName>
    <definedName name="_1W_一" localSheetId="0">#REF!,#REF!,#REF!,#REF!</definedName>
    <definedName name="_1W_一" localSheetId="2">#REF!,#REF!,#REF!,#REF!</definedName>
    <definedName name="_1W_一" localSheetId="5">#REF!,#REF!,#REF!,#REF!</definedName>
    <definedName name="_1W_一" localSheetId="6">#REF!,#REF!,#REF!,#REF!</definedName>
    <definedName name="_1W_一">#REF!,#REF!,#REF!,#REF!</definedName>
    <definedName name="A" localSheetId="0">#REF!</definedName>
    <definedName name="A" localSheetId="2">#REF!</definedName>
    <definedName name="A" localSheetId="5">#REF!</definedName>
    <definedName name="A" localSheetId="6">#REF!</definedName>
    <definedName name="A">#REF!</definedName>
    <definedName name="Pa" localSheetId="0">#REF!</definedName>
    <definedName name="Pa" localSheetId="2">#REF!</definedName>
    <definedName name="Pa" localSheetId="5">#REF!</definedName>
    <definedName name="Pa" localSheetId="6">#REF!</definedName>
    <definedName name="Pa">#REF!</definedName>
    <definedName name="_xlnm.Print_Area" localSheetId="3">'Dust A side'!$A$1:$BJ$53</definedName>
    <definedName name="_xlnm.Print_Area" localSheetId="0">'Flow rate'!$A$1:$BJ$59</definedName>
    <definedName name="_xlnm.Print_Area" localSheetId="1">'Flow rate A side'!$A$1:$BJ$57</definedName>
    <definedName name="_xlnm.Print_Area" localSheetId="2">'Flow rate B side'!$A$1:$BJ$57</definedName>
    <definedName name="_xlnm.Print_Area" localSheetId="7">'Measurement Act'!$E:$H</definedName>
    <definedName name="_xlnm.Print_Area" localSheetId="5">'Summary dust concecntration'!$A$1:$AX$65</definedName>
    <definedName name="_xlnm.Print_Area" localSheetId="6">'Summary result'!$A$1:$AX$25</definedName>
    <definedName name="_xlnm.Print_Area" localSheetId="4">'Summary Temp. Pressure'!$A$1:$AX$45</definedName>
    <definedName name="_xlnm.Print_Titles" localSheetId="7">'Measurement Act'!$1:$1</definedName>
    <definedName name="あ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0">#REF!</definedName>
    <definedName name="水蒸気圧表" localSheetId="2">#REF!</definedName>
    <definedName name="水蒸気圧表" localSheetId="7">'Measurement Act'!$A$1:$C$204</definedName>
    <definedName name="水蒸気圧表" localSheetId="5">#REF!</definedName>
    <definedName name="水蒸気圧表" localSheetId="6">#REF!</definedName>
    <definedName name="水蒸気圧表">#REF!</definedName>
    <definedName name="測定者" localSheetId="0">#REF!</definedName>
    <definedName name="測定者" localSheetId="2">#REF!</definedName>
    <definedName name="測定者" localSheetId="5">#REF!</definedName>
    <definedName name="測定者" localSheetId="6">#REF!</definedName>
    <definedName name="測定者">#REF!</definedName>
    <definedName name="計量法１" localSheetId="0">#REF!</definedName>
    <definedName name="計量法１" localSheetId="2">#REF!</definedName>
    <definedName name="計量法１" localSheetId="7">'Measurement Act'!$E$1:$H$100</definedName>
    <definedName name="計量法１" localSheetId="5">#REF!</definedName>
    <definedName name="計量法１" localSheetId="6">#REF!</definedName>
    <definedName name="計量法１">#REF!</definedName>
    <definedName name="金属入力">[1]水蒸気圧!$T$102:$T$106,[1]水蒸気圧!$T$101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9" i="58" l="1"/>
  <c r="AR47" i="58"/>
  <c r="AN47" i="58"/>
  <c r="AR46" i="58"/>
  <c r="AN46" i="58"/>
  <c r="AR45" i="58"/>
  <c r="AN45" i="58"/>
  <c r="AR44" i="58"/>
  <c r="AN44" i="58"/>
  <c r="AR43" i="58"/>
  <c r="AN43" i="58"/>
  <c r="AR42" i="58"/>
  <c r="AN42" i="58"/>
  <c r="AR41" i="58"/>
  <c r="AR40" i="58"/>
  <c r="AR39" i="58"/>
  <c r="AR38" i="58"/>
  <c r="AR37" i="58"/>
  <c r="AR36" i="58"/>
  <c r="AR35" i="58"/>
  <c r="AR34" i="58"/>
  <c r="AR33" i="58"/>
  <c r="BK15" i="58"/>
  <c r="AV15" i="58"/>
  <c r="BK14" i="58"/>
  <c r="BK13" i="58"/>
  <c r="BC33" i="58"/>
  <c r="AR49" i="58" l="1"/>
  <c r="BA38" i="58" s="1"/>
  <c r="BA39" i="58" s="1"/>
  <c r="AB49" i="54"/>
  <c r="AR47" i="54"/>
  <c r="AN47" i="54"/>
  <c r="AR46" i="54"/>
  <c r="AN46" i="54"/>
  <c r="AR45" i="54"/>
  <c r="AN45" i="54"/>
  <c r="AR44" i="54"/>
  <c r="AN44" i="54"/>
  <c r="AR43" i="54"/>
  <c r="AN43" i="54"/>
  <c r="AR42" i="54"/>
  <c r="AN42" i="54"/>
  <c r="AR41" i="54"/>
  <c r="AR40" i="54"/>
  <c r="AR39" i="54"/>
  <c r="AR38" i="54"/>
  <c r="AR37" i="54"/>
  <c r="AR36" i="54"/>
  <c r="AR35" i="54"/>
  <c r="AR34" i="54"/>
  <c r="AR33" i="54"/>
  <c r="BK15" i="54"/>
  <c r="AV15" i="54"/>
  <c r="BK14" i="54"/>
  <c r="BK13" i="54"/>
  <c r="BA43" i="58" l="1"/>
  <c r="BA44" i="58" s="1"/>
  <c r="BA48" i="58"/>
  <c r="BA49" i="58" s="1"/>
  <c r="AR49" i="54"/>
  <c r="BA38" i="54" s="1"/>
  <c r="BA48" i="54" l="1"/>
  <c r="BA43" i="54"/>
  <c r="BK19" i="2"/>
  <c r="BK18" i="2"/>
  <c r="BK17" i="2"/>
  <c r="BK16" i="2"/>
  <c r="BK15" i="2"/>
  <c r="AK19" i="2"/>
  <c r="AK18" i="2"/>
  <c r="BC33" i="54"/>
  <c r="BK13" i="1" l="1"/>
  <c r="BK14" i="1"/>
  <c r="BK15" i="1"/>
  <c r="BE20" i="2" l="1"/>
  <c r="AU19" i="2"/>
  <c r="AZ19" i="2" s="1"/>
  <c r="AU18" i="2"/>
  <c r="AZ17" i="2"/>
  <c r="AZ16" i="2"/>
  <c r="AZ15" i="2"/>
  <c r="C201" i="46"/>
  <c r="C199" i="46"/>
  <c r="C197" i="46"/>
  <c r="C195" i="46"/>
  <c r="C193" i="46"/>
  <c r="C191" i="46"/>
  <c r="C189" i="46"/>
  <c r="C187" i="46"/>
  <c r="C185" i="46"/>
  <c r="C183" i="46"/>
  <c r="C181" i="46"/>
  <c r="C179" i="46"/>
  <c r="C177" i="46"/>
  <c r="C175" i="46"/>
  <c r="C173" i="46"/>
  <c r="C171" i="46"/>
  <c r="C169" i="46"/>
  <c r="C167" i="46"/>
  <c r="C165" i="46"/>
  <c r="C163" i="46"/>
  <c r="C161" i="46"/>
  <c r="C159" i="46"/>
  <c r="C157" i="46"/>
  <c r="C155" i="46"/>
  <c r="C153" i="46"/>
  <c r="C151" i="46"/>
  <c r="C149" i="46"/>
  <c r="C147" i="46"/>
  <c r="C145" i="46"/>
  <c r="C143" i="46"/>
  <c r="C141" i="46"/>
  <c r="C139" i="46"/>
  <c r="C137" i="46"/>
  <c r="C135" i="46"/>
  <c r="C133" i="46"/>
  <c r="C131" i="46"/>
  <c r="C129" i="46"/>
  <c r="C127" i="46"/>
  <c r="C125" i="46"/>
  <c r="C123" i="46"/>
  <c r="C121" i="46"/>
  <c r="C119" i="46"/>
  <c r="C117" i="46"/>
  <c r="C115" i="46"/>
  <c r="C113" i="46"/>
  <c r="C111" i="46"/>
  <c r="C109" i="46"/>
  <c r="C107" i="46"/>
  <c r="C105" i="46"/>
  <c r="C103" i="46"/>
  <c r="C101" i="46"/>
  <c r="C99" i="46"/>
  <c r="C97" i="46"/>
  <c r="C95" i="46"/>
  <c r="C93" i="46"/>
  <c r="C91" i="46"/>
  <c r="C89" i="46"/>
  <c r="C87" i="46"/>
  <c r="C85" i="46"/>
  <c r="C83" i="46"/>
  <c r="C81" i="46"/>
  <c r="C79" i="46"/>
  <c r="C77" i="46"/>
  <c r="C75" i="46"/>
  <c r="C73" i="46"/>
  <c r="C71" i="46"/>
  <c r="C69" i="46"/>
  <c r="C67" i="46"/>
  <c r="C65" i="46"/>
  <c r="C63" i="46"/>
  <c r="C61" i="46"/>
  <c r="C59" i="46"/>
  <c r="C57" i="46"/>
  <c r="C55" i="46"/>
  <c r="C53" i="46"/>
  <c r="C51" i="46"/>
  <c r="C49" i="46"/>
  <c r="C47" i="46"/>
  <c r="C45" i="46"/>
  <c r="C43" i="46"/>
  <c r="C41" i="46"/>
  <c r="C39" i="46"/>
  <c r="C37" i="46"/>
  <c r="C35" i="46"/>
  <c r="C33" i="46"/>
  <c r="C31" i="46"/>
  <c r="C29" i="46"/>
  <c r="C27" i="46"/>
  <c r="C25" i="46"/>
  <c r="C23" i="46"/>
  <c r="C21" i="46"/>
  <c r="C19" i="46"/>
  <c r="C17" i="46"/>
  <c r="C15" i="46"/>
  <c r="C13" i="46"/>
  <c r="C11" i="46"/>
  <c r="C9" i="46"/>
  <c r="C7" i="46"/>
  <c r="C5" i="46"/>
  <c r="C3" i="46"/>
  <c r="C1" i="46"/>
  <c r="AZ18" i="2" l="1"/>
  <c r="AZ20" i="2" s="1"/>
  <c r="BA49" i="54"/>
  <c r="BA44" i="54"/>
  <c r="BA39" i="54"/>
</calcChain>
</file>

<file path=xl/sharedStrings.xml><?xml version="1.0" encoding="utf-8"?>
<sst xmlns="http://schemas.openxmlformats.org/spreadsheetml/2006/main" count="918" uniqueCount="389">
  <si>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</si>
  <si>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</si>
  <si>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</si>
  <si>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</si>
  <si>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</si>
  <si>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</si>
  <si>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</si>
  <si>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</si>
  <si>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</si>
  <si>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</si>
  <si>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</si>
  <si>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</si>
  <si>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</si>
  <si>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</si>
  <si>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</si>
  <si>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</si>
  <si>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</si>
  <si>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</si>
  <si>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</si>
  <si>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</si>
  <si>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</si>
  <si>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</si>
  <si>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</si>
  <si>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</si>
  <si>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</si>
  <si>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</si>
  <si>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</si>
  <si>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</si>
  <si>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</si>
  <si>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</si>
  <si>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</si>
  <si>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</si>
  <si>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</si>
  <si>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</si>
  <si>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</si>
  <si>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</si>
  <si>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</si>
  <si>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</si>
  <si>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</si>
  <si>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</si>
  <si>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</si>
  <si>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</si>
  <si>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</si>
  <si>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</si>
  <si>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</si>
  <si>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</si>
  <si>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</si>
  <si>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</si>
  <si>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</si>
  <si>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</si>
  <si>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</si>
  <si>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</si>
  <si>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</si>
  <si>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</si>
  <si>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</si>
  <si>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</si>
  <si>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</si>
  <si>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</si>
  <si>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</si>
  <si>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</si>
  <si>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</si>
  <si>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</si>
  <si>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</si>
  <si>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</si>
  <si>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</si>
  <si>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</si>
  <si>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</si>
  <si>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</si>
  <si>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</si>
  <si>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</si>
  <si>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</si>
  <si>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</si>
  <si>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</si>
  <si>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</si>
  <si>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</si>
  <si>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</si>
  <si>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</si>
  <si>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</si>
  <si>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</si>
  <si>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</si>
  <si>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</si>
  <si>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</si>
  <si>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</si>
  <si>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</si>
  <si>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</si>
  <si>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</si>
  <si>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</si>
  <si>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</si>
  <si>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</si>
  <si>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</si>
  <si>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</si>
  <si>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</si>
  <si>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</si>
  <si>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</si>
  <si>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</si>
  <si>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</si>
  <si>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</si>
  <si>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</si>
  <si>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</si>
  <si>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</si>
  <si>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</si>
  <si>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</si>
  <si>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t>Orsat apparatus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</si>
  <si>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</si>
  <si>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</si>
  <si>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</si>
  <si>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</si>
  <si>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</si>
  <si>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</si>
  <si>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</si>
  <si>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</si>
  <si>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</si>
  <si>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</si>
  <si>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</si>
  <si>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</si>
  <si>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</si>
  <si>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</si>
  <si>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</si>
  <si>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</si>
  <si>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</si>
  <si>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</si>
  <si>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</si>
  <si>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</si>
  <si>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</si>
  <si>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</si>
  <si>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</si>
  <si>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</si>
  <si>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</si>
  <si>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</si>
  <si>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</si>
  <si>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</si>
  <si>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</si>
  <si>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</si>
  <si>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Flask (After collecting)</t>
  </si>
  <si>
    <t>Diameter of nozzle</t>
  </si>
  <si>
    <t>Sheathed thermocouple</t>
  </si>
  <si>
    <t>Moisture content</t>
  </si>
  <si>
    <t>COMPOSITION AND DENSITY OF FLUE GAS</t>
  </si>
  <si>
    <t>VELOCITY AND FLOW RATE OF FLUE GAS</t>
  </si>
  <si>
    <t>DVM －</t>
  </si>
  <si>
    <t>Pitot  tube</t>
  </si>
  <si>
    <t>Oxygen concentration</t>
  </si>
  <si>
    <t>Ion concentration determined from the working curve</t>
  </si>
  <si>
    <t>DVM －    　－</t>
  </si>
  <si>
    <t>DVM－ 029 －</t>
  </si>
  <si>
    <t>Suction 
duration</t>
  </si>
  <si>
    <t>Pitot tube co-efficient</t>
  </si>
  <si>
    <t>Retention period</t>
  </si>
  <si>
    <t>5 years</t>
  </si>
  <si>
    <t>Storage department</t>
  </si>
  <si>
    <t>Technical room</t>
  </si>
  <si>
    <t>Revised 
(Enacted) date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</si>
  <si>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</si>
  <si>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</si>
  <si>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Customer</t>
  </si>
  <si>
    <t>Measuring
points</t>
  </si>
  <si>
    <t>ρ</t>
  </si>
  <si>
    <t>DVM －045 －</t>
  </si>
  <si>
    <t>THAI BINH 1 THERMAL POWER PLANT</t>
  </si>
  <si>
    <t>Measuring condition</t>
  </si>
  <si>
    <t>ESP INLET FLUE GAS MEASUREMENT DATA SHEET</t>
  </si>
  <si>
    <t>DATE:</t>
  </si>
  <si>
    <t>Gas direction</t>
  </si>
  <si>
    <t>CONDITION:</t>
  </si>
  <si>
    <t>Measuring objects</t>
    <phoneticPr fontId="2"/>
  </si>
  <si>
    <t>Measuring method 1,JIS number</t>
    <phoneticPr fontId="2"/>
  </si>
  <si>
    <t>Measuring method 2</t>
    <phoneticPr fontId="2"/>
  </si>
  <si>
    <t>blank as below</t>
    <phoneticPr fontId="2"/>
  </si>
  <si>
    <t>Dust concentration</t>
    <phoneticPr fontId="2"/>
  </si>
  <si>
    <t>JIS Z 8808(2013)</t>
    <phoneticPr fontId="2"/>
  </si>
  <si>
    <t>(Circular filter paper)</t>
    <phoneticPr fontId="2"/>
  </si>
  <si>
    <t>(Cylinder filter paper)</t>
    <phoneticPr fontId="2"/>
  </si>
  <si>
    <t>Sulfur oxides concentration</t>
    <phoneticPr fontId="2"/>
  </si>
  <si>
    <t>JIS K 0103(2011)-7.1</t>
    <phoneticPr fontId="2"/>
  </si>
  <si>
    <t>Ion chromatography</t>
    <phoneticPr fontId="2"/>
  </si>
  <si>
    <t>JIS K 0103(2011)-7.2</t>
    <phoneticPr fontId="2"/>
  </si>
  <si>
    <r>
      <t>Precipitation titrimetry (arsenazo</t>
    </r>
    <r>
      <rPr>
        <sz val="11"/>
        <rFont val="ＭＳ Ｐ明朝"/>
        <family val="1"/>
        <charset val="128"/>
      </rPr>
      <t>Ⅲ</t>
    </r>
    <r>
      <rPr>
        <sz val="11"/>
        <rFont val="Times New Roman"/>
        <family val="1"/>
      </rPr>
      <t>method)</t>
    </r>
  </si>
  <si>
    <t>JIS K 0103(2011)-8</t>
    <phoneticPr fontId="2"/>
  </si>
  <si>
    <t>Automated measuring method</t>
    <phoneticPr fontId="2"/>
  </si>
  <si>
    <t>JIS K 0103(2011)-Annex JA (normative)</t>
    <phoneticPr fontId="2"/>
  </si>
  <si>
    <t>Turbidimetry (light scattering method)</t>
    <phoneticPr fontId="2"/>
  </si>
  <si>
    <t>Nitrogen oxides concentration</t>
    <phoneticPr fontId="2"/>
  </si>
  <si>
    <t>JIS K 0104(2011)-7.1</t>
    <phoneticPr fontId="2"/>
  </si>
  <si>
    <t>Zinc reduction naphthyethylenediamine absorptiometry (Zn-NEDA method)</t>
    <phoneticPr fontId="2"/>
  </si>
  <si>
    <t>JIS K 0104(2011)-7.3</t>
    <phoneticPr fontId="2"/>
  </si>
  <si>
    <t>JIS K 0104(2011)-7.4</t>
    <phoneticPr fontId="2"/>
  </si>
  <si>
    <t>Phenol disulfonic acid absorptiometry (PDS method)</t>
    <phoneticPr fontId="2"/>
  </si>
  <si>
    <t>JIS K 0104(2011)-7.5</t>
    <phoneticPr fontId="2"/>
  </si>
  <si>
    <t>Saltzman absorptiometry</t>
    <phoneticPr fontId="2"/>
  </si>
  <si>
    <t>JIS K 0104(2011)-8</t>
    <phoneticPr fontId="2"/>
  </si>
  <si>
    <r>
      <t>Automated measuring method</t>
    </r>
    <r>
      <rPr>
        <sz val="11"/>
        <rFont val="ＭＳ Ｐ明朝"/>
        <family val="1"/>
        <charset val="128"/>
      </rPr>
      <t>：</t>
    </r>
    <r>
      <rPr>
        <sz val="11"/>
        <rFont val="Times New Roman"/>
        <family val="1"/>
      </rPr>
      <t>Chemiluminescence method</t>
    </r>
  </si>
  <si>
    <t>Oxygen concentration</t>
    <phoneticPr fontId="2"/>
  </si>
  <si>
    <t>JIS K 0301(1998)-5.1</t>
    <phoneticPr fontId="2"/>
  </si>
  <si>
    <r>
      <t>Chemical analysis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Orsat</t>
    </r>
  </si>
  <si>
    <t>JIS K 0301(1998)-6</t>
    <phoneticPr fontId="2"/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</si>
  <si>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Zirconia</t>
    </r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</si>
  <si>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 xml:space="preserve">Magnetic force </t>
    </r>
  </si>
  <si>
    <t>Ammonia concentration</t>
    <phoneticPr fontId="2"/>
  </si>
  <si>
    <t>JIS K 0099(2004)-7.1</t>
    <phoneticPr fontId="2"/>
  </si>
  <si>
    <t>Indophenol blue absorption spectrophotometry</t>
    <phoneticPr fontId="6"/>
  </si>
  <si>
    <t>JIS K 0099(2004)-7.2</t>
    <phoneticPr fontId="2"/>
  </si>
  <si>
    <t>Gas chromatography</t>
    <phoneticPr fontId="2"/>
  </si>
  <si>
    <t>Fluorine concentration</t>
    <phoneticPr fontId="2"/>
  </si>
  <si>
    <t>JIS K 0105(1998)-6.1</t>
    <phoneticPr fontId="2"/>
  </si>
  <si>
    <t>Lanthanum-Alizarin complexone absorptiometry</t>
    <phoneticPr fontId="2"/>
  </si>
  <si>
    <t>Hydrogen fluoride concentration</t>
    <phoneticPr fontId="2"/>
  </si>
  <si>
    <t>Chlorine concentration</t>
    <phoneticPr fontId="2"/>
  </si>
  <si>
    <t>JIS K 0106(2010)-7.1</t>
    <phoneticPr fontId="2"/>
  </si>
  <si>
    <t>ABTS</t>
    <phoneticPr fontId="2"/>
  </si>
  <si>
    <t>JIS K 0106(2010)-7.2</t>
    <phoneticPr fontId="2"/>
  </si>
  <si>
    <t>PCP</t>
    <phoneticPr fontId="2"/>
  </si>
  <si>
    <t>JIS K 0106(2010)-7.3</t>
    <phoneticPr fontId="2"/>
  </si>
  <si>
    <t>JIS K 0106(2010)-Annex A (normative)</t>
    <phoneticPr fontId="2"/>
  </si>
  <si>
    <r>
      <t>o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Tolidine colorimetry</t>
    </r>
  </si>
  <si>
    <t>Hydrogen chloride concentration</t>
    <phoneticPr fontId="2"/>
  </si>
  <si>
    <t>JIS K 0107(2002)-7.1</t>
    <phoneticPr fontId="2"/>
  </si>
  <si>
    <t>JIS K 0107(2002)-7.2</t>
    <phoneticPr fontId="2"/>
  </si>
  <si>
    <t>Silver-nitrate titration method</t>
    <phoneticPr fontId="2"/>
  </si>
  <si>
    <t>JIS K 0107(2002)-Annex D (normative)</t>
    <phoneticPr fontId="2"/>
  </si>
  <si>
    <r>
      <t>Mercury (</t>
    </r>
    <r>
      <rPr>
        <sz val="11"/>
        <rFont val="ＭＳ 明朝"/>
        <family val="1"/>
        <charset val="128"/>
      </rPr>
      <t>Ⅱ</t>
    </r>
    <r>
      <rPr>
        <sz val="11"/>
        <rFont val="Times New Roman"/>
        <family val="1"/>
      </rPr>
      <t>) thiocyanate absorptiometry</t>
    </r>
  </si>
  <si>
    <t>Carbon monoxide concentration</t>
    <phoneticPr fontId="2"/>
  </si>
  <si>
    <t>JIS K 0098(1998)-5</t>
    <phoneticPr fontId="2"/>
  </si>
  <si>
    <t>JIS K 0098(1998)-6</t>
    <phoneticPr fontId="2"/>
  </si>
  <si>
    <t>Detection tube</t>
    <phoneticPr fontId="2"/>
  </si>
  <si>
    <t>JIS K 0098(1998)-7</t>
    <phoneticPr fontId="2"/>
  </si>
  <si>
    <t>Infrared absorption spectrophotometry</t>
    <phoneticPr fontId="2"/>
  </si>
  <si>
    <t>Hydrogen sulfide concentration</t>
    <phoneticPr fontId="2"/>
  </si>
  <si>
    <t>JIS K 0108(2010)-8</t>
    <phoneticPr fontId="2"/>
  </si>
  <si>
    <t>JIS K 0108(2010)-9</t>
    <phoneticPr fontId="2"/>
  </si>
  <si>
    <t>Methylene blue absorptiometry</t>
    <phoneticPr fontId="2"/>
  </si>
  <si>
    <t>Hydrogen cyanide concentration</t>
    <phoneticPr fontId="2"/>
  </si>
  <si>
    <t>JIS K 0109(1998)-6</t>
    <phoneticPr fontId="2"/>
  </si>
  <si>
    <t>JIS K 0109(1998)-7</t>
    <phoneticPr fontId="2"/>
  </si>
  <si>
    <t>4-Pyridinecarboxylate-pyrazolone absorptiometry</t>
    <phoneticPr fontId="2"/>
  </si>
  <si>
    <t>Cadmium concentration</t>
    <phoneticPr fontId="2"/>
  </si>
  <si>
    <t>JIS K 0083(2006)-7.1</t>
    <phoneticPr fontId="2"/>
  </si>
  <si>
    <t>Flame atomic absorption spectrometry</t>
    <phoneticPr fontId="6"/>
  </si>
  <si>
    <t>JIS K 0083(2006)-7.3</t>
    <phoneticPr fontId="2"/>
  </si>
  <si>
    <t>ICP atomic emission spectroscopy</t>
    <phoneticPr fontId="6"/>
  </si>
  <si>
    <t>JIS K 0083(2006)-7.4</t>
    <phoneticPr fontId="2"/>
  </si>
  <si>
    <t>ICP mass spectrometry</t>
    <phoneticPr fontId="6"/>
  </si>
  <si>
    <t>Lead concentration</t>
    <phoneticPr fontId="2"/>
  </si>
  <si>
    <t>JIS K 0083(2006)-8.1</t>
    <phoneticPr fontId="2"/>
  </si>
  <si>
    <t>JIS K 0083(2006)-8.3</t>
    <phoneticPr fontId="2"/>
  </si>
  <si>
    <t>ICP atomic emission spectroscopy</t>
  </si>
  <si>
    <t>JIS K 0083(2006)-8.4</t>
    <phoneticPr fontId="2"/>
  </si>
  <si>
    <t>Nickel concentration</t>
    <phoneticPr fontId="2"/>
  </si>
  <si>
    <t>JIS K 0083(2006)-9.1</t>
    <phoneticPr fontId="2"/>
  </si>
  <si>
    <t>Dimethylglyoxime absorptiometry</t>
    <phoneticPr fontId="6"/>
  </si>
  <si>
    <t>JIS K 0083(2006)-9.2</t>
    <phoneticPr fontId="2"/>
  </si>
  <si>
    <t>JIS K 0083(2006)-9.4</t>
    <phoneticPr fontId="2"/>
  </si>
  <si>
    <t>JIS K 0083(2006)-9.5</t>
    <phoneticPr fontId="2"/>
  </si>
  <si>
    <t>Manganese concentration</t>
    <phoneticPr fontId="2"/>
  </si>
  <si>
    <t>JIS K 0083(2006)-10.1</t>
    <phoneticPr fontId="2"/>
  </si>
  <si>
    <t>Periodic acid absorptiometry</t>
    <phoneticPr fontId="6"/>
  </si>
  <si>
    <t>JIS K 0083(2006)-10.2</t>
    <phoneticPr fontId="2"/>
  </si>
  <si>
    <t>JIS K 0083(2006)-10.4</t>
    <phoneticPr fontId="2"/>
  </si>
  <si>
    <t>JIS K 0083(2006)-10.5</t>
    <phoneticPr fontId="2"/>
  </si>
  <si>
    <t>Vanadium concentration</t>
    <phoneticPr fontId="2"/>
  </si>
  <si>
    <t>JIS K 0083(2006)-11.1</t>
    <phoneticPr fontId="2"/>
  </si>
  <si>
    <t>N-Phenylbenzohydroxamic acid absorptiometry</t>
    <phoneticPr fontId="6"/>
  </si>
  <si>
    <t>JIS K 0083(2006)-11.2</t>
    <phoneticPr fontId="2"/>
  </si>
  <si>
    <t>JIS K 0083(2006)-11.4</t>
    <phoneticPr fontId="2"/>
  </si>
  <si>
    <t>JIS K 0083(2006)-11.5</t>
    <phoneticPr fontId="2"/>
  </si>
  <si>
    <t>Chromium concentration</t>
    <phoneticPr fontId="2"/>
  </si>
  <si>
    <t>JIS K 0083(2006)-12.1</t>
    <phoneticPr fontId="2"/>
  </si>
  <si>
    <t>Diphenylcarbazide absorptiometry</t>
    <phoneticPr fontId="6"/>
  </si>
  <si>
    <t>JIS K 0083(2006)-12.2</t>
    <phoneticPr fontId="2"/>
  </si>
  <si>
    <t>JIS K 0083(2006)-12.4</t>
    <phoneticPr fontId="2"/>
  </si>
  <si>
    <t>JIS K 0083(2006)-12.5</t>
    <phoneticPr fontId="2"/>
  </si>
  <si>
    <t>Beryllium concentration</t>
    <phoneticPr fontId="2"/>
  </si>
  <si>
    <t>JIS K 0083(2006)-13.1</t>
    <phoneticPr fontId="2"/>
  </si>
  <si>
    <t>JIS K 0083(2006)-13.3</t>
    <phoneticPr fontId="2"/>
  </si>
  <si>
    <t>ICP atomic emission spectroscopy</t>
    <phoneticPr fontId="2"/>
  </si>
  <si>
    <t>JIS K 0083(2006)-13.4</t>
    <phoneticPr fontId="2"/>
  </si>
  <si>
    <t>Arsenic concentration</t>
    <phoneticPr fontId="2"/>
  </si>
  <si>
    <t>JIS K 0083(2006)-14.1</t>
    <phoneticPr fontId="2"/>
  </si>
  <si>
    <t>Silver diethyldithiocarbamate spectrophotometric method</t>
    <phoneticPr fontId="6"/>
  </si>
  <si>
    <t>JIS K 0083(2006)-14.2</t>
    <phoneticPr fontId="2"/>
  </si>
  <si>
    <t>Atomic absorption spectrometry by hydride</t>
    <phoneticPr fontId="6"/>
  </si>
  <si>
    <t>JIS K 0083(2006)-14.4</t>
    <phoneticPr fontId="2"/>
  </si>
  <si>
    <t>ICP atomic emission spectroscopy by hydride</t>
    <phoneticPr fontId="6"/>
  </si>
  <si>
    <t>JIS K 0083(2006)-14.5</t>
    <phoneticPr fontId="2"/>
  </si>
  <si>
    <t>Selenium concentration</t>
    <phoneticPr fontId="6"/>
  </si>
  <si>
    <t>JIS K 0083(2006)-15.1</t>
    <phoneticPr fontId="2"/>
  </si>
  <si>
    <t>3,3'-Diaminobenzidine absorptiometry</t>
    <phoneticPr fontId="6"/>
  </si>
  <si>
    <t>JIS K 0083(2006)-15.2</t>
    <phoneticPr fontId="2"/>
  </si>
  <si>
    <t>JIS K 0083(2006)-15.5</t>
    <phoneticPr fontId="2"/>
  </si>
  <si>
    <t>JIS K 0083(2006)-15.6</t>
    <phoneticPr fontId="2"/>
  </si>
  <si>
    <t>Bromine concentration</t>
    <phoneticPr fontId="6"/>
  </si>
  <si>
    <t>JIS K 0085(1998)-6.1</t>
    <phoneticPr fontId="2"/>
  </si>
  <si>
    <t>Iodemetry</t>
    <phoneticPr fontId="2"/>
  </si>
  <si>
    <t>Bromine concentration</t>
    <phoneticPr fontId="2"/>
  </si>
  <si>
    <t>JIS K 0085(1998)-6.2</t>
    <phoneticPr fontId="2"/>
  </si>
  <si>
    <t>Phenols concentration</t>
    <phoneticPr fontId="2"/>
  </si>
  <si>
    <t>JIS K 0086(1998)-5.1</t>
    <phoneticPr fontId="2"/>
  </si>
  <si>
    <t>JIS K 0086(1998)-5.2</t>
    <phoneticPr fontId="2"/>
  </si>
  <si>
    <t>4 -aminoantipyrine absorptiometry</t>
    <phoneticPr fontId="2"/>
  </si>
  <si>
    <t>JIS K 0086(1998)-5.3</t>
    <phoneticPr fontId="2"/>
  </si>
  <si>
    <t xml:space="preserve">Ultraviolet spectrophotometry </t>
    <phoneticPr fontId="2"/>
  </si>
  <si>
    <t>Pyridine concentration</t>
    <phoneticPr fontId="2"/>
  </si>
  <si>
    <t>JIS K 0087(1998)-5.1</t>
    <phoneticPr fontId="2"/>
  </si>
  <si>
    <t>Diaminostibenedisulfonic acid absorptiometry</t>
    <phoneticPr fontId="2"/>
  </si>
  <si>
    <t>JIS K 0087(1998)-5.2</t>
    <phoneticPr fontId="2"/>
  </si>
  <si>
    <t>Benzene concentration</t>
    <phoneticPr fontId="2"/>
  </si>
  <si>
    <t>JIS K 0088(1997)-6.1</t>
    <phoneticPr fontId="2"/>
  </si>
  <si>
    <t>JIS K 0088(1997)-6.2</t>
    <phoneticPr fontId="2"/>
  </si>
  <si>
    <t>Dinitrobenzene absorptiometry</t>
    <phoneticPr fontId="2"/>
  </si>
  <si>
    <t>Acrolein concentration</t>
    <phoneticPr fontId="2"/>
  </si>
  <si>
    <t>JIS K 0089(1998)-5.1</t>
    <phoneticPr fontId="2"/>
  </si>
  <si>
    <t>JIS K 0089(1998)-5.2</t>
    <phoneticPr fontId="2"/>
  </si>
  <si>
    <t>Hexylresorcinol absorptiometry</t>
    <phoneticPr fontId="2"/>
  </si>
  <si>
    <t>Phosgene concentration</t>
    <phoneticPr fontId="2"/>
  </si>
  <si>
    <t>JIS K 0090(1998)</t>
  </si>
  <si>
    <t>1,3-Diphenylurea ultraviolet spectrophotometric method</t>
    <phoneticPr fontId="2"/>
  </si>
  <si>
    <t xml:space="preserve">Carbon disulfide concentration </t>
    <phoneticPr fontId="2"/>
  </si>
  <si>
    <t>JIS K 0091(1998)-5.1</t>
    <phoneticPr fontId="2"/>
  </si>
  <si>
    <t>Copper diethyldithiocarbamate absorptiometry</t>
    <phoneticPr fontId="2"/>
  </si>
  <si>
    <t>JIS K 0091(1998)-5.2</t>
    <phoneticPr fontId="2"/>
  </si>
  <si>
    <t>Mercaptan concentration</t>
    <phoneticPr fontId="2"/>
  </si>
  <si>
    <t>JIS K 0092(1998)-5.1</t>
    <phoneticPr fontId="2"/>
  </si>
  <si>
    <t>N,N'-Ditolyl-p-phenylenediamine</t>
    <phoneticPr fontId="2"/>
  </si>
  <si>
    <t>JIS K 0092(1998)-5.2</t>
    <phoneticPr fontId="2"/>
  </si>
  <si>
    <t>Mercury concentration</t>
    <phoneticPr fontId="2"/>
  </si>
  <si>
    <t>JIS K 0222(1997)-5</t>
    <phoneticPr fontId="2"/>
  </si>
  <si>
    <r>
      <t>Wet absorption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Reduced vaporized atomic absorption spectroscopy</t>
    </r>
  </si>
  <si>
    <t>JIS K 0222(1997)-6</t>
    <phoneticPr fontId="2"/>
  </si>
  <si>
    <r>
      <t>Gold amalgam collection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heating reduced vaporized atomic absorption spectroscopy</t>
    </r>
  </si>
  <si>
    <t>Formaldehyde concentration</t>
    <phoneticPr fontId="6"/>
  </si>
  <si>
    <t>JIS K 0303(2004)-6.1</t>
    <phoneticPr fontId="2"/>
  </si>
  <si>
    <t>AHMT absorptiometry</t>
    <phoneticPr fontId="6"/>
  </si>
  <si>
    <t>JIS K 0303(2004)-6.2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</si>
  <si>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GC</t>
    </r>
  </si>
  <si>
    <t>JIS K 0303(2004)-6.5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</si>
  <si>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HPLC</t>
    </r>
  </si>
  <si>
    <t>JIS K 0303(2004)-Annex (normative)</t>
    <phoneticPr fontId="2"/>
  </si>
  <si>
    <t>Chromotropic acid absorptiometry</t>
    <phoneticPr fontId="6"/>
  </si>
  <si>
    <t>Trichloroethylene and 
Tetrachloroethylene concentration</t>
    <phoneticPr fontId="6"/>
  </si>
  <si>
    <t>JIS K 0305(1997)</t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</si>
  <si>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FID</t>
    </r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</si>
  <si>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ECD</t>
    </r>
  </si>
  <si>
    <t>v: Velocity</t>
  </si>
  <si>
    <t>θ: Temperature</t>
  </si>
  <si>
    <t>Flow rate (wet)</t>
  </si>
  <si>
    <t>Flow rate (dry)</t>
  </si>
  <si>
    <t>DUST CONCENTRATION</t>
  </si>
  <si>
    <t>FLOW RATE</t>
  </si>
  <si>
    <t>FLUE GAS MEASUREMENT DATA SHEET</t>
  </si>
  <si>
    <t>ESP INLET</t>
  </si>
  <si>
    <t>ESP OUTLET</t>
  </si>
  <si>
    <t>DUCT A</t>
  </si>
  <si>
    <t>DUCT B</t>
  </si>
  <si>
    <t>Moisture</t>
  </si>
  <si>
    <t>Gas temperature</t>
  </si>
  <si>
    <t>Gas static pressure</t>
  </si>
  <si>
    <t>Gas composition</t>
  </si>
  <si>
    <t>Item</t>
  </si>
  <si>
    <t>℃</t>
  </si>
  <si>
    <t>Pa</t>
  </si>
  <si>
    <r>
      <t>CO</t>
    </r>
    <r>
      <rPr>
        <vertAlign val="subscript"/>
        <sz val="11"/>
        <rFont val="Arial"/>
        <family val="2"/>
      </rPr>
      <t>2</t>
    </r>
  </si>
  <si>
    <r>
      <t>O</t>
    </r>
    <r>
      <rPr>
        <vertAlign val="subscript"/>
        <sz val="11"/>
        <rFont val="Arial"/>
        <family val="2"/>
      </rPr>
      <t>2</t>
    </r>
  </si>
  <si>
    <t>CO</t>
  </si>
  <si>
    <r>
      <t>N</t>
    </r>
    <r>
      <rPr>
        <vertAlign val="subscript"/>
        <sz val="11"/>
        <rFont val="Arial"/>
        <family val="2"/>
      </rPr>
      <t>2</t>
    </r>
  </si>
  <si>
    <t>Duct B</t>
  </si>
  <si>
    <t>Duct A</t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</si>
  <si>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N/h</t>
    </r>
  </si>
  <si>
    <t>TEC-G-QT-001-003 (01)</t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</si>
  <si>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N/h</t>
    </r>
  </si>
  <si>
    <r>
      <t>kg/m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N</t>
    </r>
  </si>
  <si>
    <r>
      <t>g/m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N</t>
    </r>
  </si>
  <si>
    <r>
      <t>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N</t>
    </r>
  </si>
  <si>
    <t>300 MW</t>
  </si>
  <si>
    <t>Duct B    -     T1</t>
  </si>
  <si>
    <t>Duct B    -     T2</t>
  </si>
  <si>
    <t>Duct B    -     T3</t>
  </si>
  <si>
    <t>5-Dec-2017</t>
  </si>
  <si>
    <t>ESP OUTLET FLUE GAS MEASUREMENT DATA SHEET</t>
  </si>
  <si>
    <r>
      <t>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</t>
    </r>
  </si>
  <si>
    <t>DVM － 010  －</t>
  </si>
  <si>
    <t>DVM － 172  －</t>
  </si>
  <si>
    <t>CVM － 018  －</t>
  </si>
  <si>
    <t>B</t>
  </si>
  <si>
    <t>DVM －013 －</t>
  </si>
  <si>
    <t>DVM －016 －</t>
  </si>
  <si>
    <t>DVM － 027 －</t>
  </si>
  <si>
    <t>DVM － 045  －</t>
  </si>
  <si>
    <t>D      －013 －</t>
  </si>
  <si>
    <t>□</t>
  </si>
  <si>
    <t>D      － 013  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</si>
</sst>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\-yyyy;@"/>
    <numFmt numFmtId="165" formatCode="0.0"/>
    <numFmt numFmtId="166" formatCode="0.000"/>
    <numFmt numFmtId="167" formatCode="0.0000"/>
  </numFmts>
  <fonts count="28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9"/>
      <color theme="1"/>
      <name val="Arial"/>
      <family val="2"/>
    </font>
    <font>
      <sz val="18"/>
      <name val="Arial"/>
      <family val="2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sz val="10"/>
      <color theme="0"/>
      <name val="Arial"/>
      <family val="2"/>
    </font>
    <font>
      <sz val="11"/>
      <name val="Wingdings"/>
      <charset val="2"/>
    </font>
    <font>
      <sz val="10"/>
      <name val="Times New Roman"/>
      <family val="1"/>
    </font>
    <font>
      <sz val="5"/>
      <name val="Arial"/>
      <family val="2"/>
    </font>
    <font>
      <sz val="4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12"/>
      </patternFill>
    </fill>
  </fills>
  <borders count="1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 diagonalUp="1">
      <left/>
      <right/>
      <top style="medium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/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Up="1">
      <left/>
      <right style="thin">
        <color indexed="64"/>
      </right>
      <top/>
      <bottom/>
      <diagonal style="hair">
        <color indexed="64"/>
      </diagonal>
    </border>
    <border diagonalUp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/>
      <top/>
      <bottom style="thin">
        <color indexed="64"/>
      </bottom>
      <diagonal style="hair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 diagonalUp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/>
      <bottom/>
      <diagonal style="hair">
        <color indexed="64"/>
      </diagonal>
    </border>
    <border diagonalUp="1">
      <left style="thin">
        <color indexed="64"/>
      </left>
      <right/>
      <top/>
      <bottom/>
      <diagonal style="hair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 diagonalUp="1">
      <left/>
      <right/>
      <top style="thin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 style="thin">
        <color auto="1"/>
      </left>
      <right/>
      <top style="thin">
        <color auto="1"/>
      </top>
      <bottom/>
      <diagonal style="hair">
        <color auto="1"/>
      </diagonal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</cellStyleXfs>
  <cellXfs count="6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6" fillId="0" borderId="14" xfId="0" applyFont="1" applyBorder="1">
      <alignment vertical="center"/>
    </xf>
    <xf numFmtId="14" fontId="17" fillId="0" borderId="87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50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5" applyFont="1"/>
    <xf numFmtId="0" fontId="19" fillId="0" borderId="71" xfId="5" applyFont="1" applyBorder="1"/>
    <xf numFmtId="0" fontId="19" fillId="0" borderId="49" xfId="5" applyFont="1" applyBorder="1" applyAlignment="1">
      <alignment horizontal="center" vertical="center" shrinkToFit="1"/>
    </xf>
    <xf numFmtId="0" fontId="19" fillId="0" borderId="49" xfId="5" applyFont="1" applyBorder="1" applyAlignment="1">
      <alignment horizontal="center" vertical="center" wrapText="1"/>
    </xf>
    <xf numFmtId="0" fontId="19" fillId="0" borderId="49" xfId="5" applyFont="1" applyBorder="1" applyAlignment="1">
      <alignment horizontal="center" vertical="center"/>
    </xf>
    <xf numFmtId="0" fontId="19" fillId="0" borderId="22" xfId="5" applyFont="1" applyBorder="1"/>
    <xf numFmtId="0" fontId="19" fillId="0" borderId="45" xfId="5" applyFont="1" applyBorder="1" applyAlignment="1">
      <alignment horizontal="center" vertical="center" shrinkToFit="1"/>
    </xf>
    <xf numFmtId="0" fontId="19" fillId="0" borderId="45" xfId="5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/>
    </xf>
    <xf numFmtId="0" fontId="19" fillId="2" borderId="98" xfId="5" applyFont="1" applyFill="1" applyBorder="1"/>
    <xf numFmtId="0" fontId="19" fillId="2" borderId="99" xfId="5" applyFont="1" applyFill="1" applyBorder="1" applyAlignment="1">
      <alignment shrinkToFit="1"/>
    </xf>
    <xf numFmtId="0" fontId="19" fillId="2" borderId="99" xfId="5" applyFont="1" applyFill="1" applyBorder="1"/>
    <xf numFmtId="0" fontId="19" fillId="0" borderId="0" xfId="5" applyFont="1" applyBorder="1"/>
    <xf numFmtId="0" fontId="19" fillId="2" borderId="100" xfId="5" applyFont="1" applyFill="1" applyBorder="1"/>
    <xf numFmtId="0" fontId="19" fillId="2" borderId="101" xfId="5" applyFont="1" applyFill="1" applyBorder="1" applyAlignment="1">
      <alignment shrinkToFit="1"/>
    </xf>
    <xf numFmtId="0" fontId="19" fillId="2" borderId="101" xfId="5" applyFont="1" applyFill="1" applyBorder="1"/>
    <xf numFmtId="0" fontId="19" fillId="0" borderId="98" xfId="5" applyFont="1" applyBorder="1"/>
    <xf numFmtId="0" fontId="19" fillId="0" borderId="98" xfId="5" applyFont="1" applyBorder="1" applyAlignment="1">
      <alignment shrinkToFit="1"/>
    </xf>
    <xf numFmtId="0" fontId="19" fillId="0" borderId="99" xfId="5" applyFont="1" applyBorder="1"/>
    <xf numFmtId="0" fontId="19" fillId="0" borderId="102" xfId="5" applyFont="1" applyBorder="1"/>
    <xf numFmtId="0" fontId="19" fillId="0" borderId="102" xfId="5" applyFont="1" applyBorder="1" applyAlignment="1">
      <alignment shrinkToFit="1"/>
    </xf>
    <xf numFmtId="0" fontId="19" fillId="0" borderId="103" xfId="5" applyFont="1" applyBorder="1"/>
    <xf numFmtId="0" fontId="19" fillId="0" borderId="100" xfId="5" applyFont="1" applyBorder="1"/>
    <xf numFmtId="0" fontId="19" fillId="0" borderId="100" xfId="5" applyFont="1" applyBorder="1" applyAlignment="1">
      <alignment shrinkToFit="1"/>
    </xf>
    <xf numFmtId="0" fontId="19" fillId="0" borderId="101" xfId="5" applyFont="1" applyBorder="1"/>
    <xf numFmtId="0" fontId="19" fillId="2" borderId="102" xfId="5" applyFont="1" applyFill="1" applyBorder="1"/>
    <xf numFmtId="0" fontId="19" fillId="2" borderId="103" xfId="5" applyFont="1" applyFill="1" applyBorder="1" applyAlignment="1">
      <alignment shrinkToFit="1"/>
    </xf>
    <xf numFmtId="0" fontId="19" fillId="2" borderId="103" xfId="5" applyFont="1" applyFill="1" applyBorder="1"/>
    <xf numFmtId="0" fontId="19" fillId="0" borderId="99" xfId="5" applyFont="1" applyBorder="1" applyAlignment="1">
      <alignment shrinkToFit="1"/>
    </xf>
    <xf numFmtId="0" fontId="19" fillId="0" borderId="103" xfId="5" applyFont="1" applyBorder="1" applyAlignment="1">
      <alignment shrinkToFit="1"/>
    </xf>
    <xf numFmtId="0" fontId="19" fillId="0" borderId="101" xfId="5" applyFont="1" applyBorder="1" applyAlignment="1">
      <alignment shrinkToFit="1"/>
    </xf>
    <xf numFmtId="0" fontId="19" fillId="0" borderId="104" xfId="5" applyFont="1" applyBorder="1" applyAlignment="1">
      <alignment wrapText="1"/>
    </xf>
    <xf numFmtId="0" fontId="19" fillId="0" borderId="45" xfId="5" applyFont="1" applyBorder="1" applyAlignment="1">
      <alignment shrinkToFit="1"/>
    </xf>
    <xf numFmtId="0" fontId="19" fillId="0" borderId="45" xfId="5" applyFont="1" applyBorder="1"/>
    <xf numFmtId="0" fontId="19" fillId="2" borderId="99" xfId="5" applyFont="1" applyFill="1" applyBorder="1" applyAlignment="1">
      <alignment wrapText="1" shrinkToFit="1"/>
    </xf>
    <xf numFmtId="0" fontId="19" fillId="2" borderId="105" xfId="5" applyFont="1" applyFill="1" applyBorder="1"/>
    <xf numFmtId="0" fontId="19" fillId="2" borderId="106" xfId="5" applyFont="1" applyFill="1" applyBorder="1" applyAlignment="1">
      <alignment wrapText="1" shrinkToFit="1"/>
    </xf>
    <xf numFmtId="0" fontId="19" fillId="2" borderId="106" xfId="5" applyFont="1" applyFill="1" applyBorder="1"/>
    <xf numFmtId="0" fontId="19" fillId="0" borderId="0" xfId="5" applyFont="1" applyAlignment="1">
      <alignment shrinkToFit="1"/>
    </xf>
    <xf numFmtId="0" fontId="8" fillId="0" borderId="0" xfId="0" applyFont="1" applyBorder="1" applyAlignment="1">
      <alignment horizontal="center" vertical="center"/>
    </xf>
    <xf numFmtId="2" fontId="1" fillId="0" borderId="0" xfId="0" applyNumberFormat="1" applyFont="1">
      <alignment vertical="center"/>
    </xf>
    <xf numFmtId="2" fontId="8" fillId="0" borderId="91" xfId="0" applyNumberFormat="1" applyFont="1" applyBorder="1" applyAlignment="1">
      <alignment vertical="center"/>
    </xf>
    <xf numFmtId="2" fontId="8" fillId="0" borderId="92" xfId="0" applyNumberFormat="1" applyFont="1" applyBorder="1" applyAlignment="1">
      <alignment vertical="center"/>
    </xf>
    <xf numFmtId="2" fontId="8" fillId="0" borderId="14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93" xfId="0" applyNumberFormat="1" applyFont="1" applyBorder="1" applyAlignment="1">
      <alignment vertical="center"/>
    </xf>
    <xf numFmtId="2" fontId="8" fillId="0" borderId="45" xfId="0" applyNumberFormat="1" applyFont="1" applyBorder="1" applyAlignment="1">
      <alignment vertical="center"/>
    </xf>
    <xf numFmtId="2" fontId="8" fillId="0" borderId="68" xfId="0" applyNumberFormat="1" applyFont="1" applyBorder="1" applyAlignment="1">
      <alignment vertical="center"/>
    </xf>
    <xf numFmtId="2" fontId="8" fillId="0" borderId="69" xfId="0" applyNumberFormat="1" applyFont="1" applyBorder="1" applyAlignment="1">
      <alignment vertical="center"/>
    </xf>
    <xf numFmtId="2" fontId="8" fillId="0" borderId="126" xfId="0" applyNumberFormat="1" applyFont="1" applyBorder="1" applyAlignment="1">
      <alignment vertical="center"/>
    </xf>
    <xf numFmtId="2" fontId="8" fillId="0" borderId="11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130" xfId="0" applyNumberFormat="1" applyFont="1" applyBorder="1" applyAlignment="1">
      <alignment vertical="center"/>
    </xf>
    <xf numFmtId="2" fontId="8" fillId="0" borderId="94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8" fillId="0" borderId="7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24" fillId="0" borderId="0" xfId="0" applyFo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71" xfId="0" applyNumberFormat="1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6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" fillId="0" borderId="73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7" fillId="0" borderId="47" xfId="0" applyFont="1" applyBorder="1" applyAlignment="1">
      <alignment horizontal="right"/>
    </xf>
    <xf numFmtId="0" fontId="27" fillId="0" borderId="48" xfId="0" applyFont="1" applyBorder="1" applyAlignment="1">
      <alignment horizontal="right"/>
    </xf>
    <xf numFmtId="0" fontId="27" fillId="0" borderId="50" xfId="0" applyFont="1" applyBorder="1" applyAlignment="1">
      <alignment horizontal="right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37" fontId="27" fillId="0" borderId="24" xfId="4" applyNumberFormat="1" applyFont="1" applyBorder="1" applyAlignment="1">
      <alignment horizontal="right"/>
    </xf>
    <xf numFmtId="37" fontId="27" fillId="0" borderId="25" xfId="4" applyNumberFormat="1" applyFont="1" applyBorder="1" applyAlignment="1">
      <alignment horizontal="right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0" fontId="26" fillId="0" borderId="24" xfId="0" applyFont="1" applyBorder="1" applyAlignment="1">
      <alignment horizontal="right"/>
    </xf>
    <xf numFmtId="0" fontId="27" fillId="0" borderId="23" xfId="0" applyFont="1" applyBorder="1" applyAlignment="1">
      <alignment horizontal="right"/>
    </xf>
    <xf numFmtId="0" fontId="27" fillId="0" borderId="24" xfId="0" applyFont="1" applyBorder="1" applyAlignment="1">
      <alignment horizontal="right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3" fontId="27" fillId="0" borderId="62" xfId="0" applyNumberFormat="1" applyFont="1" applyBorder="1" applyAlignment="1">
      <alignment horizontal="right"/>
    </xf>
    <xf numFmtId="3" fontId="27" fillId="0" borderId="63" xfId="0" applyNumberFormat="1" applyFont="1" applyBorder="1" applyAlignment="1">
      <alignment horizontal="right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7" fillId="0" borderId="65" xfId="0" applyFont="1" applyBorder="1" applyAlignment="1">
      <alignment horizontal="right"/>
    </xf>
    <xf numFmtId="0" fontId="27" fillId="0" borderId="4" xfId="0" applyFont="1" applyBorder="1" applyAlignment="1">
      <alignment horizontal="right"/>
    </xf>
    <xf numFmtId="20" fontId="1" fillId="0" borderId="6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0" fontId="27" fillId="0" borderId="6" xfId="0" applyFont="1" applyBorder="1" applyAlignment="1">
      <alignment horizontal="right"/>
    </xf>
    <xf numFmtId="0" fontId="27" fillId="0" borderId="7" xfId="0" applyFont="1" applyBorder="1" applyAlignment="1">
      <alignment horizontal="right"/>
    </xf>
    <xf numFmtId="0" fontId="1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2" fontId="27" fillId="0" borderId="31" xfId="0" applyNumberFormat="1" applyFont="1" applyBorder="1" applyAlignment="1">
      <alignment horizontal="right"/>
    </xf>
    <xf numFmtId="2" fontId="27" fillId="0" borderId="13" xfId="0" applyNumberFormat="1" applyFont="1" applyBorder="1" applyAlignment="1">
      <alignment horizontal="right"/>
    </xf>
    <xf numFmtId="2" fontId="27" fillId="0" borderId="32" xfId="0" applyNumberFormat="1" applyFont="1" applyBorder="1" applyAlignment="1">
      <alignment horizontal="right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9" xfId="0" applyFont="1" applyBorder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43" xfId="0" applyFont="1" applyBorder="1">
      <alignment vertical="center"/>
    </xf>
    <xf numFmtId="166" fontId="1" fillId="0" borderId="20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21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right"/>
    </xf>
    <xf numFmtId="0" fontId="27" fillId="0" borderId="25" xfId="0" applyFont="1" applyBorder="1" applyAlignment="1">
      <alignment horizontal="right"/>
    </xf>
    <xf numFmtId="0" fontId="27" fillId="0" borderId="11" xfId="0" applyFont="1" applyBorder="1" applyAlignment="1">
      <alignment horizontal="right"/>
    </xf>
    <xf numFmtId="0" fontId="27" fillId="0" borderId="30" xfId="0" applyFont="1" applyBorder="1" applyAlignment="1">
      <alignment horizontal="right"/>
    </xf>
    <xf numFmtId="165" fontId="27" fillId="0" borderId="23" xfId="0" applyNumberFormat="1" applyFont="1" applyBorder="1" applyAlignment="1">
      <alignment horizontal="right"/>
    </xf>
    <xf numFmtId="165" fontId="27" fillId="0" borderId="24" xfId="0" applyNumberFormat="1" applyFont="1" applyBorder="1" applyAlignment="1">
      <alignment horizontal="right"/>
    </xf>
    <xf numFmtId="166" fontId="1" fillId="0" borderId="26" xfId="0" applyNumberFormat="1" applyFont="1" applyBorder="1" applyAlignment="1">
      <alignment horizontal="center" vertical="center"/>
    </xf>
    <xf numFmtId="166" fontId="1" fillId="0" borderId="27" xfId="0" applyNumberFormat="1" applyFont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165" fontId="27" fillId="0" borderId="6" xfId="0" applyNumberFormat="1" applyFont="1" applyBorder="1" applyAlignment="1">
      <alignment horizontal="right"/>
    </xf>
    <xf numFmtId="165" fontId="27" fillId="0" borderId="7" xfId="0" applyNumberFormat="1" applyFont="1" applyBorder="1" applyAlignment="1">
      <alignment horizontal="right"/>
    </xf>
    <xf numFmtId="20" fontId="1" fillId="0" borderId="35" xfId="0" applyNumberFormat="1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 wrapText="1"/>
    </xf>
    <xf numFmtId="0" fontId="6" fillId="0" borderId="8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27" fillId="0" borderId="86" xfId="0" applyFont="1" applyBorder="1" applyAlignment="1">
      <alignment horizontal="right"/>
    </xf>
    <xf numFmtId="0" fontId="27" fillId="0" borderId="41" xfId="0" applyFont="1" applyBorder="1" applyAlignment="1">
      <alignment horizontal="right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/>
    </xf>
    <xf numFmtId="0" fontId="1" fillId="0" borderId="66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7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9" xfId="0" applyFont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12" fillId="0" borderId="2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53" xfId="0" applyFont="1" applyBorder="1">
      <alignment vertical="center"/>
    </xf>
    <xf numFmtId="167" fontId="1" fillId="0" borderId="65" xfId="0" applyNumberFormat="1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30" xfId="0" applyFont="1" applyBorder="1">
      <alignment vertical="center"/>
    </xf>
    <xf numFmtId="166" fontId="1" fillId="0" borderId="33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5" xfId="0" applyFont="1" applyBorder="1">
      <alignment vertical="center"/>
    </xf>
    <xf numFmtId="0" fontId="1" fillId="0" borderId="35" xfId="0" applyFont="1" applyBorder="1">
      <alignment vertical="center"/>
    </xf>
    <xf numFmtId="0" fontId="23" fillId="0" borderId="48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8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119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1" fontId="8" fillId="0" borderId="71" xfId="0" applyNumberFormat="1" applyFont="1" applyBorder="1" applyAlignment="1" applyProtection="1">
      <alignment horizontal="center" vertical="center"/>
    </xf>
    <xf numFmtId="37" fontId="8" fillId="0" borderId="7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5" fontId="8" fillId="0" borderId="71" xfId="0" applyNumberFormat="1" applyFont="1" applyBorder="1" applyAlignment="1" applyProtection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8" fillId="0" borderId="118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 shrinkToFit="1"/>
    </xf>
    <xf numFmtId="2" fontId="8" fillId="0" borderId="91" xfId="0" applyNumberFormat="1" applyFont="1" applyBorder="1" applyAlignment="1">
      <alignment horizontal="center" vertical="center"/>
    </xf>
    <xf numFmtId="2" fontId="8" fillId="0" borderId="92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8" fillId="0" borderId="125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69" xfId="0" applyFont="1" applyBorder="1" applyAlignment="1">
      <alignment horizontal="right" vertical="center"/>
    </xf>
    <xf numFmtId="0" fontId="8" fillId="0" borderId="126" xfId="0" applyFont="1" applyBorder="1" applyAlignment="1">
      <alignment horizontal="right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4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2" fontId="8" fillId="0" borderId="129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2" fontId="8" fillId="0" borderId="97" xfId="0" applyNumberFormat="1" applyFont="1" applyBorder="1" applyAlignment="1">
      <alignment horizontal="center" vertical="center"/>
    </xf>
    <xf numFmtId="2" fontId="8" fillId="0" borderId="59" xfId="0" applyNumberFormat="1" applyFont="1" applyBorder="1" applyAlignment="1">
      <alignment horizontal="center" vertical="center"/>
    </xf>
    <xf numFmtId="2" fontId="8" fillId="0" borderId="85" xfId="0" applyNumberFormat="1" applyFont="1" applyBorder="1" applyAlignment="1">
      <alignment horizontal="center" vertical="center"/>
    </xf>
    <xf numFmtId="2" fontId="8" fillId="0" borderId="83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0" borderId="58" xfId="0" applyNumberFormat="1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95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59" xfId="0" applyNumberFormat="1" applyFont="1" applyBorder="1" applyAlignment="1">
      <alignment vertical="center"/>
    </xf>
    <xf numFmtId="2" fontId="8" fillId="0" borderId="8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58" xfId="0" applyNumberFormat="1" applyFont="1" applyBorder="1" applyAlignment="1">
      <alignment vertical="center"/>
    </xf>
    <xf numFmtId="164" fontId="8" fillId="0" borderId="0" xfId="0" quotePrefix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 shrinkToFit="1"/>
    </xf>
    <xf numFmtId="0" fontId="8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2" xfId="2"/>
    <cellStyle name="Normal 3" xfId="3"/>
    <cellStyle name="Normal 4" xfId="5"/>
    <cellStyle name="Normal 5" xfId="6"/>
    <cellStyle name="標準_おーじゆーがいでーたしー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12" name="Line 3"/>
        <xdr:cNvSpPr>
          <a:spLocks noChangeShapeType="1"/>
        </xdr:cNvSpPr>
      </xdr:nvSpPr>
      <xdr:spPr bwMode="auto">
        <a:xfrm>
          <a:off x="6825504" y="2264149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2492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12" name="Line 37"/>
        <xdr:cNvSpPr>
          <a:spLocks noChangeShapeType="1"/>
        </xdr:cNvSpPr>
      </xdr:nvSpPr>
      <xdr:spPr bwMode="auto">
        <a:xfrm>
          <a:off x="5382880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13" name="Line 37"/>
        <xdr:cNvSpPr>
          <a:spLocks noChangeShapeType="1"/>
        </xdr:cNvSpPr>
      </xdr:nvSpPr>
      <xdr:spPr bwMode="auto">
        <a:xfrm>
          <a:off x="5881422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3" name="Straight Connector 2"/>
        <xdr:cNvCxnSpPr/>
      </xdr:nvCxnSpPr>
      <xdr:spPr>
        <a:xfrm flipV="1">
          <a:off x="49696" y="5814392"/>
          <a:ext cx="7462630" cy="45802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5" name="Straight Connector 4"/>
        <xdr:cNvCxnSpPr/>
      </xdr:nvCxnSpPr>
      <xdr:spPr>
        <a:xfrm flipH="1">
          <a:off x="103414" y="36086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6" name="Straight Connector 5"/>
        <xdr:cNvCxnSpPr/>
      </xdr:nvCxnSpPr>
      <xdr:spPr>
        <a:xfrm flipH="1">
          <a:off x="103414" y="445769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7" name="Straight Connector 6"/>
        <xdr:cNvCxnSpPr/>
      </xdr:nvCxnSpPr>
      <xdr:spPr>
        <a:xfrm flipH="1">
          <a:off x="103414" y="531222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9" name="Straight Arrow Connector 8"/>
        <xdr:cNvCxnSpPr/>
      </xdr:nvCxnSpPr>
      <xdr:spPr>
        <a:xfrm>
          <a:off x="380995" y="3530995"/>
          <a:ext cx="0" cy="817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10" name="Straight Arrow Connector 9"/>
        <xdr:cNvCxnSpPr/>
      </xdr:nvCxnSpPr>
      <xdr:spPr>
        <a:xfrm>
          <a:off x="190498" y="4463143"/>
          <a:ext cx="0" cy="8382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11" name="Straight Connector 10"/>
        <xdr:cNvCxnSpPr/>
      </xdr:nvCxnSpPr>
      <xdr:spPr>
        <a:xfrm flipH="1">
          <a:off x="103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12" name="Straight Arrow Connector 11"/>
        <xdr:cNvCxnSpPr/>
      </xdr:nvCxnSpPr>
      <xdr:spPr>
        <a:xfrm>
          <a:off x="190498" y="3200400"/>
          <a:ext cx="0" cy="40821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113108</xdr:rowOff>
    </xdr:from>
    <xdr:to>
      <xdr:col>6</xdr:col>
      <xdr:colOff>2323</xdr:colOff>
      <xdr:row>14</xdr:row>
      <xdr:rowOff>204438</xdr:rowOff>
    </xdr:to>
    <xdr:grpSp>
      <xdr:nvGrpSpPr>
        <xdr:cNvPr id="17" name="Group 16"/>
        <xdr:cNvGrpSpPr/>
      </xdr:nvGrpSpPr>
      <xdr:grpSpPr>
        <a:xfrm>
          <a:off x="762000" y="2993020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13</xdr:row>
      <xdr:rowOff>113108</xdr:rowOff>
    </xdr:from>
    <xdr:to>
      <xdr:col>10</xdr:col>
      <xdr:colOff>2323</xdr:colOff>
      <xdr:row>14</xdr:row>
      <xdr:rowOff>204438</xdr:rowOff>
    </xdr:to>
    <xdr:grpSp>
      <xdr:nvGrpSpPr>
        <xdr:cNvPr id="18" name="Group 17"/>
        <xdr:cNvGrpSpPr/>
      </xdr:nvGrpSpPr>
      <xdr:grpSpPr>
        <a:xfrm>
          <a:off x="1524000" y="2993020"/>
          <a:ext cx="385646" cy="304242"/>
          <a:chOff x="571500" y="2718109"/>
          <a:chExt cx="385646" cy="413525"/>
        </a:xfrm>
      </xdr:grpSpPr>
      <xdr:sp macro="" textlink="">
        <xdr:nvSpPr>
          <xdr:cNvPr id="19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</xdr:row>
      <xdr:rowOff>113108</xdr:rowOff>
    </xdr:from>
    <xdr:to>
      <xdr:col>14</xdr:col>
      <xdr:colOff>2323</xdr:colOff>
      <xdr:row>14</xdr:row>
      <xdr:rowOff>204438</xdr:rowOff>
    </xdr:to>
    <xdr:grpSp>
      <xdr:nvGrpSpPr>
        <xdr:cNvPr id="21" name="Group 20"/>
        <xdr:cNvGrpSpPr/>
      </xdr:nvGrpSpPr>
      <xdr:grpSpPr>
        <a:xfrm>
          <a:off x="2286000" y="2993020"/>
          <a:ext cx="385646" cy="304242"/>
          <a:chOff x="571500" y="2718109"/>
          <a:chExt cx="385646" cy="413525"/>
        </a:xfrm>
      </xdr:grpSpPr>
      <xdr:sp macro="" textlink="">
        <xdr:nvSpPr>
          <xdr:cNvPr id="22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</xdr:row>
      <xdr:rowOff>113108</xdr:rowOff>
    </xdr:from>
    <xdr:to>
      <xdr:col>18</xdr:col>
      <xdr:colOff>2323</xdr:colOff>
      <xdr:row>14</xdr:row>
      <xdr:rowOff>204438</xdr:rowOff>
    </xdr:to>
    <xdr:grpSp>
      <xdr:nvGrpSpPr>
        <xdr:cNvPr id="24" name="Group 23"/>
        <xdr:cNvGrpSpPr/>
      </xdr:nvGrpSpPr>
      <xdr:grpSpPr>
        <a:xfrm>
          <a:off x="3048000" y="2993020"/>
          <a:ext cx="385646" cy="304242"/>
          <a:chOff x="571500" y="2718109"/>
          <a:chExt cx="385646" cy="413525"/>
        </a:xfrm>
      </xdr:grpSpPr>
      <xdr:sp macro="" textlink="">
        <xdr:nvSpPr>
          <xdr:cNvPr id="25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</xdr:row>
      <xdr:rowOff>113108</xdr:rowOff>
    </xdr:from>
    <xdr:to>
      <xdr:col>22</xdr:col>
      <xdr:colOff>2323</xdr:colOff>
      <xdr:row>14</xdr:row>
      <xdr:rowOff>204438</xdr:rowOff>
    </xdr:to>
    <xdr:grpSp>
      <xdr:nvGrpSpPr>
        <xdr:cNvPr id="27" name="Group 26"/>
        <xdr:cNvGrpSpPr/>
      </xdr:nvGrpSpPr>
      <xdr:grpSpPr>
        <a:xfrm>
          <a:off x="3810000" y="2993020"/>
          <a:ext cx="385646" cy="304242"/>
          <a:chOff x="571500" y="2718109"/>
          <a:chExt cx="385646" cy="413525"/>
        </a:xfrm>
      </xdr:grpSpPr>
      <xdr:sp macro="" textlink="">
        <xdr:nvSpPr>
          <xdr:cNvPr id="28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30" name="Straight Connector 29"/>
        <xdr:cNvCxnSpPr/>
      </xdr:nvCxnSpPr>
      <xdr:spPr>
        <a:xfrm flipV="1">
          <a:off x="767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34" name="Straight Connector 33"/>
        <xdr:cNvCxnSpPr/>
      </xdr:nvCxnSpPr>
      <xdr:spPr>
        <a:xfrm flipV="1">
          <a:off x="1529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35" name="Straight Connector 34"/>
        <xdr:cNvCxnSpPr/>
      </xdr:nvCxnSpPr>
      <xdr:spPr>
        <a:xfrm flipV="1">
          <a:off x="2291949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36" name="Straight Connector 35"/>
        <xdr:cNvCxnSpPr/>
      </xdr:nvCxnSpPr>
      <xdr:spPr>
        <a:xfrm flipV="1">
          <a:off x="3053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37" name="Straight Connector 36"/>
        <xdr:cNvCxnSpPr/>
      </xdr:nvCxnSpPr>
      <xdr:spPr>
        <a:xfrm flipV="1">
          <a:off x="3815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38" name="Straight Arrow Connector 37"/>
        <xdr:cNvCxnSpPr/>
      </xdr:nvCxnSpPr>
      <xdr:spPr>
        <a:xfrm flipH="1">
          <a:off x="762000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43" name="Straight Arrow Connector 42"/>
        <xdr:cNvCxnSpPr/>
      </xdr:nvCxnSpPr>
      <xdr:spPr>
        <a:xfrm flipH="1">
          <a:off x="1529952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44" name="Straight Arrow Connector 43"/>
        <xdr:cNvCxnSpPr/>
      </xdr:nvCxnSpPr>
      <xdr:spPr>
        <a:xfrm flipH="1">
          <a:off x="2285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45" name="Straight Arrow Connector 44"/>
        <xdr:cNvCxnSpPr/>
      </xdr:nvCxnSpPr>
      <xdr:spPr>
        <a:xfrm flipH="1">
          <a:off x="3047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58" name="Rectangle 57"/>
        <xdr:cNvSpPr/>
      </xdr:nvSpPr>
      <xdr:spPr>
        <a:xfrm>
          <a:off x="915501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60" name="Rectangle 59"/>
        <xdr:cNvSpPr/>
      </xdr:nvSpPr>
      <xdr:spPr>
        <a:xfrm>
          <a:off x="1684827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61" name="Rectangle 60"/>
        <xdr:cNvSpPr/>
      </xdr:nvSpPr>
      <xdr:spPr>
        <a:xfrm>
          <a:off x="2454152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62" name="Rectangle 61"/>
        <xdr:cNvSpPr/>
      </xdr:nvSpPr>
      <xdr:spPr>
        <a:xfrm>
          <a:off x="3223479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63" name="Rectangle 62"/>
        <xdr:cNvSpPr/>
      </xdr:nvSpPr>
      <xdr:spPr>
        <a:xfrm>
          <a:off x="388326" y="2149992"/>
          <a:ext cx="380989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65" name="Straight Connector 64"/>
        <xdr:cNvCxnSpPr/>
      </xdr:nvCxnSpPr>
      <xdr:spPr>
        <a:xfrm flipV="1">
          <a:off x="386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66" name="Straight Arrow Connector 65"/>
        <xdr:cNvCxnSpPr/>
      </xdr:nvCxnSpPr>
      <xdr:spPr>
        <a:xfrm flipH="1">
          <a:off x="402980" y="2334541"/>
          <a:ext cx="33703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67" name="Rectangle 66"/>
        <xdr:cNvSpPr/>
      </xdr:nvSpPr>
      <xdr:spPr>
        <a:xfrm rot="16200000">
          <a:off x="96452" y="3278011"/>
          <a:ext cx="37930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69" name="Rectangle 68"/>
        <xdr:cNvSpPr/>
      </xdr:nvSpPr>
      <xdr:spPr>
        <a:xfrm rot="16200000">
          <a:off x="52995" y="3908010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70" name="Rectangle 69"/>
        <xdr:cNvSpPr/>
      </xdr:nvSpPr>
      <xdr:spPr>
        <a:xfrm rot="16200000">
          <a:off x="52995" y="4755235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112" name="Straight Connector 111"/>
        <xdr:cNvCxnSpPr/>
      </xdr:nvCxnSpPr>
      <xdr:spPr>
        <a:xfrm flipH="1">
          <a:off x="293914" y="36195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113" name="Straight Connector 112"/>
        <xdr:cNvCxnSpPr/>
      </xdr:nvCxnSpPr>
      <xdr:spPr>
        <a:xfrm flipH="1">
          <a:off x="293914" y="447050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114" name="Straight Connector 113"/>
        <xdr:cNvCxnSpPr/>
      </xdr:nvCxnSpPr>
      <xdr:spPr>
        <a:xfrm flipH="1">
          <a:off x="293914" y="532823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115" name="Straight Arrow Connector 114"/>
        <xdr:cNvCxnSpPr/>
      </xdr:nvCxnSpPr>
      <xdr:spPr>
        <a:xfrm>
          <a:off x="380994" y="3630386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116" name="Straight Arrow Connector 115"/>
        <xdr:cNvCxnSpPr/>
      </xdr:nvCxnSpPr>
      <xdr:spPr>
        <a:xfrm>
          <a:off x="380998" y="4476590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117" name="Straight Connector 116"/>
        <xdr:cNvCxnSpPr/>
      </xdr:nvCxnSpPr>
      <xdr:spPr>
        <a:xfrm flipH="1">
          <a:off x="293914" y="319911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118" name="Straight Arrow Connector 117"/>
        <xdr:cNvCxnSpPr/>
      </xdr:nvCxnSpPr>
      <xdr:spPr>
        <a:xfrm>
          <a:off x="380998" y="3210005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113108</xdr:rowOff>
    </xdr:from>
    <xdr:to>
      <xdr:col>31</xdr:col>
      <xdr:colOff>2323</xdr:colOff>
      <xdr:row>14</xdr:row>
      <xdr:rowOff>204438</xdr:rowOff>
    </xdr:to>
    <xdr:grpSp>
      <xdr:nvGrpSpPr>
        <xdr:cNvPr id="119" name="Group 118"/>
        <xdr:cNvGrpSpPr/>
      </xdr:nvGrpSpPr>
      <xdr:grpSpPr>
        <a:xfrm>
          <a:off x="5524500" y="2993020"/>
          <a:ext cx="385646" cy="304242"/>
          <a:chOff x="571500" y="2718109"/>
          <a:chExt cx="385646" cy="413525"/>
        </a:xfrm>
      </xdr:grpSpPr>
      <xdr:sp macro="" textlink="">
        <xdr:nvSpPr>
          <xdr:cNvPr id="120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1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13</xdr:row>
      <xdr:rowOff>113108</xdr:rowOff>
    </xdr:from>
    <xdr:to>
      <xdr:col>35</xdr:col>
      <xdr:colOff>2323</xdr:colOff>
      <xdr:row>14</xdr:row>
      <xdr:rowOff>204438</xdr:rowOff>
    </xdr:to>
    <xdr:grpSp>
      <xdr:nvGrpSpPr>
        <xdr:cNvPr id="122" name="Group 121"/>
        <xdr:cNvGrpSpPr/>
      </xdr:nvGrpSpPr>
      <xdr:grpSpPr>
        <a:xfrm>
          <a:off x="6286500" y="2993020"/>
          <a:ext cx="385646" cy="304242"/>
          <a:chOff x="571500" y="2718109"/>
          <a:chExt cx="385646" cy="413525"/>
        </a:xfrm>
      </xdr:grpSpPr>
      <xdr:sp macro="" textlink="">
        <xdr:nvSpPr>
          <xdr:cNvPr id="123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4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13</xdr:row>
      <xdr:rowOff>113108</xdr:rowOff>
    </xdr:from>
    <xdr:to>
      <xdr:col>39</xdr:col>
      <xdr:colOff>2323</xdr:colOff>
      <xdr:row>14</xdr:row>
      <xdr:rowOff>204438</xdr:rowOff>
    </xdr:to>
    <xdr:grpSp>
      <xdr:nvGrpSpPr>
        <xdr:cNvPr id="125" name="Group 124"/>
        <xdr:cNvGrpSpPr/>
      </xdr:nvGrpSpPr>
      <xdr:grpSpPr>
        <a:xfrm>
          <a:off x="7048500" y="2993020"/>
          <a:ext cx="385646" cy="304242"/>
          <a:chOff x="571500" y="2718109"/>
          <a:chExt cx="385646" cy="413525"/>
        </a:xfrm>
      </xdr:grpSpPr>
      <xdr:sp macro="" textlink="">
        <xdr:nvSpPr>
          <xdr:cNvPr id="126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7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13</xdr:row>
      <xdr:rowOff>113108</xdr:rowOff>
    </xdr:from>
    <xdr:to>
      <xdr:col>43</xdr:col>
      <xdr:colOff>2323</xdr:colOff>
      <xdr:row>14</xdr:row>
      <xdr:rowOff>204438</xdr:rowOff>
    </xdr:to>
    <xdr:grpSp>
      <xdr:nvGrpSpPr>
        <xdr:cNvPr id="128" name="Group 127"/>
        <xdr:cNvGrpSpPr/>
      </xdr:nvGrpSpPr>
      <xdr:grpSpPr>
        <a:xfrm>
          <a:off x="7810500" y="2993020"/>
          <a:ext cx="385646" cy="304242"/>
          <a:chOff x="571500" y="2718109"/>
          <a:chExt cx="385646" cy="413525"/>
        </a:xfrm>
      </xdr:grpSpPr>
      <xdr:sp macro="" textlink="">
        <xdr:nvSpPr>
          <xdr:cNvPr id="129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13</xdr:row>
      <xdr:rowOff>113108</xdr:rowOff>
    </xdr:from>
    <xdr:to>
      <xdr:col>47</xdr:col>
      <xdr:colOff>2323</xdr:colOff>
      <xdr:row>14</xdr:row>
      <xdr:rowOff>204438</xdr:rowOff>
    </xdr:to>
    <xdr:grpSp>
      <xdr:nvGrpSpPr>
        <xdr:cNvPr id="131" name="Group 130"/>
        <xdr:cNvGrpSpPr/>
      </xdr:nvGrpSpPr>
      <xdr:grpSpPr>
        <a:xfrm>
          <a:off x="8572500" y="2993020"/>
          <a:ext cx="385646" cy="304242"/>
          <a:chOff x="571500" y="2718109"/>
          <a:chExt cx="385646" cy="413525"/>
        </a:xfrm>
      </xdr:grpSpPr>
      <xdr:sp macro="" textlink="">
        <xdr:nvSpPr>
          <xdr:cNvPr id="132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3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134" name="Straight Connector 133"/>
        <xdr:cNvCxnSpPr/>
      </xdr:nvCxnSpPr>
      <xdr:spPr>
        <a:xfrm flipV="1">
          <a:off x="958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135" name="Straight Connector 134"/>
        <xdr:cNvCxnSpPr/>
      </xdr:nvCxnSpPr>
      <xdr:spPr>
        <a:xfrm flipV="1">
          <a:off x="1720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136" name="Straight Connector 135"/>
        <xdr:cNvCxnSpPr/>
      </xdr:nvCxnSpPr>
      <xdr:spPr>
        <a:xfrm flipV="1">
          <a:off x="2482448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137" name="Straight Connector 136"/>
        <xdr:cNvCxnSpPr/>
      </xdr:nvCxnSpPr>
      <xdr:spPr>
        <a:xfrm flipV="1">
          <a:off x="3244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138" name="Straight Connector 137"/>
        <xdr:cNvCxnSpPr/>
      </xdr:nvCxnSpPr>
      <xdr:spPr>
        <a:xfrm flipV="1">
          <a:off x="4006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139" name="Straight Arrow Connector 138"/>
        <xdr:cNvCxnSpPr/>
      </xdr:nvCxnSpPr>
      <xdr:spPr>
        <a:xfrm flipH="1">
          <a:off x="952500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140" name="Straight Arrow Connector 139"/>
        <xdr:cNvCxnSpPr/>
      </xdr:nvCxnSpPr>
      <xdr:spPr>
        <a:xfrm flipH="1">
          <a:off x="1720452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141" name="Straight Arrow Connector 140"/>
        <xdr:cNvCxnSpPr/>
      </xdr:nvCxnSpPr>
      <xdr:spPr>
        <a:xfrm flipH="1">
          <a:off x="2476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142" name="Straight Arrow Connector 141"/>
        <xdr:cNvCxnSpPr/>
      </xdr:nvCxnSpPr>
      <xdr:spPr>
        <a:xfrm flipH="1">
          <a:off x="3238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143" name="Rectangle 142"/>
        <xdr:cNvSpPr/>
      </xdr:nvSpPr>
      <xdr:spPr>
        <a:xfrm>
          <a:off x="1106000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144" name="Rectangle 143"/>
        <xdr:cNvSpPr/>
      </xdr:nvSpPr>
      <xdr:spPr>
        <a:xfrm>
          <a:off x="1875326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145" name="Rectangle 144"/>
        <xdr:cNvSpPr/>
      </xdr:nvSpPr>
      <xdr:spPr>
        <a:xfrm>
          <a:off x="2644652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146" name="Rectangle 145"/>
        <xdr:cNvSpPr/>
      </xdr:nvSpPr>
      <xdr:spPr>
        <a:xfrm>
          <a:off x="3413978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147" name="Rectangle 146"/>
        <xdr:cNvSpPr/>
      </xdr:nvSpPr>
      <xdr:spPr>
        <a:xfrm>
          <a:off x="578826" y="2154302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148" name="Straight Connector 147"/>
        <xdr:cNvCxnSpPr/>
      </xdr:nvCxnSpPr>
      <xdr:spPr>
        <a:xfrm flipV="1">
          <a:off x="577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149" name="Straight Arrow Connector 148"/>
        <xdr:cNvCxnSpPr/>
      </xdr:nvCxnSpPr>
      <xdr:spPr>
        <a:xfrm flipH="1">
          <a:off x="593480" y="2338851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150" name="Rectangle 149"/>
        <xdr:cNvSpPr/>
      </xdr:nvSpPr>
      <xdr:spPr>
        <a:xfrm rot="16200000">
          <a:off x="95273" y="3314577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151" name="Rectangle 150"/>
        <xdr:cNvSpPr/>
      </xdr:nvSpPr>
      <xdr:spPr>
        <a:xfrm rot="16200000">
          <a:off x="49457" y="3951653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152" name="Rectangle 151"/>
        <xdr:cNvSpPr/>
      </xdr:nvSpPr>
      <xdr:spPr>
        <a:xfrm rot="16200000">
          <a:off x="49457" y="4808315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153" name="Rectangle 152"/>
        <xdr:cNvSpPr/>
      </xdr:nvSpPr>
      <xdr:spPr>
        <a:xfrm>
          <a:off x="549702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154" name="Rectangle 153"/>
        <xdr:cNvSpPr/>
      </xdr:nvSpPr>
      <xdr:spPr>
        <a:xfrm>
          <a:off x="624949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155" name="Rectangle 154"/>
        <xdr:cNvSpPr/>
      </xdr:nvSpPr>
      <xdr:spPr>
        <a:xfrm>
          <a:off x="700196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156" name="Rectangle 155"/>
        <xdr:cNvSpPr/>
      </xdr:nvSpPr>
      <xdr:spPr>
        <a:xfrm>
          <a:off x="7773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157" name="Rectangle 156"/>
        <xdr:cNvSpPr/>
      </xdr:nvSpPr>
      <xdr:spPr>
        <a:xfrm>
          <a:off x="8535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163" name="Rectangle 162"/>
        <xdr:cNvSpPr/>
      </xdr:nvSpPr>
      <xdr:spPr>
        <a:xfrm>
          <a:off x="73451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164" name="Rectangle 163"/>
        <xdr:cNvSpPr/>
      </xdr:nvSpPr>
      <xdr:spPr>
        <a:xfrm>
          <a:off x="148698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165" name="Rectangle 164"/>
        <xdr:cNvSpPr/>
      </xdr:nvSpPr>
      <xdr:spPr>
        <a:xfrm>
          <a:off x="223945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166" name="Rectangle 165"/>
        <xdr:cNvSpPr/>
      </xdr:nvSpPr>
      <xdr:spPr>
        <a:xfrm>
          <a:off x="3010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167" name="Rectangle 166"/>
        <xdr:cNvSpPr/>
      </xdr:nvSpPr>
      <xdr:spPr>
        <a:xfrm>
          <a:off x="3772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19</xdr:col>
      <xdr:colOff>8199</xdr:colOff>
      <xdr:row>31</xdr:row>
      <xdr:rowOff>46378</xdr:rowOff>
    </xdr:from>
    <xdr:to>
      <xdr:col>20</xdr:col>
      <xdr:colOff>52387</xdr:colOff>
      <xdr:row>31</xdr:row>
      <xdr:rowOff>228599</xdr:rowOff>
    </xdr:to>
    <xdr:sp macro="" textlink="">
      <xdr:nvSpPr>
        <xdr:cNvPr id="168" name="Rectangle 167"/>
        <xdr:cNvSpPr/>
      </xdr:nvSpPr>
      <xdr:spPr>
        <a:xfrm>
          <a:off x="3635899" y="6237628"/>
          <a:ext cx="278876" cy="1822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</a:t>
          </a:r>
        </a:p>
      </xdr:txBody>
    </xdr:sp>
    <xdr:clientData/>
  </xdr:twoCellAnchor>
  <xdr:twoCellAnchor>
    <xdr:from>
      <xdr:col>20</xdr:col>
      <xdr:colOff>46299</xdr:colOff>
      <xdr:row>32</xdr:row>
      <xdr:rowOff>36853</xdr:rowOff>
    </xdr:from>
    <xdr:to>
      <xdr:col>21</xdr:col>
      <xdr:colOff>90487</xdr:colOff>
      <xdr:row>32</xdr:row>
      <xdr:rowOff>219074</xdr:rowOff>
    </xdr:to>
    <xdr:sp macro="" textlink="">
      <xdr:nvSpPr>
        <xdr:cNvPr id="169" name="Rectangle 168"/>
        <xdr:cNvSpPr/>
      </xdr:nvSpPr>
      <xdr:spPr>
        <a:xfrm>
          <a:off x="3902598" y="6513853"/>
          <a:ext cx="278876" cy="1822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θ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171" name="Straight Connector 170"/>
        <xdr:cNvCxnSpPr/>
      </xdr:nvCxnSpPr>
      <xdr:spPr>
        <a:xfrm flipV="1">
          <a:off x="4382808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172" name="Straight Arrow Connector 171"/>
        <xdr:cNvCxnSpPr/>
      </xdr:nvCxnSpPr>
      <xdr:spPr>
        <a:xfrm flipH="1">
          <a:off x="578069" y="5979216"/>
          <a:ext cx="381069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173" name="Straight Connector 172"/>
        <xdr:cNvCxnSpPr/>
      </xdr:nvCxnSpPr>
      <xdr:spPr>
        <a:xfrm flipV="1">
          <a:off x="572807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177" name="Rectangle 176"/>
        <xdr:cNvSpPr/>
      </xdr:nvSpPr>
      <xdr:spPr>
        <a:xfrm>
          <a:off x="22489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178" name="Straight Connector 177"/>
        <xdr:cNvCxnSpPr/>
      </xdr:nvCxnSpPr>
      <xdr:spPr>
        <a:xfrm flipV="1">
          <a:off x="9145308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179" name="Straight Arrow Connector 178"/>
        <xdr:cNvCxnSpPr/>
      </xdr:nvCxnSpPr>
      <xdr:spPr>
        <a:xfrm flipH="1">
          <a:off x="5340568" y="6038842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80" name="Straight Connector 179"/>
        <xdr:cNvCxnSpPr/>
      </xdr:nvCxnSpPr>
      <xdr:spPr>
        <a:xfrm flipV="1">
          <a:off x="5335306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81" name="Rectangle 180"/>
        <xdr:cNvSpPr/>
      </xdr:nvSpPr>
      <xdr:spPr>
        <a:xfrm>
          <a:off x="70114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82" name="Straight Connector 181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83" name="Straight Arrow Connector 182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84" name="Straight Connector 183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85" name="Rectangle 184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86" name="Straight Connector 185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87" name="Straight Arrow Connector 186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88" name="Straight Connector 187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89" name="Rectangle 188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93300</xdr:colOff>
      <xdr:row>13</xdr:row>
      <xdr:rowOff>19002</xdr:rowOff>
    </xdr:from>
    <xdr:to>
      <xdr:col>26</xdr:col>
      <xdr:colOff>8563</xdr:colOff>
      <xdr:row>14</xdr:row>
      <xdr:rowOff>16565</xdr:rowOff>
    </xdr:to>
    <xdr:sp macro="" textlink="">
      <xdr:nvSpPr>
        <xdr:cNvPr id="3" name="Flowchart: Summing Junction 2"/>
        <xdr:cNvSpPr/>
      </xdr:nvSpPr>
      <xdr:spPr>
        <a:xfrm>
          <a:off x="4758600" y="2826806"/>
          <a:ext cx="211526" cy="204629"/>
        </a:xfrm>
        <a:prstGeom prst="flowChartSummingJunction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20</xdr:row>
      <xdr:rowOff>135334</xdr:rowOff>
    </xdr:from>
    <xdr:to>
      <xdr:col>5</xdr:col>
      <xdr:colOff>37130</xdr:colOff>
      <xdr:row>21</xdr:row>
      <xdr:rowOff>72739</xdr:rowOff>
    </xdr:to>
    <xdr:sp macro="" textlink="">
      <xdr:nvSpPr>
        <xdr:cNvPr id="2" name="4-Point Star 1"/>
        <xdr:cNvSpPr/>
      </xdr:nvSpPr>
      <xdr:spPr>
        <a:xfrm>
          <a:off x="878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20</xdr:row>
      <xdr:rowOff>135334</xdr:rowOff>
    </xdr:from>
    <xdr:to>
      <xdr:col>9</xdr:col>
      <xdr:colOff>37130</xdr:colOff>
      <xdr:row>21</xdr:row>
      <xdr:rowOff>72739</xdr:rowOff>
    </xdr:to>
    <xdr:sp macro="" textlink="">
      <xdr:nvSpPr>
        <xdr:cNvPr id="158" name="4-Point Star 157"/>
        <xdr:cNvSpPr/>
      </xdr:nvSpPr>
      <xdr:spPr>
        <a:xfrm>
          <a:off x="1640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20</xdr:row>
      <xdr:rowOff>135334</xdr:rowOff>
    </xdr:from>
    <xdr:to>
      <xdr:col>13</xdr:col>
      <xdr:colOff>37130</xdr:colOff>
      <xdr:row>21</xdr:row>
      <xdr:rowOff>72739</xdr:rowOff>
    </xdr:to>
    <xdr:sp macro="" textlink="">
      <xdr:nvSpPr>
        <xdr:cNvPr id="159" name="4-Point Star 158"/>
        <xdr:cNvSpPr/>
      </xdr:nvSpPr>
      <xdr:spPr>
        <a:xfrm>
          <a:off x="2402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20</xdr:row>
      <xdr:rowOff>135334</xdr:rowOff>
    </xdr:from>
    <xdr:to>
      <xdr:col>17</xdr:col>
      <xdr:colOff>37130</xdr:colOff>
      <xdr:row>21</xdr:row>
      <xdr:rowOff>72739</xdr:rowOff>
    </xdr:to>
    <xdr:sp macro="" textlink="">
      <xdr:nvSpPr>
        <xdr:cNvPr id="160" name="4-Point Star 159"/>
        <xdr:cNvSpPr/>
      </xdr:nvSpPr>
      <xdr:spPr>
        <a:xfrm>
          <a:off x="3164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20</xdr:row>
      <xdr:rowOff>135334</xdr:rowOff>
    </xdr:from>
    <xdr:to>
      <xdr:col>21</xdr:col>
      <xdr:colOff>39453</xdr:colOff>
      <xdr:row>21</xdr:row>
      <xdr:rowOff>72739</xdr:rowOff>
    </xdr:to>
    <xdr:sp macro="" textlink="">
      <xdr:nvSpPr>
        <xdr:cNvPr id="162" name="4-Point Star 161"/>
        <xdr:cNvSpPr/>
      </xdr:nvSpPr>
      <xdr:spPr>
        <a:xfrm>
          <a:off x="3930690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16</xdr:row>
      <xdr:rowOff>135334</xdr:rowOff>
    </xdr:from>
    <xdr:to>
      <xdr:col>5</xdr:col>
      <xdr:colOff>37130</xdr:colOff>
      <xdr:row>17</xdr:row>
      <xdr:rowOff>72738</xdr:rowOff>
    </xdr:to>
    <xdr:sp macro="" textlink="">
      <xdr:nvSpPr>
        <xdr:cNvPr id="170" name="4-Point Star 169"/>
        <xdr:cNvSpPr/>
      </xdr:nvSpPr>
      <xdr:spPr>
        <a:xfrm>
          <a:off x="878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16</xdr:row>
      <xdr:rowOff>135334</xdr:rowOff>
    </xdr:from>
    <xdr:to>
      <xdr:col>9</xdr:col>
      <xdr:colOff>37130</xdr:colOff>
      <xdr:row>17</xdr:row>
      <xdr:rowOff>72738</xdr:rowOff>
    </xdr:to>
    <xdr:sp macro="" textlink="">
      <xdr:nvSpPr>
        <xdr:cNvPr id="174" name="4-Point Star 173"/>
        <xdr:cNvSpPr/>
      </xdr:nvSpPr>
      <xdr:spPr>
        <a:xfrm>
          <a:off x="1640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16</xdr:row>
      <xdr:rowOff>135334</xdr:rowOff>
    </xdr:from>
    <xdr:to>
      <xdr:col>13</xdr:col>
      <xdr:colOff>37130</xdr:colOff>
      <xdr:row>17</xdr:row>
      <xdr:rowOff>72738</xdr:rowOff>
    </xdr:to>
    <xdr:sp macro="" textlink="">
      <xdr:nvSpPr>
        <xdr:cNvPr id="175" name="4-Point Star 174"/>
        <xdr:cNvSpPr/>
      </xdr:nvSpPr>
      <xdr:spPr>
        <a:xfrm>
          <a:off x="2402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16</xdr:row>
      <xdr:rowOff>135334</xdr:rowOff>
    </xdr:from>
    <xdr:to>
      <xdr:col>17</xdr:col>
      <xdr:colOff>37130</xdr:colOff>
      <xdr:row>17</xdr:row>
      <xdr:rowOff>72738</xdr:rowOff>
    </xdr:to>
    <xdr:sp macro="" textlink="">
      <xdr:nvSpPr>
        <xdr:cNvPr id="176" name="4-Point Star 175"/>
        <xdr:cNvSpPr/>
      </xdr:nvSpPr>
      <xdr:spPr>
        <a:xfrm>
          <a:off x="3164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16</xdr:row>
      <xdr:rowOff>135334</xdr:rowOff>
    </xdr:from>
    <xdr:to>
      <xdr:col>21</xdr:col>
      <xdr:colOff>39453</xdr:colOff>
      <xdr:row>17</xdr:row>
      <xdr:rowOff>72738</xdr:rowOff>
    </xdr:to>
    <xdr:sp macro="" textlink="">
      <xdr:nvSpPr>
        <xdr:cNvPr id="190" name="4-Point Star 189"/>
        <xdr:cNvSpPr/>
      </xdr:nvSpPr>
      <xdr:spPr>
        <a:xfrm>
          <a:off x="3930690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24</xdr:row>
      <xdr:rowOff>135334</xdr:rowOff>
    </xdr:from>
    <xdr:to>
      <xdr:col>5</xdr:col>
      <xdr:colOff>37130</xdr:colOff>
      <xdr:row>25</xdr:row>
      <xdr:rowOff>72738</xdr:rowOff>
    </xdr:to>
    <xdr:sp macro="" textlink="">
      <xdr:nvSpPr>
        <xdr:cNvPr id="191" name="4-Point Star 190"/>
        <xdr:cNvSpPr/>
      </xdr:nvSpPr>
      <xdr:spPr>
        <a:xfrm>
          <a:off x="878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24</xdr:row>
      <xdr:rowOff>135334</xdr:rowOff>
    </xdr:from>
    <xdr:to>
      <xdr:col>9</xdr:col>
      <xdr:colOff>37130</xdr:colOff>
      <xdr:row>25</xdr:row>
      <xdr:rowOff>72738</xdr:rowOff>
    </xdr:to>
    <xdr:sp macro="" textlink="">
      <xdr:nvSpPr>
        <xdr:cNvPr id="192" name="4-Point Star 191"/>
        <xdr:cNvSpPr/>
      </xdr:nvSpPr>
      <xdr:spPr>
        <a:xfrm>
          <a:off x="1640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24</xdr:row>
      <xdr:rowOff>135334</xdr:rowOff>
    </xdr:from>
    <xdr:to>
      <xdr:col>13</xdr:col>
      <xdr:colOff>37130</xdr:colOff>
      <xdr:row>25</xdr:row>
      <xdr:rowOff>72738</xdr:rowOff>
    </xdr:to>
    <xdr:sp macro="" textlink="">
      <xdr:nvSpPr>
        <xdr:cNvPr id="193" name="4-Point Star 192"/>
        <xdr:cNvSpPr/>
      </xdr:nvSpPr>
      <xdr:spPr>
        <a:xfrm>
          <a:off x="2402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24</xdr:row>
      <xdr:rowOff>135334</xdr:rowOff>
    </xdr:from>
    <xdr:to>
      <xdr:col>17</xdr:col>
      <xdr:colOff>37130</xdr:colOff>
      <xdr:row>25</xdr:row>
      <xdr:rowOff>72738</xdr:rowOff>
    </xdr:to>
    <xdr:sp macro="" textlink="">
      <xdr:nvSpPr>
        <xdr:cNvPr id="194" name="4-Point Star 193"/>
        <xdr:cNvSpPr/>
      </xdr:nvSpPr>
      <xdr:spPr>
        <a:xfrm>
          <a:off x="3164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24</xdr:row>
      <xdr:rowOff>135334</xdr:rowOff>
    </xdr:from>
    <xdr:to>
      <xdr:col>21</xdr:col>
      <xdr:colOff>39453</xdr:colOff>
      <xdr:row>25</xdr:row>
      <xdr:rowOff>72738</xdr:rowOff>
    </xdr:to>
    <xdr:sp macro="" textlink="">
      <xdr:nvSpPr>
        <xdr:cNvPr id="195" name="4-Point Star 194"/>
        <xdr:cNvSpPr/>
      </xdr:nvSpPr>
      <xdr:spPr>
        <a:xfrm>
          <a:off x="3930690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20</xdr:row>
      <xdr:rowOff>140777</xdr:rowOff>
    </xdr:from>
    <xdr:to>
      <xdr:col>30</xdr:col>
      <xdr:colOff>39850</xdr:colOff>
      <xdr:row>21</xdr:row>
      <xdr:rowOff>78182</xdr:rowOff>
    </xdr:to>
    <xdr:sp macro="" textlink="">
      <xdr:nvSpPr>
        <xdr:cNvPr id="196" name="4-Point Star 195"/>
        <xdr:cNvSpPr/>
      </xdr:nvSpPr>
      <xdr:spPr>
        <a:xfrm>
          <a:off x="5645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20</xdr:row>
      <xdr:rowOff>140777</xdr:rowOff>
    </xdr:from>
    <xdr:to>
      <xdr:col>34</xdr:col>
      <xdr:colOff>39850</xdr:colOff>
      <xdr:row>21</xdr:row>
      <xdr:rowOff>78182</xdr:rowOff>
    </xdr:to>
    <xdr:sp macro="" textlink="">
      <xdr:nvSpPr>
        <xdr:cNvPr id="197" name="4-Point Star 196"/>
        <xdr:cNvSpPr/>
      </xdr:nvSpPr>
      <xdr:spPr>
        <a:xfrm>
          <a:off x="6407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20</xdr:row>
      <xdr:rowOff>140777</xdr:rowOff>
    </xdr:from>
    <xdr:to>
      <xdr:col>38</xdr:col>
      <xdr:colOff>39850</xdr:colOff>
      <xdr:row>21</xdr:row>
      <xdr:rowOff>78182</xdr:rowOff>
    </xdr:to>
    <xdr:sp macro="" textlink="">
      <xdr:nvSpPr>
        <xdr:cNvPr id="198" name="4-Point Star 197"/>
        <xdr:cNvSpPr/>
      </xdr:nvSpPr>
      <xdr:spPr>
        <a:xfrm>
          <a:off x="7169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20</xdr:row>
      <xdr:rowOff>140777</xdr:rowOff>
    </xdr:from>
    <xdr:to>
      <xdr:col>42</xdr:col>
      <xdr:colOff>39850</xdr:colOff>
      <xdr:row>21</xdr:row>
      <xdr:rowOff>78182</xdr:rowOff>
    </xdr:to>
    <xdr:sp macro="" textlink="">
      <xdr:nvSpPr>
        <xdr:cNvPr id="199" name="4-Point Star 198"/>
        <xdr:cNvSpPr/>
      </xdr:nvSpPr>
      <xdr:spPr>
        <a:xfrm>
          <a:off x="7931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20</xdr:row>
      <xdr:rowOff>140777</xdr:rowOff>
    </xdr:from>
    <xdr:to>
      <xdr:col>46</xdr:col>
      <xdr:colOff>42173</xdr:colOff>
      <xdr:row>21</xdr:row>
      <xdr:rowOff>78182</xdr:rowOff>
    </xdr:to>
    <xdr:sp macro="" textlink="">
      <xdr:nvSpPr>
        <xdr:cNvPr id="200" name="4-Point Star 199"/>
        <xdr:cNvSpPr/>
      </xdr:nvSpPr>
      <xdr:spPr>
        <a:xfrm>
          <a:off x="8698631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16</xdr:row>
      <xdr:rowOff>140777</xdr:rowOff>
    </xdr:from>
    <xdr:to>
      <xdr:col>30</xdr:col>
      <xdr:colOff>39850</xdr:colOff>
      <xdr:row>17</xdr:row>
      <xdr:rowOff>78181</xdr:rowOff>
    </xdr:to>
    <xdr:sp macro="" textlink="">
      <xdr:nvSpPr>
        <xdr:cNvPr id="201" name="4-Point Star 200"/>
        <xdr:cNvSpPr/>
      </xdr:nvSpPr>
      <xdr:spPr>
        <a:xfrm>
          <a:off x="5645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16</xdr:row>
      <xdr:rowOff>140777</xdr:rowOff>
    </xdr:from>
    <xdr:to>
      <xdr:col>34</xdr:col>
      <xdr:colOff>39850</xdr:colOff>
      <xdr:row>17</xdr:row>
      <xdr:rowOff>78181</xdr:rowOff>
    </xdr:to>
    <xdr:sp macro="" textlink="">
      <xdr:nvSpPr>
        <xdr:cNvPr id="202" name="4-Point Star 201"/>
        <xdr:cNvSpPr/>
      </xdr:nvSpPr>
      <xdr:spPr>
        <a:xfrm>
          <a:off x="6407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16</xdr:row>
      <xdr:rowOff>140777</xdr:rowOff>
    </xdr:from>
    <xdr:to>
      <xdr:col>38</xdr:col>
      <xdr:colOff>39850</xdr:colOff>
      <xdr:row>17</xdr:row>
      <xdr:rowOff>78181</xdr:rowOff>
    </xdr:to>
    <xdr:sp macro="" textlink="">
      <xdr:nvSpPr>
        <xdr:cNvPr id="203" name="4-Point Star 202"/>
        <xdr:cNvSpPr/>
      </xdr:nvSpPr>
      <xdr:spPr>
        <a:xfrm>
          <a:off x="7169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16</xdr:row>
      <xdr:rowOff>140777</xdr:rowOff>
    </xdr:from>
    <xdr:to>
      <xdr:col>42</xdr:col>
      <xdr:colOff>39850</xdr:colOff>
      <xdr:row>17</xdr:row>
      <xdr:rowOff>78181</xdr:rowOff>
    </xdr:to>
    <xdr:sp macro="" textlink="">
      <xdr:nvSpPr>
        <xdr:cNvPr id="204" name="4-Point Star 203"/>
        <xdr:cNvSpPr/>
      </xdr:nvSpPr>
      <xdr:spPr>
        <a:xfrm>
          <a:off x="7931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16</xdr:row>
      <xdr:rowOff>140777</xdr:rowOff>
    </xdr:from>
    <xdr:to>
      <xdr:col>46</xdr:col>
      <xdr:colOff>42173</xdr:colOff>
      <xdr:row>17</xdr:row>
      <xdr:rowOff>78181</xdr:rowOff>
    </xdr:to>
    <xdr:sp macro="" textlink="">
      <xdr:nvSpPr>
        <xdr:cNvPr id="205" name="4-Point Star 204"/>
        <xdr:cNvSpPr/>
      </xdr:nvSpPr>
      <xdr:spPr>
        <a:xfrm>
          <a:off x="8698631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24</xdr:row>
      <xdr:rowOff>140777</xdr:rowOff>
    </xdr:from>
    <xdr:to>
      <xdr:col>30</xdr:col>
      <xdr:colOff>39850</xdr:colOff>
      <xdr:row>25</xdr:row>
      <xdr:rowOff>78181</xdr:rowOff>
    </xdr:to>
    <xdr:sp macro="" textlink="">
      <xdr:nvSpPr>
        <xdr:cNvPr id="206" name="4-Point Star 205"/>
        <xdr:cNvSpPr/>
      </xdr:nvSpPr>
      <xdr:spPr>
        <a:xfrm>
          <a:off x="5645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24</xdr:row>
      <xdr:rowOff>140777</xdr:rowOff>
    </xdr:from>
    <xdr:to>
      <xdr:col>34</xdr:col>
      <xdr:colOff>39850</xdr:colOff>
      <xdr:row>25</xdr:row>
      <xdr:rowOff>78181</xdr:rowOff>
    </xdr:to>
    <xdr:sp macro="" textlink="">
      <xdr:nvSpPr>
        <xdr:cNvPr id="207" name="4-Point Star 206"/>
        <xdr:cNvSpPr/>
      </xdr:nvSpPr>
      <xdr:spPr>
        <a:xfrm>
          <a:off x="6407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24</xdr:row>
      <xdr:rowOff>140777</xdr:rowOff>
    </xdr:from>
    <xdr:to>
      <xdr:col>38</xdr:col>
      <xdr:colOff>39850</xdr:colOff>
      <xdr:row>25</xdr:row>
      <xdr:rowOff>78181</xdr:rowOff>
    </xdr:to>
    <xdr:sp macro="" textlink="">
      <xdr:nvSpPr>
        <xdr:cNvPr id="208" name="4-Point Star 207"/>
        <xdr:cNvSpPr/>
      </xdr:nvSpPr>
      <xdr:spPr>
        <a:xfrm>
          <a:off x="7169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24</xdr:row>
      <xdr:rowOff>140777</xdr:rowOff>
    </xdr:from>
    <xdr:to>
      <xdr:col>42</xdr:col>
      <xdr:colOff>39850</xdr:colOff>
      <xdr:row>25</xdr:row>
      <xdr:rowOff>78181</xdr:rowOff>
    </xdr:to>
    <xdr:sp macro="" textlink="">
      <xdr:nvSpPr>
        <xdr:cNvPr id="209" name="4-Point Star 208"/>
        <xdr:cNvSpPr/>
      </xdr:nvSpPr>
      <xdr:spPr>
        <a:xfrm>
          <a:off x="7931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24</xdr:row>
      <xdr:rowOff>140777</xdr:rowOff>
    </xdr:from>
    <xdr:to>
      <xdr:col>46</xdr:col>
      <xdr:colOff>42173</xdr:colOff>
      <xdr:row>25</xdr:row>
      <xdr:rowOff>78181</xdr:rowOff>
    </xdr:to>
    <xdr:sp macro="" textlink="">
      <xdr:nvSpPr>
        <xdr:cNvPr id="210" name="4-Point Star 209"/>
        <xdr:cNvSpPr/>
      </xdr:nvSpPr>
      <xdr:spPr>
        <a:xfrm>
          <a:off x="8698631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12719</xdr:colOff>
      <xdr:row>31</xdr:row>
      <xdr:rowOff>211952</xdr:rowOff>
    </xdr:from>
    <xdr:to>
      <xdr:col>20</xdr:col>
      <xdr:colOff>87077</xdr:colOff>
      <xdr:row>32</xdr:row>
      <xdr:rowOff>71966</xdr:rowOff>
    </xdr:to>
    <xdr:sp macro="" textlink="">
      <xdr:nvSpPr>
        <xdr:cNvPr id="211" name="4-Point Star 210"/>
        <xdr:cNvSpPr/>
      </xdr:nvSpPr>
      <xdr:spPr>
        <a:xfrm>
          <a:off x="3835438" y="6802637"/>
          <a:ext cx="148716" cy="145764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3" name="Straight Connector 2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4" name="Straight Connector 3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5" name="Straight Connector 4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6" name="Straight Arrow Connector 5"/>
        <xdr:cNvCxnSpPr/>
      </xdr:nvCxnSpPr>
      <xdr:spPr>
        <a:xfrm>
          <a:off x="3809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7" name="Straight Arrow Connector 6"/>
        <xdr:cNvCxnSpPr/>
      </xdr:nvCxnSpPr>
      <xdr:spPr>
        <a:xfrm>
          <a:off x="3809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8" name="Straight Connector 7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9" name="Straight Arrow Connector 8"/>
        <xdr:cNvCxnSpPr/>
      </xdr:nvCxnSpPr>
      <xdr:spPr>
        <a:xfrm>
          <a:off x="3809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113108</xdr:rowOff>
    </xdr:from>
    <xdr:to>
      <xdr:col>6</xdr:col>
      <xdr:colOff>2323</xdr:colOff>
      <xdr:row>14</xdr:row>
      <xdr:rowOff>204438</xdr:rowOff>
    </xdr:to>
    <xdr:grpSp>
      <xdr:nvGrpSpPr>
        <xdr:cNvPr id="10" name="Group 9"/>
        <xdr:cNvGrpSpPr/>
      </xdr:nvGrpSpPr>
      <xdr:grpSpPr>
        <a:xfrm>
          <a:off x="762000" y="2993020"/>
          <a:ext cx="385646" cy="304242"/>
          <a:chOff x="571500" y="2718109"/>
          <a:chExt cx="385646" cy="413525"/>
        </a:xfrm>
      </xdr:grpSpPr>
      <xdr:sp macro="" textlink="">
        <xdr:nvSpPr>
          <xdr:cNvPr id="11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13</xdr:row>
      <xdr:rowOff>113108</xdr:rowOff>
    </xdr:from>
    <xdr:to>
      <xdr:col>10</xdr:col>
      <xdr:colOff>2323</xdr:colOff>
      <xdr:row>14</xdr:row>
      <xdr:rowOff>204438</xdr:rowOff>
    </xdr:to>
    <xdr:grpSp>
      <xdr:nvGrpSpPr>
        <xdr:cNvPr id="13" name="Group 12"/>
        <xdr:cNvGrpSpPr/>
      </xdr:nvGrpSpPr>
      <xdr:grpSpPr>
        <a:xfrm>
          <a:off x="1524000" y="2993020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</xdr:row>
      <xdr:rowOff>113108</xdr:rowOff>
    </xdr:from>
    <xdr:to>
      <xdr:col>14</xdr:col>
      <xdr:colOff>2323</xdr:colOff>
      <xdr:row>14</xdr:row>
      <xdr:rowOff>204438</xdr:rowOff>
    </xdr:to>
    <xdr:grpSp>
      <xdr:nvGrpSpPr>
        <xdr:cNvPr id="16" name="Group 15"/>
        <xdr:cNvGrpSpPr/>
      </xdr:nvGrpSpPr>
      <xdr:grpSpPr>
        <a:xfrm>
          <a:off x="2286000" y="2993020"/>
          <a:ext cx="385646" cy="304242"/>
          <a:chOff x="571500" y="2718109"/>
          <a:chExt cx="385646" cy="413525"/>
        </a:xfrm>
      </xdr:grpSpPr>
      <xdr:sp macro="" textlink="">
        <xdr:nvSpPr>
          <xdr:cNvPr id="17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</xdr:row>
      <xdr:rowOff>113108</xdr:rowOff>
    </xdr:from>
    <xdr:to>
      <xdr:col>18</xdr:col>
      <xdr:colOff>2323</xdr:colOff>
      <xdr:row>14</xdr:row>
      <xdr:rowOff>204438</xdr:rowOff>
    </xdr:to>
    <xdr:grpSp>
      <xdr:nvGrpSpPr>
        <xdr:cNvPr id="19" name="Group 18"/>
        <xdr:cNvGrpSpPr/>
      </xdr:nvGrpSpPr>
      <xdr:grpSpPr>
        <a:xfrm>
          <a:off x="3048000" y="2993020"/>
          <a:ext cx="385646" cy="304242"/>
          <a:chOff x="571500" y="2718109"/>
          <a:chExt cx="385646" cy="413525"/>
        </a:xfrm>
      </xdr:grpSpPr>
      <xdr:sp macro="" textlink="">
        <xdr:nvSpPr>
          <xdr:cNvPr id="20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</xdr:row>
      <xdr:rowOff>113108</xdr:rowOff>
    </xdr:from>
    <xdr:to>
      <xdr:col>22</xdr:col>
      <xdr:colOff>2323</xdr:colOff>
      <xdr:row>14</xdr:row>
      <xdr:rowOff>204438</xdr:rowOff>
    </xdr:to>
    <xdr:grpSp>
      <xdr:nvGrpSpPr>
        <xdr:cNvPr id="22" name="Group 21"/>
        <xdr:cNvGrpSpPr/>
      </xdr:nvGrpSpPr>
      <xdr:grpSpPr>
        <a:xfrm>
          <a:off x="3810000" y="2993020"/>
          <a:ext cx="385646" cy="304242"/>
          <a:chOff x="571500" y="2718109"/>
          <a:chExt cx="385646" cy="413525"/>
        </a:xfrm>
      </xdr:grpSpPr>
      <xdr:sp macro="" textlink="">
        <xdr:nvSpPr>
          <xdr:cNvPr id="23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4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5" name="Straight Connector 24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6" name="Straight Connector 25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7" name="Straight Connector 26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8" name="Straight Connector 27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9" name="Straight Connector 28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30" name="Straight Arrow Connector 29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1" name="Straight Arrow Connector 30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2" name="Straight Arrow Connector 31"/>
        <xdr:cNvCxnSpPr/>
      </xdr:nvCxnSpPr>
      <xdr:spPr>
        <a:xfrm flipH="1">
          <a:off x="2476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3" name="Straight Arrow Connector 32"/>
        <xdr:cNvCxnSpPr/>
      </xdr:nvCxnSpPr>
      <xdr:spPr>
        <a:xfrm flipH="1">
          <a:off x="3238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4" name="Rectangle 33"/>
        <xdr:cNvSpPr/>
      </xdr:nvSpPr>
      <xdr:spPr>
        <a:xfrm>
          <a:off x="11060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5" name="Rectangle 34"/>
        <xdr:cNvSpPr/>
      </xdr:nvSpPr>
      <xdr:spPr>
        <a:xfrm>
          <a:off x="18753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6" name="Rectangle 35"/>
        <xdr:cNvSpPr/>
      </xdr:nvSpPr>
      <xdr:spPr>
        <a:xfrm>
          <a:off x="26446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7" name="Rectangle 36"/>
        <xdr:cNvSpPr/>
      </xdr:nvSpPr>
      <xdr:spPr>
        <a:xfrm>
          <a:off x="34139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8" name="Rectangle 37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9" name="Straight Connector 38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40" name="Straight Arrow Connector 39"/>
        <xdr:cNvCxnSpPr/>
      </xdr:nvCxnSpPr>
      <xdr:spPr>
        <a:xfrm flipH="1">
          <a:off x="5934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1" name="Rectangle 40"/>
        <xdr:cNvSpPr/>
      </xdr:nvSpPr>
      <xdr:spPr>
        <a:xfrm rot="16200000">
          <a:off x="969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2" name="Rectangle 41"/>
        <xdr:cNvSpPr/>
      </xdr:nvSpPr>
      <xdr:spPr>
        <a:xfrm rot="16200000">
          <a:off x="544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3" name="Rectangle 42"/>
        <xdr:cNvSpPr/>
      </xdr:nvSpPr>
      <xdr:spPr>
        <a:xfrm rot="16200000">
          <a:off x="544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4" name="Straight Connector 43"/>
        <xdr:cNvCxnSpPr/>
      </xdr:nvCxnSpPr>
      <xdr:spPr>
        <a:xfrm flipH="1">
          <a:off x="50564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5" name="Straight Connector 44"/>
        <xdr:cNvCxnSpPr/>
      </xdr:nvCxnSpPr>
      <xdr:spPr>
        <a:xfrm flipH="1">
          <a:off x="50564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6" name="Straight Connector 45"/>
        <xdr:cNvCxnSpPr/>
      </xdr:nvCxnSpPr>
      <xdr:spPr>
        <a:xfrm flipH="1">
          <a:off x="50564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7" name="Straight Arrow Connector 46"/>
        <xdr:cNvCxnSpPr/>
      </xdr:nvCxnSpPr>
      <xdr:spPr>
        <a:xfrm>
          <a:off x="51434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8" name="Straight Arrow Connector 47"/>
        <xdr:cNvCxnSpPr/>
      </xdr:nvCxnSpPr>
      <xdr:spPr>
        <a:xfrm>
          <a:off x="51434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9" name="Straight Connector 48"/>
        <xdr:cNvCxnSpPr/>
      </xdr:nvCxnSpPr>
      <xdr:spPr>
        <a:xfrm flipH="1">
          <a:off x="50564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50" name="Straight Arrow Connector 49"/>
        <xdr:cNvCxnSpPr/>
      </xdr:nvCxnSpPr>
      <xdr:spPr>
        <a:xfrm>
          <a:off x="51434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113108</xdr:rowOff>
    </xdr:from>
    <xdr:to>
      <xdr:col>31</xdr:col>
      <xdr:colOff>2323</xdr:colOff>
      <xdr:row>14</xdr:row>
      <xdr:rowOff>204438</xdr:rowOff>
    </xdr:to>
    <xdr:grpSp>
      <xdr:nvGrpSpPr>
        <xdr:cNvPr id="51" name="Group 50"/>
        <xdr:cNvGrpSpPr/>
      </xdr:nvGrpSpPr>
      <xdr:grpSpPr>
        <a:xfrm>
          <a:off x="5524500" y="2993020"/>
          <a:ext cx="385646" cy="304242"/>
          <a:chOff x="571500" y="2718109"/>
          <a:chExt cx="385646" cy="413525"/>
        </a:xfrm>
      </xdr:grpSpPr>
      <xdr:sp macro="" textlink="">
        <xdr:nvSpPr>
          <xdr:cNvPr id="52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3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13</xdr:row>
      <xdr:rowOff>113108</xdr:rowOff>
    </xdr:from>
    <xdr:to>
      <xdr:col>35</xdr:col>
      <xdr:colOff>2323</xdr:colOff>
      <xdr:row>14</xdr:row>
      <xdr:rowOff>204438</xdr:rowOff>
    </xdr:to>
    <xdr:grpSp>
      <xdr:nvGrpSpPr>
        <xdr:cNvPr id="54" name="Group 53"/>
        <xdr:cNvGrpSpPr/>
      </xdr:nvGrpSpPr>
      <xdr:grpSpPr>
        <a:xfrm>
          <a:off x="6286500" y="2993020"/>
          <a:ext cx="385646" cy="304242"/>
          <a:chOff x="571500" y="2718109"/>
          <a:chExt cx="385646" cy="413525"/>
        </a:xfrm>
      </xdr:grpSpPr>
      <xdr:sp macro="" textlink="">
        <xdr:nvSpPr>
          <xdr:cNvPr id="55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6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13</xdr:row>
      <xdr:rowOff>113108</xdr:rowOff>
    </xdr:from>
    <xdr:to>
      <xdr:col>39</xdr:col>
      <xdr:colOff>2323</xdr:colOff>
      <xdr:row>14</xdr:row>
      <xdr:rowOff>204438</xdr:rowOff>
    </xdr:to>
    <xdr:grpSp>
      <xdr:nvGrpSpPr>
        <xdr:cNvPr id="57" name="Group 56"/>
        <xdr:cNvGrpSpPr/>
      </xdr:nvGrpSpPr>
      <xdr:grpSpPr>
        <a:xfrm>
          <a:off x="7048500" y="2993020"/>
          <a:ext cx="385646" cy="304242"/>
          <a:chOff x="571500" y="2718109"/>
          <a:chExt cx="385646" cy="413525"/>
        </a:xfrm>
      </xdr:grpSpPr>
      <xdr:sp macro="" textlink="">
        <xdr:nvSpPr>
          <xdr:cNvPr id="58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9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13</xdr:row>
      <xdr:rowOff>113108</xdr:rowOff>
    </xdr:from>
    <xdr:to>
      <xdr:col>43</xdr:col>
      <xdr:colOff>2323</xdr:colOff>
      <xdr:row>14</xdr:row>
      <xdr:rowOff>204438</xdr:rowOff>
    </xdr:to>
    <xdr:grpSp>
      <xdr:nvGrpSpPr>
        <xdr:cNvPr id="60" name="Group 59"/>
        <xdr:cNvGrpSpPr/>
      </xdr:nvGrpSpPr>
      <xdr:grpSpPr>
        <a:xfrm>
          <a:off x="7810500" y="2993020"/>
          <a:ext cx="385646" cy="304242"/>
          <a:chOff x="571500" y="2718109"/>
          <a:chExt cx="385646" cy="413525"/>
        </a:xfrm>
      </xdr:grpSpPr>
      <xdr:sp macro="" textlink="">
        <xdr:nvSpPr>
          <xdr:cNvPr id="61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13</xdr:row>
      <xdr:rowOff>113108</xdr:rowOff>
    </xdr:from>
    <xdr:to>
      <xdr:col>47</xdr:col>
      <xdr:colOff>2323</xdr:colOff>
      <xdr:row>14</xdr:row>
      <xdr:rowOff>204438</xdr:rowOff>
    </xdr:to>
    <xdr:grpSp>
      <xdr:nvGrpSpPr>
        <xdr:cNvPr id="63" name="Group 62"/>
        <xdr:cNvGrpSpPr/>
      </xdr:nvGrpSpPr>
      <xdr:grpSpPr>
        <a:xfrm>
          <a:off x="8572500" y="2993020"/>
          <a:ext cx="385646" cy="304242"/>
          <a:chOff x="571500" y="2718109"/>
          <a:chExt cx="385646" cy="413525"/>
        </a:xfrm>
      </xdr:grpSpPr>
      <xdr:sp macro="" textlink="">
        <xdr:nvSpPr>
          <xdr:cNvPr id="64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5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6" name="Straight Connector 65"/>
        <xdr:cNvCxnSpPr/>
      </xdr:nvCxnSpPr>
      <xdr:spPr>
        <a:xfrm flipV="1">
          <a:off x="5720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7" name="Straight Connector 66"/>
        <xdr:cNvCxnSpPr/>
      </xdr:nvCxnSpPr>
      <xdr:spPr>
        <a:xfrm flipV="1">
          <a:off x="6482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8" name="Straight Connector 67"/>
        <xdr:cNvCxnSpPr/>
      </xdr:nvCxnSpPr>
      <xdr:spPr>
        <a:xfrm flipV="1">
          <a:off x="72449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9" name="Straight Connector 68"/>
        <xdr:cNvCxnSpPr/>
      </xdr:nvCxnSpPr>
      <xdr:spPr>
        <a:xfrm flipV="1">
          <a:off x="8006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70" name="Straight Connector 69"/>
        <xdr:cNvCxnSpPr/>
      </xdr:nvCxnSpPr>
      <xdr:spPr>
        <a:xfrm flipV="1">
          <a:off x="8768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1" name="Straight Arrow Connector 70"/>
        <xdr:cNvCxnSpPr/>
      </xdr:nvCxnSpPr>
      <xdr:spPr>
        <a:xfrm flipH="1">
          <a:off x="57150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2" name="Straight Arrow Connector 71"/>
        <xdr:cNvCxnSpPr/>
      </xdr:nvCxnSpPr>
      <xdr:spPr>
        <a:xfrm flipH="1">
          <a:off x="64829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3" name="Straight Arrow Connector 72"/>
        <xdr:cNvCxnSpPr/>
      </xdr:nvCxnSpPr>
      <xdr:spPr>
        <a:xfrm flipH="1">
          <a:off x="7238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4" name="Straight Arrow Connector 73"/>
        <xdr:cNvCxnSpPr/>
      </xdr:nvCxnSpPr>
      <xdr:spPr>
        <a:xfrm flipH="1">
          <a:off x="8000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5" name="Rectangle 74"/>
        <xdr:cNvSpPr/>
      </xdr:nvSpPr>
      <xdr:spPr>
        <a:xfrm>
          <a:off x="58685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6" name="Rectangle 75"/>
        <xdr:cNvSpPr/>
      </xdr:nvSpPr>
      <xdr:spPr>
        <a:xfrm>
          <a:off x="66378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7" name="Rectangle 76"/>
        <xdr:cNvSpPr/>
      </xdr:nvSpPr>
      <xdr:spPr>
        <a:xfrm>
          <a:off x="74071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8" name="Rectangle 77"/>
        <xdr:cNvSpPr/>
      </xdr:nvSpPr>
      <xdr:spPr>
        <a:xfrm>
          <a:off x="81764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9" name="Rectangle 78"/>
        <xdr:cNvSpPr/>
      </xdr:nvSpPr>
      <xdr:spPr>
        <a:xfrm>
          <a:off x="53413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80" name="Straight Connector 79"/>
        <xdr:cNvCxnSpPr/>
      </xdr:nvCxnSpPr>
      <xdr:spPr>
        <a:xfrm flipV="1">
          <a:off x="5339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1" name="Straight Arrow Connector 80"/>
        <xdr:cNvCxnSpPr/>
      </xdr:nvCxnSpPr>
      <xdr:spPr>
        <a:xfrm flipH="1">
          <a:off x="53559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2" name="Rectangle 81"/>
        <xdr:cNvSpPr/>
      </xdr:nvSpPr>
      <xdr:spPr>
        <a:xfrm rot="16200000">
          <a:off x="48594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3" name="Rectangle 82"/>
        <xdr:cNvSpPr/>
      </xdr:nvSpPr>
      <xdr:spPr>
        <a:xfrm rot="16200000">
          <a:off x="48169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4" name="Rectangle 83"/>
        <xdr:cNvSpPr/>
      </xdr:nvSpPr>
      <xdr:spPr>
        <a:xfrm rot="16200000">
          <a:off x="48169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5" name="Rectangle 84"/>
        <xdr:cNvSpPr/>
      </xdr:nvSpPr>
      <xdr:spPr>
        <a:xfrm>
          <a:off x="549702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6" name="Rectangle 85"/>
        <xdr:cNvSpPr/>
      </xdr:nvSpPr>
      <xdr:spPr>
        <a:xfrm>
          <a:off x="624949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7" name="Rectangle 86"/>
        <xdr:cNvSpPr/>
      </xdr:nvSpPr>
      <xdr:spPr>
        <a:xfrm>
          <a:off x="700196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8" name="Rectangle 87"/>
        <xdr:cNvSpPr/>
      </xdr:nvSpPr>
      <xdr:spPr>
        <a:xfrm>
          <a:off x="7773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9" name="Rectangle 88"/>
        <xdr:cNvSpPr/>
      </xdr:nvSpPr>
      <xdr:spPr>
        <a:xfrm>
          <a:off x="8535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90" name="Rectangle 89"/>
        <xdr:cNvSpPr/>
      </xdr:nvSpPr>
      <xdr:spPr>
        <a:xfrm>
          <a:off x="73451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1" name="Rectangle 90"/>
        <xdr:cNvSpPr/>
      </xdr:nvSpPr>
      <xdr:spPr>
        <a:xfrm>
          <a:off x="148698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2" name="Rectangle 91"/>
        <xdr:cNvSpPr/>
      </xdr:nvSpPr>
      <xdr:spPr>
        <a:xfrm>
          <a:off x="223945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3" name="Rectangle 92"/>
        <xdr:cNvSpPr/>
      </xdr:nvSpPr>
      <xdr:spPr>
        <a:xfrm>
          <a:off x="3010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4" name="Rectangle 93"/>
        <xdr:cNvSpPr/>
      </xdr:nvSpPr>
      <xdr:spPr>
        <a:xfrm>
          <a:off x="3772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7" name="Straight Connector 96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8" name="Straight Arrow Connector 97"/>
        <xdr:cNvCxnSpPr/>
      </xdr:nvCxnSpPr>
      <xdr:spPr>
        <a:xfrm flipH="1">
          <a:off x="5780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9" name="Straight Connector 98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100" name="Rectangle 99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101" name="Straight Connector 100"/>
        <xdr:cNvCxnSpPr/>
      </xdr:nvCxnSpPr>
      <xdr:spPr>
        <a:xfrm flipV="1">
          <a:off x="91453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102" name="Straight Arrow Connector 101"/>
        <xdr:cNvCxnSpPr/>
      </xdr:nvCxnSpPr>
      <xdr:spPr>
        <a:xfrm flipH="1">
          <a:off x="53405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3" name="Straight Connector 102"/>
        <xdr:cNvCxnSpPr/>
      </xdr:nvCxnSpPr>
      <xdr:spPr>
        <a:xfrm flipV="1">
          <a:off x="53353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4" name="Rectangle 103"/>
        <xdr:cNvSpPr/>
      </xdr:nvSpPr>
      <xdr:spPr>
        <a:xfrm>
          <a:off x="70114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5" name="Straight Connector 10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6" name="Straight Arrow Connector 105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7" name="Straight Connector 10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8" name="Rectangle 10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9" name="Straight Connector 108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10" name="Straight Arrow Connector 109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11" name="Straight Connector 110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12" name="Rectangle 111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95" name="Straight Arrow Connector 94"/>
        <xdr:cNvCxnSpPr>
          <a:endCxn id="14" idx="2"/>
        </xdr:cNvCxnSpPr>
      </xdr:nvCxnSpPr>
      <xdr:spPr>
        <a:xfrm flipV="1">
          <a:off x="1719146" y="3290538"/>
          <a:ext cx="1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4" name="Straight Arrow Connector 113"/>
        <xdr:cNvCxnSpPr/>
      </xdr:nvCxnSpPr>
      <xdr:spPr>
        <a:xfrm flipV="1">
          <a:off x="2470260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5" name="Straight Arrow Connector 114"/>
        <xdr:cNvCxnSpPr/>
      </xdr:nvCxnSpPr>
      <xdr:spPr>
        <a:xfrm flipV="1">
          <a:off x="3237703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6" name="Straight Arrow Connector 115"/>
        <xdr:cNvCxnSpPr/>
      </xdr:nvCxnSpPr>
      <xdr:spPr>
        <a:xfrm flipV="1">
          <a:off x="6475077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7" name="Straight Arrow Connector 116"/>
        <xdr:cNvCxnSpPr/>
      </xdr:nvCxnSpPr>
      <xdr:spPr>
        <a:xfrm flipV="1">
          <a:off x="7232759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8" name="Straight Arrow Connector 117"/>
        <xdr:cNvCxnSpPr/>
      </xdr:nvCxnSpPr>
      <xdr:spPr>
        <a:xfrm flipV="1">
          <a:off x="7993633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23" name="Straight Arrow Connector 122"/>
        <xdr:cNvCxnSpPr/>
      </xdr:nvCxnSpPr>
      <xdr:spPr>
        <a:xfrm>
          <a:off x="1714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24" name="Straight Arrow Connector 123"/>
        <xdr:cNvCxnSpPr/>
      </xdr:nvCxnSpPr>
      <xdr:spPr>
        <a:xfrm>
          <a:off x="2476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25" name="Straight Arrow Connector 124"/>
        <xdr:cNvCxnSpPr/>
      </xdr:nvCxnSpPr>
      <xdr:spPr>
        <a:xfrm>
          <a:off x="3238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26" name="Straight Arrow Connector 125"/>
        <xdr:cNvCxnSpPr/>
      </xdr:nvCxnSpPr>
      <xdr:spPr>
        <a:xfrm>
          <a:off x="6477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7" name="Straight Arrow Connector 126"/>
        <xdr:cNvCxnSpPr/>
      </xdr:nvCxnSpPr>
      <xdr:spPr>
        <a:xfrm>
          <a:off x="7239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8" name="Straight Arrow Connector 127"/>
        <xdr:cNvCxnSpPr/>
      </xdr:nvCxnSpPr>
      <xdr:spPr>
        <a:xfrm>
          <a:off x="8001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45</xdr:row>
      <xdr:rowOff>0</xdr:rowOff>
    </xdr:from>
    <xdr:to>
      <xdr:col>3</xdr:col>
      <xdr:colOff>0</xdr:colOff>
      <xdr:row>45</xdr:row>
      <xdr:rowOff>0</xdr:rowOff>
    </xdr:to>
    <xdr:cxnSp macro="">
      <xdr:nvCxnSpPr>
        <xdr:cNvPr id="129" name="Straight Connector 128"/>
        <xdr:cNvCxnSpPr/>
      </xdr:nvCxnSpPr>
      <xdr:spPr>
        <a:xfrm flipH="1">
          <a:off x="2939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48</xdr:row>
      <xdr:rowOff>212270</xdr:rowOff>
    </xdr:from>
    <xdr:to>
      <xdr:col>3</xdr:col>
      <xdr:colOff>0</xdr:colOff>
      <xdr:row>48</xdr:row>
      <xdr:rowOff>212270</xdr:rowOff>
    </xdr:to>
    <xdr:cxnSp macro="">
      <xdr:nvCxnSpPr>
        <xdr:cNvPr id="130" name="Straight Connector 129"/>
        <xdr:cNvCxnSpPr/>
      </xdr:nvCxnSpPr>
      <xdr:spPr>
        <a:xfrm flipH="1">
          <a:off x="2939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53</xdr:row>
      <xdr:rowOff>5441</xdr:rowOff>
    </xdr:from>
    <xdr:to>
      <xdr:col>3</xdr:col>
      <xdr:colOff>0</xdr:colOff>
      <xdr:row>53</xdr:row>
      <xdr:rowOff>5441</xdr:rowOff>
    </xdr:to>
    <xdr:cxnSp macro="">
      <xdr:nvCxnSpPr>
        <xdr:cNvPr id="131" name="Straight Connector 130"/>
        <xdr:cNvCxnSpPr/>
      </xdr:nvCxnSpPr>
      <xdr:spPr>
        <a:xfrm flipH="1">
          <a:off x="2939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45</xdr:row>
      <xdr:rowOff>10886</xdr:rowOff>
    </xdr:from>
    <xdr:to>
      <xdr:col>1</xdr:col>
      <xdr:colOff>95247</xdr:colOff>
      <xdr:row>49</xdr:row>
      <xdr:rowOff>0</xdr:rowOff>
    </xdr:to>
    <xdr:cxnSp macro="">
      <xdr:nvCxnSpPr>
        <xdr:cNvPr id="132" name="Straight Arrow Connector 131"/>
        <xdr:cNvCxnSpPr/>
      </xdr:nvCxnSpPr>
      <xdr:spPr>
        <a:xfrm>
          <a:off x="3809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49</xdr:row>
      <xdr:rowOff>5443</xdr:rowOff>
    </xdr:from>
    <xdr:to>
      <xdr:col>1</xdr:col>
      <xdr:colOff>95249</xdr:colOff>
      <xdr:row>52</xdr:row>
      <xdr:rowOff>206829</xdr:rowOff>
    </xdr:to>
    <xdr:cxnSp macro="">
      <xdr:nvCxnSpPr>
        <xdr:cNvPr id="133" name="Straight Arrow Connector 132"/>
        <xdr:cNvCxnSpPr/>
      </xdr:nvCxnSpPr>
      <xdr:spPr>
        <a:xfrm>
          <a:off x="3809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5443</xdr:rowOff>
    </xdr:from>
    <xdr:to>
      <xdr:col>3</xdr:col>
      <xdr:colOff>0</xdr:colOff>
      <xdr:row>43</xdr:row>
      <xdr:rowOff>5443</xdr:rowOff>
    </xdr:to>
    <xdr:cxnSp macro="">
      <xdr:nvCxnSpPr>
        <xdr:cNvPr id="134" name="Straight Connector 133"/>
        <xdr:cNvCxnSpPr/>
      </xdr:nvCxnSpPr>
      <xdr:spPr>
        <a:xfrm flipH="1">
          <a:off x="2939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43</xdr:row>
      <xdr:rowOff>16329</xdr:rowOff>
    </xdr:from>
    <xdr:to>
      <xdr:col>1</xdr:col>
      <xdr:colOff>95249</xdr:colOff>
      <xdr:row>45</xdr:row>
      <xdr:rowOff>0</xdr:rowOff>
    </xdr:to>
    <xdr:cxnSp macro="">
      <xdr:nvCxnSpPr>
        <xdr:cNvPr id="135" name="Straight Arrow Connector 134"/>
        <xdr:cNvCxnSpPr/>
      </xdr:nvCxnSpPr>
      <xdr:spPr>
        <a:xfrm>
          <a:off x="3809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113108</xdr:rowOff>
    </xdr:from>
    <xdr:to>
      <xdr:col>6</xdr:col>
      <xdr:colOff>2323</xdr:colOff>
      <xdr:row>42</xdr:row>
      <xdr:rowOff>204438</xdr:rowOff>
    </xdr:to>
    <xdr:grpSp>
      <xdr:nvGrpSpPr>
        <xdr:cNvPr id="136" name="Group 135"/>
        <xdr:cNvGrpSpPr/>
      </xdr:nvGrpSpPr>
      <xdr:grpSpPr>
        <a:xfrm>
          <a:off x="762000" y="9503637"/>
          <a:ext cx="385646" cy="304242"/>
          <a:chOff x="571500" y="2718109"/>
          <a:chExt cx="385646" cy="413525"/>
        </a:xfrm>
      </xdr:grpSpPr>
      <xdr:sp macro="" textlink="">
        <xdr:nvSpPr>
          <xdr:cNvPr id="137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8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</xdr:row>
      <xdr:rowOff>113108</xdr:rowOff>
    </xdr:from>
    <xdr:to>
      <xdr:col>10</xdr:col>
      <xdr:colOff>2323</xdr:colOff>
      <xdr:row>42</xdr:row>
      <xdr:rowOff>204438</xdr:rowOff>
    </xdr:to>
    <xdr:grpSp>
      <xdr:nvGrpSpPr>
        <xdr:cNvPr id="139" name="Group 138"/>
        <xdr:cNvGrpSpPr/>
      </xdr:nvGrpSpPr>
      <xdr:grpSpPr>
        <a:xfrm>
          <a:off x="1524000" y="9503637"/>
          <a:ext cx="385646" cy="304242"/>
          <a:chOff x="571500" y="2718109"/>
          <a:chExt cx="385646" cy="413525"/>
        </a:xfrm>
      </xdr:grpSpPr>
      <xdr:sp macro="" textlink="">
        <xdr:nvSpPr>
          <xdr:cNvPr id="140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1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</xdr:row>
      <xdr:rowOff>113108</xdr:rowOff>
    </xdr:from>
    <xdr:to>
      <xdr:col>14</xdr:col>
      <xdr:colOff>2323</xdr:colOff>
      <xdr:row>42</xdr:row>
      <xdr:rowOff>204438</xdr:rowOff>
    </xdr:to>
    <xdr:grpSp>
      <xdr:nvGrpSpPr>
        <xdr:cNvPr id="142" name="Group 141"/>
        <xdr:cNvGrpSpPr/>
      </xdr:nvGrpSpPr>
      <xdr:grpSpPr>
        <a:xfrm>
          <a:off x="2286000" y="9503637"/>
          <a:ext cx="385646" cy="304242"/>
          <a:chOff x="571500" y="2718109"/>
          <a:chExt cx="385646" cy="413525"/>
        </a:xfrm>
      </xdr:grpSpPr>
      <xdr:sp macro="" textlink="">
        <xdr:nvSpPr>
          <xdr:cNvPr id="143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4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</xdr:row>
      <xdr:rowOff>113108</xdr:rowOff>
    </xdr:from>
    <xdr:to>
      <xdr:col>18</xdr:col>
      <xdr:colOff>2323</xdr:colOff>
      <xdr:row>42</xdr:row>
      <xdr:rowOff>204438</xdr:rowOff>
    </xdr:to>
    <xdr:grpSp>
      <xdr:nvGrpSpPr>
        <xdr:cNvPr id="145" name="Group 144"/>
        <xdr:cNvGrpSpPr/>
      </xdr:nvGrpSpPr>
      <xdr:grpSpPr>
        <a:xfrm>
          <a:off x="3048000" y="9503637"/>
          <a:ext cx="385646" cy="304242"/>
          <a:chOff x="571500" y="2718109"/>
          <a:chExt cx="385646" cy="413525"/>
        </a:xfrm>
      </xdr:grpSpPr>
      <xdr:sp macro="" textlink="">
        <xdr:nvSpPr>
          <xdr:cNvPr id="146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7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113108</xdr:rowOff>
    </xdr:from>
    <xdr:to>
      <xdr:col>22</xdr:col>
      <xdr:colOff>2323</xdr:colOff>
      <xdr:row>42</xdr:row>
      <xdr:rowOff>204438</xdr:rowOff>
    </xdr:to>
    <xdr:grpSp>
      <xdr:nvGrpSpPr>
        <xdr:cNvPr id="148" name="Group 147"/>
        <xdr:cNvGrpSpPr/>
      </xdr:nvGrpSpPr>
      <xdr:grpSpPr>
        <a:xfrm>
          <a:off x="3810000" y="9503637"/>
          <a:ext cx="385646" cy="304242"/>
          <a:chOff x="571500" y="2718109"/>
          <a:chExt cx="385646" cy="413525"/>
        </a:xfrm>
      </xdr:grpSpPr>
      <xdr:sp macro="" textlink="">
        <xdr:nvSpPr>
          <xdr:cNvPr id="149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0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38</xdr:row>
      <xdr:rowOff>5953</xdr:rowOff>
    </xdr:from>
    <xdr:to>
      <xdr:col>5</xdr:col>
      <xdr:colOff>2975</xdr:colOff>
      <xdr:row>40</xdr:row>
      <xdr:rowOff>1</xdr:rowOff>
    </xdr:to>
    <xdr:cxnSp macro="">
      <xdr:nvCxnSpPr>
        <xdr:cNvPr id="151" name="Straight Connector 150"/>
        <xdr:cNvCxnSpPr/>
      </xdr:nvCxnSpPr>
      <xdr:spPr>
        <a:xfrm flipV="1">
          <a:off x="958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38</xdr:row>
      <xdr:rowOff>5953</xdr:rowOff>
    </xdr:from>
    <xdr:to>
      <xdr:col>9</xdr:col>
      <xdr:colOff>2975</xdr:colOff>
      <xdr:row>40</xdr:row>
      <xdr:rowOff>1</xdr:rowOff>
    </xdr:to>
    <xdr:cxnSp macro="">
      <xdr:nvCxnSpPr>
        <xdr:cNvPr id="152" name="Straight Connector 151"/>
        <xdr:cNvCxnSpPr/>
      </xdr:nvCxnSpPr>
      <xdr:spPr>
        <a:xfrm flipV="1">
          <a:off x="1720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38</xdr:row>
      <xdr:rowOff>5953</xdr:rowOff>
    </xdr:from>
    <xdr:to>
      <xdr:col>13</xdr:col>
      <xdr:colOff>2974</xdr:colOff>
      <xdr:row>40</xdr:row>
      <xdr:rowOff>1</xdr:rowOff>
    </xdr:to>
    <xdr:cxnSp macro="">
      <xdr:nvCxnSpPr>
        <xdr:cNvPr id="153" name="Straight Connector 152"/>
        <xdr:cNvCxnSpPr/>
      </xdr:nvCxnSpPr>
      <xdr:spPr>
        <a:xfrm flipV="1">
          <a:off x="24824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38</xdr:row>
      <xdr:rowOff>5953</xdr:rowOff>
    </xdr:from>
    <xdr:to>
      <xdr:col>17</xdr:col>
      <xdr:colOff>2973</xdr:colOff>
      <xdr:row>40</xdr:row>
      <xdr:rowOff>1</xdr:rowOff>
    </xdr:to>
    <xdr:cxnSp macro="">
      <xdr:nvCxnSpPr>
        <xdr:cNvPr id="154" name="Straight Connector 153"/>
        <xdr:cNvCxnSpPr/>
      </xdr:nvCxnSpPr>
      <xdr:spPr>
        <a:xfrm flipV="1">
          <a:off x="3244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38</xdr:row>
      <xdr:rowOff>5953</xdr:rowOff>
    </xdr:from>
    <xdr:to>
      <xdr:col>21</xdr:col>
      <xdr:colOff>2973</xdr:colOff>
      <xdr:row>40</xdr:row>
      <xdr:rowOff>1</xdr:rowOff>
    </xdr:to>
    <xdr:cxnSp macro="">
      <xdr:nvCxnSpPr>
        <xdr:cNvPr id="155" name="Straight Connector 154"/>
        <xdr:cNvCxnSpPr/>
      </xdr:nvCxnSpPr>
      <xdr:spPr>
        <a:xfrm flipV="1">
          <a:off x="4006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209733</xdr:rowOff>
    </xdr:from>
    <xdr:to>
      <xdr:col>9</xdr:col>
      <xdr:colOff>5953</xdr:colOff>
      <xdr:row>38</xdr:row>
      <xdr:rowOff>209733</xdr:rowOff>
    </xdr:to>
    <xdr:cxnSp macro="">
      <xdr:nvCxnSpPr>
        <xdr:cNvPr id="156" name="Straight Arrow Connector 155"/>
        <xdr:cNvCxnSpPr/>
      </xdr:nvCxnSpPr>
      <xdr:spPr>
        <a:xfrm flipH="1">
          <a:off x="9525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38</xdr:row>
      <xdr:rowOff>209733</xdr:rowOff>
    </xdr:from>
    <xdr:to>
      <xdr:col>13</xdr:col>
      <xdr:colOff>8929</xdr:colOff>
      <xdr:row>38</xdr:row>
      <xdr:rowOff>209733</xdr:rowOff>
    </xdr:to>
    <xdr:cxnSp macro="">
      <xdr:nvCxnSpPr>
        <xdr:cNvPr id="157" name="Straight Arrow Connector 156"/>
        <xdr:cNvCxnSpPr/>
      </xdr:nvCxnSpPr>
      <xdr:spPr>
        <a:xfrm flipH="1">
          <a:off x="17204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38</xdr:row>
      <xdr:rowOff>209733</xdr:rowOff>
    </xdr:from>
    <xdr:to>
      <xdr:col>17</xdr:col>
      <xdr:colOff>5952</xdr:colOff>
      <xdr:row>38</xdr:row>
      <xdr:rowOff>209733</xdr:rowOff>
    </xdr:to>
    <xdr:cxnSp macro="">
      <xdr:nvCxnSpPr>
        <xdr:cNvPr id="158" name="Straight Arrow Connector 157"/>
        <xdr:cNvCxnSpPr/>
      </xdr:nvCxnSpPr>
      <xdr:spPr>
        <a:xfrm flipH="1">
          <a:off x="2476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38</xdr:row>
      <xdr:rowOff>209733</xdr:rowOff>
    </xdr:from>
    <xdr:to>
      <xdr:col>21</xdr:col>
      <xdr:colOff>5952</xdr:colOff>
      <xdr:row>38</xdr:row>
      <xdr:rowOff>209733</xdr:rowOff>
    </xdr:to>
    <xdr:cxnSp macro="">
      <xdr:nvCxnSpPr>
        <xdr:cNvPr id="159" name="Straight Arrow Connector 158"/>
        <xdr:cNvCxnSpPr/>
      </xdr:nvCxnSpPr>
      <xdr:spPr>
        <a:xfrm flipH="1">
          <a:off x="3238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38</xdr:row>
      <xdr:rowOff>25184</xdr:rowOff>
    </xdr:from>
    <xdr:to>
      <xdr:col>8</xdr:col>
      <xdr:colOff>21976</xdr:colOff>
      <xdr:row>38</xdr:row>
      <xdr:rowOff>205153</xdr:rowOff>
    </xdr:to>
    <xdr:sp macro="" textlink="">
      <xdr:nvSpPr>
        <xdr:cNvPr id="160" name="Rectangle 159"/>
        <xdr:cNvSpPr/>
      </xdr:nvSpPr>
      <xdr:spPr>
        <a:xfrm>
          <a:off x="11060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38</xdr:row>
      <xdr:rowOff>25184</xdr:rowOff>
    </xdr:from>
    <xdr:to>
      <xdr:col>12</xdr:col>
      <xdr:colOff>25639</xdr:colOff>
      <xdr:row>38</xdr:row>
      <xdr:rowOff>205153</xdr:rowOff>
    </xdr:to>
    <xdr:sp macro="" textlink="">
      <xdr:nvSpPr>
        <xdr:cNvPr id="161" name="Rectangle 160"/>
        <xdr:cNvSpPr/>
      </xdr:nvSpPr>
      <xdr:spPr>
        <a:xfrm>
          <a:off x="18753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38</xdr:row>
      <xdr:rowOff>25184</xdr:rowOff>
    </xdr:from>
    <xdr:to>
      <xdr:col>16</xdr:col>
      <xdr:colOff>29302</xdr:colOff>
      <xdr:row>38</xdr:row>
      <xdr:rowOff>205153</xdr:rowOff>
    </xdr:to>
    <xdr:sp macro="" textlink="">
      <xdr:nvSpPr>
        <xdr:cNvPr id="162" name="Rectangle 161"/>
        <xdr:cNvSpPr/>
      </xdr:nvSpPr>
      <xdr:spPr>
        <a:xfrm>
          <a:off x="26446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38</xdr:row>
      <xdr:rowOff>25184</xdr:rowOff>
    </xdr:from>
    <xdr:to>
      <xdr:col>20</xdr:col>
      <xdr:colOff>32965</xdr:colOff>
      <xdr:row>38</xdr:row>
      <xdr:rowOff>205153</xdr:rowOff>
    </xdr:to>
    <xdr:sp macro="" textlink="">
      <xdr:nvSpPr>
        <xdr:cNvPr id="163" name="Rectangle 162"/>
        <xdr:cNvSpPr/>
      </xdr:nvSpPr>
      <xdr:spPr>
        <a:xfrm>
          <a:off x="34139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38</xdr:row>
      <xdr:rowOff>25184</xdr:rowOff>
    </xdr:from>
    <xdr:to>
      <xdr:col>5</xdr:col>
      <xdr:colOff>3657</xdr:colOff>
      <xdr:row>38</xdr:row>
      <xdr:rowOff>205153</xdr:rowOff>
    </xdr:to>
    <xdr:sp macro="" textlink="">
      <xdr:nvSpPr>
        <xdr:cNvPr id="164" name="Rectangle 163"/>
        <xdr:cNvSpPr/>
      </xdr:nvSpPr>
      <xdr:spPr>
        <a:xfrm>
          <a:off x="5788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38</xdr:row>
      <xdr:rowOff>5953</xdr:rowOff>
    </xdr:from>
    <xdr:to>
      <xdr:col>3</xdr:col>
      <xdr:colOff>2975</xdr:colOff>
      <xdr:row>40</xdr:row>
      <xdr:rowOff>1</xdr:rowOff>
    </xdr:to>
    <xdr:cxnSp macro="">
      <xdr:nvCxnSpPr>
        <xdr:cNvPr id="165" name="Straight Connector 164"/>
        <xdr:cNvCxnSpPr/>
      </xdr:nvCxnSpPr>
      <xdr:spPr>
        <a:xfrm flipV="1">
          <a:off x="577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38</xdr:row>
      <xdr:rowOff>209733</xdr:rowOff>
    </xdr:from>
    <xdr:to>
      <xdr:col>4</xdr:col>
      <xdr:colOff>84259</xdr:colOff>
      <xdr:row>38</xdr:row>
      <xdr:rowOff>209733</xdr:rowOff>
    </xdr:to>
    <xdr:cxnSp macro="">
      <xdr:nvCxnSpPr>
        <xdr:cNvPr id="166" name="Straight Arrow Connector 165"/>
        <xdr:cNvCxnSpPr/>
      </xdr:nvCxnSpPr>
      <xdr:spPr>
        <a:xfrm flipH="1">
          <a:off x="5934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43</xdr:row>
      <xdr:rowOff>20052</xdr:rowOff>
    </xdr:from>
    <xdr:to>
      <xdr:col>1</xdr:col>
      <xdr:colOff>92796</xdr:colOff>
      <xdr:row>44</xdr:row>
      <xdr:rowOff>188808</xdr:rowOff>
    </xdr:to>
    <xdr:sp macro="" textlink="">
      <xdr:nvSpPr>
        <xdr:cNvPr id="167" name="Rectangle 166"/>
        <xdr:cNvSpPr/>
      </xdr:nvSpPr>
      <xdr:spPr>
        <a:xfrm rot="16200000">
          <a:off x="996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45</xdr:row>
      <xdr:rowOff>185488</xdr:rowOff>
    </xdr:from>
    <xdr:to>
      <xdr:col>1</xdr:col>
      <xdr:colOff>92796</xdr:colOff>
      <xdr:row>48</xdr:row>
      <xdr:rowOff>20053</xdr:rowOff>
    </xdr:to>
    <xdr:sp macro="" textlink="">
      <xdr:nvSpPr>
        <xdr:cNvPr id="168" name="Rectangle 167"/>
        <xdr:cNvSpPr/>
      </xdr:nvSpPr>
      <xdr:spPr>
        <a:xfrm rot="16200000">
          <a:off x="626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49</xdr:row>
      <xdr:rowOff>190503</xdr:rowOff>
    </xdr:from>
    <xdr:to>
      <xdr:col>1</xdr:col>
      <xdr:colOff>92796</xdr:colOff>
      <xdr:row>52</xdr:row>
      <xdr:rowOff>25068</xdr:rowOff>
    </xdr:to>
    <xdr:sp macro="" textlink="">
      <xdr:nvSpPr>
        <xdr:cNvPr id="169" name="Rectangle 168"/>
        <xdr:cNvSpPr/>
      </xdr:nvSpPr>
      <xdr:spPr>
        <a:xfrm rot="16200000">
          <a:off x="626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45</xdr:row>
      <xdr:rowOff>0</xdr:rowOff>
    </xdr:from>
    <xdr:to>
      <xdr:col>28</xdr:col>
      <xdr:colOff>0</xdr:colOff>
      <xdr:row>45</xdr:row>
      <xdr:rowOff>0</xdr:rowOff>
    </xdr:to>
    <xdr:cxnSp macro="">
      <xdr:nvCxnSpPr>
        <xdr:cNvPr id="170" name="Straight Connector 169"/>
        <xdr:cNvCxnSpPr/>
      </xdr:nvCxnSpPr>
      <xdr:spPr>
        <a:xfrm flipH="1">
          <a:off x="50564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48</xdr:row>
      <xdr:rowOff>212270</xdr:rowOff>
    </xdr:from>
    <xdr:to>
      <xdr:col>28</xdr:col>
      <xdr:colOff>0</xdr:colOff>
      <xdr:row>48</xdr:row>
      <xdr:rowOff>212270</xdr:rowOff>
    </xdr:to>
    <xdr:cxnSp macro="">
      <xdr:nvCxnSpPr>
        <xdr:cNvPr id="171" name="Straight Connector 170"/>
        <xdr:cNvCxnSpPr/>
      </xdr:nvCxnSpPr>
      <xdr:spPr>
        <a:xfrm flipH="1">
          <a:off x="50564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53</xdr:row>
      <xdr:rowOff>5441</xdr:rowOff>
    </xdr:from>
    <xdr:to>
      <xdr:col>28</xdr:col>
      <xdr:colOff>0</xdr:colOff>
      <xdr:row>53</xdr:row>
      <xdr:rowOff>5441</xdr:rowOff>
    </xdr:to>
    <xdr:cxnSp macro="">
      <xdr:nvCxnSpPr>
        <xdr:cNvPr id="172" name="Straight Connector 171"/>
        <xdr:cNvCxnSpPr/>
      </xdr:nvCxnSpPr>
      <xdr:spPr>
        <a:xfrm flipH="1">
          <a:off x="50564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45</xdr:row>
      <xdr:rowOff>10886</xdr:rowOff>
    </xdr:from>
    <xdr:to>
      <xdr:col>26</xdr:col>
      <xdr:colOff>95247</xdr:colOff>
      <xdr:row>49</xdr:row>
      <xdr:rowOff>0</xdr:rowOff>
    </xdr:to>
    <xdr:cxnSp macro="">
      <xdr:nvCxnSpPr>
        <xdr:cNvPr id="173" name="Straight Arrow Connector 172"/>
        <xdr:cNvCxnSpPr/>
      </xdr:nvCxnSpPr>
      <xdr:spPr>
        <a:xfrm>
          <a:off x="51434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49</xdr:row>
      <xdr:rowOff>5443</xdr:rowOff>
    </xdr:from>
    <xdr:to>
      <xdr:col>26</xdr:col>
      <xdr:colOff>95249</xdr:colOff>
      <xdr:row>52</xdr:row>
      <xdr:rowOff>206829</xdr:rowOff>
    </xdr:to>
    <xdr:cxnSp macro="">
      <xdr:nvCxnSpPr>
        <xdr:cNvPr id="174" name="Straight Arrow Connector 173"/>
        <xdr:cNvCxnSpPr/>
      </xdr:nvCxnSpPr>
      <xdr:spPr>
        <a:xfrm>
          <a:off x="51434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43</xdr:row>
      <xdr:rowOff>5443</xdr:rowOff>
    </xdr:from>
    <xdr:to>
      <xdr:col>28</xdr:col>
      <xdr:colOff>0</xdr:colOff>
      <xdr:row>43</xdr:row>
      <xdr:rowOff>5443</xdr:rowOff>
    </xdr:to>
    <xdr:cxnSp macro="">
      <xdr:nvCxnSpPr>
        <xdr:cNvPr id="175" name="Straight Connector 174"/>
        <xdr:cNvCxnSpPr/>
      </xdr:nvCxnSpPr>
      <xdr:spPr>
        <a:xfrm flipH="1">
          <a:off x="5056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43</xdr:row>
      <xdr:rowOff>16329</xdr:rowOff>
    </xdr:from>
    <xdr:to>
      <xdr:col>26</xdr:col>
      <xdr:colOff>95249</xdr:colOff>
      <xdr:row>45</xdr:row>
      <xdr:rowOff>0</xdr:rowOff>
    </xdr:to>
    <xdr:cxnSp macro="">
      <xdr:nvCxnSpPr>
        <xdr:cNvPr id="176" name="Straight Arrow Connector 175"/>
        <xdr:cNvCxnSpPr/>
      </xdr:nvCxnSpPr>
      <xdr:spPr>
        <a:xfrm>
          <a:off x="51434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113108</xdr:rowOff>
    </xdr:from>
    <xdr:to>
      <xdr:col>31</xdr:col>
      <xdr:colOff>2323</xdr:colOff>
      <xdr:row>42</xdr:row>
      <xdr:rowOff>204438</xdr:rowOff>
    </xdr:to>
    <xdr:grpSp>
      <xdr:nvGrpSpPr>
        <xdr:cNvPr id="177" name="Group 176"/>
        <xdr:cNvGrpSpPr/>
      </xdr:nvGrpSpPr>
      <xdr:grpSpPr>
        <a:xfrm>
          <a:off x="5524500" y="9503637"/>
          <a:ext cx="385646" cy="304242"/>
          <a:chOff x="571500" y="2718109"/>
          <a:chExt cx="385646" cy="413525"/>
        </a:xfrm>
      </xdr:grpSpPr>
      <xdr:sp macro="" textlink="">
        <xdr:nvSpPr>
          <xdr:cNvPr id="178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9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41</xdr:row>
      <xdr:rowOff>113108</xdr:rowOff>
    </xdr:from>
    <xdr:to>
      <xdr:col>35</xdr:col>
      <xdr:colOff>2323</xdr:colOff>
      <xdr:row>42</xdr:row>
      <xdr:rowOff>204438</xdr:rowOff>
    </xdr:to>
    <xdr:grpSp>
      <xdr:nvGrpSpPr>
        <xdr:cNvPr id="180" name="Group 179"/>
        <xdr:cNvGrpSpPr/>
      </xdr:nvGrpSpPr>
      <xdr:grpSpPr>
        <a:xfrm>
          <a:off x="6286500" y="9503637"/>
          <a:ext cx="385646" cy="304242"/>
          <a:chOff x="571500" y="2718109"/>
          <a:chExt cx="385646" cy="413525"/>
        </a:xfrm>
      </xdr:grpSpPr>
      <xdr:sp macro="" textlink="">
        <xdr:nvSpPr>
          <xdr:cNvPr id="181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2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41</xdr:row>
      <xdr:rowOff>113108</xdr:rowOff>
    </xdr:from>
    <xdr:to>
      <xdr:col>39</xdr:col>
      <xdr:colOff>2323</xdr:colOff>
      <xdr:row>42</xdr:row>
      <xdr:rowOff>204438</xdr:rowOff>
    </xdr:to>
    <xdr:grpSp>
      <xdr:nvGrpSpPr>
        <xdr:cNvPr id="183" name="Group 182"/>
        <xdr:cNvGrpSpPr/>
      </xdr:nvGrpSpPr>
      <xdr:grpSpPr>
        <a:xfrm>
          <a:off x="7048500" y="9503637"/>
          <a:ext cx="385646" cy="304242"/>
          <a:chOff x="571500" y="2718109"/>
          <a:chExt cx="385646" cy="413525"/>
        </a:xfrm>
      </xdr:grpSpPr>
      <xdr:sp macro="" textlink="">
        <xdr:nvSpPr>
          <xdr:cNvPr id="184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5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41</xdr:row>
      <xdr:rowOff>113108</xdr:rowOff>
    </xdr:from>
    <xdr:to>
      <xdr:col>43</xdr:col>
      <xdr:colOff>2323</xdr:colOff>
      <xdr:row>42</xdr:row>
      <xdr:rowOff>204438</xdr:rowOff>
    </xdr:to>
    <xdr:grpSp>
      <xdr:nvGrpSpPr>
        <xdr:cNvPr id="186" name="Group 185"/>
        <xdr:cNvGrpSpPr/>
      </xdr:nvGrpSpPr>
      <xdr:grpSpPr>
        <a:xfrm>
          <a:off x="7810500" y="9503637"/>
          <a:ext cx="385646" cy="304242"/>
          <a:chOff x="571500" y="2718109"/>
          <a:chExt cx="385646" cy="413525"/>
        </a:xfrm>
      </xdr:grpSpPr>
      <xdr:sp macro="" textlink="">
        <xdr:nvSpPr>
          <xdr:cNvPr id="187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8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41</xdr:row>
      <xdr:rowOff>113108</xdr:rowOff>
    </xdr:from>
    <xdr:to>
      <xdr:col>47</xdr:col>
      <xdr:colOff>2323</xdr:colOff>
      <xdr:row>42</xdr:row>
      <xdr:rowOff>204438</xdr:rowOff>
    </xdr:to>
    <xdr:grpSp>
      <xdr:nvGrpSpPr>
        <xdr:cNvPr id="189" name="Group 188"/>
        <xdr:cNvGrpSpPr/>
      </xdr:nvGrpSpPr>
      <xdr:grpSpPr>
        <a:xfrm>
          <a:off x="8572500" y="9503637"/>
          <a:ext cx="385646" cy="304242"/>
          <a:chOff x="571500" y="2718109"/>
          <a:chExt cx="385646" cy="413525"/>
        </a:xfrm>
      </xdr:grpSpPr>
      <xdr:sp macro="" textlink="">
        <xdr:nvSpPr>
          <xdr:cNvPr id="190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1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38</xdr:row>
      <xdr:rowOff>5953</xdr:rowOff>
    </xdr:from>
    <xdr:to>
      <xdr:col>30</xdr:col>
      <xdr:colOff>2975</xdr:colOff>
      <xdr:row>40</xdr:row>
      <xdr:rowOff>1</xdr:rowOff>
    </xdr:to>
    <xdr:cxnSp macro="">
      <xdr:nvCxnSpPr>
        <xdr:cNvPr id="192" name="Straight Connector 191"/>
        <xdr:cNvCxnSpPr/>
      </xdr:nvCxnSpPr>
      <xdr:spPr>
        <a:xfrm flipV="1">
          <a:off x="5720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38</xdr:row>
      <xdr:rowOff>5953</xdr:rowOff>
    </xdr:from>
    <xdr:to>
      <xdr:col>34</xdr:col>
      <xdr:colOff>2975</xdr:colOff>
      <xdr:row>40</xdr:row>
      <xdr:rowOff>1</xdr:rowOff>
    </xdr:to>
    <xdr:cxnSp macro="">
      <xdr:nvCxnSpPr>
        <xdr:cNvPr id="193" name="Straight Connector 192"/>
        <xdr:cNvCxnSpPr/>
      </xdr:nvCxnSpPr>
      <xdr:spPr>
        <a:xfrm flipV="1">
          <a:off x="6482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38</xdr:row>
      <xdr:rowOff>5953</xdr:rowOff>
    </xdr:from>
    <xdr:to>
      <xdr:col>38</xdr:col>
      <xdr:colOff>2974</xdr:colOff>
      <xdr:row>40</xdr:row>
      <xdr:rowOff>1</xdr:rowOff>
    </xdr:to>
    <xdr:cxnSp macro="">
      <xdr:nvCxnSpPr>
        <xdr:cNvPr id="194" name="Straight Connector 193"/>
        <xdr:cNvCxnSpPr/>
      </xdr:nvCxnSpPr>
      <xdr:spPr>
        <a:xfrm flipV="1">
          <a:off x="72449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38</xdr:row>
      <xdr:rowOff>5953</xdr:rowOff>
    </xdr:from>
    <xdr:to>
      <xdr:col>42</xdr:col>
      <xdr:colOff>2973</xdr:colOff>
      <xdr:row>40</xdr:row>
      <xdr:rowOff>1</xdr:rowOff>
    </xdr:to>
    <xdr:cxnSp macro="">
      <xdr:nvCxnSpPr>
        <xdr:cNvPr id="195" name="Straight Connector 194"/>
        <xdr:cNvCxnSpPr/>
      </xdr:nvCxnSpPr>
      <xdr:spPr>
        <a:xfrm flipV="1">
          <a:off x="8006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38</xdr:row>
      <xdr:rowOff>5953</xdr:rowOff>
    </xdr:from>
    <xdr:to>
      <xdr:col>46</xdr:col>
      <xdr:colOff>2973</xdr:colOff>
      <xdr:row>40</xdr:row>
      <xdr:rowOff>1</xdr:rowOff>
    </xdr:to>
    <xdr:cxnSp macro="">
      <xdr:nvCxnSpPr>
        <xdr:cNvPr id="196" name="Straight Connector 195"/>
        <xdr:cNvCxnSpPr/>
      </xdr:nvCxnSpPr>
      <xdr:spPr>
        <a:xfrm flipV="1">
          <a:off x="8768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38</xdr:row>
      <xdr:rowOff>209733</xdr:rowOff>
    </xdr:from>
    <xdr:to>
      <xdr:col>34</xdr:col>
      <xdr:colOff>5953</xdr:colOff>
      <xdr:row>38</xdr:row>
      <xdr:rowOff>209733</xdr:rowOff>
    </xdr:to>
    <xdr:cxnSp macro="">
      <xdr:nvCxnSpPr>
        <xdr:cNvPr id="197" name="Straight Arrow Connector 196"/>
        <xdr:cNvCxnSpPr/>
      </xdr:nvCxnSpPr>
      <xdr:spPr>
        <a:xfrm flipH="1">
          <a:off x="57150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38</xdr:row>
      <xdr:rowOff>209733</xdr:rowOff>
    </xdr:from>
    <xdr:to>
      <xdr:col>38</xdr:col>
      <xdr:colOff>8929</xdr:colOff>
      <xdr:row>38</xdr:row>
      <xdr:rowOff>209733</xdr:rowOff>
    </xdr:to>
    <xdr:cxnSp macro="">
      <xdr:nvCxnSpPr>
        <xdr:cNvPr id="198" name="Straight Arrow Connector 197"/>
        <xdr:cNvCxnSpPr/>
      </xdr:nvCxnSpPr>
      <xdr:spPr>
        <a:xfrm flipH="1">
          <a:off x="64829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38</xdr:row>
      <xdr:rowOff>209733</xdr:rowOff>
    </xdr:from>
    <xdr:to>
      <xdr:col>42</xdr:col>
      <xdr:colOff>5952</xdr:colOff>
      <xdr:row>38</xdr:row>
      <xdr:rowOff>209733</xdr:rowOff>
    </xdr:to>
    <xdr:cxnSp macro="">
      <xdr:nvCxnSpPr>
        <xdr:cNvPr id="199" name="Straight Arrow Connector 198"/>
        <xdr:cNvCxnSpPr/>
      </xdr:nvCxnSpPr>
      <xdr:spPr>
        <a:xfrm flipH="1">
          <a:off x="7238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38</xdr:row>
      <xdr:rowOff>209733</xdr:rowOff>
    </xdr:from>
    <xdr:to>
      <xdr:col>46</xdr:col>
      <xdr:colOff>5952</xdr:colOff>
      <xdr:row>38</xdr:row>
      <xdr:rowOff>209733</xdr:rowOff>
    </xdr:to>
    <xdr:cxnSp macro="">
      <xdr:nvCxnSpPr>
        <xdr:cNvPr id="200" name="Straight Arrow Connector 199"/>
        <xdr:cNvCxnSpPr/>
      </xdr:nvCxnSpPr>
      <xdr:spPr>
        <a:xfrm flipH="1">
          <a:off x="8000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38</xdr:row>
      <xdr:rowOff>25184</xdr:rowOff>
    </xdr:from>
    <xdr:to>
      <xdr:col>33</xdr:col>
      <xdr:colOff>21976</xdr:colOff>
      <xdr:row>38</xdr:row>
      <xdr:rowOff>205153</xdr:rowOff>
    </xdr:to>
    <xdr:sp macro="" textlink="">
      <xdr:nvSpPr>
        <xdr:cNvPr id="201" name="Rectangle 200"/>
        <xdr:cNvSpPr/>
      </xdr:nvSpPr>
      <xdr:spPr>
        <a:xfrm>
          <a:off x="58685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38</xdr:row>
      <xdr:rowOff>25184</xdr:rowOff>
    </xdr:from>
    <xdr:to>
      <xdr:col>37</xdr:col>
      <xdr:colOff>25639</xdr:colOff>
      <xdr:row>38</xdr:row>
      <xdr:rowOff>205153</xdr:rowOff>
    </xdr:to>
    <xdr:sp macro="" textlink="">
      <xdr:nvSpPr>
        <xdr:cNvPr id="202" name="Rectangle 201"/>
        <xdr:cNvSpPr/>
      </xdr:nvSpPr>
      <xdr:spPr>
        <a:xfrm>
          <a:off x="66378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38</xdr:row>
      <xdr:rowOff>25184</xdr:rowOff>
    </xdr:from>
    <xdr:to>
      <xdr:col>41</xdr:col>
      <xdr:colOff>29302</xdr:colOff>
      <xdr:row>38</xdr:row>
      <xdr:rowOff>205153</xdr:rowOff>
    </xdr:to>
    <xdr:sp macro="" textlink="">
      <xdr:nvSpPr>
        <xdr:cNvPr id="203" name="Rectangle 202"/>
        <xdr:cNvSpPr/>
      </xdr:nvSpPr>
      <xdr:spPr>
        <a:xfrm>
          <a:off x="74071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38</xdr:row>
      <xdr:rowOff>25184</xdr:rowOff>
    </xdr:from>
    <xdr:to>
      <xdr:col>45</xdr:col>
      <xdr:colOff>32965</xdr:colOff>
      <xdr:row>38</xdr:row>
      <xdr:rowOff>205153</xdr:rowOff>
    </xdr:to>
    <xdr:sp macro="" textlink="">
      <xdr:nvSpPr>
        <xdr:cNvPr id="204" name="Rectangle 203"/>
        <xdr:cNvSpPr/>
      </xdr:nvSpPr>
      <xdr:spPr>
        <a:xfrm>
          <a:off x="81764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38</xdr:row>
      <xdr:rowOff>25184</xdr:rowOff>
    </xdr:from>
    <xdr:to>
      <xdr:col>30</xdr:col>
      <xdr:colOff>3657</xdr:colOff>
      <xdr:row>38</xdr:row>
      <xdr:rowOff>205153</xdr:rowOff>
    </xdr:to>
    <xdr:sp macro="" textlink="">
      <xdr:nvSpPr>
        <xdr:cNvPr id="205" name="Rectangle 204"/>
        <xdr:cNvSpPr/>
      </xdr:nvSpPr>
      <xdr:spPr>
        <a:xfrm>
          <a:off x="53413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38</xdr:row>
      <xdr:rowOff>5953</xdr:rowOff>
    </xdr:from>
    <xdr:to>
      <xdr:col>28</xdr:col>
      <xdr:colOff>2975</xdr:colOff>
      <xdr:row>40</xdr:row>
      <xdr:rowOff>1</xdr:rowOff>
    </xdr:to>
    <xdr:cxnSp macro="">
      <xdr:nvCxnSpPr>
        <xdr:cNvPr id="206" name="Straight Connector 205"/>
        <xdr:cNvCxnSpPr/>
      </xdr:nvCxnSpPr>
      <xdr:spPr>
        <a:xfrm flipV="1">
          <a:off x="5339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38</xdr:row>
      <xdr:rowOff>209733</xdr:rowOff>
    </xdr:from>
    <xdr:to>
      <xdr:col>29</xdr:col>
      <xdr:colOff>84259</xdr:colOff>
      <xdr:row>38</xdr:row>
      <xdr:rowOff>209733</xdr:rowOff>
    </xdr:to>
    <xdr:cxnSp macro="">
      <xdr:nvCxnSpPr>
        <xdr:cNvPr id="207" name="Straight Arrow Connector 206"/>
        <xdr:cNvCxnSpPr/>
      </xdr:nvCxnSpPr>
      <xdr:spPr>
        <a:xfrm flipH="1">
          <a:off x="53559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43</xdr:row>
      <xdr:rowOff>20052</xdr:rowOff>
    </xdr:from>
    <xdr:to>
      <xdr:col>26</xdr:col>
      <xdr:colOff>92796</xdr:colOff>
      <xdr:row>44</xdr:row>
      <xdr:rowOff>188808</xdr:rowOff>
    </xdr:to>
    <xdr:sp macro="" textlink="">
      <xdr:nvSpPr>
        <xdr:cNvPr id="208" name="Rectangle 207"/>
        <xdr:cNvSpPr/>
      </xdr:nvSpPr>
      <xdr:spPr>
        <a:xfrm rot="16200000">
          <a:off x="48621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45</xdr:row>
      <xdr:rowOff>185488</xdr:rowOff>
    </xdr:from>
    <xdr:to>
      <xdr:col>26</xdr:col>
      <xdr:colOff>92796</xdr:colOff>
      <xdr:row>48</xdr:row>
      <xdr:rowOff>20053</xdr:rowOff>
    </xdr:to>
    <xdr:sp macro="" textlink="">
      <xdr:nvSpPr>
        <xdr:cNvPr id="209" name="Rectangle 208"/>
        <xdr:cNvSpPr/>
      </xdr:nvSpPr>
      <xdr:spPr>
        <a:xfrm rot="16200000">
          <a:off x="48251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49</xdr:row>
      <xdr:rowOff>190503</xdr:rowOff>
    </xdr:from>
    <xdr:to>
      <xdr:col>26</xdr:col>
      <xdr:colOff>92796</xdr:colOff>
      <xdr:row>52</xdr:row>
      <xdr:rowOff>25068</xdr:rowOff>
    </xdr:to>
    <xdr:sp macro="" textlink="">
      <xdr:nvSpPr>
        <xdr:cNvPr id="210" name="Rectangle 209"/>
        <xdr:cNvSpPr/>
      </xdr:nvSpPr>
      <xdr:spPr>
        <a:xfrm rot="16200000">
          <a:off x="48251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40</xdr:row>
      <xdr:rowOff>110909</xdr:rowOff>
    </xdr:from>
    <xdr:to>
      <xdr:col>31</xdr:col>
      <xdr:colOff>26736</xdr:colOff>
      <xdr:row>41</xdr:row>
      <xdr:rowOff>81328</xdr:rowOff>
    </xdr:to>
    <xdr:sp macro="" textlink="">
      <xdr:nvSpPr>
        <xdr:cNvPr id="211" name="Rectangle 210"/>
        <xdr:cNvSpPr/>
      </xdr:nvSpPr>
      <xdr:spPr>
        <a:xfrm>
          <a:off x="549702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40</xdr:row>
      <xdr:rowOff>110909</xdr:rowOff>
    </xdr:from>
    <xdr:to>
      <xdr:col>35</xdr:col>
      <xdr:colOff>21971</xdr:colOff>
      <xdr:row>41</xdr:row>
      <xdr:rowOff>81328</xdr:rowOff>
    </xdr:to>
    <xdr:sp macro="" textlink="">
      <xdr:nvSpPr>
        <xdr:cNvPr id="212" name="Rectangle 211"/>
        <xdr:cNvSpPr/>
      </xdr:nvSpPr>
      <xdr:spPr>
        <a:xfrm>
          <a:off x="624949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40</xdr:row>
      <xdr:rowOff>110909</xdr:rowOff>
    </xdr:from>
    <xdr:to>
      <xdr:col>39</xdr:col>
      <xdr:colOff>17208</xdr:colOff>
      <xdr:row>41</xdr:row>
      <xdr:rowOff>81328</xdr:rowOff>
    </xdr:to>
    <xdr:sp macro="" textlink="">
      <xdr:nvSpPr>
        <xdr:cNvPr id="213" name="Rectangle 212"/>
        <xdr:cNvSpPr/>
      </xdr:nvSpPr>
      <xdr:spPr>
        <a:xfrm>
          <a:off x="700196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40</xdr:row>
      <xdr:rowOff>110909</xdr:rowOff>
    </xdr:from>
    <xdr:to>
      <xdr:col>43</xdr:col>
      <xdr:colOff>21970</xdr:colOff>
      <xdr:row>41</xdr:row>
      <xdr:rowOff>81328</xdr:rowOff>
    </xdr:to>
    <xdr:sp macro="" textlink="">
      <xdr:nvSpPr>
        <xdr:cNvPr id="214" name="Rectangle 213"/>
        <xdr:cNvSpPr/>
      </xdr:nvSpPr>
      <xdr:spPr>
        <a:xfrm>
          <a:off x="7773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40</xdr:row>
      <xdr:rowOff>110909</xdr:rowOff>
    </xdr:from>
    <xdr:to>
      <xdr:col>47</xdr:col>
      <xdr:colOff>21970</xdr:colOff>
      <xdr:row>41</xdr:row>
      <xdr:rowOff>81328</xdr:rowOff>
    </xdr:to>
    <xdr:sp macro="" textlink="">
      <xdr:nvSpPr>
        <xdr:cNvPr id="215" name="Rectangle 214"/>
        <xdr:cNvSpPr/>
      </xdr:nvSpPr>
      <xdr:spPr>
        <a:xfrm>
          <a:off x="8535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40</xdr:row>
      <xdr:rowOff>110909</xdr:rowOff>
    </xdr:from>
    <xdr:to>
      <xdr:col>6</xdr:col>
      <xdr:colOff>26733</xdr:colOff>
      <xdr:row>41</xdr:row>
      <xdr:rowOff>81328</xdr:rowOff>
    </xdr:to>
    <xdr:sp macro="" textlink="">
      <xdr:nvSpPr>
        <xdr:cNvPr id="216" name="Rectangle 215"/>
        <xdr:cNvSpPr/>
      </xdr:nvSpPr>
      <xdr:spPr>
        <a:xfrm>
          <a:off x="73451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40</xdr:row>
      <xdr:rowOff>110909</xdr:rowOff>
    </xdr:from>
    <xdr:to>
      <xdr:col>10</xdr:col>
      <xdr:colOff>21968</xdr:colOff>
      <xdr:row>41</xdr:row>
      <xdr:rowOff>81328</xdr:rowOff>
    </xdr:to>
    <xdr:sp macro="" textlink="">
      <xdr:nvSpPr>
        <xdr:cNvPr id="217" name="Rectangle 216"/>
        <xdr:cNvSpPr/>
      </xdr:nvSpPr>
      <xdr:spPr>
        <a:xfrm>
          <a:off x="148698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40</xdr:row>
      <xdr:rowOff>110909</xdr:rowOff>
    </xdr:from>
    <xdr:to>
      <xdr:col>14</xdr:col>
      <xdr:colOff>17205</xdr:colOff>
      <xdr:row>41</xdr:row>
      <xdr:rowOff>81328</xdr:rowOff>
    </xdr:to>
    <xdr:sp macro="" textlink="">
      <xdr:nvSpPr>
        <xdr:cNvPr id="218" name="Rectangle 217"/>
        <xdr:cNvSpPr/>
      </xdr:nvSpPr>
      <xdr:spPr>
        <a:xfrm>
          <a:off x="223945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40</xdr:row>
      <xdr:rowOff>110909</xdr:rowOff>
    </xdr:from>
    <xdr:to>
      <xdr:col>18</xdr:col>
      <xdr:colOff>21967</xdr:colOff>
      <xdr:row>41</xdr:row>
      <xdr:rowOff>81328</xdr:rowOff>
    </xdr:to>
    <xdr:sp macro="" textlink="">
      <xdr:nvSpPr>
        <xdr:cNvPr id="219" name="Rectangle 218"/>
        <xdr:cNvSpPr/>
      </xdr:nvSpPr>
      <xdr:spPr>
        <a:xfrm>
          <a:off x="3010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40</xdr:row>
      <xdr:rowOff>110909</xdr:rowOff>
    </xdr:from>
    <xdr:to>
      <xdr:col>22</xdr:col>
      <xdr:colOff>21967</xdr:colOff>
      <xdr:row>41</xdr:row>
      <xdr:rowOff>81328</xdr:rowOff>
    </xdr:to>
    <xdr:sp macro="" textlink="">
      <xdr:nvSpPr>
        <xdr:cNvPr id="220" name="Rectangle 219"/>
        <xdr:cNvSpPr/>
      </xdr:nvSpPr>
      <xdr:spPr>
        <a:xfrm>
          <a:off x="3772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54</xdr:row>
      <xdr:rowOff>201089</xdr:rowOff>
    </xdr:from>
    <xdr:to>
      <xdr:col>23</xdr:col>
      <xdr:colOff>654</xdr:colOff>
      <xdr:row>56</xdr:row>
      <xdr:rowOff>195136</xdr:rowOff>
    </xdr:to>
    <xdr:cxnSp macro="">
      <xdr:nvCxnSpPr>
        <xdr:cNvPr id="221" name="Straight Connector 220"/>
        <xdr:cNvCxnSpPr/>
      </xdr:nvCxnSpPr>
      <xdr:spPr>
        <a:xfrm flipV="1">
          <a:off x="43828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55</xdr:row>
      <xdr:rowOff>191957</xdr:rowOff>
    </xdr:from>
    <xdr:to>
      <xdr:col>23</xdr:col>
      <xdr:colOff>3633</xdr:colOff>
      <xdr:row>55</xdr:row>
      <xdr:rowOff>191957</xdr:rowOff>
    </xdr:to>
    <xdr:cxnSp macro="">
      <xdr:nvCxnSpPr>
        <xdr:cNvPr id="222" name="Straight Arrow Connector 221"/>
        <xdr:cNvCxnSpPr/>
      </xdr:nvCxnSpPr>
      <xdr:spPr>
        <a:xfrm flipH="1">
          <a:off x="5780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54</xdr:row>
      <xdr:rowOff>201089</xdr:rowOff>
    </xdr:from>
    <xdr:to>
      <xdr:col>3</xdr:col>
      <xdr:colOff>653</xdr:colOff>
      <xdr:row>56</xdr:row>
      <xdr:rowOff>195136</xdr:rowOff>
    </xdr:to>
    <xdr:cxnSp macro="">
      <xdr:nvCxnSpPr>
        <xdr:cNvPr id="223" name="Straight Connector 222"/>
        <xdr:cNvCxnSpPr/>
      </xdr:nvCxnSpPr>
      <xdr:spPr>
        <a:xfrm flipV="1">
          <a:off x="5728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55</xdr:row>
      <xdr:rowOff>198937</xdr:rowOff>
    </xdr:from>
    <xdr:to>
      <xdr:col>14</xdr:col>
      <xdr:colOff>21975</xdr:colOff>
      <xdr:row>56</xdr:row>
      <xdr:rowOff>174800</xdr:rowOff>
    </xdr:to>
    <xdr:sp macro="" textlink="">
      <xdr:nvSpPr>
        <xdr:cNvPr id="224" name="Rectangle 223"/>
        <xdr:cNvSpPr/>
      </xdr:nvSpPr>
      <xdr:spPr>
        <a:xfrm>
          <a:off x="22489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54</xdr:row>
      <xdr:rowOff>201089</xdr:rowOff>
    </xdr:from>
    <xdr:to>
      <xdr:col>48</xdr:col>
      <xdr:colOff>654</xdr:colOff>
      <xdr:row>56</xdr:row>
      <xdr:rowOff>195136</xdr:rowOff>
    </xdr:to>
    <xdr:cxnSp macro="">
      <xdr:nvCxnSpPr>
        <xdr:cNvPr id="225" name="Straight Connector 224"/>
        <xdr:cNvCxnSpPr/>
      </xdr:nvCxnSpPr>
      <xdr:spPr>
        <a:xfrm flipV="1">
          <a:off x="91453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55</xdr:row>
      <xdr:rowOff>191957</xdr:rowOff>
    </xdr:from>
    <xdr:to>
      <xdr:col>48</xdr:col>
      <xdr:colOff>3633</xdr:colOff>
      <xdr:row>55</xdr:row>
      <xdr:rowOff>191957</xdr:rowOff>
    </xdr:to>
    <xdr:cxnSp macro="">
      <xdr:nvCxnSpPr>
        <xdr:cNvPr id="226" name="Straight Arrow Connector 225"/>
        <xdr:cNvCxnSpPr/>
      </xdr:nvCxnSpPr>
      <xdr:spPr>
        <a:xfrm flipH="1">
          <a:off x="53405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54</xdr:row>
      <xdr:rowOff>201089</xdr:rowOff>
    </xdr:from>
    <xdr:to>
      <xdr:col>28</xdr:col>
      <xdr:colOff>653</xdr:colOff>
      <xdr:row>56</xdr:row>
      <xdr:rowOff>195136</xdr:rowOff>
    </xdr:to>
    <xdr:cxnSp macro="">
      <xdr:nvCxnSpPr>
        <xdr:cNvPr id="227" name="Straight Connector 226"/>
        <xdr:cNvCxnSpPr/>
      </xdr:nvCxnSpPr>
      <xdr:spPr>
        <a:xfrm flipV="1">
          <a:off x="53353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55</xdr:row>
      <xdr:rowOff>198937</xdr:rowOff>
    </xdr:from>
    <xdr:to>
      <xdr:col>39</xdr:col>
      <xdr:colOff>21975</xdr:colOff>
      <xdr:row>56</xdr:row>
      <xdr:rowOff>174800</xdr:rowOff>
    </xdr:to>
    <xdr:sp macro="" textlink="">
      <xdr:nvSpPr>
        <xdr:cNvPr id="228" name="Rectangle 227"/>
        <xdr:cNvSpPr/>
      </xdr:nvSpPr>
      <xdr:spPr>
        <a:xfrm>
          <a:off x="70114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55</xdr:row>
      <xdr:rowOff>2720</xdr:rowOff>
    </xdr:from>
    <xdr:to>
      <xdr:col>24</xdr:col>
      <xdr:colOff>47625</xdr:colOff>
      <xdr:row>55</xdr:row>
      <xdr:rowOff>2720</xdr:rowOff>
    </xdr:to>
    <xdr:cxnSp macro="">
      <xdr:nvCxnSpPr>
        <xdr:cNvPr id="229" name="Straight Connector 228"/>
        <xdr:cNvCxnSpPr/>
      </xdr:nvCxnSpPr>
      <xdr:spPr>
        <a:xfrm flipH="1">
          <a:off x="43896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43</xdr:row>
      <xdr:rowOff>10886</xdr:rowOff>
    </xdr:from>
    <xdr:to>
      <xdr:col>23</xdr:col>
      <xdr:colOff>95247</xdr:colOff>
      <xdr:row>55</xdr:row>
      <xdr:rowOff>9525</xdr:rowOff>
    </xdr:to>
    <xdr:cxnSp macro="">
      <xdr:nvCxnSpPr>
        <xdr:cNvPr id="230" name="Straight Arrow Connector 229"/>
        <xdr:cNvCxnSpPr/>
      </xdr:nvCxnSpPr>
      <xdr:spPr>
        <a:xfrm>
          <a:off x="45719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42</xdr:row>
      <xdr:rowOff>205468</xdr:rowOff>
    </xdr:from>
    <xdr:to>
      <xdr:col>24</xdr:col>
      <xdr:colOff>47625</xdr:colOff>
      <xdr:row>42</xdr:row>
      <xdr:rowOff>205468</xdr:rowOff>
    </xdr:to>
    <xdr:cxnSp macro="">
      <xdr:nvCxnSpPr>
        <xdr:cNvPr id="231" name="Straight Connector 230"/>
        <xdr:cNvCxnSpPr/>
      </xdr:nvCxnSpPr>
      <xdr:spPr>
        <a:xfrm flipH="1">
          <a:off x="43896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48</xdr:row>
      <xdr:rowOff>52139</xdr:rowOff>
    </xdr:from>
    <xdr:to>
      <xdr:col>25</xdr:col>
      <xdr:colOff>7072</xdr:colOff>
      <xdr:row>50</xdr:row>
      <xdr:rowOff>96254</xdr:rowOff>
    </xdr:to>
    <xdr:sp macro="" textlink="">
      <xdr:nvSpPr>
        <xdr:cNvPr id="232" name="Rectangle 231"/>
        <xdr:cNvSpPr/>
      </xdr:nvSpPr>
      <xdr:spPr>
        <a:xfrm rot="16200000">
          <a:off x="44604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55</xdr:row>
      <xdr:rowOff>2720</xdr:rowOff>
    </xdr:from>
    <xdr:to>
      <xdr:col>49</xdr:col>
      <xdr:colOff>47625</xdr:colOff>
      <xdr:row>55</xdr:row>
      <xdr:rowOff>2720</xdr:rowOff>
    </xdr:to>
    <xdr:cxnSp macro="">
      <xdr:nvCxnSpPr>
        <xdr:cNvPr id="233" name="Straight Connector 232"/>
        <xdr:cNvCxnSpPr/>
      </xdr:nvCxnSpPr>
      <xdr:spPr>
        <a:xfrm flipH="1">
          <a:off x="91521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43</xdr:row>
      <xdr:rowOff>10886</xdr:rowOff>
    </xdr:from>
    <xdr:to>
      <xdr:col>48</xdr:col>
      <xdr:colOff>95247</xdr:colOff>
      <xdr:row>55</xdr:row>
      <xdr:rowOff>9525</xdr:rowOff>
    </xdr:to>
    <xdr:cxnSp macro="">
      <xdr:nvCxnSpPr>
        <xdr:cNvPr id="234" name="Straight Arrow Connector 233"/>
        <xdr:cNvCxnSpPr/>
      </xdr:nvCxnSpPr>
      <xdr:spPr>
        <a:xfrm>
          <a:off x="93344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42</xdr:row>
      <xdr:rowOff>205468</xdr:rowOff>
    </xdr:from>
    <xdr:to>
      <xdr:col>49</xdr:col>
      <xdr:colOff>47625</xdr:colOff>
      <xdr:row>42</xdr:row>
      <xdr:rowOff>205468</xdr:rowOff>
    </xdr:to>
    <xdr:cxnSp macro="">
      <xdr:nvCxnSpPr>
        <xdr:cNvPr id="235" name="Straight Connector 234"/>
        <xdr:cNvCxnSpPr/>
      </xdr:nvCxnSpPr>
      <xdr:spPr>
        <a:xfrm flipH="1">
          <a:off x="91521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48</xdr:row>
      <xdr:rowOff>52139</xdr:rowOff>
    </xdr:from>
    <xdr:to>
      <xdr:col>50</xdr:col>
      <xdr:colOff>7072</xdr:colOff>
      <xdr:row>50</xdr:row>
      <xdr:rowOff>96254</xdr:rowOff>
    </xdr:to>
    <xdr:sp macro="" textlink="">
      <xdr:nvSpPr>
        <xdr:cNvPr id="236" name="Rectangle 235"/>
        <xdr:cNvSpPr/>
      </xdr:nvSpPr>
      <xdr:spPr>
        <a:xfrm rot="16200000">
          <a:off x="92229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42</xdr:row>
      <xdr:rowOff>204438</xdr:rowOff>
    </xdr:from>
    <xdr:to>
      <xdr:col>9</xdr:col>
      <xdr:colOff>2323</xdr:colOff>
      <xdr:row>47</xdr:row>
      <xdr:rowOff>5443</xdr:rowOff>
    </xdr:to>
    <xdr:cxnSp macro="">
      <xdr:nvCxnSpPr>
        <xdr:cNvPr id="238" name="Straight Arrow Connector 237"/>
        <xdr:cNvCxnSpPr>
          <a:endCxn id="140" idx="2"/>
        </xdr:cNvCxnSpPr>
      </xdr:nvCxnSpPr>
      <xdr:spPr>
        <a:xfrm flipV="1">
          <a:off x="171914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42</xdr:row>
      <xdr:rowOff>204438</xdr:rowOff>
    </xdr:from>
    <xdr:to>
      <xdr:col>12</xdr:col>
      <xdr:colOff>92130</xdr:colOff>
      <xdr:row>47</xdr:row>
      <xdr:rowOff>5443</xdr:rowOff>
    </xdr:to>
    <xdr:cxnSp macro="">
      <xdr:nvCxnSpPr>
        <xdr:cNvPr id="239" name="Straight Arrow Connector 238"/>
        <xdr:cNvCxnSpPr/>
      </xdr:nvCxnSpPr>
      <xdr:spPr>
        <a:xfrm flipV="1">
          <a:off x="2470260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42</xdr:row>
      <xdr:rowOff>204438</xdr:rowOff>
    </xdr:from>
    <xdr:to>
      <xdr:col>16</xdr:col>
      <xdr:colOff>94851</xdr:colOff>
      <xdr:row>47</xdr:row>
      <xdr:rowOff>5443</xdr:rowOff>
    </xdr:to>
    <xdr:cxnSp macro="">
      <xdr:nvCxnSpPr>
        <xdr:cNvPr id="240" name="Straight Arrow Connector 239"/>
        <xdr:cNvCxnSpPr/>
      </xdr:nvCxnSpPr>
      <xdr:spPr>
        <a:xfrm flipV="1">
          <a:off x="323770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42</xdr:row>
      <xdr:rowOff>204438</xdr:rowOff>
    </xdr:from>
    <xdr:to>
      <xdr:col>33</xdr:col>
      <xdr:colOff>94288</xdr:colOff>
      <xdr:row>47</xdr:row>
      <xdr:rowOff>5443</xdr:rowOff>
    </xdr:to>
    <xdr:cxnSp macro="">
      <xdr:nvCxnSpPr>
        <xdr:cNvPr id="241" name="Straight Arrow Connector 240"/>
        <xdr:cNvCxnSpPr/>
      </xdr:nvCxnSpPr>
      <xdr:spPr>
        <a:xfrm flipV="1">
          <a:off x="647507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42</xdr:row>
      <xdr:rowOff>204438</xdr:rowOff>
    </xdr:from>
    <xdr:to>
      <xdr:col>37</xdr:col>
      <xdr:colOff>92129</xdr:colOff>
      <xdr:row>47</xdr:row>
      <xdr:rowOff>5443</xdr:rowOff>
    </xdr:to>
    <xdr:cxnSp macro="">
      <xdr:nvCxnSpPr>
        <xdr:cNvPr id="242" name="Straight Arrow Connector 241"/>
        <xdr:cNvCxnSpPr/>
      </xdr:nvCxnSpPr>
      <xdr:spPr>
        <a:xfrm flipV="1">
          <a:off x="7232758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42</xdr:row>
      <xdr:rowOff>204438</xdr:rowOff>
    </xdr:from>
    <xdr:to>
      <xdr:col>41</xdr:col>
      <xdr:colOff>91566</xdr:colOff>
      <xdr:row>47</xdr:row>
      <xdr:rowOff>5443</xdr:rowOff>
    </xdr:to>
    <xdr:cxnSp macro="">
      <xdr:nvCxnSpPr>
        <xdr:cNvPr id="243" name="Straight Arrow Connector 242"/>
        <xdr:cNvCxnSpPr/>
      </xdr:nvCxnSpPr>
      <xdr:spPr>
        <a:xfrm flipV="1">
          <a:off x="799363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51</xdr:row>
      <xdr:rowOff>6569</xdr:rowOff>
    </xdr:from>
    <xdr:to>
      <xdr:col>9</xdr:col>
      <xdr:colOff>0</xdr:colOff>
      <xdr:row>54</xdr:row>
      <xdr:rowOff>197069</xdr:rowOff>
    </xdr:to>
    <xdr:cxnSp macro="">
      <xdr:nvCxnSpPr>
        <xdr:cNvPr id="244" name="Straight Arrow Connector 243"/>
        <xdr:cNvCxnSpPr/>
      </xdr:nvCxnSpPr>
      <xdr:spPr>
        <a:xfrm>
          <a:off x="1714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6569</xdr:rowOff>
    </xdr:from>
    <xdr:to>
      <xdr:col>13</xdr:col>
      <xdr:colOff>0</xdr:colOff>
      <xdr:row>54</xdr:row>
      <xdr:rowOff>197069</xdr:rowOff>
    </xdr:to>
    <xdr:cxnSp macro="">
      <xdr:nvCxnSpPr>
        <xdr:cNvPr id="245" name="Straight Arrow Connector 244"/>
        <xdr:cNvCxnSpPr/>
      </xdr:nvCxnSpPr>
      <xdr:spPr>
        <a:xfrm>
          <a:off x="2476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51</xdr:row>
      <xdr:rowOff>6569</xdr:rowOff>
    </xdr:from>
    <xdr:to>
      <xdr:col>17</xdr:col>
      <xdr:colOff>0</xdr:colOff>
      <xdr:row>54</xdr:row>
      <xdr:rowOff>197069</xdr:rowOff>
    </xdr:to>
    <xdr:cxnSp macro="">
      <xdr:nvCxnSpPr>
        <xdr:cNvPr id="246" name="Straight Arrow Connector 245"/>
        <xdr:cNvCxnSpPr/>
      </xdr:nvCxnSpPr>
      <xdr:spPr>
        <a:xfrm>
          <a:off x="3238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51</xdr:row>
      <xdr:rowOff>6569</xdr:rowOff>
    </xdr:from>
    <xdr:to>
      <xdr:col>34</xdr:col>
      <xdr:colOff>0</xdr:colOff>
      <xdr:row>54</xdr:row>
      <xdr:rowOff>197069</xdr:rowOff>
    </xdr:to>
    <xdr:cxnSp macro="">
      <xdr:nvCxnSpPr>
        <xdr:cNvPr id="247" name="Straight Arrow Connector 246"/>
        <xdr:cNvCxnSpPr/>
      </xdr:nvCxnSpPr>
      <xdr:spPr>
        <a:xfrm>
          <a:off x="6477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51</xdr:row>
      <xdr:rowOff>6569</xdr:rowOff>
    </xdr:from>
    <xdr:to>
      <xdr:col>38</xdr:col>
      <xdr:colOff>0</xdr:colOff>
      <xdr:row>54</xdr:row>
      <xdr:rowOff>197069</xdr:rowOff>
    </xdr:to>
    <xdr:cxnSp macro="">
      <xdr:nvCxnSpPr>
        <xdr:cNvPr id="248" name="Straight Arrow Connector 247"/>
        <xdr:cNvCxnSpPr/>
      </xdr:nvCxnSpPr>
      <xdr:spPr>
        <a:xfrm>
          <a:off x="7239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51</xdr:row>
      <xdr:rowOff>6569</xdr:rowOff>
    </xdr:from>
    <xdr:to>
      <xdr:col>42</xdr:col>
      <xdr:colOff>0</xdr:colOff>
      <xdr:row>54</xdr:row>
      <xdr:rowOff>197069</xdr:rowOff>
    </xdr:to>
    <xdr:cxnSp macro="">
      <xdr:nvCxnSpPr>
        <xdr:cNvPr id="249" name="Straight Arrow Connector 248"/>
        <xdr:cNvCxnSpPr/>
      </xdr:nvCxnSpPr>
      <xdr:spPr>
        <a:xfrm>
          <a:off x="8001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60613</xdr:colOff>
      <xdr:row>13</xdr:row>
      <xdr:rowOff>12989</xdr:rowOff>
    </xdr:from>
    <xdr:to>
      <xdr:col>25</xdr:col>
      <xdr:colOff>64942</xdr:colOff>
      <xdr:row>14</xdr:row>
      <xdr:rowOff>4330</xdr:rowOff>
    </xdr:to>
    <xdr:grpSp>
      <xdr:nvGrpSpPr>
        <xdr:cNvPr id="252" name="Group 251"/>
        <xdr:cNvGrpSpPr/>
      </xdr:nvGrpSpPr>
      <xdr:grpSpPr>
        <a:xfrm>
          <a:off x="4693226" y="2892901"/>
          <a:ext cx="199158" cy="204253"/>
          <a:chOff x="4797136" y="2861830"/>
          <a:chExt cx="199158" cy="199159"/>
        </a:xfrm>
      </xdr:grpSpPr>
      <xdr:sp macro="" textlink="">
        <xdr:nvSpPr>
          <xdr:cNvPr id="250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1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41</xdr:row>
      <xdr:rowOff>17318</xdr:rowOff>
    </xdr:from>
    <xdr:to>
      <xdr:col>25</xdr:col>
      <xdr:colOff>60613</xdr:colOff>
      <xdr:row>42</xdr:row>
      <xdr:rowOff>8659</xdr:rowOff>
    </xdr:to>
    <xdr:grpSp>
      <xdr:nvGrpSpPr>
        <xdr:cNvPr id="253" name="Group 252"/>
        <xdr:cNvGrpSpPr/>
      </xdr:nvGrpSpPr>
      <xdr:grpSpPr>
        <a:xfrm>
          <a:off x="4684568" y="9407847"/>
          <a:ext cx="199158" cy="204253"/>
          <a:chOff x="4797136" y="2861830"/>
          <a:chExt cx="199158" cy="199159"/>
        </a:xfrm>
      </xdr:grpSpPr>
      <xdr:sp macro="" textlink="">
        <xdr:nvSpPr>
          <xdr:cNvPr id="254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56" name="Rectangle 255"/>
        <xdr:cNvSpPr/>
      </xdr:nvSpPr>
      <xdr:spPr>
        <a:xfrm>
          <a:off x="1344383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0.0462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57" name="Rectangle 256"/>
        <xdr:cNvSpPr/>
      </xdr:nvSpPr>
      <xdr:spPr>
        <a:xfrm>
          <a:off x="2111817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0.0286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58" name="Rectangle 257"/>
        <xdr:cNvSpPr/>
      </xdr:nvSpPr>
      <xdr:spPr>
        <a:xfrm>
          <a:off x="2868371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0.0362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59" name="Rectangle 258"/>
        <xdr:cNvSpPr/>
      </xdr:nvSpPr>
      <xdr:spPr>
        <a:xfrm>
          <a:off x="6106881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0.0305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60" name="Rectangle 259"/>
        <xdr:cNvSpPr/>
      </xdr:nvSpPr>
      <xdr:spPr>
        <a:xfrm>
          <a:off x="6874315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0.0261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61" name="Rectangle 260"/>
        <xdr:cNvSpPr/>
      </xdr:nvSpPr>
      <xdr:spPr>
        <a:xfrm>
          <a:off x="7630869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0.0322</a:t>
          </a:r>
        </a:p>
      </xdr:txBody>
    </xdr:sp>
    <xdr:clientData/>
  </xdr:twoCellAnchor>
  <xdr:twoCellAnchor>
    <xdr:from>
      <xdr:col>7</xdr:col>
      <xdr:colOff>5440</xdr:colOff>
      <xdr:row>47</xdr:row>
      <xdr:rowOff>6804</xdr:rowOff>
    </xdr:from>
    <xdr:to>
      <xdr:col>10</xdr:col>
      <xdr:colOff>89805</xdr:colOff>
      <xdr:row>50</xdr:row>
      <xdr:rowOff>197304</xdr:rowOff>
    </xdr:to>
    <xdr:sp macro="" textlink="">
      <xdr:nvSpPr>
        <xdr:cNvPr id="262" name="Rectangle 261"/>
        <xdr:cNvSpPr/>
      </xdr:nvSpPr>
      <xdr:spPr>
        <a:xfrm>
          <a:off x="1344381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0.0521</a:t>
          </a:r>
        </a:p>
      </xdr:txBody>
    </xdr:sp>
    <xdr:clientData/>
  </xdr:twoCellAnchor>
  <xdr:twoCellAnchor>
    <xdr:from>
      <xdr:col>11</xdr:col>
      <xdr:colOff>8157</xdr:colOff>
      <xdr:row>47</xdr:row>
      <xdr:rowOff>6804</xdr:rowOff>
    </xdr:from>
    <xdr:to>
      <xdr:col>14</xdr:col>
      <xdr:colOff>92522</xdr:colOff>
      <xdr:row>50</xdr:row>
      <xdr:rowOff>197304</xdr:rowOff>
    </xdr:to>
    <xdr:sp macro="" textlink="">
      <xdr:nvSpPr>
        <xdr:cNvPr id="263" name="Rectangle 262"/>
        <xdr:cNvSpPr/>
      </xdr:nvSpPr>
      <xdr:spPr>
        <a:xfrm>
          <a:off x="2111815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0.0500</a:t>
          </a:r>
        </a:p>
      </xdr:txBody>
    </xdr:sp>
    <xdr:clientData/>
  </xdr:twoCellAnchor>
  <xdr:twoCellAnchor>
    <xdr:from>
      <xdr:col>15</xdr:col>
      <xdr:colOff>5434</xdr:colOff>
      <xdr:row>47</xdr:row>
      <xdr:rowOff>6804</xdr:rowOff>
    </xdr:from>
    <xdr:to>
      <xdr:col>18</xdr:col>
      <xdr:colOff>89799</xdr:colOff>
      <xdr:row>50</xdr:row>
      <xdr:rowOff>197304</xdr:rowOff>
    </xdr:to>
    <xdr:sp macro="" textlink="">
      <xdr:nvSpPr>
        <xdr:cNvPr id="264" name="Rectangle 263"/>
        <xdr:cNvSpPr/>
      </xdr:nvSpPr>
      <xdr:spPr>
        <a:xfrm>
          <a:off x="286836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0.0584</a:t>
          </a:r>
        </a:p>
      </xdr:txBody>
    </xdr:sp>
    <xdr:clientData/>
  </xdr:twoCellAnchor>
  <xdr:twoCellAnchor>
    <xdr:from>
      <xdr:col>32</xdr:col>
      <xdr:colOff>5439</xdr:colOff>
      <xdr:row>47</xdr:row>
      <xdr:rowOff>6804</xdr:rowOff>
    </xdr:from>
    <xdr:to>
      <xdr:col>35</xdr:col>
      <xdr:colOff>89804</xdr:colOff>
      <xdr:row>50</xdr:row>
      <xdr:rowOff>197304</xdr:rowOff>
    </xdr:to>
    <xdr:sp macro="" textlink="">
      <xdr:nvSpPr>
        <xdr:cNvPr id="265" name="Rectangle 264"/>
        <xdr:cNvSpPr/>
      </xdr:nvSpPr>
      <xdr:spPr>
        <a:xfrm>
          <a:off x="610687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0.0174</a:t>
          </a:r>
        </a:p>
      </xdr:txBody>
    </xdr:sp>
    <xdr:clientData/>
  </xdr:twoCellAnchor>
  <xdr:twoCellAnchor>
    <xdr:from>
      <xdr:col>36</xdr:col>
      <xdr:colOff>8156</xdr:colOff>
      <xdr:row>47</xdr:row>
      <xdr:rowOff>6804</xdr:rowOff>
    </xdr:from>
    <xdr:to>
      <xdr:col>39</xdr:col>
      <xdr:colOff>92521</xdr:colOff>
      <xdr:row>50</xdr:row>
      <xdr:rowOff>197304</xdr:rowOff>
    </xdr:to>
    <xdr:sp macro="" textlink="">
      <xdr:nvSpPr>
        <xdr:cNvPr id="266" name="Rectangle 265"/>
        <xdr:cNvSpPr/>
      </xdr:nvSpPr>
      <xdr:spPr>
        <a:xfrm>
          <a:off x="6874313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0.0174</a:t>
          </a:r>
        </a:p>
      </xdr:txBody>
    </xdr:sp>
    <xdr:clientData/>
  </xdr:twoCellAnchor>
  <xdr:twoCellAnchor>
    <xdr:from>
      <xdr:col>40</xdr:col>
      <xdr:colOff>5433</xdr:colOff>
      <xdr:row>47</xdr:row>
      <xdr:rowOff>6804</xdr:rowOff>
    </xdr:from>
    <xdr:to>
      <xdr:col>43</xdr:col>
      <xdr:colOff>89798</xdr:colOff>
      <xdr:row>50</xdr:row>
      <xdr:rowOff>197304</xdr:rowOff>
    </xdr:to>
    <xdr:sp macro="" textlink="">
      <xdr:nvSpPr>
        <xdr:cNvPr id="267" name="Rectangle 266"/>
        <xdr:cNvSpPr/>
      </xdr:nvSpPr>
      <xdr:spPr>
        <a:xfrm>
          <a:off x="7630867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0.0230</a:t>
          </a:r>
        </a:p>
      </xdr:txBody>
    </xdr:sp>
    <xdr:clientData/>
  </xdr:twoCellAnchor>
  <xdr:twoCellAnchor>
    <xdr:from>
      <xdr:col>36</xdr:col>
      <xdr:colOff>8156</xdr:colOff>
      <xdr:row>59</xdr:row>
      <xdr:rowOff>10886</xdr:rowOff>
    </xdr:from>
    <xdr:to>
      <xdr:col>39</xdr:col>
      <xdr:colOff>89807</xdr:colOff>
      <xdr:row>59</xdr:row>
      <xdr:rowOff>277586</xdr:rowOff>
    </xdr:to>
    <xdr:sp macro="" textlink="">
      <xdr:nvSpPr>
        <xdr:cNvPr id="268" name="Rectangle 267"/>
        <xdr:cNvSpPr/>
      </xdr:nvSpPr>
      <xdr:spPr>
        <a:xfrm>
          <a:off x="6874312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0.0193</a:t>
          </a:r>
        </a:p>
      </xdr:txBody>
    </xdr:sp>
    <xdr:clientData/>
  </xdr:twoCellAnchor>
  <xdr:twoCellAnchor>
    <xdr:from>
      <xdr:col>11</xdr:col>
      <xdr:colOff>8155</xdr:colOff>
      <xdr:row>59</xdr:row>
      <xdr:rowOff>10886</xdr:rowOff>
    </xdr:from>
    <xdr:to>
      <xdr:col>14</xdr:col>
      <xdr:colOff>89806</xdr:colOff>
      <xdr:row>59</xdr:row>
      <xdr:rowOff>277586</xdr:rowOff>
    </xdr:to>
    <xdr:sp macro="" textlink="">
      <xdr:nvSpPr>
        <xdr:cNvPr id="269" name="Rectangle 268"/>
        <xdr:cNvSpPr/>
      </xdr:nvSpPr>
      <xdr:spPr>
        <a:xfrm>
          <a:off x="2111810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0.0535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70" name="Rectangle 269"/>
        <xdr:cNvSpPr/>
      </xdr:nvSpPr>
      <xdr:spPr>
        <a:xfrm>
          <a:off x="6874312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0.0296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71" name="Rectangle 270"/>
        <xdr:cNvSpPr/>
      </xdr:nvSpPr>
      <xdr:spPr>
        <a:xfrm>
          <a:off x="2111810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0.0370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7"/>
  <sheetViews>
    <sheetView zoomScale="130" zoomScaleNormal="130" zoomScaleSheetLayoutView="115" workbookViewId="0">
      <selection activeCell="BD6" sqref="BD6:BI7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361" t="s">
        <v>70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3"/>
      <c r="X2" s="364" t="s">
        <v>154</v>
      </c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6"/>
      <c r="AN2" s="367" t="s">
        <v>158</v>
      </c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8"/>
    </row>
    <row r="3" spans="1:63" ht="21.75" customHeight="1">
      <c r="A3" s="369" t="s">
        <v>52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1"/>
      <c r="M3" s="372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4"/>
      <c r="AD3" s="375" t="s">
        <v>159</v>
      </c>
      <c r="AE3" s="376"/>
      <c r="AF3" s="376"/>
      <c r="AG3" s="376"/>
      <c r="AH3" s="376"/>
      <c r="AI3" s="376"/>
      <c r="AJ3" s="376"/>
      <c r="AK3" s="376"/>
      <c r="AL3" s="376"/>
      <c r="AM3" s="377"/>
      <c r="AN3" s="34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360"/>
    </row>
    <row r="4" spans="1:63" ht="21.75" customHeight="1">
      <c r="A4" s="352" t="s">
        <v>53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4"/>
      <c r="M4" s="355"/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  <c r="Z4" s="356"/>
      <c r="AA4" s="356"/>
      <c r="AB4" s="356"/>
      <c r="AC4" s="356"/>
      <c r="AD4" s="357" t="s">
        <v>72</v>
      </c>
      <c r="AE4" s="358"/>
      <c r="AF4" s="358"/>
      <c r="AG4" s="358"/>
      <c r="AH4" s="358"/>
      <c r="AI4" s="358"/>
      <c r="AJ4" s="358"/>
      <c r="AK4" s="358"/>
      <c r="AL4" s="358"/>
      <c r="AM4" s="359"/>
      <c r="AN4" s="34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360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33"/>
      <c r="N5" s="133"/>
      <c r="O5" s="133"/>
      <c r="P5" s="133"/>
      <c r="Q5" s="133"/>
      <c r="R5" s="133"/>
      <c r="S5" s="133"/>
      <c r="T5" s="133"/>
      <c r="U5" s="133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48"/>
      <c r="AG5" s="48"/>
      <c r="AH5" s="48"/>
      <c r="AI5" s="48"/>
      <c r="AJ5" s="48"/>
      <c r="AK5" s="48"/>
      <c r="AL5" s="48"/>
      <c r="AM5" s="48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134"/>
      <c r="N6" s="134"/>
      <c r="O6" s="134"/>
      <c r="V6" s="351" t="s">
        <v>90</v>
      </c>
      <c r="W6" s="351"/>
      <c r="X6" s="351"/>
      <c r="Y6" s="351"/>
      <c r="Z6" s="351" t="s">
        <v>91</v>
      </c>
      <c r="AA6" s="351"/>
      <c r="AB6" s="351"/>
      <c r="AC6" s="351"/>
      <c r="AD6" s="351" t="s">
        <v>92</v>
      </c>
      <c r="AE6" s="351"/>
      <c r="AF6" s="351"/>
      <c r="AG6" s="351"/>
      <c r="AH6" s="351" t="s">
        <v>94</v>
      </c>
      <c r="AI6" s="351"/>
      <c r="AJ6" s="351"/>
      <c r="AK6" s="351"/>
      <c r="AL6" s="48"/>
      <c r="AM6" s="48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351" t="s">
        <v>154</v>
      </c>
      <c r="BE6" s="351"/>
      <c r="BF6" s="351"/>
      <c r="BG6" s="351"/>
      <c r="BH6" s="351"/>
      <c r="BI6" s="351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351"/>
      <c r="AH7" s="351"/>
      <c r="AI7" s="351"/>
      <c r="AJ7" s="351"/>
      <c r="AK7" s="351"/>
      <c r="AZ7" s="3"/>
      <c r="BA7" s="3"/>
      <c r="BB7" s="3"/>
      <c r="BC7" s="3"/>
      <c r="BD7" s="386"/>
      <c r="BE7" s="386"/>
      <c r="BF7" s="386"/>
      <c r="BG7" s="386"/>
      <c r="BH7" s="386"/>
      <c r="BI7" s="386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194" t="s">
        <v>45</v>
      </c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6"/>
      <c r="AX8" s="190" t="s">
        <v>29</v>
      </c>
      <c r="AY8" s="190"/>
      <c r="AZ8" s="190"/>
      <c r="BA8" s="190"/>
      <c r="BB8" s="189" t="s">
        <v>0</v>
      </c>
      <c r="BC8" s="189"/>
      <c r="BD8" s="189"/>
      <c r="BE8" s="189"/>
      <c r="BF8" s="345"/>
      <c r="BG8" s="195"/>
      <c r="BH8" s="195"/>
      <c r="BI8" s="346"/>
      <c r="BJ8" s="4"/>
    </row>
    <row r="9" spans="1:63" ht="16.5" customHeight="1">
      <c r="A9" s="2"/>
      <c r="B9" s="313" t="s">
        <v>38</v>
      </c>
      <c r="C9" s="313"/>
      <c r="D9" s="313"/>
      <c r="E9" s="313"/>
      <c r="F9" s="313"/>
      <c r="G9" s="313"/>
      <c r="H9" s="313"/>
      <c r="I9" s="313" t="s">
        <v>39</v>
      </c>
      <c r="J9" s="313"/>
      <c r="K9" s="313"/>
      <c r="L9" s="313"/>
      <c r="M9" s="313"/>
      <c r="N9" s="313"/>
      <c r="O9" s="313"/>
      <c r="P9" s="313" t="s">
        <v>40</v>
      </c>
      <c r="Q9" s="313"/>
      <c r="R9" s="313"/>
      <c r="S9" s="313"/>
      <c r="T9" s="313"/>
      <c r="U9" s="313"/>
      <c r="V9" s="269" t="s">
        <v>41</v>
      </c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1"/>
      <c r="AO9" s="347" t="s">
        <v>48</v>
      </c>
      <c r="AP9" s="182"/>
      <c r="AQ9" s="182"/>
      <c r="AR9" s="182"/>
      <c r="AS9" s="182"/>
      <c r="AT9" s="182"/>
      <c r="AU9" s="348"/>
      <c r="AV9" s="287" t="s">
        <v>136</v>
      </c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1"/>
      <c r="BJ9" s="4"/>
    </row>
    <row r="10" spans="1:63" ht="16.5" customHeight="1">
      <c r="A10" s="2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230" t="s">
        <v>42</v>
      </c>
      <c r="W10" s="231"/>
      <c r="X10" s="231"/>
      <c r="Y10" s="231"/>
      <c r="Z10" s="231"/>
      <c r="AA10" s="231"/>
      <c r="AB10" s="231"/>
      <c r="AC10" s="231"/>
      <c r="AD10" s="339"/>
      <c r="AE10" s="316" t="s">
        <v>83</v>
      </c>
      <c r="AF10" s="231"/>
      <c r="AG10" s="231"/>
      <c r="AH10" s="339"/>
      <c r="AI10" s="220" t="s">
        <v>44</v>
      </c>
      <c r="AJ10" s="220"/>
      <c r="AK10" s="220"/>
      <c r="AL10" s="220"/>
      <c r="AM10" s="220"/>
      <c r="AN10" s="223"/>
      <c r="AO10" s="349"/>
      <c r="AP10" s="143"/>
      <c r="AQ10" s="143"/>
      <c r="AR10" s="143"/>
      <c r="AS10" s="143"/>
      <c r="AT10" s="143"/>
      <c r="AU10" s="350"/>
      <c r="AV10" s="219" t="s">
        <v>95</v>
      </c>
      <c r="AW10" s="220"/>
      <c r="AX10" s="220"/>
      <c r="AY10" s="220"/>
      <c r="AZ10" s="220"/>
      <c r="BA10" s="220"/>
      <c r="BB10" s="220"/>
      <c r="BC10" s="220" t="s">
        <v>54</v>
      </c>
      <c r="BD10" s="220"/>
      <c r="BE10" s="220"/>
      <c r="BF10" s="220"/>
      <c r="BG10" s="220"/>
      <c r="BH10" s="220"/>
      <c r="BI10" s="223"/>
      <c r="BJ10" s="4"/>
    </row>
    <row r="11" spans="1:63" ht="16.5" customHeight="1">
      <c r="A11" s="2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03" t="s">
        <v>1</v>
      </c>
      <c r="W11" s="304"/>
      <c r="X11" s="304"/>
      <c r="Y11" s="304"/>
      <c r="Z11" s="304"/>
      <c r="AA11" s="304"/>
      <c r="AB11" s="304"/>
      <c r="AC11" s="304"/>
      <c r="AD11" s="343"/>
      <c r="AE11" s="344" t="s">
        <v>46</v>
      </c>
      <c r="AF11" s="304"/>
      <c r="AG11" s="304"/>
      <c r="AH11" s="343"/>
      <c r="AI11" s="254" t="s">
        <v>47</v>
      </c>
      <c r="AJ11" s="254"/>
      <c r="AK11" s="254"/>
      <c r="AL11" s="254"/>
      <c r="AM11" s="254"/>
      <c r="AN11" s="255"/>
      <c r="AO11" s="303" t="s">
        <v>2</v>
      </c>
      <c r="AP11" s="304"/>
      <c r="AQ11" s="304"/>
      <c r="AR11" s="304"/>
      <c r="AS11" s="304"/>
      <c r="AT11" s="304"/>
      <c r="AU11" s="305"/>
      <c r="AV11" s="270" t="s">
        <v>55</v>
      </c>
      <c r="AW11" s="254"/>
      <c r="AX11" s="254"/>
      <c r="AY11" s="254"/>
      <c r="AZ11" s="254"/>
      <c r="BA11" s="254"/>
      <c r="BB11" s="344"/>
      <c r="BC11" s="254" t="s">
        <v>55</v>
      </c>
      <c r="BD11" s="254"/>
      <c r="BE11" s="254"/>
      <c r="BF11" s="254"/>
      <c r="BG11" s="254"/>
      <c r="BH11" s="254"/>
      <c r="BI11" s="255"/>
      <c r="BJ11" s="4"/>
    </row>
    <row r="12" spans="1:63" ht="16.5" customHeight="1">
      <c r="A12" s="2"/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228" t="s">
        <v>3</v>
      </c>
      <c r="W12" s="156"/>
      <c r="X12" s="156"/>
      <c r="Y12" s="156"/>
      <c r="Z12" s="156"/>
      <c r="AA12" s="156"/>
      <c r="AB12" s="156"/>
      <c r="AC12" s="156"/>
      <c r="AD12" s="157"/>
      <c r="AE12" s="155" t="s">
        <v>4</v>
      </c>
      <c r="AF12" s="156"/>
      <c r="AG12" s="156"/>
      <c r="AH12" s="157"/>
      <c r="AI12" s="216" t="s">
        <v>0</v>
      </c>
      <c r="AJ12" s="216"/>
      <c r="AK12" s="216"/>
      <c r="AL12" s="216"/>
      <c r="AM12" s="216"/>
      <c r="AN12" s="217"/>
      <c r="AO12" s="228" t="s">
        <v>5</v>
      </c>
      <c r="AP12" s="156"/>
      <c r="AQ12" s="156"/>
      <c r="AR12" s="156"/>
      <c r="AS12" s="156"/>
      <c r="AT12" s="156"/>
      <c r="AU12" s="229"/>
      <c r="AV12" s="218" t="s">
        <v>51</v>
      </c>
      <c r="AW12" s="216"/>
      <c r="AX12" s="216"/>
      <c r="AY12" s="216"/>
      <c r="AZ12" s="216"/>
      <c r="BA12" s="216"/>
      <c r="BB12" s="216"/>
      <c r="BC12" s="216" t="s">
        <v>51</v>
      </c>
      <c r="BD12" s="216"/>
      <c r="BE12" s="216"/>
      <c r="BF12" s="216"/>
      <c r="BG12" s="216"/>
      <c r="BH12" s="216"/>
      <c r="BI12" s="217"/>
      <c r="BJ12" s="4"/>
    </row>
    <row r="13" spans="1:63" ht="16.5" customHeight="1">
      <c r="A13" s="2"/>
      <c r="B13" s="297"/>
      <c r="C13" s="297"/>
      <c r="D13" s="297"/>
      <c r="E13" s="297"/>
      <c r="F13" s="297"/>
      <c r="G13" s="297"/>
      <c r="H13" s="297"/>
      <c r="I13" s="299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340"/>
      <c r="W13" s="341"/>
      <c r="X13" s="341"/>
      <c r="Y13" s="341"/>
      <c r="Z13" s="341"/>
      <c r="AA13" s="341"/>
      <c r="AB13" s="341"/>
      <c r="AC13" s="341"/>
      <c r="AD13" s="341"/>
      <c r="AE13" s="260"/>
      <c r="AF13" s="260"/>
      <c r="AG13" s="260"/>
      <c r="AH13" s="260"/>
      <c r="AI13" s="259"/>
      <c r="AJ13" s="259"/>
      <c r="AK13" s="259"/>
      <c r="AL13" s="259"/>
      <c r="AM13" s="259"/>
      <c r="AN13" s="300"/>
      <c r="AO13" s="327"/>
      <c r="AP13" s="328"/>
      <c r="AQ13" s="328"/>
      <c r="AR13" s="328"/>
      <c r="AS13" s="328"/>
      <c r="AT13" s="328"/>
      <c r="AU13" s="329"/>
      <c r="AV13" s="258"/>
      <c r="AW13" s="259"/>
      <c r="AX13" s="259"/>
      <c r="AY13" s="259"/>
      <c r="AZ13" s="259"/>
      <c r="BA13" s="259"/>
      <c r="BB13" s="259"/>
      <c r="BC13" s="268"/>
      <c r="BD13" s="268"/>
      <c r="BE13" s="268"/>
      <c r="BF13" s="268"/>
      <c r="BG13" s="268"/>
      <c r="BH13" s="268"/>
      <c r="BI13" s="330"/>
      <c r="BJ13" s="4"/>
      <c r="BK13" s="1" t="e">
        <f>ROUND(VLOOKUP(AE13,'Measurement Act'!$A$4:$C$207,3),2)</f>
        <v>#N/A</v>
      </c>
    </row>
    <row r="14" spans="1:63" ht="16.5" customHeight="1">
      <c r="A14" s="2"/>
      <c r="B14" s="292"/>
      <c r="C14" s="292"/>
      <c r="D14" s="292"/>
      <c r="E14" s="292"/>
      <c r="F14" s="292"/>
      <c r="G14" s="292"/>
      <c r="H14" s="292"/>
      <c r="I14" s="291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334"/>
      <c r="W14" s="335"/>
      <c r="X14" s="335"/>
      <c r="Y14" s="335"/>
      <c r="Z14" s="335"/>
      <c r="AA14" s="335"/>
      <c r="AB14" s="335"/>
      <c r="AC14" s="335"/>
      <c r="AD14" s="335"/>
      <c r="AE14" s="220"/>
      <c r="AF14" s="220"/>
      <c r="AG14" s="220"/>
      <c r="AH14" s="220"/>
      <c r="AI14" s="222"/>
      <c r="AJ14" s="222"/>
      <c r="AK14" s="222"/>
      <c r="AL14" s="222"/>
      <c r="AM14" s="222"/>
      <c r="AN14" s="293"/>
      <c r="AO14" s="336"/>
      <c r="AP14" s="337"/>
      <c r="AQ14" s="337"/>
      <c r="AR14" s="337"/>
      <c r="AS14" s="337"/>
      <c r="AT14" s="337"/>
      <c r="AU14" s="338"/>
      <c r="AV14" s="230"/>
      <c r="AW14" s="231"/>
      <c r="AX14" s="231"/>
      <c r="AY14" s="231"/>
      <c r="AZ14" s="231"/>
      <c r="BA14" s="231"/>
      <c r="BB14" s="339"/>
      <c r="BC14" s="247"/>
      <c r="BD14" s="247"/>
      <c r="BE14" s="247"/>
      <c r="BF14" s="247"/>
      <c r="BG14" s="247"/>
      <c r="BH14" s="247"/>
      <c r="BI14" s="331"/>
      <c r="BJ14" s="4"/>
      <c r="BK14" s="1" t="e">
        <f>ROUND(VLOOKUP(AE14,'Measurement Act'!$A$4:$C$207,3),2)</f>
        <v>#N/A</v>
      </c>
    </row>
    <row r="15" spans="1:63" ht="16.5" customHeight="1">
      <c r="A15" s="2"/>
      <c r="B15" s="298"/>
      <c r="C15" s="298"/>
      <c r="D15" s="298"/>
      <c r="E15" s="298"/>
      <c r="F15" s="298"/>
      <c r="G15" s="298"/>
      <c r="H15" s="298"/>
      <c r="I15" s="342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301"/>
      <c r="W15" s="271"/>
      <c r="X15" s="271"/>
      <c r="Y15" s="271"/>
      <c r="Z15" s="271"/>
      <c r="AA15" s="271"/>
      <c r="AB15" s="271"/>
      <c r="AC15" s="271"/>
      <c r="AD15" s="271"/>
      <c r="AE15" s="216"/>
      <c r="AF15" s="216"/>
      <c r="AG15" s="216"/>
      <c r="AH15" s="216"/>
      <c r="AI15" s="271"/>
      <c r="AJ15" s="271"/>
      <c r="AK15" s="271"/>
      <c r="AL15" s="271"/>
      <c r="AM15" s="271"/>
      <c r="AN15" s="272"/>
      <c r="AO15" s="317"/>
      <c r="AP15" s="318"/>
      <c r="AQ15" s="318"/>
      <c r="AR15" s="318"/>
      <c r="AS15" s="318"/>
      <c r="AT15" s="318"/>
      <c r="AU15" s="319"/>
      <c r="AV15" s="228" t="str">
        <f t="shared" ref="AV15" si="0">IF(V15="","",ROUND(AO15/18.02*2447/(AO15/18.02*24.47+V15*298.15/101.32*($BF$8+AI15-BK15)/(273.15+AE15)),1))</f>
        <v/>
      </c>
      <c r="AW15" s="156"/>
      <c r="AX15" s="156"/>
      <c r="AY15" s="156"/>
      <c r="AZ15" s="156"/>
      <c r="BA15" s="156"/>
      <c r="BB15" s="157"/>
      <c r="BC15" s="332"/>
      <c r="BD15" s="332"/>
      <c r="BE15" s="332"/>
      <c r="BF15" s="332"/>
      <c r="BG15" s="332"/>
      <c r="BH15" s="332"/>
      <c r="BI15" s="333"/>
      <c r="BJ15" s="4"/>
      <c r="BK15" s="1" t="e">
        <f>ROUND(VLOOKUP(AE15,'Measurement Act'!$A$4:$C$207,3),2)</f>
        <v>#N/A</v>
      </c>
    </row>
    <row r="16" spans="1:63" ht="16.5" customHeight="1">
      <c r="A16" s="2"/>
      <c r="B16" s="161" t="s">
        <v>49</v>
      </c>
      <c r="C16" s="162"/>
      <c r="D16" s="162"/>
      <c r="E16" s="162"/>
      <c r="F16" s="162"/>
      <c r="G16" s="162"/>
      <c r="H16" s="163"/>
      <c r="I16" s="320" t="s">
        <v>41</v>
      </c>
      <c r="J16" s="185"/>
      <c r="K16" s="185"/>
      <c r="L16" s="185"/>
      <c r="M16" s="185"/>
      <c r="N16" s="185"/>
      <c r="O16" s="186"/>
      <c r="P16" s="180" t="s">
        <v>386</v>
      </c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321"/>
      <c r="AI16" s="322" t="s">
        <v>89</v>
      </c>
      <c r="AJ16" s="200"/>
      <c r="AK16" s="200"/>
      <c r="AL16" s="200"/>
      <c r="AM16" s="200"/>
      <c r="AN16" s="200"/>
      <c r="AO16" s="200"/>
      <c r="AP16" s="200"/>
      <c r="AQ16" s="200"/>
      <c r="AR16" s="235"/>
      <c r="AS16" s="323" t="s">
        <v>384</v>
      </c>
      <c r="AT16" s="324"/>
      <c r="AU16" s="324"/>
      <c r="AV16" s="324"/>
      <c r="AW16" s="324"/>
      <c r="AX16" s="324"/>
      <c r="AY16" s="324"/>
      <c r="AZ16" s="324"/>
      <c r="BA16" s="324"/>
      <c r="BB16" s="324"/>
      <c r="BC16" s="324"/>
      <c r="BD16" s="324"/>
      <c r="BE16" s="324"/>
      <c r="BF16" s="324"/>
      <c r="BG16" s="324"/>
      <c r="BH16" s="324"/>
      <c r="BI16" s="325"/>
      <c r="BJ16" s="4"/>
    </row>
    <row r="17" spans="1:62" ht="16.5" customHeight="1">
      <c r="A17" s="2"/>
      <c r="B17" s="167"/>
      <c r="C17" s="168"/>
      <c r="D17" s="168"/>
      <c r="E17" s="168"/>
      <c r="F17" s="168"/>
      <c r="G17" s="168"/>
      <c r="H17" s="169"/>
      <c r="I17" s="228" t="s">
        <v>50</v>
      </c>
      <c r="J17" s="156"/>
      <c r="K17" s="156"/>
      <c r="L17" s="156"/>
      <c r="M17" s="156"/>
      <c r="N17" s="156"/>
      <c r="O17" s="157"/>
      <c r="P17" s="152" t="s">
        <v>383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326"/>
      <c r="AI17" s="155"/>
      <c r="AJ17" s="156"/>
      <c r="AK17" s="156"/>
      <c r="AL17" s="156"/>
      <c r="AM17" s="156"/>
      <c r="AN17" s="156"/>
      <c r="AO17" s="156"/>
      <c r="AP17" s="156"/>
      <c r="AQ17" s="156"/>
      <c r="AR17" s="157"/>
      <c r="AS17" s="306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8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170" t="s">
        <v>57</v>
      </c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309"/>
      <c r="BJ19" s="4"/>
    </row>
    <row r="20" spans="1:62" ht="15" customHeight="1">
      <c r="A20" s="2"/>
      <c r="B20" s="313" t="s">
        <v>38</v>
      </c>
      <c r="C20" s="313"/>
      <c r="D20" s="313"/>
      <c r="E20" s="313"/>
      <c r="F20" s="313"/>
      <c r="G20" s="313"/>
      <c r="H20" s="313"/>
      <c r="I20" s="313" t="s">
        <v>39</v>
      </c>
      <c r="J20" s="313"/>
      <c r="K20" s="313"/>
      <c r="L20" s="313"/>
      <c r="M20" s="313"/>
      <c r="N20" s="313"/>
      <c r="O20" s="313"/>
      <c r="P20" s="269" t="s">
        <v>56</v>
      </c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184"/>
      <c r="AR20" s="310"/>
      <c r="AS20" s="311"/>
      <c r="AT20" s="311"/>
      <c r="AU20" s="311"/>
      <c r="AV20" s="311"/>
      <c r="AW20" s="311"/>
      <c r="AX20" s="311"/>
      <c r="AY20" s="311"/>
      <c r="AZ20" s="311"/>
      <c r="BA20" s="311"/>
      <c r="BB20" s="311"/>
      <c r="BC20" s="311"/>
      <c r="BD20" s="311"/>
      <c r="BE20" s="311"/>
      <c r="BF20" s="311"/>
      <c r="BG20" s="311"/>
      <c r="BH20" s="311"/>
      <c r="BI20" s="312"/>
      <c r="BJ20" s="4"/>
    </row>
    <row r="21" spans="1:62" ht="15" customHeight="1">
      <c r="A21" s="2"/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219" t="s">
        <v>30</v>
      </c>
      <c r="Q21" s="220"/>
      <c r="R21" s="220"/>
      <c r="S21" s="220"/>
      <c r="T21" s="220"/>
      <c r="U21" s="220"/>
      <c r="V21" s="220"/>
      <c r="W21" s="220" t="s">
        <v>31</v>
      </c>
      <c r="X21" s="220"/>
      <c r="Y21" s="220"/>
      <c r="Z21" s="220"/>
      <c r="AA21" s="220"/>
      <c r="AB21" s="220"/>
      <c r="AC21" s="220"/>
      <c r="AD21" s="220" t="s">
        <v>7</v>
      </c>
      <c r="AE21" s="220"/>
      <c r="AF21" s="220"/>
      <c r="AG21" s="220"/>
      <c r="AH21" s="220"/>
      <c r="AI21" s="220"/>
      <c r="AJ21" s="220"/>
      <c r="AK21" s="220" t="s">
        <v>32</v>
      </c>
      <c r="AL21" s="220"/>
      <c r="AM21" s="220"/>
      <c r="AN21" s="220"/>
      <c r="AO21" s="220"/>
      <c r="AP21" s="220"/>
      <c r="AQ21" s="316"/>
      <c r="AR21" s="303" t="s">
        <v>93</v>
      </c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5"/>
      <c r="BJ21" s="4"/>
    </row>
    <row r="22" spans="1:62" ht="15" customHeight="1">
      <c r="A22" s="2"/>
      <c r="B22" s="315"/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218" t="s">
        <v>51</v>
      </c>
      <c r="Q22" s="216"/>
      <c r="R22" s="216"/>
      <c r="S22" s="216"/>
      <c r="T22" s="216"/>
      <c r="U22" s="216"/>
      <c r="V22" s="216"/>
      <c r="W22" s="216" t="s">
        <v>51</v>
      </c>
      <c r="X22" s="216"/>
      <c r="Y22" s="216"/>
      <c r="Z22" s="216"/>
      <c r="AA22" s="216"/>
      <c r="AB22" s="216"/>
      <c r="AC22" s="216"/>
      <c r="AD22" s="216" t="s">
        <v>51</v>
      </c>
      <c r="AE22" s="216"/>
      <c r="AF22" s="216"/>
      <c r="AG22" s="216"/>
      <c r="AH22" s="216"/>
      <c r="AI22" s="216"/>
      <c r="AJ22" s="216"/>
      <c r="AK22" s="216" t="s">
        <v>51</v>
      </c>
      <c r="AL22" s="216"/>
      <c r="AM22" s="216"/>
      <c r="AN22" s="216"/>
      <c r="AO22" s="216"/>
      <c r="AP22" s="216"/>
      <c r="AQ22" s="155"/>
      <c r="AR22" s="228" t="s">
        <v>368</v>
      </c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229"/>
      <c r="BJ22" s="4"/>
    </row>
    <row r="23" spans="1:62" ht="15" customHeight="1">
      <c r="A23" s="2"/>
      <c r="B23" s="297"/>
      <c r="C23" s="297"/>
      <c r="D23" s="297"/>
      <c r="E23" s="297"/>
      <c r="F23" s="297"/>
      <c r="G23" s="297"/>
      <c r="H23" s="297"/>
      <c r="I23" s="299"/>
      <c r="J23" s="297"/>
      <c r="K23" s="297"/>
      <c r="L23" s="297"/>
      <c r="M23" s="297"/>
      <c r="N23" s="297"/>
      <c r="O23" s="297"/>
      <c r="P23" s="269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59"/>
      <c r="AL23" s="259"/>
      <c r="AM23" s="259"/>
      <c r="AN23" s="259"/>
      <c r="AO23" s="259"/>
      <c r="AP23" s="259"/>
      <c r="AQ23" s="300"/>
      <c r="AR23" s="288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90"/>
      <c r="BJ23" s="4"/>
    </row>
    <row r="24" spans="1:62" ht="15" customHeight="1">
      <c r="A24" s="2"/>
      <c r="B24" s="292"/>
      <c r="C24" s="292"/>
      <c r="D24" s="292"/>
      <c r="E24" s="292"/>
      <c r="F24" s="292"/>
      <c r="G24" s="292"/>
      <c r="H24" s="292"/>
      <c r="I24" s="291"/>
      <c r="J24" s="292"/>
      <c r="K24" s="292"/>
      <c r="L24" s="292"/>
      <c r="M24" s="292"/>
      <c r="N24" s="292"/>
      <c r="O24" s="292"/>
      <c r="P24" s="219"/>
      <c r="Q24" s="220"/>
      <c r="R24" s="220"/>
      <c r="S24" s="220"/>
      <c r="T24" s="220"/>
      <c r="U24" s="220"/>
      <c r="V24" s="220"/>
      <c r="W24" s="222"/>
      <c r="X24" s="222"/>
      <c r="Y24" s="222"/>
      <c r="Z24" s="222"/>
      <c r="AA24" s="222"/>
      <c r="AB24" s="222"/>
      <c r="AC24" s="222"/>
      <c r="AD24" s="220"/>
      <c r="AE24" s="220"/>
      <c r="AF24" s="220"/>
      <c r="AG24" s="220"/>
      <c r="AH24" s="220"/>
      <c r="AI24" s="220"/>
      <c r="AJ24" s="220"/>
      <c r="AK24" s="222"/>
      <c r="AL24" s="222"/>
      <c r="AM24" s="222"/>
      <c r="AN24" s="222"/>
      <c r="AO24" s="222"/>
      <c r="AP24" s="222"/>
      <c r="AQ24" s="293"/>
      <c r="AR24" s="294"/>
      <c r="AS24" s="295"/>
      <c r="AT24" s="295"/>
      <c r="AU24" s="295"/>
      <c r="AV24" s="295"/>
      <c r="AW24" s="295"/>
      <c r="AX24" s="295"/>
      <c r="AY24" s="295"/>
      <c r="AZ24" s="295"/>
      <c r="BA24" s="295"/>
      <c r="BB24" s="295"/>
      <c r="BC24" s="295"/>
      <c r="BD24" s="295"/>
      <c r="BE24" s="295"/>
      <c r="BF24" s="295"/>
      <c r="BG24" s="295"/>
      <c r="BH24" s="295"/>
      <c r="BI24" s="296"/>
      <c r="BJ24" s="4"/>
    </row>
    <row r="25" spans="1:62" ht="15" customHeight="1">
      <c r="A25" s="2"/>
      <c r="B25" s="298"/>
      <c r="C25" s="298"/>
      <c r="D25" s="298"/>
      <c r="E25" s="298"/>
      <c r="F25" s="298"/>
      <c r="G25" s="298"/>
      <c r="H25" s="298"/>
      <c r="I25" s="298" t="s">
        <v>54</v>
      </c>
      <c r="J25" s="298"/>
      <c r="K25" s="298"/>
      <c r="L25" s="298"/>
      <c r="M25" s="298"/>
      <c r="N25" s="298"/>
      <c r="O25" s="298"/>
      <c r="P25" s="301"/>
      <c r="Q25" s="271"/>
      <c r="R25" s="271"/>
      <c r="S25" s="271"/>
      <c r="T25" s="271"/>
      <c r="U25" s="271"/>
      <c r="V25" s="302"/>
      <c r="W25" s="271"/>
      <c r="X25" s="271"/>
      <c r="Y25" s="271"/>
      <c r="Z25" s="271"/>
      <c r="AA25" s="271"/>
      <c r="AB25" s="271"/>
      <c r="AC25" s="271"/>
      <c r="AD25" s="216"/>
      <c r="AE25" s="216"/>
      <c r="AF25" s="216"/>
      <c r="AG25" s="216"/>
      <c r="AH25" s="216"/>
      <c r="AI25" s="216"/>
      <c r="AJ25" s="216"/>
      <c r="AK25" s="271"/>
      <c r="AL25" s="271"/>
      <c r="AM25" s="271"/>
      <c r="AN25" s="271"/>
      <c r="AO25" s="271"/>
      <c r="AP25" s="271"/>
      <c r="AQ25" s="272"/>
      <c r="AR25" s="273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5"/>
      <c r="BJ25" s="4"/>
    </row>
    <row r="26" spans="1:62" ht="30" customHeight="1">
      <c r="A26" s="2"/>
      <c r="B26" s="276" t="s">
        <v>49</v>
      </c>
      <c r="C26" s="277"/>
      <c r="D26" s="277"/>
      <c r="E26" s="277"/>
      <c r="F26" s="277"/>
      <c r="G26" s="277"/>
      <c r="H26" s="278"/>
      <c r="I26" s="279" t="s">
        <v>102</v>
      </c>
      <c r="J26" s="280"/>
      <c r="K26" s="280"/>
      <c r="L26" s="280"/>
      <c r="M26" s="280"/>
      <c r="N26" s="280"/>
      <c r="O26" s="281"/>
      <c r="P26" s="282" t="s">
        <v>157</v>
      </c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132"/>
      <c r="AJ26" s="130"/>
      <c r="AK26" s="49"/>
      <c r="AL26" s="132"/>
      <c r="AM26" s="132"/>
      <c r="AN26" s="132"/>
      <c r="AO26" s="132"/>
      <c r="AP26" s="132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170" t="s">
        <v>58</v>
      </c>
      <c r="C29" s="200"/>
      <c r="D29" s="200"/>
      <c r="E29" s="200"/>
      <c r="F29" s="200"/>
      <c r="G29" s="201"/>
      <c r="H29" s="287" t="s">
        <v>59</v>
      </c>
      <c r="I29" s="260"/>
      <c r="J29" s="260"/>
      <c r="K29" s="260"/>
      <c r="L29" s="260"/>
      <c r="M29" s="260"/>
      <c r="N29" s="260"/>
      <c r="O29" s="261"/>
      <c r="P29" s="287" t="s">
        <v>60</v>
      </c>
      <c r="Q29" s="260"/>
      <c r="R29" s="260"/>
      <c r="S29" s="260"/>
      <c r="T29" s="260"/>
      <c r="U29" s="260"/>
      <c r="V29" s="260"/>
      <c r="W29" s="261"/>
      <c r="X29" s="269" t="s">
        <v>43</v>
      </c>
      <c r="Y29" s="260"/>
      <c r="Z29" s="260"/>
      <c r="AA29" s="260"/>
      <c r="AB29" s="260"/>
      <c r="AC29" s="260"/>
      <c r="AD29" s="260"/>
      <c r="AE29" s="261"/>
      <c r="AF29" s="287" t="s">
        <v>61</v>
      </c>
      <c r="AG29" s="260"/>
      <c r="AH29" s="260"/>
      <c r="AI29" s="260"/>
      <c r="AJ29" s="260"/>
      <c r="AK29" s="260"/>
      <c r="AL29" s="260"/>
      <c r="AM29" s="261"/>
      <c r="AN29" s="269" t="s">
        <v>62</v>
      </c>
      <c r="AO29" s="260"/>
      <c r="AP29" s="260"/>
      <c r="AQ29" s="260"/>
      <c r="AR29" s="260"/>
      <c r="AS29" s="260"/>
      <c r="AT29" s="260"/>
      <c r="AU29" s="261"/>
      <c r="AV29" s="269" t="s">
        <v>63</v>
      </c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1"/>
      <c r="BJ29" s="4"/>
    </row>
    <row r="30" spans="1:62" ht="15" customHeight="1">
      <c r="A30" s="2"/>
      <c r="B30" s="248"/>
      <c r="C30" s="249"/>
      <c r="D30" s="249"/>
      <c r="E30" s="249"/>
      <c r="F30" s="249"/>
      <c r="G30" s="283"/>
      <c r="H30" s="219"/>
      <c r="I30" s="220"/>
      <c r="J30" s="220"/>
      <c r="K30" s="220"/>
      <c r="L30" s="220"/>
      <c r="M30" s="220"/>
      <c r="N30" s="220"/>
      <c r="O30" s="223"/>
      <c r="P30" s="270" t="s">
        <v>96</v>
      </c>
      <c r="Q30" s="254"/>
      <c r="R30" s="254"/>
      <c r="S30" s="254"/>
      <c r="T30" s="254"/>
      <c r="U30" s="254"/>
      <c r="V30" s="254"/>
      <c r="W30" s="255"/>
      <c r="X30" s="270" t="s">
        <v>97</v>
      </c>
      <c r="Y30" s="254"/>
      <c r="Z30" s="254"/>
      <c r="AA30" s="254"/>
      <c r="AB30" s="254"/>
      <c r="AC30" s="254"/>
      <c r="AD30" s="254"/>
      <c r="AE30" s="255"/>
      <c r="AF30" s="270" t="s">
        <v>98</v>
      </c>
      <c r="AG30" s="254"/>
      <c r="AH30" s="254"/>
      <c r="AI30" s="254"/>
      <c r="AJ30" s="254"/>
      <c r="AK30" s="254"/>
      <c r="AL30" s="254"/>
      <c r="AM30" s="255"/>
      <c r="AN30" s="270" t="s">
        <v>8</v>
      </c>
      <c r="AO30" s="254"/>
      <c r="AP30" s="254"/>
      <c r="AQ30" s="254"/>
      <c r="AR30" s="254"/>
      <c r="AS30" s="254"/>
      <c r="AT30" s="254"/>
      <c r="AU30" s="255"/>
      <c r="AV30" s="270" t="s">
        <v>156</v>
      </c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5"/>
      <c r="BJ30" s="4"/>
    </row>
    <row r="31" spans="1:62" ht="15" customHeight="1">
      <c r="A31" s="2"/>
      <c r="B31" s="248"/>
      <c r="C31" s="249"/>
      <c r="D31" s="249"/>
      <c r="E31" s="249"/>
      <c r="F31" s="249"/>
      <c r="G31" s="283"/>
      <c r="H31" s="219"/>
      <c r="I31" s="220"/>
      <c r="J31" s="220"/>
      <c r="K31" s="220"/>
      <c r="L31" s="220"/>
      <c r="M31" s="220"/>
      <c r="N31" s="220"/>
      <c r="O31" s="223"/>
      <c r="P31" s="219" t="s">
        <v>9</v>
      </c>
      <c r="Q31" s="220"/>
      <c r="R31" s="220"/>
      <c r="S31" s="220"/>
      <c r="T31" s="220"/>
      <c r="U31" s="220"/>
      <c r="V31" s="220"/>
      <c r="W31" s="223"/>
      <c r="X31" s="219" t="s">
        <v>357</v>
      </c>
      <c r="Y31" s="220"/>
      <c r="Z31" s="220"/>
      <c r="AA31" s="220"/>
      <c r="AB31" s="220"/>
      <c r="AC31" s="220"/>
      <c r="AD31" s="220"/>
      <c r="AE31" s="223"/>
      <c r="AF31" s="219" t="s">
        <v>0</v>
      </c>
      <c r="AG31" s="220"/>
      <c r="AH31" s="220"/>
      <c r="AI31" s="220"/>
      <c r="AJ31" s="220"/>
      <c r="AK31" s="220"/>
      <c r="AL31" s="220"/>
      <c r="AM31" s="223"/>
      <c r="AN31" s="219" t="s">
        <v>10</v>
      </c>
      <c r="AO31" s="220"/>
      <c r="AP31" s="220"/>
      <c r="AQ31" s="220"/>
      <c r="AR31" s="220"/>
      <c r="AS31" s="220"/>
      <c r="AT31" s="220"/>
      <c r="AU31" s="223"/>
      <c r="AV31" s="219" t="s">
        <v>33</v>
      </c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3"/>
      <c r="BJ31" s="4"/>
    </row>
    <row r="32" spans="1:62" ht="15" customHeight="1">
      <c r="A32" s="2"/>
      <c r="B32" s="284"/>
      <c r="C32" s="285"/>
      <c r="D32" s="285"/>
      <c r="E32" s="285"/>
      <c r="F32" s="285"/>
      <c r="G32" s="286"/>
      <c r="H32" s="218" t="s">
        <v>11</v>
      </c>
      <c r="I32" s="216"/>
      <c r="J32" s="216"/>
      <c r="K32" s="216"/>
      <c r="L32" s="216" t="s">
        <v>12</v>
      </c>
      <c r="M32" s="216"/>
      <c r="N32" s="216"/>
      <c r="O32" s="217"/>
      <c r="P32" s="218" t="s">
        <v>11</v>
      </c>
      <c r="Q32" s="216"/>
      <c r="R32" s="216"/>
      <c r="S32" s="216"/>
      <c r="T32" s="216" t="s">
        <v>12</v>
      </c>
      <c r="U32" s="216"/>
      <c r="V32" s="216"/>
      <c r="W32" s="217"/>
      <c r="X32" s="218" t="s">
        <v>11</v>
      </c>
      <c r="Y32" s="216"/>
      <c r="Z32" s="216"/>
      <c r="AA32" s="216"/>
      <c r="AB32" s="216" t="s">
        <v>12</v>
      </c>
      <c r="AC32" s="216"/>
      <c r="AD32" s="216"/>
      <c r="AE32" s="217"/>
      <c r="AF32" s="218" t="s">
        <v>11</v>
      </c>
      <c r="AG32" s="216"/>
      <c r="AH32" s="216"/>
      <c r="AI32" s="216"/>
      <c r="AJ32" s="216" t="s">
        <v>12</v>
      </c>
      <c r="AK32" s="216"/>
      <c r="AL32" s="216"/>
      <c r="AM32" s="217"/>
      <c r="AN32" s="218" t="s">
        <v>11</v>
      </c>
      <c r="AO32" s="216"/>
      <c r="AP32" s="216"/>
      <c r="AQ32" s="216"/>
      <c r="AR32" s="216" t="s">
        <v>12</v>
      </c>
      <c r="AS32" s="216"/>
      <c r="AT32" s="216"/>
      <c r="AU32" s="217"/>
      <c r="AV32" s="218" t="s">
        <v>11</v>
      </c>
      <c r="AW32" s="216"/>
      <c r="AX32" s="216"/>
      <c r="AY32" s="216"/>
      <c r="AZ32" s="216"/>
      <c r="BA32" s="216"/>
      <c r="BB32" s="216"/>
      <c r="BC32" s="216" t="s">
        <v>12</v>
      </c>
      <c r="BD32" s="216"/>
      <c r="BE32" s="216"/>
      <c r="BF32" s="216"/>
      <c r="BG32" s="216"/>
      <c r="BH32" s="216"/>
      <c r="BI32" s="217"/>
      <c r="BJ32" s="4"/>
    </row>
    <row r="33" spans="1:62" ht="15.75" customHeight="1">
      <c r="A33" s="2"/>
      <c r="B33" s="199"/>
      <c r="C33" s="200"/>
      <c r="D33" s="200"/>
      <c r="E33" s="200"/>
      <c r="F33" s="200"/>
      <c r="G33" s="201"/>
      <c r="H33" s="264"/>
      <c r="I33" s="260"/>
      <c r="J33" s="260"/>
      <c r="K33" s="260"/>
      <c r="L33" s="260"/>
      <c r="M33" s="260"/>
      <c r="N33" s="260"/>
      <c r="O33" s="261"/>
      <c r="P33" s="265"/>
      <c r="Q33" s="266"/>
      <c r="R33" s="266"/>
      <c r="S33" s="266"/>
      <c r="T33" s="260"/>
      <c r="U33" s="260"/>
      <c r="V33" s="260"/>
      <c r="W33" s="261"/>
      <c r="X33" s="267"/>
      <c r="Y33" s="268"/>
      <c r="Z33" s="268"/>
      <c r="AA33" s="268"/>
      <c r="AB33" s="260"/>
      <c r="AC33" s="260"/>
      <c r="AD33" s="260"/>
      <c r="AE33" s="261"/>
      <c r="AF33" s="267"/>
      <c r="AG33" s="268"/>
      <c r="AH33" s="268"/>
      <c r="AI33" s="268"/>
      <c r="AJ33" s="260"/>
      <c r="AK33" s="260"/>
      <c r="AL33" s="260"/>
      <c r="AM33" s="261"/>
      <c r="AN33" s="258"/>
      <c r="AO33" s="259"/>
      <c r="AP33" s="259"/>
      <c r="AQ33" s="259"/>
      <c r="AR33" s="260" t="str">
        <f>IF(T33="","",ROUND($S$50*SQRT(2*T33/$BC$33),1))</f>
        <v/>
      </c>
      <c r="AS33" s="260"/>
      <c r="AT33" s="260"/>
      <c r="AU33" s="261"/>
      <c r="AV33" s="262"/>
      <c r="AW33" s="263"/>
      <c r="AX33" s="263"/>
      <c r="AY33" s="263"/>
      <c r="AZ33" s="263"/>
      <c r="BA33" s="263"/>
      <c r="BB33" s="263"/>
      <c r="BC33" s="205" t="e">
        <f ca="1">IFROUND($AR$25*298.15/101.32*($BF$8+AJ33)/(273.15+AB49),3)</f>
        <v>#NAME?</v>
      </c>
      <c r="BD33" s="205"/>
      <c r="BE33" s="205"/>
      <c r="BF33" s="205"/>
      <c r="BG33" s="205"/>
      <c r="BH33" s="205"/>
      <c r="BI33" s="206"/>
      <c r="BJ33" s="4"/>
    </row>
    <row r="34" spans="1:62" ht="15.75" customHeight="1">
      <c r="A34" s="2"/>
      <c r="B34" s="230"/>
      <c r="C34" s="231"/>
      <c r="D34" s="231"/>
      <c r="E34" s="231"/>
      <c r="F34" s="231"/>
      <c r="G34" s="232"/>
      <c r="H34" s="219"/>
      <c r="I34" s="220"/>
      <c r="J34" s="220"/>
      <c r="K34" s="220"/>
      <c r="L34" s="220"/>
      <c r="M34" s="220"/>
      <c r="N34" s="220"/>
      <c r="O34" s="223"/>
      <c r="P34" s="244"/>
      <c r="Q34" s="245"/>
      <c r="R34" s="245"/>
      <c r="S34" s="245"/>
      <c r="T34" s="220"/>
      <c r="U34" s="220"/>
      <c r="V34" s="220"/>
      <c r="W34" s="223"/>
      <c r="X34" s="246"/>
      <c r="Y34" s="247"/>
      <c r="Z34" s="247"/>
      <c r="AA34" s="247"/>
      <c r="AB34" s="220"/>
      <c r="AC34" s="220"/>
      <c r="AD34" s="220"/>
      <c r="AE34" s="223"/>
      <c r="AF34" s="219"/>
      <c r="AG34" s="220"/>
      <c r="AH34" s="220"/>
      <c r="AI34" s="220"/>
      <c r="AJ34" s="220"/>
      <c r="AK34" s="220"/>
      <c r="AL34" s="220"/>
      <c r="AM34" s="223"/>
      <c r="AN34" s="221"/>
      <c r="AO34" s="222"/>
      <c r="AP34" s="222"/>
      <c r="AQ34" s="222"/>
      <c r="AR34" s="220" t="str">
        <f t="shared" ref="AR34:AR47" si="1">IF(T34="","",ROUND($S$50*SQRT(2*T34/$BC$33),1))</f>
        <v/>
      </c>
      <c r="AS34" s="220"/>
      <c r="AT34" s="220"/>
      <c r="AU34" s="223"/>
      <c r="AV34" s="257" t="s">
        <v>64</v>
      </c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4"/>
    </row>
    <row r="35" spans="1:62" ht="15.75" customHeight="1">
      <c r="A35" s="2"/>
      <c r="B35" s="236"/>
      <c r="C35" s="237"/>
      <c r="D35" s="237"/>
      <c r="E35" s="237"/>
      <c r="F35" s="237"/>
      <c r="G35" s="256"/>
      <c r="H35" s="219"/>
      <c r="I35" s="220"/>
      <c r="J35" s="220"/>
      <c r="K35" s="220"/>
      <c r="L35" s="220"/>
      <c r="M35" s="220"/>
      <c r="N35" s="220"/>
      <c r="O35" s="223"/>
      <c r="P35" s="244"/>
      <c r="Q35" s="245"/>
      <c r="R35" s="245"/>
      <c r="S35" s="245"/>
      <c r="T35" s="220"/>
      <c r="U35" s="220"/>
      <c r="V35" s="220"/>
      <c r="W35" s="223"/>
      <c r="X35" s="246"/>
      <c r="Y35" s="247"/>
      <c r="Z35" s="247"/>
      <c r="AA35" s="247"/>
      <c r="AB35" s="220"/>
      <c r="AC35" s="220"/>
      <c r="AD35" s="220"/>
      <c r="AE35" s="223"/>
      <c r="AF35" s="219"/>
      <c r="AG35" s="220"/>
      <c r="AH35" s="220"/>
      <c r="AI35" s="220"/>
      <c r="AJ35" s="220"/>
      <c r="AK35" s="220"/>
      <c r="AL35" s="220"/>
      <c r="AM35" s="223"/>
      <c r="AN35" s="221"/>
      <c r="AO35" s="222"/>
      <c r="AP35" s="222"/>
      <c r="AQ35" s="222"/>
      <c r="AR35" s="220" t="str">
        <f t="shared" si="1"/>
        <v/>
      </c>
      <c r="AS35" s="220"/>
      <c r="AT35" s="220"/>
      <c r="AU35" s="223"/>
      <c r="AV35" s="219"/>
      <c r="AW35" s="220"/>
      <c r="AX35" s="220"/>
      <c r="AY35" s="220"/>
      <c r="AZ35" s="220"/>
      <c r="BA35" s="254" t="s">
        <v>101</v>
      </c>
      <c r="BB35" s="254"/>
      <c r="BC35" s="254"/>
      <c r="BD35" s="254"/>
      <c r="BE35" s="254"/>
      <c r="BF35" s="254"/>
      <c r="BG35" s="254"/>
      <c r="BH35" s="254"/>
      <c r="BI35" s="255"/>
      <c r="BJ35" s="4"/>
    </row>
    <row r="36" spans="1:62" ht="15.75" customHeight="1">
      <c r="A36" s="2"/>
      <c r="B36" s="230"/>
      <c r="C36" s="231"/>
      <c r="D36" s="231"/>
      <c r="E36" s="231"/>
      <c r="F36" s="231"/>
      <c r="G36" s="232"/>
      <c r="H36" s="219"/>
      <c r="I36" s="220"/>
      <c r="J36" s="220"/>
      <c r="K36" s="220"/>
      <c r="L36" s="220"/>
      <c r="M36" s="220"/>
      <c r="N36" s="220"/>
      <c r="O36" s="223"/>
      <c r="P36" s="244"/>
      <c r="Q36" s="245"/>
      <c r="R36" s="245"/>
      <c r="S36" s="245"/>
      <c r="T36" s="220"/>
      <c r="U36" s="220"/>
      <c r="V36" s="220"/>
      <c r="W36" s="223"/>
      <c r="X36" s="246"/>
      <c r="Y36" s="247"/>
      <c r="Z36" s="247"/>
      <c r="AA36" s="247"/>
      <c r="AB36" s="220"/>
      <c r="AC36" s="220"/>
      <c r="AD36" s="220"/>
      <c r="AE36" s="223"/>
      <c r="AF36" s="219"/>
      <c r="AG36" s="220"/>
      <c r="AH36" s="220"/>
      <c r="AI36" s="220"/>
      <c r="AJ36" s="220"/>
      <c r="AK36" s="220"/>
      <c r="AL36" s="220"/>
      <c r="AM36" s="223"/>
      <c r="AN36" s="221"/>
      <c r="AO36" s="222"/>
      <c r="AP36" s="222"/>
      <c r="AQ36" s="222"/>
      <c r="AR36" s="220" t="str">
        <f t="shared" si="1"/>
        <v/>
      </c>
      <c r="AS36" s="220"/>
      <c r="AT36" s="220"/>
      <c r="AU36" s="223"/>
      <c r="AV36" s="218"/>
      <c r="AW36" s="216"/>
      <c r="AX36" s="216"/>
      <c r="AY36" s="216"/>
      <c r="AZ36" s="216"/>
      <c r="BA36" s="216" t="s">
        <v>34</v>
      </c>
      <c r="BB36" s="216"/>
      <c r="BC36" s="216"/>
      <c r="BD36" s="216"/>
      <c r="BE36" s="216"/>
      <c r="BF36" s="216"/>
      <c r="BG36" s="216"/>
      <c r="BH36" s="216"/>
      <c r="BI36" s="217"/>
      <c r="BJ36" s="4"/>
    </row>
    <row r="37" spans="1:62" ht="15.75" customHeight="1">
      <c r="A37" s="2"/>
      <c r="B37" s="230"/>
      <c r="C37" s="231"/>
      <c r="D37" s="231"/>
      <c r="E37" s="231"/>
      <c r="F37" s="231"/>
      <c r="G37" s="232"/>
      <c r="H37" s="219"/>
      <c r="I37" s="220"/>
      <c r="J37" s="220"/>
      <c r="K37" s="220"/>
      <c r="L37" s="220"/>
      <c r="M37" s="220"/>
      <c r="N37" s="220"/>
      <c r="O37" s="223"/>
      <c r="P37" s="244"/>
      <c r="Q37" s="245"/>
      <c r="R37" s="245"/>
      <c r="S37" s="245"/>
      <c r="T37" s="220"/>
      <c r="U37" s="220"/>
      <c r="V37" s="220"/>
      <c r="W37" s="223"/>
      <c r="X37" s="246"/>
      <c r="Y37" s="247"/>
      <c r="Z37" s="247"/>
      <c r="AA37" s="247"/>
      <c r="AB37" s="220"/>
      <c r="AC37" s="220"/>
      <c r="AD37" s="220"/>
      <c r="AE37" s="223"/>
      <c r="AF37" s="219"/>
      <c r="AG37" s="220"/>
      <c r="AH37" s="220"/>
      <c r="AI37" s="220"/>
      <c r="AJ37" s="220"/>
      <c r="AK37" s="220"/>
      <c r="AL37" s="220"/>
      <c r="AM37" s="223"/>
      <c r="AN37" s="221"/>
      <c r="AO37" s="222"/>
      <c r="AP37" s="222"/>
      <c r="AQ37" s="222"/>
      <c r="AR37" s="220" t="str">
        <f t="shared" si="1"/>
        <v/>
      </c>
      <c r="AS37" s="220"/>
      <c r="AT37" s="220"/>
      <c r="AU37" s="223"/>
      <c r="AV37" s="224" t="s">
        <v>11</v>
      </c>
      <c r="AW37" s="225"/>
      <c r="AX37" s="225"/>
      <c r="AY37" s="225"/>
      <c r="AZ37" s="225"/>
      <c r="BA37" s="252"/>
      <c r="BB37" s="252"/>
      <c r="BC37" s="252"/>
      <c r="BD37" s="252"/>
      <c r="BE37" s="252"/>
      <c r="BF37" s="252"/>
      <c r="BG37" s="252"/>
      <c r="BH37" s="252"/>
      <c r="BI37" s="253"/>
      <c r="BJ37" s="4"/>
    </row>
    <row r="38" spans="1:62" ht="15.75" customHeight="1">
      <c r="A38" s="2"/>
      <c r="B38" s="230"/>
      <c r="C38" s="231"/>
      <c r="D38" s="231"/>
      <c r="E38" s="231"/>
      <c r="F38" s="231"/>
      <c r="G38" s="232"/>
      <c r="H38" s="219"/>
      <c r="I38" s="220"/>
      <c r="J38" s="220"/>
      <c r="K38" s="220"/>
      <c r="L38" s="220"/>
      <c r="M38" s="220"/>
      <c r="N38" s="220"/>
      <c r="O38" s="223"/>
      <c r="P38" s="244"/>
      <c r="Q38" s="245"/>
      <c r="R38" s="245"/>
      <c r="S38" s="245"/>
      <c r="T38" s="220"/>
      <c r="U38" s="220"/>
      <c r="V38" s="220"/>
      <c r="W38" s="223"/>
      <c r="X38" s="246"/>
      <c r="Y38" s="247"/>
      <c r="Z38" s="247"/>
      <c r="AA38" s="247"/>
      <c r="AB38" s="220"/>
      <c r="AC38" s="220"/>
      <c r="AD38" s="220"/>
      <c r="AE38" s="223"/>
      <c r="AF38" s="219"/>
      <c r="AG38" s="220"/>
      <c r="AH38" s="220"/>
      <c r="AI38" s="220"/>
      <c r="AJ38" s="220"/>
      <c r="AK38" s="220"/>
      <c r="AL38" s="220"/>
      <c r="AM38" s="223"/>
      <c r="AN38" s="221"/>
      <c r="AO38" s="222"/>
      <c r="AP38" s="222"/>
      <c r="AQ38" s="222"/>
      <c r="AR38" s="220" t="str">
        <f t="shared" si="1"/>
        <v/>
      </c>
      <c r="AS38" s="220"/>
      <c r="AT38" s="220"/>
      <c r="AU38" s="223"/>
      <c r="AV38" s="251" t="s">
        <v>12</v>
      </c>
      <c r="AW38" s="241"/>
      <c r="AX38" s="241"/>
      <c r="AY38" s="241"/>
      <c r="AZ38" s="241"/>
      <c r="BA38" s="197" t="e">
        <f>ROUND($AR$49*$AX$50*3600,-3)</f>
        <v>#DIV/0!</v>
      </c>
      <c r="BB38" s="197"/>
      <c r="BC38" s="197"/>
      <c r="BD38" s="197"/>
      <c r="BE38" s="197"/>
      <c r="BF38" s="197"/>
      <c r="BG38" s="197"/>
      <c r="BH38" s="197"/>
      <c r="BI38" s="198"/>
      <c r="BJ38" s="4"/>
    </row>
    <row r="39" spans="1:62" ht="15.75" customHeight="1">
      <c r="A39" s="2"/>
      <c r="B39" s="230"/>
      <c r="C39" s="231"/>
      <c r="D39" s="231"/>
      <c r="E39" s="231"/>
      <c r="F39" s="231"/>
      <c r="G39" s="232"/>
      <c r="H39" s="219"/>
      <c r="I39" s="220"/>
      <c r="J39" s="220"/>
      <c r="K39" s="220"/>
      <c r="L39" s="220"/>
      <c r="M39" s="220"/>
      <c r="N39" s="220"/>
      <c r="O39" s="223"/>
      <c r="P39" s="244"/>
      <c r="Q39" s="245"/>
      <c r="R39" s="245"/>
      <c r="S39" s="245"/>
      <c r="T39" s="220"/>
      <c r="U39" s="220"/>
      <c r="V39" s="220"/>
      <c r="W39" s="223"/>
      <c r="X39" s="246"/>
      <c r="Y39" s="247"/>
      <c r="Z39" s="247"/>
      <c r="AA39" s="247"/>
      <c r="AB39" s="220"/>
      <c r="AC39" s="220"/>
      <c r="AD39" s="220"/>
      <c r="AE39" s="223"/>
      <c r="AF39" s="219"/>
      <c r="AG39" s="220"/>
      <c r="AH39" s="220"/>
      <c r="AI39" s="220"/>
      <c r="AJ39" s="220"/>
      <c r="AK39" s="220"/>
      <c r="AL39" s="220"/>
      <c r="AM39" s="223"/>
      <c r="AN39" s="221"/>
      <c r="AO39" s="222"/>
      <c r="AP39" s="222"/>
      <c r="AQ39" s="222"/>
      <c r="AR39" s="220" t="str">
        <f t="shared" si="1"/>
        <v/>
      </c>
      <c r="AS39" s="220"/>
      <c r="AT39" s="220"/>
      <c r="AU39" s="223"/>
      <c r="AV39" s="218" t="s">
        <v>54</v>
      </c>
      <c r="AW39" s="216"/>
      <c r="AX39" s="216"/>
      <c r="AY39" s="216"/>
      <c r="AZ39" s="216"/>
      <c r="BA39" s="213" t="e">
        <f>AVERAGE(BA37:BI38)</f>
        <v>#DIV/0!</v>
      </c>
      <c r="BB39" s="214"/>
      <c r="BC39" s="214"/>
      <c r="BD39" s="214"/>
      <c r="BE39" s="214"/>
      <c r="BF39" s="214"/>
      <c r="BG39" s="214"/>
      <c r="BH39" s="214"/>
      <c r="BI39" s="215"/>
      <c r="BJ39" s="4"/>
    </row>
    <row r="40" spans="1:62" ht="15.75" customHeight="1">
      <c r="A40" s="2"/>
      <c r="B40" s="230"/>
      <c r="C40" s="231"/>
      <c r="D40" s="231"/>
      <c r="E40" s="231"/>
      <c r="F40" s="231"/>
      <c r="G40" s="232"/>
      <c r="H40" s="219"/>
      <c r="I40" s="220"/>
      <c r="J40" s="220"/>
      <c r="K40" s="220"/>
      <c r="L40" s="220"/>
      <c r="M40" s="220"/>
      <c r="N40" s="220"/>
      <c r="O40" s="223"/>
      <c r="P40" s="244"/>
      <c r="Q40" s="245"/>
      <c r="R40" s="245"/>
      <c r="S40" s="245"/>
      <c r="T40" s="220"/>
      <c r="U40" s="220"/>
      <c r="V40" s="220"/>
      <c r="W40" s="223"/>
      <c r="X40" s="246"/>
      <c r="Y40" s="247"/>
      <c r="Z40" s="247"/>
      <c r="AA40" s="247"/>
      <c r="AB40" s="220"/>
      <c r="AC40" s="220"/>
      <c r="AD40" s="220"/>
      <c r="AE40" s="223"/>
      <c r="AF40" s="219"/>
      <c r="AG40" s="220"/>
      <c r="AH40" s="220"/>
      <c r="AI40" s="220"/>
      <c r="AJ40" s="220"/>
      <c r="AK40" s="220"/>
      <c r="AL40" s="220"/>
      <c r="AM40" s="223"/>
      <c r="AN40" s="221"/>
      <c r="AO40" s="222"/>
      <c r="AP40" s="222"/>
      <c r="AQ40" s="222"/>
      <c r="AR40" s="220" t="str">
        <f t="shared" si="1"/>
        <v/>
      </c>
      <c r="AS40" s="220"/>
      <c r="AT40" s="220"/>
      <c r="AU40" s="223"/>
      <c r="AV40" s="199" t="s">
        <v>65</v>
      </c>
      <c r="AW40" s="200"/>
      <c r="AX40" s="200"/>
      <c r="AY40" s="200"/>
      <c r="AZ40" s="235"/>
      <c r="BA40" s="233" t="s">
        <v>99</v>
      </c>
      <c r="BB40" s="233"/>
      <c r="BC40" s="233"/>
      <c r="BD40" s="233"/>
      <c r="BE40" s="233"/>
      <c r="BF40" s="233"/>
      <c r="BG40" s="233"/>
      <c r="BH40" s="233"/>
      <c r="BI40" s="234"/>
      <c r="BJ40" s="4"/>
    </row>
    <row r="41" spans="1:62" ht="15.75" customHeight="1">
      <c r="A41" s="2"/>
      <c r="B41" s="230"/>
      <c r="C41" s="231"/>
      <c r="D41" s="231"/>
      <c r="E41" s="231"/>
      <c r="F41" s="231"/>
      <c r="G41" s="232"/>
      <c r="H41" s="243"/>
      <c r="I41" s="220"/>
      <c r="J41" s="220"/>
      <c r="K41" s="220"/>
      <c r="L41" s="220"/>
      <c r="M41" s="220"/>
      <c r="N41" s="220"/>
      <c r="O41" s="223"/>
      <c r="P41" s="244"/>
      <c r="Q41" s="245"/>
      <c r="R41" s="245"/>
      <c r="S41" s="245"/>
      <c r="T41" s="220"/>
      <c r="U41" s="220"/>
      <c r="V41" s="220"/>
      <c r="W41" s="223"/>
      <c r="X41" s="246"/>
      <c r="Y41" s="247"/>
      <c r="Z41" s="247"/>
      <c r="AA41" s="247"/>
      <c r="AB41" s="220"/>
      <c r="AC41" s="220"/>
      <c r="AD41" s="220"/>
      <c r="AE41" s="223"/>
      <c r="AF41" s="219"/>
      <c r="AG41" s="220"/>
      <c r="AH41" s="220"/>
      <c r="AI41" s="220"/>
      <c r="AJ41" s="220"/>
      <c r="AK41" s="220"/>
      <c r="AL41" s="220"/>
      <c r="AM41" s="223"/>
      <c r="AN41" s="221"/>
      <c r="AO41" s="222"/>
      <c r="AP41" s="222"/>
      <c r="AQ41" s="222"/>
      <c r="AR41" s="220" t="str">
        <f t="shared" si="1"/>
        <v/>
      </c>
      <c r="AS41" s="220"/>
      <c r="AT41" s="220"/>
      <c r="AU41" s="223"/>
      <c r="AV41" s="248"/>
      <c r="AW41" s="249"/>
      <c r="AX41" s="249"/>
      <c r="AY41" s="249"/>
      <c r="AZ41" s="250"/>
      <c r="BA41" s="241" t="s">
        <v>367</v>
      </c>
      <c r="BB41" s="241"/>
      <c r="BC41" s="241"/>
      <c r="BD41" s="241"/>
      <c r="BE41" s="241"/>
      <c r="BF41" s="241"/>
      <c r="BG41" s="241"/>
      <c r="BH41" s="241"/>
      <c r="BI41" s="242"/>
      <c r="BJ41" s="4"/>
    </row>
    <row r="42" spans="1:62" ht="15.75" customHeight="1">
      <c r="A42" s="2"/>
      <c r="B42" s="230"/>
      <c r="C42" s="231"/>
      <c r="D42" s="231"/>
      <c r="E42" s="231"/>
      <c r="F42" s="231"/>
      <c r="G42" s="232"/>
      <c r="H42" s="219"/>
      <c r="I42" s="220"/>
      <c r="J42" s="220"/>
      <c r="K42" s="220"/>
      <c r="L42" s="220"/>
      <c r="M42" s="220"/>
      <c r="N42" s="220"/>
      <c r="O42" s="223"/>
      <c r="P42" s="219"/>
      <c r="Q42" s="220"/>
      <c r="R42" s="220"/>
      <c r="S42" s="220"/>
      <c r="T42" s="220"/>
      <c r="U42" s="220"/>
      <c r="V42" s="220"/>
      <c r="W42" s="223"/>
      <c r="X42" s="219"/>
      <c r="Y42" s="220"/>
      <c r="Z42" s="220"/>
      <c r="AA42" s="220"/>
      <c r="AB42" s="220"/>
      <c r="AC42" s="220"/>
      <c r="AD42" s="220"/>
      <c r="AE42" s="223"/>
      <c r="AF42" s="219"/>
      <c r="AG42" s="220"/>
      <c r="AH42" s="220"/>
      <c r="AI42" s="220"/>
      <c r="AJ42" s="220"/>
      <c r="AK42" s="220"/>
      <c r="AL42" s="220"/>
      <c r="AM42" s="223"/>
      <c r="AN42" s="221" t="str">
        <f t="shared" ref="AN42:AN47" si="2">IF(P42="","",ROUND($S$50*SQRT(2*P42/$AV$33),1))</f>
        <v/>
      </c>
      <c r="AO42" s="222"/>
      <c r="AP42" s="222"/>
      <c r="AQ42" s="222"/>
      <c r="AR42" s="220" t="str">
        <f t="shared" si="1"/>
        <v/>
      </c>
      <c r="AS42" s="220"/>
      <c r="AT42" s="220"/>
      <c r="AU42" s="223"/>
      <c r="AV42" s="219" t="s">
        <v>11</v>
      </c>
      <c r="AW42" s="220"/>
      <c r="AX42" s="220"/>
      <c r="AY42" s="220"/>
      <c r="AZ42" s="220"/>
      <c r="BA42" s="226"/>
      <c r="BB42" s="226"/>
      <c r="BC42" s="226"/>
      <c r="BD42" s="226"/>
      <c r="BE42" s="226"/>
      <c r="BF42" s="226"/>
      <c r="BG42" s="226"/>
      <c r="BH42" s="226"/>
      <c r="BI42" s="227"/>
      <c r="BJ42" s="4"/>
    </row>
    <row r="43" spans="1:62" ht="15.75" customHeight="1">
      <c r="A43" s="2"/>
      <c r="B43" s="230"/>
      <c r="C43" s="231"/>
      <c r="D43" s="231"/>
      <c r="E43" s="231"/>
      <c r="F43" s="231"/>
      <c r="G43" s="232"/>
      <c r="H43" s="219"/>
      <c r="I43" s="220"/>
      <c r="J43" s="220"/>
      <c r="K43" s="220"/>
      <c r="L43" s="220"/>
      <c r="M43" s="220"/>
      <c r="N43" s="220"/>
      <c r="O43" s="223"/>
      <c r="P43" s="219"/>
      <c r="Q43" s="220"/>
      <c r="R43" s="220"/>
      <c r="S43" s="220"/>
      <c r="T43" s="220"/>
      <c r="U43" s="220"/>
      <c r="V43" s="220"/>
      <c r="W43" s="223"/>
      <c r="X43" s="219"/>
      <c r="Y43" s="220"/>
      <c r="Z43" s="220"/>
      <c r="AA43" s="220"/>
      <c r="AB43" s="220"/>
      <c r="AC43" s="220"/>
      <c r="AD43" s="220"/>
      <c r="AE43" s="223"/>
      <c r="AF43" s="219"/>
      <c r="AG43" s="220"/>
      <c r="AH43" s="220"/>
      <c r="AI43" s="220"/>
      <c r="AJ43" s="220"/>
      <c r="AK43" s="220"/>
      <c r="AL43" s="220"/>
      <c r="AM43" s="223"/>
      <c r="AN43" s="221" t="str">
        <f t="shared" si="2"/>
        <v/>
      </c>
      <c r="AO43" s="222"/>
      <c r="AP43" s="222"/>
      <c r="AQ43" s="222"/>
      <c r="AR43" s="220" t="str">
        <f t="shared" si="1"/>
        <v/>
      </c>
      <c r="AS43" s="220"/>
      <c r="AT43" s="220"/>
      <c r="AU43" s="223"/>
      <c r="AV43" s="219" t="s">
        <v>12</v>
      </c>
      <c r="AW43" s="220"/>
      <c r="AX43" s="220"/>
      <c r="AY43" s="220"/>
      <c r="AZ43" s="220"/>
      <c r="BA43" s="239" t="e">
        <f>ROUND($AR$49*$AX$50*3600*298.15/101.32*($BF$8+$AJ$33)/(273.15+$AB$49),-3)</f>
        <v>#DIV/0!</v>
      </c>
      <c r="BB43" s="239"/>
      <c r="BC43" s="239"/>
      <c r="BD43" s="239"/>
      <c r="BE43" s="239"/>
      <c r="BF43" s="239"/>
      <c r="BG43" s="239"/>
      <c r="BH43" s="239"/>
      <c r="BI43" s="240"/>
      <c r="BJ43" s="4"/>
    </row>
    <row r="44" spans="1:62" ht="15.75" customHeight="1">
      <c r="A44" s="2"/>
      <c r="B44" s="230"/>
      <c r="C44" s="231"/>
      <c r="D44" s="231"/>
      <c r="E44" s="231"/>
      <c r="F44" s="231"/>
      <c r="G44" s="232"/>
      <c r="H44" s="219"/>
      <c r="I44" s="220"/>
      <c r="J44" s="220"/>
      <c r="K44" s="220"/>
      <c r="L44" s="220"/>
      <c r="M44" s="220"/>
      <c r="N44" s="220"/>
      <c r="O44" s="223"/>
      <c r="P44" s="219"/>
      <c r="Q44" s="220"/>
      <c r="R44" s="220"/>
      <c r="S44" s="220"/>
      <c r="T44" s="220"/>
      <c r="U44" s="220"/>
      <c r="V44" s="220"/>
      <c r="W44" s="223"/>
      <c r="X44" s="219"/>
      <c r="Y44" s="220"/>
      <c r="Z44" s="220"/>
      <c r="AA44" s="220"/>
      <c r="AB44" s="220"/>
      <c r="AC44" s="220"/>
      <c r="AD44" s="220"/>
      <c r="AE44" s="223"/>
      <c r="AF44" s="219"/>
      <c r="AG44" s="220"/>
      <c r="AH44" s="220"/>
      <c r="AI44" s="220"/>
      <c r="AJ44" s="220"/>
      <c r="AK44" s="220"/>
      <c r="AL44" s="220"/>
      <c r="AM44" s="223"/>
      <c r="AN44" s="221" t="str">
        <f t="shared" si="2"/>
        <v/>
      </c>
      <c r="AO44" s="222"/>
      <c r="AP44" s="222"/>
      <c r="AQ44" s="222"/>
      <c r="AR44" s="220" t="str">
        <f t="shared" si="1"/>
        <v/>
      </c>
      <c r="AS44" s="220"/>
      <c r="AT44" s="220"/>
      <c r="AU44" s="223"/>
      <c r="AV44" s="211" t="s">
        <v>54</v>
      </c>
      <c r="AW44" s="212"/>
      <c r="AX44" s="212"/>
      <c r="AY44" s="212"/>
      <c r="AZ44" s="212"/>
      <c r="BA44" s="213" t="e">
        <f>AVERAGE(BA42:BI43)</f>
        <v>#DIV/0!</v>
      </c>
      <c r="BB44" s="214"/>
      <c r="BC44" s="214"/>
      <c r="BD44" s="214"/>
      <c r="BE44" s="214"/>
      <c r="BF44" s="214"/>
      <c r="BG44" s="214"/>
      <c r="BH44" s="214"/>
      <c r="BI44" s="215"/>
      <c r="BJ44" s="4"/>
    </row>
    <row r="45" spans="1:62" ht="15.75" customHeight="1">
      <c r="A45" s="2"/>
      <c r="B45" s="230"/>
      <c r="C45" s="231"/>
      <c r="D45" s="231"/>
      <c r="E45" s="231"/>
      <c r="F45" s="231"/>
      <c r="G45" s="232"/>
      <c r="H45" s="219"/>
      <c r="I45" s="220"/>
      <c r="J45" s="220"/>
      <c r="K45" s="220"/>
      <c r="L45" s="220"/>
      <c r="M45" s="220"/>
      <c r="N45" s="220"/>
      <c r="O45" s="223"/>
      <c r="P45" s="219"/>
      <c r="Q45" s="220"/>
      <c r="R45" s="220"/>
      <c r="S45" s="220"/>
      <c r="T45" s="220"/>
      <c r="U45" s="220"/>
      <c r="V45" s="220"/>
      <c r="W45" s="223"/>
      <c r="X45" s="219"/>
      <c r="Y45" s="220"/>
      <c r="Z45" s="220"/>
      <c r="AA45" s="220"/>
      <c r="AB45" s="220"/>
      <c r="AC45" s="220"/>
      <c r="AD45" s="220"/>
      <c r="AE45" s="223"/>
      <c r="AF45" s="219"/>
      <c r="AG45" s="220"/>
      <c r="AH45" s="220"/>
      <c r="AI45" s="220"/>
      <c r="AJ45" s="220"/>
      <c r="AK45" s="220"/>
      <c r="AL45" s="220"/>
      <c r="AM45" s="223"/>
      <c r="AN45" s="221" t="str">
        <f t="shared" si="2"/>
        <v/>
      </c>
      <c r="AO45" s="222"/>
      <c r="AP45" s="222"/>
      <c r="AQ45" s="222"/>
      <c r="AR45" s="220" t="str">
        <f t="shared" si="1"/>
        <v/>
      </c>
      <c r="AS45" s="220"/>
      <c r="AT45" s="220"/>
      <c r="AU45" s="223"/>
      <c r="AV45" s="199" t="s">
        <v>66</v>
      </c>
      <c r="AW45" s="200"/>
      <c r="AX45" s="200"/>
      <c r="AY45" s="200"/>
      <c r="AZ45" s="235"/>
      <c r="BA45" s="233" t="s">
        <v>100</v>
      </c>
      <c r="BB45" s="233"/>
      <c r="BC45" s="233"/>
      <c r="BD45" s="233"/>
      <c r="BE45" s="233"/>
      <c r="BF45" s="233"/>
      <c r="BG45" s="233"/>
      <c r="BH45" s="233"/>
      <c r="BI45" s="234"/>
      <c r="BJ45" s="4"/>
    </row>
    <row r="46" spans="1:62" ht="15.75" customHeight="1">
      <c r="A46" s="2"/>
      <c r="B46" s="230"/>
      <c r="C46" s="231"/>
      <c r="D46" s="231"/>
      <c r="E46" s="231"/>
      <c r="F46" s="231"/>
      <c r="G46" s="232"/>
      <c r="H46" s="219"/>
      <c r="I46" s="220"/>
      <c r="J46" s="220"/>
      <c r="K46" s="220"/>
      <c r="L46" s="220"/>
      <c r="M46" s="220"/>
      <c r="N46" s="220"/>
      <c r="O46" s="223"/>
      <c r="P46" s="219"/>
      <c r="Q46" s="220"/>
      <c r="R46" s="220"/>
      <c r="S46" s="220"/>
      <c r="T46" s="220"/>
      <c r="U46" s="220"/>
      <c r="V46" s="220"/>
      <c r="W46" s="223"/>
      <c r="X46" s="219"/>
      <c r="Y46" s="220"/>
      <c r="Z46" s="220"/>
      <c r="AA46" s="220"/>
      <c r="AB46" s="220"/>
      <c r="AC46" s="220"/>
      <c r="AD46" s="220"/>
      <c r="AE46" s="223"/>
      <c r="AF46" s="219"/>
      <c r="AG46" s="220"/>
      <c r="AH46" s="220"/>
      <c r="AI46" s="220"/>
      <c r="AJ46" s="220"/>
      <c r="AK46" s="220"/>
      <c r="AL46" s="220"/>
      <c r="AM46" s="223"/>
      <c r="AN46" s="221" t="str">
        <f t="shared" si="2"/>
        <v/>
      </c>
      <c r="AO46" s="222"/>
      <c r="AP46" s="222"/>
      <c r="AQ46" s="222"/>
      <c r="AR46" s="220" t="str">
        <f t="shared" si="1"/>
        <v/>
      </c>
      <c r="AS46" s="220"/>
      <c r="AT46" s="220"/>
      <c r="AU46" s="223"/>
      <c r="AV46" s="236"/>
      <c r="AW46" s="237"/>
      <c r="AX46" s="237"/>
      <c r="AY46" s="237"/>
      <c r="AZ46" s="238"/>
      <c r="BA46" s="220" t="s">
        <v>367</v>
      </c>
      <c r="BB46" s="220"/>
      <c r="BC46" s="220"/>
      <c r="BD46" s="220"/>
      <c r="BE46" s="220"/>
      <c r="BF46" s="220"/>
      <c r="BG46" s="220"/>
      <c r="BH46" s="220"/>
      <c r="BI46" s="223"/>
      <c r="BJ46" s="4"/>
    </row>
    <row r="47" spans="1:62" ht="15.75" customHeight="1">
      <c r="A47" s="2"/>
      <c r="B47" s="230"/>
      <c r="C47" s="231"/>
      <c r="D47" s="231"/>
      <c r="E47" s="231"/>
      <c r="F47" s="231"/>
      <c r="G47" s="232"/>
      <c r="H47" s="219"/>
      <c r="I47" s="220"/>
      <c r="J47" s="220"/>
      <c r="K47" s="220"/>
      <c r="L47" s="220"/>
      <c r="M47" s="220"/>
      <c r="N47" s="220"/>
      <c r="O47" s="223"/>
      <c r="P47" s="219"/>
      <c r="Q47" s="220"/>
      <c r="R47" s="220"/>
      <c r="S47" s="220"/>
      <c r="T47" s="220"/>
      <c r="U47" s="220"/>
      <c r="V47" s="220"/>
      <c r="W47" s="223"/>
      <c r="X47" s="219"/>
      <c r="Y47" s="220"/>
      <c r="Z47" s="220"/>
      <c r="AA47" s="220"/>
      <c r="AB47" s="220"/>
      <c r="AC47" s="220"/>
      <c r="AD47" s="220"/>
      <c r="AE47" s="223"/>
      <c r="AF47" s="219"/>
      <c r="AG47" s="220"/>
      <c r="AH47" s="220"/>
      <c r="AI47" s="220"/>
      <c r="AJ47" s="220"/>
      <c r="AK47" s="220"/>
      <c r="AL47" s="220"/>
      <c r="AM47" s="223"/>
      <c r="AN47" s="221" t="str">
        <f t="shared" si="2"/>
        <v/>
      </c>
      <c r="AO47" s="222"/>
      <c r="AP47" s="222"/>
      <c r="AQ47" s="222"/>
      <c r="AR47" s="220" t="str">
        <f t="shared" si="1"/>
        <v/>
      </c>
      <c r="AS47" s="220"/>
      <c r="AT47" s="220"/>
      <c r="AU47" s="223"/>
      <c r="AV47" s="224" t="s">
        <v>11</v>
      </c>
      <c r="AW47" s="225"/>
      <c r="AX47" s="225"/>
      <c r="AY47" s="225"/>
      <c r="AZ47" s="225"/>
      <c r="BA47" s="226"/>
      <c r="BB47" s="226"/>
      <c r="BC47" s="226"/>
      <c r="BD47" s="226"/>
      <c r="BE47" s="226"/>
      <c r="BF47" s="226"/>
      <c r="BG47" s="226"/>
      <c r="BH47" s="226"/>
      <c r="BI47" s="227"/>
      <c r="BJ47" s="4"/>
    </row>
    <row r="48" spans="1:62" ht="15.75" customHeight="1">
      <c r="A48" s="2"/>
      <c r="B48" s="228"/>
      <c r="C48" s="156"/>
      <c r="D48" s="156"/>
      <c r="E48" s="156"/>
      <c r="F48" s="156"/>
      <c r="G48" s="229"/>
      <c r="H48" s="218"/>
      <c r="I48" s="216"/>
      <c r="J48" s="216"/>
      <c r="K48" s="216"/>
      <c r="L48" s="216"/>
      <c r="M48" s="216"/>
      <c r="N48" s="216"/>
      <c r="O48" s="217"/>
      <c r="P48" s="218"/>
      <c r="Q48" s="216"/>
      <c r="R48" s="216"/>
      <c r="S48" s="216"/>
      <c r="T48" s="216"/>
      <c r="U48" s="216"/>
      <c r="V48" s="216"/>
      <c r="W48" s="217"/>
      <c r="X48" s="218"/>
      <c r="Y48" s="216"/>
      <c r="Z48" s="216"/>
      <c r="AA48" s="216"/>
      <c r="AB48" s="216"/>
      <c r="AC48" s="216"/>
      <c r="AD48" s="216"/>
      <c r="AE48" s="217"/>
      <c r="AF48" s="218"/>
      <c r="AG48" s="216"/>
      <c r="AH48" s="216"/>
      <c r="AI48" s="216"/>
      <c r="AJ48" s="216"/>
      <c r="AK48" s="216"/>
      <c r="AL48" s="216"/>
      <c r="AM48" s="217"/>
      <c r="AN48" s="218"/>
      <c r="AO48" s="216"/>
      <c r="AP48" s="216"/>
      <c r="AQ48" s="216"/>
      <c r="AR48" s="216"/>
      <c r="AS48" s="216"/>
      <c r="AT48" s="216"/>
      <c r="AU48" s="217"/>
      <c r="AV48" s="219" t="s">
        <v>12</v>
      </c>
      <c r="AW48" s="220"/>
      <c r="AX48" s="220"/>
      <c r="AY48" s="220"/>
      <c r="AZ48" s="220"/>
      <c r="BA48" s="197" t="e">
        <f>ROUND($AR$49*$AX$50*3600*298.15/101.32*($BF$8+$AJ$33)/(273.15+$AB$49)*(1-$BC$13/100),-3)</f>
        <v>#DIV/0!</v>
      </c>
      <c r="BB48" s="197"/>
      <c r="BC48" s="197"/>
      <c r="BD48" s="197"/>
      <c r="BE48" s="197"/>
      <c r="BF48" s="197"/>
      <c r="BG48" s="197"/>
      <c r="BH48" s="197"/>
      <c r="BI48" s="198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99" t="s">
        <v>54</v>
      </c>
      <c r="Q49" s="200"/>
      <c r="R49" s="200"/>
      <c r="S49" s="200"/>
      <c r="T49" s="200"/>
      <c r="U49" s="200"/>
      <c r="V49" s="200"/>
      <c r="W49" s="201"/>
      <c r="X49" s="202"/>
      <c r="Y49" s="203"/>
      <c r="Z49" s="203"/>
      <c r="AA49" s="204"/>
      <c r="AB49" s="205" t="e">
        <f>ROUND(AVERAGE(AB33:AE47),0)</f>
        <v>#DIV/0!</v>
      </c>
      <c r="AC49" s="205"/>
      <c r="AD49" s="205"/>
      <c r="AE49" s="206"/>
      <c r="AF49" s="207"/>
      <c r="AG49" s="208"/>
      <c r="AH49" s="208"/>
      <c r="AI49" s="189"/>
      <c r="AJ49" s="189"/>
      <c r="AK49" s="189"/>
      <c r="AL49" s="189"/>
      <c r="AM49" s="209"/>
      <c r="AN49" s="210"/>
      <c r="AO49" s="208"/>
      <c r="AP49" s="208"/>
      <c r="AQ49" s="208"/>
      <c r="AR49" s="205" t="e">
        <f>ROUND(AVERAGE(AR33:AU47),1)</f>
        <v>#DIV/0!</v>
      </c>
      <c r="AS49" s="205"/>
      <c r="AT49" s="205"/>
      <c r="AU49" s="206"/>
      <c r="AV49" s="211" t="s">
        <v>54</v>
      </c>
      <c r="AW49" s="212"/>
      <c r="AX49" s="212"/>
      <c r="AY49" s="212"/>
      <c r="AZ49" s="212"/>
      <c r="BA49" s="213" t="e">
        <f>AVERAGE(BA47:BI48)</f>
        <v>#DIV/0!</v>
      </c>
      <c r="BB49" s="214"/>
      <c r="BC49" s="214"/>
      <c r="BD49" s="214"/>
      <c r="BE49" s="214"/>
      <c r="BF49" s="214"/>
      <c r="BG49" s="214"/>
      <c r="BH49" s="214"/>
      <c r="BI49" s="215"/>
      <c r="BJ49" s="4"/>
    </row>
    <row r="50" spans="1:62" ht="15" customHeight="1">
      <c r="A50" s="2"/>
      <c r="B50" s="188" t="s">
        <v>146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90" t="s">
        <v>13</v>
      </c>
      <c r="P50" s="190"/>
      <c r="Q50" s="190"/>
      <c r="R50" s="190"/>
      <c r="S50" s="191"/>
      <c r="T50" s="192"/>
      <c r="U50" s="192"/>
      <c r="V50" s="192"/>
      <c r="W50" s="193"/>
      <c r="X50" s="194" t="s">
        <v>67</v>
      </c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6"/>
      <c r="AP50" s="190" t="s">
        <v>14</v>
      </c>
      <c r="AQ50" s="190"/>
      <c r="AR50" s="190"/>
      <c r="AS50" s="190"/>
      <c r="AT50" s="189" t="s">
        <v>35</v>
      </c>
      <c r="AU50" s="189"/>
      <c r="AV50" s="189"/>
      <c r="AW50" s="18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60"/>
      <c r="BJ50" s="4"/>
    </row>
    <row r="51" spans="1:62" ht="15" customHeight="1">
      <c r="A51" s="2"/>
      <c r="B51" s="161" t="s">
        <v>49</v>
      </c>
      <c r="C51" s="162"/>
      <c r="D51" s="162"/>
      <c r="E51" s="162"/>
      <c r="F51" s="162"/>
      <c r="G51" s="162"/>
      <c r="H51" s="163"/>
      <c r="I51" s="170" t="s">
        <v>68</v>
      </c>
      <c r="J51" s="171"/>
      <c r="K51" s="171"/>
      <c r="L51" s="171"/>
      <c r="M51" s="171"/>
      <c r="N51" s="171"/>
      <c r="O51" s="172"/>
      <c r="P51" s="179" t="s">
        <v>139</v>
      </c>
      <c r="Q51" s="180"/>
      <c r="R51" s="180"/>
      <c r="S51" s="180"/>
      <c r="T51" s="181"/>
      <c r="U51" s="182"/>
      <c r="V51" s="182"/>
      <c r="W51" s="182"/>
      <c r="X51" s="36" t="s">
        <v>6</v>
      </c>
      <c r="Y51" s="36"/>
      <c r="Z51" s="181"/>
      <c r="AA51" s="182"/>
      <c r="AB51" s="182"/>
      <c r="AC51" s="182"/>
      <c r="AD51" s="182"/>
      <c r="AE51" s="183"/>
      <c r="AF51" s="184" t="s">
        <v>69</v>
      </c>
      <c r="AG51" s="185"/>
      <c r="AH51" s="185"/>
      <c r="AI51" s="185"/>
      <c r="AJ51" s="185"/>
      <c r="AK51" s="185"/>
      <c r="AL51" s="185"/>
      <c r="AM51" s="185"/>
      <c r="AN51" s="185"/>
      <c r="AO51" s="186"/>
      <c r="AP51" s="179" t="s">
        <v>378</v>
      </c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7"/>
      <c r="BJ51" s="4"/>
    </row>
    <row r="52" spans="1:62" ht="15" customHeight="1">
      <c r="A52" s="2"/>
      <c r="B52" s="164"/>
      <c r="C52" s="165"/>
      <c r="D52" s="165"/>
      <c r="E52" s="165"/>
      <c r="F52" s="165"/>
      <c r="G52" s="165"/>
      <c r="H52" s="166"/>
      <c r="I52" s="173"/>
      <c r="J52" s="174"/>
      <c r="K52" s="174"/>
      <c r="L52" s="174"/>
      <c r="M52" s="174"/>
      <c r="N52" s="174"/>
      <c r="O52" s="175"/>
      <c r="P52" s="148" t="s">
        <v>139</v>
      </c>
      <c r="Q52" s="149"/>
      <c r="R52" s="149"/>
      <c r="S52" s="149"/>
      <c r="T52" s="143"/>
      <c r="U52" s="143"/>
      <c r="V52" s="143"/>
      <c r="W52" s="143"/>
      <c r="X52" s="14" t="s">
        <v>6</v>
      </c>
      <c r="Y52" s="14"/>
      <c r="Z52" s="143"/>
      <c r="AA52" s="143"/>
      <c r="AB52" s="143"/>
      <c r="AC52" s="143"/>
      <c r="AD52" s="143"/>
      <c r="AE52" s="144"/>
      <c r="AF52" s="145" t="s">
        <v>135</v>
      </c>
      <c r="AG52" s="146"/>
      <c r="AH52" s="146"/>
      <c r="AI52" s="146"/>
      <c r="AJ52" s="146"/>
      <c r="AK52" s="146"/>
      <c r="AL52" s="146"/>
      <c r="AM52" s="146"/>
      <c r="AN52" s="146"/>
      <c r="AO52" s="147"/>
      <c r="AP52" s="148" t="s">
        <v>379</v>
      </c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50"/>
      <c r="BJ52" s="4"/>
    </row>
    <row r="53" spans="1:62" ht="15" customHeight="1">
      <c r="A53" s="2"/>
      <c r="B53" s="167"/>
      <c r="C53" s="168"/>
      <c r="D53" s="168"/>
      <c r="E53" s="168"/>
      <c r="F53" s="168"/>
      <c r="G53" s="168"/>
      <c r="H53" s="169"/>
      <c r="I53" s="176"/>
      <c r="J53" s="177"/>
      <c r="K53" s="177"/>
      <c r="L53" s="177"/>
      <c r="M53" s="177"/>
      <c r="N53" s="177"/>
      <c r="O53" s="178"/>
      <c r="P53" s="151" t="s">
        <v>139</v>
      </c>
      <c r="Q53" s="152"/>
      <c r="R53" s="152"/>
      <c r="S53" s="152"/>
      <c r="T53" s="153"/>
      <c r="U53" s="153"/>
      <c r="V53" s="153"/>
      <c r="W53" s="153"/>
      <c r="X53" s="136" t="s">
        <v>6</v>
      </c>
      <c r="Y53" s="136"/>
      <c r="Z53" s="153"/>
      <c r="AA53" s="153"/>
      <c r="AB53" s="153"/>
      <c r="AC53" s="153"/>
      <c r="AD53" s="153"/>
      <c r="AE53" s="154"/>
      <c r="AF53" s="155" t="s">
        <v>140</v>
      </c>
      <c r="AG53" s="156"/>
      <c r="AH53" s="156"/>
      <c r="AI53" s="156"/>
      <c r="AJ53" s="156"/>
      <c r="AK53" s="156"/>
      <c r="AL53" s="156"/>
      <c r="AM53" s="156"/>
      <c r="AN53" s="156"/>
      <c r="AO53" s="157"/>
      <c r="AP53" s="135" t="s">
        <v>380</v>
      </c>
      <c r="AQ53" s="130"/>
      <c r="AR53" s="130"/>
      <c r="AS53" s="130"/>
      <c r="AT53" s="130"/>
      <c r="AU53" s="130"/>
      <c r="AV53" s="136"/>
      <c r="AW53" s="136"/>
      <c r="AX53" s="136"/>
      <c r="AY53" s="136"/>
      <c r="AZ53" s="136"/>
      <c r="BA53" s="136"/>
      <c r="BB53" s="156"/>
      <c r="BC53" s="156"/>
      <c r="BD53" s="152"/>
      <c r="BE53" s="152"/>
      <c r="BF53" s="152"/>
      <c r="BG53" s="152"/>
      <c r="BH53" s="152"/>
      <c r="BI53" s="158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30" customHeight="1">
      <c r="A55" s="50"/>
      <c r="B55" s="139" t="s">
        <v>147</v>
      </c>
      <c r="C55" s="139"/>
      <c r="D55" s="139"/>
      <c r="E55" s="139"/>
      <c r="F55" s="139"/>
      <c r="G55" s="139"/>
      <c r="H55" s="139"/>
      <c r="I55" s="139"/>
      <c r="J55" s="140"/>
      <c r="K55" s="141" t="s">
        <v>148</v>
      </c>
      <c r="L55" s="139"/>
      <c r="M55" s="139"/>
      <c r="N55" s="139"/>
      <c r="O55" s="139"/>
      <c r="P55" s="139"/>
      <c r="Q55" s="139"/>
      <c r="R55" s="139" t="s">
        <v>149</v>
      </c>
      <c r="S55" s="139"/>
      <c r="T55" s="139"/>
      <c r="U55" s="139"/>
      <c r="V55" s="139"/>
      <c r="W55" s="139"/>
      <c r="X55" s="139"/>
      <c r="Y55" s="140"/>
      <c r="Z55" s="141" t="s">
        <v>150</v>
      </c>
      <c r="AA55" s="139"/>
      <c r="AB55" s="139"/>
      <c r="AC55" s="139"/>
      <c r="AD55" s="139"/>
      <c r="AE55" s="139"/>
      <c r="AF55" s="139"/>
      <c r="AG55" s="139"/>
      <c r="AH55" s="139"/>
      <c r="AI55" s="142" t="s">
        <v>366</v>
      </c>
      <c r="AJ55" s="142"/>
      <c r="AK55" s="142"/>
      <c r="AL55" s="142"/>
      <c r="AM55" s="142"/>
      <c r="AN55" s="142"/>
      <c r="AO55" s="142"/>
      <c r="AP55" s="142"/>
      <c r="AQ55" s="142"/>
      <c r="AR55" s="139" t="s">
        <v>151</v>
      </c>
      <c r="AS55" s="139"/>
      <c r="AT55" s="139"/>
      <c r="AU55" s="139"/>
      <c r="AV55" s="139"/>
      <c r="AW55" s="139"/>
      <c r="AX55" s="139"/>
      <c r="AY55" s="139"/>
      <c r="AZ55" s="139"/>
      <c r="BA55" s="140"/>
      <c r="BB55" s="137">
        <v>42095</v>
      </c>
      <c r="BC55" s="138"/>
      <c r="BD55" s="138"/>
      <c r="BE55" s="138"/>
      <c r="BF55" s="138"/>
      <c r="BG55" s="138"/>
      <c r="BH55" s="138"/>
      <c r="BI55" s="138"/>
      <c r="BJ55" s="51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BD6:BI6"/>
    <mergeCell ref="BD7:BI7"/>
    <mergeCell ref="V7:Y7"/>
    <mergeCell ref="Z7:AC7"/>
    <mergeCell ref="AD7:AG7"/>
    <mergeCell ref="AH7:AK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B9:H12"/>
    <mergeCell ref="I9:O12"/>
    <mergeCell ref="P9:U12"/>
    <mergeCell ref="V9:AN9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N42:AQ42"/>
    <mergeCell ref="AR42:AU42"/>
    <mergeCell ref="AV42:AZ42"/>
    <mergeCell ref="BA42:BI42"/>
    <mergeCell ref="B43:G43"/>
    <mergeCell ref="H43:K43"/>
    <mergeCell ref="L43:O43"/>
    <mergeCell ref="P43:S43"/>
    <mergeCell ref="T43:W43"/>
    <mergeCell ref="X43:AA43"/>
    <mergeCell ref="BA43:BI43"/>
    <mergeCell ref="B44:G44"/>
    <mergeCell ref="H44:K44"/>
    <mergeCell ref="L44:O44"/>
    <mergeCell ref="P44:S44"/>
    <mergeCell ref="T44:W44"/>
    <mergeCell ref="X44:AA44"/>
    <mergeCell ref="AB44:AE44"/>
    <mergeCell ref="AF44:AI44"/>
    <mergeCell ref="AJ44:AM44"/>
    <mergeCell ref="AB43:AE43"/>
    <mergeCell ref="AF43:AI43"/>
    <mergeCell ref="AJ43:AM43"/>
    <mergeCell ref="AN43:AQ43"/>
    <mergeCell ref="AR43:AU43"/>
    <mergeCell ref="AV43:AZ43"/>
    <mergeCell ref="AN44:AQ44"/>
    <mergeCell ref="AR44:AU44"/>
    <mergeCell ref="AV44:AZ44"/>
    <mergeCell ref="BA44:BI44"/>
    <mergeCell ref="B45:G45"/>
    <mergeCell ref="H45:K45"/>
    <mergeCell ref="L45:O45"/>
    <mergeCell ref="P45:S45"/>
    <mergeCell ref="T45:W45"/>
    <mergeCell ref="X45:AA45"/>
    <mergeCell ref="BA45:BI45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7:G47"/>
    <mergeCell ref="H47:K47"/>
    <mergeCell ref="L47:O47"/>
    <mergeCell ref="P47:S47"/>
    <mergeCell ref="T47:W47"/>
    <mergeCell ref="X47:AA47"/>
    <mergeCell ref="AB47:AE47"/>
    <mergeCell ref="AF47:AI47"/>
    <mergeCell ref="AJ47:AM47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B48:AE48"/>
    <mergeCell ref="AF48:AI48"/>
    <mergeCell ref="AJ48:AM48"/>
    <mergeCell ref="AN48:AQ48"/>
    <mergeCell ref="AR48:AU48"/>
    <mergeCell ref="AV48:AZ48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44" right="0.19" top="0.38" bottom="0.19685039370078741" header="0.28000000000000003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7"/>
  <sheetViews>
    <sheetView tabSelected="1" view="pageBreakPreview" zoomScale="115" zoomScaleNormal="70" zoomScaleSheetLayoutView="115" workbookViewId="0">
      <selection activeCell="AL8" sqref="AL8:AW8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361" t="s">
        <v>70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3"/>
      <c r="X2" s="364" t="s">
        <v>154</v>
      </c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6"/>
      <c r="AN2" s="367" t="s">
        <v>158</v>
      </c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8"/>
    </row>
    <row r="3" spans="1:63" ht="21.75" customHeight="1">
      <c r="A3" s="369" t="s">
        <v>52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1"/>
      <c r="M3" s="372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4"/>
      <c r="AD3" s="375" t="s">
        <v>159</v>
      </c>
      <c r="AE3" s="376"/>
      <c r="AF3" s="376"/>
      <c r="AG3" s="376"/>
      <c r="AH3" s="376"/>
      <c r="AI3" s="376"/>
      <c r="AJ3" s="376"/>
      <c r="AK3" s="376"/>
      <c r="AL3" s="376"/>
      <c r="AM3" s="377"/>
      <c r="AN3" s="34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360"/>
    </row>
    <row r="4" spans="1:63" ht="21.75" customHeight="1">
      <c r="A4" s="352" t="s">
        <v>53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4"/>
      <c r="M4" s="355"/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  <c r="Z4" s="356"/>
      <c r="AA4" s="356"/>
      <c r="AB4" s="356"/>
      <c r="AC4" s="356"/>
      <c r="AD4" s="357" t="s">
        <v>72</v>
      </c>
      <c r="AE4" s="358"/>
      <c r="AF4" s="358"/>
      <c r="AG4" s="358"/>
      <c r="AH4" s="358"/>
      <c r="AI4" s="358"/>
      <c r="AJ4" s="358"/>
      <c r="AK4" s="358"/>
      <c r="AL4" s="358"/>
      <c r="AM4" s="359"/>
      <c r="AN4" s="34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360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3"/>
      <c r="N5" s="43"/>
      <c r="O5" s="43"/>
      <c r="P5" s="43"/>
      <c r="Q5" s="43"/>
      <c r="R5" s="43"/>
      <c r="S5" s="43"/>
      <c r="T5" s="43"/>
      <c r="U5" s="43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8"/>
      <c r="AG5" s="48"/>
      <c r="AH5" s="48"/>
      <c r="AI5" s="48"/>
      <c r="AJ5" s="48"/>
      <c r="AK5" s="48"/>
      <c r="AL5" s="48"/>
      <c r="AM5" s="48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6"/>
      <c r="N6" s="46"/>
      <c r="O6" s="46"/>
      <c r="V6" s="351" t="s">
        <v>90</v>
      </c>
      <c r="W6" s="351"/>
      <c r="X6" s="351"/>
      <c r="Y6" s="351"/>
      <c r="Z6" s="351" t="s">
        <v>91</v>
      </c>
      <c r="AA6" s="351"/>
      <c r="AB6" s="351"/>
      <c r="AC6" s="351"/>
      <c r="AD6" s="351" t="s">
        <v>92</v>
      </c>
      <c r="AE6" s="351"/>
      <c r="AF6" s="351"/>
      <c r="AG6" s="351"/>
      <c r="AH6" s="351" t="s">
        <v>94</v>
      </c>
      <c r="AI6" s="351"/>
      <c r="AJ6" s="351"/>
      <c r="AK6" s="351"/>
      <c r="AL6" s="48"/>
      <c r="AM6" s="48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351" t="s">
        <v>154</v>
      </c>
      <c r="BE6" s="351"/>
      <c r="BF6" s="351"/>
      <c r="BG6" s="351"/>
      <c r="BH6" s="351"/>
      <c r="BI6" s="351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351"/>
      <c r="AH7" s="351"/>
      <c r="AI7" s="351"/>
      <c r="AJ7" s="351"/>
      <c r="AK7" s="351"/>
      <c r="AZ7" s="3"/>
      <c r="BA7" s="3"/>
      <c r="BB7" s="3"/>
      <c r="BC7" s="3"/>
      <c r="BD7" s="386"/>
      <c r="BE7" s="386"/>
      <c r="BF7" s="386"/>
      <c r="BG7" s="386"/>
      <c r="BH7" s="386"/>
      <c r="BI7" s="386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194" t="s">
        <v>45</v>
      </c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6"/>
      <c r="AX8" s="190" t="s">
        <v>29</v>
      </c>
      <c r="AY8" s="190"/>
      <c r="AZ8" s="190"/>
      <c r="BA8" s="190"/>
      <c r="BB8" s="189" t="s">
        <v>0</v>
      </c>
      <c r="BC8" s="189"/>
      <c r="BD8" s="189"/>
      <c r="BE8" s="189"/>
      <c r="BF8" s="345"/>
      <c r="BG8" s="195"/>
      <c r="BH8" s="195"/>
      <c r="BI8" s="346"/>
      <c r="BJ8" s="4"/>
    </row>
    <row r="9" spans="1:63" ht="16.5" customHeight="1">
      <c r="A9" s="2"/>
      <c r="B9" s="313" t="s">
        <v>38</v>
      </c>
      <c r="C9" s="313"/>
      <c r="D9" s="313"/>
      <c r="E9" s="313"/>
      <c r="F9" s="313"/>
      <c r="G9" s="313"/>
      <c r="H9" s="313"/>
      <c r="I9" s="313" t="s">
        <v>39</v>
      </c>
      <c r="J9" s="313"/>
      <c r="K9" s="313"/>
      <c r="L9" s="313"/>
      <c r="M9" s="313"/>
      <c r="N9" s="313"/>
      <c r="O9" s="313"/>
      <c r="P9" s="313" t="s">
        <v>40</v>
      </c>
      <c r="Q9" s="313"/>
      <c r="R9" s="313"/>
      <c r="S9" s="313"/>
      <c r="T9" s="313"/>
      <c r="U9" s="313"/>
      <c r="V9" s="269" t="s">
        <v>41</v>
      </c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1"/>
      <c r="AO9" s="347" t="s">
        <v>48</v>
      </c>
      <c r="AP9" s="182"/>
      <c r="AQ9" s="182"/>
      <c r="AR9" s="182"/>
      <c r="AS9" s="182"/>
      <c r="AT9" s="182"/>
      <c r="AU9" s="348"/>
      <c r="AV9" s="287" t="s">
        <v>136</v>
      </c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1"/>
      <c r="BJ9" s="4"/>
    </row>
    <row r="10" spans="1:63" ht="16.5" customHeight="1">
      <c r="A10" s="2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230" t="s">
        <v>42</v>
      </c>
      <c r="W10" s="231"/>
      <c r="X10" s="231"/>
      <c r="Y10" s="231"/>
      <c r="Z10" s="231"/>
      <c r="AA10" s="231"/>
      <c r="AB10" s="231"/>
      <c r="AC10" s="231"/>
      <c r="AD10" s="339"/>
      <c r="AE10" s="316" t="s">
        <v>83</v>
      </c>
      <c r="AF10" s="231"/>
      <c r="AG10" s="231"/>
      <c r="AH10" s="339"/>
      <c r="AI10" s="220" t="s">
        <v>44</v>
      </c>
      <c r="AJ10" s="220"/>
      <c r="AK10" s="220"/>
      <c r="AL10" s="220"/>
      <c r="AM10" s="220"/>
      <c r="AN10" s="223"/>
      <c r="AO10" s="349"/>
      <c r="AP10" s="143"/>
      <c r="AQ10" s="143"/>
      <c r="AR10" s="143"/>
      <c r="AS10" s="143"/>
      <c r="AT10" s="143"/>
      <c r="AU10" s="350"/>
      <c r="AV10" s="219" t="s">
        <v>95</v>
      </c>
      <c r="AW10" s="220"/>
      <c r="AX10" s="220"/>
      <c r="AY10" s="220"/>
      <c r="AZ10" s="220"/>
      <c r="BA10" s="220"/>
      <c r="BB10" s="220"/>
      <c r="BC10" s="220" t="s">
        <v>54</v>
      </c>
      <c r="BD10" s="220"/>
      <c r="BE10" s="220"/>
      <c r="BF10" s="220"/>
      <c r="BG10" s="220"/>
      <c r="BH10" s="220"/>
      <c r="BI10" s="223"/>
      <c r="BJ10" s="4"/>
    </row>
    <row r="11" spans="1:63" ht="16.5" customHeight="1">
      <c r="A11" s="2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03" t="s">
        <v>1</v>
      </c>
      <c r="W11" s="304"/>
      <c r="X11" s="304"/>
      <c r="Y11" s="304"/>
      <c r="Z11" s="304"/>
      <c r="AA11" s="304"/>
      <c r="AB11" s="304"/>
      <c r="AC11" s="304"/>
      <c r="AD11" s="343"/>
      <c r="AE11" s="344" t="s">
        <v>46</v>
      </c>
      <c r="AF11" s="304"/>
      <c r="AG11" s="304"/>
      <c r="AH11" s="343"/>
      <c r="AI11" s="254" t="s">
        <v>47</v>
      </c>
      <c r="AJ11" s="254"/>
      <c r="AK11" s="254"/>
      <c r="AL11" s="254"/>
      <c r="AM11" s="254"/>
      <c r="AN11" s="255"/>
      <c r="AO11" s="303" t="s">
        <v>2</v>
      </c>
      <c r="AP11" s="304"/>
      <c r="AQ11" s="304"/>
      <c r="AR11" s="304"/>
      <c r="AS11" s="304"/>
      <c r="AT11" s="304"/>
      <c r="AU11" s="305"/>
      <c r="AV11" s="270" t="s">
        <v>55</v>
      </c>
      <c r="AW11" s="254"/>
      <c r="AX11" s="254"/>
      <c r="AY11" s="254"/>
      <c r="AZ11" s="254"/>
      <c r="BA11" s="254"/>
      <c r="BB11" s="344"/>
      <c r="BC11" s="254" t="s">
        <v>55</v>
      </c>
      <c r="BD11" s="254"/>
      <c r="BE11" s="254"/>
      <c r="BF11" s="254"/>
      <c r="BG11" s="254"/>
      <c r="BH11" s="254"/>
      <c r="BI11" s="255"/>
      <c r="BJ11" s="4"/>
    </row>
    <row r="12" spans="1:63" ht="16.5" customHeight="1">
      <c r="A12" s="2"/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228" t="s">
        <v>3</v>
      </c>
      <c r="W12" s="156"/>
      <c r="X12" s="156"/>
      <c r="Y12" s="156"/>
      <c r="Z12" s="156"/>
      <c r="AA12" s="156"/>
      <c r="AB12" s="156"/>
      <c r="AC12" s="156"/>
      <c r="AD12" s="157"/>
      <c r="AE12" s="155" t="s">
        <v>4</v>
      </c>
      <c r="AF12" s="156"/>
      <c r="AG12" s="156"/>
      <c r="AH12" s="157"/>
      <c r="AI12" s="216" t="s">
        <v>0</v>
      </c>
      <c r="AJ12" s="216"/>
      <c r="AK12" s="216"/>
      <c r="AL12" s="216"/>
      <c r="AM12" s="216"/>
      <c r="AN12" s="217"/>
      <c r="AO12" s="228" t="s">
        <v>5</v>
      </c>
      <c r="AP12" s="156"/>
      <c r="AQ12" s="156"/>
      <c r="AR12" s="156"/>
      <c r="AS12" s="156"/>
      <c r="AT12" s="156"/>
      <c r="AU12" s="229"/>
      <c r="AV12" s="218" t="s">
        <v>51</v>
      </c>
      <c r="AW12" s="216"/>
      <c r="AX12" s="216"/>
      <c r="AY12" s="216"/>
      <c r="AZ12" s="216"/>
      <c r="BA12" s="216"/>
      <c r="BB12" s="216"/>
      <c r="BC12" s="216" t="s">
        <v>51</v>
      </c>
      <c r="BD12" s="216"/>
      <c r="BE12" s="216"/>
      <c r="BF12" s="216"/>
      <c r="BG12" s="216"/>
      <c r="BH12" s="216"/>
      <c r="BI12" s="217"/>
      <c r="BJ12" s="4"/>
    </row>
    <row r="13" spans="1:63" ht="16.5" customHeight="1">
      <c r="A13" s="2"/>
      <c r="B13" s="297"/>
      <c r="C13" s="297"/>
      <c r="D13" s="297"/>
      <c r="E13" s="297"/>
      <c r="F13" s="297"/>
      <c r="G13" s="297"/>
      <c r="H13" s="297"/>
      <c r="I13" s="299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340"/>
      <c r="W13" s="341"/>
      <c r="X13" s="341"/>
      <c r="Y13" s="341"/>
      <c r="Z13" s="341"/>
      <c r="AA13" s="341"/>
      <c r="AB13" s="341"/>
      <c r="AC13" s="341"/>
      <c r="AD13" s="341"/>
      <c r="AE13" s="260"/>
      <c r="AF13" s="260"/>
      <c r="AG13" s="260"/>
      <c r="AH13" s="260"/>
      <c r="AI13" s="259"/>
      <c r="AJ13" s="259"/>
      <c r="AK13" s="259"/>
      <c r="AL13" s="259"/>
      <c r="AM13" s="259"/>
      <c r="AN13" s="300"/>
      <c r="AO13" s="327"/>
      <c r="AP13" s="328"/>
      <c r="AQ13" s="328"/>
      <c r="AR13" s="328"/>
      <c r="AS13" s="328"/>
      <c r="AT13" s="328"/>
      <c r="AU13" s="329"/>
      <c r="AV13" s="258"/>
      <c r="AW13" s="259"/>
      <c r="AX13" s="259"/>
      <c r="AY13" s="259"/>
      <c r="AZ13" s="259"/>
      <c r="BA13" s="259"/>
      <c r="BB13" s="259"/>
      <c r="BC13" s="268"/>
      <c r="BD13" s="268"/>
      <c r="BE13" s="268"/>
      <c r="BF13" s="268"/>
      <c r="BG13" s="268"/>
      <c r="BH13" s="268"/>
      <c r="BI13" s="330"/>
      <c r="BJ13" s="4"/>
      <c r="BK13" s="1" t="e">
        <f>ROUND(VLOOKUP(AE13,'Measurement Act'!$A$4:$C$207,3),2)</f>
        <v>#N/A</v>
      </c>
    </row>
    <row r="14" spans="1:63" ht="16.5" customHeight="1">
      <c r="A14" s="2"/>
      <c r="B14" s="292"/>
      <c r="C14" s="292"/>
      <c r="D14" s="292"/>
      <c r="E14" s="292"/>
      <c r="F14" s="292"/>
      <c r="G14" s="292"/>
      <c r="H14" s="292"/>
      <c r="I14" s="291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334"/>
      <c r="W14" s="335"/>
      <c r="X14" s="335"/>
      <c r="Y14" s="335"/>
      <c r="Z14" s="335"/>
      <c r="AA14" s="335"/>
      <c r="AB14" s="335"/>
      <c r="AC14" s="335"/>
      <c r="AD14" s="335"/>
      <c r="AE14" s="220"/>
      <c r="AF14" s="220"/>
      <c r="AG14" s="220"/>
      <c r="AH14" s="220"/>
      <c r="AI14" s="222"/>
      <c r="AJ14" s="222"/>
      <c r="AK14" s="222"/>
      <c r="AL14" s="222"/>
      <c r="AM14" s="222"/>
      <c r="AN14" s="293"/>
      <c r="AO14" s="336"/>
      <c r="AP14" s="337"/>
      <c r="AQ14" s="337"/>
      <c r="AR14" s="337"/>
      <c r="AS14" s="337"/>
      <c r="AT14" s="337"/>
      <c r="AU14" s="338"/>
      <c r="AV14" s="230"/>
      <c r="AW14" s="231"/>
      <c r="AX14" s="231"/>
      <c r="AY14" s="231"/>
      <c r="AZ14" s="231"/>
      <c r="BA14" s="231"/>
      <c r="BB14" s="339"/>
      <c r="BC14" s="247"/>
      <c r="BD14" s="247"/>
      <c r="BE14" s="247"/>
      <c r="BF14" s="247"/>
      <c r="BG14" s="247"/>
      <c r="BH14" s="247"/>
      <c r="BI14" s="331"/>
      <c r="BJ14" s="4"/>
      <c r="BK14" s="1" t="e">
        <f>ROUND(VLOOKUP(AE14,'Measurement Act'!$A$4:$C$207,3),2)</f>
        <v>#N/A</v>
      </c>
    </row>
    <row r="15" spans="1:63" ht="16.5" customHeight="1">
      <c r="A15" s="2"/>
      <c r="B15" s="298"/>
      <c r="C15" s="298"/>
      <c r="D15" s="298"/>
      <c r="E15" s="298"/>
      <c r="F15" s="298"/>
      <c r="G15" s="298"/>
      <c r="H15" s="298"/>
      <c r="I15" s="342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301"/>
      <c r="W15" s="271"/>
      <c r="X15" s="271"/>
      <c r="Y15" s="271"/>
      <c r="Z15" s="271"/>
      <c r="AA15" s="271"/>
      <c r="AB15" s="271"/>
      <c r="AC15" s="271"/>
      <c r="AD15" s="271"/>
      <c r="AE15" s="216"/>
      <c r="AF15" s="216"/>
      <c r="AG15" s="216"/>
      <c r="AH15" s="216"/>
      <c r="AI15" s="271"/>
      <c r="AJ15" s="271"/>
      <c r="AK15" s="271"/>
      <c r="AL15" s="271"/>
      <c r="AM15" s="271"/>
      <c r="AN15" s="272"/>
      <c r="AO15" s="317"/>
      <c r="AP15" s="318"/>
      <c r="AQ15" s="318"/>
      <c r="AR15" s="318"/>
      <c r="AS15" s="318"/>
      <c r="AT15" s="318"/>
      <c r="AU15" s="319"/>
      <c r="AV15" s="228"/>
      <c r="AW15" s="156"/>
      <c r="AX15" s="156"/>
      <c r="AY15" s="156"/>
      <c r="AZ15" s="156"/>
      <c r="BA15" s="156"/>
      <c r="BB15" s="157"/>
      <c r="BC15" s="332"/>
      <c r="BD15" s="332"/>
      <c r="BE15" s="332"/>
      <c r="BF15" s="332"/>
      <c r="BG15" s="332"/>
      <c r="BH15" s="332"/>
      <c r="BI15" s="333"/>
      <c r="BJ15" s="4"/>
      <c r="BK15" s="1" t="e">
        <f>ROUND(VLOOKUP(AE15,'Measurement Act'!$A$4:$C$207,3),2)</f>
        <v>#N/A</v>
      </c>
    </row>
    <row r="16" spans="1:63" ht="16.5" customHeight="1">
      <c r="A16" s="2"/>
      <c r="B16" s="161" t="s">
        <v>49</v>
      </c>
      <c r="C16" s="162"/>
      <c r="D16" s="162"/>
      <c r="E16" s="162"/>
      <c r="F16" s="162"/>
      <c r="G16" s="162"/>
      <c r="H16" s="163"/>
      <c r="I16" s="320" t="s">
        <v>41</v>
      </c>
      <c r="J16" s="185"/>
      <c r="K16" s="185"/>
      <c r="L16" s="185"/>
      <c r="M16" s="185"/>
      <c r="N16" s="185"/>
      <c r="O16" s="186"/>
      <c r="P16" s="180" t="s">
        <v>386</v>
      </c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321"/>
      <c r="AI16" s="322" t="s">
        <v>89</v>
      </c>
      <c r="AJ16" s="200"/>
      <c r="AK16" s="200"/>
      <c r="AL16" s="200"/>
      <c r="AM16" s="200"/>
      <c r="AN16" s="200"/>
      <c r="AO16" s="200"/>
      <c r="AP16" s="200"/>
      <c r="AQ16" s="200"/>
      <c r="AR16" s="235"/>
      <c r="AS16" s="323" t="s">
        <v>384</v>
      </c>
      <c r="AT16" s="324"/>
      <c r="AU16" s="324"/>
      <c r="AV16" s="324"/>
      <c r="AW16" s="324"/>
      <c r="AX16" s="324"/>
      <c r="AY16" s="324"/>
      <c r="AZ16" s="324"/>
      <c r="BA16" s="324"/>
      <c r="BB16" s="324"/>
      <c r="BC16" s="324"/>
      <c r="BD16" s="324"/>
      <c r="BE16" s="324"/>
      <c r="BF16" s="324"/>
      <c r="BG16" s="324"/>
      <c r="BH16" s="324"/>
      <c r="BI16" s="325"/>
      <c r="BJ16" s="4"/>
    </row>
    <row r="17" spans="1:62" ht="16.5" customHeight="1">
      <c r="A17" s="2"/>
      <c r="B17" s="167"/>
      <c r="C17" s="168"/>
      <c r="D17" s="168"/>
      <c r="E17" s="168"/>
      <c r="F17" s="168"/>
      <c r="G17" s="168"/>
      <c r="H17" s="169"/>
      <c r="I17" s="228" t="s">
        <v>50</v>
      </c>
      <c r="J17" s="156"/>
      <c r="K17" s="156"/>
      <c r="L17" s="156"/>
      <c r="M17" s="156"/>
      <c r="N17" s="156"/>
      <c r="O17" s="157"/>
      <c r="P17" s="152" t="s">
        <v>383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326"/>
      <c r="AI17" s="155"/>
      <c r="AJ17" s="156"/>
      <c r="AK17" s="156"/>
      <c r="AL17" s="156"/>
      <c r="AM17" s="156"/>
      <c r="AN17" s="156"/>
      <c r="AO17" s="156"/>
      <c r="AP17" s="156"/>
      <c r="AQ17" s="156"/>
      <c r="AR17" s="157"/>
      <c r="AS17" s="306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8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170" t="s">
        <v>57</v>
      </c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309"/>
      <c r="BJ19" s="4"/>
    </row>
    <row r="20" spans="1:62" ht="15" customHeight="1">
      <c r="A20" s="2"/>
      <c r="B20" s="313" t="s">
        <v>38</v>
      </c>
      <c r="C20" s="313"/>
      <c r="D20" s="313"/>
      <c r="E20" s="313"/>
      <c r="F20" s="313"/>
      <c r="G20" s="313"/>
      <c r="H20" s="313"/>
      <c r="I20" s="313" t="s">
        <v>39</v>
      </c>
      <c r="J20" s="313"/>
      <c r="K20" s="313"/>
      <c r="L20" s="313"/>
      <c r="M20" s="313"/>
      <c r="N20" s="313"/>
      <c r="O20" s="313"/>
      <c r="P20" s="269" t="s">
        <v>56</v>
      </c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184"/>
      <c r="AR20" s="310"/>
      <c r="AS20" s="311"/>
      <c r="AT20" s="311"/>
      <c r="AU20" s="311"/>
      <c r="AV20" s="311"/>
      <c r="AW20" s="311"/>
      <c r="AX20" s="311"/>
      <c r="AY20" s="311"/>
      <c r="AZ20" s="311"/>
      <c r="BA20" s="311"/>
      <c r="BB20" s="311"/>
      <c r="BC20" s="311"/>
      <c r="BD20" s="311"/>
      <c r="BE20" s="311"/>
      <c r="BF20" s="311"/>
      <c r="BG20" s="311"/>
      <c r="BH20" s="311"/>
      <c r="BI20" s="312"/>
      <c r="BJ20" s="4"/>
    </row>
    <row r="21" spans="1:62" ht="15" customHeight="1">
      <c r="A21" s="2"/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219" t="s">
        <v>30</v>
      </c>
      <c r="Q21" s="220"/>
      <c r="R21" s="220"/>
      <c r="S21" s="220"/>
      <c r="T21" s="220"/>
      <c r="U21" s="220"/>
      <c r="V21" s="220"/>
      <c r="W21" s="220" t="s">
        <v>31</v>
      </c>
      <c r="X21" s="220"/>
      <c r="Y21" s="220"/>
      <c r="Z21" s="220"/>
      <c r="AA21" s="220"/>
      <c r="AB21" s="220"/>
      <c r="AC21" s="220"/>
      <c r="AD21" s="220" t="s">
        <v>7</v>
      </c>
      <c r="AE21" s="220"/>
      <c r="AF21" s="220"/>
      <c r="AG21" s="220"/>
      <c r="AH21" s="220"/>
      <c r="AI21" s="220"/>
      <c r="AJ21" s="220"/>
      <c r="AK21" s="220" t="s">
        <v>32</v>
      </c>
      <c r="AL21" s="220"/>
      <c r="AM21" s="220"/>
      <c r="AN21" s="220"/>
      <c r="AO21" s="220"/>
      <c r="AP21" s="220"/>
      <c r="AQ21" s="316"/>
      <c r="AR21" s="303" t="s">
        <v>93</v>
      </c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5"/>
      <c r="BJ21" s="4"/>
    </row>
    <row r="22" spans="1:62" ht="15" customHeight="1">
      <c r="A22" s="2"/>
      <c r="B22" s="315"/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218" t="s">
        <v>51</v>
      </c>
      <c r="Q22" s="216"/>
      <c r="R22" s="216"/>
      <c r="S22" s="216"/>
      <c r="T22" s="216"/>
      <c r="U22" s="216"/>
      <c r="V22" s="216"/>
      <c r="W22" s="216" t="s">
        <v>51</v>
      </c>
      <c r="X22" s="216"/>
      <c r="Y22" s="216"/>
      <c r="Z22" s="216"/>
      <c r="AA22" s="216"/>
      <c r="AB22" s="216"/>
      <c r="AC22" s="216"/>
      <c r="AD22" s="216" t="s">
        <v>51</v>
      </c>
      <c r="AE22" s="216"/>
      <c r="AF22" s="216"/>
      <c r="AG22" s="216"/>
      <c r="AH22" s="216"/>
      <c r="AI22" s="216"/>
      <c r="AJ22" s="216"/>
      <c r="AK22" s="216" t="s">
        <v>51</v>
      </c>
      <c r="AL22" s="216"/>
      <c r="AM22" s="216"/>
      <c r="AN22" s="216"/>
      <c r="AO22" s="216"/>
      <c r="AP22" s="216"/>
      <c r="AQ22" s="155"/>
      <c r="AR22" s="228" t="s">
        <v>368</v>
      </c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229"/>
      <c r="BJ22" s="4"/>
    </row>
    <row r="23" spans="1:62" ht="15" customHeight="1">
      <c r="A23" s="2"/>
      <c r="B23" s="297"/>
      <c r="C23" s="297"/>
      <c r="D23" s="297"/>
      <c r="E23" s="297"/>
      <c r="F23" s="297"/>
      <c r="G23" s="297"/>
      <c r="H23" s="297"/>
      <c r="I23" s="299"/>
      <c r="J23" s="297"/>
      <c r="K23" s="297"/>
      <c r="L23" s="297"/>
      <c r="M23" s="297"/>
      <c r="N23" s="297"/>
      <c r="O23" s="297"/>
      <c r="P23" s="269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59"/>
      <c r="AL23" s="259"/>
      <c r="AM23" s="259"/>
      <c r="AN23" s="259"/>
      <c r="AO23" s="259"/>
      <c r="AP23" s="259"/>
      <c r="AQ23" s="300"/>
      <c r="AR23" s="288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90"/>
      <c r="BJ23" s="4"/>
    </row>
    <row r="24" spans="1:62" ht="15" customHeight="1">
      <c r="A24" s="2"/>
      <c r="B24" s="292"/>
      <c r="C24" s="292"/>
      <c r="D24" s="292"/>
      <c r="E24" s="292"/>
      <c r="F24" s="292"/>
      <c r="G24" s="292"/>
      <c r="H24" s="292"/>
      <c r="I24" s="291"/>
      <c r="J24" s="292"/>
      <c r="K24" s="292"/>
      <c r="L24" s="292"/>
      <c r="M24" s="292"/>
      <c r="N24" s="292"/>
      <c r="O24" s="292"/>
      <c r="P24" s="219"/>
      <c r="Q24" s="220"/>
      <c r="R24" s="220"/>
      <c r="S24" s="220"/>
      <c r="T24" s="220"/>
      <c r="U24" s="220"/>
      <c r="V24" s="220"/>
      <c r="W24" s="222"/>
      <c r="X24" s="222"/>
      <c r="Y24" s="222"/>
      <c r="Z24" s="222"/>
      <c r="AA24" s="222"/>
      <c r="AB24" s="222"/>
      <c r="AC24" s="222"/>
      <c r="AD24" s="220"/>
      <c r="AE24" s="220"/>
      <c r="AF24" s="220"/>
      <c r="AG24" s="220"/>
      <c r="AH24" s="220"/>
      <c r="AI24" s="220"/>
      <c r="AJ24" s="220"/>
      <c r="AK24" s="222"/>
      <c r="AL24" s="222"/>
      <c r="AM24" s="222"/>
      <c r="AN24" s="222"/>
      <c r="AO24" s="222"/>
      <c r="AP24" s="222"/>
      <c r="AQ24" s="293"/>
      <c r="AR24" s="294"/>
      <c r="AS24" s="295"/>
      <c r="AT24" s="295"/>
      <c r="AU24" s="295"/>
      <c r="AV24" s="295"/>
      <c r="AW24" s="295"/>
      <c r="AX24" s="295"/>
      <c r="AY24" s="295"/>
      <c r="AZ24" s="295"/>
      <c r="BA24" s="295"/>
      <c r="BB24" s="295"/>
      <c r="BC24" s="295"/>
      <c r="BD24" s="295"/>
      <c r="BE24" s="295"/>
      <c r="BF24" s="295"/>
      <c r="BG24" s="295"/>
      <c r="BH24" s="295"/>
      <c r="BI24" s="296"/>
      <c r="BJ24" s="4"/>
    </row>
    <row r="25" spans="1:62" ht="15" customHeight="1">
      <c r="A25" s="2"/>
      <c r="B25" s="298"/>
      <c r="C25" s="298"/>
      <c r="D25" s="298"/>
      <c r="E25" s="298"/>
      <c r="F25" s="298"/>
      <c r="G25" s="298"/>
      <c r="H25" s="298"/>
      <c r="I25" s="298" t="s">
        <v>54</v>
      </c>
      <c r="J25" s="298"/>
      <c r="K25" s="298"/>
      <c r="L25" s="298"/>
      <c r="M25" s="298"/>
      <c r="N25" s="298"/>
      <c r="O25" s="298"/>
      <c r="P25" s="301"/>
      <c r="Q25" s="271"/>
      <c r="R25" s="271"/>
      <c r="S25" s="271"/>
      <c r="T25" s="271"/>
      <c r="U25" s="271"/>
      <c r="V25" s="302"/>
      <c r="W25" s="271"/>
      <c r="X25" s="271"/>
      <c r="Y25" s="271"/>
      <c r="Z25" s="271"/>
      <c r="AA25" s="271"/>
      <c r="AB25" s="271"/>
      <c r="AC25" s="271"/>
      <c r="AD25" s="216"/>
      <c r="AE25" s="216"/>
      <c r="AF25" s="216"/>
      <c r="AG25" s="216"/>
      <c r="AH25" s="216"/>
      <c r="AI25" s="216"/>
      <c r="AJ25" s="216"/>
      <c r="AK25" s="271"/>
      <c r="AL25" s="271"/>
      <c r="AM25" s="271"/>
      <c r="AN25" s="271"/>
      <c r="AO25" s="271"/>
      <c r="AP25" s="271"/>
      <c r="AQ25" s="272"/>
      <c r="AR25" s="273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5"/>
      <c r="BJ25" s="4"/>
    </row>
    <row r="26" spans="1:62" ht="30" customHeight="1">
      <c r="A26" s="2"/>
      <c r="B26" s="276" t="s">
        <v>49</v>
      </c>
      <c r="C26" s="277"/>
      <c r="D26" s="277"/>
      <c r="E26" s="277"/>
      <c r="F26" s="277"/>
      <c r="G26" s="277"/>
      <c r="H26" s="278"/>
      <c r="I26" s="279" t="s">
        <v>102</v>
      </c>
      <c r="J26" s="280"/>
      <c r="K26" s="280"/>
      <c r="L26" s="280"/>
      <c r="M26" s="280"/>
      <c r="N26" s="280"/>
      <c r="O26" s="281"/>
      <c r="P26" s="282" t="s">
        <v>157</v>
      </c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42"/>
      <c r="AJ26" s="40"/>
      <c r="AK26" s="49"/>
      <c r="AL26" s="42"/>
      <c r="AM26" s="42"/>
      <c r="AN26" s="42"/>
      <c r="AO26" s="42"/>
      <c r="AP26" s="42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170" t="s">
        <v>58</v>
      </c>
      <c r="C29" s="200"/>
      <c r="D29" s="200"/>
      <c r="E29" s="200"/>
      <c r="F29" s="200"/>
      <c r="G29" s="201"/>
      <c r="H29" s="287" t="s">
        <v>59</v>
      </c>
      <c r="I29" s="260"/>
      <c r="J29" s="260"/>
      <c r="K29" s="260"/>
      <c r="L29" s="260"/>
      <c r="M29" s="260"/>
      <c r="N29" s="260"/>
      <c r="O29" s="261"/>
      <c r="P29" s="287" t="s">
        <v>60</v>
      </c>
      <c r="Q29" s="260"/>
      <c r="R29" s="260"/>
      <c r="S29" s="260"/>
      <c r="T29" s="260"/>
      <c r="U29" s="260"/>
      <c r="V29" s="260"/>
      <c r="W29" s="261"/>
      <c r="X29" s="269" t="s">
        <v>43</v>
      </c>
      <c r="Y29" s="260"/>
      <c r="Z29" s="260"/>
      <c r="AA29" s="260"/>
      <c r="AB29" s="260"/>
      <c r="AC29" s="260"/>
      <c r="AD29" s="260"/>
      <c r="AE29" s="261"/>
      <c r="AF29" s="287" t="s">
        <v>61</v>
      </c>
      <c r="AG29" s="260"/>
      <c r="AH29" s="260"/>
      <c r="AI29" s="260"/>
      <c r="AJ29" s="260"/>
      <c r="AK29" s="260"/>
      <c r="AL29" s="260"/>
      <c r="AM29" s="261"/>
      <c r="AN29" s="269" t="s">
        <v>62</v>
      </c>
      <c r="AO29" s="260"/>
      <c r="AP29" s="260"/>
      <c r="AQ29" s="260"/>
      <c r="AR29" s="260"/>
      <c r="AS29" s="260"/>
      <c r="AT29" s="260"/>
      <c r="AU29" s="261"/>
      <c r="AV29" s="269" t="s">
        <v>63</v>
      </c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1"/>
      <c r="BJ29" s="4"/>
    </row>
    <row r="30" spans="1:62" ht="15" customHeight="1">
      <c r="A30" s="2"/>
      <c r="B30" s="248"/>
      <c r="C30" s="249"/>
      <c r="D30" s="249"/>
      <c r="E30" s="249"/>
      <c r="F30" s="249"/>
      <c r="G30" s="283"/>
      <c r="H30" s="219"/>
      <c r="I30" s="220"/>
      <c r="J30" s="220"/>
      <c r="K30" s="220"/>
      <c r="L30" s="220"/>
      <c r="M30" s="220"/>
      <c r="N30" s="220"/>
      <c r="O30" s="223"/>
      <c r="P30" s="270" t="s">
        <v>96</v>
      </c>
      <c r="Q30" s="254"/>
      <c r="R30" s="254"/>
      <c r="S30" s="254"/>
      <c r="T30" s="254"/>
      <c r="U30" s="254"/>
      <c r="V30" s="254"/>
      <c r="W30" s="255"/>
      <c r="X30" s="270" t="s">
        <v>97</v>
      </c>
      <c r="Y30" s="254"/>
      <c r="Z30" s="254"/>
      <c r="AA30" s="254"/>
      <c r="AB30" s="254"/>
      <c r="AC30" s="254"/>
      <c r="AD30" s="254"/>
      <c r="AE30" s="255"/>
      <c r="AF30" s="270" t="s">
        <v>98</v>
      </c>
      <c r="AG30" s="254"/>
      <c r="AH30" s="254"/>
      <c r="AI30" s="254"/>
      <c r="AJ30" s="254"/>
      <c r="AK30" s="254"/>
      <c r="AL30" s="254"/>
      <c r="AM30" s="255"/>
      <c r="AN30" s="270" t="s">
        <v>8</v>
      </c>
      <c r="AO30" s="254"/>
      <c r="AP30" s="254"/>
      <c r="AQ30" s="254"/>
      <c r="AR30" s="254"/>
      <c r="AS30" s="254"/>
      <c r="AT30" s="254"/>
      <c r="AU30" s="255"/>
      <c r="AV30" s="270" t="s">
        <v>156</v>
      </c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5"/>
      <c r="BJ30" s="4"/>
    </row>
    <row r="31" spans="1:62" ht="15" customHeight="1">
      <c r="A31" s="2"/>
      <c r="B31" s="248"/>
      <c r="C31" s="249"/>
      <c r="D31" s="249"/>
      <c r="E31" s="249"/>
      <c r="F31" s="249"/>
      <c r="G31" s="283"/>
      <c r="H31" s="219"/>
      <c r="I31" s="220"/>
      <c r="J31" s="220"/>
      <c r="K31" s="220"/>
      <c r="L31" s="220"/>
      <c r="M31" s="220"/>
      <c r="N31" s="220"/>
      <c r="O31" s="223"/>
      <c r="P31" s="219" t="s">
        <v>9</v>
      </c>
      <c r="Q31" s="220"/>
      <c r="R31" s="220"/>
      <c r="S31" s="220"/>
      <c r="T31" s="220"/>
      <c r="U31" s="220"/>
      <c r="V31" s="220"/>
      <c r="W31" s="223"/>
      <c r="X31" s="219" t="s">
        <v>357</v>
      </c>
      <c r="Y31" s="220"/>
      <c r="Z31" s="220"/>
      <c r="AA31" s="220"/>
      <c r="AB31" s="220"/>
      <c r="AC31" s="220"/>
      <c r="AD31" s="220"/>
      <c r="AE31" s="223"/>
      <c r="AF31" s="219" t="s">
        <v>0</v>
      </c>
      <c r="AG31" s="220"/>
      <c r="AH31" s="220"/>
      <c r="AI31" s="220"/>
      <c r="AJ31" s="220"/>
      <c r="AK31" s="220"/>
      <c r="AL31" s="220"/>
      <c r="AM31" s="223"/>
      <c r="AN31" s="219" t="s">
        <v>10</v>
      </c>
      <c r="AO31" s="220"/>
      <c r="AP31" s="220"/>
      <c r="AQ31" s="220"/>
      <c r="AR31" s="220"/>
      <c r="AS31" s="220"/>
      <c r="AT31" s="220"/>
      <c r="AU31" s="223"/>
      <c r="AV31" s="219" t="s">
        <v>33</v>
      </c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3"/>
      <c r="BJ31" s="4"/>
    </row>
    <row r="32" spans="1:62" ht="15" customHeight="1">
      <c r="A32" s="2"/>
      <c r="B32" s="284"/>
      <c r="C32" s="285"/>
      <c r="D32" s="285"/>
      <c r="E32" s="285"/>
      <c r="F32" s="285"/>
      <c r="G32" s="286"/>
      <c r="H32" s="218" t="s">
        <v>11</v>
      </c>
      <c r="I32" s="216"/>
      <c r="J32" s="216"/>
      <c r="K32" s="216"/>
      <c r="L32" s="216" t="s">
        <v>12</v>
      </c>
      <c r="M32" s="216"/>
      <c r="N32" s="216"/>
      <c r="O32" s="217"/>
      <c r="P32" s="218" t="s">
        <v>11</v>
      </c>
      <c r="Q32" s="216"/>
      <c r="R32" s="216"/>
      <c r="S32" s="216"/>
      <c r="T32" s="216" t="s">
        <v>12</v>
      </c>
      <c r="U32" s="216"/>
      <c r="V32" s="216"/>
      <c r="W32" s="217"/>
      <c r="X32" s="218" t="s">
        <v>11</v>
      </c>
      <c r="Y32" s="216"/>
      <c r="Z32" s="216"/>
      <c r="AA32" s="216"/>
      <c r="AB32" s="216" t="s">
        <v>12</v>
      </c>
      <c r="AC32" s="216"/>
      <c r="AD32" s="216"/>
      <c r="AE32" s="217"/>
      <c r="AF32" s="218" t="s">
        <v>11</v>
      </c>
      <c r="AG32" s="216"/>
      <c r="AH32" s="216"/>
      <c r="AI32" s="216"/>
      <c r="AJ32" s="216" t="s">
        <v>12</v>
      </c>
      <c r="AK32" s="216"/>
      <c r="AL32" s="216"/>
      <c r="AM32" s="217"/>
      <c r="AN32" s="218" t="s">
        <v>11</v>
      </c>
      <c r="AO32" s="216"/>
      <c r="AP32" s="216"/>
      <c r="AQ32" s="216"/>
      <c r="AR32" s="216" t="s">
        <v>12</v>
      </c>
      <c r="AS32" s="216"/>
      <c r="AT32" s="216"/>
      <c r="AU32" s="217"/>
      <c r="AV32" s="218" t="s">
        <v>11</v>
      </c>
      <c r="AW32" s="216"/>
      <c r="AX32" s="216"/>
      <c r="AY32" s="216"/>
      <c r="AZ32" s="216"/>
      <c r="BA32" s="216"/>
      <c r="BB32" s="216"/>
      <c r="BC32" s="216" t="s">
        <v>12</v>
      </c>
      <c r="BD32" s="216"/>
      <c r="BE32" s="216"/>
      <c r="BF32" s="216"/>
      <c r="BG32" s="216"/>
      <c r="BH32" s="216"/>
      <c r="BI32" s="217"/>
      <c r="BJ32" s="4"/>
    </row>
    <row r="33" spans="1:62" ht="15.75" customHeight="1">
      <c r="A33" s="2"/>
      <c r="B33" s="199"/>
      <c r="C33" s="200"/>
      <c r="D33" s="200"/>
      <c r="E33" s="200"/>
      <c r="F33" s="200"/>
      <c r="G33" s="201"/>
      <c r="H33" s="264"/>
      <c r="I33" s="260"/>
      <c r="J33" s="260"/>
      <c r="K33" s="260"/>
      <c r="L33" s="260"/>
      <c r="M33" s="260"/>
      <c r="N33" s="260"/>
      <c r="O33" s="261"/>
      <c r="P33" s="265"/>
      <c r="Q33" s="266"/>
      <c r="R33" s="266"/>
      <c r="S33" s="266"/>
      <c r="T33" s="260"/>
      <c r="U33" s="260"/>
      <c r="V33" s="260"/>
      <c r="W33" s="261"/>
      <c r="X33" s="267"/>
      <c r="Y33" s="268"/>
      <c r="Z33" s="268"/>
      <c r="AA33" s="268"/>
      <c r="AB33" s="260"/>
      <c r="AC33" s="260"/>
      <c r="AD33" s="260"/>
      <c r="AE33" s="261"/>
      <c r="AF33" s="267"/>
      <c r="AG33" s="268"/>
      <c r="AH33" s="268"/>
      <c r="AI33" s="268"/>
      <c r="AJ33" s="260"/>
      <c r="AK33" s="260"/>
      <c r="AL33" s="260"/>
      <c r="AM33" s="261"/>
      <c r="AN33" s="258"/>
      <c r="AO33" s="259"/>
      <c r="AP33" s="259"/>
      <c r="AQ33" s="259"/>
      <c r="AR33" s="260"/>
      <c r="AS33" s="260"/>
      <c r="AT33" s="260"/>
      <c r="AU33" s="261"/>
      <c r="AV33" s="262"/>
      <c r="AW33" s="263"/>
      <c r="AX33" s="263"/>
      <c r="AY33" s="263"/>
      <c r="AZ33" s="263"/>
      <c r="BA33" s="263"/>
      <c r="BB33" s="263"/>
      <c r="BC33" s="205"/>
      <c r="BD33" s="205"/>
      <c r="BE33" s="205"/>
      <c r="BF33" s="205"/>
      <c r="BG33" s="205"/>
      <c r="BH33" s="205"/>
      <c r="BI33" s="206"/>
      <c r="BJ33" s="4"/>
    </row>
    <row r="34" spans="1:62" ht="15.75" customHeight="1">
      <c r="A34" s="2"/>
      <c r="B34" s="230"/>
      <c r="C34" s="231"/>
      <c r="D34" s="231"/>
      <c r="E34" s="231"/>
      <c r="F34" s="231"/>
      <c r="G34" s="232"/>
      <c r="H34" s="219"/>
      <c r="I34" s="220"/>
      <c r="J34" s="220"/>
      <c r="K34" s="220"/>
      <c r="L34" s="220"/>
      <c r="M34" s="220"/>
      <c r="N34" s="220"/>
      <c r="O34" s="223"/>
      <c r="P34" s="244"/>
      <c r="Q34" s="245"/>
      <c r="R34" s="245"/>
      <c r="S34" s="245"/>
      <c r="T34" s="220"/>
      <c r="U34" s="220"/>
      <c r="V34" s="220"/>
      <c r="W34" s="223"/>
      <c r="X34" s="246"/>
      <c r="Y34" s="247"/>
      <c r="Z34" s="247"/>
      <c r="AA34" s="247"/>
      <c r="AB34" s="220"/>
      <c r="AC34" s="220"/>
      <c r="AD34" s="220"/>
      <c r="AE34" s="223"/>
      <c r="AF34" s="219"/>
      <c r="AG34" s="220"/>
      <c r="AH34" s="220"/>
      <c r="AI34" s="220"/>
      <c r="AJ34" s="220"/>
      <c r="AK34" s="220"/>
      <c r="AL34" s="220"/>
      <c r="AM34" s="223"/>
      <c r="AN34" s="221"/>
      <c r="AO34" s="222"/>
      <c r="AP34" s="222"/>
      <c r="AQ34" s="222"/>
      <c r="AR34" s="220"/>
      <c r="AS34" s="220"/>
      <c r="AT34" s="220"/>
      <c r="AU34" s="223"/>
      <c r="AV34" s="257" t="s">
        <v>64</v>
      </c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4"/>
    </row>
    <row r="35" spans="1:62" ht="15.75" customHeight="1">
      <c r="A35" s="2"/>
      <c r="B35" s="236"/>
      <c r="C35" s="237"/>
      <c r="D35" s="237"/>
      <c r="E35" s="237"/>
      <c r="F35" s="237"/>
      <c r="G35" s="256"/>
      <c r="H35" s="219"/>
      <c r="I35" s="220"/>
      <c r="J35" s="220"/>
      <c r="K35" s="220"/>
      <c r="L35" s="220"/>
      <c r="M35" s="220"/>
      <c r="N35" s="220"/>
      <c r="O35" s="223"/>
      <c r="P35" s="244"/>
      <c r="Q35" s="245"/>
      <c r="R35" s="245"/>
      <c r="S35" s="245"/>
      <c r="T35" s="220"/>
      <c r="U35" s="220"/>
      <c r="V35" s="220"/>
      <c r="W35" s="223"/>
      <c r="X35" s="246"/>
      <c r="Y35" s="247"/>
      <c r="Z35" s="247"/>
      <c r="AA35" s="247"/>
      <c r="AB35" s="220"/>
      <c r="AC35" s="220"/>
      <c r="AD35" s="220"/>
      <c r="AE35" s="223"/>
      <c r="AF35" s="219"/>
      <c r="AG35" s="220"/>
      <c r="AH35" s="220"/>
      <c r="AI35" s="220"/>
      <c r="AJ35" s="220"/>
      <c r="AK35" s="220"/>
      <c r="AL35" s="220"/>
      <c r="AM35" s="223"/>
      <c r="AN35" s="221"/>
      <c r="AO35" s="222"/>
      <c r="AP35" s="222"/>
      <c r="AQ35" s="222"/>
      <c r="AR35" s="220"/>
      <c r="AS35" s="220"/>
      <c r="AT35" s="220"/>
      <c r="AU35" s="223"/>
      <c r="AV35" s="219"/>
      <c r="AW35" s="220"/>
      <c r="AX35" s="220"/>
      <c r="AY35" s="220"/>
      <c r="AZ35" s="220"/>
      <c r="BA35" s="254" t="s">
        <v>101</v>
      </c>
      <c r="BB35" s="254"/>
      <c r="BC35" s="254"/>
      <c r="BD35" s="254"/>
      <c r="BE35" s="254"/>
      <c r="BF35" s="254"/>
      <c r="BG35" s="254"/>
      <c r="BH35" s="254"/>
      <c r="BI35" s="255"/>
      <c r="BJ35" s="4"/>
    </row>
    <row r="36" spans="1:62" ht="15.75" customHeight="1">
      <c r="A36" s="2"/>
      <c r="B36" s="230"/>
      <c r="C36" s="231"/>
      <c r="D36" s="231"/>
      <c r="E36" s="231"/>
      <c r="F36" s="231"/>
      <c r="G36" s="232"/>
      <c r="H36" s="219"/>
      <c r="I36" s="220"/>
      <c r="J36" s="220"/>
      <c r="K36" s="220"/>
      <c r="L36" s="220"/>
      <c r="M36" s="220"/>
      <c r="N36" s="220"/>
      <c r="O36" s="223"/>
      <c r="P36" s="244"/>
      <c r="Q36" s="245"/>
      <c r="R36" s="245"/>
      <c r="S36" s="245"/>
      <c r="T36" s="220"/>
      <c r="U36" s="220"/>
      <c r="V36" s="220"/>
      <c r="W36" s="223"/>
      <c r="X36" s="246"/>
      <c r="Y36" s="247"/>
      <c r="Z36" s="247"/>
      <c r="AA36" s="247"/>
      <c r="AB36" s="220"/>
      <c r="AC36" s="220"/>
      <c r="AD36" s="220"/>
      <c r="AE36" s="223"/>
      <c r="AF36" s="219"/>
      <c r="AG36" s="220"/>
      <c r="AH36" s="220"/>
      <c r="AI36" s="220"/>
      <c r="AJ36" s="220"/>
      <c r="AK36" s="220"/>
      <c r="AL36" s="220"/>
      <c r="AM36" s="223"/>
      <c r="AN36" s="221"/>
      <c r="AO36" s="222"/>
      <c r="AP36" s="222"/>
      <c r="AQ36" s="222"/>
      <c r="AR36" s="220"/>
      <c r="AS36" s="220"/>
      <c r="AT36" s="220"/>
      <c r="AU36" s="223"/>
      <c r="AV36" s="218"/>
      <c r="AW36" s="216"/>
      <c r="AX36" s="216"/>
      <c r="AY36" s="216"/>
      <c r="AZ36" s="216"/>
      <c r="BA36" s="216" t="s">
        <v>34</v>
      </c>
      <c r="BB36" s="216"/>
      <c r="BC36" s="216"/>
      <c r="BD36" s="216"/>
      <c r="BE36" s="216"/>
      <c r="BF36" s="216"/>
      <c r="BG36" s="216"/>
      <c r="BH36" s="216"/>
      <c r="BI36" s="217"/>
      <c r="BJ36" s="4"/>
    </row>
    <row r="37" spans="1:62" ht="15.75" customHeight="1">
      <c r="A37" s="2"/>
      <c r="B37" s="230"/>
      <c r="C37" s="231"/>
      <c r="D37" s="231"/>
      <c r="E37" s="231"/>
      <c r="F37" s="231"/>
      <c r="G37" s="232"/>
      <c r="H37" s="219"/>
      <c r="I37" s="220"/>
      <c r="J37" s="220"/>
      <c r="K37" s="220"/>
      <c r="L37" s="220"/>
      <c r="M37" s="220"/>
      <c r="N37" s="220"/>
      <c r="O37" s="223"/>
      <c r="P37" s="244"/>
      <c r="Q37" s="245"/>
      <c r="R37" s="245"/>
      <c r="S37" s="245"/>
      <c r="T37" s="220"/>
      <c r="U37" s="220"/>
      <c r="V37" s="220"/>
      <c r="W37" s="223"/>
      <c r="X37" s="246"/>
      <c r="Y37" s="247"/>
      <c r="Z37" s="247"/>
      <c r="AA37" s="247"/>
      <c r="AB37" s="220"/>
      <c r="AC37" s="220"/>
      <c r="AD37" s="220"/>
      <c r="AE37" s="223"/>
      <c r="AF37" s="219"/>
      <c r="AG37" s="220"/>
      <c r="AH37" s="220"/>
      <c r="AI37" s="220"/>
      <c r="AJ37" s="220"/>
      <c r="AK37" s="220"/>
      <c r="AL37" s="220"/>
      <c r="AM37" s="223"/>
      <c r="AN37" s="221"/>
      <c r="AO37" s="222"/>
      <c r="AP37" s="222"/>
      <c r="AQ37" s="222"/>
      <c r="AR37" s="220"/>
      <c r="AS37" s="220"/>
      <c r="AT37" s="220"/>
      <c r="AU37" s="223"/>
      <c r="AV37" s="224" t="s">
        <v>11</v>
      </c>
      <c r="AW37" s="225"/>
      <c r="AX37" s="225"/>
      <c r="AY37" s="225"/>
      <c r="AZ37" s="225"/>
      <c r="BA37" s="252"/>
      <c r="BB37" s="252"/>
      <c r="BC37" s="252"/>
      <c r="BD37" s="252"/>
      <c r="BE37" s="252"/>
      <c r="BF37" s="252"/>
      <c r="BG37" s="252"/>
      <c r="BH37" s="252"/>
      <c r="BI37" s="253"/>
      <c r="BJ37" s="4"/>
    </row>
    <row r="38" spans="1:62" ht="15.75" customHeight="1">
      <c r="A38" s="2"/>
      <c r="B38" s="230"/>
      <c r="C38" s="231"/>
      <c r="D38" s="231"/>
      <c r="E38" s="231"/>
      <c r="F38" s="231"/>
      <c r="G38" s="232"/>
      <c r="H38" s="219"/>
      <c r="I38" s="220"/>
      <c r="J38" s="220"/>
      <c r="K38" s="220"/>
      <c r="L38" s="220"/>
      <c r="M38" s="220"/>
      <c r="N38" s="220"/>
      <c r="O38" s="223"/>
      <c r="P38" s="244"/>
      <c r="Q38" s="245"/>
      <c r="R38" s="245"/>
      <c r="S38" s="245"/>
      <c r="T38" s="220"/>
      <c r="U38" s="220"/>
      <c r="V38" s="220"/>
      <c r="W38" s="223"/>
      <c r="X38" s="246"/>
      <c r="Y38" s="247"/>
      <c r="Z38" s="247"/>
      <c r="AA38" s="247"/>
      <c r="AB38" s="220"/>
      <c r="AC38" s="220"/>
      <c r="AD38" s="220"/>
      <c r="AE38" s="223"/>
      <c r="AF38" s="219"/>
      <c r="AG38" s="220"/>
      <c r="AH38" s="220"/>
      <c r="AI38" s="220"/>
      <c r="AJ38" s="220"/>
      <c r="AK38" s="220"/>
      <c r="AL38" s="220"/>
      <c r="AM38" s="223"/>
      <c r="AN38" s="221"/>
      <c r="AO38" s="222"/>
      <c r="AP38" s="222"/>
      <c r="AQ38" s="222"/>
      <c r="AR38" s="220"/>
      <c r="AS38" s="220"/>
      <c r="AT38" s="220"/>
      <c r="AU38" s="223"/>
      <c r="AV38" s="251" t="s">
        <v>12</v>
      </c>
      <c r="AW38" s="241"/>
      <c r="AX38" s="241"/>
      <c r="AY38" s="241"/>
      <c r="AZ38" s="241"/>
      <c r="BA38" s="197"/>
      <c r="BB38" s="197"/>
      <c r="BC38" s="197"/>
      <c r="BD38" s="197"/>
      <c r="BE38" s="197"/>
      <c r="BF38" s="197"/>
      <c r="BG38" s="197"/>
      <c r="BH38" s="197"/>
      <c r="BI38" s="198"/>
      <c r="BJ38" s="4"/>
    </row>
    <row r="39" spans="1:62" ht="15.75" customHeight="1">
      <c r="A39" s="2"/>
      <c r="B39" s="230"/>
      <c r="C39" s="231"/>
      <c r="D39" s="231"/>
      <c r="E39" s="231"/>
      <c r="F39" s="231"/>
      <c r="G39" s="232"/>
      <c r="H39" s="219"/>
      <c r="I39" s="220"/>
      <c r="J39" s="220"/>
      <c r="K39" s="220"/>
      <c r="L39" s="220"/>
      <c r="M39" s="220"/>
      <c r="N39" s="220"/>
      <c r="O39" s="223"/>
      <c r="P39" s="244"/>
      <c r="Q39" s="245"/>
      <c r="R39" s="245"/>
      <c r="S39" s="245"/>
      <c r="T39" s="220"/>
      <c r="U39" s="220"/>
      <c r="V39" s="220"/>
      <c r="W39" s="223"/>
      <c r="X39" s="246"/>
      <c r="Y39" s="247"/>
      <c r="Z39" s="247"/>
      <c r="AA39" s="247"/>
      <c r="AB39" s="220"/>
      <c r="AC39" s="220"/>
      <c r="AD39" s="220"/>
      <c r="AE39" s="223"/>
      <c r="AF39" s="219"/>
      <c r="AG39" s="220"/>
      <c r="AH39" s="220"/>
      <c r="AI39" s="220"/>
      <c r="AJ39" s="220"/>
      <c r="AK39" s="220"/>
      <c r="AL39" s="220"/>
      <c r="AM39" s="223"/>
      <c r="AN39" s="221"/>
      <c r="AO39" s="222"/>
      <c r="AP39" s="222"/>
      <c r="AQ39" s="222"/>
      <c r="AR39" s="220"/>
      <c r="AS39" s="220"/>
      <c r="AT39" s="220"/>
      <c r="AU39" s="223"/>
      <c r="AV39" s="218" t="s">
        <v>54</v>
      </c>
      <c r="AW39" s="216"/>
      <c r="AX39" s="216"/>
      <c r="AY39" s="216"/>
      <c r="AZ39" s="216"/>
      <c r="BA39" s="213"/>
      <c r="BB39" s="214"/>
      <c r="BC39" s="214"/>
      <c r="BD39" s="214"/>
      <c r="BE39" s="214"/>
      <c r="BF39" s="214"/>
      <c r="BG39" s="214"/>
      <c r="BH39" s="214"/>
      <c r="BI39" s="215"/>
      <c r="BJ39" s="4"/>
    </row>
    <row r="40" spans="1:62" ht="15.75" customHeight="1">
      <c r="A40" s="2"/>
      <c r="B40" s="230"/>
      <c r="C40" s="231"/>
      <c r="D40" s="231"/>
      <c r="E40" s="231"/>
      <c r="F40" s="231"/>
      <c r="G40" s="232"/>
      <c r="H40" s="219"/>
      <c r="I40" s="220"/>
      <c r="J40" s="220"/>
      <c r="K40" s="220"/>
      <c r="L40" s="220"/>
      <c r="M40" s="220"/>
      <c r="N40" s="220"/>
      <c r="O40" s="223"/>
      <c r="P40" s="244"/>
      <c r="Q40" s="245"/>
      <c r="R40" s="245"/>
      <c r="S40" s="245"/>
      <c r="T40" s="220"/>
      <c r="U40" s="220"/>
      <c r="V40" s="220"/>
      <c r="W40" s="223"/>
      <c r="X40" s="246"/>
      <c r="Y40" s="247"/>
      <c r="Z40" s="247"/>
      <c r="AA40" s="247"/>
      <c r="AB40" s="220"/>
      <c r="AC40" s="220"/>
      <c r="AD40" s="220"/>
      <c r="AE40" s="223"/>
      <c r="AF40" s="219"/>
      <c r="AG40" s="220"/>
      <c r="AH40" s="220"/>
      <c r="AI40" s="220"/>
      <c r="AJ40" s="220"/>
      <c r="AK40" s="220"/>
      <c r="AL40" s="220"/>
      <c r="AM40" s="223"/>
      <c r="AN40" s="221"/>
      <c r="AO40" s="222"/>
      <c r="AP40" s="222"/>
      <c r="AQ40" s="222"/>
      <c r="AR40" s="220"/>
      <c r="AS40" s="220"/>
      <c r="AT40" s="220"/>
      <c r="AU40" s="223"/>
      <c r="AV40" s="199" t="s">
        <v>65</v>
      </c>
      <c r="AW40" s="200"/>
      <c r="AX40" s="200"/>
      <c r="AY40" s="200"/>
      <c r="AZ40" s="235"/>
      <c r="BA40" s="233" t="s">
        <v>99</v>
      </c>
      <c r="BB40" s="233"/>
      <c r="BC40" s="233"/>
      <c r="BD40" s="233"/>
      <c r="BE40" s="233"/>
      <c r="BF40" s="233"/>
      <c r="BG40" s="233"/>
      <c r="BH40" s="233"/>
      <c r="BI40" s="234"/>
      <c r="BJ40" s="4"/>
    </row>
    <row r="41" spans="1:62" ht="15.75" customHeight="1">
      <c r="A41" s="2"/>
      <c r="B41" s="230"/>
      <c r="C41" s="231"/>
      <c r="D41" s="231"/>
      <c r="E41" s="231"/>
      <c r="F41" s="231"/>
      <c r="G41" s="232"/>
      <c r="H41" s="243"/>
      <c r="I41" s="220"/>
      <c r="J41" s="220"/>
      <c r="K41" s="220"/>
      <c r="L41" s="220"/>
      <c r="M41" s="220"/>
      <c r="N41" s="220"/>
      <c r="O41" s="223"/>
      <c r="P41" s="244"/>
      <c r="Q41" s="245"/>
      <c r="R41" s="245"/>
      <c r="S41" s="245"/>
      <c r="T41" s="220"/>
      <c r="U41" s="220"/>
      <c r="V41" s="220"/>
      <c r="W41" s="223"/>
      <c r="X41" s="246"/>
      <c r="Y41" s="247"/>
      <c r="Z41" s="247"/>
      <c r="AA41" s="247"/>
      <c r="AB41" s="220"/>
      <c r="AC41" s="220"/>
      <c r="AD41" s="220"/>
      <c r="AE41" s="223"/>
      <c r="AF41" s="219"/>
      <c r="AG41" s="220"/>
      <c r="AH41" s="220"/>
      <c r="AI41" s="220"/>
      <c r="AJ41" s="220"/>
      <c r="AK41" s="220"/>
      <c r="AL41" s="220"/>
      <c r="AM41" s="223"/>
      <c r="AN41" s="221"/>
      <c r="AO41" s="222"/>
      <c r="AP41" s="222"/>
      <c r="AQ41" s="222"/>
      <c r="AR41" s="220"/>
      <c r="AS41" s="220"/>
      <c r="AT41" s="220"/>
      <c r="AU41" s="223"/>
      <c r="AV41" s="248"/>
      <c r="AW41" s="249"/>
      <c r="AX41" s="249"/>
      <c r="AY41" s="249"/>
      <c r="AZ41" s="250"/>
      <c r="BA41" s="241" t="s">
        <v>367</v>
      </c>
      <c r="BB41" s="241"/>
      <c r="BC41" s="241"/>
      <c r="BD41" s="241"/>
      <c r="BE41" s="241"/>
      <c r="BF41" s="241"/>
      <c r="BG41" s="241"/>
      <c r="BH41" s="241"/>
      <c r="BI41" s="242"/>
      <c r="BJ41" s="4"/>
    </row>
    <row r="42" spans="1:62" ht="15.75" customHeight="1">
      <c r="A42" s="2"/>
      <c r="B42" s="230"/>
      <c r="C42" s="231"/>
      <c r="D42" s="231"/>
      <c r="E42" s="231"/>
      <c r="F42" s="231"/>
      <c r="G42" s="232"/>
      <c r="H42" s="219"/>
      <c r="I42" s="220"/>
      <c r="J42" s="220"/>
      <c r="K42" s="220"/>
      <c r="L42" s="220"/>
      <c r="M42" s="220"/>
      <c r="N42" s="220"/>
      <c r="O42" s="223"/>
      <c r="P42" s="219"/>
      <c r="Q42" s="220"/>
      <c r="R42" s="220"/>
      <c r="S42" s="220"/>
      <c r="T42" s="220"/>
      <c r="U42" s="220"/>
      <c r="V42" s="220"/>
      <c r="W42" s="223"/>
      <c r="X42" s="219"/>
      <c r="Y42" s="220"/>
      <c r="Z42" s="220"/>
      <c r="AA42" s="220"/>
      <c r="AB42" s="220"/>
      <c r="AC42" s="220"/>
      <c r="AD42" s="220"/>
      <c r="AE42" s="223"/>
      <c r="AF42" s="219"/>
      <c r="AG42" s="220"/>
      <c r="AH42" s="220"/>
      <c r="AI42" s="220"/>
      <c r="AJ42" s="220"/>
      <c r="AK42" s="220"/>
      <c r="AL42" s="220"/>
      <c r="AM42" s="223"/>
      <c r="AN42" s="221"/>
      <c r="AO42" s="222"/>
      <c r="AP42" s="222"/>
      <c r="AQ42" s="222"/>
      <c r="AR42" s="220"/>
      <c r="AS42" s="220"/>
      <c r="AT42" s="220"/>
      <c r="AU42" s="223"/>
      <c r="AV42" s="219" t="s">
        <v>11</v>
      </c>
      <c r="AW42" s="220"/>
      <c r="AX42" s="220"/>
      <c r="AY42" s="220"/>
      <c r="AZ42" s="220"/>
      <c r="BA42" s="226"/>
      <c r="BB42" s="226"/>
      <c r="BC42" s="226"/>
      <c r="BD42" s="226"/>
      <c r="BE42" s="226"/>
      <c r="BF42" s="226"/>
      <c r="BG42" s="226"/>
      <c r="BH42" s="226"/>
      <c r="BI42" s="227"/>
      <c r="BJ42" s="4"/>
    </row>
    <row r="43" spans="1:62" ht="15.75" customHeight="1">
      <c r="A43" s="2"/>
      <c r="B43" s="230"/>
      <c r="C43" s="231"/>
      <c r="D43" s="231"/>
      <c r="E43" s="231"/>
      <c r="F43" s="231"/>
      <c r="G43" s="232"/>
      <c r="H43" s="219"/>
      <c r="I43" s="220"/>
      <c r="J43" s="220"/>
      <c r="K43" s="220"/>
      <c r="L43" s="220"/>
      <c r="M43" s="220"/>
      <c r="N43" s="220"/>
      <c r="O43" s="223"/>
      <c r="P43" s="219"/>
      <c r="Q43" s="220"/>
      <c r="R43" s="220"/>
      <c r="S43" s="220"/>
      <c r="T43" s="220"/>
      <c r="U43" s="220"/>
      <c r="V43" s="220"/>
      <c r="W43" s="223"/>
      <c r="X43" s="219"/>
      <c r="Y43" s="220"/>
      <c r="Z43" s="220"/>
      <c r="AA43" s="220"/>
      <c r="AB43" s="220"/>
      <c r="AC43" s="220"/>
      <c r="AD43" s="220"/>
      <c r="AE43" s="223"/>
      <c r="AF43" s="219"/>
      <c r="AG43" s="220"/>
      <c r="AH43" s="220"/>
      <c r="AI43" s="220"/>
      <c r="AJ43" s="220"/>
      <c r="AK43" s="220"/>
      <c r="AL43" s="220"/>
      <c r="AM43" s="223"/>
      <c r="AN43" s="221"/>
      <c r="AO43" s="222"/>
      <c r="AP43" s="222"/>
      <c r="AQ43" s="222"/>
      <c r="AR43" s="220"/>
      <c r="AS43" s="220"/>
      <c r="AT43" s="220"/>
      <c r="AU43" s="223"/>
      <c r="AV43" s="219" t="s">
        <v>12</v>
      </c>
      <c r="AW43" s="220"/>
      <c r="AX43" s="220"/>
      <c r="AY43" s="220"/>
      <c r="AZ43" s="220"/>
      <c r="BA43" s="239"/>
      <c r="BB43" s="239"/>
      <c r="BC43" s="239"/>
      <c r="BD43" s="239"/>
      <c r="BE43" s="239"/>
      <c r="BF43" s="239"/>
      <c r="BG43" s="239"/>
      <c r="BH43" s="239"/>
      <c r="BI43" s="240"/>
      <c r="BJ43" s="4"/>
    </row>
    <row r="44" spans="1:62" ht="15.75" customHeight="1">
      <c r="A44" s="2"/>
      <c r="B44" s="230"/>
      <c r="C44" s="231"/>
      <c r="D44" s="231"/>
      <c r="E44" s="231"/>
      <c r="F44" s="231"/>
      <c r="G44" s="232"/>
      <c r="H44" s="219"/>
      <c r="I44" s="220"/>
      <c r="J44" s="220"/>
      <c r="K44" s="220"/>
      <c r="L44" s="220"/>
      <c r="M44" s="220"/>
      <c r="N44" s="220"/>
      <c r="O44" s="223"/>
      <c r="P44" s="219"/>
      <c r="Q44" s="220"/>
      <c r="R44" s="220"/>
      <c r="S44" s="220"/>
      <c r="T44" s="220"/>
      <c r="U44" s="220"/>
      <c r="V44" s="220"/>
      <c r="W44" s="223"/>
      <c r="X44" s="219"/>
      <c r="Y44" s="220"/>
      <c r="Z44" s="220"/>
      <c r="AA44" s="220"/>
      <c r="AB44" s="220"/>
      <c r="AC44" s="220"/>
      <c r="AD44" s="220"/>
      <c r="AE44" s="223"/>
      <c r="AF44" s="219"/>
      <c r="AG44" s="220"/>
      <c r="AH44" s="220"/>
      <c r="AI44" s="220"/>
      <c r="AJ44" s="220"/>
      <c r="AK44" s="220"/>
      <c r="AL44" s="220"/>
      <c r="AM44" s="223"/>
      <c r="AN44" s="221"/>
      <c r="AO44" s="222"/>
      <c r="AP44" s="222"/>
      <c r="AQ44" s="222"/>
      <c r="AR44" s="220"/>
      <c r="AS44" s="220"/>
      <c r="AT44" s="220"/>
      <c r="AU44" s="223"/>
      <c r="AV44" s="211" t="s">
        <v>54</v>
      </c>
      <c r="AW44" s="212"/>
      <c r="AX44" s="212"/>
      <c r="AY44" s="212"/>
      <c r="AZ44" s="212"/>
      <c r="BA44" s="213"/>
      <c r="BB44" s="214"/>
      <c r="BC44" s="214"/>
      <c r="BD44" s="214"/>
      <c r="BE44" s="214"/>
      <c r="BF44" s="214"/>
      <c r="BG44" s="214"/>
      <c r="BH44" s="214"/>
      <c r="BI44" s="215"/>
      <c r="BJ44" s="4"/>
    </row>
    <row r="45" spans="1:62" ht="15.75" customHeight="1">
      <c r="A45" s="2"/>
      <c r="B45" s="230"/>
      <c r="C45" s="231"/>
      <c r="D45" s="231"/>
      <c r="E45" s="231"/>
      <c r="F45" s="231"/>
      <c r="G45" s="232"/>
      <c r="H45" s="219"/>
      <c r="I45" s="220"/>
      <c r="J45" s="220"/>
      <c r="K45" s="220"/>
      <c r="L45" s="220"/>
      <c r="M45" s="220"/>
      <c r="N45" s="220"/>
      <c r="O45" s="223"/>
      <c r="P45" s="219"/>
      <c r="Q45" s="220"/>
      <c r="R45" s="220"/>
      <c r="S45" s="220"/>
      <c r="T45" s="220"/>
      <c r="U45" s="220"/>
      <c r="V45" s="220"/>
      <c r="W45" s="223"/>
      <c r="X45" s="219"/>
      <c r="Y45" s="220"/>
      <c r="Z45" s="220"/>
      <c r="AA45" s="220"/>
      <c r="AB45" s="220"/>
      <c r="AC45" s="220"/>
      <c r="AD45" s="220"/>
      <c r="AE45" s="223"/>
      <c r="AF45" s="219"/>
      <c r="AG45" s="220"/>
      <c r="AH45" s="220"/>
      <c r="AI45" s="220"/>
      <c r="AJ45" s="220"/>
      <c r="AK45" s="220"/>
      <c r="AL45" s="220"/>
      <c r="AM45" s="223"/>
      <c r="AN45" s="221"/>
      <c r="AO45" s="222"/>
      <c r="AP45" s="222"/>
      <c r="AQ45" s="222"/>
      <c r="AR45" s="220"/>
      <c r="AS45" s="220"/>
      <c r="AT45" s="220"/>
      <c r="AU45" s="223"/>
      <c r="AV45" s="199" t="s">
        <v>66</v>
      </c>
      <c r="AW45" s="200"/>
      <c r="AX45" s="200"/>
      <c r="AY45" s="200"/>
      <c r="AZ45" s="235"/>
      <c r="BA45" s="233" t="s">
        <v>100</v>
      </c>
      <c r="BB45" s="233"/>
      <c r="BC45" s="233"/>
      <c r="BD45" s="233"/>
      <c r="BE45" s="233"/>
      <c r="BF45" s="233"/>
      <c r="BG45" s="233"/>
      <c r="BH45" s="233"/>
      <c r="BI45" s="234"/>
      <c r="BJ45" s="4"/>
    </row>
    <row r="46" spans="1:62" ht="15.75" customHeight="1">
      <c r="A46" s="2"/>
      <c r="B46" s="230"/>
      <c r="C46" s="231"/>
      <c r="D46" s="231"/>
      <c r="E46" s="231"/>
      <c r="F46" s="231"/>
      <c r="G46" s="232"/>
      <c r="H46" s="219"/>
      <c r="I46" s="220"/>
      <c r="J46" s="220"/>
      <c r="K46" s="220"/>
      <c r="L46" s="220"/>
      <c r="M46" s="220"/>
      <c r="N46" s="220"/>
      <c r="O46" s="223"/>
      <c r="P46" s="219"/>
      <c r="Q46" s="220"/>
      <c r="R46" s="220"/>
      <c r="S46" s="220"/>
      <c r="T46" s="220"/>
      <c r="U46" s="220"/>
      <c r="V46" s="220"/>
      <c r="W46" s="223"/>
      <c r="X46" s="219"/>
      <c r="Y46" s="220"/>
      <c r="Z46" s="220"/>
      <c r="AA46" s="220"/>
      <c r="AB46" s="220"/>
      <c r="AC46" s="220"/>
      <c r="AD46" s="220"/>
      <c r="AE46" s="223"/>
      <c r="AF46" s="219"/>
      <c r="AG46" s="220"/>
      <c r="AH46" s="220"/>
      <c r="AI46" s="220"/>
      <c r="AJ46" s="220"/>
      <c r="AK46" s="220"/>
      <c r="AL46" s="220"/>
      <c r="AM46" s="223"/>
      <c r="AN46" s="221"/>
      <c r="AO46" s="222"/>
      <c r="AP46" s="222"/>
      <c r="AQ46" s="222"/>
      <c r="AR46" s="220"/>
      <c r="AS46" s="220"/>
      <c r="AT46" s="220"/>
      <c r="AU46" s="223"/>
      <c r="AV46" s="236"/>
      <c r="AW46" s="237"/>
      <c r="AX46" s="237"/>
      <c r="AY46" s="237"/>
      <c r="AZ46" s="238"/>
      <c r="BA46" s="220" t="s">
        <v>367</v>
      </c>
      <c r="BB46" s="220"/>
      <c r="BC46" s="220"/>
      <c r="BD46" s="220"/>
      <c r="BE46" s="220"/>
      <c r="BF46" s="220"/>
      <c r="BG46" s="220"/>
      <c r="BH46" s="220"/>
      <c r="BI46" s="223"/>
      <c r="BJ46" s="4"/>
    </row>
    <row r="47" spans="1:62" ht="15.75" customHeight="1">
      <c r="A47" s="2"/>
      <c r="B47" s="230"/>
      <c r="C47" s="231"/>
      <c r="D47" s="231"/>
      <c r="E47" s="231"/>
      <c r="F47" s="231"/>
      <c r="G47" s="232"/>
      <c r="H47" s="219"/>
      <c r="I47" s="220"/>
      <c r="J47" s="220"/>
      <c r="K47" s="220"/>
      <c r="L47" s="220"/>
      <c r="M47" s="220"/>
      <c r="N47" s="220"/>
      <c r="O47" s="223"/>
      <c r="P47" s="219"/>
      <c r="Q47" s="220"/>
      <c r="R47" s="220"/>
      <c r="S47" s="220"/>
      <c r="T47" s="220"/>
      <c r="U47" s="220"/>
      <c r="V47" s="220"/>
      <c r="W47" s="223"/>
      <c r="X47" s="219"/>
      <c r="Y47" s="220"/>
      <c r="Z47" s="220"/>
      <c r="AA47" s="220"/>
      <c r="AB47" s="220"/>
      <c r="AC47" s="220"/>
      <c r="AD47" s="220"/>
      <c r="AE47" s="223"/>
      <c r="AF47" s="219"/>
      <c r="AG47" s="220"/>
      <c r="AH47" s="220"/>
      <c r="AI47" s="220"/>
      <c r="AJ47" s="220"/>
      <c r="AK47" s="220"/>
      <c r="AL47" s="220"/>
      <c r="AM47" s="223"/>
      <c r="AN47" s="221"/>
      <c r="AO47" s="222"/>
      <c r="AP47" s="222"/>
      <c r="AQ47" s="222"/>
      <c r="AR47" s="220"/>
      <c r="AS47" s="220"/>
      <c r="AT47" s="220"/>
      <c r="AU47" s="223"/>
      <c r="AV47" s="224" t="s">
        <v>11</v>
      </c>
      <c r="AW47" s="225"/>
      <c r="AX47" s="225"/>
      <c r="AY47" s="225"/>
      <c r="AZ47" s="225"/>
      <c r="BA47" s="226"/>
      <c r="BB47" s="226"/>
      <c r="BC47" s="226"/>
      <c r="BD47" s="226"/>
      <c r="BE47" s="226"/>
      <c r="BF47" s="226"/>
      <c r="BG47" s="226"/>
      <c r="BH47" s="226"/>
      <c r="BI47" s="227"/>
      <c r="BJ47" s="4"/>
    </row>
    <row r="48" spans="1:62" ht="15.75" customHeight="1">
      <c r="A48" s="2"/>
      <c r="B48" s="228"/>
      <c r="C48" s="156"/>
      <c r="D48" s="156"/>
      <c r="E48" s="156"/>
      <c r="F48" s="156"/>
      <c r="G48" s="229"/>
      <c r="H48" s="218"/>
      <c r="I48" s="216"/>
      <c r="J48" s="216"/>
      <c r="K48" s="216"/>
      <c r="L48" s="216"/>
      <c r="M48" s="216"/>
      <c r="N48" s="216"/>
      <c r="O48" s="217"/>
      <c r="P48" s="218"/>
      <c r="Q48" s="216"/>
      <c r="R48" s="216"/>
      <c r="S48" s="216"/>
      <c r="T48" s="216"/>
      <c r="U48" s="216"/>
      <c r="V48" s="216"/>
      <c r="W48" s="217"/>
      <c r="X48" s="218"/>
      <c r="Y48" s="216"/>
      <c r="Z48" s="216"/>
      <c r="AA48" s="216"/>
      <c r="AB48" s="216"/>
      <c r="AC48" s="216"/>
      <c r="AD48" s="216"/>
      <c r="AE48" s="217"/>
      <c r="AF48" s="218"/>
      <c r="AG48" s="216"/>
      <c r="AH48" s="216"/>
      <c r="AI48" s="216"/>
      <c r="AJ48" s="216"/>
      <c r="AK48" s="216"/>
      <c r="AL48" s="216"/>
      <c r="AM48" s="217"/>
      <c r="AN48" s="218"/>
      <c r="AO48" s="216"/>
      <c r="AP48" s="216"/>
      <c r="AQ48" s="216"/>
      <c r="AR48" s="216"/>
      <c r="AS48" s="216"/>
      <c r="AT48" s="216"/>
      <c r="AU48" s="217"/>
      <c r="AV48" s="219" t="s">
        <v>12</v>
      </c>
      <c r="AW48" s="220"/>
      <c r="AX48" s="220"/>
      <c r="AY48" s="220"/>
      <c r="AZ48" s="220"/>
      <c r="BA48" s="197"/>
      <c r="BB48" s="197"/>
      <c r="BC48" s="197"/>
      <c r="BD48" s="197"/>
      <c r="BE48" s="197"/>
      <c r="BF48" s="197"/>
      <c r="BG48" s="197"/>
      <c r="BH48" s="197"/>
      <c r="BI48" s="198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99" t="s">
        <v>54</v>
      </c>
      <c r="Q49" s="200"/>
      <c r="R49" s="200"/>
      <c r="S49" s="200"/>
      <c r="T49" s="200"/>
      <c r="U49" s="200"/>
      <c r="V49" s="200"/>
      <c r="W49" s="201"/>
      <c r="X49" s="202"/>
      <c r="Y49" s="203"/>
      <c r="Z49" s="203"/>
      <c r="AA49" s="204"/>
      <c r="AB49" s="205"/>
      <c r="AC49" s="205"/>
      <c r="AD49" s="205"/>
      <c r="AE49" s="206"/>
      <c r="AF49" s="207"/>
      <c r="AG49" s="208"/>
      <c r="AH49" s="208"/>
      <c r="AI49" s="189"/>
      <c r="AJ49" s="189"/>
      <c r="AK49" s="189"/>
      <c r="AL49" s="189"/>
      <c r="AM49" s="209"/>
      <c r="AN49" s="210"/>
      <c r="AO49" s="208"/>
      <c r="AP49" s="208"/>
      <c r="AQ49" s="208"/>
      <c r="AR49" s="205"/>
      <c r="AS49" s="205"/>
      <c r="AT49" s="205"/>
      <c r="AU49" s="206"/>
      <c r="AV49" s="211" t="s">
        <v>54</v>
      </c>
      <c r="AW49" s="212"/>
      <c r="AX49" s="212"/>
      <c r="AY49" s="212"/>
      <c r="AZ49" s="212"/>
      <c r="BA49" s="213"/>
      <c r="BB49" s="214"/>
      <c r="BC49" s="214"/>
      <c r="BD49" s="214"/>
      <c r="BE49" s="214"/>
      <c r="BF49" s="214"/>
      <c r="BG49" s="214"/>
      <c r="BH49" s="214"/>
      <c r="BI49" s="215"/>
      <c r="BJ49" s="4"/>
    </row>
    <row r="50" spans="1:62" ht="15" customHeight="1">
      <c r="A50" s="2"/>
      <c r="B50" s="188" t="s">
        <v>146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90" t="s">
        <v>13</v>
      </c>
      <c r="P50" s="190"/>
      <c r="Q50" s="190"/>
      <c r="R50" s="190"/>
      <c r="S50" s="191"/>
      <c r="T50" s="192"/>
      <c r="U50" s="192"/>
      <c r="V50" s="192"/>
      <c r="W50" s="193"/>
      <c r="X50" s="194" t="s">
        <v>67</v>
      </c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6"/>
      <c r="AP50" s="190" t="s">
        <v>14</v>
      </c>
      <c r="AQ50" s="190"/>
      <c r="AR50" s="190"/>
      <c r="AS50" s="190"/>
      <c r="AT50" s="189" t="s">
        <v>35</v>
      </c>
      <c r="AU50" s="189"/>
      <c r="AV50" s="189"/>
      <c r="AW50" s="18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60"/>
      <c r="BJ50" s="4"/>
    </row>
    <row r="51" spans="1:62" ht="15" customHeight="1">
      <c r="A51" s="2"/>
      <c r="B51" s="161" t="s">
        <v>49</v>
      </c>
      <c r="C51" s="162"/>
      <c r="D51" s="162"/>
      <c r="E51" s="162"/>
      <c r="F51" s="162"/>
      <c r="G51" s="162"/>
      <c r="H51" s="163"/>
      <c r="I51" s="170" t="s">
        <v>68</v>
      </c>
      <c r="J51" s="171"/>
      <c r="K51" s="171"/>
      <c r="L51" s="171"/>
      <c r="M51" s="171"/>
      <c r="N51" s="171"/>
      <c r="O51" s="172"/>
      <c r="P51" s="179" t="s">
        <v>139</v>
      </c>
      <c r="Q51" s="180"/>
      <c r="R51" s="180"/>
      <c r="S51" s="180"/>
      <c r="T51" s="181"/>
      <c r="U51" s="182"/>
      <c r="V51" s="182"/>
      <c r="W51" s="182"/>
      <c r="X51" s="36" t="s">
        <v>6</v>
      </c>
      <c r="Y51" s="36"/>
      <c r="Z51" s="181"/>
      <c r="AA51" s="182"/>
      <c r="AB51" s="182"/>
      <c r="AC51" s="182"/>
      <c r="AD51" s="182"/>
      <c r="AE51" s="183"/>
      <c r="AF51" s="184" t="s">
        <v>69</v>
      </c>
      <c r="AG51" s="185"/>
      <c r="AH51" s="185"/>
      <c r="AI51" s="185"/>
      <c r="AJ51" s="185"/>
      <c r="AK51" s="185"/>
      <c r="AL51" s="185"/>
      <c r="AM51" s="185"/>
      <c r="AN51" s="185"/>
      <c r="AO51" s="186"/>
      <c r="AP51" s="179" t="s">
        <v>378</v>
      </c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7"/>
      <c r="BJ51" s="4"/>
    </row>
    <row r="52" spans="1:62" ht="15" customHeight="1">
      <c r="A52" s="2"/>
      <c r="B52" s="164"/>
      <c r="C52" s="165"/>
      <c r="D52" s="165"/>
      <c r="E52" s="165"/>
      <c r="F52" s="165"/>
      <c r="G52" s="165"/>
      <c r="H52" s="166"/>
      <c r="I52" s="173"/>
      <c r="J52" s="174"/>
      <c r="K52" s="174"/>
      <c r="L52" s="174"/>
      <c r="M52" s="174"/>
      <c r="N52" s="174"/>
      <c r="O52" s="175"/>
      <c r="P52" s="148" t="s">
        <v>139</v>
      </c>
      <c r="Q52" s="149"/>
      <c r="R52" s="149"/>
      <c r="S52" s="149"/>
      <c r="T52" s="143"/>
      <c r="U52" s="143"/>
      <c r="V52" s="143"/>
      <c r="W52" s="143"/>
      <c r="X52" s="14" t="s">
        <v>6</v>
      </c>
      <c r="Y52" s="14"/>
      <c r="Z52" s="143"/>
      <c r="AA52" s="143"/>
      <c r="AB52" s="143"/>
      <c r="AC52" s="143"/>
      <c r="AD52" s="143"/>
      <c r="AE52" s="144"/>
      <c r="AF52" s="145" t="s">
        <v>135</v>
      </c>
      <c r="AG52" s="146"/>
      <c r="AH52" s="146"/>
      <c r="AI52" s="146"/>
      <c r="AJ52" s="146"/>
      <c r="AK52" s="146"/>
      <c r="AL52" s="146"/>
      <c r="AM52" s="146"/>
      <c r="AN52" s="146"/>
      <c r="AO52" s="147"/>
      <c r="AP52" s="148" t="s">
        <v>379</v>
      </c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50"/>
      <c r="BJ52" s="4"/>
    </row>
    <row r="53" spans="1:62" ht="15" customHeight="1">
      <c r="A53" s="2"/>
      <c r="B53" s="167"/>
      <c r="C53" s="168"/>
      <c r="D53" s="168"/>
      <c r="E53" s="168"/>
      <c r="F53" s="168"/>
      <c r="G53" s="168"/>
      <c r="H53" s="169"/>
      <c r="I53" s="176"/>
      <c r="J53" s="177"/>
      <c r="K53" s="177"/>
      <c r="L53" s="177"/>
      <c r="M53" s="177"/>
      <c r="N53" s="177"/>
      <c r="O53" s="178"/>
      <c r="P53" s="151" t="s">
        <v>139</v>
      </c>
      <c r="Q53" s="152"/>
      <c r="R53" s="152"/>
      <c r="S53" s="152"/>
      <c r="T53" s="153"/>
      <c r="U53" s="153"/>
      <c r="V53" s="153"/>
      <c r="W53" s="153"/>
      <c r="X53" s="129" t="s">
        <v>6</v>
      </c>
      <c r="Y53" s="129"/>
      <c r="Z53" s="153"/>
      <c r="AA53" s="153"/>
      <c r="AB53" s="153"/>
      <c r="AC53" s="153"/>
      <c r="AD53" s="153"/>
      <c r="AE53" s="154"/>
      <c r="AF53" s="155" t="s">
        <v>140</v>
      </c>
      <c r="AG53" s="156"/>
      <c r="AH53" s="156"/>
      <c r="AI53" s="156"/>
      <c r="AJ53" s="156"/>
      <c r="AK53" s="156"/>
      <c r="AL53" s="156"/>
      <c r="AM53" s="156"/>
      <c r="AN53" s="156"/>
      <c r="AO53" s="157"/>
      <c r="AP53" s="128" t="s">
        <v>380</v>
      </c>
      <c r="AQ53" s="123"/>
      <c r="AR53" s="123"/>
      <c r="AS53" s="123"/>
      <c r="AT53" s="123"/>
      <c r="AU53" s="123"/>
      <c r="AV53" s="129"/>
      <c r="AW53" s="129"/>
      <c r="AX53" s="129"/>
      <c r="AY53" s="129"/>
      <c r="AZ53" s="129"/>
      <c r="BA53" s="129"/>
      <c r="BB53" s="156"/>
      <c r="BC53" s="156"/>
      <c r="BD53" s="152"/>
      <c r="BE53" s="152"/>
      <c r="BF53" s="152"/>
      <c r="BG53" s="152"/>
      <c r="BH53" s="152"/>
      <c r="BI53" s="158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30" customHeight="1">
      <c r="A55" s="50"/>
      <c r="B55" s="139" t="s">
        <v>147</v>
      </c>
      <c r="C55" s="139"/>
      <c r="D55" s="139"/>
      <c r="E55" s="139"/>
      <c r="F55" s="139"/>
      <c r="G55" s="139"/>
      <c r="H55" s="139"/>
      <c r="I55" s="139"/>
      <c r="J55" s="140"/>
      <c r="K55" s="141" t="s">
        <v>148</v>
      </c>
      <c r="L55" s="139"/>
      <c r="M55" s="139"/>
      <c r="N55" s="139"/>
      <c r="O55" s="139"/>
      <c r="P55" s="139"/>
      <c r="Q55" s="139"/>
      <c r="R55" s="139" t="s">
        <v>149</v>
      </c>
      <c r="S55" s="139"/>
      <c r="T55" s="139"/>
      <c r="U55" s="139"/>
      <c r="V55" s="139"/>
      <c r="W55" s="139"/>
      <c r="X55" s="139"/>
      <c r="Y55" s="140"/>
      <c r="Z55" s="141" t="s">
        <v>150</v>
      </c>
      <c r="AA55" s="139"/>
      <c r="AB55" s="139"/>
      <c r="AC55" s="139"/>
      <c r="AD55" s="139"/>
      <c r="AE55" s="139"/>
      <c r="AF55" s="139"/>
      <c r="AG55" s="139"/>
      <c r="AH55" s="139"/>
      <c r="AI55" s="142" t="s">
        <v>366</v>
      </c>
      <c r="AJ55" s="142"/>
      <c r="AK55" s="142"/>
      <c r="AL55" s="142"/>
      <c r="AM55" s="142"/>
      <c r="AN55" s="142"/>
      <c r="AO55" s="142"/>
      <c r="AP55" s="142"/>
      <c r="AQ55" s="142"/>
      <c r="AR55" s="139" t="s">
        <v>151</v>
      </c>
      <c r="AS55" s="139"/>
      <c r="AT55" s="139"/>
      <c r="AU55" s="139"/>
      <c r="AV55" s="139"/>
      <c r="AW55" s="139"/>
      <c r="AX55" s="139"/>
      <c r="AY55" s="139"/>
      <c r="AZ55" s="139"/>
      <c r="BA55" s="140"/>
      <c r="BB55" s="137">
        <v>42095</v>
      </c>
      <c r="BC55" s="138"/>
      <c r="BD55" s="138"/>
      <c r="BE55" s="138"/>
      <c r="BF55" s="138"/>
      <c r="BG55" s="138"/>
      <c r="BH55" s="138"/>
      <c r="BI55" s="138"/>
      <c r="BJ55" s="51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D6:BI6"/>
    <mergeCell ref="BD7:BI7"/>
    <mergeCell ref="B47:G47"/>
    <mergeCell ref="H47:K47"/>
    <mergeCell ref="L47:O47"/>
    <mergeCell ref="P47:S47"/>
    <mergeCell ref="T47:W47"/>
    <mergeCell ref="X47:AA47"/>
    <mergeCell ref="B48:G48"/>
    <mergeCell ref="H48:K48"/>
    <mergeCell ref="P36:S36"/>
    <mergeCell ref="T36:W36"/>
    <mergeCell ref="X36:AA36"/>
    <mergeCell ref="B39:G39"/>
    <mergeCell ref="H39:K39"/>
    <mergeCell ref="L39:O39"/>
    <mergeCell ref="P39:S39"/>
    <mergeCell ref="T39:W39"/>
    <mergeCell ref="B38:G38"/>
    <mergeCell ref="H38:K38"/>
    <mergeCell ref="L38:O38"/>
    <mergeCell ref="P38:S38"/>
    <mergeCell ref="T38:W38"/>
    <mergeCell ref="L48:O48"/>
    <mergeCell ref="P48:S48"/>
    <mergeCell ref="T48:W48"/>
    <mergeCell ref="AR38:AU38"/>
    <mergeCell ref="AB39:AE39"/>
    <mergeCell ref="AF39:AI39"/>
    <mergeCell ref="AR39:AU39"/>
    <mergeCell ref="AN38:AQ38"/>
    <mergeCell ref="X38:AA38"/>
    <mergeCell ref="AJ39:AM39"/>
    <mergeCell ref="AN39:AQ39"/>
    <mergeCell ref="X48:AA48"/>
    <mergeCell ref="AB48:AE48"/>
    <mergeCell ref="AF48:AI48"/>
    <mergeCell ref="AJ48:AM48"/>
    <mergeCell ref="AB38:AE38"/>
    <mergeCell ref="AF38:AI38"/>
    <mergeCell ref="AJ38:AM38"/>
    <mergeCell ref="X39:AA39"/>
    <mergeCell ref="AV39:AZ39"/>
    <mergeCell ref="BA39:BI39"/>
    <mergeCell ref="Z53:AE53"/>
    <mergeCell ref="AB47:AE47"/>
    <mergeCell ref="AF47:AI47"/>
    <mergeCell ref="AJ47:AM47"/>
    <mergeCell ref="AN47:AQ47"/>
    <mergeCell ref="AR47:AU47"/>
    <mergeCell ref="AV47:AZ47"/>
    <mergeCell ref="AJ49:AM49"/>
    <mergeCell ref="AJ46:AM46"/>
    <mergeCell ref="AN46:AQ46"/>
    <mergeCell ref="AR46:AU46"/>
    <mergeCell ref="BA46:BI46"/>
    <mergeCell ref="AN45:AQ45"/>
    <mergeCell ref="AR45:AU45"/>
    <mergeCell ref="AV45:AZ46"/>
    <mergeCell ref="BA45:BI45"/>
    <mergeCell ref="AN49:AQ49"/>
    <mergeCell ref="BA47:BI47"/>
    <mergeCell ref="BA43:BI43"/>
    <mergeCell ref="AB43:AE43"/>
    <mergeCell ref="AF43:AI43"/>
    <mergeCell ref="AJ43:AM43"/>
    <mergeCell ref="AR19:BI20"/>
    <mergeCell ref="S50:W50"/>
    <mergeCell ref="X50:AO50"/>
    <mergeCell ref="T51:W51"/>
    <mergeCell ref="T52:W52"/>
    <mergeCell ref="T53:W53"/>
    <mergeCell ref="AF51:AO51"/>
    <mergeCell ref="AP50:AS50"/>
    <mergeCell ref="AT50:AW50"/>
    <mergeCell ref="AX50:BI50"/>
    <mergeCell ref="AN48:AQ48"/>
    <mergeCell ref="AR48:AU48"/>
    <mergeCell ref="AV48:AZ48"/>
    <mergeCell ref="BA48:BI48"/>
    <mergeCell ref="P49:W49"/>
    <mergeCell ref="X49:AA49"/>
    <mergeCell ref="AB49:AE49"/>
    <mergeCell ref="AF49:AI49"/>
    <mergeCell ref="AN35:AQ35"/>
    <mergeCell ref="AR35:AU35"/>
    <mergeCell ref="AN36:AQ36"/>
    <mergeCell ref="AR36:AU36"/>
    <mergeCell ref="AV35:AZ36"/>
    <mergeCell ref="Z52:AE52"/>
    <mergeCell ref="AI17:AR17"/>
    <mergeCell ref="AS17:BI17"/>
    <mergeCell ref="BB53:BC53"/>
    <mergeCell ref="BD53:BI53"/>
    <mergeCell ref="A3:L3"/>
    <mergeCell ref="A4:L4"/>
    <mergeCell ref="AP51:BI51"/>
    <mergeCell ref="P52:S52"/>
    <mergeCell ref="AP52:BI52"/>
    <mergeCell ref="AF52:AO52"/>
    <mergeCell ref="B51:H53"/>
    <mergeCell ref="I51:O53"/>
    <mergeCell ref="P51:S51"/>
    <mergeCell ref="P53:S53"/>
    <mergeCell ref="AR49:AU49"/>
    <mergeCell ref="AV49:AZ49"/>
    <mergeCell ref="BA49:BI49"/>
    <mergeCell ref="B50:N50"/>
    <mergeCell ref="O50:R50"/>
    <mergeCell ref="AF53:AO53"/>
    <mergeCell ref="Z51:AE51"/>
    <mergeCell ref="V6:Y6"/>
    <mergeCell ref="B46:G46"/>
    <mergeCell ref="H46:K46"/>
    <mergeCell ref="L46:O46"/>
    <mergeCell ref="P46:S46"/>
    <mergeCell ref="T46:W46"/>
    <mergeCell ref="X46:AA46"/>
    <mergeCell ref="BA44:BI44"/>
    <mergeCell ref="B45:G45"/>
    <mergeCell ref="H45:K45"/>
    <mergeCell ref="L45:O45"/>
    <mergeCell ref="P45:S45"/>
    <mergeCell ref="T45:W45"/>
    <mergeCell ref="X45:AA45"/>
    <mergeCell ref="AB45:AE45"/>
    <mergeCell ref="AF45:AI45"/>
    <mergeCell ref="AJ45:AM45"/>
    <mergeCell ref="AB44:AE44"/>
    <mergeCell ref="AF44:AI44"/>
    <mergeCell ref="AJ44:AM44"/>
    <mergeCell ref="AN44:AQ44"/>
    <mergeCell ref="AR44:AU44"/>
    <mergeCell ref="AV44:AZ44"/>
    <mergeCell ref="AB46:AE46"/>
    <mergeCell ref="AF46:AI46"/>
    <mergeCell ref="B44:G44"/>
    <mergeCell ref="H44:K44"/>
    <mergeCell ref="L44:O44"/>
    <mergeCell ref="P44:S44"/>
    <mergeCell ref="T44:W44"/>
    <mergeCell ref="X44:AA44"/>
    <mergeCell ref="B43:G43"/>
    <mergeCell ref="H43:K43"/>
    <mergeCell ref="L43:O43"/>
    <mergeCell ref="P43:S43"/>
    <mergeCell ref="T43:W43"/>
    <mergeCell ref="X43:AA43"/>
    <mergeCell ref="B42:G42"/>
    <mergeCell ref="H42:K42"/>
    <mergeCell ref="L42:O42"/>
    <mergeCell ref="P42:S42"/>
    <mergeCell ref="T42:W42"/>
    <mergeCell ref="X42:AA42"/>
    <mergeCell ref="AN43:AQ43"/>
    <mergeCell ref="AR43:AU43"/>
    <mergeCell ref="AV43:AZ43"/>
    <mergeCell ref="BA41:BI41"/>
    <mergeCell ref="AN40:AQ40"/>
    <mergeCell ref="AR40:AU40"/>
    <mergeCell ref="AV40:AZ41"/>
    <mergeCell ref="BA40:BI40"/>
    <mergeCell ref="BA42:BI42"/>
    <mergeCell ref="AB42:AE42"/>
    <mergeCell ref="AF42:AI42"/>
    <mergeCell ref="AJ42:AM42"/>
    <mergeCell ref="AN42:AQ42"/>
    <mergeCell ref="AR42:AU42"/>
    <mergeCell ref="AV42:AZ42"/>
    <mergeCell ref="AB41:AE41"/>
    <mergeCell ref="AF41:AI41"/>
    <mergeCell ref="AJ41:AM41"/>
    <mergeCell ref="AN41:AQ41"/>
    <mergeCell ref="AR41:AU41"/>
    <mergeCell ref="AB40:AE40"/>
    <mergeCell ref="AF40:AI40"/>
    <mergeCell ref="AJ40:AM40"/>
    <mergeCell ref="B41:G41"/>
    <mergeCell ref="H41:K41"/>
    <mergeCell ref="L41:O41"/>
    <mergeCell ref="P41:S41"/>
    <mergeCell ref="T41:W41"/>
    <mergeCell ref="X41:AA41"/>
    <mergeCell ref="B40:G40"/>
    <mergeCell ref="H40:K40"/>
    <mergeCell ref="L40:O40"/>
    <mergeCell ref="P40:S40"/>
    <mergeCell ref="T40:W40"/>
    <mergeCell ref="X40:AA40"/>
    <mergeCell ref="B37:G37"/>
    <mergeCell ref="H37:K37"/>
    <mergeCell ref="L37:O37"/>
    <mergeCell ref="P37:S37"/>
    <mergeCell ref="T37:W37"/>
    <mergeCell ref="B35:G35"/>
    <mergeCell ref="H35:K35"/>
    <mergeCell ref="L35:O35"/>
    <mergeCell ref="P35:S35"/>
    <mergeCell ref="T35:W35"/>
    <mergeCell ref="B36:G36"/>
    <mergeCell ref="H36:K36"/>
    <mergeCell ref="L36:O36"/>
    <mergeCell ref="AR37:AU37"/>
    <mergeCell ref="AB36:AE36"/>
    <mergeCell ref="AF36:AI36"/>
    <mergeCell ref="AJ36:AM36"/>
    <mergeCell ref="AF32:AI32"/>
    <mergeCell ref="AJ32:AM32"/>
    <mergeCell ref="AN32:AQ32"/>
    <mergeCell ref="AR32:AU32"/>
    <mergeCell ref="BA35:BI35"/>
    <mergeCell ref="BA36:BI36"/>
    <mergeCell ref="AV37:AZ37"/>
    <mergeCell ref="BA37:BI37"/>
    <mergeCell ref="AB34:AE34"/>
    <mergeCell ref="AF34:AI34"/>
    <mergeCell ref="AB35:AE35"/>
    <mergeCell ref="AF35:AI35"/>
    <mergeCell ref="AJ35:AM35"/>
    <mergeCell ref="AV34:BI34"/>
    <mergeCell ref="AV33:BB33"/>
    <mergeCell ref="BC33:BI33"/>
    <mergeCell ref="AV32:BB32"/>
    <mergeCell ref="AR34:AU34"/>
    <mergeCell ref="AR33:AU33"/>
    <mergeCell ref="H32:K32"/>
    <mergeCell ref="L32:O32"/>
    <mergeCell ref="P32:S32"/>
    <mergeCell ref="T32:W32"/>
    <mergeCell ref="X32:AA32"/>
    <mergeCell ref="AB37:AE37"/>
    <mergeCell ref="AF37:AI37"/>
    <mergeCell ref="AJ37:AM37"/>
    <mergeCell ref="AN37:AQ37"/>
    <mergeCell ref="X35:AA35"/>
    <mergeCell ref="X37:AA37"/>
    <mergeCell ref="AB32:AE32"/>
    <mergeCell ref="AJ34:AM34"/>
    <mergeCell ref="AN34:AQ34"/>
    <mergeCell ref="AN33:AQ33"/>
    <mergeCell ref="AD25:AJ25"/>
    <mergeCell ref="P31:W31"/>
    <mergeCell ref="X31:AE31"/>
    <mergeCell ref="AF31:AM31"/>
    <mergeCell ref="AN31:AU31"/>
    <mergeCell ref="AV31:BI31"/>
    <mergeCell ref="AV38:AZ38"/>
    <mergeCell ref="BA38:BI38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I15:AN15"/>
    <mergeCell ref="AO15:AU15"/>
    <mergeCell ref="AV15:BB15"/>
    <mergeCell ref="B16:H17"/>
    <mergeCell ref="I16:O16"/>
    <mergeCell ref="P16:AH16"/>
    <mergeCell ref="B13:H15"/>
    <mergeCell ref="AD21:AJ21"/>
    <mergeCell ref="AK21:AQ21"/>
    <mergeCell ref="AR21:BI21"/>
    <mergeCell ref="P22:V22"/>
    <mergeCell ref="W22:AC22"/>
    <mergeCell ref="AD22:AJ22"/>
    <mergeCell ref="AK22:AQ22"/>
    <mergeCell ref="AR22:BI22"/>
    <mergeCell ref="I17:O17"/>
    <mergeCell ref="P17:AH17"/>
    <mergeCell ref="AI16:AR16"/>
    <mergeCell ref="AS16:BI16"/>
    <mergeCell ref="AD6:AG6"/>
    <mergeCell ref="AH6:AK6"/>
    <mergeCell ref="V7:Y7"/>
    <mergeCell ref="Z7:AC7"/>
    <mergeCell ref="AD7:AG7"/>
    <mergeCell ref="AH7:AK7"/>
    <mergeCell ref="B9:H12"/>
    <mergeCell ref="I9:O12"/>
    <mergeCell ref="P9:U12"/>
    <mergeCell ref="V9:AN9"/>
    <mergeCell ref="AE10:AH10"/>
    <mergeCell ref="V10:AD10"/>
    <mergeCell ref="V11:AD11"/>
    <mergeCell ref="AE11:AH11"/>
    <mergeCell ref="V12:AD12"/>
    <mergeCell ref="AE12:AH12"/>
    <mergeCell ref="Z6:AC6"/>
    <mergeCell ref="AI10:AN10"/>
    <mergeCell ref="AI12:AN12"/>
    <mergeCell ref="AI11:AN11"/>
    <mergeCell ref="AL8:AW8"/>
    <mergeCell ref="A2:W2"/>
    <mergeCell ref="X2:AM2"/>
    <mergeCell ref="AN2:BJ2"/>
    <mergeCell ref="M3:AC3"/>
    <mergeCell ref="M4:AC4"/>
    <mergeCell ref="AD3:AM3"/>
    <mergeCell ref="AD4:AM4"/>
    <mergeCell ref="AN3:BJ3"/>
    <mergeCell ref="AN4:BJ4"/>
    <mergeCell ref="B55:J55"/>
    <mergeCell ref="AX8:BA8"/>
    <mergeCell ref="BB8:BE8"/>
    <mergeCell ref="AO9:AU10"/>
    <mergeCell ref="AV9:BI9"/>
    <mergeCell ref="AV10:BB10"/>
    <mergeCell ref="AO12:AU12"/>
    <mergeCell ref="AV12:BB12"/>
    <mergeCell ref="BC12:BI12"/>
    <mergeCell ref="BC10:BI10"/>
    <mergeCell ref="AO11:AU11"/>
    <mergeCell ref="AV11:BB11"/>
    <mergeCell ref="BC11:BI11"/>
    <mergeCell ref="AO13:AU13"/>
    <mergeCell ref="AV13:BB13"/>
    <mergeCell ref="BC13:BI15"/>
    <mergeCell ref="I14:O14"/>
    <mergeCell ref="AI14:AN14"/>
    <mergeCell ref="AO14:AU14"/>
    <mergeCell ref="AV14:BB14"/>
    <mergeCell ref="I13:O13"/>
    <mergeCell ref="P13:U13"/>
    <mergeCell ref="AI13:AN13"/>
    <mergeCell ref="I15:O15"/>
    <mergeCell ref="BF8:BI8"/>
    <mergeCell ref="K55:Q55"/>
    <mergeCell ref="R55:Y55"/>
    <mergeCell ref="Z55:AH55"/>
    <mergeCell ref="AI55:AQ55"/>
    <mergeCell ref="AR55:BA55"/>
    <mergeCell ref="BB55:BI55"/>
    <mergeCell ref="P15:U15"/>
    <mergeCell ref="V13:AD13"/>
    <mergeCell ref="AE13:AH13"/>
    <mergeCell ref="AE14:AH14"/>
    <mergeCell ref="AE15:AH15"/>
    <mergeCell ref="V14:AD14"/>
    <mergeCell ref="V15:AD15"/>
    <mergeCell ref="P14:U14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</mergeCells>
  <pageMargins left="0.33" right="0.14000000000000001" top="0.31496062992125984" bottom="0.19685039370078741" header="0.23622047244094491" footer="0.19685039370078741"/>
  <pageSetup paperSize="9" scale="87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5" zoomScaleNormal="70" zoomScaleSheetLayoutView="115" workbookViewId="0">
      <selection activeCell="AQ7" sqref="AQ7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361" t="s">
        <v>70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3"/>
      <c r="X2" s="364" t="s">
        <v>154</v>
      </c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6"/>
      <c r="AN2" s="367" t="s">
        <v>158</v>
      </c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8"/>
    </row>
    <row r="3" spans="1:63" ht="21.75" customHeight="1">
      <c r="A3" s="369" t="s">
        <v>52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1"/>
      <c r="M3" s="372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4"/>
      <c r="AD3" s="375" t="s">
        <v>159</v>
      </c>
      <c r="AE3" s="376"/>
      <c r="AF3" s="376"/>
      <c r="AG3" s="376"/>
      <c r="AH3" s="376"/>
      <c r="AI3" s="376"/>
      <c r="AJ3" s="376"/>
      <c r="AK3" s="376"/>
      <c r="AL3" s="376"/>
      <c r="AM3" s="377"/>
      <c r="AN3" s="34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360"/>
    </row>
    <row r="4" spans="1:63" ht="21.75" customHeight="1">
      <c r="A4" s="352" t="s">
        <v>53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4"/>
      <c r="M4" s="355" t="s">
        <v>381</v>
      </c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  <c r="Z4" s="356"/>
      <c r="AA4" s="356"/>
      <c r="AB4" s="356"/>
      <c r="AC4" s="356"/>
      <c r="AD4" s="357" t="s">
        <v>72</v>
      </c>
      <c r="AE4" s="358"/>
      <c r="AF4" s="358"/>
      <c r="AG4" s="358"/>
      <c r="AH4" s="358"/>
      <c r="AI4" s="358"/>
      <c r="AJ4" s="358"/>
      <c r="AK4" s="358"/>
      <c r="AL4" s="358"/>
      <c r="AM4" s="359"/>
      <c r="AN4" s="34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360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26"/>
      <c r="N5" s="126"/>
      <c r="O5" s="126"/>
      <c r="P5" s="126"/>
      <c r="Q5" s="126"/>
      <c r="R5" s="126"/>
      <c r="S5" s="126"/>
      <c r="T5" s="126"/>
      <c r="U5" s="126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48"/>
      <c r="AG5" s="48"/>
      <c r="AH5" s="48"/>
      <c r="AI5" s="48"/>
      <c r="AJ5" s="48"/>
      <c r="AK5" s="48"/>
      <c r="AL5" s="48"/>
      <c r="AM5" s="48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7"/>
    </row>
    <row r="6" spans="1:63" s="20" customFormat="1" ht="23.25" customHeight="1">
      <c r="A6" s="1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127"/>
      <c r="N6" s="127"/>
      <c r="O6" s="127"/>
      <c r="V6" s="351" t="s">
        <v>90</v>
      </c>
      <c r="W6" s="351"/>
      <c r="X6" s="351"/>
      <c r="Y6" s="351"/>
      <c r="Z6" s="351" t="s">
        <v>91</v>
      </c>
      <c r="AA6" s="351"/>
      <c r="AB6" s="351"/>
      <c r="AC6" s="351"/>
      <c r="AD6" s="351" t="s">
        <v>92</v>
      </c>
      <c r="AE6" s="351"/>
      <c r="AF6" s="351"/>
      <c r="AG6" s="351"/>
      <c r="AH6" s="351" t="s">
        <v>94</v>
      </c>
      <c r="AI6" s="351"/>
      <c r="AJ6" s="351"/>
      <c r="AK6" s="351"/>
      <c r="AL6" s="48"/>
      <c r="AM6" s="48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351"/>
      <c r="AH7" s="351"/>
      <c r="AI7" s="351"/>
      <c r="AJ7" s="351"/>
      <c r="AK7" s="351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194" t="s">
        <v>45</v>
      </c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6"/>
      <c r="AX8" s="190" t="s">
        <v>29</v>
      </c>
      <c r="AY8" s="190"/>
      <c r="AZ8" s="190"/>
      <c r="BA8" s="190"/>
      <c r="BB8" s="189" t="s">
        <v>0</v>
      </c>
      <c r="BC8" s="189"/>
      <c r="BD8" s="189"/>
      <c r="BE8" s="189"/>
      <c r="BF8" s="345"/>
      <c r="BG8" s="195"/>
      <c r="BH8" s="195"/>
      <c r="BI8" s="346"/>
      <c r="BJ8" s="4"/>
    </row>
    <row r="9" spans="1:63" ht="16.5" customHeight="1">
      <c r="A9" s="2"/>
      <c r="B9" s="313" t="s">
        <v>38</v>
      </c>
      <c r="C9" s="313"/>
      <c r="D9" s="313"/>
      <c r="E9" s="313"/>
      <c r="F9" s="313"/>
      <c r="G9" s="313"/>
      <c r="H9" s="313"/>
      <c r="I9" s="313" t="s">
        <v>39</v>
      </c>
      <c r="J9" s="313"/>
      <c r="K9" s="313"/>
      <c r="L9" s="313"/>
      <c r="M9" s="313"/>
      <c r="N9" s="313"/>
      <c r="O9" s="313"/>
      <c r="P9" s="313" t="s">
        <v>40</v>
      </c>
      <c r="Q9" s="313"/>
      <c r="R9" s="313"/>
      <c r="S9" s="313"/>
      <c r="T9" s="313"/>
      <c r="U9" s="313"/>
      <c r="V9" s="269" t="s">
        <v>41</v>
      </c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1"/>
      <c r="AO9" s="347" t="s">
        <v>48</v>
      </c>
      <c r="AP9" s="182"/>
      <c r="AQ9" s="182"/>
      <c r="AR9" s="182"/>
      <c r="AS9" s="182"/>
      <c r="AT9" s="182"/>
      <c r="AU9" s="348"/>
      <c r="AV9" s="287" t="s">
        <v>136</v>
      </c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1"/>
      <c r="BJ9" s="4"/>
    </row>
    <row r="10" spans="1:63" ht="16.5" customHeight="1">
      <c r="A10" s="2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230" t="s">
        <v>42</v>
      </c>
      <c r="W10" s="231"/>
      <c r="X10" s="231"/>
      <c r="Y10" s="231"/>
      <c r="Z10" s="231"/>
      <c r="AA10" s="231"/>
      <c r="AB10" s="231"/>
      <c r="AC10" s="231"/>
      <c r="AD10" s="339"/>
      <c r="AE10" s="316" t="s">
        <v>83</v>
      </c>
      <c r="AF10" s="231"/>
      <c r="AG10" s="231"/>
      <c r="AH10" s="339"/>
      <c r="AI10" s="220" t="s">
        <v>44</v>
      </c>
      <c r="AJ10" s="220"/>
      <c r="AK10" s="220"/>
      <c r="AL10" s="220"/>
      <c r="AM10" s="220"/>
      <c r="AN10" s="223"/>
      <c r="AO10" s="349"/>
      <c r="AP10" s="143"/>
      <c r="AQ10" s="143"/>
      <c r="AR10" s="143"/>
      <c r="AS10" s="143"/>
      <c r="AT10" s="143"/>
      <c r="AU10" s="350"/>
      <c r="AV10" s="219" t="s">
        <v>95</v>
      </c>
      <c r="AW10" s="220"/>
      <c r="AX10" s="220"/>
      <c r="AY10" s="220"/>
      <c r="AZ10" s="220"/>
      <c r="BA10" s="220"/>
      <c r="BB10" s="220"/>
      <c r="BC10" s="220" t="s">
        <v>54</v>
      </c>
      <c r="BD10" s="220"/>
      <c r="BE10" s="220"/>
      <c r="BF10" s="220"/>
      <c r="BG10" s="220"/>
      <c r="BH10" s="220"/>
      <c r="BI10" s="223"/>
      <c r="BJ10" s="4"/>
    </row>
    <row r="11" spans="1:63" ht="16.5" customHeight="1">
      <c r="A11" s="2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03" t="s">
        <v>1</v>
      </c>
      <c r="W11" s="304"/>
      <c r="X11" s="304"/>
      <c r="Y11" s="304"/>
      <c r="Z11" s="304"/>
      <c r="AA11" s="304"/>
      <c r="AB11" s="304"/>
      <c r="AC11" s="304"/>
      <c r="AD11" s="343"/>
      <c r="AE11" s="344" t="s">
        <v>46</v>
      </c>
      <c r="AF11" s="304"/>
      <c r="AG11" s="304"/>
      <c r="AH11" s="343"/>
      <c r="AI11" s="254" t="s">
        <v>47</v>
      </c>
      <c r="AJ11" s="254"/>
      <c r="AK11" s="254"/>
      <c r="AL11" s="254"/>
      <c r="AM11" s="254"/>
      <c r="AN11" s="255"/>
      <c r="AO11" s="303" t="s">
        <v>2</v>
      </c>
      <c r="AP11" s="304"/>
      <c r="AQ11" s="304"/>
      <c r="AR11" s="304"/>
      <c r="AS11" s="304"/>
      <c r="AT11" s="304"/>
      <c r="AU11" s="305"/>
      <c r="AV11" s="270" t="s">
        <v>55</v>
      </c>
      <c r="AW11" s="254"/>
      <c r="AX11" s="254"/>
      <c r="AY11" s="254"/>
      <c r="AZ11" s="254"/>
      <c r="BA11" s="254"/>
      <c r="BB11" s="344"/>
      <c r="BC11" s="254" t="s">
        <v>55</v>
      </c>
      <c r="BD11" s="254"/>
      <c r="BE11" s="254"/>
      <c r="BF11" s="254"/>
      <c r="BG11" s="254"/>
      <c r="BH11" s="254"/>
      <c r="BI11" s="255"/>
      <c r="BJ11" s="4"/>
    </row>
    <row r="12" spans="1:63" ht="16.5" customHeight="1">
      <c r="A12" s="2"/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228" t="s">
        <v>3</v>
      </c>
      <c r="W12" s="156"/>
      <c r="X12" s="156"/>
      <c r="Y12" s="156"/>
      <c r="Z12" s="156"/>
      <c r="AA12" s="156"/>
      <c r="AB12" s="156"/>
      <c r="AC12" s="156"/>
      <c r="AD12" s="157"/>
      <c r="AE12" s="155" t="s">
        <v>4</v>
      </c>
      <c r="AF12" s="156"/>
      <c r="AG12" s="156"/>
      <c r="AH12" s="157"/>
      <c r="AI12" s="216" t="s">
        <v>0</v>
      </c>
      <c r="AJ12" s="216"/>
      <c r="AK12" s="216"/>
      <c r="AL12" s="216"/>
      <c r="AM12" s="216"/>
      <c r="AN12" s="217"/>
      <c r="AO12" s="228" t="s">
        <v>5</v>
      </c>
      <c r="AP12" s="156"/>
      <c r="AQ12" s="156"/>
      <c r="AR12" s="156"/>
      <c r="AS12" s="156"/>
      <c r="AT12" s="156"/>
      <c r="AU12" s="229"/>
      <c r="AV12" s="218" t="s">
        <v>51</v>
      </c>
      <c r="AW12" s="216"/>
      <c r="AX12" s="216"/>
      <c r="AY12" s="216"/>
      <c r="AZ12" s="216"/>
      <c r="BA12" s="216"/>
      <c r="BB12" s="216"/>
      <c r="BC12" s="216" t="s">
        <v>51</v>
      </c>
      <c r="BD12" s="216"/>
      <c r="BE12" s="216"/>
      <c r="BF12" s="216"/>
      <c r="BG12" s="216"/>
      <c r="BH12" s="216"/>
      <c r="BI12" s="217"/>
      <c r="BJ12" s="4"/>
    </row>
    <row r="13" spans="1:63" ht="16.5" customHeight="1">
      <c r="A13" s="2"/>
      <c r="B13" s="297"/>
      <c r="C13" s="297"/>
      <c r="D13" s="297"/>
      <c r="E13" s="297"/>
      <c r="F13" s="297"/>
      <c r="G13" s="297"/>
      <c r="H13" s="297"/>
      <c r="I13" s="299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340">
        <v>10</v>
      </c>
      <c r="W13" s="341"/>
      <c r="X13" s="341"/>
      <c r="Y13" s="341"/>
      <c r="Z13" s="341"/>
      <c r="AA13" s="341"/>
      <c r="AB13" s="341"/>
      <c r="AC13" s="341"/>
      <c r="AD13" s="341"/>
      <c r="AE13" s="260"/>
      <c r="AF13" s="260"/>
      <c r="AG13" s="260"/>
      <c r="AH13" s="260"/>
      <c r="AI13" s="259"/>
      <c r="AJ13" s="259"/>
      <c r="AK13" s="259"/>
      <c r="AL13" s="259"/>
      <c r="AM13" s="259"/>
      <c r="AN13" s="300"/>
      <c r="AO13" s="327"/>
      <c r="AP13" s="328"/>
      <c r="AQ13" s="328"/>
      <c r="AR13" s="328"/>
      <c r="AS13" s="328"/>
      <c r="AT13" s="328"/>
      <c r="AU13" s="329"/>
      <c r="AV13" s="258"/>
      <c r="AW13" s="259"/>
      <c r="AX13" s="259"/>
      <c r="AY13" s="259"/>
      <c r="AZ13" s="259"/>
      <c r="BA13" s="259"/>
      <c r="BB13" s="259"/>
      <c r="BC13" s="268">
        <v>8.8000000000000007</v>
      </c>
      <c r="BD13" s="268"/>
      <c r="BE13" s="268"/>
      <c r="BF13" s="268"/>
      <c r="BG13" s="268"/>
      <c r="BH13" s="268"/>
      <c r="BI13" s="330"/>
      <c r="BJ13" s="4"/>
      <c r="BK13" s="1" t="e">
        <f>ROUND(VLOOKUP(AE13,'Measurement Act'!$A$4:$C$207,3),2)</f>
        <v>#N/A</v>
      </c>
    </row>
    <row r="14" spans="1:63" ht="16.5" customHeight="1">
      <c r="A14" s="2"/>
      <c r="B14" s="292"/>
      <c r="C14" s="292"/>
      <c r="D14" s="292"/>
      <c r="E14" s="292"/>
      <c r="F14" s="292"/>
      <c r="G14" s="292"/>
      <c r="H14" s="292"/>
      <c r="I14" s="291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334">
        <v>10</v>
      </c>
      <c r="W14" s="335"/>
      <c r="X14" s="335"/>
      <c r="Y14" s="335"/>
      <c r="Z14" s="335"/>
      <c r="AA14" s="335"/>
      <c r="AB14" s="335"/>
      <c r="AC14" s="335"/>
      <c r="AD14" s="335"/>
      <c r="AE14" s="220"/>
      <c r="AF14" s="220"/>
      <c r="AG14" s="220"/>
      <c r="AH14" s="220"/>
      <c r="AI14" s="222"/>
      <c r="AJ14" s="222"/>
      <c r="AK14" s="222"/>
      <c r="AL14" s="222"/>
      <c r="AM14" s="222"/>
      <c r="AN14" s="293"/>
      <c r="AO14" s="336"/>
      <c r="AP14" s="337"/>
      <c r="AQ14" s="337"/>
      <c r="AR14" s="337"/>
      <c r="AS14" s="337"/>
      <c r="AT14" s="337"/>
      <c r="AU14" s="338"/>
      <c r="AV14" s="230"/>
      <c r="AW14" s="231"/>
      <c r="AX14" s="231"/>
      <c r="AY14" s="231"/>
      <c r="AZ14" s="231"/>
      <c r="BA14" s="231"/>
      <c r="BB14" s="339"/>
      <c r="BC14" s="247"/>
      <c r="BD14" s="247"/>
      <c r="BE14" s="247"/>
      <c r="BF14" s="247"/>
      <c r="BG14" s="247"/>
      <c r="BH14" s="247"/>
      <c r="BI14" s="331"/>
      <c r="BJ14" s="4"/>
      <c r="BK14" s="1" t="e">
        <f>ROUND(VLOOKUP(AE14,'Measurement Act'!$A$4:$C$207,3),2)</f>
        <v>#N/A</v>
      </c>
    </row>
    <row r="15" spans="1:63" ht="16.5" customHeight="1">
      <c r="A15" s="2"/>
      <c r="B15" s="298"/>
      <c r="C15" s="298"/>
      <c r="D15" s="298"/>
      <c r="E15" s="298"/>
      <c r="F15" s="298"/>
      <c r="G15" s="298"/>
      <c r="H15" s="298"/>
      <c r="I15" s="342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301"/>
      <c r="W15" s="271"/>
      <c r="X15" s="271"/>
      <c r="Y15" s="271"/>
      <c r="Z15" s="271"/>
      <c r="AA15" s="271"/>
      <c r="AB15" s="271"/>
      <c r="AC15" s="271"/>
      <c r="AD15" s="271"/>
      <c r="AE15" s="216"/>
      <c r="AF15" s="216"/>
      <c r="AG15" s="216"/>
      <c r="AH15" s="216"/>
      <c r="AI15" s="271"/>
      <c r="AJ15" s="271"/>
      <c r="AK15" s="271"/>
      <c r="AL15" s="271"/>
      <c r="AM15" s="271"/>
      <c r="AN15" s="272"/>
      <c r="AO15" s="317"/>
      <c r="AP15" s="318"/>
      <c r="AQ15" s="318"/>
      <c r="AR15" s="318"/>
      <c r="AS15" s="318"/>
      <c r="AT15" s="318"/>
      <c r="AU15" s="319"/>
      <c r="AV15" s="228" t="str">
        <f t="shared" ref="AV15" si="0">IF(V15="","",ROUND(AO15/18.02*2447/(AO15/18.02*24.47+V15*298.15/101.32*($BF$8+AI15-BK15)/(273.15+AE15)),1))</f>
        <v/>
      </c>
      <c r="AW15" s="156"/>
      <c r="AX15" s="156"/>
      <c r="AY15" s="156"/>
      <c r="AZ15" s="156"/>
      <c r="BA15" s="156"/>
      <c r="BB15" s="157"/>
      <c r="BC15" s="332"/>
      <c r="BD15" s="332"/>
      <c r="BE15" s="332"/>
      <c r="BF15" s="332"/>
      <c r="BG15" s="332"/>
      <c r="BH15" s="332"/>
      <c r="BI15" s="333"/>
      <c r="BJ15" s="4"/>
      <c r="BK15" s="1" t="e">
        <f>ROUND(VLOOKUP(AE15,'Measurement Act'!$A$4:$C$207,3),2)</f>
        <v>#N/A</v>
      </c>
    </row>
    <row r="16" spans="1:63" ht="16.5" customHeight="1">
      <c r="A16" s="2"/>
      <c r="B16" s="161" t="s">
        <v>49</v>
      </c>
      <c r="C16" s="162"/>
      <c r="D16" s="162"/>
      <c r="E16" s="162"/>
      <c r="F16" s="162"/>
      <c r="G16" s="162"/>
      <c r="H16" s="163"/>
      <c r="I16" s="320" t="s">
        <v>41</v>
      </c>
      <c r="J16" s="185"/>
      <c r="K16" s="185"/>
      <c r="L16" s="185"/>
      <c r="M16" s="185"/>
      <c r="N16" s="185"/>
      <c r="O16" s="186"/>
      <c r="P16" s="180" t="s">
        <v>382</v>
      </c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321"/>
      <c r="AI16" s="322" t="s">
        <v>89</v>
      </c>
      <c r="AJ16" s="200"/>
      <c r="AK16" s="200"/>
      <c r="AL16" s="200"/>
      <c r="AM16" s="200"/>
      <c r="AN16" s="200"/>
      <c r="AO16" s="200"/>
      <c r="AP16" s="200"/>
      <c r="AQ16" s="200"/>
      <c r="AR16" s="235"/>
      <c r="AS16" s="323" t="s">
        <v>384</v>
      </c>
      <c r="AT16" s="324"/>
      <c r="AU16" s="324"/>
      <c r="AV16" s="324"/>
      <c r="AW16" s="324"/>
      <c r="AX16" s="324"/>
      <c r="AY16" s="324"/>
      <c r="AZ16" s="324"/>
      <c r="BA16" s="324"/>
      <c r="BB16" s="324"/>
      <c r="BC16" s="324"/>
      <c r="BD16" s="324"/>
      <c r="BE16" s="324"/>
      <c r="BF16" s="324"/>
      <c r="BG16" s="324"/>
      <c r="BH16" s="324"/>
      <c r="BI16" s="325"/>
      <c r="BJ16" s="4"/>
    </row>
    <row r="17" spans="1:62" ht="16.5" customHeight="1">
      <c r="A17" s="2"/>
      <c r="B17" s="167"/>
      <c r="C17" s="168"/>
      <c r="D17" s="168"/>
      <c r="E17" s="168"/>
      <c r="F17" s="168"/>
      <c r="G17" s="168"/>
      <c r="H17" s="169"/>
      <c r="I17" s="228" t="s">
        <v>50</v>
      </c>
      <c r="J17" s="156"/>
      <c r="K17" s="156"/>
      <c r="L17" s="156"/>
      <c r="M17" s="156"/>
      <c r="N17" s="156"/>
      <c r="O17" s="157"/>
      <c r="P17" s="152" t="s">
        <v>383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326"/>
      <c r="AI17" s="155"/>
      <c r="AJ17" s="156"/>
      <c r="AK17" s="156"/>
      <c r="AL17" s="156"/>
      <c r="AM17" s="156"/>
      <c r="AN17" s="156"/>
      <c r="AO17" s="156"/>
      <c r="AP17" s="156"/>
      <c r="AQ17" s="156"/>
      <c r="AR17" s="157"/>
      <c r="AS17" s="306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8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170" t="s">
        <v>57</v>
      </c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309"/>
      <c r="BJ19" s="4"/>
    </row>
    <row r="20" spans="1:62" ht="15" customHeight="1">
      <c r="A20" s="2"/>
      <c r="B20" s="313" t="s">
        <v>38</v>
      </c>
      <c r="C20" s="313"/>
      <c r="D20" s="313"/>
      <c r="E20" s="313"/>
      <c r="F20" s="313"/>
      <c r="G20" s="313"/>
      <c r="H20" s="313"/>
      <c r="I20" s="313" t="s">
        <v>39</v>
      </c>
      <c r="J20" s="313"/>
      <c r="K20" s="313"/>
      <c r="L20" s="313"/>
      <c r="M20" s="313"/>
      <c r="N20" s="313"/>
      <c r="O20" s="313"/>
      <c r="P20" s="269" t="s">
        <v>56</v>
      </c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184"/>
      <c r="AR20" s="310"/>
      <c r="AS20" s="311"/>
      <c r="AT20" s="311"/>
      <c r="AU20" s="311"/>
      <c r="AV20" s="311"/>
      <c r="AW20" s="311"/>
      <c r="AX20" s="311"/>
      <c r="AY20" s="311"/>
      <c r="AZ20" s="311"/>
      <c r="BA20" s="311"/>
      <c r="BB20" s="311"/>
      <c r="BC20" s="311"/>
      <c r="BD20" s="311"/>
      <c r="BE20" s="311"/>
      <c r="BF20" s="311"/>
      <c r="BG20" s="311"/>
      <c r="BH20" s="311"/>
      <c r="BI20" s="312"/>
      <c r="BJ20" s="4"/>
    </row>
    <row r="21" spans="1:62" ht="15" customHeight="1">
      <c r="A21" s="2"/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219" t="s">
        <v>30</v>
      </c>
      <c r="Q21" s="220"/>
      <c r="R21" s="220"/>
      <c r="S21" s="220"/>
      <c r="T21" s="220"/>
      <c r="U21" s="220"/>
      <c r="V21" s="220"/>
      <c r="W21" s="220" t="s">
        <v>31</v>
      </c>
      <c r="X21" s="220"/>
      <c r="Y21" s="220"/>
      <c r="Z21" s="220"/>
      <c r="AA21" s="220"/>
      <c r="AB21" s="220"/>
      <c r="AC21" s="220"/>
      <c r="AD21" s="220" t="s">
        <v>7</v>
      </c>
      <c r="AE21" s="220"/>
      <c r="AF21" s="220"/>
      <c r="AG21" s="220"/>
      <c r="AH21" s="220"/>
      <c r="AI21" s="220"/>
      <c r="AJ21" s="220"/>
      <c r="AK21" s="220" t="s">
        <v>32</v>
      </c>
      <c r="AL21" s="220"/>
      <c r="AM21" s="220"/>
      <c r="AN21" s="220"/>
      <c r="AO21" s="220"/>
      <c r="AP21" s="220"/>
      <c r="AQ21" s="316"/>
      <c r="AR21" s="303" t="s">
        <v>93</v>
      </c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5"/>
      <c r="BJ21" s="4"/>
    </row>
    <row r="22" spans="1:62" ht="15" customHeight="1">
      <c r="A22" s="2"/>
      <c r="B22" s="315"/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218" t="s">
        <v>51</v>
      </c>
      <c r="Q22" s="216"/>
      <c r="R22" s="216"/>
      <c r="S22" s="216"/>
      <c r="T22" s="216"/>
      <c r="U22" s="216"/>
      <c r="V22" s="216"/>
      <c r="W22" s="216" t="s">
        <v>51</v>
      </c>
      <c r="X22" s="216"/>
      <c r="Y22" s="216"/>
      <c r="Z22" s="216"/>
      <c r="AA22" s="216"/>
      <c r="AB22" s="216"/>
      <c r="AC22" s="216"/>
      <c r="AD22" s="216" t="s">
        <v>51</v>
      </c>
      <c r="AE22" s="216"/>
      <c r="AF22" s="216"/>
      <c r="AG22" s="216"/>
      <c r="AH22" s="216"/>
      <c r="AI22" s="216"/>
      <c r="AJ22" s="216"/>
      <c r="AK22" s="216" t="s">
        <v>51</v>
      </c>
      <c r="AL22" s="216"/>
      <c r="AM22" s="216"/>
      <c r="AN22" s="216"/>
      <c r="AO22" s="216"/>
      <c r="AP22" s="216"/>
      <c r="AQ22" s="155"/>
      <c r="AR22" s="228" t="s">
        <v>368</v>
      </c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229"/>
      <c r="BJ22" s="4"/>
    </row>
    <row r="23" spans="1:62" ht="15" customHeight="1">
      <c r="A23" s="2"/>
      <c r="B23" s="297"/>
      <c r="C23" s="297"/>
      <c r="D23" s="297"/>
      <c r="E23" s="297"/>
      <c r="F23" s="297"/>
      <c r="G23" s="297"/>
      <c r="H23" s="297"/>
      <c r="I23" s="299"/>
      <c r="J23" s="297"/>
      <c r="K23" s="297"/>
      <c r="L23" s="297"/>
      <c r="M23" s="297"/>
      <c r="N23" s="297"/>
      <c r="O23" s="297"/>
      <c r="P23" s="258"/>
      <c r="Q23" s="259"/>
      <c r="R23" s="259"/>
      <c r="S23" s="259"/>
      <c r="T23" s="259"/>
      <c r="U23" s="259"/>
      <c r="V23" s="259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59"/>
      <c r="AL23" s="259"/>
      <c r="AM23" s="259"/>
      <c r="AN23" s="259"/>
      <c r="AO23" s="259"/>
      <c r="AP23" s="259"/>
      <c r="AQ23" s="300"/>
      <c r="AR23" s="288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90"/>
      <c r="BJ23" s="4"/>
    </row>
    <row r="24" spans="1:62" ht="15" customHeight="1">
      <c r="A24" s="2"/>
      <c r="B24" s="292"/>
      <c r="C24" s="292"/>
      <c r="D24" s="292"/>
      <c r="E24" s="292"/>
      <c r="F24" s="292"/>
      <c r="G24" s="292"/>
      <c r="H24" s="292"/>
      <c r="I24" s="291"/>
      <c r="J24" s="292"/>
      <c r="K24" s="292"/>
      <c r="L24" s="292"/>
      <c r="M24" s="292"/>
      <c r="N24" s="292"/>
      <c r="O24" s="292"/>
      <c r="P24" s="221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0"/>
      <c r="AE24" s="220"/>
      <c r="AF24" s="220"/>
      <c r="AG24" s="220"/>
      <c r="AH24" s="220"/>
      <c r="AI24" s="220"/>
      <c r="AJ24" s="220"/>
      <c r="AK24" s="222"/>
      <c r="AL24" s="222"/>
      <c r="AM24" s="222"/>
      <c r="AN24" s="222"/>
      <c r="AO24" s="222"/>
      <c r="AP24" s="222"/>
      <c r="AQ24" s="293"/>
      <c r="AR24" s="294"/>
      <c r="AS24" s="295"/>
      <c r="AT24" s="295"/>
      <c r="AU24" s="295"/>
      <c r="AV24" s="295"/>
      <c r="AW24" s="295"/>
      <c r="AX24" s="295"/>
      <c r="AY24" s="295"/>
      <c r="AZ24" s="295"/>
      <c r="BA24" s="295"/>
      <c r="BB24" s="295"/>
      <c r="BC24" s="295"/>
      <c r="BD24" s="295"/>
      <c r="BE24" s="295"/>
      <c r="BF24" s="295"/>
      <c r="BG24" s="295"/>
      <c r="BH24" s="295"/>
      <c r="BI24" s="296"/>
      <c r="BJ24" s="4"/>
    </row>
    <row r="25" spans="1:62" ht="15" customHeight="1">
      <c r="A25" s="2"/>
      <c r="B25" s="298"/>
      <c r="C25" s="298"/>
      <c r="D25" s="298"/>
      <c r="E25" s="298"/>
      <c r="F25" s="298"/>
      <c r="G25" s="298"/>
      <c r="H25" s="298"/>
      <c r="I25" s="298" t="s">
        <v>54</v>
      </c>
      <c r="J25" s="298"/>
      <c r="K25" s="298"/>
      <c r="L25" s="298"/>
      <c r="M25" s="298"/>
      <c r="N25" s="298"/>
      <c r="O25" s="298"/>
      <c r="P25" s="301"/>
      <c r="Q25" s="271"/>
      <c r="R25" s="271"/>
      <c r="S25" s="271"/>
      <c r="T25" s="271"/>
      <c r="U25" s="271"/>
      <c r="V25" s="302"/>
      <c r="W25" s="271"/>
      <c r="X25" s="271"/>
      <c r="Y25" s="271"/>
      <c r="Z25" s="271"/>
      <c r="AA25" s="271"/>
      <c r="AB25" s="271"/>
      <c r="AC25" s="271"/>
      <c r="AD25" s="216"/>
      <c r="AE25" s="216"/>
      <c r="AF25" s="216"/>
      <c r="AG25" s="216"/>
      <c r="AH25" s="216"/>
      <c r="AI25" s="216"/>
      <c r="AJ25" s="216"/>
      <c r="AK25" s="271"/>
      <c r="AL25" s="271"/>
      <c r="AM25" s="271"/>
      <c r="AN25" s="271"/>
      <c r="AO25" s="271"/>
      <c r="AP25" s="271"/>
      <c r="AQ25" s="272"/>
      <c r="AR25" s="273">
        <v>1.2</v>
      </c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5"/>
      <c r="BJ25" s="4"/>
    </row>
    <row r="26" spans="1:62" ht="30" customHeight="1">
      <c r="A26" s="2"/>
      <c r="B26" s="276" t="s">
        <v>49</v>
      </c>
      <c r="C26" s="277"/>
      <c r="D26" s="277"/>
      <c r="E26" s="277"/>
      <c r="F26" s="277"/>
      <c r="G26" s="277"/>
      <c r="H26" s="278"/>
      <c r="I26" s="279" t="s">
        <v>102</v>
      </c>
      <c r="J26" s="280"/>
      <c r="K26" s="280"/>
      <c r="L26" s="280"/>
      <c r="M26" s="280"/>
      <c r="N26" s="280"/>
      <c r="O26" s="281"/>
      <c r="P26" s="282" t="s">
        <v>157</v>
      </c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125"/>
      <c r="AJ26" s="123"/>
      <c r="AK26" s="49"/>
      <c r="AL26" s="125"/>
      <c r="AM26" s="125"/>
      <c r="AN26" s="125"/>
      <c r="AO26" s="125"/>
      <c r="AP26" s="125"/>
      <c r="AQ26" s="53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170" t="s">
        <v>58</v>
      </c>
      <c r="C29" s="200"/>
      <c r="D29" s="200"/>
      <c r="E29" s="200"/>
      <c r="F29" s="200"/>
      <c r="G29" s="201"/>
      <c r="H29" s="287" t="s">
        <v>59</v>
      </c>
      <c r="I29" s="260"/>
      <c r="J29" s="260"/>
      <c r="K29" s="260"/>
      <c r="L29" s="260"/>
      <c r="M29" s="260"/>
      <c r="N29" s="260"/>
      <c r="O29" s="261"/>
      <c r="P29" s="287" t="s">
        <v>60</v>
      </c>
      <c r="Q29" s="260"/>
      <c r="R29" s="260"/>
      <c r="S29" s="260"/>
      <c r="T29" s="260"/>
      <c r="U29" s="260"/>
      <c r="V29" s="260"/>
      <c r="W29" s="261"/>
      <c r="X29" s="269" t="s">
        <v>43</v>
      </c>
      <c r="Y29" s="260"/>
      <c r="Z29" s="260"/>
      <c r="AA29" s="260"/>
      <c r="AB29" s="260"/>
      <c r="AC29" s="260"/>
      <c r="AD29" s="260"/>
      <c r="AE29" s="261"/>
      <c r="AF29" s="287" t="s">
        <v>61</v>
      </c>
      <c r="AG29" s="260"/>
      <c r="AH29" s="260"/>
      <c r="AI29" s="260"/>
      <c r="AJ29" s="260"/>
      <c r="AK29" s="260"/>
      <c r="AL29" s="260"/>
      <c r="AM29" s="261"/>
      <c r="AN29" s="269" t="s">
        <v>62</v>
      </c>
      <c r="AO29" s="260"/>
      <c r="AP29" s="260"/>
      <c r="AQ29" s="260"/>
      <c r="AR29" s="260"/>
      <c r="AS29" s="260"/>
      <c r="AT29" s="260"/>
      <c r="AU29" s="261"/>
      <c r="AV29" s="269" t="s">
        <v>63</v>
      </c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1"/>
      <c r="BJ29" s="4"/>
    </row>
    <row r="30" spans="1:62" ht="15" customHeight="1">
      <c r="A30" s="2"/>
      <c r="B30" s="248"/>
      <c r="C30" s="249"/>
      <c r="D30" s="249"/>
      <c r="E30" s="249"/>
      <c r="F30" s="249"/>
      <c r="G30" s="283"/>
      <c r="H30" s="219"/>
      <c r="I30" s="220"/>
      <c r="J30" s="220"/>
      <c r="K30" s="220"/>
      <c r="L30" s="220"/>
      <c r="M30" s="220"/>
      <c r="N30" s="220"/>
      <c r="O30" s="223"/>
      <c r="P30" s="270" t="s">
        <v>96</v>
      </c>
      <c r="Q30" s="254"/>
      <c r="R30" s="254"/>
      <c r="S30" s="254"/>
      <c r="T30" s="254"/>
      <c r="U30" s="254"/>
      <c r="V30" s="254"/>
      <c r="W30" s="255"/>
      <c r="X30" s="270" t="s">
        <v>97</v>
      </c>
      <c r="Y30" s="254"/>
      <c r="Z30" s="254"/>
      <c r="AA30" s="254"/>
      <c r="AB30" s="254"/>
      <c r="AC30" s="254"/>
      <c r="AD30" s="254"/>
      <c r="AE30" s="255"/>
      <c r="AF30" s="270" t="s">
        <v>98</v>
      </c>
      <c r="AG30" s="254"/>
      <c r="AH30" s="254"/>
      <c r="AI30" s="254"/>
      <c r="AJ30" s="254"/>
      <c r="AK30" s="254"/>
      <c r="AL30" s="254"/>
      <c r="AM30" s="255"/>
      <c r="AN30" s="270" t="s">
        <v>8</v>
      </c>
      <c r="AO30" s="254"/>
      <c r="AP30" s="254"/>
      <c r="AQ30" s="254"/>
      <c r="AR30" s="254"/>
      <c r="AS30" s="254"/>
      <c r="AT30" s="254"/>
      <c r="AU30" s="255"/>
      <c r="AV30" s="270" t="s">
        <v>156</v>
      </c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5"/>
      <c r="BJ30" s="4"/>
    </row>
    <row r="31" spans="1:62" ht="15" customHeight="1">
      <c r="A31" s="2"/>
      <c r="B31" s="248"/>
      <c r="C31" s="249"/>
      <c r="D31" s="249"/>
      <c r="E31" s="249"/>
      <c r="F31" s="249"/>
      <c r="G31" s="283"/>
      <c r="H31" s="219"/>
      <c r="I31" s="220"/>
      <c r="J31" s="220"/>
      <c r="K31" s="220"/>
      <c r="L31" s="220"/>
      <c r="M31" s="220"/>
      <c r="N31" s="220"/>
      <c r="O31" s="223"/>
      <c r="P31" s="219" t="s">
        <v>9</v>
      </c>
      <c r="Q31" s="220"/>
      <c r="R31" s="220"/>
      <c r="S31" s="220"/>
      <c r="T31" s="220"/>
      <c r="U31" s="220"/>
      <c r="V31" s="220"/>
      <c r="W31" s="223"/>
      <c r="X31" s="219" t="s">
        <v>357</v>
      </c>
      <c r="Y31" s="220"/>
      <c r="Z31" s="220"/>
      <c r="AA31" s="220"/>
      <c r="AB31" s="220"/>
      <c r="AC31" s="220"/>
      <c r="AD31" s="220"/>
      <c r="AE31" s="223"/>
      <c r="AF31" s="219" t="s">
        <v>0</v>
      </c>
      <c r="AG31" s="220"/>
      <c r="AH31" s="220"/>
      <c r="AI31" s="220"/>
      <c r="AJ31" s="220"/>
      <c r="AK31" s="220"/>
      <c r="AL31" s="220"/>
      <c r="AM31" s="223"/>
      <c r="AN31" s="219" t="s">
        <v>10</v>
      </c>
      <c r="AO31" s="220"/>
      <c r="AP31" s="220"/>
      <c r="AQ31" s="220"/>
      <c r="AR31" s="220"/>
      <c r="AS31" s="220"/>
      <c r="AT31" s="220"/>
      <c r="AU31" s="223"/>
      <c r="AV31" s="219" t="s">
        <v>33</v>
      </c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3"/>
      <c r="BJ31" s="4"/>
    </row>
    <row r="32" spans="1:62" ht="15" customHeight="1">
      <c r="A32" s="2"/>
      <c r="B32" s="284"/>
      <c r="C32" s="285"/>
      <c r="D32" s="285"/>
      <c r="E32" s="285"/>
      <c r="F32" s="285"/>
      <c r="G32" s="286"/>
      <c r="H32" s="218" t="s">
        <v>11</v>
      </c>
      <c r="I32" s="216"/>
      <c r="J32" s="216"/>
      <c r="K32" s="216"/>
      <c r="L32" s="216" t="s">
        <v>12</v>
      </c>
      <c r="M32" s="216"/>
      <c r="N32" s="216"/>
      <c r="O32" s="217"/>
      <c r="P32" s="218" t="s">
        <v>11</v>
      </c>
      <c r="Q32" s="216"/>
      <c r="R32" s="216"/>
      <c r="S32" s="216"/>
      <c r="T32" s="216" t="s">
        <v>12</v>
      </c>
      <c r="U32" s="216"/>
      <c r="V32" s="216"/>
      <c r="W32" s="217"/>
      <c r="X32" s="218" t="s">
        <v>11</v>
      </c>
      <c r="Y32" s="216"/>
      <c r="Z32" s="216"/>
      <c r="AA32" s="216"/>
      <c r="AB32" s="216" t="s">
        <v>12</v>
      </c>
      <c r="AC32" s="216"/>
      <c r="AD32" s="216"/>
      <c r="AE32" s="217"/>
      <c r="AF32" s="218" t="s">
        <v>11</v>
      </c>
      <c r="AG32" s="216"/>
      <c r="AH32" s="216"/>
      <c r="AI32" s="216"/>
      <c r="AJ32" s="216" t="s">
        <v>12</v>
      </c>
      <c r="AK32" s="216"/>
      <c r="AL32" s="216"/>
      <c r="AM32" s="217"/>
      <c r="AN32" s="218" t="s">
        <v>11</v>
      </c>
      <c r="AO32" s="216"/>
      <c r="AP32" s="216"/>
      <c r="AQ32" s="216"/>
      <c r="AR32" s="216" t="s">
        <v>12</v>
      </c>
      <c r="AS32" s="216"/>
      <c r="AT32" s="216"/>
      <c r="AU32" s="217"/>
      <c r="AV32" s="218" t="s">
        <v>11</v>
      </c>
      <c r="AW32" s="216"/>
      <c r="AX32" s="216"/>
      <c r="AY32" s="216"/>
      <c r="AZ32" s="216"/>
      <c r="BA32" s="216"/>
      <c r="BB32" s="216"/>
      <c r="BC32" s="216" t="s">
        <v>12</v>
      </c>
      <c r="BD32" s="216"/>
      <c r="BE32" s="216"/>
      <c r="BF32" s="216"/>
      <c r="BG32" s="216"/>
      <c r="BH32" s="216"/>
      <c r="BI32" s="217"/>
      <c r="BJ32" s="4"/>
    </row>
    <row r="33" spans="1:62" ht="15.75" customHeight="1">
      <c r="A33" s="2"/>
      <c r="B33" s="199"/>
      <c r="C33" s="200"/>
      <c r="D33" s="200"/>
      <c r="E33" s="200"/>
      <c r="F33" s="200"/>
      <c r="G33" s="201"/>
      <c r="H33" s="264"/>
      <c r="I33" s="260"/>
      <c r="J33" s="260"/>
      <c r="K33" s="260"/>
      <c r="L33" s="260"/>
      <c r="M33" s="260"/>
      <c r="N33" s="260"/>
      <c r="O33" s="261"/>
      <c r="P33" s="267">
        <v>93</v>
      </c>
      <c r="Q33" s="268"/>
      <c r="R33" s="268"/>
      <c r="S33" s="268"/>
      <c r="T33" s="268"/>
      <c r="U33" s="268"/>
      <c r="V33" s="268"/>
      <c r="W33" s="330"/>
      <c r="X33" s="267">
        <v>128</v>
      </c>
      <c r="Y33" s="268"/>
      <c r="Z33" s="268"/>
      <c r="AA33" s="268"/>
      <c r="AB33" s="260"/>
      <c r="AC33" s="260"/>
      <c r="AD33" s="260"/>
      <c r="AE33" s="261"/>
      <c r="AF33" s="267">
        <v>-2.7</v>
      </c>
      <c r="AG33" s="268"/>
      <c r="AH33" s="268"/>
      <c r="AI33" s="268"/>
      <c r="AJ33" s="260"/>
      <c r="AK33" s="260"/>
      <c r="AL33" s="260"/>
      <c r="AM33" s="261"/>
      <c r="AN33" s="258"/>
      <c r="AO33" s="259"/>
      <c r="AP33" s="259"/>
      <c r="AQ33" s="259"/>
      <c r="AR33" s="260" t="str">
        <f>IF(T33="","",ROUND($S$50*SQRT(2*T33/$BC$33),1))</f>
        <v/>
      </c>
      <c r="AS33" s="260"/>
      <c r="AT33" s="260"/>
      <c r="AU33" s="261"/>
      <c r="AV33" s="188">
        <v>0.88300000000000001</v>
      </c>
      <c r="AW33" s="189"/>
      <c r="AX33" s="189"/>
      <c r="AY33" s="189"/>
      <c r="AZ33" s="189"/>
      <c r="BA33" s="189"/>
      <c r="BB33" s="189"/>
      <c r="BC33" s="205" t="e">
        <f ca="1">IFROUND($AR$25*298.15/101.32*($BF$8+AJ33)/(273.15+AB49),3)</f>
        <v>#NAME?</v>
      </c>
      <c r="BD33" s="205"/>
      <c r="BE33" s="205"/>
      <c r="BF33" s="205"/>
      <c r="BG33" s="205"/>
      <c r="BH33" s="205"/>
      <c r="BI33" s="206"/>
      <c r="BJ33" s="4"/>
    </row>
    <row r="34" spans="1:62" ht="15.75" customHeight="1">
      <c r="A34" s="2"/>
      <c r="B34" s="230"/>
      <c r="C34" s="231"/>
      <c r="D34" s="231"/>
      <c r="E34" s="231"/>
      <c r="F34" s="231"/>
      <c r="G34" s="232"/>
      <c r="H34" s="219"/>
      <c r="I34" s="220"/>
      <c r="J34" s="220"/>
      <c r="K34" s="220"/>
      <c r="L34" s="220"/>
      <c r="M34" s="220"/>
      <c r="N34" s="220"/>
      <c r="O34" s="223"/>
      <c r="P34" s="246">
        <v>126</v>
      </c>
      <c r="Q34" s="247"/>
      <c r="R34" s="247"/>
      <c r="S34" s="247"/>
      <c r="T34" s="247"/>
      <c r="U34" s="247"/>
      <c r="V34" s="247"/>
      <c r="W34" s="331"/>
      <c r="X34" s="246">
        <v>124</v>
      </c>
      <c r="Y34" s="247"/>
      <c r="Z34" s="247"/>
      <c r="AA34" s="247"/>
      <c r="AB34" s="220"/>
      <c r="AC34" s="220"/>
      <c r="AD34" s="220"/>
      <c r="AE34" s="223"/>
      <c r="AF34" s="219"/>
      <c r="AG34" s="220"/>
      <c r="AH34" s="220"/>
      <c r="AI34" s="220"/>
      <c r="AJ34" s="220"/>
      <c r="AK34" s="220"/>
      <c r="AL34" s="220"/>
      <c r="AM34" s="223"/>
      <c r="AN34" s="221"/>
      <c r="AO34" s="222"/>
      <c r="AP34" s="222"/>
      <c r="AQ34" s="222"/>
      <c r="AR34" s="220" t="str">
        <f t="shared" ref="AR34:AR47" si="1">IF(T34="","",ROUND($S$50*SQRT(2*T34/$BC$33),1))</f>
        <v/>
      </c>
      <c r="AS34" s="220"/>
      <c r="AT34" s="220"/>
      <c r="AU34" s="223"/>
      <c r="AV34" s="257" t="s">
        <v>64</v>
      </c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4"/>
    </row>
    <row r="35" spans="1:62" ht="15.75" customHeight="1">
      <c r="A35" s="2"/>
      <c r="B35" s="236"/>
      <c r="C35" s="237"/>
      <c r="D35" s="237"/>
      <c r="E35" s="237"/>
      <c r="F35" s="237"/>
      <c r="G35" s="256"/>
      <c r="H35" s="219"/>
      <c r="I35" s="220"/>
      <c r="J35" s="220"/>
      <c r="K35" s="220"/>
      <c r="L35" s="220"/>
      <c r="M35" s="220"/>
      <c r="N35" s="220"/>
      <c r="O35" s="223"/>
      <c r="P35" s="246">
        <v>93</v>
      </c>
      <c r="Q35" s="247"/>
      <c r="R35" s="247"/>
      <c r="S35" s="247"/>
      <c r="T35" s="247"/>
      <c r="U35" s="247"/>
      <c r="V35" s="247"/>
      <c r="W35" s="331"/>
      <c r="X35" s="246">
        <v>123</v>
      </c>
      <c r="Y35" s="247"/>
      <c r="Z35" s="247"/>
      <c r="AA35" s="247"/>
      <c r="AB35" s="220"/>
      <c r="AC35" s="220"/>
      <c r="AD35" s="220"/>
      <c r="AE35" s="223"/>
      <c r="AF35" s="219"/>
      <c r="AG35" s="220"/>
      <c r="AH35" s="220"/>
      <c r="AI35" s="220"/>
      <c r="AJ35" s="220"/>
      <c r="AK35" s="220"/>
      <c r="AL35" s="220"/>
      <c r="AM35" s="223"/>
      <c r="AN35" s="221"/>
      <c r="AO35" s="222"/>
      <c r="AP35" s="222"/>
      <c r="AQ35" s="222"/>
      <c r="AR35" s="220" t="str">
        <f t="shared" si="1"/>
        <v/>
      </c>
      <c r="AS35" s="220"/>
      <c r="AT35" s="220"/>
      <c r="AU35" s="223"/>
      <c r="AV35" s="219"/>
      <c r="AW35" s="220"/>
      <c r="AX35" s="220"/>
      <c r="AY35" s="220"/>
      <c r="AZ35" s="220"/>
      <c r="BA35" s="254" t="s">
        <v>101</v>
      </c>
      <c r="BB35" s="254"/>
      <c r="BC35" s="254"/>
      <c r="BD35" s="254"/>
      <c r="BE35" s="254"/>
      <c r="BF35" s="254"/>
      <c r="BG35" s="254"/>
      <c r="BH35" s="254"/>
      <c r="BI35" s="255"/>
      <c r="BJ35" s="4"/>
    </row>
    <row r="36" spans="1:62" ht="15.75" customHeight="1">
      <c r="A36" s="2"/>
      <c r="B36" s="230"/>
      <c r="C36" s="231"/>
      <c r="D36" s="231"/>
      <c r="E36" s="231"/>
      <c r="F36" s="231"/>
      <c r="G36" s="232"/>
      <c r="H36" s="219"/>
      <c r="I36" s="220"/>
      <c r="J36" s="220"/>
      <c r="K36" s="220"/>
      <c r="L36" s="220"/>
      <c r="M36" s="220"/>
      <c r="N36" s="220"/>
      <c r="O36" s="223"/>
      <c r="P36" s="246">
        <v>90</v>
      </c>
      <c r="Q36" s="247"/>
      <c r="R36" s="247"/>
      <c r="S36" s="247"/>
      <c r="T36" s="247"/>
      <c r="U36" s="247"/>
      <c r="V36" s="247"/>
      <c r="W36" s="331"/>
      <c r="X36" s="246">
        <v>129</v>
      </c>
      <c r="Y36" s="247"/>
      <c r="Z36" s="247"/>
      <c r="AA36" s="247"/>
      <c r="AB36" s="220"/>
      <c r="AC36" s="220"/>
      <c r="AD36" s="220"/>
      <c r="AE36" s="223"/>
      <c r="AF36" s="219"/>
      <c r="AG36" s="220"/>
      <c r="AH36" s="220"/>
      <c r="AI36" s="220"/>
      <c r="AJ36" s="220"/>
      <c r="AK36" s="220"/>
      <c r="AL36" s="220"/>
      <c r="AM36" s="223"/>
      <c r="AN36" s="221"/>
      <c r="AO36" s="222"/>
      <c r="AP36" s="222"/>
      <c r="AQ36" s="222"/>
      <c r="AR36" s="220" t="str">
        <f t="shared" si="1"/>
        <v/>
      </c>
      <c r="AS36" s="220"/>
      <c r="AT36" s="220"/>
      <c r="AU36" s="223"/>
      <c r="AV36" s="218"/>
      <c r="AW36" s="216"/>
      <c r="AX36" s="216"/>
      <c r="AY36" s="216"/>
      <c r="AZ36" s="216"/>
      <c r="BA36" s="216" t="s">
        <v>34</v>
      </c>
      <c r="BB36" s="216"/>
      <c r="BC36" s="216"/>
      <c r="BD36" s="216"/>
      <c r="BE36" s="216"/>
      <c r="BF36" s="216"/>
      <c r="BG36" s="216"/>
      <c r="BH36" s="216"/>
      <c r="BI36" s="217"/>
      <c r="BJ36" s="4"/>
    </row>
    <row r="37" spans="1:62" ht="15.75" customHeight="1">
      <c r="A37" s="2"/>
      <c r="B37" s="230"/>
      <c r="C37" s="231"/>
      <c r="D37" s="231"/>
      <c r="E37" s="231"/>
      <c r="F37" s="231"/>
      <c r="G37" s="232"/>
      <c r="H37" s="219"/>
      <c r="I37" s="220"/>
      <c r="J37" s="220"/>
      <c r="K37" s="220"/>
      <c r="L37" s="220"/>
      <c r="M37" s="220"/>
      <c r="N37" s="220"/>
      <c r="O37" s="223"/>
      <c r="P37" s="246">
        <v>90</v>
      </c>
      <c r="Q37" s="247"/>
      <c r="R37" s="247"/>
      <c r="S37" s="247"/>
      <c r="T37" s="247"/>
      <c r="U37" s="247"/>
      <c r="V37" s="247"/>
      <c r="W37" s="331"/>
      <c r="X37" s="246">
        <v>123</v>
      </c>
      <c r="Y37" s="247"/>
      <c r="Z37" s="247"/>
      <c r="AA37" s="247"/>
      <c r="AB37" s="220"/>
      <c r="AC37" s="220"/>
      <c r="AD37" s="220"/>
      <c r="AE37" s="223"/>
      <c r="AF37" s="219"/>
      <c r="AG37" s="220"/>
      <c r="AH37" s="220"/>
      <c r="AI37" s="220"/>
      <c r="AJ37" s="220"/>
      <c r="AK37" s="220"/>
      <c r="AL37" s="220"/>
      <c r="AM37" s="223"/>
      <c r="AN37" s="221"/>
      <c r="AO37" s="222"/>
      <c r="AP37" s="222"/>
      <c r="AQ37" s="222"/>
      <c r="AR37" s="220" t="str">
        <f t="shared" si="1"/>
        <v/>
      </c>
      <c r="AS37" s="220"/>
      <c r="AT37" s="220"/>
      <c r="AU37" s="223"/>
      <c r="AV37" s="224" t="s">
        <v>11</v>
      </c>
      <c r="AW37" s="225"/>
      <c r="AX37" s="225"/>
      <c r="AY37" s="225"/>
      <c r="AZ37" s="225"/>
      <c r="BA37" s="252">
        <v>719000</v>
      </c>
      <c r="BB37" s="252"/>
      <c r="BC37" s="252"/>
      <c r="BD37" s="252"/>
      <c r="BE37" s="252"/>
      <c r="BF37" s="252"/>
      <c r="BG37" s="252"/>
      <c r="BH37" s="252"/>
      <c r="BI37" s="253"/>
      <c r="BJ37" s="4"/>
    </row>
    <row r="38" spans="1:62" ht="15.75" customHeight="1">
      <c r="A38" s="2"/>
      <c r="B38" s="230"/>
      <c r="C38" s="231"/>
      <c r="D38" s="231"/>
      <c r="E38" s="231"/>
      <c r="F38" s="231"/>
      <c r="G38" s="232"/>
      <c r="H38" s="219"/>
      <c r="I38" s="220"/>
      <c r="J38" s="220"/>
      <c r="K38" s="220"/>
      <c r="L38" s="220"/>
      <c r="M38" s="220"/>
      <c r="N38" s="220"/>
      <c r="O38" s="223"/>
      <c r="P38" s="246">
        <v>94</v>
      </c>
      <c r="Q38" s="247"/>
      <c r="R38" s="247"/>
      <c r="S38" s="247"/>
      <c r="T38" s="247"/>
      <c r="U38" s="247"/>
      <c r="V38" s="247"/>
      <c r="W38" s="331"/>
      <c r="X38" s="246">
        <v>119</v>
      </c>
      <c r="Y38" s="247"/>
      <c r="Z38" s="247"/>
      <c r="AA38" s="247"/>
      <c r="AB38" s="220"/>
      <c r="AC38" s="220"/>
      <c r="AD38" s="220"/>
      <c r="AE38" s="223"/>
      <c r="AF38" s="219"/>
      <c r="AG38" s="220"/>
      <c r="AH38" s="220"/>
      <c r="AI38" s="220"/>
      <c r="AJ38" s="220"/>
      <c r="AK38" s="220"/>
      <c r="AL38" s="220"/>
      <c r="AM38" s="223"/>
      <c r="AN38" s="221"/>
      <c r="AO38" s="222"/>
      <c r="AP38" s="222"/>
      <c r="AQ38" s="222"/>
      <c r="AR38" s="220" t="str">
        <f t="shared" si="1"/>
        <v/>
      </c>
      <c r="AS38" s="220"/>
      <c r="AT38" s="220"/>
      <c r="AU38" s="223"/>
      <c r="AV38" s="251" t="s">
        <v>12</v>
      </c>
      <c r="AW38" s="241"/>
      <c r="AX38" s="241"/>
      <c r="AY38" s="241"/>
      <c r="AZ38" s="241"/>
      <c r="BA38" s="197" t="e">
        <f>ROUND($AR$49*$AX$50*3600,-3)</f>
        <v>#DIV/0!</v>
      </c>
      <c r="BB38" s="197"/>
      <c r="BC38" s="197"/>
      <c r="BD38" s="197"/>
      <c r="BE38" s="197"/>
      <c r="BF38" s="197"/>
      <c r="BG38" s="197"/>
      <c r="BH38" s="197"/>
      <c r="BI38" s="198"/>
      <c r="BJ38" s="4"/>
    </row>
    <row r="39" spans="1:62" ht="15.75" customHeight="1">
      <c r="A39" s="2"/>
      <c r="B39" s="230"/>
      <c r="C39" s="231"/>
      <c r="D39" s="231"/>
      <c r="E39" s="231"/>
      <c r="F39" s="231"/>
      <c r="G39" s="232"/>
      <c r="H39" s="219"/>
      <c r="I39" s="220"/>
      <c r="J39" s="220"/>
      <c r="K39" s="220"/>
      <c r="L39" s="220"/>
      <c r="M39" s="220"/>
      <c r="N39" s="220"/>
      <c r="O39" s="223"/>
      <c r="P39" s="246">
        <v>88</v>
      </c>
      <c r="Q39" s="247"/>
      <c r="R39" s="247"/>
      <c r="S39" s="247"/>
      <c r="T39" s="247"/>
      <c r="U39" s="247"/>
      <c r="V39" s="247"/>
      <c r="W39" s="331"/>
      <c r="X39" s="246">
        <v>131</v>
      </c>
      <c r="Y39" s="247"/>
      <c r="Z39" s="247"/>
      <c r="AA39" s="247"/>
      <c r="AB39" s="220"/>
      <c r="AC39" s="220"/>
      <c r="AD39" s="220"/>
      <c r="AE39" s="223"/>
      <c r="AF39" s="219"/>
      <c r="AG39" s="220"/>
      <c r="AH39" s="220"/>
      <c r="AI39" s="220"/>
      <c r="AJ39" s="220"/>
      <c r="AK39" s="220"/>
      <c r="AL39" s="220"/>
      <c r="AM39" s="223"/>
      <c r="AN39" s="221"/>
      <c r="AO39" s="222"/>
      <c r="AP39" s="222"/>
      <c r="AQ39" s="222"/>
      <c r="AR39" s="220" t="str">
        <f t="shared" si="1"/>
        <v/>
      </c>
      <c r="AS39" s="220"/>
      <c r="AT39" s="220"/>
      <c r="AU39" s="223"/>
      <c r="AV39" s="218" t="s">
        <v>54</v>
      </c>
      <c r="AW39" s="216"/>
      <c r="AX39" s="216"/>
      <c r="AY39" s="216"/>
      <c r="AZ39" s="216"/>
      <c r="BA39" s="213" t="e">
        <f>AVERAGE(BA37:BI38)</f>
        <v>#DIV/0!</v>
      </c>
      <c r="BB39" s="214"/>
      <c r="BC39" s="214"/>
      <c r="BD39" s="214"/>
      <c r="BE39" s="214"/>
      <c r="BF39" s="214"/>
      <c r="BG39" s="214"/>
      <c r="BH39" s="214"/>
      <c r="BI39" s="215"/>
      <c r="BJ39" s="4"/>
    </row>
    <row r="40" spans="1:62" ht="15.75" customHeight="1">
      <c r="A40" s="2"/>
      <c r="B40" s="230"/>
      <c r="C40" s="231"/>
      <c r="D40" s="231"/>
      <c r="E40" s="231"/>
      <c r="F40" s="231"/>
      <c r="G40" s="232"/>
      <c r="H40" s="219"/>
      <c r="I40" s="220"/>
      <c r="J40" s="220"/>
      <c r="K40" s="220"/>
      <c r="L40" s="220"/>
      <c r="M40" s="220"/>
      <c r="N40" s="220"/>
      <c r="O40" s="223"/>
      <c r="P40" s="246">
        <v>116</v>
      </c>
      <c r="Q40" s="247"/>
      <c r="R40" s="247"/>
      <c r="S40" s="247"/>
      <c r="T40" s="247"/>
      <c r="U40" s="247"/>
      <c r="V40" s="247"/>
      <c r="W40" s="331"/>
      <c r="X40" s="246">
        <v>126</v>
      </c>
      <c r="Y40" s="247"/>
      <c r="Z40" s="247"/>
      <c r="AA40" s="247"/>
      <c r="AB40" s="220"/>
      <c r="AC40" s="220"/>
      <c r="AD40" s="220"/>
      <c r="AE40" s="223"/>
      <c r="AF40" s="219"/>
      <c r="AG40" s="220"/>
      <c r="AH40" s="220"/>
      <c r="AI40" s="220"/>
      <c r="AJ40" s="220"/>
      <c r="AK40" s="220"/>
      <c r="AL40" s="220"/>
      <c r="AM40" s="223"/>
      <c r="AN40" s="221"/>
      <c r="AO40" s="222"/>
      <c r="AP40" s="222"/>
      <c r="AQ40" s="222"/>
      <c r="AR40" s="220" t="str">
        <f t="shared" si="1"/>
        <v/>
      </c>
      <c r="AS40" s="220"/>
      <c r="AT40" s="220"/>
      <c r="AU40" s="223"/>
      <c r="AV40" s="199" t="s">
        <v>65</v>
      </c>
      <c r="AW40" s="200"/>
      <c r="AX40" s="200"/>
      <c r="AY40" s="200"/>
      <c r="AZ40" s="235"/>
      <c r="BA40" s="233" t="s">
        <v>99</v>
      </c>
      <c r="BB40" s="233"/>
      <c r="BC40" s="233"/>
      <c r="BD40" s="233"/>
      <c r="BE40" s="233"/>
      <c r="BF40" s="233"/>
      <c r="BG40" s="233"/>
      <c r="BH40" s="233"/>
      <c r="BI40" s="234"/>
      <c r="BJ40" s="4"/>
    </row>
    <row r="41" spans="1:62" ht="15.75" customHeight="1">
      <c r="A41" s="2"/>
      <c r="B41" s="230"/>
      <c r="C41" s="231"/>
      <c r="D41" s="231"/>
      <c r="E41" s="231"/>
      <c r="F41" s="231"/>
      <c r="G41" s="232"/>
      <c r="H41" s="243"/>
      <c r="I41" s="220"/>
      <c r="J41" s="220"/>
      <c r="K41" s="220"/>
      <c r="L41" s="220"/>
      <c r="M41" s="220"/>
      <c r="N41" s="220"/>
      <c r="O41" s="223"/>
      <c r="P41" s="246">
        <v>84</v>
      </c>
      <c r="Q41" s="247"/>
      <c r="R41" s="247"/>
      <c r="S41" s="247"/>
      <c r="T41" s="247"/>
      <c r="U41" s="247"/>
      <c r="V41" s="247"/>
      <c r="W41" s="331"/>
      <c r="X41" s="246">
        <v>119</v>
      </c>
      <c r="Y41" s="247"/>
      <c r="Z41" s="247"/>
      <c r="AA41" s="247"/>
      <c r="AB41" s="220"/>
      <c r="AC41" s="220"/>
      <c r="AD41" s="220"/>
      <c r="AE41" s="223"/>
      <c r="AF41" s="219"/>
      <c r="AG41" s="220"/>
      <c r="AH41" s="220"/>
      <c r="AI41" s="220"/>
      <c r="AJ41" s="220"/>
      <c r="AK41" s="220"/>
      <c r="AL41" s="220"/>
      <c r="AM41" s="223"/>
      <c r="AN41" s="221"/>
      <c r="AO41" s="222"/>
      <c r="AP41" s="222"/>
      <c r="AQ41" s="222"/>
      <c r="AR41" s="220" t="str">
        <f t="shared" si="1"/>
        <v/>
      </c>
      <c r="AS41" s="220"/>
      <c r="AT41" s="220"/>
      <c r="AU41" s="223"/>
      <c r="AV41" s="248"/>
      <c r="AW41" s="249"/>
      <c r="AX41" s="249"/>
      <c r="AY41" s="249"/>
      <c r="AZ41" s="250"/>
      <c r="BA41" s="241" t="s">
        <v>367</v>
      </c>
      <c r="BB41" s="241"/>
      <c r="BC41" s="241"/>
      <c r="BD41" s="241"/>
      <c r="BE41" s="241"/>
      <c r="BF41" s="241"/>
      <c r="BG41" s="241"/>
      <c r="BH41" s="241"/>
      <c r="BI41" s="242"/>
      <c r="BJ41" s="4"/>
    </row>
    <row r="42" spans="1:62" ht="15.75" customHeight="1">
      <c r="A42" s="2"/>
      <c r="B42" s="230"/>
      <c r="C42" s="231"/>
      <c r="D42" s="231"/>
      <c r="E42" s="231"/>
      <c r="F42" s="231"/>
      <c r="G42" s="232"/>
      <c r="H42" s="219"/>
      <c r="I42" s="220"/>
      <c r="J42" s="220"/>
      <c r="K42" s="220"/>
      <c r="L42" s="220"/>
      <c r="M42" s="220"/>
      <c r="N42" s="220"/>
      <c r="O42" s="223"/>
      <c r="P42" s="219"/>
      <c r="Q42" s="220"/>
      <c r="R42" s="220"/>
      <c r="S42" s="220"/>
      <c r="T42" s="220"/>
      <c r="U42" s="220"/>
      <c r="V42" s="220"/>
      <c r="W42" s="223"/>
      <c r="X42" s="219"/>
      <c r="Y42" s="220"/>
      <c r="Z42" s="220"/>
      <c r="AA42" s="220"/>
      <c r="AB42" s="220"/>
      <c r="AC42" s="220"/>
      <c r="AD42" s="220"/>
      <c r="AE42" s="223"/>
      <c r="AF42" s="219"/>
      <c r="AG42" s="220"/>
      <c r="AH42" s="220"/>
      <c r="AI42" s="220"/>
      <c r="AJ42" s="220"/>
      <c r="AK42" s="220"/>
      <c r="AL42" s="220"/>
      <c r="AM42" s="223"/>
      <c r="AN42" s="221" t="str">
        <f t="shared" ref="AN42:AN47" si="2">IF(P42="","",ROUND($S$50*SQRT(2*P42/$AV$33),1))</f>
        <v/>
      </c>
      <c r="AO42" s="222"/>
      <c r="AP42" s="222"/>
      <c r="AQ42" s="222"/>
      <c r="AR42" s="220" t="str">
        <f t="shared" si="1"/>
        <v/>
      </c>
      <c r="AS42" s="220"/>
      <c r="AT42" s="220"/>
      <c r="AU42" s="223"/>
      <c r="AV42" s="219" t="s">
        <v>11</v>
      </c>
      <c r="AW42" s="220"/>
      <c r="AX42" s="220"/>
      <c r="AY42" s="220"/>
      <c r="AZ42" s="220"/>
      <c r="BA42" s="226">
        <v>529000</v>
      </c>
      <c r="BB42" s="226"/>
      <c r="BC42" s="226"/>
      <c r="BD42" s="226"/>
      <c r="BE42" s="226"/>
      <c r="BF42" s="226"/>
      <c r="BG42" s="226"/>
      <c r="BH42" s="226"/>
      <c r="BI42" s="227"/>
      <c r="BJ42" s="4"/>
    </row>
    <row r="43" spans="1:62" ht="15.75" customHeight="1">
      <c r="A43" s="2"/>
      <c r="B43" s="230"/>
      <c r="C43" s="231"/>
      <c r="D43" s="231"/>
      <c r="E43" s="231"/>
      <c r="F43" s="231"/>
      <c r="G43" s="232"/>
      <c r="H43" s="219"/>
      <c r="I43" s="220"/>
      <c r="J43" s="220"/>
      <c r="K43" s="220"/>
      <c r="L43" s="220"/>
      <c r="M43" s="220"/>
      <c r="N43" s="220"/>
      <c r="O43" s="223"/>
      <c r="P43" s="219"/>
      <c r="Q43" s="220"/>
      <c r="R43" s="220"/>
      <c r="S43" s="220"/>
      <c r="T43" s="220"/>
      <c r="U43" s="220"/>
      <c r="V43" s="220"/>
      <c r="W43" s="223"/>
      <c r="X43" s="219"/>
      <c r="Y43" s="220"/>
      <c r="Z43" s="220"/>
      <c r="AA43" s="220"/>
      <c r="AB43" s="220"/>
      <c r="AC43" s="220"/>
      <c r="AD43" s="220"/>
      <c r="AE43" s="223"/>
      <c r="AF43" s="219"/>
      <c r="AG43" s="220"/>
      <c r="AH43" s="220"/>
      <c r="AI43" s="220"/>
      <c r="AJ43" s="220"/>
      <c r="AK43" s="220"/>
      <c r="AL43" s="220"/>
      <c r="AM43" s="223"/>
      <c r="AN43" s="221" t="str">
        <f t="shared" si="2"/>
        <v/>
      </c>
      <c r="AO43" s="222"/>
      <c r="AP43" s="222"/>
      <c r="AQ43" s="222"/>
      <c r="AR43" s="220" t="str">
        <f t="shared" si="1"/>
        <v/>
      </c>
      <c r="AS43" s="220"/>
      <c r="AT43" s="220"/>
      <c r="AU43" s="223"/>
      <c r="AV43" s="219" t="s">
        <v>12</v>
      </c>
      <c r="AW43" s="220"/>
      <c r="AX43" s="220"/>
      <c r="AY43" s="220"/>
      <c r="AZ43" s="220"/>
      <c r="BA43" s="239" t="e">
        <f>ROUND($AR$49*$AX$50*3600*298.15/101.32*($BF$8+$AJ$33)/(273.15+$AB$49),-3)</f>
        <v>#DIV/0!</v>
      </c>
      <c r="BB43" s="239"/>
      <c r="BC43" s="239"/>
      <c r="BD43" s="239"/>
      <c r="BE43" s="239"/>
      <c r="BF43" s="239"/>
      <c r="BG43" s="239"/>
      <c r="BH43" s="239"/>
      <c r="BI43" s="240"/>
      <c r="BJ43" s="4"/>
    </row>
    <row r="44" spans="1:62" ht="15.75" customHeight="1">
      <c r="A44" s="2"/>
      <c r="B44" s="230"/>
      <c r="C44" s="231"/>
      <c r="D44" s="231"/>
      <c r="E44" s="231"/>
      <c r="F44" s="231"/>
      <c r="G44" s="232"/>
      <c r="H44" s="219"/>
      <c r="I44" s="220"/>
      <c r="J44" s="220"/>
      <c r="K44" s="220"/>
      <c r="L44" s="220"/>
      <c r="M44" s="220"/>
      <c r="N44" s="220"/>
      <c r="O44" s="223"/>
      <c r="P44" s="219"/>
      <c r="Q44" s="220"/>
      <c r="R44" s="220"/>
      <c r="S44" s="220"/>
      <c r="T44" s="220"/>
      <c r="U44" s="220"/>
      <c r="V44" s="220"/>
      <c r="W44" s="223"/>
      <c r="X44" s="219"/>
      <c r="Y44" s="220"/>
      <c r="Z44" s="220"/>
      <c r="AA44" s="220"/>
      <c r="AB44" s="220"/>
      <c r="AC44" s="220"/>
      <c r="AD44" s="220"/>
      <c r="AE44" s="223"/>
      <c r="AF44" s="219"/>
      <c r="AG44" s="220"/>
      <c r="AH44" s="220"/>
      <c r="AI44" s="220"/>
      <c r="AJ44" s="220"/>
      <c r="AK44" s="220"/>
      <c r="AL44" s="220"/>
      <c r="AM44" s="223"/>
      <c r="AN44" s="221" t="str">
        <f t="shared" si="2"/>
        <v/>
      </c>
      <c r="AO44" s="222"/>
      <c r="AP44" s="222"/>
      <c r="AQ44" s="222"/>
      <c r="AR44" s="220" t="str">
        <f t="shared" si="1"/>
        <v/>
      </c>
      <c r="AS44" s="220"/>
      <c r="AT44" s="220"/>
      <c r="AU44" s="223"/>
      <c r="AV44" s="211" t="s">
        <v>54</v>
      </c>
      <c r="AW44" s="212"/>
      <c r="AX44" s="212"/>
      <c r="AY44" s="212"/>
      <c r="AZ44" s="212"/>
      <c r="BA44" s="213" t="e">
        <f>AVERAGE(BA42:BI43)</f>
        <v>#DIV/0!</v>
      </c>
      <c r="BB44" s="214"/>
      <c r="BC44" s="214"/>
      <c r="BD44" s="214"/>
      <c r="BE44" s="214"/>
      <c r="BF44" s="214"/>
      <c r="BG44" s="214"/>
      <c r="BH44" s="214"/>
      <c r="BI44" s="215"/>
      <c r="BJ44" s="4"/>
    </row>
    <row r="45" spans="1:62" ht="15.75" customHeight="1">
      <c r="A45" s="2"/>
      <c r="B45" s="230"/>
      <c r="C45" s="231"/>
      <c r="D45" s="231"/>
      <c r="E45" s="231"/>
      <c r="F45" s="231"/>
      <c r="G45" s="232"/>
      <c r="H45" s="219"/>
      <c r="I45" s="220"/>
      <c r="J45" s="220"/>
      <c r="K45" s="220"/>
      <c r="L45" s="220"/>
      <c r="M45" s="220"/>
      <c r="N45" s="220"/>
      <c r="O45" s="223"/>
      <c r="P45" s="219"/>
      <c r="Q45" s="220"/>
      <c r="R45" s="220"/>
      <c r="S45" s="220"/>
      <c r="T45" s="220"/>
      <c r="U45" s="220"/>
      <c r="V45" s="220"/>
      <c r="W45" s="223"/>
      <c r="X45" s="219"/>
      <c r="Y45" s="220"/>
      <c r="Z45" s="220"/>
      <c r="AA45" s="220"/>
      <c r="AB45" s="220"/>
      <c r="AC45" s="220"/>
      <c r="AD45" s="220"/>
      <c r="AE45" s="223"/>
      <c r="AF45" s="219"/>
      <c r="AG45" s="220"/>
      <c r="AH45" s="220"/>
      <c r="AI45" s="220"/>
      <c r="AJ45" s="220"/>
      <c r="AK45" s="220"/>
      <c r="AL45" s="220"/>
      <c r="AM45" s="223"/>
      <c r="AN45" s="221" t="str">
        <f t="shared" si="2"/>
        <v/>
      </c>
      <c r="AO45" s="222"/>
      <c r="AP45" s="222"/>
      <c r="AQ45" s="222"/>
      <c r="AR45" s="220" t="str">
        <f t="shared" si="1"/>
        <v/>
      </c>
      <c r="AS45" s="220"/>
      <c r="AT45" s="220"/>
      <c r="AU45" s="223"/>
      <c r="AV45" s="199" t="s">
        <v>66</v>
      </c>
      <c r="AW45" s="200"/>
      <c r="AX45" s="200"/>
      <c r="AY45" s="200"/>
      <c r="AZ45" s="235"/>
      <c r="BA45" s="233" t="s">
        <v>100</v>
      </c>
      <c r="BB45" s="233"/>
      <c r="BC45" s="233"/>
      <c r="BD45" s="233"/>
      <c r="BE45" s="233"/>
      <c r="BF45" s="233"/>
      <c r="BG45" s="233"/>
      <c r="BH45" s="233"/>
      <c r="BI45" s="234"/>
      <c r="BJ45" s="4"/>
    </row>
    <row r="46" spans="1:62" ht="15.75" customHeight="1">
      <c r="A46" s="2"/>
      <c r="B46" s="230"/>
      <c r="C46" s="231"/>
      <c r="D46" s="231"/>
      <c r="E46" s="231"/>
      <c r="F46" s="231"/>
      <c r="G46" s="232"/>
      <c r="H46" s="219"/>
      <c r="I46" s="220"/>
      <c r="J46" s="220"/>
      <c r="K46" s="220"/>
      <c r="L46" s="220"/>
      <c r="M46" s="220"/>
      <c r="N46" s="220"/>
      <c r="O46" s="223"/>
      <c r="P46" s="219"/>
      <c r="Q46" s="220"/>
      <c r="R46" s="220"/>
      <c r="S46" s="220"/>
      <c r="T46" s="220"/>
      <c r="U46" s="220"/>
      <c r="V46" s="220"/>
      <c r="W46" s="223"/>
      <c r="X46" s="219"/>
      <c r="Y46" s="220"/>
      <c r="Z46" s="220"/>
      <c r="AA46" s="220"/>
      <c r="AB46" s="220"/>
      <c r="AC46" s="220"/>
      <c r="AD46" s="220"/>
      <c r="AE46" s="223"/>
      <c r="AF46" s="219"/>
      <c r="AG46" s="220"/>
      <c r="AH46" s="220"/>
      <c r="AI46" s="220"/>
      <c r="AJ46" s="220"/>
      <c r="AK46" s="220"/>
      <c r="AL46" s="220"/>
      <c r="AM46" s="223"/>
      <c r="AN46" s="221" t="str">
        <f t="shared" si="2"/>
        <v/>
      </c>
      <c r="AO46" s="222"/>
      <c r="AP46" s="222"/>
      <c r="AQ46" s="222"/>
      <c r="AR46" s="220" t="str">
        <f t="shared" si="1"/>
        <v/>
      </c>
      <c r="AS46" s="220"/>
      <c r="AT46" s="220"/>
      <c r="AU46" s="223"/>
      <c r="AV46" s="236"/>
      <c r="AW46" s="237"/>
      <c r="AX46" s="237"/>
      <c r="AY46" s="237"/>
      <c r="AZ46" s="238"/>
      <c r="BA46" s="220" t="s">
        <v>367</v>
      </c>
      <c r="BB46" s="220"/>
      <c r="BC46" s="220"/>
      <c r="BD46" s="220"/>
      <c r="BE46" s="220"/>
      <c r="BF46" s="220"/>
      <c r="BG46" s="220"/>
      <c r="BH46" s="220"/>
      <c r="BI46" s="223"/>
      <c r="BJ46" s="4"/>
    </row>
    <row r="47" spans="1:62" ht="15.75" customHeight="1">
      <c r="A47" s="2"/>
      <c r="B47" s="230"/>
      <c r="C47" s="231"/>
      <c r="D47" s="231"/>
      <c r="E47" s="231"/>
      <c r="F47" s="231"/>
      <c r="G47" s="232"/>
      <c r="H47" s="219"/>
      <c r="I47" s="220"/>
      <c r="J47" s="220"/>
      <c r="K47" s="220"/>
      <c r="L47" s="220"/>
      <c r="M47" s="220"/>
      <c r="N47" s="220"/>
      <c r="O47" s="223"/>
      <c r="P47" s="219"/>
      <c r="Q47" s="220"/>
      <c r="R47" s="220"/>
      <c r="S47" s="220"/>
      <c r="T47" s="220"/>
      <c r="U47" s="220"/>
      <c r="V47" s="220"/>
      <c r="W47" s="223"/>
      <c r="X47" s="219"/>
      <c r="Y47" s="220"/>
      <c r="Z47" s="220"/>
      <c r="AA47" s="220"/>
      <c r="AB47" s="220"/>
      <c r="AC47" s="220"/>
      <c r="AD47" s="220"/>
      <c r="AE47" s="223"/>
      <c r="AF47" s="219"/>
      <c r="AG47" s="220"/>
      <c r="AH47" s="220"/>
      <c r="AI47" s="220"/>
      <c r="AJ47" s="220"/>
      <c r="AK47" s="220"/>
      <c r="AL47" s="220"/>
      <c r="AM47" s="223"/>
      <c r="AN47" s="221" t="str">
        <f t="shared" si="2"/>
        <v/>
      </c>
      <c r="AO47" s="222"/>
      <c r="AP47" s="222"/>
      <c r="AQ47" s="222"/>
      <c r="AR47" s="220" t="str">
        <f t="shared" si="1"/>
        <v/>
      </c>
      <c r="AS47" s="220"/>
      <c r="AT47" s="220"/>
      <c r="AU47" s="223"/>
      <c r="AV47" s="224" t="s">
        <v>11</v>
      </c>
      <c r="AW47" s="225"/>
      <c r="AX47" s="225"/>
      <c r="AY47" s="225"/>
      <c r="AZ47" s="225"/>
      <c r="BA47" s="226">
        <v>483000</v>
      </c>
      <c r="BB47" s="226"/>
      <c r="BC47" s="226"/>
      <c r="BD47" s="226"/>
      <c r="BE47" s="226"/>
      <c r="BF47" s="226"/>
      <c r="BG47" s="226"/>
      <c r="BH47" s="226"/>
      <c r="BI47" s="227"/>
      <c r="BJ47" s="4"/>
    </row>
    <row r="48" spans="1:62" ht="15.75" customHeight="1">
      <c r="A48" s="2"/>
      <c r="B48" s="228"/>
      <c r="C48" s="156"/>
      <c r="D48" s="156"/>
      <c r="E48" s="156"/>
      <c r="F48" s="156"/>
      <c r="G48" s="229"/>
      <c r="H48" s="218"/>
      <c r="I48" s="216"/>
      <c r="J48" s="216"/>
      <c r="K48" s="216"/>
      <c r="L48" s="216"/>
      <c r="M48" s="216"/>
      <c r="N48" s="216"/>
      <c r="O48" s="217"/>
      <c r="P48" s="218"/>
      <c r="Q48" s="216"/>
      <c r="R48" s="216"/>
      <c r="S48" s="216"/>
      <c r="T48" s="216"/>
      <c r="U48" s="216"/>
      <c r="V48" s="216"/>
      <c r="W48" s="217"/>
      <c r="X48" s="218"/>
      <c r="Y48" s="216"/>
      <c r="Z48" s="216"/>
      <c r="AA48" s="216"/>
      <c r="AB48" s="216"/>
      <c r="AC48" s="216"/>
      <c r="AD48" s="216"/>
      <c r="AE48" s="217"/>
      <c r="AF48" s="218"/>
      <c r="AG48" s="216"/>
      <c r="AH48" s="216"/>
      <c r="AI48" s="216"/>
      <c r="AJ48" s="216"/>
      <c r="AK48" s="216"/>
      <c r="AL48" s="216"/>
      <c r="AM48" s="217"/>
      <c r="AN48" s="218"/>
      <c r="AO48" s="216"/>
      <c r="AP48" s="216"/>
      <c r="AQ48" s="216"/>
      <c r="AR48" s="216"/>
      <c r="AS48" s="216"/>
      <c r="AT48" s="216"/>
      <c r="AU48" s="217"/>
      <c r="AV48" s="219" t="s">
        <v>12</v>
      </c>
      <c r="AW48" s="220"/>
      <c r="AX48" s="220"/>
      <c r="AY48" s="220"/>
      <c r="AZ48" s="220"/>
      <c r="BA48" s="197" t="e">
        <f>ROUND($AR$49*$AX$50*3600*298.15/101.32*($BF$8+$AJ$33)/(273.15+$AB$49)*(1-$BC$13/100),-3)</f>
        <v>#DIV/0!</v>
      </c>
      <c r="BB48" s="197"/>
      <c r="BC48" s="197"/>
      <c r="BD48" s="197"/>
      <c r="BE48" s="197"/>
      <c r="BF48" s="197"/>
      <c r="BG48" s="197"/>
      <c r="BH48" s="197"/>
      <c r="BI48" s="198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99" t="s">
        <v>54</v>
      </c>
      <c r="Q49" s="200"/>
      <c r="R49" s="200"/>
      <c r="S49" s="200"/>
      <c r="T49" s="200"/>
      <c r="U49" s="200"/>
      <c r="V49" s="200"/>
      <c r="W49" s="201"/>
      <c r="X49" s="202">
        <v>125</v>
      </c>
      <c r="Y49" s="203"/>
      <c r="Z49" s="203"/>
      <c r="AA49" s="204"/>
      <c r="AB49" s="205" t="e">
        <f>ROUND(AVERAGE(AB33:AE47),0)</f>
        <v>#DIV/0!</v>
      </c>
      <c r="AC49" s="205"/>
      <c r="AD49" s="205"/>
      <c r="AE49" s="206"/>
      <c r="AF49" s="207"/>
      <c r="AG49" s="208"/>
      <c r="AH49" s="208"/>
      <c r="AI49" s="189"/>
      <c r="AJ49" s="189"/>
      <c r="AK49" s="189"/>
      <c r="AL49" s="189"/>
      <c r="AM49" s="209"/>
      <c r="AN49" s="210"/>
      <c r="AO49" s="208"/>
      <c r="AP49" s="208"/>
      <c r="AQ49" s="208"/>
      <c r="AR49" s="205" t="e">
        <f>ROUND(AVERAGE(AR33:AU47),1)</f>
        <v>#DIV/0!</v>
      </c>
      <c r="AS49" s="205"/>
      <c r="AT49" s="205"/>
      <c r="AU49" s="206"/>
      <c r="AV49" s="211" t="s">
        <v>54</v>
      </c>
      <c r="AW49" s="212"/>
      <c r="AX49" s="212"/>
      <c r="AY49" s="212"/>
      <c r="AZ49" s="212"/>
      <c r="BA49" s="213" t="e">
        <f>AVERAGE(BA47:BI48)</f>
        <v>#DIV/0!</v>
      </c>
      <c r="BB49" s="214"/>
      <c r="BC49" s="214"/>
      <c r="BD49" s="214"/>
      <c r="BE49" s="214"/>
      <c r="BF49" s="214"/>
      <c r="BG49" s="214"/>
      <c r="BH49" s="214"/>
      <c r="BI49" s="215"/>
      <c r="BJ49" s="4"/>
    </row>
    <row r="50" spans="1:62" ht="15" customHeight="1">
      <c r="A50" s="2"/>
      <c r="B50" s="188" t="s">
        <v>146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90" t="s">
        <v>13</v>
      </c>
      <c r="P50" s="190"/>
      <c r="Q50" s="190"/>
      <c r="R50" s="190"/>
      <c r="S50" s="191"/>
      <c r="T50" s="192"/>
      <c r="U50" s="192"/>
      <c r="V50" s="192"/>
      <c r="W50" s="193"/>
      <c r="X50" s="194" t="s">
        <v>67</v>
      </c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6"/>
      <c r="AP50" s="190" t="s">
        <v>14</v>
      </c>
      <c r="AQ50" s="190"/>
      <c r="AR50" s="190"/>
      <c r="AS50" s="190"/>
      <c r="AT50" s="189" t="s">
        <v>35</v>
      </c>
      <c r="AU50" s="189"/>
      <c r="AV50" s="189"/>
      <c r="AW50" s="18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60"/>
      <c r="BJ50" s="4"/>
    </row>
    <row r="51" spans="1:62" ht="15" customHeight="1">
      <c r="A51" s="2"/>
      <c r="B51" s="161" t="s">
        <v>49</v>
      </c>
      <c r="C51" s="162"/>
      <c r="D51" s="162"/>
      <c r="E51" s="162"/>
      <c r="F51" s="162"/>
      <c r="G51" s="162"/>
      <c r="H51" s="163"/>
      <c r="I51" s="170" t="s">
        <v>68</v>
      </c>
      <c r="J51" s="171"/>
      <c r="K51" s="171"/>
      <c r="L51" s="171"/>
      <c r="M51" s="171"/>
      <c r="N51" s="171"/>
      <c r="O51" s="172"/>
      <c r="P51" s="179" t="s">
        <v>139</v>
      </c>
      <c r="Q51" s="180"/>
      <c r="R51" s="180"/>
      <c r="S51" s="180"/>
      <c r="T51" s="181"/>
      <c r="U51" s="182"/>
      <c r="V51" s="182"/>
      <c r="W51" s="182"/>
      <c r="X51" s="36" t="s">
        <v>6</v>
      </c>
      <c r="Y51" s="36"/>
      <c r="Z51" s="181"/>
      <c r="AA51" s="182"/>
      <c r="AB51" s="182"/>
      <c r="AC51" s="182"/>
      <c r="AD51" s="182"/>
      <c r="AE51" s="183"/>
      <c r="AF51" s="184" t="s">
        <v>69</v>
      </c>
      <c r="AG51" s="185"/>
      <c r="AH51" s="185"/>
      <c r="AI51" s="185"/>
      <c r="AJ51" s="185"/>
      <c r="AK51" s="185"/>
      <c r="AL51" s="185"/>
      <c r="AM51" s="185"/>
      <c r="AN51" s="185"/>
      <c r="AO51" s="186"/>
      <c r="AP51" s="179" t="s">
        <v>378</v>
      </c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7"/>
      <c r="BJ51" s="4"/>
    </row>
    <row r="52" spans="1:62" ht="15" customHeight="1">
      <c r="A52" s="2"/>
      <c r="B52" s="164"/>
      <c r="C52" s="165"/>
      <c r="D52" s="165"/>
      <c r="E52" s="165"/>
      <c r="F52" s="165"/>
      <c r="G52" s="165"/>
      <c r="H52" s="166"/>
      <c r="I52" s="173"/>
      <c r="J52" s="174"/>
      <c r="K52" s="174"/>
      <c r="L52" s="174"/>
      <c r="M52" s="174"/>
      <c r="N52" s="174"/>
      <c r="O52" s="175"/>
      <c r="P52" s="148" t="s">
        <v>139</v>
      </c>
      <c r="Q52" s="149"/>
      <c r="R52" s="149"/>
      <c r="S52" s="149"/>
      <c r="T52" s="143"/>
      <c r="U52" s="143"/>
      <c r="V52" s="143"/>
      <c r="W52" s="143"/>
      <c r="X52" s="14" t="s">
        <v>6</v>
      </c>
      <c r="Y52" s="14"/>
      <c r="Z52" s="143"/>
      <c r="AA52" s="143"/>
      <c r="AB52" s="143"/>
      <c r="AC52" s="143"/>
      <c r="AD52" s="143"/>
      <c r="AE52" s="144"/>
      <c r="AF52" s="145" t="s">
        <v>135</v>
      </c>
      <c r="AG52" s="146"/>
      <c r="AH52" s="146"/>
      <c r="AI52" s="146"/>
      <c r="AJ52" s="146"/>
      <c r="AK52" s="146"/>
      <c r="AL52" s="146"/>
      <c r="AM52" s="146"/>
      <c r="AN52" s="146"/>
      <c r="AO52" s="147"/>
      <c r="AP52" s="148" t="s">
        <v>379</v>
      </c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50"/>
      <c r="BJ52" s="4"/>
    </row>
    <row r="53" spans="1:62" ht="15" customHeight="1">
      <c r="A53" s="2"/>
      <c r="B53" s="167"/>
      <c r="C53" s="168"/>
      <c r="D53" s="168"/>
      <c r="E53" s="168"/>
      <c r="F53" s="168"/>
      <c r="G53" s="168"/>
      <c r="H53" s="169"/>
      <c r="I53" s="176"/>
      <c r="J53" s="177"/>
      <c r="K53" s="177"/>
      <c r="L53" s="177"/>
      <c r="M53" s="177"/>
      <c r="N53" s="177"/>
      <c r="O53" s="178"/>
      <c r="P53" s="151" t="s">
        <v>139</v>
      </c>
      <c r="Q53" s="152"/>
      <c r="R53" s="152"/>
      <c r="S53" s="152"/>
      <c r="T53" s="153"/>
      <c r="U53" s="153"/>
      <c r="V53" s="153"/>
      <c r="W53" s="153"/>
      <c r="X53" s="129" t="s">
        <v>6</v>
      </c>
      <c r="Y53" s="129"/>
      <c r="Z53" s="153"/>
      <c r="AA53" s="153"/>
      <c r="AB53" s="153"/>
      <c r="AC53" s="153"/>
      <c r="AD53" s="153"/>
      <c r="AE53" s="154"/>
      <c r="AF53" s="155" t="s">
        <v>140</v>
      </c>
      <c r="AG53" s="156"/>
      <c r="AH53" s="156"/>
      <c r="AI53" s="156"/>
      <c r="AJ53" s="156"/>
      <c r="AK53" s="156"/>
      <c r="AL53" s="156"/>
      <c r="AM53" s="156"/>
      <c r="AN53" s="156"/>
      <c r="AO53" s="157"/>
      <c r="AP53" s="128" t="s">
        <v>380</v>
      </c>
      <c r="AQ53" s="123"/>
      <c r="AR53" s="123"/>
      <c r="AS53" s="123"/>
      <c r="AT53" s="123"/>
      <c r="AU53" s="123"/>
      <c r="AV53" s="129"/>
      <c r="AW53" s="129"/>
      <c r="AX53" s="129"/>
      <c r="AY53" s="129"/>
      <c r="AZ53" s="129"/>
      <c r="BA53" s="129"/>
      <c r="BB53" s="156"/>
      <c r="BC53" s="156"/>
      <c r="BD53" s="152"/>
      <c r="BE53" s="152"/>
      <c r="BF53" s="152"/>
      <c r="BG53" s="152"/>
      <c r="BH53" s="152"/>
      <c r="BI53" s="158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2" customFormat="1" ht="30" customHeight="1">
      <c r="A55" s="50"/>
      <c r="B55" s="139" t="s">
        <v>147</v>
      </c>
      <c r="C55" s="139"/>
      <c r="D55" s="139"/>
      <c r="E55" s="139"/>
      <c r="F55" s="139"/>
      <c r="G55" s="139"/>
      <c r="H55" s="139"/>
      <c r="I55" s="139"/>
      <c r="J55" s="140"/>
      <c r="K55" s="141" t="s">
        <v>148</v>
      </c>
      <c r="L55" s="139"/>
      <c r="M55" s="139"/>
      <c r="N55" s="139"/>
      <c r="O55" s="139"/>
      <c r="P55" s="139"/>
      <c r="Q55" s="139"/>
      <c r="R55" s="139" t="s">
        <v>149</v>
      </c>
      <c r="S55" s="139"/>
      <c r="T55" s="139"/>
      <c r="U55" s="139"/>
      <c r="V55" s="139"/>
      <c r="W55" s="139"/>
      <c r="X55" s="139"/>
      <c r="Y55" s="140"/>
      <c r="Z55" s="141" t="s">
        <v>150</v>
      </c>
      <c r="AA55" s="139"/>
      <c r="AB55" s="139"/>
      <c r="AC55" s="139"/>
      <c r="AD55" s="139"/>
      <c r="AE55" s="139"/>
      <c r="AF55" s="139"/>
      <c r="AG55" s="139"/>
      <c r="AH55" s="139"/>
      <c r="AI55" s="142" t="s">
        <v>366</v>
      </c>
      <c r="AJ55" s="142"/>
      <c r="AK55" s="142"/>
      <c r="AL55" s="142"/>
      <c r="AM55" s="142"/>
      <c r="AN55" s="142"/>
      <c r="AO55" s="142"/>
      <c r="AP55" s="142"/>
      <c r="AQ55" s="142"/>
      <c r="AR55" s="139" t="s">
        <v>151</v>
      </c>
      <c r="AS55" s="139"/>
      <c r="AT55" s="139"/>
      <c r="AU55" s="139"/>
      <c r="AV55" s="139"/>
      <c r="AW55" s="139"/>
      <c r="AX55" s="139"/>
      <c r="AY55" s="139"/>
      <c r="AZ55" s="139"/>
      <c r="BA55" s="140"/>
      <c r="BB55" s="137">
        <v>42095</v>
      </c>
      <c r="BC55" s="138"/>
      <c r="BD55" s="138"/>
      <c r="BE55" s="138"/>
      <c r="BF55" s="138"/>
      <c r="BG55" s="138"/>
      <c r="BH55" s="138"/>
      <c r="BI55" s="138"/>
      <c r="BJ55" s="51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88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T44:W44"/>
    <mergeCell ref="X44:AA44"/>
    <mergeCell ref="AB44:AE44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5:G45"/>
    <mergeCell ref="H45:K45"/>
    <mergeCell ref="L45:O45"/>
    <mergeCell ref="P45:S45"/>
    <mergeCell ref="T45:W45"/>
    <mergeCell ref="X45:AA45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9370078740157483" right="0.11811023622047245" top="0.31496062992125984" bottom="0.19685039370078741" header="0.23622047244094491" footer="0.19685039370078741"/>
  <pageSetup paperSize="9" scale="84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37" zoomScale="115" zoomScaleNormal="100" zoomScaleSheetLayoutView="115" zoomScalePageLayoutView="115" workbookViewId="0">
      <selection activeCell="A46" sqref="A46:XFD46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361" t="s">
        <v>71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3"/>
      <c r="X2" s="364" t="s">
        <v>154</v>
      </c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6"/>
      <c r="AN2" s="367" t="s">
        <v>158</v>
      </c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8"/>
    </row>
    <row r="3" spans="1:63" ht="21.75" customHeight="1">
      <c r="A3" s="369" t="s">
        <v>52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1"/>
      <c r="M3" s="372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4"/>
      <c r="AD3" s="375" t="s">
        <v>159</v>
      </c>
      <c r="AE3" s="376"/>
      <c r="AF3" s="376"/>
      <c r="AG3" s="376"/>
      <c r="AH3" s="376"/>
      <c r="AI3" s="376"/>
      <c r="AJ3" s="376"/>
      <c r="AK3" s="376"/>
      <c r="AL3" s="376"/>
      <c r="AM3" s="377"/>
      <c r="AN3" s="34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360"/>
    </row>
    <row r="4" spans="1:63" ht="21.75" customHeight="1">
      <c r="A4" s="352" t="s">
        <v>53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4"/>
      <c r="M4" s="378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357" t="s">
        <v>72</v>
      </c>
      <c r="AE4" s="358"/>
      <c r="AF4" s="358"/>
      <c r="AG4" s="358"/>
      <c r="AH4" s="358"/>
      <c r="AI4" s="358"/>
      <c r="AJ4" s="358"/>
      <c r="AK4" s="358"/>
      <c r="AL4" s="358"/>
      <c r="AM4" s="359"/>
      <c r="AN4" s="34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360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3"/>
      <c r="N5" s="43"/>
      <c r="O5" s="43"/>
      <c r="P5" s="43"/>
      <c r="Q5" s="43"/>
      <c r="R5" s="43"/>
      <c r="S5" s="43"/>
      <c r="T5" s="43"/>
      <c r="U5" s="43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8"/>
      <c r="AG5" s="48"/>
      <c r="AH5" s="48"/>
      <c r="AI5" s="48"/>
      <c r="AJ5" s="48"/>
      <c r="AK5" s="48"/>
      <c r="AL5" s="48"/>
      <c r="AM5" s="48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3"/>
      <c r="AG6" s="3"/>
      <c r="AH6" s="3"/>
      <c r="AI6" s="3"/>
      <c r="AJ6" s="3"/>
      <c r="AK6" s="351" t="s">
        <v>90</v>
      </c>
      <c r="AL6" s="351"/>
      <c r="AM6" s="351"/>
      <c r="AN6" s="351"/>
      <c r="AO6" s="351"/>
      <c r="AP6" s="351" t="s">
        <v>91</v>
      </c>
      <c r="AQ6" s="351"/>
      <c r="AR6" s="351"/>
      <c r="AS6" s="351"/>
      <c r="AT6" s="351"/>
      <c r="AU6" s="351" t="s">
        <v>92</v>
      </c>
      <c r="AV6" s="351"/>
      <c r="AW6" s="351"/>
      <c r="AX6" s="351"/>
      <c r="AY6" s="351"/>
      <c r="AZ6" s="351" t="s">
        <v>94</v>
      </c>
      <c r="BA6" s="351"/>
      <c r="BB6" s="351"/>
      <c r="BC6" s="351"/>
      <c r="BD6" s="351"/>
      <c r="BE6" s="351" t="s">
        <v>154</v>
      </c>
      <c r="BF6" s="351"/>
      <c r="BG6" s="351"/>
      <c r="BH6" s="351"/>
      <c r="BI6" s="351"/>
      <c r="BJ6" s="4"/>
    </row>
    <row r="7" spans="1:63" ht="18.75" customHeight="1">
      <c r="A7" s="2"/>
      <c r="B7" s="386" t="s">
        <v>74</v>
      </c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 t="s">
        <v>75</v>
      </c>
      <c r="Q7" s="386"/>
      <c r="R7" s="386"/>
      <c r="S7" s="386"/>
      <c r="T7" s="386"/>
      <c r="U7" s="386"/>
      <c r="V7" s="386"/>
      <c r="W7" s="386"/>
      <c r="X7" s="386"/>
      <c r="Y7" s="386"/>
      <c r="Z7" s="386"/>
      <c r="AA7" s="386"/>
      <c r="AB7" s="386"/>
      <c r="AC7" s="386"/>
      <c r="AH7" s="3"/>
      <c r="AK7" s="386"/>
      <c r="AL7" s="386"/>
      <c r="AM7" s="386"/>
      <c r="AN7" s="386"/>
      <c r="AO7" s="386"/>
      <c r="AP7" s="386"/>
      <c r="AQ7" s="386"/>
      <c r="AR7" s="386"/>
      <c r="AS7" s="386"/>
      <c r="AT7" s="386"/>
      <c r="AU7" s="386"/>
      <c r="AV7" s="386"/>
      <c r="AW7" s="386"/>
      <c r="AX7" s="386"/>
      <c r="AY7" s="386"/>
      <c r="AZ7" s="386"/>
      <c r="BA7" s="386"/>
      <c r="BB7" s="386"/>
      <c r="BC7" s="386"/>
      <c r="BD7" s="386"/>
      <c r="BE7" s="386"/>
      <c r="BF7" s="386"/>
      <c r="BG7" s="386"/>
      <c r="BH7" s="386"/>
      <c r="BI7" s="386"/>
      <c r="BJ7" s="4"/>
    </row>
    <row r="8" spans="1:63" ht="18.75" customHeight="1">
      <c r="A8" s="2"/>
      <c r="B8" s="387" t="s">
        <v>387</v>
      </c>
      <c r="C8" s="184"/>
      <c r="D8" s="321" t="s">
        <v>76</v>
      </c>
      <c r="E8" s="388"/>
      <c r="F8" s="388"/>
      <c r="G8" s="388"/>
      <c r="H8" s="179"/>
      <c r="I8" s="186" t="s">
        <v>387</v>
      </c>
      <c r="J8" s="184"/>
      <c r="K8" s="321" t="s">
        <v>77</v>
      </c>
      <c r="L8" s="388"/>
      <c r="M8" s="388"/>
      <c r="N8" s="388"/>
      <c r="O8" s="389"/>
      <c r="P8" s="269" t="s">
        <v>15</v>
      </c>
      <c r="Q8" s="184"/>
      <c r="R8" s="321" t="s">
        <v>76</v>
      </c>
      <c r="S8" s="388"/>
      <c r="T8" s="388"/>
      <c r="U8" s="388"/>
      <c r="V8" s="179"/>
      <c r="W8" s="186" t="s">
        <v>15</v>
      </c>
      <c r="X8" s="184"/>
      <c r="Y8" s="321" t="s">
        <v>77</v>
      </c>
      <c r="Z8" s="388"/>
      <c r="AA8" s="388"/>
      <c r="AB8" s="388"/>
      <c r="AC8" s="389"/>
      <c r="AK8" s="386"/>
      <c r="AL8" s="386"/>
      <c r="AM8" s="386"/>
      <c r="AN8" s="386"/>
      <c r="AO8" s="386"/>
      <c r="AP8" s="386"/>
      <c r="AQ8" s="386"/>
      <c r="AR8" s="386"/>
      <c r="AS8" s="386"/>
      <c r="AT8" s="386"/>
      <c r="AU8" s="386"/>
      <c r="AV8" s="386"/>
      <c r="AW8" s="386"/>
      <c r="AX8" s="386"/>
      <c r="AY8" s="386"/>
      <c r="AZ8" s="386"/>
      <c r="BA8" s="386"/>
      <c r="BB8" s="386"/>
      <c r="BC8" s="386"/>
      <c r="BD8" s="386"/>
      <c r="BE8" s="386"/>
      <c r="BF8" s="386"/>
      <c r="BG8" s="386"/>
      <c r="BH8" s="386"/>
      <c r="BI8" s="386"/>
      <c r="BJ8" s="4"/>
    </row>
    <row r="9" spans="1:63" ht="18.75" customHeight="1">
      <c r="A9" s="2"/>
      <c r="B9" s="219" t="s">
        <v>387</v>
      </c>
      <c r="C9" s="316"/>
      <c r="D9" s="379" t="s">
        <v>16</v>
      </c>
      <c r="E9" s="380"/>
      <c r="F9" s="380"/>
      <c r="G9" s="380"/>
      <c r="H9" s="381"/>
      <c r="I9" s="339" t="s">
        <v>15</v>
      </c>
      <c r="J9" s="316"/>
      <c r="K9" s="379" t="s">
        <v>17</v>
      </c>
      <c r="L9" s="380"/>
      <c r="M9" s="380"/>
      <c r="N9" s="380"/>
      <c r="O9" s="382"/>
      <c r="P9" s="230" t="s">
        <v>15</v>
      </c>
      <c r="Q9" s="231"/>
      <c r="R9" s="383" t="s">
        <v>78</v>
      </c>
      <c r="S9" s="383"/>
      <c r="T9" s="383"/>
      <c r="U9" s="383"/>
      <c r="V9" s="383"/>
      <c r="W9" s="231" t="s">
        <v>15</v>
      </c>
      <c r="X9" s="231"/>
      <c r="Y9" s="384">
        <v>89</v>
      </c>
      <c r="Z9" s="384"/>
      <c r="AA9" s="384"/>
      <c r="AB9" s="384"/>
      <c r="AC9" s="385"/>
      <c r="AD9" s="320" t="s">
        <v>45</v>
      </c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6"/>
      <c r="AU9" s="233" t="s">
        <v>29</v>
      </c>
      <c r="AV9" s="233"/>
      <c r="AW9" s="233"/>
      <c r="AX9" s="233"/>
      <c r="AY9" s="233"/>
      <c r="AZ9" s="260" t="s">
        <v>0</v>
      </c>
      <c r="BA9" s="260"/>
      <c r="BB9" s="260"/>
      <c r="BC9" s="260"/>
      <c r="BD9" s="260"/>
      <c r="BE9" s="259"/>
      <c r="BF9" s="259"/>
      <c r="BG9" s="259"/>
      <c r="BH9" s="259"/>
      <c r="BI9" s="300"/>
      <c r="BJ9" s="4"/>
    </row>
    <row r="10" spans="1:63" ht="18.75" customHeight="1">
      <c r="A10" s="2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228" t="s">
        <v>15</v>
      </c>
      <c r="Q10" s="156"/>
      <c r="R10" s="417" t="s">
        <v>18</v>
      </c>
      <c r="S10" s="417"/>
      <c r="T10" s="417"/>
      <c r="U10" s="417"/>
      <c r="V10" s="417"/>
      <c r="W10" s="40"/>
      <c r="X10" s="40"/>
      <c r="Y10" s="40"/>
      <c r="Z10" s="40"/>
      <c r="AA10" s="40"/>
      <c r="AB10" s="40"/>
      <c r="AC10" s="44"/>
      <c r="AD10" s="176" t="s">
        <v>80</v>
      </c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8"/>
      <c r="AU10" s="408" t="s">
        <v>36</v>
      </c>
      <c r="AV10" s="409"/>
      <c r="AW10" s="409"/>
      <c r="AX10" s="409"/>
      <c r="AY10" s="410"/>
      <c r="AZ10" s="155" t="s">
        <v>79</v>
      </c>
      <c r="BA10" s="156"/>
      <c r="BB10" s="156"/>
      <c r="BC10" s="156"/>
      <c r="BD10" s="157"/>
      <c r="BE10" s="155"/>
      <c r="BF10" s="156"/>
      <c r="BG10" s="156"/>
      <c r="BH10" s="156"/>
      <c r="BI10" s="229"/>
      <c r="BJ10" s="4"/>
    </row>
    <row r="11" spans="1:63" s="23" customFormat="1" ht="15" customHeight="1">
      <c r="A11" s="21"/>
      <c r="B11" s="429" t="s">
        <v>155</v>
      </c>
      <c r="C11" s="429"/>
      <c r="D11" s="429"/>
      <c r="E11" s="429"/>
      <c r="F11" s="429" t="s">
        <v>59</v>
      </c>
      <c r="G11" s="429"/>
      <c r="H11" s="429"/>
      <c r="I11" s="429"/>
      <c r="J11" s="429" t="s">
        <v>81</v>
      </c>
      <c r="K11" s="429"/>
      <c r="L11" s="429"/>
      <c r="M11" s="429" t="s">
        <v>134</v>
      </c>
      <c r="N11" s="429"/>
      <c r="O11" s="429"/>
      <c r="P11" s="413" t="s">
        <v>111</v>
      </c>
      <c r="Q11" s="413"/>
      <c r="R11" s="413"/>
      <c r="S11" s="413"/>
      <c r="T11" s="413" t="s">
        <v>145</v>
      </c>
      <c r="U11" s="413"/>
      <c r="V11" s="413"/>
      <c r="W11" s="413"/>
      <c r="X11" s="390" t="s">
        <v>41</v>
      </c>
      <c r="Y11" s="391"/>
      <c r="Z11" s="391"/>
      <c r="AA11" s="391"/>
      <c r="AB11" s="391"/>
      <c r="AC11" s="391"/>
      <c r="AD11" s="391"/>
      <c r="AE11" s="391"/>
      <c r="AF11" s="391"/>
      <c r="AG11" s="391"/>
      <c r="AH11" s="391"/>
      <c r="AI11" s="391"/>
      <c r="AJ11" s="392"/>
      <c r="AK11" s="393" t="s">
        <v>84</v>
      </c>
      <c r="AL11" s="394"/>
      <c r="AM11" s="394"/>
      <c r="AN11" s="394"/>
      <c r="AO11" s="395"/>
      <c r="AP11" s="393" t="s">
        <v>85</v>
      </c>
      <c r="AQ11" s="394"/>
      <c r="AR11" s="394"/>
      <c r="AS11" s="394"/>
      <c r="AT11" s="395"/>
      <c r="AU11" s="390" t="s">
        <v>86</v>
      </c>
      <c r="AV11" s="391"/>
      <c r="AW11" s="391"/>
      <c r="AX11" s="391"/>
      <c r="AY11" s="391"/>
      <c r="AZ11" s="391"/>
      <c r="BA11" s="391"/>
      <c r="BB11" s="391"/>
      <c r="BC11" s="391"/>
      <c r="BD11" s="392"/>
      <c r="BE11" s="399" t="s">
        <v>141</v>
      </c>
      <c r="BF11" s="400"/>
      <c r="BG11" s="400"/>
      <c r="BH11" s="400"/>
      <c r="BI11" s="401"/>
      <c r="BJ11" s="22"/>
    </row>
    <row r="12" spans="1:63" s="23" customFormat="1" ht="30" customHeight="1">
      <c r="A12" s="21"/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  <c r="P12" s="414"/>
      <c r="Q12" s="414"/>
      <c r="R12" s="414"/>
      <c r="S12" s="414"/>
      <c r="T12" s="414"/>
      <c r="U12" s="414"/>
      <c r="V12" s="414"/>
      <c r="W12" s="414"/>
      <c r="X12" s="405" t="s">
        <v>82</v>
      </c>
      <c r="Y12" s="406"/>
      <c r="Z12" s="406"/>
      <c r="AA12" s="406"/>
      <c r="AB12" s="406"/>
      <c r="AC12" s="406" t="s">
        <v>83</v>
      </c>
      <c r="AD12" s="406"/>
      <c r="AE12" s="406"/>
      <c r="AF12" s="406"/>
      <c r="AG12" s="406" t="s">
        <v>44</v>
      </c>
      <c r="AH12" s="406"/>
      <c r="AI12" s="406"/>
      <c r="AJ12" s="407"/>
      <c r="AK12" s="396"/>
      <c r="AL12" s="397"/>
      <c r="AM12" s="397"/>
      <c r="AN12" s="397"/>
      <c r="AO12" s="398"/>
      <c r="AP12" s="396"/>
      <c r="AQ12" s="397"/>
      <c r="AR12" s="397"/>
      <c r="AS12" s="397"/>
      <c r="AT12" s="398"/>
      <c r="AU12" s="405" t="s">
        <v>87</v>
      </c>
      <c r="AV12" s="406"/>
      <c r="AW12" s="406"/>
      <c r="AX12" s="406"/>
      <c r="AY12" s="406"/>
      <c r="AZ12" s="406" t="s">
        <v>88</v>
      </c>
      <c r="BA12" s="406"/>
      <c r="BB12" s="406"/>
      <c r="BC12" s="406"/>
      <c r="BD12" s="407"/>
      <c r="BE12" s="402"/>
      <c r="BF12" s="403"/>
      <c r="BG12" s="403"/>
      <c r="BH12" s="403"/>
      <c r="BI12" s="404"/>
      <c r="BJ12" s="22"/>
    </row>
    <row r="13" spans="1:63" s="28" customFormat="1" ht="15" customHeight="1">
      <c r="A13" s="26"/>
      <c r="B13" s="430"/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16" t="s">
        <v>19</v>
      </c>
      <c r="N13" s="416"/>
      <c r="O13" s="416"/>
      <c r="P13" s="414"/>
      <c r="Q13" s="414"/>
      <c r="R13" s="414"/>
      <c r="S13" s="414"/>
      <c r="T13" s="416" t="s">
        <v>20</v>
      </c>
      <c r="U13" s="416"/>
      <c r="V13" s="416"/>
      <c r="W13" s="416"/>
      <c r="X13" s="411" t="s">
        <v>1</v>
      </c>
      <c r="Y13" s="412"/>
      <c r="Z13" s="412"/>
      <c r="AA13" s="412"/>
      <c r="AB13" s="412"/>
      <c r="AC13" s="412" t="s">
        <v>107</v>
      </c>
      <c r="AD13" s="412"/>
      <c r="AE13" s="412"/>
      <c r="AF13" s="412"/>
      <c r="AG13" s="412" t="s">
        <v>109</v>
      </c>
      <c r="AH13" s="412"/>
      <c r="AI13" s="412"/>
      <c r="AJ13" s="432"/>
      <c r="AK13" s="418" t="s">
        <v>110</v>
      </c>
      <c r="AL13" s="419"/>
      <c r="AM13" s="419"/>
      <c r="AN13" s="419"/>
      <c r="AO13" s="420"/>
      <c r="AP13" s="418" t="s">
        <v>2</v>
      </c>
      <c r="AQ13" s="419"/>
      <c r="AR13" s="419"/>
      <c r="AS13" s="419"/>
      <c r="AT13" s="420"/>
      <c r="AU13" s="411" t="s">
        <v>108</v>
      </c>
      <c r="AV13" s="412"/>
      <c r="AW13" s="412"/>
      <c r="AX13" s="412"/>
      <c r="AY13" s="412"/>
      <c r="AZ13" s="412" t="s">
        <v>13</v>
      </c>
      <c r="BA13" s="412"/>
      <c r="BB13" s="412"/>
      <c r="BC13" s="412"/>
      <c r="BD13" s="432"/>
      <c r="BE13" s="418" t="s">
        <v>106</v>
      </c>
      <c r="BF13" s="419"/>
      <c r="BG13" s="419"/>
      <c r="BH13" s="419"/>
      <c r="BI13" s="420"/>
      <c r="BJ13" s="27"/>
    </row>
    <row r="14" spans="1:63" s="23" customFormat="1" ht="15" customHeight="1">
      <c r="A14" s="21"/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15" t="s">
        <v>21</v>
      </c>
      <c r="N14" s="415"/>
      <c r="O14" s="415"/>
      <c r="P14" s="415"/>
      <c r="Q14" s="415"/>
      <c r="R14" s="415"/>
      <c r="S14" s="415"/>
      <c r="T14" s="415" t="s">
        <v>22</v>
      </c>
      <c r="U14" s="415"/>
      <c r="V14" s="415"/>
      <c r="W14" s="415"/>
      <c r="X14" s="433" t="s">
        <v>3</v>
      </c>
      <c r="Y14" s="424"/>
      <c r="Z14" s="424"/>
      <c r="AA14" s="424"/>
      <c r="AB14" s="424"/>
      <c r="AC14" s="424" t="s">
        <v>4</v>
      </c>
      <c r="AD14" s="424"/>
      <c r="AE14" s="424"/>
      <c r="AF14" s="424"/>
      <c r="AG14" s="424" t="s">
        <v>0</v>
      </c>
      <c r="AH14" s="424"/>
      <c r="AI14" s="424"/>
      <c r="AJ14" s="425"/>
      <c r="AK14" s="426" t="s">
        <v>370</v>
      </c>
      <c r="AL14" s="427"/>
      <c r="AM14" s="427"/>
      <c r="AN14" s="427"/>
      <c r="AO14" s="428"/>
      <c r="AP14" s="426" t="s">
        <v>5</v>
      </c>
      <c r="AQ14" s="427"/>
      <c r="AR14" s="427"/>
      <c r="AS14" s="427"/>
      <c r="AT14" s="428"/>
      <c r="AU14" s="433" t="s">
        <v>369</v>
      </c>
      <c r="AV14" s="424"/>
      <c r="AW14" s="424"/>
      <c r="AX14" s="424"/>
      <c r="AY14" s="502"/>
      <c r="AZ14" s="424" t="s">
        <v>369</v>
      </c>
      <c r="BA14" s="424"/>
      <c r="BB14" s="424"/>
      <c r="BC14" s="424"/>
      <c r="BD14" s="425"/>
      <c r="BE14" s="426" t="s">
        <v>79</v>
      </c>
      <c r="BF14" s="427"/>
      <c r="BG14" s="427"/>
      <c r="BH14" s="427"/>
      <c r="BI14" s="428"/>
      <c r="BJ14" s="22"/>
    </row>
    <row r="15" spans="1:63" ht="18.75" customHeight="1">
      <c r="A15" s="2"/>
      <c r="B15" s="297"/>
      <c r="C15" s="297"/>
      <c r="D15" s="297"/>
      <c r="E15" s="297"/>
      <c r="F15" s="299"/>
      <c r="G15" s="297"/>
      <c r="H15" s="297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69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1"/>
      <c r="AK15" s="495"/>
      <c r="AL15" s="495"/>
      <c r="AM15" s="495"/>
      <c r="AN15" s="495"/>
      <c r="AO15" s="495"/>
      <c r="AP15" s="297"/>
      <c r="AQ15" s="297"/>
      <c r="AR15" s="297"/>
      <c r="AS15" s="297"/>
      <c r="AT15" s="297"/>
      <c r="AU15" s="498"/>
      <c r="AV15" s="499"/>
      <c r="AW15" s="499"/>
      <c r="AX15" s="499"/>
      <c r="AY15" s="499"/>
      <c r="AZ15" s="500" t="str">
        <f>IF(AU15="","",AU15*(20.9-$BE$10)/(20.9-BE15))</f>
        <v/>
      </c>
      <c r="BA15" s="500"/>
      <c r="BB15" s="500"/>
      <c r="BC15" s="500"/>
      <c r="BD15" s="501"/>
      <c r="BE15" s="421"/>
      <c r="BF15" s="422"/>
      <c r="BG15" s="422"/>
      <c r="BH15" s="422"/>
      <c r="BI15" s="423"/>
      <c r="BJ15" s="4"/>
      <c r="BK15" s="103" t="e">
        <f>ROUND(VLOOKUP(AC15,'Measurement Act'!$A$4:$C$207,3),2)</f>
        <v>#N/A</v>
      </c>
    </row>
    <row r="16" spans="1:63" ht="18.75" customHeight="1">
      <c r="A16" s="2"/>
      <c r="B16" s="292"/>
      <c r="C16" s="292"/>
      <c r="D16" s="292"/>
      <c r="E16" s="292"/>
      <c r="F16" s="291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19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3"/>
      <c r="AK16" s="292"/>
      <c r="AL16" s="292"/>
      <c r="AM16" s="292"/>
      <c r="AN16" s="292"/>
      <c r="AO16" s="292"/>
      <c r="AP16" s="292"/>
      <c r="AQ16" s="292"/>
      <c r="AR16" s="292"/>
      <c r="AS16" s="292"/>
      <c r="AT16" s="292"/>
      <c r="AU16" s="486"/>
      <c r="AV16" s="487"/>
      <c r="AW16" s="487"/>
      <c r="AX16" s="487"/>
      <c r="AY16" s="487"/>
      <c r="AZ16" s="239" t="str">
        <f t="shared" ref="AZ16:AZ19" si="0">IF(AU16="","",AU16*(20.9-$BE$10)/(20.9-BE16))</f>
        <v/>
      </c>
      <c r="BA16" s="239"/>
      <c r="BB16" s="239"/>
      <c r="BC16" s="239"/>
      <c r="BD16" s="240"/>
      <c r="BE16" s="506"/>
      <c r="BF16" s="507"/>
      <c r="BG16" s="507"/>
      <c r="BH16" s="507"/>
      <c r="BI16" s="508"/>
      <c r="BJ16" s="4"/>
      <c r="BK16" s="103" t="e">
        <f>ROUND(VLOOKUP(AC16,'Measurement Act'!$A$4:$C$207,3),2)</f>
        <v>#N/A</v>
      </c>
    </row>
    <row r="17" spans="1:63" ht="18.75" customHeight="1">
      <c r="A17" s="2"/>
      <c r="B17" s="292"/>
      <c r="C17" s="292"/>
      <c r="D17" s="292"/>
      <c r="E17" s="292"/>
      <c r="F17" s="291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19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3"/>
      <c r="AK17" s="292"/>
      <c r="AL17" s="292"/>
      <c r="AM17" s="292"/>
      <c r="AN17" s="292"/>
      <c r="AO17" s="292"/>
      <c r="AP17" s="292"/>
      <c r="AQ17" s="292"/>
      <c r="AR17" s="292"/>
      <c r="AS17" s="292"/>
      <c r="AT17" s="292"/>
      <c r="AU17" s="486"/>
      <c r="AV17" s="487"/>
      <c r="AW17" s="487"/>
      <c r="AX17" s="487"/>
      <c r="AY17" s="487"/>
      <c r="AZ17" s="239" t="str">
        <f t="shared" si="0"/>
        <v/>
      </c>
      <c r="BA17" s="239"/>
      <c r="BB17" s="239"/>
      <c r="BC17" s="239"/>
      <c r="BD17" s="240"/>
      <c r="BE17" s="506"/>
      <c r="BF17" s="507"/>
      <c r="BG17" s="507"/>
      <c r="BH17" s="507"/>
      <c r="BI17" s="508"/>
      <c r="BJ17" s="4"/>
      <c r="BK17" s="103" t="e">
        <f>ROUND(VLOOKUP(AC17,'Measurement Act'!$A$4:$C$207,3),2)</f>
        <v>#N/A</v>
      </c>
    </row>
    <row r="18" spans="1:63" ht="18.75" customHeight="1">
      <c r="A18" s="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19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3"/>
      <c r="AK18" s="292" t="str">
        <f t="shared" ref="AK18:AK19" si="1">IF(X18="","",ROUND(X18*298.15/101.32*($BE$9+AG18-BK18)/(273.15+AC18)/1000,3))</f>
        <v/>
      </c>
      <c r="AL18" s="292"/>
      <c r="AM18" s="292"/>
      <c r="AN18" s="292"/>
      <c r="AO18" s="292"/>
      <c r="AP18" s="292"/>
      <c r="AQ18" s="292"/>
      <c r="AR18" s="292"/>
      <c r="AS18" s="292"/>
      <c r="AT18" s="292"/>
      <c r="AU18" s="486" t="str">
        <f t="shared" ref="AU18:AU19" si="2">IF(AP18="","",AP18/AK18)</f>
        <v/>
      </c>
      <c r="AV18" s="487"/>
      <c r="AW18" s="487"/>
      <c r="AX18" s="487"/>
      <c r="AY18" s="487"/>
      <c r="AZ18" s="239" t="str">
        <f t="shared" si="0"/>
        <v/>
      </c>
      <c r="BA18" s="239"/>
      <c r="BB18" s="239"/>
      <c r="BC18" s="239"/>
      <c r="BD18" s="240"/>
      <c r="BE18" s="506"/>
      <c r="BF18" s="507"/>
      <c r="BG18" s="507"/>
      <c r="BH18" s="507"/>
      <c r="BI18" s="508"/>
      <c r="BJ18" s="4"/>
      <c r="BK18" s="103" t="e">
        <f>ROUND(VLOOKUP(AC18,'Measurement Act'!$A$4:$C$207,3),2)</f>
        <v>#N/A</v>
      </c>
    </row>
    <row r="19" spans="1:63" ht="18.75" customHeight="1">
      <c r="A19" s="2"/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18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7"/>
      <c r="AK19" s="298" t="str">
        <f t="shared" si="1"/>
        <v/>
      </c>
      <c r="AL19" s="298"/>
      <c r="AM19" s="298"/>
      <c r="AN19" s="298"/>
      <c r="AO19" s="298"/>
      <c r="AP19" s="298"/>
      <c r="AQ19" s="298"/>
      <c r="AR19" s="298"/>
      <c r="AS19" s="298"/>
      <c r="AT19" s="298"/>
      <c r="AU19" s="496" t="str">
        <f t="shared" si="2"/>
        <v/>
      </c>
      <c r="AV19" s="497"/>
      <c r="AW19" s="497"/>
      <c r="AX19" s="497"/>
      <c r="AY19" s="497"/>
      <c r="AZ19" s="214" t="str">
        <f t="shared" si="0"/>
        <v/>
      </c>
      <c r="BA19" s="214"/>
      <c r="BB19" s="214"/>
      <c r="BC19" s="214"/>
      <c r="BD19" s="215"/>
      <c r="BE19" s="503"/>
      <c r="BF19" s="504"/>
      <c r="BG19" s="504"/>
      <c r="BH19" s="504"/>
      <c r="BI19" s="505"/>
      <c r="BJ19" s="4"/>
      <c r="BK19" s="103" t="e">
        <f>ROUND(VLOOKUP(AC19,'Measurement Act'!$A$4:$C$207,3),2)</f>
        <v>#N/A</v>
      </c>
    </row>
    <row r="20" spans="1:63" ht="18.75" customHeight="1">
      <c r="A20" s="2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94" t="s">
        <v>54</v>
      </c>
      <c r="AQ20" s="195"/>
      <c r="AR20" s="195"/>
      <c r="AS20" s="195"/>
      <c r="AT20" s="346"/>
      <c r="AU20" s="485"/>
      <c r="AV20" s="189"/>
      <c r="AW20" s="189"/>
      <c r="AX20" s="189"/>
      <c r="AY20" s="189"/>
      <c r="AZ20" s="205" t="e">
        <f>AVERAGE(AZ15:BD19)</f>
        <v>#DIV/0!</v>
      </c>
      <c r="BA20" s="205"/>
      <c r="BB20" s="205"/>
      <c r="BC20" s="205"/>
      <c r="BD20" s="206"/>
      <c r="BE20" s="513" t="e">
        <f>AVERAGE(BE15:BI19)</f>
        <v>#DIV/0!</v>
      </c>
      <c r="BF20" s="513"/>
      <c r="BG20" s="513"/>
      <c r="BH20" s="513"/>
      <c r="BI20" s="514"/>
      <c r="BJ20" s="4"/>
    </row>
    <row r="21" spans="1:63" ht="16.5" customHeight="1">
      <c r="A21" s="2"/>
      <c r="B21" s="161" t="s">
        <v>49</v>
      </c>
      <c r="C21" s="162"/>
      <c r="D21" s="162"/>
      <c r="E21" s="162"/>
      <c r="F21" s="162"/>
      <c r="G21" s="162"/>
      <c r="H21" s="163"/>
      <c r="I21" s="199" t="s">
        <v>41</v>
      </c>
      <c r="J21" s="200"/>
      <c r="K21" s="200"/>
      <c r="L21" s="200"/>
      <c r="M21" s="200"/>
      <c r="N21" s="200"/>
      <c r="O21" s="200"/>
      <c r="P21" s="200"/>
      <c r="Q21" s="200"/>
      <c r="R21" s="200"/>
      <c r="S21" s="235"/>
      <c r="T21" s="36" t="s">
        <v>388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184" t="s">
        <v>89</v>
      </c>
      <c r="AL21" s="185"/>
      <c r="AM21" s="185"/>
      <c r="AN21" s="185"/>
      <c r="AO21" s="185"/>
      <c r="AP21" s="185"/>
      <c r="AQ21" s="185"/>
      <c r="AR21" s="185"/>
      <c r="AS21" s="185"/>
      <c r="AT21" s="186"/>
      <c r="AU21" s="434" t="s">
        <v>384</v>
      </c>
      <c r="AV21" s="434"/>
      <c r="AW21" s="434"/>
      <c r="AX21" s="434"/>
      <c r="AY21" s="434"/>
      <c r="AZ21" s="434"/>
      <c r="BA21" s="434"/>
      <c r="BB21" s="434"/>
      <c r="BC21" s="434"/>
      <c r="BD21" s="434"/>
      <c r="BE21" s="434"/>
      <c r="BF21" s="434"/>
      <c r="BG21" s="434"/>
      <c r="BH21" s="434"/>
      <c r="BI21" s="435"/>
      <c r="BJ21" s="4"/>
    </row>
    <row r="22" spans="1:63" ht="16.5" customHeight="1">
      <c r="A22" s="2"/>
      <c r="B22" s="167"/>
      <c r="C22" s="168"/>
      <c r="D22" s="168"/>
      <c r="E22" s="168"/>
      <c r="F22" s="168"/>
      <c r="G22" s="168"/>
      <c r="H22" s="169"/>
      <c r="I22" s="228" t="s">
        <v>102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7"/>
      <c r="T22" s="47" t="s">
        <v>385</v>
      </c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25"/>
      <c r="AK22" s="155"/>
      <c r="AL22" s="156"/>
      <c r="AM22" s="156"/>
      <c r="AN22" s="156"/>
      <c r="AO22" s="156"/>
      <c r="AP22" s="156"/>
      <c r="AQ22" s="156"/>
      <c r="AR22" s="156"/>
      <c r="AS22" s="156"/>
      <c r="AT22" s="157"/>
      <c r="AU22" s="155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229"/>
      <c r="BJ22" s="4"/>
    </row>
    <row r="23" spans="1:63" ht="3.75" customHeight="1">
      <c r="A23" s="2"/>
      <c r="B23" s="45"/>
      <c r="C23" s="45"/>
      <c r="D23" s="45"/>
      <c r="E23" s="45"/>
      <c r="F23" s="45"/>
      <c r="G23" s="45"/>
      <c r="H23" s="45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customHeight="1">
      <c r="A24" s="2"/>
      <c r="B24" s="45"/>
      <c r="C24" s="45"/>
      <c r="D24" s="45"/>
      <c r="E24" s="45"/>
      <c r="F24" s="45"/>
      <c r="G24" s="45"/>
      <c r="H24" s="4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43"/>
      <c r="AJ24" s="43"/>
      <c r="AK24" s="351" t="s">
        <v>90</v>
      </c>
      <c r="AL24" s="351"/>
      <c r="AM24" s="351"/>
      <c r="AN24" s="351"/>
      <c r="AO24" s="351"/>
      <c r="AP24" s="351" t="s">
        <v>91</v>
      </c>
      <c r="AQ24" s="351"/>
      <c r="AR24" s="351"/>
      <c r="AS24" s="351"/>
      <c r="AT24" s="351"/>
      <c r="AU24" s="351" t="s">
        <v>92</v>
      </c>
      <c r="AV24" s="351"/>
      <c r="AW24" s="351"/>
      <c r="AX24" s="351"/>
      <c r="AY24" s="351"/>
      <c r="AZ24" s="351" t="s">
        <v>94</v>
      </c>
      <c r="BA24" s="351"/>
      <c r="BB24" s="351"/>
      <c r="BC24" s="351"/>
      <c r="BD24" s="351"/>
      <c r="BE24" s="32"/>
      <c r="BF24" s="32"/>
      <c r="BG24" s="32"/>
      <c r="BH24" s="32"/>
      <c r="BI24" s="32"/>
      <c r="BJ24" s="4"/>
    </row>
    <row r="25" spans="1:6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86"/>
      <c r="AL25" s="386"/>
      <c r="AM25" s="386"/>
      <c r="AN25" s="386"/>
      <c r="AO25" s="386"/>
      <c r="AP25" s="386"/>
      <c r="AQ25" s="386"/>
      <c r="AR25" s="386"/>
      <c r="AS25" s="386"/>
      <c r="AT25" s="386"/>
      <c r="AU25" s="386"/>
      <c r="AV25" s="386"/>
      <c r="AW25" s="386"/>
      <c r="AX25" s="386"/>
      <c r="AY25" s="386"/>
      <c r="AZ25" s="386"/>
      <c r="BA25" s="386"/>
      <c r="BB25" s="386"/>
      <c r="BC25" s="386"/>
      <c r="BD25" s="386"/>
      <c r="BE25" s="3"/>
      <c r="BF25" s="3"/>
      <c r="BG25" s="3"/>
      <c r="BH25" s="3"/>
      <c r="BI25" s="3"/>
      <c r="BJ25" s="4"/>
    </row>
    <row r="26" spans="1:63" ht="16.5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86"/>
      <c r="AL26" s="386"/>
      <c r="AM26" s="386"/>
      <c r="AN26" s="386"/>
      <c r="AO26" s="386"/>
      <c r="AP26" s="386"/>
      <c r="AQ26" s="386"/>
      <c r="AR26" s="386"/>
      <c r="AS26" s="386"/>
      <c r="AT26" s="386"/>
      <c r="AU26" s="386"/>
      <c r="AV26" s="386"/>
      <c r="AW26" s="386"/>
      <c r="AX26" s="386"/>
      <c r="AY26" s="386"/>
      <c r="AZ26" s="386"/>
      <c r="BA26" s="386"/>
      <c r="BB26" s="386"/>
      <c r="BC26" s="386"/>
      <c r="BD26" s="386"/>
      <c r="BE26" s="3"/>
      <c r="BF26" s="3"/>
      <c r="BG26" s="3"/>
      <c r="BH26" s="3"/>
      <c r="BI26" s="3"/>
      <c r="BJ26" s="4"/>
    </row>
    <row r="27" spans="1:63" ht="18.75" customHeight="1">
      <c r="A27" s="2"/>
      <c r="B27" s="279" t="s">
        <v>38</v>
      </c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1"/>
      <c r="N27" s="345"/>
      <c r="O27" s="195"/>
      <c r="P27" s="195"/>
      <c r="Q27" s="195"/>
      <c r="R27" s="195"/>
      <c r="S27" s="195"/>
      <c r="T27" s="195"/>
      <c r="U27" s="346"/>
      <c r="V27" s="3"/>
      <c r="W27" s="3"/>
      <c r="X27" s="3"/>
      <c r="Y27" s="3"/>
      <c r="Z27" s="194" t="s">
        <v>80</v>
      </c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6"/>
      <c r="AR27" s="190" t="s">
        <v>36</v>
      </c>
      <c r="AS27" s="190"/>
      <c r="AT27" s="190"/>
      <c r="AU27" s="190"/>
      <c r="AV27" s="189" t="s">
        <v>79</v>
      </c>
      <c r="AW27" s="189"/>
      <c r="AX27" s="189"/>
      <c r="AY27" s="189"/>
      <c r="AZ27" s="159"/>
      <c r="BA27" s="159"/>
      <c r="BB27" s="159"/>
      <c r="BC27" s="159"/>
      <c r="BD27" s="159"/>
      <c r="BE27" s="159"/>
      <c r="BF27" s="159"/>
      <c r="BG27" s="159"/>
      <c r="BH27" s="159"/>
      <c r="BI27" s="160"/>
      <c r="BJ27" s="4"/>
    </row>
    <row r="28" spans="1:63" s="23" customFormat="1" ht="16.5" customHeight="1">
      <c r="A28" s="21"/>
      <c r="B28" s="436" t="s">
        <v>59</v>
      </c>
      <c r="C28" s="437"/>
      <c r="D28" s="437"/>
      <c r="E28" s="438"/>
      <c r="F28" s="390" t="s">
        <v>152</v>
      </c>
      <c r="G28" s="391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2"/>
      <c r="AL28" s="445" t="s">
        <v>118</v>
      </c>
      <c r="AM28" s="446"/>
      <c r="AN28" s="446"/>
      <c r="AO28" s="447"/>
      <c r="AP28" s="390" t="s">
        <v>142</v>
      </c>
      <c r="AQ28" s="391"/>
      <c r="AR28" s="391"/>
      <c r="AS28" s="391"/>
      <c r="AT28" s="391"/>
      <c r="AU28" s="391"/>
      <c r="AV28" s="391"/>
      <c r="AW28" s="392"/>
      <c r="AX28" s="390" t="s">
        <v>119</v>
      </c>
      <c r="AY28" s="391"/>
      <c r="AZ28" s="391"/>
      <c r="BA28" s="391"/>
      <c r="BB28" s="391"/>
      <c r="BC28" s="391"/>
      <c r="BD28" s="391"/>
      <c r="BE28" s="392"/>
      <c r="BF28" s="454" t="s">
        <v>141</v>
      </c>
      <c r="BG28" s="455"/>
      <c r="BH28" s="455"/>
      <c r="BI28" s="456"/>
      <c r="BJ28" s="22"/>
    </row>
    <row r="29" spans="1:63" s="23" customFormat="1" ht="16.5" customHeight="1">
      <c r="A29" s="21"/>
      <c r="B29" s="439"/>
      <c r="C29" s="440"/>
      <c r="D29" s="440"/>
      <c r="E29" s="441"/>
      <c r="F29" s="460" t="s">
        <v>103</v>
      </c>
      <c r="G29" s="461"/>
      <c r="H29" s="461"/>
      <c r="I29" s="461"/>
      <c r="J29" s="406" t="s">
        <v>104</v>
      </c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 t="s">
        <v>105</v>
      </c>
      <c r="W29" s="406"/>
      <c r="X29" s="406"/>
      <c r="Y29" s="406"/>
      <c r="Z29" s="406"/>
      <c r="AA29" s="406"/>
      <c r="AB29" s="406"/>
      <c r="AC29" s="406"/>
      <c r="AD29" s="406"/>
      <c r="AE29" s="406"/>
      <c r="AF29" s="406"/>
      <c r="AG29" s="406"/>
      <c r="AH29" s="406" t="s">
        <v>117</v>
      </c>
      <c r="AI29" s="406"/>
      <c r="AJ29" s="406"/>
      <c r="AK29" s="407"/>
      <c r="AL29" s="448"/>
      <c r="AM29" s="449"/>
      <c r="AN29" s="449"/>
      <c r="AO29" s="450"/>
      <c r="AP29" s="405"/>
      <c r="AQ29" s="406"/>
      <c r="AR29" s="406"/>
      <c r="AS29" s="406"/>
      <c r="AT29" s="406"/>
      <c r="AU29" s="406"/>
      <c r="AV29" s="406"/>
      <c r="AW29" s="407"/>
      <c r="AX29" s="405"/>
      <c r="AY29" s="406"/>
      <c r="AZ29" s="406"/>
      <c r="BA29" s="406"/>
      <c r="BB29" s="406"/>
      <c r="BC29" s="406"/>
      <c r="BD29" s="406"/>
      <c r="BE29" s="407"/>
      <c r="BF29" s="457"/>
      <c r="BG29" s="458"/>
      <c r="BH29" s="458"/>
      <c r="BI29" s="459"/>
      <c r="BJ29" s="22"/>
    </row>
    <row r="30" spans="1:63" s="23" customFormat="1" ht="37.5" customHeight="1">
      <c r="A30" s="21"/>
      <c r="B30" s="439"/>
      <c r="C30" s="440"/>
      <c r="D30" s="440"/>
      <c r="E30" s="441"/>
      <c r="F30" s="460"/>
      <c r="G30" s="461"/>
      <c r="H30" s="461"/>
      <c r="I30" s="461"/>
      <c r="J30" s="406" t="s">
        <v>115</v>
      </c>
      <c r="K30" s="406"/>
      <c r="L30" s="406"/>
      <c r="M30" s="406"/>
      <c r="N30" s="406" t="s">
        <v>83</v>
      </c>
      <c r="O30" s="406"/>
      <c r="P30" s="406"/>
      <c r="Q30" s="406"/>
      <c r="R30" s="468" t="s">
        <v>116</v>
      </c>
      <c r="S30" s="397"/>
      <c r="T30" s="397"/>
      <c r="U30" s="469"/>
      <c r="V30" s="406" t="s">
        <v>115</v>
      </c>
      <c r="W30" s="406"/>
      <c r="X30" s="406"/>
      <c r="Y30" s="406"/>
      <c r="Z30" s="406" t="s">
        <v>83</v>
      </c>
      <c r="AA30" s="406"/>
      <c r="AB30" s="406"/>
      <c r="AC30" s="406"/>
      <c r="AD30" s="468" t="s">
        <v>116</v>
      </c>
      <c r="AE30" s="397"/>
      <c r="AF30" s="397"/>
      <c r="AG30" s="469"/>
      <c r="AH30" s="406"/>
      <c r="AI30" s="406"/>
      <c r="AJ30" s="406"/>
      <c r="AK30" s="407"/>
      <c r="AL30" s="451"/>
      <c r="AM30" s="452"/>
      <c r="AN30" s="452"/>
      <c r="AO30" s="453"/>
      <c r="AP30" s="405" t="s">
        <v>120</v>
      </c>
      <c r="AQ30" s="406"/>
      <c r="AR30" s="406"/>
      <c r="AS30" s="406"/>
      <c r="AT30" s="406" t="s">
        <v>121</v>
      </c>
      <c r="AU30" s="406"/>
      <c r="AV30" s="406"/>
      <c r="AW30" s="407"/>
      <c r="AX30" s="464" t="s">
        <v>132</v>
      </c>
      <c r="AY30" s="465"/>
      <c r="AZ30" s="465"/>
      <c r="BA30" s="465"/>
      <c r="BB30" s="465" t="s">
        <v>88</v>
      </c>
      <c r="BC30" s="465"/>
      <c r="BD30" s="465"/>
      <c r="BE30" s="466"/>
      <c r="BF30" s="457"/>
      <c r="BG30" s="458"/>
      <c r="BH30" s="458"/>
      <c r="BI30" s="459"/>
      <c r="BJ30" s="22"/>
    </row>
    <row r="31" spans="1:63" s="35" customFormat="1" ht="16.5" customHeight="1">
      <c r="A31" s="33"/>
      <c r="B31" s="439"/>
      <c r="C31" s="440"/>
      <c r="D31" s="440"/>
      <c r="E31" s="441"/>
      <c r="F31" s="460"/>
      <c r="G31" s="461"/>
      <c r="H31" s="461"/>
      <c r="I31" s="461"/>
      <c r="J31" s="467" t="s">
        <v>123</v>
      </c>
      <c r="K31" s="467"/>
      <c r="L31" s="467"/>
      <c r="M31" s="467"/>
      <c r="N31" s="467" t="s">
        <v>124</v>
      </c>
      <c r="O31" s="467"/>
      <c r="P31" s="467"/>
      <c r="Q31" s="467"/>
      <c r="R31" s="467" t="s">
        <v>125</v>
      </c>
      <c r="S31" s="467"/>
      <c r="T31" s="467"/>
      <c r="U31" s="467"/>
      <c r="V31" s="467" t="s">
        <v>126</v>
      </c>
      <c r="W31" s="467"/>
      <c r="X31" s="467"/>
      <c r="Y31" s="467"/>
      <c r="Z31" s="467" t="s">
        <v>127</v>
      </c>
      <c r="AA31" s="467"/>
      <c r="AB31" s="467"/>
      <c r="AC31" s="467"/>
      <c r="AD31" s="467" t="s">
        <v>128</v>
      </c>
      <c r="AE31" s="467"/>
      <c r="AF31" s="467"/>
      <c r="AG31" s="467"/>
      <c r="AH31" s="467" t="s">
        <v>23</v>
      </c>
      <c r="AI31" s="467"/>
      <c r="AJ31" s="467"/>
      <c r="AK31" s="491"/>
      <c r="AL31" s="488" t="s">
        <v>129</v>
      </c>
      <c r="AM31" s="489"/>
      <c r="AN31" s="489"/>
      <c r="AO31" s="490"/>
      <c r="AP31" s="488" t="s">
        <v>24</v>
      </c>
      <c r="AQ31" s="489"/>
      <c r="AR31" s="489"/>
      <c r="AS31" s="492"/>
      <c r="AT31" s="467" t="s">
        <v>25</v>
      </c>
      <c r="AU31" s="467"/>
      <c r="AV31" s="467"/>
      <c r="AW31" s="491"/>
      <c r="AX31" s="493" t="s">
        <v>130</v>
      </c>
      <c r="AY31" s="467"/>
      <c r="AZ31" s="467"/>
      <c r="BA31" s="467"/>
      <c r="BB31" s="467" t="s">
        <v>13</v>
      </c>
      <c r="BC31" s="467"/>
      <c r="BD31" s="467"/>
      <c r="BE31" s="491"/>
      <c r="BF31" s="488" t="s">
        <v>131</v>
      </c>
      <c r="BG31" s="489"/>
      <c r="BH31" s="489"/>
      <c r="BI31" s="490"/>
      <c r="BJ31" s="34"/>
    </row>
    <row r="32" spans="1:63" s="20" customFormat="1" ht="16.5" customHeight="1">
      <c r="A32" s="29"/>
      <c r="B32" s="442"/>
      <c r="C32" s="443"/>
      <c r="D32" s="443"/>
      <c r="E32" s="444"/>
      <c r="F32" s="462"/>
      <c r="G32" s="463"/>
      <c r="H32" s="463"/>
      <c r="I32" s="463"/>
      <c r="J32" s="463" t="s">
        <v>0</v>
      </c>
      <c r="K32" s="463"/>
      <c r="L32" s="463"/>
      <c r="M32" s="463"/>
      <c r="N32" s="463" t="s">
        <v>4</v>
      </c>
      <c r="O32" s="463"/>
      <c r="P32" s="463"/>
      <c r="Q32" s="463"/>
      <c r="R32" s="463" t="s">
        <v>0</v>
      </c>
      <c r="S32" s="463"/>
      <c r="T32" s="463"/>
      <c r="U32" s="463"/>
      <c r="V32" s="463" t="s">
        <v>0</v>
      </c>
      <c r="W32" s="463"/>
      <c r="X32" s="463"/>
      <c r="Y32" s="463"/>
      <c r="Z32" s="463" t="s">
        <v>4</v>
      </c>
      <c r="AA32" s="463"/>
      <c r="AB32" s="463"/>
      <c r="AC32" s="463"/>
      <c r="AD32" s="463" t="s">
        <v>0</v>
      </c>
      <c r="AE32" s="463"/>
      <c r="AF32" s="463"/>
      <c r="AG32" s="463"/>
      <c r="AH32" s="463" t="s">
        <v>26</v>
      </c>
      <c r="AI32" s="463"/>
      <c r="AJ32" s="463"/>
      <c r="AK32" s="470"/>
      <c r="AL32" s="471" t="s">
        <v>26</v>
      </c>
      <c r="AM32" s="153"/>
      <c r="AN32" s="153"/>
      <c r="AO32" s="472"/>
      <c r="AP32" s="462" t="s">
        <v>27</v>
      </c>
      <c r="AQ32" s="463"/>
      <c r="AR32" s="463"/>
      <c r="AS32" s="463"/>
      <c r="AT32" s="463" t="s">
        <v>27</v>
      </c>
      <c r="AU32" s="463"/>
      <c r="AV32" s="463"/>
      <c r="AW32" s="470"/>
      <c r="AX32" s="462" t="s">
        <v>28</v>
      </c>
      <c r="AY32" s="463"/>
      <c r="AZ32" s="463"/>
      <c r="BA32" s="463"/>
      <c r="BB32" s="463" t="s">
        <v>28</v>
      </c>
      <c r="BC32" s="463"/>
      <c r="BD32" s="463"/>
      <c r="BE32" s="470"/>
      <c r="BF32" s="471" t="s">
        <v>79</v>
      </c>
      <c r="BG32" s="153"/>
      <c r="BH32" s="153"/>
      <c r="BI32" s="472"/>
      <c r="BJ32" s="30"/>
    </row>
    <row r="33" spans="1:62" ht="18.75" customHeight="1">
      <c r="A33" s="2"/>
      <c r="B33" s="473"/>
      <c r="C33" s="180"/>
      <c r="D33" s="180"/>
      <c r="E33" s="187"/>
      <c r="F33" s="474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8"/>
      <c r="AG33" s="388"/>
      <c r="AH33" s="388"/>
      <c r="AI33" s="388"/>
      <c r="AJ33" s="388"/>
      <c r="AK33" s="389"/>
      <c r="AL33" s="480"/>
      <c r="AM33" s="480"/>
      <c r="AN33" s="480"/>
      <c r="AO33" s="480"/>
      <c r="AP33" s="474"/>
      <c r="AQ33" s="388"/>
      <c r="AR33" s="388"/>
      <c r="AS33" s="388"/>
      <c r="AT33" s="388"/>
      <c r="AU33" s="388"/>
      <c r="AV33" s="388"/>
      <c r="AW33" s="389"/>
      <c r="AX33" s="474"/>
      <c r="AY33" s="388"/>
      <c r="AZ33" s="388"/>
      <c r="BA33" s="388"/>
      <c r="BB33" s="388"/>
      <c r="BC33" s="388"/>
      <c r="BD33" s="388"/>
      <c r="BE33" s="389"/>
      <c r="BF33" s="473"/>
      <c r="BG33" s="180"/>
      <c r="BH33" s="180"/>
      <c r="BI33" s="187"/>
      <c r="BJ33" s="4"/>
    </row>
    <row r="34" spans="1:62" ht="18.75" customHeight="1">
      <c r="A34" s="2"/>
      <c r="B34" s="477"/>
      <c r="C34" s="149"/>
      <c r="D34" s="149"/>
      <c r="E34" s="150"/>
      <c r="F34" s="479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6"/>
      <c r="AL34" s="478"/>
      <c r="AM34" s="478"/>
      <c r="AN34" s="478"/>
      <c r="AO34" s="478"/>
      <c r="AP34" s="479"/>
      <c r="AQ34" s="475"/>
      <c r="AR34" s="475"/>
      <c r="AS34" s="475"/>
      <c r="AT34" s="475"/>
      <c r="AU34" s="475"/>
      <c r="AV34" s="475"/>
      <c r="AW34" s="476"/>
      <c r="AX34" s="479"/>
      <c r="AY34" s="475"/>
      <c r="AZ34" s="475"/>
      <c r="BA34" s="475"/>
      <c r="BB34" s="475"/>
      <c r="BC34" s="475"/>
      <c r="BD34" s="475"/>
      <c r="BE34" s="476"/>
      <c r="BF34" s="477"/>
      <c r="BG34" s="149"/>
      <c r="BH34" s="149"/>
      <c r="BI34" s="150"/>
      <c r="BJ34" s="4"/>
    </row>
    <row r="35" spans="1:62" ht="18.75" customHeight="1">
      <c r="A35" s="2"/>
      <c r="B35" s="481"/>
      <c r="C35" s="152"/>
      <c r="D35" s="152"/>
      <c r="E35" s="158"/>
      <c r="F35" s="482"/>
      <c r="G35" s="483"/>
      <c r="H35" s="483"/>
      <c r="I35" s="483"/>
      <c r="J35" s="483"/>
      <c r="K35" s="483"/>
      <c r="L35" s="483"/>
      <c r="M35" s="483"/>
      <c r="N35" s="483"/>
      <c r="O35" s="483"/>
      <c r="P35" s="483"/>
      <c r="Q35" s="483"/>
      <c r="R35" s="483"/>
      <c r="S35" s="483"/>
      <c r="T35" s="483"/>
      <c r="U35" s="483"/>
      <c r="V35" s="484"/>
      <c r="W35" s="484"/>
      <c r="X35" s="484"/>
      <c r="Y35" s="484"/>
      <c r="Z35" s="483"/>
      <c r="AA35" s="483"/>
      <c r="AB35" s="483"/>
      <c r="AC35" s="483"/>
      <c r="AD35" s="483"/>
      <c r="AE35" s="483"/>
      <c r="AF35" s="483"/>
      <c r="AG35" s="483"/>
      <c r="AH35" s="483"/>
      <c r="AI35" s="483"/>
      <c r="AJ35" s="483"/>
      <c r="AK35" s="494"/>
      <c r="AL35" s="512"/>
      <c r="AM35" s="512"/>
      <c r="AN35" s="512"/>
      <c r="AO35" s="512"/>
      <c r="AP35" s="482"/>
      <c r="AQ35" s="483"/>
      <c r="AR35" s="483"/>
      <c r="AS35" s="483"/>
      <c r="AT35" s="483"/>
      <c r="AU35" s="483"/>
      <c r="AV35" s="483"/>
      <c r="AW35" s="494"/>
      <c r="AX35" s="482"/>
      <c r="AY35" s="483"/>
      <c r="AZ35" s="483"/>
      <c r="BA35" s="483"/>
      <c r="BB35" s="483"/>
      <c r="BC35" s="483"/>
      <c r="BD35" s="483"/>
      <c r="BE35" s="494"/>
      <c r="BF35" s="481"/>
      <c r="BG35" s="152"/>
      <c r="BH35" s="152"/>
      <c r="BI35" s="158"/>
      <c r="BJ35" s="4"/>
    </row>
    <row r="36" spans="1:62" ht="18.7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09"/>
      <c r="Q36" s="509"/>
      <c r="R36" s="509"/>
      <c r="S36" s="509"/>
      <c r="T36" s="509"/>
      <c r="U36" s="509"/>
      <c r="V36" s="3"/>
      <c r="W36" s="3"/>
      <c r="X36" s="3"/>
      <c r="Y36" s="3"/>
      <c r="Z36" s="510"/>
      <c r="AA36" s="510"/>
      <c r="AB36" s="510"/>
      <c r="AC36" s="510"/>
      <c r="AD36" s="510"/>
      <c r="AE36" s="510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194" t="s">
        <v>54</v>
      </c>
      <c r="AQ36" s="195"/>
      <c r="AR36" s="195"/>
      <c r="AS36" s="195"/>
      <c r="AT36" s="195"/>
      <c r="AU36" s="195"/>
      <c r="AV36" s="195"/>
      <c r="AW36" s="346"/>
      <c r="AX36" s="511"/>
      <c r="AY36" s="159"/>
      <c r="AZ36" s="159"/>
      <c r="BA36" s="159"/>
      <c r="BB36" s="159"/>
      <c r="BC36" s="159"/>
      <c r="BD36" s="159"/>
      <c r="BE36" s="160"/>
      <c r="BF36" s="515"/>
      <c r="BG36" s="282"/>
      <c r="BH36" s="282"/>
      <c r="BI36" s="516"/>
      <c r="BJ36" s="4"/>
    </row>
    <row r="37" spans="1:62" ht="16.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86" t="s">
        <v>133</v>
      </c>
      <c r="Q37" s="386"/>
      <c r="R37" s="386"/>
      <c r="S37" s="386"/>
      <c r="T37" s="386"/>
      <c r="U37" s="386"/>
      <c r="V37" s="386"/>
      <c r="W37" s="386"/>
      <c r="X37" s="386"/>
      <c r="Y37" s="386"/>
      <c r="Z37" s="386"/>
      <c r="AA37" s="386"/>
      <c r="AB37" s="386"/>
      <c r="AC37" s="386"/>
      <c r="AD37" s="386"/>
      <c r="AE37" s="386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customHeight="1">
      <c r="A38" s="2"/>
      <c r="B38" s="3"/>
      <c r="C38" s="3"/>
      <c r="D38" s="3"/>
      <c r="E38" s="3"/>
      <c r="P38" s="199" t="s">
        <v>103</v>
      </c>
      <c r="Q38" s="200"/>
      <c r="R38" s="201"/>
      <c r="S38" s="313" t="s">
        <v>45</v>
      </c>
      <c r="T38" s="313"/>
      <c r="U38" s="313"/>
      <c r="V38" s="313"/>
      <c r="W38" s="313"/>
      <c r="X38" s="313"/>
      <c r="Y38" s="313"/>
      <c r="Z38" s="170" t="s">
        <v>122</v>
      </c>
      <c r="AA38" s="171"/>
      <c r="AB38" s="171"/>
      <c r="AC38" s="171"/>
      <c r="AD38" s="171"/>
      <c r="AE38" s="30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customHeight="1">
      <c r="A39" s="2"/>
      <c r="B39" s="3"/>
      <c r="C39" s="3"/>
      <c r="D39" s="3"/>
      <c r="E39" s="3"/>
      <c r="P39" s="284"/>
      <c r="Q39" s="285"/>
      <c r="R39" s="286"/>
      <c r="S39" s="298" t="s">
        <v>0</v>
      </c>
      <c r="T39" s="298"/>
      <c r="U39" s="298"/>
      <c r="V39" s="298"/>
      <c r="W39" s="298"/>
      <c r="X39" s="298"/>
      <c r="Y39" s="298"/>
      <c r="Z39" s="228" t="s">
        <v>0</v>
      </c>
      <c r="AA39" s="156"/>
      <c r="AB39" s="156"/>
      <c r="AC39" s="156"/>
      <c r="AD39" s="156"/>
      <c r="AE39" s="229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customHeight="1">
      <c r="A40" s="2"/>
      <c r="B40" s="3"/>
      <c r="C40" s="3"/>
      <c r="D40" s="3"/>
      <c r="E40" s="3"/>
      <c r="P40" s="297"/>
      <c r="Q40" s="297"/>
      <c r="R40" s="297"/>
      <c r="S40" s="320"/>
      <c r="T40" s="185"/>
      <c r="U40" s="185"/>
      <c r="V40" s="185"/>
      <c r="W40" s="185"/>
      <c r="X40" s="185"/>
      <c r="Y40" s="517"/>
      <c r="Z40" s="320"/>
      <c r="AA40" s="185"/>
      <c r="AB40" s="185"/>
      <c r="AC40" s="185"/>
      <c r="AD40" s="185"/>
      <c r="AE40" s="517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customHeight="1">
      <c r="A41" s="2"/>
      <c r="B41" s="3"/>
      <c r="C41" s="3"/>
      <c r="D41" s="3"/>
      <c r="E41" s="3"/>
      <c r="P41" s="292"/>
      <c r="Q41" s="292"/>
      <c r="R41" s="292"/>
      <c r="S41" s="230"/>
      <c r="T41" s="231"/>
      <c r="U41" s="231"/>
      <c r="V41" s="231"/>
      <c r="W41" s="231"/>
      <c r="X41" s="231"/>
      <c r="Y41" s="232"/>
      <c r="Z41" s="230"/>
      <c r="AA41" s="231"/>
      <c r="AB41" s="231"/>
      <c r="AC41" s="231"/>
      <c r="AD41" s="231"/>
      <c r="AE41" s="23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customHeight="1">
      <c r="A42" s="2"/>
      <c r="B42" s="3"/>
      <c r="C42" s="3"/>
      <c r="D42" s="3"/>
      <c r="E42" s="3"/>
      <c r="P42" s="298"/>
      <c r="Q42" s="298"/>
      <c r="R42" s="298"/>
      <c r="S42" s="228"/>
      <c r="T42" s="156"/>
      <c r="U42" s="156"/>
      <c r="V42" s="156"/>
      <c r="W42" s="156"/>
      <c r="X42" s="156"/>
      <c r="Y42" s="229"/>
      <c r="Z42" s="228"/>
      <c r="AA42" s="156"/>
      <c r="AB42" s="156"/>
      <c r="AC42" s="156"/>
      <c r="AD42" s="156"/>
      <c r="AE42" s="229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customHeight="1">
      <c r="A44" s="2"/>
      <c r="B44" s="161" t="s">
        <v>49</v>
      </c>
      <c r="C44" s="162"/>
      <c r="D44" s="162"/>
      <c r="E44" s="162"/>
      <c r="F44" s="162"/>
      <c r="G44" s="162"/>
      <c r="H44" s="163"/>
      <c r="I44" s="199" t="s">
        <v>113</v>
      </c>
      <c r="J44" s="200"/>
      <c r="K44" s="200"/>
      <c r="L44" s="200"/>
      <c r="M44" s="200"/>
      <c r="N44" s="200"/>
      <c r="O44" s="200"/>
      <c r="P44" s="200"/>
      <c r="Q44" s="200"/>
      <c r="R44" s="200"/>
      <c r="S44" s="235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322" t="s">
        <v>112</v>
      </c>
      <c r="AJ44" s="200"/>
      <c r="AK44" s="200"/>
      <c r="AL44" s="200"/>
      <c r="AM44" s="200"/>
      <c r="AN44" s="200"/>
      <c r="AO44" s="200"/>
      <c r="AP44" s="200"/>
      <c r="AQ44" s="200"/>
      <c r="AR44" s="235"/>
      <c r="AS44" s="323" t="s">
        <v>144</v>
      </c>
      <c r="AT44" s="324"/>
      <c r="AU44" s="324"/>
      <c r="AV44" s="324"/>
      <c r="AW44" s="324"/>
      <c r="AX44" s="324"/>
      <c r="AY44" s="324"/>
      <c r="AZ44" s="324"/>
      <c r="BA44" s="324"/>
      <c r="BB44" s="324"/>
      <c r="BC44" s="324"/>
      <c r="BD44" s="324"/>
      <c r="BE44" s="324"/>
      <c r="BF44" s="324"/>
      <c r="BG44" s="324"/>
      <c r="BH44" s="324"/>
      <c r="BI44" s="325"/>
      <c r="BJ44" s="4"/>
    </row>
    <row r="45" spans="1:62" ht="16.5" customHeight="1">
      <c r="A45" s="2"/>
      <c r="B45" s="167"/>
      <c r="C45" s="168"/>
      <c r="D45" s="168"/>
      <c r="E45" s="168"/>
      <c r="F45" s="168"/>
      <c r="G45" s="168"/>
      <c r="H45" s="169"/>
      <c r="I45" s="228" t="s">
        <v>102</v>
      </c>
      <c r="J45" s="156"/>
      <c r="K45" s="156"/>
      <c r="L45" s="156"/>
      <c r="M45" s="156"/>
      <c r="N45" s="156"/>
      <c r="O45" s="156"/>
      <c r="P45" s="156"/>
      <c r="Q45" s="156"/>
      <c r="R45" s="156"/>
      <c r="S45" s="157"/>
      <c r="T45" s="47" t="s">
        <v>153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25"/>
      <c r="AI45" s="155"/>
      <c r="AJ45" s="156"/>
      <c r="AK45" s="156"/>
      <c r="AL45" s="156"/>
      <c r="AM45" s="156"/>
      <c r="AN45" s="156"/>
      <c r="AO45" s="156"/>
      <c r="AP45" s="156"/>
      <c r="AQ45" s="156"/>
      <c r="AR45" s="157"/>
      <c r="AS45" s="306"/>
      <c r="AT45" s="307"/>
      <c r="AU45" s="307"/>
      <c r="AV45" s="307"/>
      <c r="AW45" s="307"/>
      <c r="AX45" s="307"/>
      <c r="AY45" s="307"/>
      <c r="AZ45" s="307"/>
      <c r="BA45" s="307"/>
      <c r="BB45" s="307"/>
      <c r="BC45" s="307"/>
      <c r="BD45" s="307"/>
      <c r="BE45" s="307"/>
      <c r="BF45" s="307"/>
      <c r="BG45" s="307"/>
      <c r="BH45" s="307"/>
      <c r="BI45" s="308"/>
      <c r="BJ45" s="4"/>
    </row>
    <row r="46" spans="1:62" ht="16.5" hidden="1" customHeight="1">
      <c r="A46" s="2"/>
      <c r="B46" s="45"/>
      <c r="C46" s="45"/>
      <c r="D46" s="45"/>
      <c r="E46" s="45"/>
      <c r="F46" s="45"/>
      <c r="G46" s="45"/>
      <c r="H46" s="45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hidden="1" customHeight="1">
      <c r="A47" s="2"/>
      <c r="B47" s="45"/>
      <c r="C47" s="45"/>
      <c r="D47" s="45"/>
      <c r="E47" s="45"/>
      <c r="F47" s="45"/>
      <c r="G47" s="45"/>
      <c r="H47" s="45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2" customFormat="1" ht="30" customHeight="1">
      <c r="A49" s="50"/>
      <c r="B49" s="139" t="s">
        <v>147</v>
      </c>
      <c r="C49" s="139"/>
      <c r="D49" s="139"/>
      <c r="E49" s="139"/>
      <c r="F49" s="139"/>
      <c r="G49" s="139"/>
      <c r="H49" s="139"/>
      <c r="I49" s="139"/>
      <c r="J49" s="140"/>
      <c r="K49" s="141" t="s">
        <v>148</v>
      </c>
      <c r="L49" s="139"/>
      <c r="M49" s="139"/>
      <c r="N49" s="139"/>
      <c r="O49" s="139"/>
      <c r="P49" s="139"/>
      <c r="Q49" s="139"/>
      <c r="R49" s="139" t="s">
        <v>149</v>
      </c>
      <c r="S49" s="139"/>
      <c r="T49" s="139"/>
      <c r="U49" s="139"/>
      <c r="V49" s="139"/>
      <c r="W49" s="139"/>
      <c r="X49" s="139"/>
      <c r="Y49" s="140"/>
      <c r="Z49" s="141" t="s">
        <v>150</v>
      </c>
      <c r="AA49" s="139"/>
      <c r="AB49" s="139"/>
      <c r="AC49" s="139"/>
      <c r="AD49" s="139"/>
      <c r="AE49" s="139"/>
      <c r="AF49" s="139"/>
      <c r="AG49" s="139"/>
      <c r="AH49" s="139"/>
      <c r="AI49" s="142" t="s">
        <v>366</v>
      </c>
      <c r="AJ49" s="142"/>
      <c r="AK49" s="142"/>
      <c r="AL49" s="142"/>
      <c r="AM49" s="142"/>
      <c r="AN49" s="142"/>
      <c r="AO49" s="142"/>
      <c r="AP49" s="142"/>
      <c r="AQ49" s="142"/>
      <c r="AR49" s="139" t="s">
        <v>151</v>
      </c>
      <c r="AS49" s="139"/>
      <c r="AT49" s="139"/>
      <c r="AU49" s="139"/>
      <c r="AV49" s="139"/>
      <c r="AW49" s="139"/>
      <c r="AX49" s="139"/>
      <c r="AY49" s="139"/>
      <c r="AZ49" s="139"/>
      <c r="BA49" s="140"/>
      <c r="BB49" s="137">
        <v>42095</v>
      </c>
      <c r="BC49" s="138"/>
      <c r="BD49" s="138"/>
      <c r="BE49" s="138"/>
      <c r="BF49" s="138"/>
      <c r="BG49" s="138"/>
      <c r="BH49" s="138"/>
      <c r="BI49" s="138"/>
      <c r="BJ49" s="51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E6:BI6"/>
    <mergeCell ref="BE7:BI8"/>
    <mergeCell ref="B44:H45"/>
    <mergeCell ref="I44:S44"/>
    <mergeCell ref="AI44:AR44"/>
    <mergeCell ref="AS44:BI44"/>
    <mergeCell ref="I45:S45"/>
    <mergeCell ref="AI45:AR45"/>
    <mergeCell ref="AS45:BI45"/>
    <mergeCell ref="Z40:AE40"/>
    <mergeCell ref="Z41:AE41"/>
    <mergeCell ref="Z42:AE42"/>
    <mergeCell ref="S40:Y42"/>
    <mergeCell ref="B49:J49"/>
    <mergeCell ref="K49:Q49"/>
    <mergeCell ref="R49:Y49"/>
    <mergeCell ref="Z49:AH49"/>
    <mergeCell ref="AZ6:BD6"/>
    <mergeCell ref="AK7:AO8"/>
    <mergeCell ref="AP7:AT8"/>
    <mergeCell ref="AU7:AY8"/>
    <mergeCell ref="AZ20:BD20"/>
    <mergeCell ref="AZ27:BI27"/>
    <mergeCell ref="BE20:BI20"/>
    <mergeCell ref="P40:R40"/>
    <mergeCell ref="P41:R41"/>
    <mergeCell ref="P42:R42"/>
    <mergeCell ref="AI49:AQ49"/>
    <mergeCell ref="AR49:BA49"/>
    <mergeCell ref="BB49:BI49"/>
    <mergeCell ref="AZ18:BD18"/>
    <mergeCell ref="BE18:BI18"/>
    <mergeCell ref="AG18:AJ18"/>
    <mergeCell ref="BF36:BI36"/>
    <mergeCell ref="AT35:AW35"/>
    <mergeCell ref="AX35:BA35"/>
    <mergeCell ref="BB35:BE35"/>
    <mergeCell ref="P38:R39"/>
    <mergeCell ref="AK18:AO18"/>
    <mergeCell ref="AP18:AT18"/>
    <mergeCell ref="Z38:AE38"/>
    <mergeCell ref="Z27:AQ27"/>
    <mergeCell ref="AP36:AW36"/>
    <mergeCell ref="P36:U36"/>
    <mergeCell ref="Z36:AE36"/>
    <mergeCell ref="P37:AE37"/>
    <mergeCell ref="Z30:AC30"/>
    <mergeCell ref="AU18:AY18"/>
    <mergeCell ref="AX36:BA36"/>
    <mergeCell ref="S39:Y39"/>
    <mergeCell ref="Z39:AE39"/>
    <mergeCell ref="AL35:AO35"/>
    <mergeCell ref="AP35:AS35"/>
    <mergeCell ref="Z33:AC33"/>
    <mergeCell ref="AD33:AG33"/>
    <mergeCell ref="S38:Y38"/>
    <mergeCell ref="AG15:AJ15"/>
    <mergeCell ref="AK15:AO15"/>
    <mergeCell ref="AP15:AT15"/>
    <mergeCell ref="AZ16:BD16"/>
    <mergeCell ref="BB36:BE36"/>
    <mergeCell ref="AZ7:BD8"/>
    <mergeCell ref="AG19:AJ19"/>
    <mergeCell ref="AK19:AO19"/>
    <mergeCell ref="AP19:AT19"/>
    <mergeCell ref="AU19:AY19"/>
    <mergeCell ref="AZ19:BD19"/>
    <mergeCell ref="AU15:AY15"/>
    <mergeCell ref="AZ15:BD15"/>
    <mergeCell ref="AU14:AY14"/>
    <mergeCell ref="BE19:BI19"/>
    <mergeCell ref="BE17:BI17"/>
    <mergeCell ref="BE16:BI16"/>
    <mergeCell ref="AG16:AJ16"/>
    <mergeCell ref="AK16:AO16"/>
    <mergeCell ref="AP16:AT16"/>
    <mergeCell ref="AU16:AY16"/>
    <mergeCell ref="AG17:AJ17"/>
    <mergeCell ref="AK17:AO17"/>
    <mergeCell ref="AP17:AT17"/>
    <mergeCell ref="AU20:AY20"/>
    <mergeCell ref="AU17:AY17"/>
    <mergeCell ref="AZ17:BD17"/>
    <mergeCell ref="BF35:BI35"/>
    <mergeCell ref="AD30:AG30"/>
    <mergeCell ref="BF31:BI31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R27:AU27"/>
    <mergeCell ref="AV27:AY27"/>
    <mergeCell ref="AP20:AT20"/>
    <mergeCell ref="AH35:AK35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B34:E34"/>
    <mergeCell ref="F34:I34"/>
    <mergeCell ref="J34:M34"/>
    <mergeCell ref="N34:Q34"/>
    <mergeCell ref="R34:U34"/>
    <mergeCell ref="V34:Y34"/>
    <mergeCell ref="Z34:AC34"/>
    <mergeCell ref="B33:E33"/>
    <mergeCell ref="F33:I33"/>
    <mergeCell ref="J33:M33"/>
    <mergeCell ref="N33:Q33"/>
    <mergeCell ref="R33:U33"/>
    <mergeCell ref="V33:Y33"/>
    <mergeCell ref="BB34:BE34"/>
    <mergeCell ref="BF34:BI34"/>
    <mergeCell ref="AH34:AK34"/>
    <mergeCell ref="AL34:AO34"/>
    <mergeCell ref="AP34:AS34"/>
    <mergeCell ref="AT34:AW34"/>
    <mergeCell ref="AX34:BA34"/>
    <mergeCell ref="BB33:BE33"/>
    <mergeCell ref="BF33:BI33"/>
    <mergeCell ref="AH33:AK33"/>
    <mergeCell ref="AL33:AO33"/>
    <mergeCell ref="AP33:AS33"/>
    <mergeCell ref="AT33:AW33"/>
    <mergeCell ref="AX33:BA33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B28:E32"/>
    <mergeCell ref="F28:AK28"/>
    <mergeCell ref="AL28:AO30"/>
    <mergeCell ref="AP28:AW29"/>
    <mergeCell ref="AX28:BE29"/>
    <mergeCell ref="BF28:BI30"/>
    <mergeCell ref="F29:I32"/>
    <mergeCell ref="J29:U29"/>
    <mergeCell ref="V29:AG29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AH29:AK30"/>
    <mergeCell ref="J30:M30"/>
    <mergeCell ref="N30:Q30"/>
    <mergeCell ref="R30:U30"/>
    <mergeCell ref="V30:Y30"/>
    <mergeCell ref="B21:H22"/>
    <mergeCell ref="I21:S21"/>
    <mergeCell ref="I22:S22"/>
    <mergeCell ref="B27:M27"/>
    <mergeCell ref="N27:U27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U21:BI21"/>
    <mergeCell ref="AU22:BI22"/>
    <mergeCell ref="AK21:AT21"/>
    <mergeCell ref="AK22:AT22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B18:E18"/>
    <mergeCell ref="F18:I18"/>
    <mergeCell ref="J18:L18"/>
    <mergeCell ref="M18:O18"/>
    <mergeCell ref="P18:S18"/>
    <mergeCell ref="T18:W18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B16:E16"/>
    <mergeCell ref="F16:I16"/>
    <mergeCell ref="J16:L16"/>
    <mergeCell ref="M16:O16"/>
    <mergeCell ref="P16:S16"/>
    <mergeCell ref="T16:W16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AU13:AY13"/>
    <mergeCell ref="P11:S14"/>
    <mergeCell ref="T11:W12"/>
    <mergeCell ref="M13:O13"/>
    <mergeCell ref="T13:W13"/>
    <mergeCell ref="P10:Q10"/>
    <mergeCell ref="R10:V10"/>
    <mergeCell ref="AU9:AY9"/>
    <mergeCell ref="AZ9:BD9"/>
    <mergeCell ref="AP13:AT13"/>
    <mergeCell ref="X13:AB13"/>
    <mergeCell ref="AC13:AF13"/>
    <mergeCell ref="AG13:AJ13"/>
    <mergeCell ref="AK13:AO13"/>
    <mergeCell ref="BE9:BI9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D10:AT10"/>
    <mergeCell ref="AD9:AT9"/>
    <mergeCell ref="AU10:AY10"/>
    <mergeCell ref="AZ10:BD10"/>
    <mergeCell ref="BE10:BI10"/>
    <mergeCell ref="AP6:AT6"/>
    <mergeCell ref="AU6:AY6"/>
    <mergeCell ref="B9:C9"/>
    <mergeCell ref="D9:H9"/>
    <mergeCell ref="I9:J9"/>
    <mergeCell ref="K9:O9"/>
    <mergeCell ref="P9:Q9"/>
    <mergeCell ref="R9:V9"/>
    <mergeCell ref="W9:X9"/>
    <mergeCell ref="Y9:AC9"/>
    <mergeCell ref="B7:O7"/>
    <mergeCell ref="P7:AC7"/>
    <mergeCell ref="B8:C8"/>
    <mergeCell ref="D8:H8"/>
    <mergeCell ref="I8:J8"/>
    <mergeCell ref="K8:O8"/>
    <mergeCell ref="P8:Q8"/>
    <mergeCell ref="R8:V8"/>
    <mergeCell ref="W8:X8"/>
    <mergeCell ref="Y8:AC8"/>
    <mergeCell ref="AK6:AO6"/>
    <mergeCell ref="A2:W2"/>
    <mergeCell ref="X2:AM2"/>
    <mergeCell ref="AN2:BJ2"/>
    <mergeCell ref="A3:L3"/>
    <mergeCell ref="A4:L4"/>
    <mergeCell ref="M3:AC3"/>
    <mergeCell ref="AD3:AM3"/>
    <mergeCell ref="AN3:BJ3"/>
    <mergeCell ref="AN4:BJ4"/>
    <mergeCell ref="M4:AC4"/>
    <mergeCell ref="AD4:AM4"/>
  </mergeCells>
  <pageMargins left="0.49" right="0.11811023622047245" top="0.53" bottom="0.19685039370078741" header="0.47" footer="0.11811023622047245"/>
  <pageSetup paperSize="9" scale="84" fitToHeight="0" orientation="portrait" horizontalDpi="4294967293" vertic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36"/>
  <sheetViews>
    <sheetView showFormulas="1" view="pageBreakPreview" topLeftCell="A19" zoomScale="85" zoomScaleNormal="100" zoomScaleSheetLayoutView="85" workbookViewId="0">
      <selection activeCell="Y10" sqref="Y10"/>
    </sheetView>
  </sheetViews>
  <sheetFormatPr defaultColWidth="1.25" defaultRowHeight="16.5" customHeight="1"/>
  <cols>
    <col min="1" max="6" width="1.25" style="11"/>
    <col min="7" max="7" width="1.25" style="11" customWidth="1"/>
    <col min="8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61" ht="16.5" customHeight="1">
      <c r="B2" s="542" t="s">
        <v>158</v>
      </c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  <c r="AG2" s="61"/>
      <c r="AH2" s="542" t="s">
        <v>161</v>
      </c>
      <c r="AI2" s="542"/>
      <c r="AJ2" s="542"/>
      <c r="AK2" s="542"/>
      <c r="AL2" s="542"/>
      <c r="AM2" s="542"/>
      <c r="AN2" s="543"/>
      <c r="AO2" s="543"/>
      <c r="AP2" s="543"/>
      <c r="AQ2" s="543"/>
      <c r="AR2" s="543"/>
      <c r="AS2" s="543"/>
      <c r="AT2" s="543"/>
      <c r="AU2" s="543"/>
      <c r="AV2" s="543"/>
    </row>
    <row r="3" spans="2:61" ht="16.5" customHeight="1">
      <c r="AH3" s="542" t="s">
        <v>163</v>
      </c>
      <c r="AI3" s="542"/>
      <c r="AJ3" s="542"/>
      <c r="AK3" s="542"/>
      <c r="AL3" s="542"/>
      <c r="AM3" s="542"/>
      <c r="AN3" s="543"/>
      <c r="AO3" s="543"/>
      <c r="AP3" s="543"/>
      <c r="AQ3" s="543"/>
      <c r="AR3" s="543"/>
      <c r="AS3" s="543"/>
      <c r="AT3" s="543"/>
      <c r="AU3" s="543"/>
      <c r="AV3" s="543"/>
    </row>
    <row r="5" spans="2:61" ht="16.5" customHeight="1"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</row>
    <row r="7" spans="2:61" ht="25.5" customHeight="1">
      <c r="D7" s="526" t="s">
        <v>160</v>
      </c>
      <c r="E7" s="526"/>
      <c r="F7" s="526"/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  <c r="T7" s="526"/>
      <c r="U7" s="526"/>
      <c r="V7" s="526"/>
      <c r="W7" s="526"/>
      <c r="X7" s="526"/>
      <c r="Y7" s="526"/>
      <c r="Z7" s="526"/>
      <c r="AA7" s="526"/>
      <c r="AB7" s="526"/>
      <c r="AC7" s="526"/>
      <c r="AD7" s="526"/>
      <c r="AE7" s="526"/>
      <c r="AF7" s="526"/>
      <c r="AG7" s="526"/>
      <c r="AH7" s="526"/>
      <c r="AI7" s="526"/>
      <c r="AJ7" s="526"/>
      <c r="AK7" s="526"/>
      <c r="AL7" s="526"/>
      <c r="AM7" s="526"/>
      <c r="AN7" s="526"/>
      <c r="AO7" s="526"/>
      <c r="AP7" s="526"/>
      <c r="AQ7" s="526"/>
      <c r="AR7" s="526"/>
      <c r="AS7" s="526"/>
      <c r="AT7" s="526"/>
      <c r="AU7" s="526"/>
      <c r="AV7" s="526"/>
    </row>
    <row r="8" spans="2:61" ht="16.5" customHeight="1">
      <c r="D8" s="518" t="s">
        <v>346</v>
      </c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8"/>
      <c r="AB8" s="518"/>
      <c r="AC8" s="518"/>
      <c r="AD8" s="518"/>
      <c r="AE8" s="518"/>
      <c r="AF8" s="518"/>
      <c r="AG8" s="518"/>
      <c r="AH8" s="518"/>
      <c r="AI8" s="518"/>
      <c r="AJ8" s="518"/>
      <c r="AK8" s="518"/>
      <c r="AL8" s="518"/>
      <c r="AM8" s="518"/>
      <c r="AN8" s="518"/>
      <c r="AO8" s="518"/>
      <c r="AP8" s="518"/>
      <c r="AQ8" s="518"/>
      <c r="AR8" s="518"/>
      <c r="AS8" s="518"/>
      <c r="AT8" s="518"/>
      <c r="AU8" s="518"/>
      <c r="AV8" s="518"/>
    </row>
    <row r="11" spans="2:61" ht="16.5" customHeight="1">
      <c r="F11" s="56"/>
      <c r="G11" s="550"/>
      <c r="H11" s="550"/>
      <c r="I11" s="56"/>
      <c r="K11" s="550"/>
      <c r="L11" s="550"/>
      <c r="O11" s="550"/>
      <c r="P11" s="550"/>
      <c r="S11" s="550"/>
      <c r="T11" s="550"/>
      <c r="AE11" s="56"/>
      <c r="AF11" s="550"/>
      <c r="AG11" s="550"/>
      <c r="AH11" s="56"/>
      <c r="AJ11" s="550"/>
      <c r="AK11" s="550"/>
      <c r="AN11" s="550"/>
      <c r="AO11" s="550"/>
      <c r="AR11" s="550"/>
      <c r="AS11" s="550"/>
    </row>
    <row r="12" spans="2:61" ht="16.5" customHeight="1">
      <c r="G12" s="58"/>
      <c r="AF12" s="58"/>
    </row>
    <row r="13" spans="2:61" ht="16.5" customHeight="1">
      <c r="W13" s="518" t="s">
        <v>162</v>
      </c>
      <c r="X13" s="518"/>
      <c r="Y13" s="518"/>
      <c r="Z13" s="518"/>
      <c r="AA13" s="518"/>
      <c r="AB13" s="518"/>
      <c r="AV13" s="56"/>
    </row>
    <row r="15" spans="2:61" ht="16.5" customHeight="1" thickBot="1"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</row>
    <row r="16" spans="2:61" ht="16.5" customHeight="1">
      <c r="D16" s="551"/>
      <c r="E16" s="552"/>
      <c r="F16" s="532"/>
      <c r="G16" s="555"/>
      <c r="H16" s="558"/>
      <c r="I16" s="548"/>
      <c r="J16" s="532"/>
      <c r="K16" s="555"/>
      <c r="L16" s="558"/>
      <c r="M16" s="548"/>
      <c r="N16" s="532"/>
      <c r="O16" s="555"/>
      <c r="P16" s="558"/>
      <c r="Q16" s="548"/>
      <c r="R16" s="532"/>
      <c r="S16" s="555"/>
      <c r="T16" s="558"/>
      <c r="U16" s="548"/>
      <c r="V16" s="532"/>
      <c r="W16" s="533"/>
      <c r="AC16" s="547"/>
      <c r="AD16" s="548"/>
      <c r="AE16" s="532"/>
      <c r="AF16" s="555"/>
      <c r="AG16" s="558"/>
      <c r="AH16" s="548"/>
      <c r="AI16" s="532"/>
      <c r="AJ16" s="555"/>
      <c r="AK16" s="558"/>
      <c r="AL16" s="548"/>
      <c r="AM16" s="532"/>
      <c r="AN16" s="555"/>
      <c r="AO16" s="558"/>
      <c r="AP16" s="548"/>
      <c r="AQ16" s="532"/>
      <c r="AR16" s="555"/>
      <c r="AS16" s="558"/>
      <c r="AT16" s="548"/>
      <c r="AU16" s="532"/>
      <c r="AV16" s="533"/>
      <c r="AY16" s="59"/>
      <c r="AZ16" s="55"/>
      <c r="BA16" s="55"/>
      <c r="BB16" s="59"/>
      <c r="BC16" s="59"/>
      <c r="BD16" s="59"/>
      <c r="BE16" s="59"/>
      <c r="BF16" s="59"/>
      <c r="BG16" s="59"/>
      <c r="BH16" s="518"/>
      <c r="BI16" s="518"/>
    </row>
    <row r="17" spans="3:61" ht="16.5" customHeight="1">
      <c r="C17" s="54"/>
      <c r="D17" s="553"/>
      <c r="E17" s="554"/>
      <c r="F17" s="534"/>
      <c r="G17" s="539"/>
      <c r="H17" s="541"/>
      <c r="I17" s="530"/>
      <c r="J17" s="534"/>
      <c r="K17" s="539"/>
      <c r="L17" s="541"/>
      <c r="M17" s="530"/>
      <c r="N17" s="534"/>
      <c r="O17" s="539"/>
      <c r="P17" s="541"/>
      <c r="Q17" s="530"/>
      <c r="R17" s="534"/>
      <c r="S17" s="539"/>
      <c r="T17" s="541"/>
      <c r="U17" s="530"/>
      <c r="V17" s="534"/>
      <c r="W17" s="535"/>
      <c r="AB17" s="54"/>
      <c r="AC17" s="538"/>
      <c r="AD17" s="530"/>
      <c r="AE17" s="534"/>
      <c r="AF17" s="539"/>
      <c r="AG17" s="541"/>
      <c r="AH17" s="530"/>
      <c r="AI17" s="534"/>
      <c r="AJ17" s="539"/>
      <c r="AK17" s="541"/>
      <c r="AL17" s="530"/>
      <c r="AM17" s="534"/>
      <c r="AN17" s="539"/>
      <c r="AO17" s="541"/>
      <c r="AP17" s="530"/>
      <c r="AQ17" s="534"/>
      <c r="AR17" s="539"/>
      <c r="AS17" s="541"/>
      <c r="AT17" s="530"/>
      <c r="AU17" s="534"/>
      <c r="AV17" s="535"/>
      <c r="AY17" s="59"/>
      <c r="AZ17" s="55"/>
      <c r="BA17" s="55"/>
      <c r="BB17" s="59"/>
      <c r="BC17" s="59"/>
      <c r="BD17" s="59"/>
      <c r="BE17" s="59"/>
      <c r="BF17" s="59"/>
      <c r="BG17" s="59"/>
      <c r="BH17" s="518"/>
      <c r="BI17" s="518"/>
    </row>
    <row r="18" spans="3:61" ht="16.5" customHeight="1">
      <c r="C18" s="54"/>
      <c r="D18" s="549"/>
      <c r="E18" s="534"/>
      <c r="F18" s="565"/>
      <c r="G18" s="566"/>
      <c r="H18" s="544"/>
      <c r="I18" s="534"/>
      <c r="J18" s="530"/>
      <c r="K18" s="545"/>
      <c r="L18" s="544"/>
      <c r="M18" s="534"/>
      <c r="N18" s="530"/>
      <c r="O18" s="545"/>
      <c r="P18" s="544"/>
      <c r="Q18" s="534"/>
      <c r="R18" s="530"/>
      <c r="S18" s="545"/>
      <c r="T18" s="544"/>
      <c r="U18" s="534"/>
      <c r="V18" s="530"/>
      <c r="W18" s="546"/>
      <c r="AB18" s="54"/>
      <c r="AC18" s="549"/>
      <c r="AD18" s="534"/>
      <c r="AE18" s="565"/>
      <c r="AF18" s="566"/>
      <c r="AG18" s="544"/>
      <c r="AH18" s="534"/>
      <c r="AI18" s="530"/>
      <c r="AJ18" s="545"/>
      <c r="AK18" s="544"/>
      <c r="AL18" s="534"/>
      <c r="AM18" s="530"/>
      <c r="AN18" s="545"/>
      <c r="AO18" s="544"/>
      <c r="AP18" s="534"/>
      <c r="AQ18" s="530"/>
      <c r="AR18" s="545"/>
      <c r="AS18" s="544"/>
      <c r="AT18" s="534"/>
      <c r="AU18" s="530"/>
      <c r="AV18" s="546"/>
      <c r="AY18" s="59"/>
      <c r="AZ18" s="55"/>
      <c r="BA18" s="55"/>
      <c r="BB18" s="59"/>
      <c r="BC18" s="59"/>
      <c r="BD18" s="59"/>
      <c r="BE18" s="59"/>
      <c r="BF18" s="59"/>
      <c r="BG18" s="59"/>
      <c r="BH18" s="518"/>
      <c r="BI18" s="518"/>
    </row>
    <row r="19" spans="3:61" ht="16.5" customHeight="1">
      <c r="C19" s="54"/>
      <c r="D19" s="556"/>
      <c r="E19" s="523"/>
      <c r="F19" s="565"/>
      <c r="G19" s="566"/>
      <c r="H19" s="544"/>
      <c r="I19" s="534"/>
      <c r="J19" s="530"/>
      <c r="K19" s="545"/>
      <c r="L19" s="544"/>
      <c r="M19" s="534"/>
      <c r="N19" s="530"/>
      <c r="O19" s="545"/>
      <c r="P19" s="544"/>
      <c r="Q19" s="534"/>
      <c r="R19" s="530"/>
      <c r="S19" s="545"/>
      <c r="T19" s="544"/>
      <c r="U19" s="534"/>
      <c r="V19" s="530"/>
      <c r="W19" s="546"/>
      <c r="AB19" s="54"/>
      <c r="AC19" s="549"/>
      <c r="AD19" s="534"/>
      <c r="AE19" s="565"/>
      <c r="AF19" s="566"/>
      <c r="AG19" s="544"/>
      <c r="AH19" s="534"/>
      <c r="AI19" s="530"/>
      <c r="AJ19" s="545"/>
      <c r="AK19" s="544"/>
      <c r="AL19" s="534"/>
      <c r="AM19" s="530"/>
      <c r="AN19" s="545"/>
      <c r="AO19" s="544"/>
      <c r="AP19" s="534"/>
      <c r="AQ19" s="530"/>
      <c r="AR19" s="545"/>
      <c r="AS19" s="544"/>
      <c r="AT19" s="534"/>
      <c r="AU19" s="530"/>
      <c r="AV19" s="546"/>
      <c r="AY19" s="59"/>
      <c r="AZ19" s="55"/>
      <c r="BA19" s="55"/>
      <c r="BB19" s="59"/>
      <c r="BC19" s="59"/>
      <c r="BD19" s="59"/>
      <c r="BE19" s="59"/>
      <c r="BF19" s="59"/>
      <c r="BG19" s="59"/>
      <c r="BH19" s="518"/>
      <c r="BI19" s="518"/>
    </row>
    <row r="20" spans="3:61" ht="16.5" customHeight="1">
      <c r="C20" s="54"/>
      <c r="D20" s="536"/>
      <c r="E20" s="537"/>
      <c r="F20" s="520"/>
      <c r="G20" s="521"/>
      <c r="H20" s="540"/>
      <c r="I20" s="537"/>
      <c r="J20" s="520"/>
      <c r="K20" s="521"/>
      <c r="L20" s="540"/>
      <c r="M20" s="537"/>
      <c r="N20" s="520"/>
      <c r="O20" s="521"/>
      <c r="P20" s="540"/>
      <c r="Q20" s="537"/>
      <c r="R20" s="520"/>
      <c r="S20" s="521"/>
      <c r="T20" s="540"/>
      <c r="U20" s="537"/>
      <c r="V20" s="520"/>
      <c r="W20" s="557"/>
      <c r="AB20" s="54"/>
      <c r="AC20" s="536"/>
      <c r="AD20" s="537"/>
      <c r="AE20" s="520"/>
      <c r="AF20" s="521"/>
      <c r="AG20" s="540"/>
      <c r="AH20" s="537"/>
      <c r="AI20" s="520"/>
      <c r="AJ20" s="521"/>
      <c r="AK20" s="540"/>
      <c r="AL20" s="537"/>
      <c r="AM20" s="520"/>
      <c r="AN20" s="521"/>
      <c r="AO20" s="540"/>
      <c r="AP20" s="537"/>
      <c r="AQ20" s="520"/>
      <c r="AR20" s="521"/>
      <c r="AS20" s="540"/>
      <c r="AT20" s="537"/>
      <c r="AU20" s="520"/>
      <c r="AV20" s="557"/>
      <c r="AY20" s="59"/>
      <c r="AZ20" s="55"/>
      <c r="BA20" s="55"/>
      <c r="BB20" s="59"/>
      <c r="BC20" s="59"/>
      <c r="BD20" s="59"/>
      <c r="BE20" s="59"/>
      <c r="BF20" s="59"/>
      <c r="BG20" s="59"/>
      <c r="BH20" s="518"/>
      <c r="BI20" s="518"/>
    </row>
    <row r="21" spans="3:61" ht="16.5" customHeight="1">
      <c r="C21" s="54"/>
      <c r="D21" s="538"/>
      <c r="E21" s="530"/>
      <c r="F21" s="534"/>
      <c r="G21" s="539"/>
      <c r="H21" s="541"/>
      <c r="I21" s="530"/>
      <c r="J21" s="534"/>
      <c r="K21" s="539"/>
      <c r="L21" s="541"/>
      <c r="M21" s="530"/>
      <c r="N21" s="534"/>
      <c r="O21" s="539"/>
      <c r="P21" s="541"/>
      <c r="Q21" s="530"/>
      <c r="R21" s="534"/>
      <c r="S21" s="539"/>
      <c r="T21" s="541"/>
      <c r="U21" s="530"/>
      <c r="V21" s="534"/>
      <c r="W21" s="535"/>
      <c r="AB21" s="54"/>
      <c r="AC21" s="538"/>
      <c r="AD21" s="530"/>
      <c r="AE21" s="534"/>
      <c r="AF21" s="539"/>
      <c r="AG21" s="541"/>
      <c r="AH21" s="530"/>
      <c r="AI21" s="534"/>
      <c r="AJ21" s="539"/>
      <c r="AK21" s="541"/>
      <c r="AL21" s="530"/>
      <c r="AM21" s="534"/>
      <c r="AN21" s="539"/>
      <c r="AO21" s="541"/>
      <c r="AP21" s="530"/>
      <c r="AQ21" s="534"/>
      <c r="AR21" s="539"/>
      <c r="AS21" s="541"/>
      <c r="AT21" s="530"/>
      <c r="AU21" s="534"/>
      <c r="AV21" s="535"/>
      <c r="AY21" s="59"/>
      <c r="AZ21" s="55"/>
      <c r="BA21" s="55"/>
      <c r="BB21" s="59"/>
      <c r="BC21" s="59"/>
      <c r="BD21" s="59"/>
      <c r="BE21" s="59"/>
      <c r="BF21" s="59"/>
      <c r="BG21" s="59"/>
      <c r="BH21" s="518"/>
      <c r="BI21" s="518"/>
    </row>
    <row r="22" spans="3:61" ht="16.5" customHeight="1">
      <c r="C22" s="54"/>
      <c r="D22" s="549"/>
      <c r="E22" s="534"/>
      <c r="F22" s="565"/>
      <c r="G22" s="566"/>
      <c r="H22" s="544"/>
      <c r="I22" s="534"/>
      <c r="J22" s="530"/>
      <c r="K22" s="545"/>
      <c r="L22" s="544"/>
      <c r="M22" s="534"/>
      <c r="N22" s="530"/>
      <c r="O22" s="545"/>
      <c r="P22" s="544"/>
      <c r="Q22" s="534"/>
      <c r="R22" s="530"/>
      <c r="S22" s="545"/>
      <c r="T22" s="544"/>
      <c r="U22" s="534"/>
      <c r="V22" s="530"/>
      <c r="W22" s="546"/>
      <c r="AB22" s="54"/>
      <c r="AC22" s="549"/>
      <c r="AD22" s="534"/>
      <c r="AE22" s="565"/>
      <c r="AF22" s="566"/>
      <c r="AG22" s="544"/>
      <c r="AH22" s="534"/>
      <c r="AI22" s="530"/>
      <c r="AJ22" s="545"/>
      <c r="AK22" s="544"/>
      <c r="AL22" s="534"/>
      <c r="AM22" s="530"/>
      <c r="AN22" s="545"/>
      <c r="AO22" s="544"/>
      <c r="AP22" s="534"/>
      <c r="AQ22" s="530"/>
      <c r="AR22" s="545"/>
      <c r="AS22" s="544"/>
      <c r="AT22" s="534"/>
      <c r="AU22" s="530"/>
      <c r="AV22" s="546"/>
      <c r="AY22" s="59"/>
      <c r="AZ22" s="55"/>
      <c r="BA22" s="55"/>
      <c r="BB22" s="59"/>
      <c r="BC22" s="59"/>
      <c r="BD22" s="59"/>
      <c r="BE22" s="59"/>
      <c r="BF22" s="59"/>
      <c r="BG22" s="59"/>
      <c r="BH22" s="518"/>
      <c r="BI22" s="518"/>
    </row>
    <row r="23" spans="3:61" ht="16.5" customHeight="1">
      <c r="C23" s="54"/>
      <c r="D23" s="556"/>
      <c r="E23" s="523"/>
      <c r="F23" s="572"/>
      <c r="G23" s="573"/>
      <c r="H23" s="522"/>
      <c r="I23" s="523"/>
      <c r="J23" s="569"/>
      <c r="K23" s="570"/>
      <c r="L23" s="522"/>
      <c r="M23" s="523"/>
      <c r="N23" s="569"/>
      <c r="O23" s="570"/>
      <c r="P23" s="522"/>
      <c r="Q23" s="523"/>
      <c r="R23" s="569"/>
      <c r="S23" s="570"/>
      <c r="T23" s="522"/>
      <c r="U23" s="523"/>
      <c r="V23" s="569"/>
      <c r="W23" s="571"/>
      <c r="AB23" s="54"/>
      <c r="AC23" s="556"/>
      <c r="AD23" s="523"/>
      <c r="AE23" s="572"/>
      <c r="AF23" s="573"/>
      <c r="AG23" s="522"/>
      <c r="AH23" s="523"/>
      <c r="AI23" s="569"/>
      <c r="AJ23" s="570"/>
      <c r="AK23" s="522"/>
      <c r="AL23" s="523"/>
      <c r="AM23" s="569"/>
      <c r="AN23" s="570"/>
      <c r="AO23" s="522"/>
      <c r="AP23" s="523"/>
      <c r="AQ23" s="569"/>
      <c r="AR23" s="570"/>
      <c r="AS23" s="522"/>
      <c r="AT23" s="523"/>
      <c r="AU23" s="569"/>
      <c r="AV23" s="571"/>
      <c r="AY23" s="59"/>
      <c r="AZ23" s="55"/>
      <c r="BA23" s="55"/>
      <c r="BB23" s="59"/>
      <c r="BC23" s="59"/>
      <c r="BD23" s="59"/>
      <c r="BE23" s="59"/>
      <c r="BF23" s="59"/>
      <c r="BG23" s="59"/>
      <c r="BH23" s="518"/>
      <c r="BI23" s="518"/>
    </row>
    <row r="24" spans="3:61" ht="16.5" customHeight="1">
      <c r="D24" s="538"/>
      <c r="E24" s="530"/>
      <c r="F24" s="534"/>
      <c r="G24" s="539"/>
      <c r="H24" s="541"/>
      <c r="I24" s="530"/>
      <c r="J24" s="534"/>
      <c r="K24" s="539"/>
      <c r="L24" s="541"/>
      <c r="M24" s="530"/>
      <c r="N24" s="534"/>
      <c r="O24" s="539"/>
      <c r="P24" s="541"/>
      <c r="Q24" s="530"/>
      <c r="R24" s="534"/>
      <c r="S24" s="539"/>
      <c r="T24" s="541"/>
      <c r="U24" s="530"/>
      <c r="V24" s="534"/>
      <c r="W24" s="535"/>
      <c r="AC24" s="538"/>
      <c r="AD24" s="530"/>
      <c r="AE24" s="534"/>
      <c r="AF24" s="539"/>
      <c r="AG24" s="541"/>
      <c r="AH24" s="530"/>
      <c r="AI24" s="534"/>
      <c r="AJ24" s="539"/>
      <c r="AK24" s="541"/>
      <c r="AL24" s="530"/>
      <c r="AM24" s="534"/>
      <c r="AN24" s="539"/>
      <c r="AO24" s="541"/>
      <c r="AP24" s="530"/>
      <c r="AQ24" s="534"/>
      <c r="AR24" s="539"/>
      <c r="AS24" s="541"/>
      <c r="AT24" s="530"/>
      <c r="AU24" s="534"/>
      <c r="AV24" s="535"/>
      <c r="AY24" s="59"/>
      <c r="AZ24" s="55"/>
      <c r="BA24" s="55"/>
      <c r="BB24" s="59"/>
      <c r="BC24" s="59"/>
      <c r="BD24" s="59"/>
      <c r="BE24" s="59"/>
      <c r="BF24" s="59"/>
      <c r="BG24" s="59"/>
      <c r="BH24" s="518"/>
      <c r="BI24" s="518"/>
    </row>
    <row r="25" spans="3:61" ht="16.5" customHeight="1">
      <c r="D25" s="538"/>
      <c r="E25" s="530"/>
      <c r="F25" s="534"/>
      <c r="G25" s="539"/>
      <c r="H25" s="541"/>
      <c r="I25" s="530"/>
      <c r="J25" s="534"/>
      <c r="K25" s="539"/>
      <c r="L25" s="541"/>
      <c r="M25" s="530"/>
      <c r="N25" s="534"/>
      <c r="O25" s="539"/>
      <c r="P25" s="541"/>
      <c r="Q25" s="530"/>
      <c r="R25" s="534"/>
      <c r="S25" s="539"/>
      <c r="T25" s="541"/>
      <c r="U25" s="530"/>
      <c r="V25" s="534"/>
      <c r="W25" s="535"/>
      <c r="AC25" s="538"/>
      <c r="AD25" s="530"/>
      <c r="AE25" s="534"/>
      <c r="AF25" s="539"/>
      <c r="AG25" s="541"/>
      <c r="AH25" s="530"/>
      <c r="AI25" s="534"/>
      <c r="AJ25" s="539"/>
      <c r="AK25" s="541"/>
      <c r="AL25" s="530"/>
      <c r="AM25" s="534"/>
      <c r="AN25" s="539"/>
      <c r="AO25" s="541"/>
      <c r="AP25" s="530"/>
      <c r="AQ25" s="534"/>
      <c r="AR25" s="539"/>
      <c r="AS25" s="541"/>
      <c r="AT25" s="530"/>
      <c r="AU25" s="534"/>
      <c r="AV25" s="535"/>
      <c r="AY25" s="59"/>
      <c r="AZ25" s="55"/>
      <c r="BA25" s="55"/>
      <c r="BB25" s="59"/>
      <c r="BC25" s="59"/>
      <c r="BD25" s="59"/>
      <c r="BE25" s="59"/>
      <c r="BF25" s="59"/>
      <c r="BG25" s="59"/>
      <c r="BH25" s="518"/>
      <c r="BI25" s="518"/>
    </row>
    <row r="26" spans="3:61" ht="16.5" customHeight="1">
      <c r="D26" s="549"/>
      <c r="E26" s="534"/>
      <c r="F26" s="565"/>
      <c r="G26" s="566"/>
      <c r="H26" s="544"/>
      <c r="I26" s="534"/>
      <c r="J26" s="530"/>
      <c r="K26" s="545"/>
      <c r="L26" s="544"/>
      <c r="M26" s="534"/>
      <c r="N26" s="530"/>
      <c r="O26" s="545"/>
      <c r="P26" s="544"/>
      <c r="Q26" s="534"/>
      <c r="R26" s="530"/>
      <c r="S26" s="545"/>
      <c r="T26" s="544"/>
      <c r="U26" s="534"/>
      <c r="V26" s="530"/>
      <c r="W26" s="546"/>
      <c r="AC26" s="549"/>
      <c r="AD26" s="534"/>
      <c r="AE26" s="565"/>
      <c r="AF26" s="566"/>
      <c r="AG26" s="544"/>
      <c r="AH26" s="534"/>
      <c r="AI26" s="530"/>
      <c r="AJ26" s="545"/>
      <c r="AK26" s="544"/>
      <c r="AL26" s="534"/>
      <c r="AM26" s="530"/>
      <c r="AN26" s="545"/>
      <c r="AO26" s="544"/>
      <c r="AP26" s="534"/>
      <c r="AQ26" s="530"/>
      <c r="AR26" s="545"/>
      <c r="AS26" s="544"/>
      <c r="AT26" s="534"/>
      <c r="AU26" s="530"/>
      <c r="AV26" s="546"/>
      <c r="AY26" s="59"/>
      <c r="AZ26" s="55"/>
      <c r="BA26" s="55"/>
      <c r="BB26" s="59"/>
      <c r="BC26" s="59"/>
      <c r="BD26" s="59"/>
      <c r="BE26" s="59"/>
      <c r="BF26" s="59"/>
      <c r="BG26" s="59"/>
      <c r="BH26" s="518"/>
      <c r="BI26" s="518"/>
    </row>
    <row r="27" spans="3:61" ht="16.5" customHeight="1" thickBot="1">
      <c r="D27" s="564"/>
      <c r="E27" s="560"/>
      <c r="F27" s="567"/>
      <c r="G27" s="568"/>
      <c r="H27" s="559"/>
      <c r="I27" s="560"/>
      <c r="J27" s="561"/>
      <c r="K27" s="562"/>
      <c r="L27" s="559"/>
      <c r="M27" s="560"/>
      <c r="N27" s="561"/>
      <c r="O27" s="562"/>
      <c r="P27" s="559"/>
      <c r="Q27" s="560"/>
      <c r="R27" s="561"/>
      <c r="S27" s="562"/>
      <c r="T27" s="559"/>
      <c r="U27" s="560"/>
      <c r="V27" s="561"/>
      <c r="W27" s="563"/>
      <c r="AC27" s="564"/>
      <c r="AD27" s="560"/>
      <c r="AE27" s="567"/>
      <c r="AF27" s="568"/>
      <c r="AG27" s="559"/>
      <c r="AH27" s="560"/>
      <c r="AI27" s="561"/>
      <c r="AJ27" s="562"/>
      <c r="AK27" s="559"/>
      <c r="AL27" s="560"/>
      <c r="AM27" s="561"/>
      <c r="AN27" s="562"/>
      <c r="AO27" s="559"/>
      <c r="AP27" s="560"/>
      <c r="AQ27" s="561"/>
      <c r="AR27" s="562"/>
      <c r="AS27" s="559"/>
      <c r="AT27" s="560"/>
      <c r="AU27" s="561"/>
      <c r="AV27" s="563"/>
      <c r="AY27" s="59"/>
      <c r="AZ27" s="55"/>
      <c r="BA27" s="55"/>
      <c r="BB27" s="59"/>
      <c r="BC27" s="59"/>
      <c r="BD27" s="59"/>
      <c r="BE27" s="59"/>
      <c r="BF27" s="59"/>
      <c r="BG27" s="59"/>
      <c r="BH27" s="518"/>
      <c r="BI27" s="518"/>
    </row>
    <row r="28" spans="3:61" ht="16.5" customHeight="1"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61" ht="16.5" customHeight="1"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</row>
    <row r="30" spans="3:61" ht="16.5" customHeight="1">
      <c r="D30" s="530" t="s">
        <v>364</v>
      </c>
      <c r="E30" s="530"/>
      <c r="F30" s="530"/>
      <c r="G30" s="530"/>
      <c r="H30" s="530"/>
      <c r="I30" s="530"/>
      <c r="J30" s="530"/>
      <c r="K30" s="530"/>
      <c r="L30" s="530"/>
      <c r="M30" s="530"/>
      <c r="N30" s="530"/>
      <c r="O30" s="530"/>
      <c r="P30" s="530"/>
      <c r="Q30" s="530"/>
      <c r="R30" s="530"/>
      <c r="S30" s="530"/>
      <c r="T30" s="530"/>
      <c r="U30" s="530"/>
      <c r="V30" s="530"/>
      <c r="W30" s="530"/>
      <c r="AC30" s="530" t="s">
        <v>363</v>
      </c>
      <c r="AD30" s="530"/>
      <c r="AE30" s="530"/>
      <c r="AF30" s="530"/>
      <c r="AG30" s="530"/>
      <c r="AH30" s="530"/>
      <c r="AI30" s="530"/>
      <c r="AJ30" s="530"/>
      <c r="AK30" s="530"/>
      <c r="AL30" s="530"/>
      <c r="AM30" s="530"/>
      <c r="AN30" s="530"/>
      <c r="AO30" s="530"/>
      <c r="AP30" s="530"/>
      <c r="AQ30" s="530"/>
      <c r="AR30" s="530"/>
      <c r="AS30" s="530"/>
      <c r="AT30" s="530"/>
      <c r="AU30" s="530"/>
      <c r="AV30" s="530"/>
    </row>
    <row r="32" spans="3:61" ht="22.5" customHeight="1">
      <c r="D32" s="527" t="s">
        <v>54</v>
      </c>
      <c r="E32" s="527"/>
      <c r="F32" s="527"/>
      <c r="G32" s="527"/>
      <c r="H32" s="527"/>
      <c r="I32" s="527"/>
      <c r="J32" s="527"/>
      <c r="K32" s="527"/>
      <c r="L32" s="527"/>
      <c r="M32" s="527"/>
      <c r="N32" s="527"/>
      <c r="O32" s="527"/>
      <c r="T32" s="519"/>
      <c r="U32" s="520"/>
      <c r="V32" s="521"/>
      <c r="AA32" s="120"/>
      <c r="AC32" s="527" t="s">
        <v>54</v>
      </c>
      <c r="AD32" s="527"/>
      <c r="AE32" s="527"/>
      <c r="AF32" s="527"/>
      <c r="AG32" s="527"/>
      <c r="AH32" s="527"/>
      <c r="AI32" s="527"/>
      <c r="AJ32" s="527"/>
      <c r="AK32" s="527"/>
      <c r="AL32" s="527"/>
      <c r="AM32" s="527"/>
      <c r="AN32" s="527"/>
    </row>
    <row r="33" spans="4:45" ht="22.5" customHeight="1">
      <c r="D33" s="527" t="s">
        <v>62</v>
      </c>
      <c r="E33" s="527"/>
      <c r="F33" s="527"/>
      <c r="G33" s="527"/>
      <c r="H33" s="527"/>
      <c r="I33" s="527"/>
      <c r="J33" s="531"/>
      <c r="K33" s="531"/>
      <c r="L33" s="531"/>
      <c r="M33" s="531"/>
      <c r="N33" s="531"/>
      <c r="O33" s="531"/>
      <c r="T33" s="522"/>
      <c r="U33" s="523"/>
      <c r="V33" s="524"/>
      <c r="AC33" s="527" t="s">
        <v>62</v>
      </c>
      <c r="AD33" s="527"/>
      <c r="AE33" s="527"/>
      <c r="AF33" s="527"/>
      <c r="AG33" s="527"/>
      <c r="AH33" s="527"/>
      <c r="AI33" s="527"/>
      <c r="AJ33" s="527"/>
      <c r="AK33" s="527"/>
      <c r="AL33" s="527"/>
      <c r="AM33" s="527"/>
      <c r="AN33" s="527"/>
    </row>
    <row r="34" spans="4:45" ht="22.5" customHeight="1">
      <c r="D34" s="527" t="s">
        <v>43</v>
      </c>
      <c r="E34" s="527"/>
      <c r="F34" s="527"/>
      <c r="G34" s="527"/>
      <c r="H34" s="527"/>
      <c r="I34" s="527"/>
      <c r="J34" s="528"/>
      <c r="K34" s="528"/>
      <c r="L34" s="528"/>
      <c r="M34" s="528"/>
      <c r="N34" s="528"/>
      <c r="O34" s="528"/>
      <c r="T34" s="525" t="s">
        <v>341</v>
      </c>
      <c r="U34" s="525"/>
      <c r="V34" s="525"/>
      <c r="W34" s="525"/>
      <c r="X34" s="525"/>
      <c r="Y34" s="525"/>
      <c r="AC34" s="527" t="s">
        <v>43</v>
      </c>
      <c r="AD34" s="527"/>
      <c r="AE34" s="527"/>
      <c r="AF34" s="527"/>
      <c r="AG34" s="527"/>
      <c r="AH34" s="527"/>
      <c r="AI34" s="527"/>
      <c r="AJ34" s="527"/>
      <c r="AK34" s="527"/>
      <c r="AL34" s="527"/>
      <c r="AM34" s="527"/>
      <c r="AN34" s="527"/>
      <c r="AR34" s="518"/>
      <c r="AS34" s="518"/>
    </row>
    <row r="35" spans="4:45" ht="22.5" customHeight="1">
      <c r="D35" s="527" t="s">
        <v>343</v>
      </c>
      <c r="E35" s="527"/>
      <c r="F35" s="527"/>
      <c r="G35" s="527"/>
      <c r="H35" s="527"/>
      <c r="I35" s="527"/>
      <c r="J35" s="528"/>
      <c r="K35" s="528"/>
      <c r="L35" s="528"/>
      <c r="M35" s="528"/>
      <c r="N35" s="528"/>
      <c r="O35" s="528"/>
      <c r="T35" s="525" t="s">
        <v>342</v>
      </c>
      <c r="U35" s="525"/>
      <c r="V35" s="525"/>
      <c r="W35" s="525"/>
      <c r="X35" s="525"/>
      <c r="Y35" s="525"/>
      <c r="AC35" s="527" t="s">
        <v>343</v>
      </c>
      <c r="AD35" s="527"/>
      <c r="AE35" s="527"/>
      <c r="AF35" s="527"/>
      <c r="AG35" s="527"/>
      <c r="AH35" s="527"/>
      <c r="AI35" s="529"/>
      <c r="AJ35" s="527"/>
      <c r="AK35" s="527"/>
      <c r="AL35" s="527"/>
      <c r="AM35" s="527"/>
      <c r="AN35" s="527"/>
    </row>
    <row r="36" spans="4:45" ht="22.5" customHeight="1">
      <c r="D36" s="527" t="s">
        <v>344</v>
      </c>
      <c r="E36" s="527"/>
      <c r="F36" s="527"/>
      <c r="G36" s="527"/>
      <c r="H36" s="527"/>
      <c r="I36" s="527"/>
      <c r="J36" s="528"/>
      <c r="K36" s="528"/>
      <c r="L36" s="528"/>
      <c r="M36" s="528"/>
      <c r="N36" s="528"/>
      <c r="O36" s="528"/>
      <c r="T36" s="56"/>
      <c r="U36" s="56"/>
      <c r="V36" s="56"/>
      <c r="W36" s="56"/>
      <c r="X36" s="56"/>
      <c r="Y36" s="56"/>
      <c r="AC36" s="527" t="s">
        <v>344</v>
      </c>
      <c r="AD36" s="527"/>
      <c r="AE36" s="527"/>
      <c r="AF36" s="527"/>
      <c r="AG36" s="527"/>
      <c r="AH36" s="527"/>
      <c r="AI36" s="529"/>
      <c r="AJ36" s="527"/>
      <c r="AK36" s="527"/>
      <c r="AL36" s="527"/>
      <c r="AM36" s="527"/>
      <c r="AN36" s="527"/>
    </row>
  </sheetData>
  <mergeCells count="163">
    <mergeCell ref="H24:I25"/>
    <mergeCell ref="J24:K25"/>
    <mergeCell ref="F22:G23"/>
    <mergeCell ref="H22:I23"/>
    <mergeCell ref="J22:K23"/>
    <mergeCell ref="L22:M23"/>
    <mergeCell ref="R18:S19"/>
    <mergeCell ref="L24:M25"/>
    <mergeCell ref="N22:O23"/>
    <mergeCell ref="P22:Q23"/>
    <mergeCell ref="V18:W19"/>
    <mergeCell ref="D20:E21"/>
    <mergeCell ref="F20:G21"/>
    <mergeCell ref="H20:I21"/>
    <mergeCell ref="J20:K21"/>
    <mergeCell ref="L20:M21"/>
    <mergeCell ref="N20:O21"/>
    <mergeCell ref="P20:Q21"/>
    <mergeCell ref="R20:S21"/>
    <mergeCell ref="T20:U21"/>
    <mergeCell ref="V20:W21"/>
    <mergeCell ref="P16:Q17"/>
    <mergeCell ref="R16:S17"/>
    <mergeCell ref="R22:S23"/>
    <mergeCell ref="T22:U23"/>
    <mergeCell ref="D36:I36"/>
    <mergeCell ref="J36:O36"/>
    <mergeCell ref="D26:E27"/>
    <mergeCell ref="F26:G27"/>
    <mergeCell ref="H26:I27"/>
    <mergeCell ref="J26:K27"/>
    <mergeCell ref="L26:M27"/>
    <mergeCell ref="H16:I17"/>
    <mergeCell ref="J16:K17"/>
    <mergeCell ref="L16:M17"/>
    <mergeCell ref="N16:O17"/>
    <mergeCell ref="H18:I19"/>
    <mergeCell ref="J18:K19"/>
    <mergeCell ref="L18:M19"/>
    <mergeCell ref="T16:U17"/>
    <mergeCell ref="F18:G19"/>
    <mergeCell ref="D22:E23"/>
    <mergeCell ref="T18:U19"/>
    <mergeCell ref="D24:E25"/>
    <mergeCell ref="F24:G25"/>
    <mergeCell ref="AC36:AH36"/>
    <mergeCell ref="AI36:AN36"/>
    <mergeCell ref="AE18:AF19"/>
    <mergeCell ref="AG18:AH19"/>
    <mergeCell ref="AI18:AJ19"/>
    <mergeCell ref="AK18:AL19"/>
    <mergeCell ref="AM18:AN19"/>
    <mergeCell ref="N26:O27"/>
    <mergeCell ref="P26:Q27"/>
    <mergeCell ref="R26:S27"/>
    <mergeCell ref="T26:U27"/>
    <mergeCell ref="V26:W27"/>
    <mergeCell ref="N24:O25"/>
    <mergeCell ref="P24:Q25"/>
    <mergeCell ref="R24:S25"/>
    <mergeCell ref="T24:U25"/>
    <mergeCell ref="V24:W25"/>
    <mergeCell ref="AM22:AN23"/>
    <mergeCell ref="AM24:AN25"/>
    <mergeCell ref="AM26:AN27"/>
    <mergeCell ref="N18:O19"/>
    <mergeCell ref="P18:Q19"/>
    <mergeCell ref="AC30:AV30"/>
    <mergeCell ref="V22:W23"/>
    <mergeCell ref="AO22:AP23"/>
    <mergeCell ref="AQ22:AR23"/>
    <mergeCell ref="AS22:AT23"/>
    <mergeCell ref="AU22:AV23"/>
    <mergeCell ref="AC22:AD23"/>
    <mergeCell ref="AE22:AF23"/>
    <mergeCell ref="AG22:AH23"/>
    <mergeCell ref="AI22:AJ23"/>
    <mergeCell ref="AK22:AL23"/>
    <mergeCell ref="AO24:AP25"/>
    <mergeCell ref="AQ24:AR25"/>
    <mergeCell ref="AS24:AT25"/>
    <mergeCell ref="AU24:AV25"/>
    <mergeCell ref="AC24:AD25"/>
    <mergeCell ref="AE24:AF25"/>
    <mergeCell ref="AG24:AH25"/>
    <mergeCell ref="AI24:AJ25"/>
    <mergeCell ref="AK24:AL25"/>
    <mergeCell ref="AO26:AP27"/>
    <mergeCell ref="AQ26:AR27"/>
    <mergeCell ref="AS26:AT27"/>
    <mergeCell ref="AU26:AV27"/>
    <mergeCell ref="AC26:AD27"/>
    <mergeCell ref="AE26:AF27"/>
    <mergeCell ref="AG26:AH27"/>
    <mergeCell ref="AI26:AJ27"/>
    <mergeCell ref="AK26:AL27"/>
    <mergeCell ref="AU20:AV21"/>
    <mergeCell ref="AF11:AG11"/>
    <mergeCell ref="AJ11:AK11"/>
    <mergeCell ref="AN11:AO11"/>
    <mergeCell ref="AR11:AS11"/>
    <mergeCell ref="AE16:AF17"/>
    <mergeCell ref="AG16:AH17"/>
    <mergeCell ref="AI16:AJ17"/>
    <mergeCell ref="AK16:AL17"/>
    <mergeCell ref="AM16:AN17"/>
    <mergeCell ref="AO16:AP17"/>
    <mergeCell ref="AQ16:AR17"/>
    <mergeCell ref="AS16:AT17"/>
    <mergeCell ref="AU16:AV17"/>
    <mergeCell ref="AK20:AL21"/>
    <mergeCell ref="AM20:AN21"/>
    <mergeCell ref="AO20:AP21"/>
    <mergeCell ref="AQ20:AR21"/>
    <mergeCell ref="AS20:AT21"/>
    <mergeCell ref="V16:W17"/>
    <mergeCell ref="AC20:AD21"/>
    <mergeCell ref="AE20:AF21"/>
    <mergeCell ref="AG20:AH21"/>
    <mergeCell ref="AI20:AJ21"/>
    <mergeCell ref="B2:Q2"/>
    <mergeCell ref="AN2:AV2"/>
    <mergeCell ref="AH2:AM2"/>
    <mergeCell ref="AH3:AM3"/>
    <mergeCell ref="AN3:AV3"/>
    <mergeCell ref="AO18:AP19"/>
    <mergeCell ref="AQ18:AR19"/>
    <mergeCell ref="AS18:AT19"/>
    <mergeCell ref="AU18:AV19"/>
    <mergeCell ref="AC16:AD17"/>
    <mergeCell ref="AC18:AD19"/>
    <mergeCell ref="W13:AB13"/>
    <mergeCell ref="G11:H11"/>
    <mergeCell ref="K11:L11"/>
    <mergeCell ref="O11:P11"/>
    <mergeCell ref="S11:T11"/>
    <mergeCell ref="D16:E17"/>
    <mergeCell ref="F16:G17"/>
    <mergeCell ref="D18:E19"/>
    <mergeCell ref="AR34:AS34"/>
    <mergeCell ref="BH16:BI19"/>
    <mergeCell ref="BH20:BI23"/>
    <mergeCell ref="BH24:BI27"/>
    <mergeCell ref="T32:V33"/>
    <mergeCell ref="T34:Y34"/>
    <mergeCell ref="D7:AV7"/>
    <mergeCell ref="D35:I35"/>
    <mergeCell ref="J35:O35"/>
    <mergeCell ref="AC35:AH35"/>
    <mergeCell ref="AI35:AN35"/>
    <mergeCell ref="D30:W30"/>
    <mergeCell ref="T35:Y35"/>
    <mergeCell ref="D8:AV8"/>
    <mergeCell ref="AC32:AN32"/>
    <mergeCell ref="AC33:AH33"/>
    <mergeCell ref="AI33:AN33"/>
    <mergeCell ref="AC34:AH34"/>
    <mergeCell ref="AI34:AN34"/>
    <mergeCell ref="D32:O32"/>
    <mergeCell ref="D33:I33"/>
    <mergeCell ref="D34:I34"/>
    <mergeCell ref="J33:O33"/>
    <mergeCell ref="J34:O34"/>
  </mergeCells>
  <pageMargins left="0.7" right="0.46" top="0.49" bottom="0.75" header="0.3" footer="0.3"/>
  <pageSetup paperSize="9" scale="61" fitToHeight="0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62"/>
  <sheetViews>
    <sheetView showFormulas="1" view="pageBreakPreview" zoomScale="85" zoomScaleNormal="100" zoomScaleSheetLayoutView="85" workbookViewId="0">
      <selection activeCell="D7" sqref="D7:AV7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542" t="s">
        <v>158</v>
      </c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  <c r="AG2" s="61"/>
      <c r="AH2" s="542" t="s">
        <v>161</v>
      </c>
      <c r="AI2" s="542"/>
      <c r="AJ2" s="542"/>
      <c r="AK2" s="542"/>
      <c r="AL2" s="542"/>
      <c r="AM2" s="542"/>
      <c r="AN2" s="597" t="s">
        <v>375</v>
      </c>
      <c r="AO2" s="598"/>
      <c r="AP2" s="598"/>
      <c r="AQ2" s="598"/>
      <c r="AR2" s="598"/>
      <c r="AS2" s="598"/>
      <c r="AT2" s="598"/>
      <c r="AU2" s="598"/>
      <c r="AV2" s="598"/>
    </row>
    <row r="3" spans="2:48" ht="16.5" customHeight="1">
      <c r="AH3" s="542" t="s">
        <v>163</v>
      </c>
      <c r="AI3" s="542"/>
      <c r="AJ3" s="542"/>
      <c r="AK3" s="542"/>
      <c r="AL3" s="542"/>
      <c r="AM3" s="542"/>
      <c r="AN3" s="543" t="s">
        <v>371</v>
      </c>
      <c r="AO3" s="543"/>
      <c r="AP3" s="543"/>
      <c r="AQ3" s="543"/>
      <c r="AR3" s="543"/>
      <c r="AS3" s="543"/>
      <c r="AT3" s="543"/>
      <c r="AU3" s="543"/>
      <c r="AV3" s="543"/>
    </row>
    <row r="5" spans="2:48" ht="16.5" customHeight="1"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</row>
    <row r="7" spans="2:48" ht="25.5" customHeight="1">
      <c r="D7" s="526" t="s">
        <v>376</v>
      </c>
      <c r="E7" s="526"/>
      <c r="F7" s="526"/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  <c r="T7" s="526"/>
      <c r="U7" s="526"/>
      <c r="V7" s="526"/>
      <c r="W7" s="526"/>
      <c r="X7" s="526"/>
      <c r="Y7" s="526"/>
      <c r="Z7" s="526"/>
      <c r="AA7" s="526"/>
      <c r="AB7" s="526"/>
      <c r="AC7" s="526"/>
      <c r="AD7" s="526"/>
      <c r="AE7" s="526"/>
      <c r="AF7" s="526"/>
      <c r="AG7" s="526"/>
      <c r="AH7" s="526"/>
      <c r="AI7" s="526"/>
      <c r="AJ7" s="526"/>
      <c r="AK7" s="526"/>
      <c r="AL7" s="526"/>
      <c r="AM7" s="526"/>
      <c r="AN7" s="526"/>
      <c r="AO7" s="526"/>
      <c r="AP7" s="526"/>
      <c r="AQ7" s="526"/>
      <c r="AR7" s="526"/>
      <c r="AS7" s="526"/>
      <c r="AT7" s="526"/>
      <c r="AU7" s="526"/>
      <c r="AV7" s="526"/>
    </row>
    <row r="8" spans="2:48" ht="16.5" customHeight="1">
      <c r="D8" s="518" t="s">
        <v>345</v>
      </c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8"/>
      <c r="AB8" s="518"/>
      <c r="AC8" s="518"/>
      <c r="AD8" s="518"/>
      <c r="AE8" s="518"/>
      <c r="AF8" s="518"/>
      <c r="AG8" s="518"/>
      <c r="AH8" s="518"/>
      <c r="AI8" s="518"/>
      <c r="AJ8" s="518"/>
      <c r="AK8" s="518"/>
      <c r="AL8" s="518"/>
      <c r="AM8" s="518"/>
      <c r="AN8" s="518"/>
      <c r="AO8" s="518"/>
      <c r="AP8" s="518"/>
      <c r="AQ8" s="518"/>
      <c r="AR8" s="518"/>
      <c r="AS8" s="518"/>
      <c r="AT8" s="518"/>
      <c r="AU8" s="518"/>
      <c r="AV8" s="518"/>
    </row>
    <row r="11" spans="2:48" ht="16.5" customHeight="1">
      <c r="F11" s="56"/>
      <c r="G11" s="550"/>
      <c r="H11" s="550"/>
      <c r="I11" s="56"/>
      <c r="K11" s="550"/>
      <c r="L11" s="550"/>
      <c r="O11" s="550"/>
      <c r="P11" s="550"/>
      <c r="S11" s="550"/>
      <c r="T11" s="550"/>
      <c r="AE11" s="56"/>
      <c r="AF11" s="550"/>
      <c r="AG11" s="550"/>
      <c r="AH11" s="56"/>
      <c r="AJ11" s="550"/>
      <c r="AK11" s="550"/>
      <c r="AN11" s="550"/>
      <c r="AO11" s="550"/>
      <c r="AR11" s="550"/>
      <c r="AS11" s="550"/>
    </row>
    <row r="12" spans="2:48" ht="16.5" customHeight="1">
      <c r="G12" s="58"/>
      <c r="AF12" s="58"/>
    </row>
    <row r="13" spans="2:48" ht="16.5" customHeight="1">
      <c r="W13" s="518" t="s">
        <v>162</v>
      </c>
      <c r="X13" s="518"/>
      <c r="Y13" s="518"/>
      <c r="Z13" s="518"/>
      <c r="AA13" s="518"/>
      <c r="AB13" s="518"/>
      <c r="AV13" s="56"/>
    </row>
    <row r="15" spans="2:48" ht="16.5" customHeight="1" thickBot="1"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</row>
    <row r="16" spans="2:48" ht="16.5" customHeight="1">
      <c r="D16" s="104"/>
      <c r="E16" s="105"/>
      <c r="F16" s="105"/>
      <c r="G16" s="105"/>
      <c r="H16" s="113"/>
      <c r="I16" s="105"/>
      <c r="J16" s="105"/>
      <c r="K16" s="108"/>
      <c r="L16" s="105"/>
      <c r="M16" s="105"/>
      <c r="N16" s="105"/>
      <c r="O16" s="108"/>
      <c r="P16" s="113"/>
      <c r="Q16" s="105"/>
      <c r="R16" s="105"/>
      <c r="S16" s="105"/>
      <c r="T16" s="113"/>
      <c r="U16" s="105"/>
      <c r="V16" s="105"/>
      <c r="W16" s="116"/>
      <c r="AC16" s="104"/>
      <c r="AD16" s="105"/>
      <c r="AE16" s="105"/>
      <c r="AF16" s="105"/>
      <c r="AG16" s="113"/>
      <c r="AH16" s="105"/>
      <c r="AI16" s="105"/>
      <c r="AJ16" s="108"/>
      <c r="AK16" s="105"/>
      <c r="AL16" s="105"/>
      <c r="AM16" s="105"/>
      <c r="AN16" s="108"/>
      <c r="AO16" s="113"/>
      <c r="AP16" s="105"/>
      <c r="AQ16" s="105"/>
      <c r="AR16" s="105"/>
      <c r="AS16" s="113"/>
      <c r="AT16" s="105"/>
      <c r="AU16" s="105"/>
      <c r="AV16" s="116"/>
    </row>
    <row r="17" spans="3:48" ht="16.5" customHeight="1">
      <c r="C17" s="54"/>
      <c r="D17" s="106"/>
      <c r="E17" s="107"/>
      <c r="F17" s="107"/>
      <c r="G17" s="107"/>
      <c r="H17" s="114"/>
      <c r="I17" s="107"/>
      <c r="J17" s="107"/>
      <c r="K17" s="109"/>
      <c r="L17" s="107"/>
      <c r="M17" s="107"/>
      <c r="N17" s="107"/>
      <c r="O17" s="109"/>
      <c r="P17" s="114"/>
      <c r="Q17" s="107"/>
      <c r="R17" s="107"/>
      <c r="S17" s="107"/>
      <c r="T17" s="114"/>
      <c r="U17" s="107"/>
      <c r="V17" s="107"/>
      <c r="W17" s="117"/>
      <c r="AB17" s="54"/>
      <c r="AC17" s="106"/>
      <c r="AD17" s="107"/>
      <c r="AE17" s="107"/>
      <c r="AF17" s="107"/>
      <c r="AG17" s="114"/>
      <c r="AH17" s="107"/>
      <c r="AI17" s="107"/>
      <c r="AJ17" s="109"/>
      <c r="AK17" s="107"/>
      <c r="AL17" s="107"/>
      <c r="AM17" s="107"/>
      <c r="AN17" s="109"/>
      <c r="AO17" s="114"/>
      <c r="AP17" s="107"/>
      <c r="AQ17" s="107"/>
      <c r="AR17" s="107"/>
      <c r="AS17" s="114"/>
      <c r="AT17" s="107"/>
      <c r="AU17" s="107"/>
      <c r="AV17" s="117"/>
    </row>
    <row r="18" spans="3:48" ht="16.5" customHeight="1">
      <c r="C18" s="54"/>
      <c r="D18" s="106"/>
      <c r="E18" s="107"/>
      <c r="F18" s="107"/>
      <c r="G18" s="107"/>
      <c r="H18" s="114"/>
      <c r="I18" s="107"/>
      <c r="J18" s="107"/>
      <c r="K18" s="109"/>
      <c r="L18" s="107"/>
      <c r="M18" s="107"/>
      <c r="N18" s="107"/>
      <c r="O18" s="109"/>
      <c r="P18" s="114"/>
      <c r="Q18" s="107"/>
      <c r="R18" s="107"/>
      <c r="S18" s="107"/>
      <c r="T18" s="114"/>
      <c r="U18" s="107"/>
      <c r="V18" s="107"/>
      <c r="W18" s="117"/>
      <c r="AB18" s="54"/>
      <c r="AC18" s="106"/>
      <c r="AD18" s="107"/>
      <c r="AE18" s="107"/>
      <c r="AF18" s="107"/>
      <c r="AG18" s="114"/>
      <c r="AH18" s="107"/>
      <c r="AI18" s="107"/>
      <c r="AJ18" s="109"/>
      <c r="AK18" s="107"/>
      <c r="AL18" s="107"/>
      <c r="AM18" s="107"/>
      <c r="AN18" s="109"/>
      <c r="AO18" s="114"/>
      <c r="AP18" s="107"/>
      <c r="AQ18" s="107"/>
      <c r="AR18" s="107"/>
      <c r="AS18" s="114"/>
      <c r="AT18" s="107"/>
      <c r="AU18" s="107"/>
      <c r="AV18" s="117"/>
    </row>
    <row r="19" spans="3:48" ht="16.5" customHeight="1">
      <c r="C19" s="54"/>
      <c r="D19" s="106"/>
      <c r="E19" s="107"/>
      <c r="F19" s="107"/>
      <c r="G19" s="107"/>
      <c r="H19" s="114"/>
      <c r="I19" s="107"/>
      <c r="J19" s="107"/>
      <c r="K19" s="109"/>
      <c r="L19" s="107"/>
      <c r="M19" s="107"/>
      <c r="N19" s="107"/>
      <c r="O19" s="109"/>
      <c r="P19" s="114"/>
      <c r="Q19" s="107"/>
      <c r="R19" s="107"/>
      <c r="S19" s="107"/>
      <c r="T19" s="114"/>
      <c r="U19" s="107"/>
      <c r="V19" s="107"/>
      <c r="W19" s="117"/>
      <c r="AB19" s="54"/>
      <c r="AC19" s="106"/>
      <c r="AD19" s="107"/>
      <c r="AE19" s="107"/>
      <c r="AF19" s="107"/>
      <c r="AG19" s="114"/>
      <c r="AH19" s="107"/>
      <c r="AI19" s="107"/>
      <c r="AJ19" s="109"/>
      <c r="AK19" s="107"/>
      <c r="AL19" s="107"/>
      <c r="AM19" s="107"/>
      <c r="AN19" s="109"/>
      <c r="AO19" s="114"/>
      <c r="AP19" s="107"/>
      <c r="AQ19" s="107"/>
      <c r="AR19" s="107"/>
      <c r="AS19" s="114"/>
      <c r="AT19" s="107"/>
      <c r="AU19" s="107"/>
      <c r="AV19" s="117"/>
    </row>
    <row r="20" spans="3:48" ht="16.5" customHeight="1">
      <c r="C20" s="54"/>
      <c r="D20" s="578"/>
      <c r="E20" s="579"/>
      <c r="F20" s="579"/>
      <c r="G20" s="579"/>
      <c r="H20" s="582"/>
      <c r="I20" s="579"/>
      <c r="J20" s="579"/>
      <c r="K20" s="583"/>
      <c r="L20" s="591"/>
      <c r="M20" s="591"/>
      <c r="N20" s="591"/>
      <c r="O20" s="591"/>
      <c r="P20" s="594"/>
      <c r="Q20" s="591"/>
      <c r="R20" s="591"/>
      <c r="S20" s="591"/>
      <c r="T20" s="582"/>
      <c r="U20" s="579"/>
      <c r="V20" s="579"/>
      <c r="W20" s="588"/>
      <c r="AB20" s="54"/>
      <c r="AC20" s="578"/>
      <c r="AD20" s="579"/>
      <c r="AE20" s="579"/>
      <c r="AF20" s="579"/>
      <c r="AG20" s="582"/>
      <c r="AH20" s="579"/>
      <c r="AI20" s="579"/>
      <c r="AJ20" s="583"/>
      <c r="AK20" s="579"/>
      <c r="AL20" s="579"/>
      <c r="AM20" s="579"/>
      <c r="AN20" s="579"/>
      <c r="AO20" s="582"/>
      <c r="AP20" s="579"/>
      <c r="AQ20" s="579"/>
      <c r="AR20" s="579"/>
      <c r="AS20" s="582"/>
      <c r="AT20" s="579"/>
      <c r="AU20" s="579"/>
      <c r="AV20" s="588"/>
    </row>
    <row r="21" spans="3:48" ht="16.5" customHeight="1">
      <c r="C21" s="54"/>
      <c r="D21" s="553"/>
      <c r="E21" s="554"/>
      <c r="F21" s="554"/>
      <c r="G21" s="554"/>
      <c r="H21" s="584"/>
      <c r="I21" s="554"/>
      <c r="J21" s="554"/>
      <c r="K21" s="585"/>
      <c r="L21" s="592"/>
      <c r="M21" s="592"/>
      <c r="N21" s="592"/>
      <c r="O21" s="592"/>
      <c r="P21" s="595"/>
      <c r="Q21" s="592"/>
      <c r="R21" s="592"/>
      <c r="S21" s="592"/>
      <c r="T21" s="584"/>
      <c r="U21" s="554"/>
      <c r="V21" s="554"/>
      <c r="W21" s="589"/>
      <c r="AB21" s="54"/>
      <c r="AC21" s="553"/>
      <c r="AD21" s="554"/>
      <c r="AE21" s="554"/>
      <c r="AF21" s="554"/>
      <c r="AG21" s="584"/>
      <c r="AH21" s="554"/>
      <c r="AI21" s="554"/>
      <c r="AJ21" s="585"/>
      <c r="AK21" s="554"/>
      <c r="AL21" s="554"/>
      <c r="AM21" s="554"/>
      <c r="AN21" s="554"/>
      <c r="AO21" s="584"/>
      <c r="AP21" s="554"/>
      <c r="AQ21" s="554"/>
      <c r="AR21" s="554"/>
      <c r="AS21" s="584"/>
      <c r="AT21" s="554"/>
      <c r="AU21" s="554"/>
      <c r="AV21" s="589"/>
    </row>
    <row r="22" spans="3:48" ht="16.5" customHeight="1">
      <c r="C22" s="54"/>
      <c r="D22" s="553"/>
      <c r="E22" s="554"/>
      <c r="F22" s="554"/>
      <c r="G22" s="554"/>
      <c r="H22" s="584"/>
      <c r="I22" s="554"/>
      <c r="J22" s="554"/>
      <c r="K22" s="585"/>
      <c r="L22" s="592"/>
      <c r="M22" s="592"/>
      <c r="N22" s="592"/>
      <c r="O22" s="592"/>
      <c r="P22" s="595"/>
      <c r="Q22" s="592"/>
      <c r="R22" s="592"/>
      <c r="S22" s="592"/>
      <c r="T22" s="584"/>
      <c r="U22" s="554"/>
      <c r="V22" s="554"/>
      <c r="W22" s="589"/>
      <c r="AB22" s="54"/>
      <c r="AC22" s="553"/>
      <c r="AD22" s="554"/>
      <c r="AE22" s="554"/>
      <c r="AF22" s="554"/>
      <c r="AG22" s="584"/>
      <c r="AH22" s="554"/>
      <c r="AI22" s="554"/>
      <c r="AJ22" s="585"/>
      <c r="AK22" s="554"/>
      <c r="AL22" s="554"/>
      <c r="AM22" s="554"/>
      <c r="AN22" s="554"/>
      <c r="AO22" s="584"/>
      <c r="AP22" s="554"/>
      <c r="AQ22" s="554"/>
      <c r="AR22" s="554"/>
      <c r="AS22" s="584"/>
      <c r="AT22" s="554"/>
      <c r="AU22" s="554"/>
      <c r="AV22" s="589"/>
    </row>
    <row r="23" spans="3:48" ht="16.5" customHeight="1">
      <c r="C23" s="54"/>
      <c r="D23" s="580"/>
      <c r="E23" s="581"/>
      <c r="F23" s="581"/>
      <c r="G23" s="581"/>
      <c r="H23" s="586"/>
      <c r="I23" s="581"/>
      <c r="J23" s="581"/>
      <c r="K23" s="587"/>
      <c r="L23" s="593"/>
      <c r="M23" s="593"/>
      <c r="N23" s="593"/>
      <c r="O23" s="593"/>
      <c r="P23" s="596"/>
      <c r="Q23" s="593"/>
      <c r="R23" s="593"/>
      <c r="S23" s="593"/>
      <c r="T23" s="586"/>
      <c r="U23" s="581"/>
      <c r="V23" s="581"/>
      <c r="W23" s="590"/>
      <c r="AB23" s="54"/>
      <c r="AC23" s="580"/>
      <c r="AD23" s="581"/>
      <c r="AE23" s="581"/>
      <c r="AF23" s="581"/>
      <c r="AG23" s="586"/>
      <c r="AH23" s="581"/>
      <c r="AI23" s="581"/>
      <c r="AJ23" s="587"/>
      <c r="AK23" s="581"/>
      <c r="AL23" s="581"/>
      <c r="AM23" s="581"/>
      <c r="AN23" s="581"/>
      <c r="AO23" s="586"/>
      <c r="AP23" s="581"/>
      <c r="AQ23" s="581"/>
      <c r="AR23" s="581"/>
      <c r="AS23" s="586"/>
      <c r="AT23" s="581"/>
      <c r="AU23" s="581"/>
      <c r="AV23" s="590"/>
    </row>
    <row r="24" spans="3:48" ht="16.5" customHeight="1">
      <c r="D24" s="106"/>
      <c r="E24" s="107"/>
      <c r="F24" s="107"/>
      <c r="G24" s="107"/>
      <c r="H24" s="114"/>
      <c r="I24" s="107"/>
      <c r="J24" s="107"/>
      <c r="K24" s="109"/>
      <c r="L24" s="107"/>
      <c r="M24" s="107"/>
      <c r="N24" s="107"/>
      <c r="O24" s="109"/>
      <c r="P24" s="114"/>
      <c r="Q24" s="107"/>
      <c r="R24" s="107"/>
      <c r="S24" s="107"/>
      <c r="T24" s="114"/>
      <c r="U24" s="107"/>
      <c r="V24" s="107"/>
      <c r="W24" s="117"/>
      <c r="AC24" s="106"/>
      <c r="AD24" s="107"/>
      <c r="AE24" s="107"/>
      <c r="AF24" s="107"/>
      <c r="AG24" s="114"/>
      <c r="AH24" s="107"/>
      <c r="AI24" s="107"/>
      <c r="AJ24" s="109"/>
      <c r="AK24" s="107"/>
      <c r="AL24" s="107"/>
      <c r="AM24" s="107"/>
      <c r="AN24" s="109"/>
      <c r="AO24" s="114"/>
      <c r="AP24" s="107"/>
      <c r="AQ24" s="107"/>
      <c r="AR24" s="107"/>
      <c r="AS24" s="114"/>
      <c r="AT24" s="107"/>
      <c r="AU24" s="107"/>
      <c r="AV24" s="117"/>
    </row>
    <row r="25" spans="3:48" ht="16.5" customHeight="1">
      <c r="D25" s="106"/>
      <c r="E25" s="107"/>
      <c r="F25" s="107"/>
      <c r="G25" s="107"/>
      <c r="H25" s="114"/>
      <c r="I25" s="107"/>
      <c r="J25" s="107"/>
      <c r="K25" s="109"/>
      <c r="L25" s="107"/>
      <c r="M25" s="107"/>
      <c r="N25" s="107"/>
      <c r="O25" s="109"/>
      <c r="P25" s="114"/>
      <c r="Q25" s="107"/>
      <c r="R25" s="107"/>
      <c r="S25" s="107"/>
      <c r="T25" s="114"/>
      <c r="U25" s="107"/>
      <c r="V25" s="107"/>
      <c r="W25" s="117"/>
      <c r="AC25" s="106"/>
      <c r="AD25" s="107"/>
      <c r="AE25" s="107"/>
      <c r="AF25" s="107"/>
      <c r="AG25" s="114"/>
      <c r="AH25" s="107"/>
      <c r="AI25" s="107"/>
      <c r="AJ25" s="109"/>
      <c r="AK25" s="107"/>
      <c r="AL25" s="107"/>
      <c r="AM25" s="107"/>
      <c r="AN25" s="109"/>
      <c r="AO25" s="114"/>
      <c r="AP25" s="107"/>
      <c r="AQ25" s="107"/>
      <c r="AR25" s="107"/>
      <c r="AS25" s="114"/>
      <c r="AT25" s="107"/>
      <c r="AU25" s="107"/>
      <c r="AV25" s="117"/>
    </row>
    <row r="26" spans="3:48" ht="16.5" customHeight="1">
      <c r="D26" s="106"/>
      <c r="E26" s="107"/>
      <c r="F26" s="107"/>
      <c r="G26" s="107"/>
      <c r="H26" s="114"/>
      <c r="I26" s="107"/>
      <c r="J26" s="107"/>
      <c r="K26" s="109"/>
      <c r="L26" s="107"/>
      <c r="M26" s="107"/>
      <c r="N26" s="107"/>
      <c r="O26" s="109"/>
      <c r="P26" s="114"/>
      <c r="Q26" s="107"/>
      <c r="R26" s="107"/>
      <c r="S26" s="107"/>
      <c r="T26" s="114"/>
      <c r="U26" s="107"/>
      <c r="V26" s="107"/>
      <c r="W26" s="117"/>
      <c r="AC26" s="106"/>
      <c r="AD26" s="107"/>
      <c r="AE26" s="107"/>
      <c r="AF26" s="107"/>
      <c r="AG26" s="114"/>
      <c r="AH26" s="107"/>
      <c r="AI26" s="107"/>
      <c r="AJ26" s="109"/>
      <c r="AK26" s="107"/>
      <c r="AL26" s="107"/>
      <c r="AM26" s="107"/>
      <c r="AN26" s="109"/>
      <c r="AO26" s="114"/>
      <c r="AP26" s="107"/>
      <c r="AQ26" s="107"/>
      <c r="AR26" s="107"/>
      <c r="AS26" s="114"/>
      <c r="AT26" s="107"/>
      <c r="AU26" s="107"/>
      <c r="AV26" s="117"/>
    </row>
    <row r="27" spans="3:48" ht="16.5" customHeight="1" thickBot="1">
      <c r="D27" s="110"/>
      <c r="E27" s="111"/>
      <c r="F27" s="111"/>
      <c r="G27" s="111"/>
      <c r="H27" s="115"/>
      <c r="I27" s="111"/>
      <c r="J27" s="111"/>
      <c r="K27" s="112"/>
      <c r="L27" s="111"/>
      <c r="M27" s="111"/>
      <c r="N27" s="111"/>
      <c r="O27" s="112"/>
      <c r="P27" s="115"/>
      <c r="Q27" s="111"/>
      <c r="R27" s="111"/>
      <c r="S27" s="111"/>
      <c r="T27" s="115"/>
      <c r="U27" s="111"/>
      <c r="V27" s="111"/>
      <c r="W27" s="118"/>
      <c r="AC27" s="110"/>
      <c r="AD27" s="111"/>
      <c r="AE27" s="111"/>
      <c r="AF27" s="111"/>
      <c r="AG27" s="115"/>
      <c r="AH27" s="111"/>
      <c r="AI27" s="111"/>
      <c r="AJ27" s="112"/>
      <c r="AK27" s="111"/>
      <c r="AL27" s="111"/>
      <c r="AM27" s="111"/>
      <c r="AN27" s="112"/>
      <c r="AO27" s="115"/>
      <c r="AP27" s="111"/>
      <c r="AQ27" s="111"/>
      <c r="AR27" s="111"/>
      <c r="AS27" s="115"/>
      <c r="AT27" s="111"/>
      <c r="AU27" s="111"/>
      <c r="AV27" s="118"/>
    </row>
    <row r="28" spans="3:48" ht="16.5" customHeight="1"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customHeight="1"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</row>
    <row r="30" spans="3:48" ht="16.5" customHeight="1">
      <c r="D30" s="530" t="s">
        <v>364</v>
      </c>
      <c r="E30" s="530"/>
      <c r="F30" s="530"/>
      <c r="G30" s="530"/>
      <c r="H30" s="530"/>
      <c r="I30" s="530"/>
      <c r="J30" s="530"/>
      <c r="K30" s="530"/>
      <c r="L30" s="530"/>
      <c r="M30" s="530"/>
      <c r="N30" s="530"/>
      <c r="O30" s="530"/>
      <c r="P30" s="530"/>
      <c r="Q30" s="530"/>
      <c r="R30" s="530"/>
      <c r="S30" s="530"/>
      <c r="T30" s="530"/>
      <c r="U30" s="530"/>
      <c r="V30" s="530"/>
      <c r="W30" s="530"/>
      <c r="AC30" s="530" t="s">
        <v>372</v>
      </c>
      <c r="AD30" s="530"/>
      <c r="AE30" s="530"/>
      <c r="AF30" s="530"/>
      <c r="AG30" s="530"/>
      <c r="AH30" s="530"/>
      <c r="AI30" s="530"/>
      <c r="AJ30" s="530"/>
      <c r="AK30" s="530"/>
      <c r="AL30" s="530"/>
      <c r="AM30" s="530"/>
      <c r="AN30" s="530"/>
      <c r="AO30" s="530"/>
      <c r="AP30" s="530"/>
      <c r="AQ30" s="530"/>
      <c r="AR30" s="530"/>
      <c r="AS30" s="530"/>
      <c r="AT30" s="530"/>
      <c r="AU30" s="530"/>
      <c r="AV30" s="530"/>
    </row>
    <row r="32" spans="3:48" ht="22.5" customHeight="1">
      <c r="D32" s="527" t="s">
        <v>54</v>
      </c>
      <c r="E32" s="527"/>
      <c r="F32" s="527"/>
      <c r="G32" s="527"/>
      <c r="H32" s="527"/>
      <c r="I32" s="527"/>
      <c r="J32" s="527"/>
      <c r="K32" s="527"/>
      <c r="L32" s="527"/>
      <c r="M32" s="527"/>
      <c r="N32" s="527"/>
      <c r="O32" s="574"/>
      <c r="P32" s="575" t="s">
        <v>377</v>
      </c>
      <c r="Q32" s="527"/>
      <c r="R32" s="527"/>
      <c r="S32" s="527"/>
      <c r="T32" s="59"/>
      <c r="U32" s="59"/>
      <c r="V32" s="59"/>
      <c r="W32" s="55"/>
      <c r="X32" s="55"/>
      <c r="Y32" s="55"/>
      <c r="AC32" s="527" t="s">
        <v>54</v>
      </c>
      <c r="AD32" s="527"/>
      <c r="AE32" s="527"/>
      <c r="AF32" s="527"/>
      <c r="AG32" s="527"/>
      <c r="AH32" s="527"/>
      <c r="AI32" s="527"/>
      <c r="AJ32" s="527"/>
      <c r="AK32" s="527"/>
      <c r="AL32" s="527"/>
      <c r="AM32" s="527"/>
      <c r="AN32" s="574"/>
      <c r="AO32" s="575" t="s">
        <v>377</v>
      </c>
      <c r="AP32" s="527"/>
      <c r="AQ32" s="527"/>
      <c r="AR32" s="527"/>
    </row>
    <row r="33" spans="3:48" ht="22.5" customHeight="1"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59"/>
      <c r="U33" s="59"/>
      <c r="V33" s="59"/>
      <c r="W33" s="55"/>
      <c r="X33" s="55"/>
      <c r="Y33" s="55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</row>
    <row r="34" spans="3:48" ht="22.5" customHeight="1"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59"/>
      <c r="U34" s="59"/>
      <c r="V34" s="59"/>
      <c r="W34" s="55"/>
      <c r="X34" s="55"/>
      <c r="Y34" s="55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</row>
    <row r="35" spans="3:48" ht="22.5" customHeight="1"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59"/>
      <c r="U35" s="59"/>
      <c r="V35" s="59"/>
      <c r="W35" s="55"/>
      <c r="X35" s="55"/>
      <c r="Y35" s="55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</row>
    <row r="36" spans="3:48" ht="22.5" customHeight="1"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59"/>
      <c r="U36" s="59"/>
      <c r="V36" s="59"/>
      <c r="W36" s="55"/>
      <c r="X36" s="55"/>
      <c r="Y36" s="55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</row>
    <row r="37" spans="3:48" ht="22.5" customHeight="1">
      <c r="D37" s="59"/>
      <c r="E37" s="59"/>
      <c r="F37" s="59"/>
      <c r="G37" s="59"/>
      <c r="H37" s="59"/>
      <c r="I37" s="59"/>
      <c r="J37" s="119"/>
      <c r="K37" s="119"/>
      <c r="L37" s="119"/>
      <c r="M37" s="119"/>
      <c r="N37" s="119"/>
      <c r="O37" s="119"/>
      <c r="T37" s="59"/>
      <c r="U37" s="59"/>
      <c r="V37" s="59"/>
      <c r="W37" s="55"/>
      <c r="X37" s="55"/>
      <c r="Y37" s="55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</row>
    <row r="38" spans="3:48" ht="22.5" customHeight="1">
      <c r="D38" s="59"/>
      <c r="E38" s="59"/>
      <c r="F38" s="59"/>
      <c r="G38" s="59"/>
      <c r="H38" s="59"/>
      <c r="I38" s="59"/>
      <c r="J38" s="119"/>
      <c r="K38" s="119"/>
      <c r="L38" s="119"/>
      <c r="M38" s="119"/>
      <c r="N38" s="119"/>
      <c r="O38" s="119"/>
      <c r="T38" s="59"/>
      <c r="U38" s="59"/>
      <c r="V38" s="59"/>
      <c r="W38" s="59"/>
      <c r="X38" s="59"/>
      <c r="Y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</row>
    <row r="39" spans="3:48" ht="16.5" customHeight="1">
      <c r="F39" s="56"/>
      <c r="G39" s="550"/>
      <c r="H39" s="550"/>
      <c r="I39" s="56"/>
      <c r="K39" s="550"/>
      <c r="L39" s="550"/>
      <c r="O39" s="550"/>
      <c r="P39" s="550"/>
      <c r="S39" s="550"/>
      <c r="T39" s="550"/>
      <c r="AE39" s="56"/>
      <c r="AF39" s="550"/>
      <c r="AG39" s="550"/>
      <c r="AH39" s="56"/>
      <c r="AJ39" s="550"/>
      <c r="AK39" s="550"/>
      <c r="AN39" s="550"/>
      <c r="AO39" s="550"/>
      <c r="AR39" s="550"/>
      <c r="AS39" s="550"/>
    </row>
    <row r="40" spans="3:48" ht="16.5" customHeight="1">
      <c r="G40" s="58"/>
      <c r="AF40" s="58"/>
    </row>
    <row r="41" spans="3:48" ht="16.5" customHeight="1">
      <c r="W41" s="518" t="s">
        <v>162</v>
      </c>
      <c r="X41" s="518"/>
      <c r="Y41" s="518"/>
      <c r="Z41" s="518"/>
      <c r="AA41" s="518"/>
      <c r="AB41" s="518"/>
      <c r="AV41" s="56"/>
    </row>
    <row r="43" spans="3:48" ht="16.5" customHeight="1" thickBot="1"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</row>
    <row r="44" spans="3:48" ht="16.5" customHeight="1">
      <c r="D44" s="104"/>
      <c r="E44" s="105"/>
      <c r="F44" s="105"/>
      <c r="G44" s="105"/>
      <c r="H44" s="113"/>
      <c r="I44" s="105"/>
      <c r="J44" s="105"/>
      <c r="K44" s="108"/>
      <c r="L44" s="105"/>
      <c r="M44" s="105"/>
      <c r="N44" s="105"/>
      <c r="O44" s="108"/>
      <c r="P44" s="113"/>
      <c r="Q44" s="105"/>
      <c r="R44" s="105"/>
      <c r="S44" s="105"/>
      <c r="T44" s="113"/>
      <c r="U44" s="105"/>
      <c r="V44" s="105"/>
      <c r="W44" s="116"/>
      <c r="AC44" s="104"/>
      <c r="AD44" s="105"/>
      <c r="AE44" s="105"/>
      <c r="AF44" s="105"/>
      <c r="AG44" s="113"/>
      <c r="AH44" s="105"/>
      <c r="AI44" s="105"/>
      <c r="AJ44" s="108"/>
      <c r="AK44" s="105"/>
      <c r="AL44" s="105"/>
      <c r="AM44" s="105"/>
      <c r="AN44" s="108"/>
      <c r="AO44" s="113"/>
      <c r="AP44" s="105"/>
      <c r="AQ44" s="105"/>
      <c r="AR44" s="105"/>
      <c r="AS44" s="113"/>
      <c r="AT44" s="105"/>
      <c r="AU44" s="105"/>
      <c r="AV44" s="116"/>
    </row>
    <row r="45" spans="3:48" ht="16.5" customHeight="1">
      <c r="C45" s="122"/>
      <c r="D45" s="106"/>
      <c r="E45" s="107"/>
      <c r="F45" s="107"/>
      <c r="G45" s="107"/>
      <c r="H45" s="114"/>
      <c r="I45" s="107"/>
      <c r="J45" s="107"/>
      <c r="K45" s="109"/>
      <c r="L45" s="107"/>
      <c r="M45" s="107"/>
      <c r="N45" s="107"/>
      <c r="O45" s="109"/>
      <c r="P45" s="114"/>
      <c r="Q45" s="107"/>
      <c r="R45" s="107"/>
      <c r="S45" s="107"/>
      <c r="T45" s="114"/>
      <c r="U45" s="107"/>
      <c r="V45" s="107"/>
      <c r="W45" s="117"/>
      <c r="AB45" s="122"/>
      <c r="AC45" s="106"/>
      <c r="AD45" s="107"/>
      <c r="AE45" s="107"/>
      <c r="AF45" s="107"/>
      <c r="AG45" s="114"/>
      <c r="AH45" s="107"/>
      <c r="AI45" s="107"/>
      <c r="AJ45" s="109"/>
      <c r="AK45" s="107"/>
      <c r="AL45" s="107"/>
      <c r="AM45" s="107"/>
      <c r="AN45" s="109"/>
      <c r="AO45" s="114"/>
      <c r="AP45" s="107"/>
      <c r="AQ45" s="107"/>
      <c r="AR45" s="107"/>
      <c r="AS45" s="114"/>
      <c r="AT45" s="107"/>
      <c r="AU45" s="107"/>
      <c r="AV45" s="117"/>
    </row>
    <row r="46" spans="3:48" ht="16.5" customHeight="1">
      <c r="C46" s="122"/>
      <c r="D46" s="106"/>
      <c r="E46" s="107"/>
      <c r="F46" s="107"/>
      <c r="G46" s="107"/>
      <c r="H46" s="114"/>
      <c r="I46" s="107"/>
      <c r="J46" s="107"/>
      <c r="K46" s="109"/>
      <c r="L46" s="107"/>
      <c r="M46" s="107"/>
      <c r="N46" s="107"/>
      <c r="O46" s="109"/>
      <c r="P46" s="114"/>
      <c r="Q46" s="107"/>
      <c r="R46" s="107"/>
      <c r="S46" s="107"/>
      <c r="T46" s="114"/>
      <c r="U46" s="107"/>
      <c r="V46" s="107"/>
      <c r="W46" s="117"/>
      <c r="AB46" s="122"/>
      <c r="AC46" s="106"/>
      <c r="AD46" s="107"/>
      <c r="AE46" s="107"/>
      <c r="AF46" s="107"/>
      <c r="AG46" s="114"/>
      <c r="AH46" s="107"/>
      <c r="AI46" s="107"/>
      <c r="AJ46" s="109"/>
      <c r="AK46" s="107"/>
      <c r="AL46" s="107"/>
      <c r="AM46" s="107"/>
      <c r="AN46" s="109"/>
      <c r="AO46" s="114"/>
      <c r="AP46" s="107"/>
      <c r="AQ46" s="107"/>
      <c r="AR46" s="107"/>
      <c r="AS46" s="114"/>
      <c r="AT46" s="107"/>
      <c r="AU46" s="107"/>
      <c r="AV46" s="117"/>
    </row>
    <row r="47" spans="3:48" ht="16.5" customHeight="1">
      <c r="C47" s="122"/>
      <c r="D47" s="106"/>
      <c r="E47" s="107"/>
      <c r="F47" s="107"/>
      <c r="G47" s="107"/>
      <c r="H47" s="114"/>
      <c r="I47" s="107"/>
      <c r="J47" s="107"/>
      <c r="K47" s="109"/>
      <c r="L47" s="107"/>
      <c r="M47" s="107"/>
      <c r="N47" s="107"/>
      <c r="O47" s="109"/>
      <c r="P47" s="114"/>
      <c r="Q47" s="107"/>
      <c r="R47" s="107"/>
      <c r="S47" s="107"/>
      <c r="T47" s="114"/>
      <c r="U47" s="107"/>
      <c r="V47" s="107"/>
      <c r="W47" s="117"/>
      <c r="AB47" s="122"/>
      <c r="AC47" s="106"/>
      <c r="AD47" s="107"/>
      <c r="AE47" s="107"/>
      <c r="AF47" s="107"/>
      <c r="AG47" s="114"/>
      <c r="AH47" s="107"/>
      <c r="AI47" s="107"/>
      <c r="AJ47" s="109"/>
      <c r="AK47" s="107"/>
      <c r="AL47" s="107"/>
      <c r="AM47" s="107"/>
      <c r="AN47" s="109"/>
      <c r="AO47" s="114"/>
      <c r="AP47" s="107"/>
      <c r="AQ47" s="107"/>
      <c r="AR47" s="107"/>
      <c r="AS47" s="114"/>
      <c r="AT47" s="107"/>
      <c r="AU47" s="107"/>
      <c r="AV47" s="117"/>
    </row>
    <row r="48" spans="3:48" ht="16.5" customHeight="1">
      <c r="C48" s="122"/>
      <c r="D48" s="578"/>
      <c r="E48" s="579"/>
      <c r="F48" s="579"/>
      <c r="G48" s="579"/>
      <c r="H48" s="582"/>
      <c r="I48" s="579"/>
      <c r="J48" s="579"/>
      <c r="K48" s="583"/>
      <c r="L48" s="579"/>
      <c r="M48" s="579"/>
      <c r="N48" s="579"/>
      <c r="O48" s="579"/>
      <c r="P48" s="582"/>
      <c r="Q48" s="579"/>
      <c r="R48" s="579"/>
      <c r="S48" s="579"/>
      <c r="T48" s="582"/>
      <c r="U48" s="579"/>
      <c r="V48" s="579"/>
      <c r="W48" s="588"/>
      <c r="AB48" s="122"/>
      <c r="AC48" s="578"/>
      <c r="AD48" s="579"/>
      <c r="AE48" s="579"/>
      <c r="AF48" s="579"/>
      <c r="AG48" s="582"/>
      <c r="AH48" s="579"/>
      <c r="AI48" s="579"/>
      <c r="AJ48" s="583"/>
      <c r="AK48" s="579"/>
      <c r="AL48" s="579"/>
      <c r="AM48" s="579"/>
      <c r="AN48" s="579"/>
      <c r="AO48" s="582"/>
      <c r="AP48" s="579"/>
      <c r="AQ48" s="579"/>
      <c r="AR48" s="579"/>
      <c r="AS48" s="582"/>
      <c r="AT48" s="579"/>
      <c r="AU48" s="579"/>
      <c r="AV48" s="588"/>
    </row>
    <row r="49" spans="3:48" ht="16.5" customHeight="1">
      <c r="C49" s="122"/>
      <c r="D49" s="553"/>
      <c r="E49" s="554"/>
      <c r="F49" s="554"/>
      <c r="G49" s="554"/>
      <c r="H49" s="584"/>
      <c r="I49" s="554"/>
      <c r="J49" s="554"/>
      <c r="K49" s="585"/>
      <c r="L49" s="554"/>
      <c r="M49" s="554"/>
      <c r="N49" s="554"/>
      <c r="O49" s="554"/>
      <c r="P49" s="584"/>
      <c r="Q49" s="554"/>
      <c r="R49" s="554"/>
      <c r="S49" s="554"/>
      <c r="T49" s="584"/>
      <c r="U49" s="554"/>
      <c r="V49" s="554"/>
      <c r="W49" s="589"/>
      <c r="AB49" s="122"/>
      <c r="AC49" s="553"/>
      <c r="AD49" s="554"/>
      <c r="AE49" s="554"/>
      <c r="AF49" s="554"/>
      <c r="AG49" s="584"/>
      <c r="AH49" s="554"/>
      <c r="AI49" s="554"/>
      <c r="AJ49" s="585"/>
      <c r="AK49" s="554"/>
      <c r="AL49" s="554"/>
      <c r="AM49" s="554"/>
      <c r="AN49" s="554"/>
      <c r="AO49" s="584"/>
      <c r="AP49" s="554"/>
      <c r="AQ49" s="554"/>
      <c r="AR49" s="554"/>
      <c r="AS49" s="584"/>
      <c r="AT49" s="554"/>
      <c r="AU49" s="554"/>
      <c r="AV49" s="589"/>
    </row>
    <row r="50" spans="3:48" ht="16.5" customHeight="1">
      <c r="C50" s="122"/>
      <c r="D50" s="553"/>
      <c r="E50" s="554"/>
      <c r="F50" s="554"/>
      <c r="G50" s="554"/>
      <c r="H50" s="584"/>
      <c r="I50" s="554"/>
      <c r="J50" s="554"/>
      <c r="K50" s="585"/>
      <c r="L50" s="554"/>
      <c r="M50" s="554"/>
      <c r="N50" s="554"/>
      <c r="O50" s="554"/>
      <c r="P50" s="584"/>
      <c r="Q50" s="554"/>
      <c r="R50" s="554"/>
      <c r="S50" s="554"/>
      <c r="T50" s="584"/>
      <c r="U50" s="554"/>
      <c r="V50" s="554"/>
      <c r="W50" s="589"/>
      <c r="AB50" s="122"/>
      <c r="AC50" s="553"/>
      <c r="AD50" s="554"/>
      <c r="AE50" s="554"/>
      <c r="AF50" s="554"/>
      <c r="AG50" s="584"/>
      <c r="AH50" s="554"/>
      <c r="AI50" s="554"/>
      <c r="AJ50" s="585"/>
      <c r="AK50" s="554"/>
      <c r="AL50" s="554"/>
      <c r="AM50" s="554"/>
      <c r="AN50" s="554"/>
      <c r="AO50" s="584"/>
      <c r="AP50" s="554"/>
      <c r="AQ50" s="554"/>
      <c r="AR50" s="554"/>
      <c r="AS50" s="584"/>
      <c r="AT50" s="554"/>
      <c r="AU50" s="554"/>
      <c r="AV50" s="589"/>
    </row>
    <row r="51" spans="3:48" ht="16.5" customHeight="1">
      <c r="C51" s="122"/>
      <c r="D51" s="580"/>
      <c r="E51" s="581"/>
      <c r="F51" s="581"/>
      <c r="G51" s="581"/>
      <c r="H51" s="586"/>
      <c r="I51" s="581"/>
      <c r="J51" s="581"/>
      <c r="K51" s="587"/>
      <c r="L51" s="581"/>
      <c r="M51" s="581"/>
      <c r="N51" s="581"/>
      <c r="O51" s="581"/>
      <c r="P51" s="586"/>
      <c r="Q51" s="581"/>
      <c r="R51" s="581"/>
      <c r="S51" s="581"/>
      <c r="T51" s="586"/>
      <c r="U51" s="581"/>
      <c r="V51" s="581"/>
      <c r="W51" s="590"/>
      <c r="AB51" s="122"/>
      <c r="AC51" s="580"/>
      <c r="AD51" s="581"/>
      <c r="AE51" s="581"/>
      <c r="AF51" s="581"/>
      <c r="AG51" s="586"/>
      <c r="AH51" s="581"/>
      <c r="AI51" s="581"/>
      <c r="AJ51" s="587"/>
      <c r="AK51" s="581"/>
      <c r="AL51" s="581"/>
      <c r="AM51" s="581"/>
      <c r="AN51" s="581"/>
      <c r="AO51" s="586"/>
      <c r="AP51" s="581"/>
      <c r="AQ51" s="581"/>
      <c r="AR51" s="581"/>
      <c r="AS51" s="586"/>
      <c r="AT51" s="581"/>
      <c r="AU51" s="581"/>
      <c r="AV51" s="590"/>
    </row>
    <row r="52" spans="3:48" ht="16.5" customHeight="1">
      <c r="D52" s="106"/>
      <c r="E52" s="107"/>
      <c r="F52" s="107"/>
      <c r="G52" s="107"/>
      <c r="H52" s="114"/>
      <c r="I52" s="107"/>
      <c r="J52" s="107"/>
      <c r="K52" s="109"/>
      <c r="L52" s="107"/>
      <c r="M52" s="107"/>
      <c r="N52" s="107"/>
      <c r="O52" s="109"/>
      <c r="P52" s="114"/>
      <c r="Q52" s="107"/>
      <c r="R52" s="107"/>
      <c r="S52" s="107"/>
      <c r="T52" s="114"/>
      <c r="U52" s="107"/>
      <c r="V52" s="107"/>
      <c r="W52" s="117"/>
      <c r="AC52" s="106"/>
      <c r="AD52" s="107"/>
      <c r="AE52" s="107"/>
      <c r="AF52" s="107"/>
      <c r="AG52" s="114"/>
      <c r="AH52" s="107"/>
      <c r="AI52" s="107"/>
      <c r="AJ52" s="109"/>
      <c r="AK52" s="107"/>
      <c r="AL52" s="107"/>
      <c r="AM52" s="107"/>
      <c r="AN52" s="109"/>
      <c r="AO52" s="114"/>
      <c r="AP52" s="107"/>
      <c r="AQ52" s="107"/>
      <c r="AR52" s="107"/>
      <c r="AS52" s="114"/>
      <c r="AT52" s="107"/>
      <c r="AU52" s="107"/>
      <c r="AV52" s="117"/>
    </row>
    <row r="53" spans="3:48" ht="16.5" customHeight="1">
      <c r="D53" s="106"/>
      <c r="E53" s="107"/>
      <c r="F53" s="107"/>
      <c r="G53" s="107"/>
      <c r="H53" s="114"/>
      <c r="I53" s="107"/>
      <c r="J53" s="107"/>
      <c r="K53" s="109"/>
      <c r="L53" s="107"/>
      <c r="M53" s="107"/>
      <c r="N53" s="107"/>
      <c r="O53" s="109"/>
      <c r="P53" s="114"/>
      <c r="Q53" s="107"/>
      <c r="R53" s="107"/>
      <c r="S53" s="107"/>
      <c r="T53" s="114"/>
      <c r="U53" s="107"/>
      <c r="V53" s="107"/>
      <c r="W53" s="117"/>
      <c r="AC53" s="106"/>
      <c r="AD53" s="107"/>
      <c r="AE53" s="107"/>
      <c r="AF53" s="107"/>
      <c r="AG53" s="114"/>
      <c r="AH53" s="107"/>
      <c r="AI53" s="107"/>
      <c r="AJ53" s="109"/>
      <c r="AK53" s="107"/>
      <c r="AL53" s="107"/>
      <c r="AM53" s="107"/>
      <c r="AN53" s="109"/>
      <c r="AO53" s="114"/>
      <c r="AP53" s="107"/>
      <c r="AQ53" s="107"/>
      <c r="AR53" s="107"/>
      <c r="AS53" s="114"/>
      <c r="AT53" s="107"/>
      <c r="AU53" s="107"/>
      <c r="AV53" s="117"/>
    </row>
    <row r="54" spans="3:48" ht="16.5" customHeight="1">
      <c r="D54" s="106"/>
      <c r="E54" s="107"/>
      <c r="F54" s="107"/>
      <c r="G54" s="107"/>
      <c r="H54" s="114"/>
      <c r="I54" s="107"/>
      <c r="J54" s="107"/>
      <c r="K54" s="109"/>
      <c r="L54" s="107"/>
      <c r="M54" s="107"/>
      <c r="N54" s="107"/>
      <c r="O54" s="109"/>
      <c r="P54" s="114"/>
      <c r="Q54" s="107"/>
      <c r="R54" s="107"/>
      <c r="S54" s="107"/>
      <c r="T54" s="114"/>
      <c r="U54" s="107"/>
      <c r="V54" s="107"/>
      <c r="W54" s="117"/>
      <c r="AC54" s="106"/>
      <c r="AD54" s="107"/>
      <c r="AE54" s="107"/>
      <c r="AF54" s="107"/>
      <c r="AG54" s="114"/>
      <c r="AH54" s="107"/>
      <c r="AI54" s="107"/>
      <c r="AJ54" s="109"/>
      <c r="AK54" s="107"/>
      <c r="AL54" s="107"/>
      <c r="AM54" s="107"/>
      <c r="AN54" s="109"/>
      <c r="AO54" s="114"/>
      <c r="AP54" s="107"/>
      <c r="AQ54" s="107"/>
      <c r="AR54" s="107"/>
      <c r="AS54" s="114"/>
      <c r="AT54" s="107"/>
      <c r="AU54" s="107"/>
      <c r="AV54" s="117"/>
    </row>
    <row r="55" spans="3:48" ht="16.5" customHeight="1" thickBot="1">
      <c r="D55" s="110"/>
      <c r="E55" s="111"/>
      <c r="F55" s="111"/>
      <c r="G55" s="111"/>
      <c r="H55" s="115"/>
      <c r="I55" s="111"/>
      <c r="J55" s="111"/>
      <c r="K55" s="112"/>
      <c r="L55" s="111"/>
      <c r="M55" s="111"/>
      <c r="N55" s="111"/>
      <c r="O55" s="112"/>
      <c r="P55" s="115"/>
      <c r="Q55" s="111"/>
      <c r="R55" s="111"/>
      <c r="S55" s="111"/>
      <c r="T55" s="115"/>
      <c r="U55" s="111"/>
      <c r="V55" s="111"/>
      <c r="W55" s="118"/>
      <c r="AC55" s="110"/>
      <c r="AD55" s="111"/>
      <c r="AE55" s="111"/>
      <c r="AF55" s="111"/>
      <c r="AG55" s="115"/>
      <c r="AH55" s="111"/>
      <c r="AI55" s="111"/>
      <c r="AJ55" s="112"/>
      <c r="AK55" s="111"/>
      <c r="AL55" s="111"/>
      <c r="AM55" s="111"/>
      <c r="AN55" s="112"/>
      <c r="AO55" s="115"/>
      <c r="AP55" s="111"/>
      <c r="AQ55" s="111"/>
      <c r="AR55" s="111"/>
      <c r="AS55" s="115"/>
      <c r="AT55" s="111"/>
      <c r="AU55" s="111"/>
      <c r="AV55" s="118"/>
    </row>
    <row r="56" spans="3:48" ht="16.5" customHeight="1"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</row>
    <row r="57" spans="3:48" ht="16.5" customHeight="1"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</row>
    <row r="58" spans="3:48" ht="16.5" customHeight="1">
      <c r="D58" s="530" t="s">
        <v>373</v>
      </c>
      <c r="E58" s="530"/>
      <c r="F58" s="530"/>
      <c r="G58" s="530"/>
      <c r="H58" s="530"/>
      <c r="I58" s="530"/>
      <c r="J58" s="530"/>
      <c r="K58" s="530"/>
      <c r="L58" s="530"/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AC58" s="530" t="s">
        <v>374</v>
      </c>
      <c r="AD58" s="530"/>
      <c r="AE58" s="530"/>
      <c r="AF58" s="530"/>
      <c r="AG58" s="530"/>
      <c r="AH58" s="530"/>
      <c r="AI58" s="530"/>
      <c r="AJ58" s="530"/>
      <c r="AK58" s="530"/>
      <c r="AL58" s="530"/>
      <c r="AM58" s="530"/>
      <c r="AN58" s="530"/>
      <c r="AO58" s="530"/>
      <c r="AP58" s="530"/>
      <c r="AQ58" s="530"/>
      <c r="AR58" s="530"/>
      <c r="AS58" s="530"/>
      <c r="AT58" s="530"/>
      <c r="AU58" s="530"/>
      <c r="AV58" s="530"/>
    </row>
    <row r="60" spans="3:48" ht="22.5" customHeight="1">
      <c r="D60" s="527" t="s">
        <v>54</v>
      </c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74"/>
      <c r="P60" s="575" t="s">
        <v>377</v>
      </c>
      <c r="Q60" s="527"/>
      <c r="R60" s="527"/>
      <c r="S60" s="527"/>
      <c r="T60" s="59"/>
      <c r="U60" s="59"/>
      <c r="V60" s="59"/>
      <c r="W60" s="55"/>
      <c r="X60" s="55"/>
      <c r="Y60" s="55"/>
      <c r="AC60" s="527" t="s">
        <v>54</v>
      </c>
      <c r="AD60" s="527"/>
      <c r="AE60" s="527"/>
      <c r="AF60" s="527"/>
      <c r="AG60" s="527"/>
      <c r="AH60" s="527"/>
      <c r="AI60" s="527"/>
      <c r="AJ60" s="527"/>
      <c r="AK60" s="576"/>
      <c r="AL60" s="576"/>
      <c r="AM60" s="576"/>
      <c r="AN60" s="577"/>
      <c r="AO60" s="575" t="s">
        <v>377</v>
      </c>
      <c r="AP60" s="527"/>
      <c r="AQ60" s="527"/>
      <c r="AR60" s="527"/>
    </row>
    <row r="61" spans="3:48" ht="22.5" customHeight="1">
      <c r="D61" s="59"/>
      <c r="E61" s="59"/>
      <c r="F61" s="59"/>
      <c r="G61" s="59"/>
      <c r="H61" s="59"/>
      <c r="I61" s="59"/>
      <c r="J61" s="119"/>
      <c r="K61" s="119"/>
      <c r="L61" s="119"/>
      <c r="M61" s="119"/>
      <c r="N61" s="119"/>
      <c r="O61" s="119"/>
      <c r="T61" s="59"/>
      <c r="U61" s="59"/>
      <c r="V61" s="59"/>
      <c r="W61" s="59"/>
      <c r="X61" s="59"/>
      <c r="Y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</row>
    <row r="62" spans="3:48" ht="22.5" customHeight="1">
      <c r="D62" s="59"/>
      <c r="E62" s="59"/>
      <c r="F62" s="59"/>
      <c r="G62" s="59"/>
      <c r="H62" s="59"/>
      <c r="I62" s="59"/>
      <c r="J62" s="119"/>
      <c r="K62" s="119"/>
      <c r="L62" s="119"/>
      <c r="M62" s="119"/>
      <c r="N62" s="119"/>
      <c r="O62" s="119"/>
      <c r="T62" s="56"/>
      <c r="U62" s="56"/>
      <c r="V62" s="56"/>
      <c r="W62" s="56"/>
      <c r="X62" s="56"/>
      <c r="Y62" s="56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</row>
  </sheetData>
  <mergeCells count="61">
    <mergeCell ref="B2:Q2"/>
    <mergeCell ref="AH2:AM2"/>
    <mergeCell ref="AN2:AV2"/>
    <mergeCell ref="AH3:AM3"/>
    <mergeCell ref="AN3:AV3"/>
    <mergeCell ref="G11:H11"/>
    <mergeCell ref="K11:L11"/>
    <mergeCell ref="O11:P11"/>
    <mergeCell ref="S11:T11"/>
    <mergeCell ref="D7:AV7"/>
    <mergeCell ref="AN11:AO11"/>
    <mergeCell ref="AR11:AS11"/>
    <mergeCell ref="AF11:AG11"/>
    <mergeCell ref="AJ11:AK11"/>
    <mergeCell ref="D8:AV8"/>
    <mergeCell ref="W13:AB13"/>
    <mergeCell ref="D30:W30"/>
    <mergeCell ref="AG20:AJ23"/>
    <mergeCell ref="AK20:AN23"/>
    <mergeCell ref="AO20:AR23"/>
    <mergeCell ref="D20:G23"/>
    <mergeCell ref="H20:K23"/>
    <mergeCell ref="AS20:AV23"/>
    <mergeCell ref="AC20:AF23"/>
    <mergeCell ref="O39:P39"/>
    <mergeCell ref="S39:T39"/>
    <mergeCell ref="AF39:AG39"/>
    <mergeCell ref="AC30:AV30"/>
    <mergeCell ref="AO32:AR32"/>
    <mergeCell ref="L20:O23"/>
    <mergeCell ref="P20:S23"/>
    <mergeCell ref="T20:W23"/>
    <mergeCell ref="AJ39:AK39"/>
    <mergeCell ref="AN39:AO39"/>
    <mergeCell ref="AR39:AS39"/>
    <mergeCell ref="D32:K32"/>
    <mergeCell ref="L32:O32"/>
    <mergeCell ref="P32:S32"/>
    <mergeCell ref="AC32:AJ32"/>
    <mergeCell ref="AK32:AN32"/>
    <mergeCell ref="D48:G51"/>
    <mergeCell ref="H48:K51"/>
    <mergeCell ref="L48:O51"/>
    <mergeCell ref="P48:S51"/>
    <mergeCell ref="T48:W51"/>
    <mergeCell ref="G39:H39"/>
    <mergeCell ref="K39:L39"/>
    <mergeCell ref="D58:W58"/>
    <mergeCell ref="AC58:AV58"/>
    <mergeCell ref="D60:K60"/>
    <mergeCell ref="L60:O60"/>
    <mergeCell ref="P60:S60"/>
    <mergeCell ref="AC60:AJ60"/>
    <mergeCell ref="AK60:AN60"/>
    <mergeCell ref="AO60:AR60"/>
    <mergeCell ref="AC48:AF51"/>
    <mergeCell ref="AG48:AJ51"/>
    <mergeCell ref="AK48:AN51"/>
    <mergeCell ref="AO48:AR51"/>
    <mergeCell ref="AS48:AV51"/>
    <mergeCell ref="W41:AB41"/>
  </mergeCells>
  <pageMargins left="0.7" right="0.46" top="0.49" bottom="0.75" header="0.3" footer="0.3"/>
  <pageSetup paperSize="9" scale="61" fitToHeight="0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35"/>
  <sheetViews>
    <sheetView showFormulas="1" view="pageBreakPreview" topLeftCell="A13" zoomScaleNormal="100" zoomScaleSheetLayoutView="100" workbookViewId="0">
      <selection activeCell="P22" sqref="P22:W22"/>
    </sheetView>
  </sheetViews>
  <sheetFormatPr defaultColWidth="1.25" defaultRowHeight="16.5" customHeight="1"/>
  <cols>
    <col min="1" max="6" width="1.25" style="11"/>
    <col min="7" max="7" width="1.25" style="11" customWidth="1"/>
    <col min="8" max="13" width="1.25" style="11"/>
    <col min="14" max="14" width="2.125" style="11" customWidth="1"/>
    <col min="15" max="15" width="2.625" style="11" customWidth="1"/>
    <col min="16" max="56" width="1.25" style="11"/>
    <col min="57" max="57" width="5.125" style="11" bestFit="1" customWidth="1"/>
    <col min="58" max="16384" width="1.25" style="11"/>
  </cols>
  <sheetData>
    <row r="2" spans="2:48" ht="16.5" customHeight="1">
      <c r="B2" s="542" t="s">
        <v>158</v>
      </c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  <c r="AG2" s="61"/>
      <c r="AH2" s="542" t="s">
        <v>161</v>
      </c>
      <c r="AI2" s="542"/>
      <c r="AJ2" s="542"/>
      <c r="AK2" s="542"/>
      <c r="AL2" s="542"/>
      <c r="AM2" s="542"/>
      <c r="AN2" s="543"/>
      <c r="AO2" s="543"/>
      <c r="AP2" s="543"/>
      <c r="AQ2" s="543"/>
      <c r="AR2" s="543"/>
      <c r="AS2" s="543"/>
      <c r="AT2" s="543"/>
      <c r="AU2" s="543"/>
      <c r="AV2" s="543"/>
    </row>
    <row r="3" spans="2:48" ht="16.5" customHeight="1">
      <c r="AH3" s="542" t="s">
        <v>163</v>
      </c>
      <c r="AI3" s="542"/>
      <c r="AJ3" s="542"/>
      <c r="AK3" s="542"/>
      <c r="AL3" s="542"/>
      <c r="AM3" s="542"/>
      <c r="AN3" s="543"/>
      <c r="AO3" s="543"/>
      <c r="AP3" s="543"/>
      <c r="AQ3" s="543"/>
      <c r="AR3" s="543"/>
      <c r="AS3" s="543"/>
      <c r="AT3" s="543"/>
      <c r="AU3" s="543"/>
      <c r="AV3" s="543"/>
    </row>
    <row r="5" spans="2:48" ht="16.5" customHeight="1"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</row>
    <row r="7" spans="2:48" ht="25.5" customHeight="1">
      <c r="D7" s="526" t="s">
        <v>347</v>
      </c>
      <c r="E7" s="526"/>
      <c r="F7" s="526"/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  <c r="T7" s="526"/>
      <c r="U7" s="526"/>
      <c r="V7" s="526"/>
      <c r="W7" s="526"/>
      <c r="X7" s="526"/>
      <c r="Y7" s="526"/>
      <c r="Z7" s="526"/>
      <c r="AA7" s="526"/>
      <c r="AB7" s="526"/>
      <c r="AC7" s="526"/>
      <c r="AD7" s="526"/>
      <c r="AE7" s="526"/>
      <c r="AF7" s="526"/>
      <c r="AG7" s="526"/>
      <c r="AH7" s="526"/>
      <c r="AI7" s="526"/>
      <c r="AJ7" s="526"/>
      <c r="AK7" s="526"/>
      <c r="AL7" s="526"/>
      <c r="AM7" s="526"/>
      <c r="AN7" s="526"/>
      <c r="AO7" s="526"/>
      <c r="AP7" s="526"/>
      <c r="AQ7" s="526"/>
      <c r="AR7" s="526"/>
      <c r="AS7" s="526"/>
      <c r="AT7" s="526"/>
      <c r="AU7" s="526"/>
      <c r="AV7" s="526"/>
    </row>
    <row r="8" spans="2:48" ht="16.5" customHeight="1"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8"/>
      <c r="AB8" s="518"/>
      <c r="AC8" s="518"/>
      <c r="AD8" s="518"/>
      <c r="AE8" s="518"/>
      <c r="AF8" s="518"/>
      <c r="AG8" s="518"/>
      <c r="AH8" s="518"/>
      <c r="AI8" s="518"/>
      <c r="AJ8" s="518"/>
      <c r="AK8" s="518"/>
      <c r="AL8" s="518"/>
      <c r="AM8" s="518"/>
      <c r="AN8" s="518"/>
      <c r="AO8" s="518"/>
      <c r="AP8" s="518"/>
      <c r="AQ8" s="518"/>
      <c r="AR8" s="518"/>
      <c r="AS8" s="518"/>
      <c r="AT8" s="518"/>
      <c r="AU8" s="518"/>
      <c r="AV8" s="518"/>
    </row>
    <row r="11" spans="2:48" ht="23.25" customHeight="1">
      <c r="D11" s="527" t="s">
        <v>356</v>
      </c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99" t="s">
        <v>348</v>
      </c>
      <c r="Q11" s="599"/>
      <c r="R11" s="599"/>
      <c r="S11" s="599"/>
      <c r="T11" s="599"/>
      <c r="U11" s="599"/>
      <c r="V11" s="599"/>
      <c r="W11" s="599"/>
      <c r="X11" s="599"/>
      <c r="Y11" s="599"/>
      <c r="Z11" s="599"/>
      <c r="AA11" s="599"/>
      <c r="AB11" s="599"/>
      <c r="AC11" s="599"/>
      <c r="AD11" s="599"/>
      <c r="AE11" s="599"/>
      <c r="AF11" s="599" t="s">
        <v>349</v>
      </c>
      <c r="AG11" s="599"/>
      <c r="AH11" s="599"/>
      <c r="AI11" s="599"/>
      <c r="AJ11" s="599"/>
      <c r="AK11" s="599"/>
      <c r="AL11" s="599"/>
      <c r="AM11" s="599"/>
      <c r="AN11" s="599"/>
      <c r="AO11" s="599"/>
      <c r="AP11" s="599"/>
      <c r="AQ11" s="599"/>
      <c r="AR11" s="599"/>
      <c r="AS11" s="599"/>
      <c r="AT11" s="599"/>
      <c r="AU11" s="599"/>
    </row>
    <row r="12" spans="2:48" ht="23.25" customHeight="1">
      <c r="D12" s="527"/>
      <c r="E12" s="527"/>
      <c r="F12" s="527"/>
      <c r="G12" s="527"/>
      <c r="H12" s="527"/>
      <c r="I12" s="527"/>
      <c r="J12" s="527"/>
      <c r="K12" s="527"/>
      <c r="L12" s="527"/>
      <c r="M12" s="527"/>
      <c r="N12" s="527"/>
      <c r="O12" s="527"/>
      <c r="P12" s="599" t="s">
        <v>350</v>
      </c>
      <c r="Q12" s="599"/>
      <c r="R12" s="599"/>
      <c r="S12" s="599"/>
      <c r="T12" s="599"/>
      <c r="U12" s="599"/>
      <c r="V12" s="599"/>
      <c r="W12" s="599"/>
      <c r="X12" s="599" t="s">
        <v>351</v>
      </c>
      <c r="Y12" s="599"/>
      <c r="Z12" s="599"/>
      <c r="AA12" s="599"/>
      <c r="AB12" s="599"/>
      <c r="AC12" s="599"/>
      <c r="AD12" s="599"/>
      <c r="AE12" s="599"/>
      <c r="AF12" s="599" t="s">
        <v>350</v>
      </c>
      <c r="AG12" s="599"/>
      <c r="AH12" s="599"/>
      <c r="AI12" s="599"/>
      <c r="AJ12" s="599"/>
      <c r="AK12" s="599"/>
      <c r="AL12" s="599"/>
      <c r="AM12" s="599"/>
      <c r="AN12" s="599" t="s">
        <v>351</v>
      </c>
      <c r="AO12" s="599"/>
      <c r="AP12" s="599"/>
      <c r="AQ12" s="599"/>
      <c r="AR12" s="599"/>
      <c r="AS12" s="599"/>
      <c r="AT12" s="599"/>
      <c r="AU12" s="599"/>
    </row>
    <row r="13" spans="2:48" ht="30" customHeight="1">
      <c r="D13" s="527" t="s">
        <v>352</v>
      </c>
      <c r="E13" s="527"/>
      <c r="F13" s="527"/>
      <c r="G13" s="527"/>
      <c r="H13" s="527"/>
      <c r="I13" s="527"/>
      <c r="J13" s="527"/>
      <c r="K13" s="527"/>
      <c r="L13" s="527"/>
      <c r="M13" s="574"/>
      <c r="N13" s="575" t="s">
        <v>79</v>
      </c>
      <c r="O13" s="527"/>
      <c r="P13" s="599"/>
      <c r="Q13" s="599"/>
      <c r="R13" s="599"/>
      <c r="S13" s="599"/>
      <c r="T13" s="599"/>
      <c r="U13" s="599"/>
      <c r="V13" s="599"/>
      <c r="W13" s="599"/>
      <c r="X13" s="599"/>
      <c r="Y13" s="599"/>
      <c r="Z13" s="599"/>
      <c r="AA13" s="599"/>
      <c r="AB13" s="599"/>
      <c r="AC13" s="599"/>
      <c r="AD13" s="599"/>
      <c r="AE13" s="599"/>
      <c r="AF13" s="599"/>
      <c r="AG13" s="599"/>
      <c r="AH13" s="599"/>
      <c r="AI13" s="599"/>
      <c r="AJ13" s="599"/>
      <c r="AK13" s="599"/>
      <c r="AL13" s="599"/>
      <c r="AM13" s="599"/>
      <c r="AN13" s="599"/>
      <c r="AO13" s="599"/>
      <c r="AP13" s="599"/>
      <c r="AQ13" s="599"/>
      <c r="AR13" s="599"/>
      <c r="AS13" s="599"/>
      <c r="AT13" s="599"/>
      <c r="AU13" s="599"/>
      <c r="AV13" s="56"/>
    </row>
    <row r="14" spans="2:48" ht="30" customHeight="1">
      <c r="D14" s="527" t="s">
        <v>353</v>
      </c>
      <c r="E14" s="527"/>
      <c r="F14" s="527"/>
      <c r="G14" s="527"/>
      <c r="H14" s="527"/>
      <c r="I14" s="527"/>
      <c r="J14" s="527"/>
      <c r="K14" s="527"/>
      <c r="L14" s="527"/>
      <c r="M14" s="574"/>
      <c r="N14" s="575" t="s">
        <v>357</v>
      </c>
      <c r="O14" s="527"/>
      <c r="P14" s="599"/>
      <c r="Q14" s="599"/>
      <c r="R14" s="599"/>
      <c r="S14" s="599"/>
      <c r="T14" s="599"/>
      <c r="U14" s="599"/>
      <c r="V14" s="599"/>
      <c r="W14" s="599"/>
      <c r="X14" s="599"/>
      <c r="Y14" s="599"/>
      <c r="Z14" s="599"/>
      <c r="AA14" s="599"/>
      <c r="AB14" s="599"/>
      <c r="AC14" s="599"/>
      <c r="AD14" s="599"/>
      <c r="AE14" s="599"/>
      <c r="AF14" s="599"/>
      <c r="AG14" s="599"/>
      <c r="AH14" s="599"/>
      <c r="AI14" s="599"/>
      <c r="AJ14" s="599"/>
      <c r="AK14" s="599"/>
      <c r="AL14" s="599"/>
      <c r="AM14" s="599"/>
      <c r="AN14" s="599"/>
      <c r="AO14" s="599"/>
      <c r="AP14" s="599"/>
      <c r="AQ14" s="599"/>
      <c r="AR14" s="599"/>
      <c r="AS14" s="599"/>
      <c r="AT14" s="599"/>
      <c r="AU14" s="599"/>
    </row>
    <row r="15" spans="2:48" ht="30" customHeight="1">
      <c r="D15" s="527" t="s">
        <v>354</v>
      </c>
      <c r="E15" s="527"/>
      <c r="F15" s="527"/>
      <c r="G15" s="527"/>
      <c r="H15" s="527"/>
      <c r="I15" s="527"/>
      <c r="J15" s="527"/>
      <c r="K15" s="527"/>
      <c r="L15" s="527"/>
      <c r="M15" s="574"/>
      <c r="N15" s="575" t="s">
        <v>358</v>
      </c>
      <c r="O15" s="527"/>
      <c r="P15" s="599"/>
      <c r="Q15" s="599"/>
      <c r="R15" s="599"/>
      <c r="S15" s="599"/>
      <c r="T15" s="599"/>
      <c r="U15" s="599"/>
      <c r="V15" s="599"/>
      <c r="W15" s="599"/>
      <c r="X15" s="599"/>
      <c r="Y15" s="599"/>
      <c r="Z15" s="599"/>
      <c r="AA15" s="599"/>
      <c r="AB15" s="599"/>
      <c r="AC15" s="599"/>
      <c r="AD15" s="599"/>
      <c r="AE15" s="599"/>
      <c r="AF15" s="599"/>
      <c r="AG15" s="599"/>
      <c r="AH15" s="599"/>
      <c r="AI15" s="599"/>
      <c r="AJ15" s="599"/>
      <c r="AK15" s="599"/>
      <c r="AL15" s="599"/>
      <c r="AM15" s="599"/>
      <c r="AN15" s="599"/>
      <c r="AO15" s="599"/>
      <c r="AP15" s="599"/>
      <c r="AQ15" s="599"/>
      <c r="AR15" s="599"/>
      <c r="AS15" s="599"/>
      <c r="AT15" s="599"/>
      <c r="AU15" s="599"/>
    </row>
    <row r="16" spans="2:48" ht="30" customHeight="1">
      <c r="D16" s="527" t="s">
        <v>343</v>
      </c>
      <c r="E16" s="527"/>
      <c r="F16" s="527"/>
      <c r="G16" s="527"/>
      <c r="H16" s="527"/>
      <c r="I16" s="527"/>
      <c r="J16" s="527"/>
      <c r="K16" s="527"/>
      <c r="L16" s="527"/>
      <c r="M16" s="574"/>
      <c r="N16" s="575" t="s">
        <v>365</v>
      </c>
      <c r="O16" s="527"/>
      <c r="P16" s="599"/>
      <c r="Q16" s="599"/>
      <c r="R16" s="599"/>
      <c r="S16" s="599"/>
      <c r="T16" s="599"/>
      <c r="U16" s="599"/>
      <c r="V16" s="599"/>
      <c r="W16" s="599"/>
      <c r="X16" s="599"/>
      <c r="Y16" s="599"/>
      <c r="Z16" s="599"/>
      <c r="AA16" s="599"/>
      <c r="AB16" s="599"/>
      <c r="AC16" s="599"/>
      <c r="AD16" s="599"/>
      <c r="AE16" s="599"/>
      <c r="AF16" s="599"/>
      <c r="AG16" s="599"/>
      <c r="AH16" s="599"/>
      <c r="AI16" s="599"/>
      <c r="AJ16" s="599"/>
      <c r="AK16" s="599"/>
      <c r="AL16" s="599"/>
      <c r="AM16" s="599"/>
      <c r="AN16" s="599"/>
      <c r="AO16" s="599"/>
      <c r="AP16" s="599"/>
      <c r="AQ16" s="599"/>
      <c r="AR16" s="599"/>
      <c r="AS16" s="599"/>
      <c r="AT16" s="599"/>
      <c r="AU16" s="599"/>
      <c r="AV16" s="107"/>
    </row>
    <row r="17" spans="3:48" ht="30" customHeight="1">
      <c r="C17" s="54"/>
      <c r="D17" s="527" t="s">
        <v>344</v>
      </c>
      <c r="E17" s="527"/>
      <c r="F17" s="527"/>
      <c r="G17" s="527"/>
      <c r="H17" s="527"/>
      <c r="I17" s="527"/>
      <c r="J17" s="527"/>
      <c r="K17" s="527"/>
      <c r="L17" s="527"/>
      <c r="M17" s="574"/>
      <c r="N17" s="575" t="s">
        <v>365</v>
      </c>
      <c r="O17" s="527"/>
      <c r="P17" s="599"/>
      <c r="Q17" s="599"/>
      <c r="R17" s="599"/>
      <c r="S17" s="599"/>
      <c r="T17" s="599"/>
      <c r="U17" s="599"/>
      <c r="V17" s="599"/>
      <c r="W17" s="599"/>
      <c r="X17" s="599"/>
      <c r="Y17" s="599"/>
      <c r="Z17" s="599"/>
      <c r="AA17" s="599"/>
      <c r="AB17" s="599"/>
      <c r="AC17" s="599"/>
      <c r="AD17" s="599"/>
      <c r="AE17" s="599"/>
      <c r="AF17" s="599"/>
      <c r="AG17" s="599"/>
      <c r="AH17" s="599"/>
      <c r="AI17" s="599"/>
      <c r="AJ17" s="599"/>
      <c r="AK17" s="599"/>
      <c r="AL17" s="599"/>
      <c r="AM17" s="599"/>
      <c r="AN17" s="599"/>
      <c r="AO17" s="599"/>
      <c r="AP17" s="599"/>
      <c r="AQ17" s="599"/>
      <c r="AR17" s="599"/>
      <c r="AS17" s="599"/>
      <c r="AT17" s="599"/>
      <c r="AU17" s="599"/>
      <c r="AV17" s="107"/>
    </row>
    <row r="18" spans="3:48" ht="30" customHeight="1">
      <c r="C18" s="54"/>
      <c r="D18" s="613" t="s">
        <v>355</v>
      </c>
      <c r="E18" s="613"/>
      <c r="F18" s="613"/>
      <c r="G18" s="613"/>
      <c r="H18" s="613"/>
      <c r="I18" s="614"/>
      <c r="J18" s="600" t="s">
        <v>359</v>
      </c>
      <c r="K18" s="601"/>
      <c r="L18" s="601"/>
      <c r="M18" s="602"/>
      <c r="N18" s="611" t="s">
        <v>79</v>
      </c>
      <c r="O18" s="612"/>
      <c r="P18" s="599"/>
      <c r="Q18" s="599"/>
      <c r="R18" s="599"/>
      <c r="S18" s="599"/>
      <c r="T18" s="599"/>
      <c r="U18" s="599"/>
      <c r="V18" s="599"/>
      <c r="W18" s="599"/>
      <c r="X18" s="599"/>
      <c r="Y18" s="599"/>
      <c r="Z18" s="599"/>
      <c r="AA18" s="599"/>
      <c r="AB18" s="599"/>
      <c r="AC18" s="599"/>
      <c r="AD18" s="599"/>
      <c r="AE18" s="599"/>
      <c r="AF18" s="599"/>
      <c r="AG18" s="599"/>
      <c r="AH18" s="599"/>
      <c r="AI18" s="599"/>
      <c r="AJ18" s="599"/>
      <c r="AK18" s="599"/>
      <c r="AL18" s="599"/>
      <c r="AM18" s="599"/>
      <c r="AN18" s="599"/>
      <c r="AO18" s="599"/>
      <c r="AP18" s="599"/>
      <c r="AQ18" s="599"/>
      <c r="AR18" s="599"/>
      <c r="AS18" s="599"/>
      <c r="AT18" s="599"/>
      <c r="AU18" s="599"/>
      <c r="AV18" s="107"/>
    </row>
    <row r="19" spans="3:48" ht="30" customHeight="1">
      <c r="C19" s="54"/>
      <c r="D19" s="613"/>
      <c r="E19" s="613"/>
      <c r="F19" s="613"/>
      <c r="G19" s="613"/>
      <c r="H19" s="613"/>
      <c r="I19" s="614"/>
      <c r="J19" s="603" t="s">
        <v>360</v>
      </c>
      <c r="K19" s="604"/>
      <c r="L19" s="604"/>
      <c r="M19" s="605"/>
      <c r="N19" s="603" t="s">
        <v>79</v>
      </c>
      <c r="O19" s="604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99"/>
      <c r="AB19" s="599"/>
      <c r="AC19" s="599"/>
      <c r="AD19" s="599"/>
      <c r="AE19" s="599"/>
      <c r="AF19" s="599"/>
      <c r="AG19" s="599"/>
      <c r="AH19" s="599"/>
      <c r="AI19" s="599"/>
      <c r="AJ19" s="599"/>
      <c r="AK19" s="599"/>
      <c r="AL19" s="599"/>
      <c r="AM19" s="599"/>
      <c r="AN19" s="599"/>
      <c r="AO19" s="599"/>
      <c r="AP19" s="599"/>
      <c r="AQ19" s="599"/>
      <c r="AR19" s="599"/>
      <c r="AS19" s="599"/>
      <c r="AT19" s="599"/>
      <c r="AU19" s="599"/>
      <c r="AV19" s="107"/>
    </row>
    <row r="20" spans="3:48" ht="30" customHeight="1">
      <c r="C20" s="54"/>
      <c r="D20" s="613"/>
      <c r="E20" s="613"/>
      <c r="F20" s="613"/>
      <c r="G20" s="613"/>
      <c r="H20" s="613"/>
      <c r="I20" s="614"/>
      <c r="J20" s="603" t="s">
        <v>361</v>
      </c>
      <c r="K20" s="604"/>
      <c r="L20" s="604"/>
      <c r="M20" s="605"/>
      <c r="N20" s="603" t="s">
        <v>79</v>
      </c>
      <c r="O20" s="604"/>
      <c r="P20" s="599"/>
      <c r="Q20" s="599"/>
      <c r="R20" s="599"/>
      <c r="S20" s="599"/>
      <c r="T20" s="599"/>
      <c r="U20" s="599"/>
      <c r="V20" s="599"/>
      <c r="W20" s="599"/>
      <c r="X20" s="599"/>
      <c r="Y20" s="599"/>
      <c r="Z20" s="599"/>
      <c r="AA20" s="599"/>
      <c r="AB20" s="599"/>
      <c r="AC20" s="599"/>
      <c r="AD20" s="599"/>
      <c r="AE20" s="599"/>
      <c r="AF20" s="599"/>
      <c r="AG20" s="599"/>
      <c r="AH20" s="599"/>
      <c r="AI20" s="599"/>
      <c r="AJ20" s="599"/>
      <c r="AK20" s="599"/>
      <c r="AL20" s="599"/>
      <c r="AM20" s="599"/>
      <c r="AN20" s="599"/>
      <c r="AO20" s="599"/>
      <c r="AP20" s="599"/>
      <c r="AQ20" s="599"/>
      <c r="AR20" s="599"/>
      <c r="AS20" s="599"/>
      <c r="AT20" s="599"/>
      <c r="AU20" s="599"/>
      <c r="AV20" s="107"/>
    </row>
    <row r="21" spans="3:48" ht="30" customHeight="1">
      <c r="C21" s="54"/>
      <c r="D21" s="613"/>
      <c r="E21" s="613"/>
      <c r="F21" s="613"/>
      <c r="G21" s="613"/>
      <c r="H21" s="613"/>
      <c r="I21" s="614"/>
      <c r="J21" s="606" t="s">
        <v>362</v>
      </c>
      <c r="K21" s="607"/>
      <c r="L21" s="607"/>
      <c r="M21" s="608"/>
      <c r="N21" s="609" t="s">
        <v>79</v>
      </c>
      <c r="O21" s="610"/>
      <c r="P21" s="599"/>
      <c r="Q21" s="599"/>
      <c r="R21" s="599"/>
      <c r="S21" s="599"/>
      <c r="T21" s="599"/>
      <c r="U21" s="599"/>
      <c r="V21" s="599"/>
      <c r="W21" s="599"/>
      <c r="X21" s="599"/>
      <c r="Y21" s="599"/>
      <c r="Z21" s="599"/>
      <c r="AA21" s="599"/>
      <c r="AB21" s="599"/>
      <c r="AC21" s="599"/>
      <c r="AD21" s="599"/>
      <c r="AE21" s="599"/>
      <c r="AF21" s="599"/>
      <c r="AG21" s="599"/>
      <c r="AH21" s="599"/>
      <c r="AI21" s="599"/>
      <c r="AJ21" s="599"/>
      <c r="AK21" s="599"/>
      <c r="AL21" s="599"/>
      <c r="AM21" s="599"/>
      <c r="AN21" s="599"/>
      <c r="AO21" s="599"/>
      <c r="AP21" s="599"/>
      <c r="AQ21" s="599"/>
      <c r="AR21" s="599"/>
      <c r="AS21" s="599"/>
      <c r="AT21" s="599"/>
      <c r="AU21" s="599"/>
      <c r="AV21" s="107"/>
    </row>
    <row r="22" spans="3:48" ht="30" customHeight="1">
      <c r="C22" s="54"/>
      <c r="D22" s="527" t="s">
        <v>86</v>
      </c>
      <c r="E22" s="527"/>
      <c r="F22" s="527"/>
      <c r="G22" s="527"/>
      <c r="H22" s="527"/>
      <c r="I22" s="527"/>
      <c r="J22" s="527"/>
      <c r="K22" s="527"/>
      <c r="L22" s="527"/>
      <c r="M22" s="574"/>
      <c r="N22" s="575" t="s">
        <v>377</v>
      </c>
      <c r="O22" s="527"/>
      <c r="P22" s="599"/>
      <c r="Q22" s="599"/>
      <c r="R22" s="599"/>
      <c r="S22" s="599"/>
      <c r="T22" s="599"/>
      <c r="U22" s="599"/>
      <c r="V22" s="599"/>
      <c r="W22" s="599"/>
      <c r="X22" s="599"/>
      <c r="Y22" s="599"/>
      <c r="Z22" s="599"/>
      <c r="AA22" s="599"/>
      <c r="AB22" s="599"/>
      <c r="AC22" s="599"/>
      <c r="AD22" s="599"/>
      <c r="AE22" s="599"/>
      <c r="AF22" s="599"/>
      <c r="AG22" s="599"/>
      <c r="AH22" s="599"/>
      <c r="AI22" s="599"/>
      <c r="AJ22" s="599"/>
      <c r="AK22" s="599"/>
      <c r="AL22" s="599"/>
      <c r="AM22" s="599"/>
      <c r="AN22" s="599"/>
      <c r="AO22" s="599"/>
      <c r="AP22" s="599"/>
      <c r="AQ22" s="599"/>
      <c r="AR22" s="599"/>
      <c r="AS22" s="599"/>
      <c r="AT22" s="599"/>
      <c r="AU22" s="599"/>
      <c r="AV22" s="107"/>
    </row>
    <row r="23" spans="3:48" ht="23.25" customHeight="1"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18"/>
      <c r="O23" s="518"/>
      <c r="P23" s="107"/>
      <c r="Q23" s="107"/>
      <c r="R23" s="107"/>
      <c r="S23" s="107"/>
      <c r="T23" s="107"/>
      <c r="U23" s="107"/>
      <c r="V23" s="107"/>
      <c r="W23" s="107"/>
      <c r="X23" s="55"/>
      <c r="Y23" s="55"/>
      <c r="Z23" s="55"/>
      <c r="AA23" s="55"/>
      <c r="AB23" s="55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</row>
    <row r="24" spans="3:48" ht="16.5" customHeight="1"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55"/>
      <c r="Y24" s="55"/>
      <c r="Z24" s="55"/>
      <c r="AA24" s="55"/>
      <c r="AB24" s="55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</row>
    <row r="25" spans="3:48" ht="16.5" customHeight="1"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55"/>
      <c r="Y25" s="55"/>
      <c r="Z25" s="55"/>
      <c r="AA25" s="55"/>
      <c r="AB25" s="55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</row>
    <row r="26" spans="3:48" ht="16.5" customHeight="1"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55"/>
      <c r="Y26" s="55"/>
      <c r="Z26" s="55"/>
      <c r="AA26" s="55"/>
      <c r="AB26" s="55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</row>
    <row r="27" spans="3:48" ht="16.5" customHeight="1"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5"/>
      <c r="Y27" s="55"/>
      <c r="Z27" s="55"/>
      <c r="AA27" s="55"/>
      <c r="AB27" s="55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spans="3:48" ht="16.5" customHeight="1"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5"/>
      <c r="Y28" s="55"/>
      <c r="Z28" s="55"/>
      <c r="AA28" s="55"/>
      <c r="AB28" s="55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</row>
    <row r="29" spans="3:48" ht="16.5" customHeight="1"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5"/>
      <c r="Y29" s="55"/>
      <c r="Z29" s="55"/>
      <c r="AA29" s="55"/>
      <c r="AB29" s="55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spans="3:48" ht="16.5" customHeight="1"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</row>
    <row r="31" spans="3:48" ht="22.5" customHeight="1"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5"/>
      <c r="X31" s="55"/>
      <c r="Y31" s="55"/>
      <c r="Z31" s="55"/>
      <c r="AA31" s="55"/>
      <c r="AB31" s="55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5"/>
      <c r="AT31" s="55"/>
      <c r="AU31" s="55"/>
      <c r="AV31" s="55"/>
    </row>
    <row r="32" spans="3:48" ht="22.5" customHeight="1">
      <c r="D32" s="59"/>
      <c r="E32" s="59"/>
      <c r="F32" s="59"/>
      <c r="G32" s="59"/>
      <c r="H32" s="59"/>
      <c r="I32" s="59"/>
      <c r="J32" s="119"/>
      <c r="K32" s="119"/>
      <c r="L32" s="119"/>
      <c r="M32" s="119"/>
      <c r="N32" s="119"/>
      <c r="O32" s="119"/>
      <c r="P32" s="55"/>
      <c r="Q32" s="55"/>
      <c r="R32" s="55"/>
      <c r="S32" s="55"/>
      <c r="T32" s="59"/>
      <c r="U32" s="59"/>
      <c r="V32" s="59"/>
      <c r="W32" s="55"/>
      <c r="X32" s="55"/>
      <c r="Y32" s="55"/>
      <c r="Z32" s="55"/>
      <c r="AA32" s="55"/>
      <c r="AB32" s="55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5"/>
      <c r="AP32" s="55"/>
      <c r="AQ32" s="55"/>
      <c r="AR32" s="55"/>
      <c r="AS32" s="55"/>
      <c r="AT32" s="55"/>
      <c r="AU32" s="55"/>
      <c r="AV32" s="55"/>
    </row>
    <row r="33" spans="4:48" ht="22.5" customHeight="1">
      <c r="D33" s="59"/>
      <c r="E33" s="59"/>
      <c r="F33" s="59"/>
      <c r="G33" s="59"/>
      <c r="H33" s="59"/>
      <c r="I33" s="59"/>
      <c r="J33" s="119"/>
      <c r="K33" s="119"/>
      <c r="L33" s="119"/>
      <c r="M33" s="119"/>
      <c r="N33" s="119"/>
      <c r="O33" s="119"/>
      <c r="P33" s="55"/>
      <c r="Q33" s="55"/>
      <c r="R33" s="55"/>
      <c r="S33" s="55"/>
      <c r="T33" s="59"/>
      <c r="U33" s="59"/>
      <c r="V33" s="59"/>
      <c r="W33" s="59"/>
      <c r="X33" s="59"/>
      <c r="Y33" s="59"/>
      <c r="Z33" s="55"/>
      <c r="AA33" s="55"/>
      <c r="AB33" s="55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5"/>
      <c r="AP33" s="55"/>
      <c r="AQ33" s="55"/>
      <c r="AR33" s="55"/>
      <c r="AS33" s="55"/>
      <c r="AT33" s="55"/>
      <c r="AU33" s="55"/>
      <c r="AV33" s="55"/>
    </row>
    <row r="34" spans="4:48" ht="22.5" customHeight="1">
      <c r="D34" s="59"/>
      <c r="E34" s="59"/>
      <c r="F34" s="59"/>
      <c r="G34" s="59"/>
      <c r="H34" s="59"/>
      <c r="I34" s="59"/>
      <c r="J34" s="119"/>
      <c r="K34" s="119"/>
      <c r="L34" s="119"/>
      <c r="M34" s="119"/>
      <c r="N34" s="119"/>
      <c r="O34" s="119"/>
      <c r="P34" s="55"/>
      <c r="Q34" s="55"/>
      <c r="R34" s="55"/>
      <c r="S34" s="55"/>
      <c r="T34" s="59"/>
      <c r="U34" s="59"/>
      <c r="V34" s="59"/>
      <c r="W34" s="59"/>
      <c r="X34" s="59"/>
      <c r="Y34" s="59"/>
      <c r="Z34" s="55"/>
      <c r="AA34" s="55"/>
      <c r="AB34" s="55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5"/>
      <c r="AP34" s="55"/>
      <c r="AQ34" s="55"/>
      <c r="AR34" s="55"/>
      <c r="AS34" s="55"/>
      <c r="AT34" s="55"/>
      <c r="AU34" s="55"/>
      <c r="AV34" s="55"/>
    </row>
    <row r="35" spans="4:48" ht="22.5" customHeight="1">
      <c r="D35" s="59"/>
      <c r="E35" s="59"/>
      <c r="F35" s="59"/>
      <c r="G35" s="59"/>
      <c r="H35" s="59"/>
      <c r="I35" s="59"/>
      <c r="J35" s="119"/>
      <c r="K35" s="119"/>
      <c r="L35" s="119"/>
      <c r="M35" s="119"/>
      <c r="N35" s="119"/>
      <c r="O35" s="119"/>
      <c r="T35" s="56"/>
      <c r="U35" s="56"/>
      <c r="V35" s="56"/>
      <c r="W35" s="56"/>
      <c r="X35" s="56"/>
      <c r="Y35" s="56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</row>
  </sheetData>
  <mergeCells count="76">
    <mergeCell ref="D8:AV8"/>
    <mergeCell ref="B2:Q2"/>
    <mergeCell ref="AH2:AM2"/>
    <mergeCell ref="AN2:AV2"/>
    <mergeCell ref="AH3:AM3"/>
    <mergeCell ref="AN3:AV3"/>
    <mergeCell ref="D7:AV7"/>
    <mergeCell ref="D11:O12"/>
    <mergeCell ref="P13:W13"/>
    <mergeCell ref="X13:AE13"/>
    <mergeCell ref="AF13:AM13"/>
    <mergeCell ref="AN13:AU13"/>
    <mergeCell ref="P12:W12"/>
    <mergeCell ref="X12:AE12"/>
    <mergeCell ref="AF12:AM12"/>
    <mergeCell ref="AN12:AU12"/>
    <mergeCell ref="P11:AE11"/>
    <mergeCell ref="AF11:AU11"/>
    <mergeCell ref="AF14:AM14"/>
    <mergeCell ref="AN14:AU14"/>
    <mergeCell ref="P15:W15"/>
    <mergeCell ref="X15:AE15"/>
    <mergeCell ref="AF15:AM15"/>
    <mergeCell ref="AN15:AU15"/>
    <mergeCell ref="P14:W14"/>
    <mergeCell ref="X14:AE14"/>
    <mergeCell ref="AF16:AM16"/>
    <mergeCell ref="AN16:AU16"/>
    <mergeCell ref="P17:W17"/>
    <mergeCell ref="X17:AE17"/>
    <mergeCell ref="AF17:AM17"/>
    <mergeCell ref="AN17:AU17"/>
    <mergeCell ref="P16:W16"/>
    <mergeCell ref="X16:AE16"/>
    <mergeCell ref="AN21:AU21"/>
    <mergeCell ref="P18:W18"/>
    <mergeCell ref="X18:AE18"/>
    <mergeCell ref="AF18:AM18"/>
    <mergeCell ref="AN18:AU18"/>
    <mergeCell ref="P19:W19"/>
    <mergeCell ref="X19:AE19"/>
    <mergeCell ref="AF19:AM19"/>
    <mergeCell ref="AN19:AU19"/>
    <mergeCell ref="P20:W20"/>
    <mergeCell ref="X20:AE20"/>
    <mergeCell ref="AF20:AM20"/>
    <mergeCell ref="N23:O23"/>
    <mergeCell ref="D13:M13"/>
    <mergeCell ref="D14:M14"/>
    <mergeCell ref="D15:M15"/>
    <mergeCell ref="D16:M16"/>
    <mergeCell ref="D17:M17"/>
    <mergeCell ref="N13:O13"/>
    <mergeCell ref="N14:O14"/>
    <mergeCell ref="N15:O15"/>
    <mergeCell ref="N16:O16"/>
    <mergeCell ref="N17:O17"/>
    <mergeCell ref="N18:O18"/>
    <mergeCell ref="N19:O19"/>
    <mergeCell ref="D18:I21"/>
    <mergeCell ref="X22:AE22"/>
    <mergeCell ref="AF22:AM22"/>
    <mergeCell ref="AN22:AU22"/>
    <mergeCell ref="J18:M18"/>
    <mergeCell ref="D22:M22"/>
    <mergeCell ref="J19:M19"/>
    <mergeCell ref="J20:M20"/>
    <mergeCell ref="J21:M21"/>
    <mergeCell ref="P22:W22"/>
    <mergeCell ref="N20:O20"/>
    <mergeCell ref="N21:O21"/>
    <mergeCell ref="N22:O22"/>
    <mergeCell ref="AN20:AU20"/>
    <mergeCell ref="P21:W21"/>
    <mergeCell ref="X21:AE21"/>
    <mergeCell ref="AF21:AM21"/>
  </mergeCells>
  <pageMargins left="0.7" right="0.46" top="0.49" bottom="0.37" header="0.3" footer="0.3"/>
  <pageSetup paperSize="9" scale="88" fitToHeight="0" orientation="landscape" r:id="rId1"/>
  <rowBreaks count="1" manualBreakCount="1">
    <brk id="25" max="4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showGridLines="0" zoomScaleNormal="100" workbookViewId="0"/>
  </sheetViews>
  <sheetFormatPr defaultRowHeight="15"/>
  <cols>
    <col min="1" max="4" width="9" style="62"/>
    <col min="5" max="5" width="4.625" style="62" customWidth="1"/>
    <col min="6" max="6" width="31.75" style="101" customWidth="1"/>
    <col min="7" max="7" width="34.625" style="62" customWidth="1"/>
    <col min="8" max="8" width="76.875" style="62" customWidth="1"/>
    <col min="9" max="260" width="9" style="62"/>
    <col min="261" max="261" width="4.625" style="62" customWidth="1"/>
    <col min="262" max="262" width="31.75" style="62" customWidth="1"/>
    <col min="263" max="263" width="34.625" style="62" customWidth="1"/>
    <col min="264" max="264" width="76.875" style="62" customWidth="1"/>
    <col min="265" max="516" width="9" style="62"/>
    <col min="517" max="517" width="4.625" style="62" customWidth="1"/>
    <col min="518" max="518" width="31.75" style="62" customWidth="1"/>
    <col min="519" max="519" width="34.625" style="62" customWidth="1"/>
    <col min="520" max="520" width="76.875" style="62" customWidth="1"/>
    <col min="521" max="772" width="9" style="62"/>
    <col min="773" max="773" width="4.625" style="62" customWidth="1"/>
    <col min="774" max="774" width="31.75" style="62" customWidth="1"/>
    <col min="775" max="775" width="34.625" style="62" customWidth="1"/>
    <col min="776" max="776" width="76.875" style="62" customWidth="1"/>
    <col min="777" max="1028" width="9" style="62"/>
    <col min="1029" max="1029" width="4.625" style="62" customWidth="1"/>
    <col min="1030" max="1030" width="31.75" style="62" customWidth="1"/>
    <col min="1031" max="1031" width="34.625" style="62" customWidth="1"/>
    <col min="1032" max="1032" width="76.875" style="62" customWidth="1"/>
    <col min="1033" max="1284" width="9" style="62"/>
    <col min="1285" max="1285" width="4.625" style="62" customWidth="1"/>
    <col min="1286" max="1286" width="31.75" style="62" customWidth="1"/>
    <col min="1287" max="1287" width="34.625" style="62" customWidth="1"/>
    <col min="1288" max="1288" width="76.875" style="62" customWidth="1"/>
    <col min="1289" max="1540" width="9" style="62"/>
    <col min="1541" max="1541" width="4.625" style="62" customWidth="1"/>
    <col min="1542" max="1542" width="31.75" style="62" customWidth="1"/>
    <col min="1543" max="1543" width="34.625" style="62" customWidth="1"/>
    <col min="1544" max="1544" width="76.875" style="62" customWidth="1"/>
    <col min="1545" max="1796" width="9" style="62"/>
    <col min="1797" max="1797" width="4.625" style="62" customWidth="1"/>
    <col min="1798" max="1798" width="31.75" style="62" customWidth="1"/>
    <col min="1799" max="1799" width="34.625" style="62" customWidth="1"/>
    <col min="1800" max="1800" width="76.875" style="62" customWidth="1"/>
    <col min="1801" max="2052" width="9" style="62"/>
    <col min="2053" max="2053" width="4.625" style="62" customWidth="1"/>
    <col min="2054" max="2054" width="31.75" style="62" customWidth="1"/>
    <col min="2055" max="2055" width="34.625" style="62" customWidth="1"/>
    <col min="2056" max="2056" width="76.875" style="62" customWidth="1"/>
    <col min="2057" max="2308" width="9" style="62"/>
    <col min="2309" max="2309" width="4.625" style="62" customWidth="1"/>
    <col min="2310" max="2310" width="31.75" style="62" customWidth="1"/>
    <col min="2311" max="2311" width="34.625" style="62" customWidth="1"/>
    <col min="2312" max="2312" width="76.875" style="62" customWidth="1"/>
    <col min="2313" max="2564" width="9" style="62"/>
    <col min="2565" max="2565" width="4.625" style="62" customWidth="1"/>
    <col min="2566" max="2566" width="31.75" style="62" customWidth="1"/>
    <col min="2567" max="2567" width="34.625" style="62" customWidth="1"/>
    <col min="2568" max="2568" width="76.875" style="62" customWidth="1"/>
    <col min="2569" max="2820" width="9" style="62"/>
    <col min="2821" max="2821" width="4.625" style="62" customWidth="1"/>
    <col min="2822" max="2822" width="31.75" style="62" customWidth="1"/>
    <col min="2823" max="2823" width="34.625" style="62" customWidth="1"/>
    <col min="2824" max="2824" width="76.875" style="62" customWidth="1"/>
    <col min="2825" max="3076" width="9" style="62"/>
    <col min="3077" max="3077" width="4.625" style="62" customWidth="1"/>
    <col min="3078" max="3078" width="31.75" style="62" customWidth="1"/>
    <col min="3079" max="3079" width="34.625" style="62" customWidth="1"/>
    <col min="3080" max="3080" width="76.875" style="62" customWidth="1"/>
    <col min="3081" max="3332" width="9" style="62"/>
    <col min="3333" max="3333" width="4.625" style="62" customWidth="1"/>
    <col min="3334" max="3334" width="31.75" style="62" customWidth="1"/>
    <col min="3335" max="3335" width="34.625" style="62" customWidth="1"/>
    <col min="3336" max="3336" width="76.875" style="62" customWidth="1"/>
    <col min="3337" max="3588" width="9" style="62"/>
    <col min="3589" max="3589" width="4.625" style="62" customWidth="1"/>
    <col min="3590" max="3590" width="31.75" style="62" customWidth="1"/>
    <col min="3591" max="3591" width="34.625" style="62" customWidth="1"/>
    <col min="3592" max="3592" width="76.875" style="62" customWidth="1"/>
    <col min="3593" max="3844" width="9" style="62"/>
    <col min="3845" max="3845" width="4.625" style="62" customWidth="1"/>
    <col min="3846" max="3846" width="31.75" style="62" customWidth="1"/>
    <col min="3847" max="3847" width="34.625" style="62" customWidth="1"/>
    <col min="3848" max="3848" width="76.875" style="62" customWidth="1"/>
    <col min="3849" max="4100" width="9" style="62"/>
    <col min="4101" max="4101" width="4.625" style="62" customWidth="1"/>
    <col min="4102" max="4102" width="31.75" style="62" customWidth="1"/>
    <col min="4103" max="4103" width="34.625" style="62" customWidth="1"/>
    <col min="4104" max="4104" width="76.875" style="62" customWidth="1"/>
    <col min="4105" max="4356" width="9" style="62"/>
    <col min="4357" max="4357" width="4.625" style="62" customWidth="1"/>
    <col min="4358" max="4358" width="31.75" style="62" customWidth="1"/>
    <col min="4359" max="4359" width="34.625" style="62" customWidth="1"/>
    <col min="4360" max="4360" width="76.875" style="62" customWidth="1"/>
    <col min="4361" max="4612" width="9" style="62"/>
    <col min="4613" max="4613" width="4.625" style="62" customWidth="1"/>
    <col min="4614" max="4614" width="31.75" style="62" customWidth="1"/>
    <col min="4615" max="4615" width="34.625" style="62" customWidth="1"/>
    <col min="4616" max="4616" width="76.875" style="62" customWidth="1"/>
    <col min="4617" max="4868" width="9" style="62"/>
    <col min="4869" max="4869" width="4.625" style="62" customWidth="1"/>
    <col min="4870" max="4870" width="31.75" style="62" customWidth="1"/>
    <col min="4871" max="4871" width="34.625" style="62" customWidth="1"/>
    <col min="4872" max="4872" width="76.875" style="62" customWidth="1"/>
    <col min="4873" max="5124" width="9" style="62"/>
    <col min="5125" max="5125" width="4.625" style="62" customWidth="1"/>
    <col min="5126" max="5126" width="31.75" style="62" customWidth="1"/>
    <col min="5127" max="5127" width="34.625" style="62" customWidth="1"/>
    <col min="5128" max="5128" width="76.875" style="62" customWidth="1"/>
    <col min="5129" max="5380" width="9" style="62"/>
    <col min="5381" max="5381" width="4.625" style="62" customWidth="1"/>
    <col min="5382" max="5382" width="31.75" style="62" customWidth="1"/>
    <col min="5383" max="5383" width="34.625" style="62" customWidth="1"/>
    <col min="5384" max="5384" width="76.875" style="62" customWidth="1"/>
    <col min="5385" max="5636" width="9" style="62"/>
    <col min="5637" max="5637" width="4.625" style="62" customWidth="1"/>
    <col min="5638" max="5638" width="31.75" style="62" customWidth="1"/>
    <col min="5639" max="5639" width="34.625" style="62" customWidth="1"/>
    <col min="5640" max="5640" width="76.875" style="62" customWidth="1"/>
    <col min="5641" max="5892" width="9" style="62"/>
    <col min="5893" max="5893" width="4.625" style="62" customWidth="1"/>
    <col min="5894" max="5894" width="31.75" style="62" customWidth="1"/>
    <col min="5895" max="5895" width="34.625" style="62" customWidth="1"/>
    <col min="5896" max="5896" width="76.875" style="62" customWidth="1"/>
    <col min="5897" max="6148" width="9" style="62"/>
    <col min="6149" max="6149" width="4.625" style="62" customWidth="1"/>
    <col min="6150" max="6150" width="31.75" style="62" customWidth="1"/>
    <col min="6151" max="6151" width="34.625" style="62" customWidth="1"/>
    <col min="6152" max="6152" width="76.875" style="62" customWidth="1"/>
    <col min="6153" max="6404" width="9" style="62"/>
    <col min="6405" max="6405" width="4.625" style="62" customWidth="1"/>
    <col min="6406" max="6406" width="31.75" style="62" customWidth="1"/>
    <col min="6407" max="6407" width="34.625" style="62" customWidth="1"/>
    <col min="6408" max="6408" width="76.875" style="62" customWidth="1"/>
    <col min="6409" max="6660" width="9" style="62"/>
    <col min="6661" max="6661" width="4.625" style="62" customWidth="1"/>
    <col min="6662" max="6662" width="31.75" style="62" customWidth="1"/>
    <col min="6663" max="6663" width="34.625" style="62" customWidth="1"/>
    <col min="6664" max="6664" width="76.875" style="62" customWidth="1"/>
    <col min="6665" max="6916" width="9" style="62"/>
    <col min="6917" max="6917" width="4.625" style="62" customWidth="1"/>
    <col min="6918" max="6918" width="31.75" style="62" customWidth="1"/>
    <col min="6919" max="6919" width="34.625" style="62" customWidth="1"/>
    <col min="6920" max="6920" width="76.875" style="62" customWidth="1"/>
    <col min="6921" max="7172" width="9" style="62"/>
    <col min="7173" max="7173" width="4.625" style="62" customWidth="1"/>
    <col min="7174" max="7174" width="31.75" style="62" customWidth="1"/>
    <col min="7175" max="7175" width="34.625" style="62" customWidth="1"/>
    <col min="7176" max="7176" width="76.875" style="62" customWidth="1"/>
    <col min="7177" max="7428" width="9" style="62"/>
    <col min="7429" max="7429" width="4.625" style="62" customWidth="1"/>
    <col min="7430" max="7430" width="31.75" style="62" customWidth="1"/>
    <col min="7431" max="7431" width="34.625" style="62" customWidth="1"/>
    <col min="7432" max="7432" width="76.875" style="62" customWidth="1"/>
    <col min="7433" max="7684" width="9" style="62"/>
    <col min="7685" max="7685" width="4.625" style="62" customWidth="1"/>
    <col min="7686" max="7686" width="31.75" style="62" customWidth="1"/>
    <col min="7687" max="7687" width="34.625" style="62" customWidth="1"/>
    <col min="7688" max="7688" width="76.875" style="62" customWidth="1"/>
    <col min="7689" max="7940" width="9" style="62"/>
    <col min="7941" max="7941" width="4.625" style="62" customWidth="1"/>
    <col min="7942" max="7942" width="31.75" style="62" customWidth="1"/>
    <col min="7943" max="7943" width="34.625" style="62" customWidth="1"/>
    <col min="7944" max="7944" width="76.875" style="62" customWidth="1"/>
    <col min="7945" max="8196" width="9" style="62"/>
    <col min="8197" max="8197" width="4.625" style="62" customWidth="1"/>
    <col min="8198" max="8198" width="31.75" style="62" customWidth="1"/>
    <col min="8199" max="8199" width="34.625" style="62" customWidth="1"/>
    <col min="8200" max="8200" width="76.875" style="62" customWidth="1"/>
    <col min="8201" max="8452" width="9" style="62"/>
    <col min="8453" max="8453" width="4.625" style="62" customWidth="1"/>
    <col min="8454" max="8454" width="31.75" style="62" customWidth="1"/>
    <col min="8455" max="8455" width="34.625" style="62" customWidth="1"/>
    <col min="8456" max="8456" width="76.875" style="62" customWidth="1"/>
    <col min="8457" max="8708" width="9" style="62"/>
    <col min="8709" max="8709" width="4.625" style="62" customWidth="1"/>
    <col min="8710" max="8710" width="31.75" style="62" customWidth="1"/>
    <col min="8711" max="8711" width="34.625" style="62" customWidth="1"/>
    <col min="8712" max="8712" width="76.875" style="62" customWidth="1"/>
    <col min="8713" max="8964" width="9" style="62"/>
    <col min="8965" max="8965" width="4.625" style="62" customWidth="1"/>
    <col min="8966" max="8966" width="31.75" style="62" customWidth="1"/>
    <col min="8967" max="8967" width="34.625" style="62" customWidth="1"/>
    <col min="8968" max="8968" width="76.875" style="62" customWidth="1"/>
    <col min="8969" max="9220" width="9" style="62"/>
    <col min="9221" max="9221" width="4.625" style="62" customWidth="1"/>
    <col min="9222" max="9222" width="31.75" style="62" customWidth="1"/>
    <col min="9223" max="9223" width="34.625" style="62" customWidth="1"/>
    <col min="9224" max="9224" width="76.875" style="62" customWidth="1"/>
    <col min="9225" max="9476" width="9" style="62"/>
    <col min="9477" max="9477" width="4.625" style="62" customWidth="1"/>
    <col min="9478" max="9478" width="31.75" style="62" customWidth="1"/>
    <col min="9479" max="9479" width="34.625" style="62" customWidth="1"/>
    <col min="9480" max="9480" width="76.875" style="62" customWidth="1"/>
    <col min="9481" max="9732" width="9" style="62"/>
    <col min="9733" max="9733" width="4.625" style="62" customWidth="1"/>
    <col min="9734" max="9734" width="31.75" style="62" customWidth="1"/>
    <col min="9735" max="9735" width="34.625" style="62" customWidth="1"/>
    <col min="9736" max="9736" width="76.875" style="62" customWidth="1"/>
    <col min="9737" max="9988" width="9" style="62"/>
    <col min="9989" max="9989" width="4.625" style="62" customWidth="1"/>
    <col min="9990" max="9990" width="31.75" style="62" customWidth="1"/>
    <col min="9991" max="9991" width="34.625" style="62" customWidth="1"/>
    <col min="9992" max="9992" width="76.875" style="62" customWidth="1"/>
    <col min="9993" max="10244" width="9" style="62"/>
    <col min="10245" max="10245" width="4.625" style="62" customWidth="1"/>
    <col min="10246" max="10246" width="31.75" style="62" customWidth="1"/>
    <col min="10247" max="10247" width="34.625" style="62" customWidth="1"/>
    <col min="10248" max="10248" width="76.875" style="62" customWidth="1"/>
    <col min="10249" max="10500" width="9" style="62"/>
    <col min="10501" max="10501" width="4.625" style="62" customWidth="1"/>
    <col min="10502" max="10502" width="31.75" style="62" customWidth="1"/>
    <col min="10503" max="10503" width="34.625" style="62" customWidth="1"/>
    <col min="10504" max="10504" width="76.875" style="62" customWidth="1"/>
    <col min="10505" max="10756" width="9" style="62"/>
    <col min="10757" max="10757" width="4.625" style="62" customWidth="1"/>
    <col min="10758" max="10758" width="31.75" style="62" customWidth="1"/>
    <col min="10759" max="10759" width="34.625" style="62" customWidth="1"/>
    <col min="10760" max="10760" width="76.875" style="62" customWidth="1"/>
    <col min="10761" max="11012" width="9" style="62"/>
    <col min="11013" max="11013" width="4.625" style="62" customWidth="1"/>
    <col min="11014" max="11014" width="31.75" style="62" customWidth="1"/>
    <col min="11015" max="11015" width="34.625" style="62" customWidth="1"/>
    <col min="11016" max="11016" width="76.875" style="62" customWidth="1"/>
    <col min="11017" max="11268" width="9" style="62"/>
    <col min="11269" max="11269" width="4.625" style="62" customWidth="1"/>
    <col min="11270" max="11270" width="31.75" style="62" customWidth="1"/>
    <col min="11271" max="11271" width="34.625" style="62" customWidth="1"/>
    <col min="11272" max="11272" width="76.875" style="62" customWidth="1"/>
    <col min="11273" max="11524" width="9" style="62"/>
    <col min="11525" max="11525" width="4.625" style="62" customWidth="1"/>
    <col min="11526" max="11526" width="31.75" style="62" customWidth="1"/>
    <col min="11527" max="11527" width="34.625" style="62" customWidth="1"/>
    <col min="11528" max="11528" width="76.875" style="62" customWidth="1"/>
    <col min="11529" max="11780" width="9" style="62"/>
    <col min="11781" max="11781" width="4.625" style="62" customWidth="1"/>
    <col min="11782" max="11782" width="31.75" style="62" customWidth="1"/>
    <col min="11783" max="11783" width="34.625" style="62" customWidth="1"/>
    <col min="11784" max="11784" width="76.875" style="62" customWidth="1"/>
    <col min="11785" max="12036" width="9" style="62"/>
    <col min="12037" max="12037" width="4.625" style="62" customWidth="1"/>
    <col min="12038" max="12038" width="31.75" style="62" customWidth="1"/>
    <col min="12039" max="12039" width="34.625" style="62" customWidth="1"/>
    <col min="12040" max="12040" width="76.875" style="62" customWidth="1"/>
    <col min="12041" max="12292" width="9" style="62"/>
    <col min="12293" max="12293" width="4.625" style="62" customWidth="1"/>
    <col min="12294" max="12294" width="31.75" style="62" customWidth="1"/>
    <col min="12295" max="12295" width="34.625" style="62" customWidth="1"/>
    <col min="12296" max="12296" width="76.875" style="62" customWidth="1"/>
    <col min="12297" max="12548" width="9" style="62"/>
    <col min="12549" max="12549" width="4.625" style="62" customWidth="1"/>
    <col min="12550" max="12550" width="31.75" style="62" customWidth="1"/>
    <col min="12551" max="12551" width="34.625" style="62" customWidth="1"/>
    <col min="12552" max="12552" width="76.875" style="62" customWidth="1"/>
    <col min="12553" max="12804" width="9" style="62"/>
    <col min="12805" max="12805" width="4.625" style="62" customWidth="1"/>
    <col min="12806" max="12806" width="31.75" style="62" customWidth="1"/>
    <col min="12807" max="12807" width="34.625" style="62" customWidth="1"/>
    <col min="12808" max="12808" width="76.875" style="62" customWidth="1"/>
    <col min="12809" max="13060" width="9" style="62"/>
    <col min="13061" max="13061" width="4.625" style="62" customWidth="1"/>
    <col min="13062" max="13062" width="31.75" style="62" customWidth="1"/>
    <col min="13063" max="13063" width="34.625" style="62" customWidth="1"/>
    <col min="13064" max="13064" width="76.875" style="62" customWidth="1"/>
    <col min="13065" max="13316" width="9" style="62"/>
    <col min="13317" max="13317" width="4.625" style="62" customWidth="1"/>
    <col min="13318" max="13318" width="31.75" style="62" customWidth="1"/>
    <col min="13319" max="13319" width="34.625" style="62" customWidth="1"/>
    <col min="13320" max="13320" width="76.875" style="62" customWidth="1"/>
    <col min="13321" max="13572" width="9" style="62"/>
    <col min="13573" max="13573" width="4.625" style="62" customWidth="1"/>
    <col min="13574" max="13574" width="31.75" style="62" customWidth="1"/>
    <col min="13575" max="13575" width="34.625" style="62" customWidth="1"/>
    <col min="13576" max="13576" width="76.875" style="62" customWidth="1"/>
    <col min="13577" max="13828" width="9" style="62"/>
    <col min="13829" max="13829" width="4.625" style="62" customWidth="1"/>
    <col min="13830" max="13830" width="31.75" style="62" customWidth="1"/>
    <col min="13831" max="13831" width="34.625" style="62" customWidth="1"/>
    <col min="13832" max="13832" width="76.875" style="62" customWidth="1"/>
    <col min="13833" max="14084" width="9" style="62"/>
    <col min="14085" max="14085" width="4.625" style="62" customWidth="1"/>
    <col min="14086" max="14086" width="31.75" style="62" customWidth="1"/>
    <col min="14087" max="14087" width="34.625" style="62" customWidth="1"/>
    <col min="14088" max="14088" width="76.875" style="62" customWidth="1"/>
    <col min="14089" max="14340" width="9" style="62"/>
    <col min="14341" max="14341" width="4.625" style="62" customWidth="1"/>
    <col min="14342" max="14342" width="31.75" style="62" customWidth="1"/>
    <col min="14343" max="14343" width="34.625" style="62" customWidth="1"/>
    <col min="14344" max="14344" width="76.875" style="62" customWidth="1"/>
    <col min="14345" max="14596" width="9" style="62"/>
    <col min="14597" max="14597" width="4.625" style="62" customWidth="1"/>
    <col min="14598" max="14598" width="31.75" style="62" customWidth="1"/>
    <col min="14599" max="14599" width="34.625" style="62" customWidth="1"/>
    <col min="14600" max="14600" width="76.875" style="62" customWidth="1"/>
    <col min="14601" max="14852" width="9" style="62"/>
    <col min="14853" max="14853" width="4.625" style="62" customWidth="1"/>
    <col min="14854" max="14854" width="31.75" style="62" customWidth="1"/>
    <col min="14855" max="14855" width="34.625" style="62" customWidth="1"/>
    <col min="14856" max="14856" width="76.875" style="62" customWidth="1"/>
    <col min="14857" max="15108" width="9" style="62"/>
    <col min="15109" max="15109" width="4.625" style="62" customWidth="1"/>
    <col min="15110" max="15110" width="31.75" style="62" customWidth="1"/>
    <col min="15111" max="15111" width="34.625" style="62" customWidth="1"/>
    <col min="15112" max="15112" width="76.875" style="62" customWidth="1"/>
    <col min="15113" max="15364" width="9" style="62"/>
    <col min="15365" max="15365" width="4.625" style="62" customWidth="1"/>
    <col min="15366" max="15366" width="31.75" style="62" customWidth="1"/>
    <col min="15367" max="15367" width="34.625" style="62" customWidth="1"/>
    <col min="15368" max="15368" width="76.875" style="62" customWidth="1"/>
    <col min="15369" max="15620" width="9" style="62"/>
    <col min="15621" max="15621" width="4.625" style="62" customWidth="1"/>
    <col min="15622" max="15622" width="31.75" style="62" customWidth="1"/>
    <col min="15623" max="15623" width="34.625" style="62" customWidth="1"/>
    <col min="15624" max="15624" width="76.875" style="62" customWidth="1"/>
    <col min="15625" max="15876" width="9" style="62"/>
    <col min="15877" max="15877" width="4.625" style="62" customWidth="1"/>
    <col min="15878" max="15878" width="31.75" style="62" customWidth="1"/>
    <col min="15879" max="15879" width="34.625" style="62" customWidth="1"/>
    <col min="15880" max="15880" width="76.875" style="62" customWidth="1"/>
    <col min="15881" max="16132" width="9" style="62"/>
    <col min="16133" max="16133" width="4.625" style="62" customWidth="1"/>
    <col min="16134" max="16134" width="31.75" style="62" customWidth="1"/>
    <col min="16135" max="16135" width="34.625" style="62" customWidth="1"/>
    <col min="16136" max="16136" width="76.875" style="62" customWidth="1"/>
    <col min="16137" max="16384" width="9" style="62"/>
  </cols>
  <sheetData>
    <row r="1" spans="1:9" ht="27" customHeight="1">
      <c r="A1" s="62">
        <v>0</v>
      </c>
      <c r="B1" s="62">
        <v>611.21</v>
      </c>
      <c r="C1" s="62">
        <f>B1/1000</f>
        <v>0.61121000000000003</v>
      </c>
      <c r="E1" s="63"/>
      <c r="F1" s="64" t="s">
        <v>164</v>
      </c>
      <c r="G1" s="65" t="s">
        <v>165</v>
      </c>
      <c r="H1" s="66" t="s">
        <v>166</v>
      </c>
    </row>
    <row r="2" spans="1:9" ht="15.75" customHeight="1">
      <c r="E2" s="67">
        <v>0</v>
      </c>
      <c r="F2" s="68"/>
      <c r="G2" s="69" t="s">
        <v>167</v>
      </c>
      <c r="H2" s="70"/>
      <c r="I2" s="71"/>
    </row>
    <row r="3" spans="1:9" ht="15.75" customHeight="1">
      <c r="A3" s="62">
        <v>1</v>
      </c>
      <c r="B3" s="62">
        <v>657.08</v>
      </c>
      <c r="C3" s="62">
        <f>B3/1000</f>
        <v>0.65708</v>
      </c>
      <c r="E3" s="72">
        <v>1</v>
      </c>
      <c r="F3" s="73" t="s">
        <v>168</v>
      </c>
      <c r="G3" s="74" t="s">
        <v>169</v>
      </c>
      <c r="H3" s="74" t="s">
        <v>170</v>
      </c>
      <c r="I3" s="75"/>
    </row>
    <row r="4" spans="1:9" ht="15.75" customHeight="1">
      <c r="E4" s="76">
        <v>2</v>
      </c>
      <c r="F4" s="77" t="s">
        <v>86</v>
      </c>
      <c r="G4" s="78" t="s">
        <v>169</v>
      </c>
      <c r="H4" s="78" t="s">
        <v>171</v>
      </c>
      <c r="I4" s="75"/>
    </row>
    <row r="5" spans="1:9" ht="15.75" customHeight="1">
      <c r="A5" s="62">
        <v>2</v>
      </c>
      <c r="B5" s="62">
        <v>705.97</v>
      </c>
      <c r="C5" s="62">
        <f>B5/1000</f>
        <v>0.70596999999999999</v>
      </c>
      <c r="E5" s="79">
        <v>3</v>
      </c>
      <c r="F5" s="80" t="s">
        <v>172</v>
      </c>
      <c r="G5" s="81" t="s">
        <v>173</v>
      </c>
      <c r="H5" s="81" t="s">
        <v>174</v>
      </c>
      <c r="I5" s="75"/>
    </row>
    <row r="6" spans="1:9" ht="15.75" customHeight="1">
      <c r="E6" s="82">
        <v>4</v>
      </c>
      <c r="F6" s="83" t="s">
        <v>172</v>
      </c>
      <c r="G6" s="84" t="s">
        <v>175</v>
      </c>
      <c r="H6" s="84" t="s">
        <v>176</v>
      </c>
      <c r="I6" s="75"/>
    </row>
    <row r="7" spans="1:9" ht="15.75" customHeight="1">
      <c r="A7" s="62">
        <v>3</v>
      </c>
      <c r="B7" s="62">
        <v>758.06</v>
      </c>
      <c r="C7" s="62">
        <f>B7/1000</f>
        <v>0.75805999999999996</v>
      </c>
      <c r="E7" s="82">
        <v>5</v>
      </c>
      <c r="F7" s="83" t="s">
        <v>172</v>
      </c>
      <c r="G7" s="84" t="s">
        <v>177</v>
      </c>
      <c r="H7" s="84" t="s">
        <v>178</v>
      </c>
      <c r="I7" s="75"/>
    </row>
    <row r="8" spans="1:9" ht="15.75" customHeight="1">
      <c r="E8" s="85">
        <v>6</v>
      </c>
      <c r="F8" s="86" t="s">
        <v>172</v>
      </c>
      <c r="G8" s="87" t="s">
        <v>179</v>
      </c>
      <c r="H8" s="87" t="s">
        <v>180</v>
      </c>
      <c r="I8" s="75"/>
    </row>
    <row r="9" spans="1:9" ht="15.75" customHeight="1">
      <c r="A9" s="62">
        <v>4</v>
      </c>
      <c r="B9" s="62">
        <v>813.52</v>
      </c>
      <c r="C9" s="62">
        <f>B9/1000</f>
        <v>0.81352000000000002</v>
      </c>
      <c r="E9" s="72">
        <v>7</v>
      </c>
      <c r="F9" s="73" t="s">
        <v>181</v>
      </c>
      <c r="G9" s="74" t="s">
        <v>182</v>
      </c>
      <c r="H9" s="74" t="s">
        <v>183</v>
      </c>
      <c r="I9" s="75"/>
    </row>
    <row r="10" spans="1:9" ht="15.75" customHeight="1">
      <c r="E10" s="88">
        <v>8</v>
      </c>
      <c r="F10" s="89" t="s">
        <v>181</v>
      </c>
      <c r="G10" s="90" t="s">
        <v>184</v>
      </c>
      <c r="H10" s="90" t="s">
        <v>174</v>
      </c>
      <c r="I10" s="75"/>
    </row>
    <row r="11" spans="1:9" ht="15.75" customHeight="1">
      <c r="A11" s="62">
        <v>5</v>
      </c>
      <c r="B11" s="62">
        <v>872.54</v>
      </c>
      <c r="C11" s="62">
        <f>B11/1000</f>
        <v>0.87253999999999998</v>
      </c>
      <c r="E11" s="88">
        <v>9</v>
      </c>
      <c r="F11" s="89" t="s">
        <v>181</v>
      </c>
      <c r="G11" s="90" t="s">
        <v>185</v>
      </c>
      <c r="H11" s="90" t="s">
        <v>186</v>
      </c>
      <c r="I11" s="75"/>
    </row>
    <row r="12" spans="1:9" ht="15.75" customHeight="1">
      <c r="E12" s="88">
        <v>10</v>
      </c>
      <c r="F12" s="89" t="s">
        <v>181</v>
      </c>
      <c r="G12" s="90" t="s">
        <v>187</v>
      </c>
      <c r="H12" s="90" t="s">
        <v>188</v>
      </c>
      <c r="I12" s="75"/>
    </row>
    <row r="13" spans="1:9" ht="15.75" customHeight="1">
      <c r="A13" s="62">
        <v>6</v>
      </c>
      <c r="B13" s="62">
        <v>935.31</v>
      </c>
      <c r="C13" s="62">
        <f>B13/1000</f>
        <v>0.93530999999999997</v>
      </c>
      <c r="E13" s="76">
        <v>11</v>
      </c>
      <c r="F13" s="77" t="s">
        <v>181</v>
      </c>
      <c r="G13" s="78" t="s">
        <v>189</v>
      </c>
      <c r="H13" s="78" t="s">
        <v>190</v>
      </c>
      <c r="I13" s="75"/>
    </row>
    <row r="14" spans="1:9" ht="15.75" customHeight="1">
      <c r="E14" s="79">
        <v>12</v>
      </c>
      <c r="F14" s="91" t="s">
        <v>191</v>
      </c>
      <c r="G14" s="81" t="s">
        <v>192</v>
      </c>
      <c r="H14" s="81" t="s">
        <v>193</v>
      </c>
      <c r="I14" s="75"/>
    </row>
    <row r="15" spans="1:9" ht="15.75" customHeight="1">
      <c r="A15" s="62">
        <v>7</v>
      </c>
      <c r="B15" s="62">
        <v>1002</v>
      </c>
      <c r="C15" s="62">
        <f>B15/1000</f>
        <v>1.002</v>
      </c>
      <c r="E15" s="82">
        <v>13</v>
      </c>
      <c r="F15" s="92" t="s">
        <v>191</v>
      </c>
      <c r="G15" s="84" t="s">
        <v>194</v>
      </c>
      <c r="H15" s="84" t="s">
        <v>195</v>
      </c>
      <c r="I15" s="75"/>
    </row>
    <row r="16" spans="1:9" ht="15.75" customHeight="1">
      <c r="E16" s="85">
        <v>14</v>
      </c>
      <c r="F16" s="93" t="s">
        <v>191</v>
      </c>
      <c r="G16" s="87" t="s">
        <v>194</v>
      </c>
      <c r="H16" s="87" t="s">
        <v>196</v>
      </c>
      <c r="I16" s="75"/>
    </row>
    <row r="17" spans="1:9" ht="15.75" customHeight="1">
      <c r="A17" s="62">
        <v>8</v>
      </c>
      <c r="B17" s="62">
        <v>1072.9000000000001</v>
      </c>
      <c r="C17" s="62">
        <f>B17/1000</f>
        <v>1.0729000000000002</v>
      </c>
      <c r="E17" s="72">
        <v>15</v>
      </c>
      <c r="F17" s="73" t="s">
        <v>197</v>
      </c>
      <c r="G17" s="74" t="s">
        <v>198</v>
      </c>
      <c r="H17" s="74" t="s">
        <v>199</v>
      </c>
      <c r="I17" s="75"/>
    </row>
    <row r="18" spans="1:9" ht="15.75" customHeight="1">
      <c r="E18" s="76">
        <v>16</v>
      </c>
      <c r="F18" s="77" t="s">
        <v>197</v>
      </c>
      <c r="G18" s="78" t="s">
        <v>200</v>
      </c>
      <c r="H18" s="78" t="s">
        <v>201</v>
      </c>
      <c r="I18" s="75"/>
    </row>
    <row r="19" spans="1:9" ht="15.75" customHeight="1">
      <c r="A19" s="62">
        <v>9</v>
      </c>
      <c r="B19" s="62">
        <v>1148.2</v>
      </c>
      <c r="C19" s="62">
        <f>B19/1000</f>
        <v>1.1482000000000001</v>
      </c>
      <c r="E19" s="79">
        <v>17</v>
      </c>
      <c r="F19" s="91" t="s">
        <v>202</v>
      </c>
      <c r="G19" s="81" t="s">
        <v>203</v>
      </c>
      <c r="H19" s="81" t="s">
        <v>204</v>
      </c>
      <c r="I19" s="75"/>
    </row>
    <row r="20" spans="1:9" ht="15.75" customHeight="1">
      <c r="E20" s="85">
        <v>18</v>
      </c>
      <c r="F20" s="93" t="s">
        <v>205</v>
      </c>
      <c r="G20" s="87" t="s">
        <v>203</v>
      </c>
      <c r="H20" s="87" t="s">
        <v>204</v>
      </c>
      <c r="I20" s="75"/>
    </row>
    <row r="21" spans="1:9" ht="15.75" customHeight="1">
      <c r="A21" s="62">
        <v>10</v>
      </c>
      <c r="B21" s="62">
        <v>1228.0999999999999</v>
      </c>
      <c r="C21" s="62">
        <f>B21/1000</f>
        <v>1.2281</v>
      </c>
      <c r="E21" s="72">
        <v>19</v>
      </c>
      <c r="F21" s="73" t="s">
        <v>206</v>
      </c>
      <c r="G21" s="74" t="s">
        <v>207</v>
      </c>
      <c r="H21" s="74" t="s">
        <v>208</v>
      </c>
      <c r="I21" s="75"/>
    </row>
    <row r="22" spans="1:9" ht="15.75" customHeight="1">
      <c r="E22" s="88">
        <v>20</v>
      </c>
      <c r="F22" s="89" t="s">
        <v>206</v>
      </c>
      <c r="G22" s="90" t="s">
        <v>209</v>
      </c>
      <c r="H22" s="90" t="s">
        <v>210</v>
      </c>
      <c r="I22" s="75"/>
    </row>
    <row r="23" spans="1:9" ht="15.75" customHeight="1">
      <c r="A23" s="62">
        <v>11</v>
      </c>
      <c r="B23" s="62">
        <v>1312.9</v>
      </c>
      <c r="C23" s="62">
        <f>B23/1000</f>
        <v>1.3129000000000002</v>
      </c>
      <c r="E23" s="88">
        <v>21</v>
      </c>
      <c r="F23" s="89" t="s">
        <v>206</v>
      </c>
      <c r="G23" s="90" t="s">
        <v>211</v>
      </c>
      <c r="H23" s="90" t="s">
        <v>174</v>
      </c>
      <c r="I23" s="75"/>
    </row>
    <row r="24" spans="1:9" ht="15.75" customHeight="1">
      <c r="E24" s="76">
        <v>22</v>
      </c>
      <c r="F24" s="77" t="s">
        <v>206</v>
      </c>
      <c r="G24" s="78" t="s">
        <v>212</v>
      </c>
      <c r="H24" s="78" t="s">
        <v>213</v>
      </c>
      <c r="I24" s="75"/>
    </row>
    <row r="25" spans="1:9" ht="15.75" customHeight="1">
      <c r="A25" s="62">
        <v>12</v>
      </c>
      <c r="B25" s="62">
        <v>1402.8</v>
      </c>
      <c r="C25" s="62">
        <f>B25/1000</f>
        <v>1.4028</v>
      </c>
      <c r="E25" s="79">
        <v>23</v>
      </c>
      <c r="F25" s="91" t="s">
        <v>214</v>
      </c>
      <c r="G25" s="81" t="s">
        <v>215</v>
      </c>
      <c r="H25" s="81" t="s">
        <v>174</v>
      </c>
      <c r="I25" s="75"/>
    </row>
    <row r="26" spans="1:9" ht="15.75" customHeight="1">
      <c r="E26" s="82">
        <v>24</v>
      </c>
      <c r="F26" s="92" t="s">
        <v>214</v>
      </c>
      <c r="G26" s="84" t="s">
        <v>216</v>
      </c>
      <c r="H26" s="84" t="s">
        <v>217</v>
      </c>
      <c r="I26" s="75"/>
    </row>
    <row r="27" spans="1:9" ht="15.75" customHeight="1">
      <c r="A27" s="62">
        <v>13</v>
      </c>
      <c r="B27" s="62">
        <v>1498</v>
      </c>
      <c r="C27" s="62">
        <f>B27/1000</f>
        <v>1.498</v>
      </c>
      <c r="E27" s="85">
        <v>25</v>
      </c>
      <c r="F27" s="93" t="s">
        <v>214</v>
      </c>
      <c r="G27" s="87" t="s">
        <v>218</v>
      </c>
      <c r="H27" s="87" t="s">
        <v>219</v>
      </c>
      <c r="I27" s="75"/>
    </row>
    <row r="28" spans="1:9" ht="15.75" customHeight="1">
      <c r="E28" s="72">
        <v>26</v>
      </c>
      <c r="F28" s="73" t="s">
        <v>220</v>
      </c>
      <c r="G28" s="74" t="s">
        <v>221</v>
      </c>
      <c r="H28" s="74" t="s">
        <v>201</v>
      </c>
    </row>
    <row r="29" spans="1:9" ht="15.75" customHeight="1">
      <c r="A29" s="62">
        <v>14</v>
      </c>
      <c r="B29" s="62">
        <v>1598.9</v>
      </c>
      <c r="C29" s="62">
        <f>B29/1000</f>
        <v>1.5989</v>
      </c>
      <c r="E29" s="88">
        <v>27</v>
      </c>
      <c r="F29" s="89" t="s">
        <v>220</v>
      </c>
      <c r="G29" s="90" t="s">
        <v>222</v>
      </c>
      <c r="H29" s="90" t="s">
        <v>223</v>
      </c>
    </row>
    <row r="30" spans="1:9" ht="15.75" customHeight="1">
      <c r="E30" s="76">
        <v>28</v>
      </c>
      <c r="F30" s="77" t="s">
        <v>220</v>
      </c>
      <c r="G30" s="78" t="s">
        <v>224</v>
      </c>
      <c r="H30" s="78" t="s">
        <v>225</v>
      </c>
    </row>
    <row r="31" spans="1:9" ht="15.75" customHeight="1">
      <c r="A31" s="62">
        <v>15</v>
      </c>
      <c r="B31" s="62">
        <v>1705.7</v>
      </c>
      <c r="C31" s="62">
        <f>B31/1000</f>
        <v>1.7057</v>
      </c>
      <c r="E31" s="79">
        <v>29</v>
      </c>
      <c r="F31" s="91" t="s">
        <v>226</v>
      </c>
      <c r="G31" s="81" t="s">
        <v>227</v>
      </c>
      <c r="H31" s="81" t="s">
        <v>201</v>
      </c>
    </row>
    <row r="32" spans="1:9" ht="15.75" customHeight="1">
      <c r="E32" s="85">
        <v>30</v>
      </c>
      <c r="F32" s="93" t="s">
        <v>226</v>
      </c>
      <c r="G32" s="87" t="s">
        <v>228</v>
      </c>
      <c r="H32" s="87" t="s">
        <v>229</v>
      </c>
    </row>
    <row r="33" spans="1:8" ht="15.75" customHeight="1">
      <c r="A33" s="62">
        <v>16</v>
      </c>
      <c r="B33" s="62">
        <v>1818.7</v>
      </c>
      <c r="C33" s="62">
        <f>B33/1000</f>
        <v>1.8187</v>
      </c>
      <c r="E33" s="72">
        <v>31</v>
      </c>
      <c r="F33" s="73" t="s">
        <v>230</v>
      </c>
      <c r="G33" s="74" t="s">
        <v>231</v>
      </c>
      <c r="H33" s="74" t="s">
        <v>201</v>
      </c>
    </row>
    <row r="34" spans="1:8" ht="15.75" customHeight="1">
      <c r="E34" s="76">
        <v>32</v>
      </c>
      <c r="F34" s="77" t="s">
        <v>230</v>
      </c>
      <c r="G34" s="78" t="s">
        <v>232</v>
      </c>
      <c r="H34" s="78" t="s">
        <v>233</v>
      </c>
    </row>
    <row r="35" spans="1:8" ht="15.75" customHeight="1">
      <c r="A35" s="62">
        <v>17</v>
      </c>
      <c r="B35" s="62">
        <v>1938.3</v>
      </c>
      <c r="C35" s="62">
        <f>B35/1000</f>
        <v>1.9382999999999999</v>
      </c>
      <c r="E35" s="79">
        <v>33</v>
      </c>
      <c r="F35" s="91" t="s">
        <v>234</v>
      </c>
      <c r="G35" s="81" t="s">
        <v>235</v>
      </c>
      <c r="H35" s="81" t="s">
        <v>236</v>
      </c>
    </row>
    <row r="36" spans="1:8" ht="15.75" customHeight="1">
      <c r="E36" s="82">
        <v>34</v>
      </c>
      <c r="F36" s="92" t="s">
        <v>234</v>
      </c>
      <c r="G36" s="84" t="s">
        <v>237</v>
      </c>
      <c r="H36" s="84" t="s">
        <v>238</v>
      </c>
    </row>
    <row r="37" spans="1:8" ht="15.75" customHeight="1">
      <c r="A37" s="62">
        <v>18</v>
      </c>
      <c r="B37" s="62">
        <v>2064.6999999999998</v>
      </c>
      <c r="C37" s="62">
        <f>B37/1000</f>
        <v>2.0646999999999998</v>
      </c>
      <c r="E37" s="85">
        <v>35</v>
      </c>
      <c r="F37" s="93" t="s">
        <v>234</v>
      </c>
      <c r="G37" s="87" t="s">
        <v>239</v>
      </c>
      <c r="H37" s="87" t="s">
        <v>240</v>
      </c>
    </row>
    <row r="38" spans="1:8" ht="15.75" customHeight="1">
      <c r="E38" s="72">
        <v>36</v>
      </c>
      <c r="F38" s="73" t="s">
        <v>241</v>
      </c>
      <c r="G38" s="74" t="s">
        <v>242</v>
      </c>
      <c r="H38" s="74" t="s">
        <v>236</v>
      </c>
    </row>
    <row r="39" spans="1:8" ht="15.75" customHeight="1">
      <c r="A39" s="62">
        <v>19</v>
      </c>
      <c r="B39" s="62">
        <v>2198.1999999999998</v>
      </c>
      <c r="C39" s="62">
        <f>B39/1000</f>
        <v>2.1981999999999999</v>
      </c>
      <c r="E39" s="88">
        <v>37</v>
      </c>
      <c r="F39" s="89" t="s">
        <v>241</v>
      </c>
      <c r="G39" s="90" t="s">
        <v>243</v>
      </c>
      <c r="H39" s="90" t="s">
        <v>244</v>
      </c>
    </row>
    <row r="40" spans="1:8" ht="15.75" customHeight="1">
      <c r="E40" s="76">
        <v>38</v>
      </c>
      <c r="F40" s="77" t="s">
        <v>241</v>
      </c>
      <c r="G40" s="78" t="s">
        <v>245</v>
      </c>
      <c r="H40" s="78" t="s">
        <v>240</v>
      </c>
    </row>
    <row r="41" spans="1:8" ht="15.75" customHeight="1">
      <c r="A41" s="62">
        <v>20</v>
      </c>
      <c r="B41" s="62">
        <v>2339.1999999999998</v>
      </c>
      <c r="C41" s="62">
        <f>B41/1000</f>
        <v>2.3391999999999999</v>
      </c>
      <c r="E41" s="79">
        <v>39</v>
      </c>
      <c r="F41" s="91" t="s">
        <v>246</v>
      </c>
      <c r="G41" s="81" t="s">
        <v>247</v>
      </c>
      <c r="H41" s="94" t="s">
        <v>248</v>
      </c>
    </row>
    <row r="42" spans="1:8" ht="15.75" customHeight="1">
      <c r="E42" s="82">
        <v>40</v>
      </c>
      <c r="F42" s="92" t="s">
        <v>246</v>
      </c>
      <c r="G42" s="84" t="s">
        <v>249</v>
      </c>
      <c r="H42" s="84" t="s">
        <v>236</v>
      </c>
    </row>
    <row r="43" spans="1:8" ht="15.75" customHeight="1">
      <c r="A43" s="62">
        <v>21</v>
      </c>
      <c r="B43" s="62">
        <v>2488.1999999999998</v>
      </c>
      <c r="C43" s="62">
        <f>B43/1000</f>
        <v>2.4882</v>
      </c>
      <c r="E43" s="82">
        <v>41</v>
      </c>
      <c r="F43" s="92" t="s">
        <v>246</v>
      </c>
      <c r="G43" s="84" t="s">
        <v>250</v>
      </c>
      <c r="H43" s="84" t="s">
        <v>244</v>
      </c>
    </row>
    <row r="44" spans="1:8" ht="15.75" customHeight="1">
      <c r="E44" s="85">
        <v>42</v>
      </c>
      <c r="F44" s="93" t="s">
        <v>246</v>
      </c>
      <c r="G44" s="87" t="s">
        <v>251</v>
      </c>
      <c r="H44" s="87" t="s">
        <v>240</v>
      </c>
    </row>
    <row r="45" spans="1:8" ht="15.75" customHeight="1">
      <c r="A45" s="62">
        <v>22</v>
      </c>
      <c r="B45" s="62">
        <v>2645.3</v>
      </c>
      <c r="C45" s="62">
        <f>B45/1000</f>
        <v>2.6453000000000002</v>
      </c>
      <c r="E45" s="72">
        <v>43</v>
      </c>
      <c r="F45" s="73" t="s">
        <v>252</v>
      </c>
      <c r="G45" s="74" t="s">
        <v>253</v>
      </c>
      <c r="H45" s="74" t="s">
        <v>254</v>
      </c>
    </row>
    <row r="46" spans="1:8" ht="15.75" customHeight="1">
      <c r="E46" s="88">
        <v>44</v>
      </c>
      <c r="F46" s="89" t="s">
        <v>252</v>
      </c>
      <c r="G46" s="90" t="s">
        <v>255</v>
      </c>
      <c r="H46" s="90" t="s">
        <v>236</v>
      </c>
    </row>
    <row r="47" spans="1:8" ht="15.75" customHeight="1">
      <c r="A47" s="62">
        <v>23</v>
      </c>
      <c r="B47" s="62">
        <v>2811</v>
      </c>
      <c r="C47" s="62">
        <f>B47/1000</f>
        <v>2.8109999999999999</v>
      </c>
      <c r="E47" s="88">
        <v>45</v>
      </c>
      <c r="F47" s="89" t="s">
        <v>252</v>
      </c>
      <c r="G47" s="90" t="s">
        <v>256</v>
      </c>
      <c r="H47" s="90" t="s">
        <v>244</v>
      </c>
    </row>
    <row r="48" spans="1:8" ht="15.75" customHeight="1">
      <c r="E48" s="76">
        <v>46</v>
      </c>
      <c r="F48" s="77" t="s">
        <v>252</v>
      </c>
      <c r="G48" s="78" t="s">
        <v>257</v>
      </c>
      <c r="H48" s="78" t="s">
        <v>240</v>
      </c>
    </row>
    <row r="49" spans="1:8" ht="15.75" customHeight="1">
      <c r="A49" s="62">
        <v>24</v>
      </c>
      <c r="B49" s="62">
        <v>2985.8</v>
      </c>
      <c r="C49" s="62">
        <f>B49/1000</f>
        <v>2.9858000000000002</v>
      </c>
      <c r="E49" s="79">
        <v>47</v>
      </c>
      <c r="F49" s="91" t="s">
        <v>258</v>
      </c>
      <c r="G49" s="81" t="s">
        <v>259</v>
      </c>
      <c r="H49" s="81" t="s">
        <v>260</v>
      </c>
    </row>
    <row r="50" spans="1:8" ht="15.75" customHeight="1">
      <c r="E50" s="82">
        <v>48</v>
      </c>
      <c r="F50" s="92" t="s">
        <v>258</v>
      </c>
      <c r="G50" s="84" t="s">
        <v>261</v>
      </c>
      <c r="H50" s="84" t="s">
        <v>236</v>
      </c>
    </row>
    <row r="51" spans="1:8" ht="15.75" customHeight="1">
      <c r="A51" s="62">
        <v>25</v>
      </c>
      <c r="B51" s="62">
        <v>3169.9</v>
      </c>
      <c r="C51" s="62">
        <f>B51/1000</f>
        <v>3.1699000000000002</v>
      </c>
      <c r="E51" s="82">
        <v>49</v>
      </c>
      <c r="F51" s="92" t="s">
        <v>258</v>
      </c>
      <c r="G51" s="84" t="s">
        <v>262</v>
      </c>
      <c r="H51" s="84" t="s">
        <v>244</v>
      </c>
    </row>
    <row r="52" spans="1:8" ht="15.75" customHeight="1">
      <c r="E52" s="85">
        <v>50</v>
      </c>
      <c r="F52" s="93" t="s">
        <v>258</v>
      </c>
      <c r="G52" s="87" t="s">
        <v>263</v>
      </c>
      <c r="H52" s="87" t="s">
        <v>240</v>
      </c>
    </row>
    <row r="53" spans="1:8" ht="15.75" customHeight="1">
      <c r="A53" s="62">
        <v>26</v>
      </c>
      <c r="B53" s="62">
        <v>3363.9</v>
      </c>
      <c r="C53" s="62">
        <f>B53/1000</f>
        <v>3.3639000000000001</v>
      </c>
      <c r="E53" s="72">
        <v>51</v>
      </c>
      <c r="F53" s="73" t="s">
        <v>264</v>
      </c>
      <c r="G53" s="74" t="s">
        <v>265</v>
      </c>
      <c r="H53" s="74" t="s">
        <v>266</v>
      </c>
    </row>
    <row r="54" spans="1:8" ht="15.75" customHeight="1">
      <c r="E54" s="88">
        <v>52</v>
      </c>
      <c r="F54" s="89" t="s">
        <v>264</v>
      </c>
      <c r="G54" s="90" t="s">
        <v>267</v>
      </c>
      <c r="H54" s="90" t="s">
        <v>236</v>
      </c>
    </row>
    <row r="55" spans="1:8" ht="15.75" customHeight="1">
      <c r="A55" s="62">
        <v>27</v>
      </c>
      <c r="B55" s="62">
        <v>3568.1</v>
      </c>
      <c r="C55" s="62">
        <f>B55/1000</f>
        <v>3.5680999999999998</v>
      </c>
      <c r="E55" s="88">
        <v>53</v>
      </c>
      <c r="F55" s="89" t="s">
        <v>264</v>
      </c>
      <c r="G55" s="90" t="s">
        <v>268</v>
      </c>
      <c r="H55" s="90" t="s">
        <v>244</v>
      </c>
    </row>
    <row r="56" spans="1:8" ht="15.75" customHeight="1">
      <c r="E56" s="76">
        <v>54</v>
      </c>
      <c r="F56" s="77" t="s">
        <v>264</v>
      </c>
      <c r="G56" s="78" t="s">
        <v>269</v>
      </c>
      <c r="H56" s="78" t="s">
        <v>240</v>
      </c>
    </row>
    <row r="57" spans="1:8" ht="15.75" customHeight="1">
      <c r="A57" s="62">
        <v>28</v>
      </c>
      <c r="B57" s="62">
        <v>3783.1</v>
      </c>
      <c r="C57" s="62">
        <f>B57/1000</f>
        <v>3.7831000000000001</v>
      </c>
      <c r="E57" s="79">
        <v>55</v>
      </c>
      <c r="F57" s="91" t="s">
        <v>270</v>
      </c>
      <c r="G57" s="81" t="s">
        <v>271</v>
      </c>
      <c r="H57" s="81" t="s">
        <v>236</v>
      </c>
    </row>
    <row r="58" spans="1:8" ht="15.75" customHeight="1">
      <c r="E58" s="82">
        <v>56</v>
      </c>
      <c r="F58" s="92" t="s">
        <v>270</v>
      </c>
      <c r="G58" s="84" t="s">
        <v>272</v>
      </c>
      <c r="H58" s="84" t="s">
        <v>273</v>
      </c>
    </row>
    <row r="59" spans="1:8" ht="15.75" customHeight="1">
      <c r="A59" s="62">
        <v>29</v>
      </c>
      <c r="B59" s="62">
        <v>4009.2</v>
      </c>
      <c r="C59" s="62">
        <f>B59/1000</f>
        <v>4.0091999999999999</v>
      </c>
      <c r="E59" s="85">
        <v>57</v>
      </c>
      <c r="F59" s="93" t="s">
        <v>270</v>
      </c>
      <c r="G59" s="87" t="s">
        <v>274</v>
      </c>
      <c r="H59" s="87" t="s">
        <v>240</v>
      </c>
    </row>
    <row r="60" spans="1:8" ht="15.75" customHeight="1">
      <c r="E60" s="72">
        <v>58</v>
      </c>
      <c r="F60" s="73" t="s">
        <v>275</v>
      </c>
      <c r="G60" s="74" t="s">
        <v>276</v>
      </c>
      <c r="H60" s="74" t="s">
        <v>277</v>
      </c>
    </row>
    <row r="61" spans="1:8" ht="15.75" customHeight="1">
      <c r="A61" s="62">
        <v>30</v>
      </c>
      <c r="B61" s="62">
        <v>4247</v>
      </c>
      <c r="C61" s="62">
        <f>B61/1000</f>
        <v>4.2469999999999999</v>
      </c>
      <c r="E61" s="88">
        <v>59</v>
      </c>
      <c r="F61" s="89" t="s">
        <v>275</v>
      </c>
      <c r="G61" s="90" t="s">
        <v>278</v>
      </c>
      <c r="H61" s="90" t="s">
        <v>279</v>
      </c>
    </row>
    <row r="62" spans="1:8" ht="15.75" customHeight="1">
      <c r="E62" s="88">
        <v>60</v>
      </c>
      <c r="F62" s="89" t="s">
        <v>275</v>
      </c>
      <c r="G62" s="90" t="s">
        <v>280</v>
      </c>
      <c r="H62" s="90" t="s">
        <v>281</v>
      </c>
    </row>
    <row r="63" spans="1:8" ht="15.75" customHeight="1">
      <c r="A63" s="62">
        <v>31</v>
      </c>
      <c r="B63" s="62">
        <v>4497</v>
      </c>
      <c r="C63" s="62">
        <f>B63/1000</f>
        <v>4.4969999999999999</v>
      </c>
      <c r="E63" s="76">
        <v>61</v>
      </c>
      <c r="F63" s="77" t="s">
        <v>275</v>
      </c>
      <c r="G63" s="78" t="s">
        <v>282</v>
      </c>
      <c r="H63" s="78" t="s">
        <v>240</v>
      </c>
    </row>
    <row r="64" spans="1:8" ht="15.75" customHeight="1">
      <c r="E64" s="79">
        <v>62</v>
      </c>
      <c r="F64" s="91" t="s">
        <v>283</v>
      </c>
      <c r="G64" s="81" t="s">
        <v>284</v>
      </c>
      <c r="H64" s="81" t="s">
        <v>285</v>
      </c>
    </row>
    <row r="65" spans="1:8" ht="15.75" customHeight="1">
      <c r="A65" s="62">
        <v>32</v>
      </c>
      <c r="B65" s="62">
        <v>4759.7</v>
      </c>
      <c r="C65" s="62">
        <f>B65/1000</f>
        <v>4.7596999999999996</v>
      </c>
      <c r="E65" s="82">
        <v>63</v>
      </c>
      <c r="F65" s="92" t="s">
        <v>283</v>
      </c>
      <c r="G65" s="84" t="s">
        <v>286</v>
      </c>
      <c r="H65" s="84" t="s">
        <v>279</v>
      </c>
    </row>
    <row r="66" spans="1:8" ht="15.75" customHeight="1">
      <c r="E66" s="82">
        <v>64</v>
      </c>
      <c r="F66" s="92" t="s">
        <v>283</v>
      </c>
      <c r="G66" s="84" t="s">
        <v>287</v>
      </c>
      <c r="H66" s="84" t="s">
        <v>281</v>
      </c>
    </row>
    <row r="67" spans="1:8" ht="15.75" customHeight="1">
      <c r="A67" s="62">
        <v>33</v>
      </c>
      <c r="B67" s="62">
        <v>5035.6000000000004</v>
      </c>
      <c r="C67" s="62">
        <f>B67/1000</f>
        <v>5.0356000000000005</v>
      </c>
      <c r="E67" s="85">
        <v>65</v>
      </c>
      <c r="F67" s="93" t="s">
        <v>283</v>
      </c>
      <c r="G67" s="87" t="s">
        <v>288</v>
      </c>
      <c r="H67" s="87" t="s">
        <v>240</v>
      </c>
    </row>
    <row r="68" spans="1:8" ht="15.75" customHeight="1">
      <c r="E68" s="72">
        <v>66</v>
      </c>
      <c r="F68" s="73" t="s">
        <v>289</v>
      </c>
      <c r="G68" s="74" t="s">
        <v>290</v>
      </c>
      <c r="H68" s="74" t="s">
        <v>291</v>
      </c>
    </row>
    <row r="69" spans="1:8" ht="15.75" customHeight="1">
      <c r="A69" s="62">
        <v>34</v>
      </c>
      <c r="B69" s="62">
        <v>5325.2</v>
      </c>
      <c r="C69" s="62">
        <f>B69/1000</f>
        <v>5.3251999999999997</v>
      </c>
      <c r="E69" s="76">
        <v>67</v>
      </c>
      <c r="F69" s="77" t="s">
        <v>292</v>
      </c>
      <c r="G69" s="78" t="s">
        <v>293</v>
      </c>
      <c r="H69" s="78" t="s">
        <v>219</v>
      </c>
    </row>
    <row r="70" spans="1:8" ht="15.75" customHeight="1">
      <c r="E70" s="79">
        <v>68</v>
      </c>
      <c r="F70" s="91" t="s">
        <v>294</v>
      </c>
      <c r="G70" s="81" t="s">
        <v>295</v>
      </c>
      <c r="H70" s="81" t="s">
        <v>201</v>
      </c>
    </row>
    <row r="71" spans="1:8" ht="15.75" customHeight="1">
      <c r="A71" s="62">
        <v>35</v>
      </c>
      <c r="B71" s="62">
        <v>5629.2</v>
      </c>
      <c r="C71" s="62">
        <f>B71/1000</f>
        <v>5.6292</v>
      </c>
      <c r="E71" s="82">
        <v>69</v>
      </c>
      <c r="F71" s="92" t="s">
        <v>294</v>
      </c>
      <c r="G71" s="84" t="s">
        <v>296</v>
      </c>
      <c r="H71" s="84" t="s">
        <v>297</v>
      </c>
    </row>
    <row r="72" spans="1:8" ht="15.75" customHeight="1">
      <c r="E72" s="85">
        <v>70</v>
      </c>
      <c r="F72" s="93" t="s">
        <v>294</v>
      </c>
      <c r="G72" s="87" t="s">
        <v>298</v>
      </c>
      <c r="H72" s="87" t="s">
        <v>299</v>
      </c>
    </row>
    <row r="73" spans="1:8" ht="15.75" customHeight="1">
      <c r="A73" s="62">
        <v>36</v>
      </c>
      <c r="B73" s="62">
        <v>5948.1</v>
      </c>
      <c r="C73" s="62">
        <f>B73/1000</f>
        <v>5.9481000000000002</v>
      </c>
      <c r="E73" s="72">
        <v>71</v>
      </c>
      <c r="F73" s="73" t="s">
        <v>300</v>
      </c>
      <c r="G73" s="74" t="s">
        <v>301</v>
      </c>
      <c r="H73" s="74" t="s">
        <v>302</v>
      </c>
    </row>
    <row r="74" spans="1:8" ht="15.75" customHeight="1">
      <c r="E74" s="76">
        <v>72</v>
      </c>
      <c r="F74" s="77" t="s">
        <v>300</v>
      </c>
      <c r="G74" s="78" t="s">
        <v>303</v>
      </c>
      <c r="H74" s="78" t="s">
        <v>201</v>
      </c>
    </row>
    <row r="75" spans="1:8" ht="15.75" customHeight="1">
      <c r="A75" s="62">
        <v>37</v>
      </c>
      <c r="B75" s="62">
        <v>6282.5</v>
      </c>
      <c r="C75" s="62">
        <f>B75/1000</f>
        <v>6.2824999999999998</v>
      </c>
      <c r="E75" s="79">
        <v>73</v>
      </c>
      <c r="F75" s="91" t="s">
        <v>304</v>
      </c>
      <c r="G75" s="81" t="s">
        <v>305</v>
      </c>
      <c r="H75" s="81" t="s">
        <v>201</v>
      </c>
    </row>
    <row r="76" spans="1:8" ht="15.75" customHeight="1">
      <c r="E76" s="85">
        <v>74</v>
      </c>
      <c r="F76" s="93" t="s">
        <v>304</v>
      </c>
      <c r="G76" s="87" t="s">
        <v>306</v>
      </c>
      <c r="H76" s="87" t="s">
        <v>307</v>
      </c>
    </row>
    <row r="77" spans="1:8" ht="15.75" customHeight="1">
      <c r="A77" s="62">
        <v>38</v>
      </c>
      <c r="B77" s="62">
        <v>6633.1</v>
      </c>
      <c r="C77" s="62">
        <f>B77/1000</f>
        <v>6.6331000000000007</v>
      </c>
      <c r="E77" s="72">
        <v>75</v>
      </c>
      <c r="F77" s="73" t="s">
        <v>308</v>
      </c>
      <c r="G77" s="74" t="s">
        <v>309</v>
      </c>
      <c r="H77" s="74" t="s">
        <v>201</v>
      </c>
    </row>
    <row r="78" spans="1:8" ht="15.75" customHeight="1">
      <c r="E78" s="76">
        <v>76</v>
      </c>
      <c r="F78" s="77" t="s">
        <v>308</v>
      </c>
      <c r="G78" s="78" t="s">
        <v>310</v>
      </c>
      <c r="H78" s="78" t="s">
        <v>311</v>
      </c>
    </row>
    <row r="79" spans="1:8" ht="15.75" customHeight="1">
      <c r="A79" s="62">
        <v>39</v>
      </c>
      <c r="B79" s="62">
        <v>7000.5</v>
      </c>
      <c r="C79" s="62">
        <f>B79/1000</f>
        <v>7.0004999999999997</v>
      </c>
      <c r="E79" s="67">
        <v>77</v>
      </c>
      <c r="F79" s="95" t="s">
        <v>312</v>
      </c>
      <c r="G79" s="96" t="s">
        <v>313</v>
      </c>
      <c r="H79" s="96" t="s">
        <v>314</v>
      </c>
    </row>
    <row r="80" spans="1:8">
      <c r="E80" s="72">
        <v>78</v>
      </c>
      <c r="F80" s="73" t="s">
        <v>315</v>
      </c>
      <c r="G80" s="74" t="s">
        <v>316</v>
      </c>
      <c r="H80" s="74" t="s">
        <v>317</v>
      </c>
    </row>
    <row r="81" spans="1:8">
      <c r="A81" s="62">
        <v>40</v>
      </c>
      <c r="B81" s="62">
        <v>7385.3</v>
      </c>
      <c r="C81" s="62">
        <f>B81/1000</f>
        <v>7.3853</v>
      </c>
      <c r="E81" s="76">
        <v>79</v>
      </c>
      <c r="F81" s="77" t="s">
        <v>315</v>
      </c>
      <c r="G81" s="78" t="s">
        <v>318</v>
      </c>
      <c r="H81" s="78" t="s">
        <v>201</v>
      </c>
    </row>
    <row r="82" spans="1:8" ht="15.75" customHeight="1">
      <c r="E82" s="79">
        <v>80</v>
      </c>
      <c r="F82" s="91" t="s">
        <v>319</v>
      </c>
      <c r="G82" s="81" t="s">
        <v>320</v>
      </c>
      <c r="H82" s="81" t="s">
        <v>321</v>
      </c>
    </row>
    <row r="83" spans="1:8" ht="15.75" customHeight="1">
      <c r="A83" s="62">
        <v>41</v>
      </c>
      <c r="B83" s="62">
        <v>7788.2</v>
      </c>
      <c r="C83" s="62">
        <f>B83/1000</f>
        <v>7.7881999999999998</v>
      </c>
      <c r="E83" s="85">
        <v>81</v>
      </c>
      <c r="F83" s="93" t="s">
        <v>319</v>
      </c>
      <c r="G83" s="87" t="s">
        <v>322</v>
      </c>
      <c r="H83" s="87" t="s">
        <v>201</v>
      </c>
    </row>
    <row r="84" spans="1:8" ht="15.75" customHeight="1">
      <c r="E84" s="72">
        <v>82</v>
      </c>
      <c r="F84" s="73" t="s">
        <v>323</v>
      </c>
      <c r="G84" s="74" t="s">
        <v>324</v>
      </c>
      <c r="H84" s="74" t="s">
        <v>325</v>
      </c>
    </row>
    <row r="85" spans="1:8" ht="15.75" customHeight="1">
      <c r="A85" s="62">
        <v>42</v>
      </c>
      <c r="B85" s="62">
        <v>8210</v>
      </c>
      <c r="C85" s="62">
        <f>B85/1000</f>
        <v>8.2100000000000009</v>
      </c>
      <c r="E85" s="76">
        <v>83</v>
      </c>
      <c r="F85" s="77" t="s">
        <v>323</v>
      </c>
      <c r="G85" s="78" t="s">
        <v>326</v>
      </c>
      <c r="H85" s="78" t="s">
        <v>327</v>
      </c>
    </row>
    <row r="86" spans="1:8" ht="15.75" customHeight="1">
      <c r="E86" s="79">
        <v>84</v>
      </c>
      <c r="F86" s="91" t="s">
        <v>328</v>
      </c>
      <c r="G86" s="81" t="s">
        <v>329</v>
      </c>
      <c r="H86" s="81" t="s">
        <v>330</v>
      </c>
    </row>
    <row r="87" spans="1:8" ht="15.75" customHeight="1">
      <c r="A87" s="62">
        <v>43</v>
      </c>
      <c r="B87" s="62">
        <v>8651.2999999999993</v>
      </c>
      <c r="C87" s="62">
        <f>B87/1000</f>
        <v>8.6512999999999991</v>
      </c>
      <c r="E87" s="82">
        <v>85</v>
      </c>
      <c r="F87" s="92" t="s">
        <v>328</v>
      </c>
      <c r="G87" s="84" t="s">
        <v>331</v>
      </c>
      <c r="H87" s="84" t="s">
        <v>332</v>
      </c>
    </row>
    <row r="88" spans="1:8" ht="15.75" customHeight="1">
      <c r="E88" s="82">
        <v>86</v>
      </c>
      <c r="F88" s="92" t="s">
        <v>328</v>
      </c>
      <c r="G88" s="84" t="s">
        <v>333</v>
      </c>
      <c r="H88" s="84" t="s">
        <v>334</v>
      </c>
    </row>
    <row r="89" spans="1:8">
      <c r="A89" s="62">
        <v>44</v>
      </c>
      <c r="B89" s="62">
        <v>9112.9</v>
      </c>
      <c r="C89" s="62">
        <f>B89/1000</f>
        <v>9.1128999999999998</v>
      </c>
      <c r="E89" s="85">
        <v>87</v>
      </c>
      <c r="F89" s="93" t="s">
        <v>328</v>
      </c>
      <c r="G89" s="87" t="s">
        <v>335</v>
      </c>
      <c r="H89" s="87" t="s">
        <v>336</v>
      </c>
    </row>
    <row r="90" spans="1:8" ht="30">
      <c r="E90" s="72">
        <v>88</v>
      </c>
      <c r="F90" s="97" t="s">
        <v>337</v>
      </c>
      <c r="G90" s="74" t="s">
        <v>338</v>
      </c>
      <c r="H90" s="74" t="s">
        <v>339</v>
      </c>
    </row>
    <row r="91" spans="1:8" ht="30">
      <c r="A91" s="62">
        <v>45</v>
      </c>
      <c r="B91" s="62">
        <v>9595.6</v>
      </c>
      <c r="C91" s="62">
        <f>B91/1000</f>
        <v>9.595600000000001</v>
      </c>
      <c r="E91" s="98">
        <v>89</v>
      </c>
      <c r="F91" s="99" t="s">
        <v>337</v>
      </c>
      <c r="G91" s="100" t="s">
        <v>338</v>
      </c>
      <c r="H91" s="100" t="s">
        <v>340</v>
      </c>
    </row>
    <row r="92" spans="1:8">
      <c r="E92" s="79"/>
      <c r="F92" s="91"/>
      <c r="G92" s="81"/>
      <c r="H92" s="81"/>
    </row>
    <row r="93" spans="1:8">
      <c r="A93" s="62">
        <v>46</v>
      </c>
      <c r="B93" s="62">
        <v>10100</v>
      </c>
      <c r="C93" s="62">
        <f>B93/1000</f>
        <v>10.1</v>
      </c>
      <c r="E93" s="82"/>
      <c r="F93" s="92"/>
      <c r="G93" s="84"/>
      <c r="H93" s="84"/>
    </row>
    <row r="94" spans="1:8">
      <c r="E94" s="82"/>
      <c r="F94" s="92"/>
      <c r="G94" s="84"/>
      <c r="H94" s="84"/>
    </row>
    <row r="95" spans="1:8">
      <c r="A95" s="62">
        <v>47</v>
      </c>
      <c r="B95" s="62">
        <v>10627</v>
      </c>
      <c r="C95" s="62">
        <f>B95/1000</f>
        <v>10.627000000000001</v>
      </c>
      <c r="E95" s="82"/>
      <c r="F95" s="92"/>
      <c r="G95" s="84"/>
      <c r="H95" s="84"/>
    </row>
    <row r="96" spans="1:8">
      <c r="E96" s="82"/>
      <c r="F96" s="92"/>
      <c r="G96" s="84"/>
      <c r="H96" s="84"/>
    </row>
    <row r="97" spans="1:8">
      <c r="A97" s="62">
        <v>48</v>
      </c>
      <c r="B97" s="62">
        <v>11178</v>
      </c>
      <c r="C97" s="62">
        <f>B97/1000</f>
        <v>11.178000000000001</v>
      </c>
      <c r="E97" s="85"/>
      <c r="F97" s="93"/>
      <c r="G97" s="87"/>
      <c r="H97" s="87"/>
    </row>
    <row r="99" spans="1:8">
      <c r="A99" s="62">
        <v>49</v>
      </c>
      <c r="B99" s="62">
        <v>11753</v>
      </c>
      <c r="C99" s="62">
        <f>B99/1000</f>
        <v>11.753</v>
      </c>
    </row>
    <row r="101" spans="1:8">
      <c r="A101" s="62">
        <v>50</v>
      </c>
      <c r="B101" s="62">
        <v>12353</v>
      </c>
      <c r="C101" s="62">
        <f>B101/1000</f>
        <v>12.353</v>
      </c>
    </row>
    <row r="103" spans="1:8">
      <c r="A103" s="62">
        <v>51</v>
      </c>
      <c r="B103" s="62">
        <v>12979</v>
      </c>
      <c r="C103" s="62">
        <f>B103/1000</f>
        <v>12.978999999999999</v>
      </c>
    </row>
    <row r="105" spans="1:8">
      <c r="A105" s="62">
        <v>52</v>
      </c>
      <c r="B105" s="62">
        <v>13632</v>
      </c>
      <c r="C105" s="62">
        <f>B105/1000</f>
        <v>13.632</v>
      </c>
    </row>
    <row r="107" spans="1:8">
      <c r="A107" s="62">
        <v>53</v>
      </c>
      <c r="B107" s="62">
        <v>14313</v>
      </c>
      <c r="C107" s="62">
        <f>B107/1000</f>
        <v>14.313000000000001</v>
      </c>
    </row>
    <row r="109" spans="1:8">
      <c r="A109" s="62">
        <v>54</v>
      </c>
      <c r="B109" s="62">
        <v>15023</v>
      </c>
      <c r="C109" s="62">
        <f>B109/1000</f>
        <v>15.023</v>
      </c>
    </row>
    <row r="111" spans="1:8">
      <c r="A111" s="62">
        <v>55</v>
      </c>
      <c r="B111" s="62">
        <v>15763</v>
      </c>
      <c r="C111" s="62">
        <f>B111/1000</f>
        <v>15.763</v>
      </c>
    </row>
    <row r="113" spans="1:3">
      <c r="A113" s="62">
        <v>56</v>
      </c>
      <c r="B113" s="62">
        <v>16534</v>
      </c>
      <c r="C113" s="62">
        <f>B113/1000</f>
        <v>16.533999999999999</v>
      </c>
    </row>
    <row r="115" spans="1:3">
      <c r="A115" s="62">
        <v>57</v>
      </c>
      <c r="B115" s="62">
        <v>17337</v>
      </c>
      <c r="C115" s="62">
        <f>B115/1000</f>
        <v>17.337</v>
      </c>
    </row>
    <row r="117" spans="1:3">
      <c r="A117" s="62">
        <v>58</v>
      </c>
      <c r="B117" s="62">
        <v>18173</v>
      </c>
      <c r="C117" s="62">
        <f>B117/1000</f>
        <v>18.172999999999998</v>
      </c>
    </row>
    <row r="119" spans="1:3">
      <c r="A119" s="62">
        <v>59</v>
      </c>
      <c r="B119" s="62">
        <v>19043</v>
      </c>
      <c r="C119" s="62">
        <f>B119/1000</f>
        <v>19.042999999999999</v>
      </c>
    </row>
    <row r="121" spans="1:3">
      <c r="A121" s="62">
        <v>60</v>
      </c>
      <c r="B121" s="62">
        <v>19948</v>
      </c>
      <c r="C121" s="62">
        <f>B121/1000</f>
        <v>19.948</v>
      </c>
    </row>
    <row r="123" spans="1:3">
      <c r="A123" s="62">
        <v>61</v>
      </c>
      <c r="B123" s="62">
        <v>20889</v>
      </c>
      <c r="C123" s="62">
        <f>B123/1000</f>
        <v>20.888999999999999</v>
      </c>
    </row>
    <row r="125" spans="1:3">
      <c r="A125" s="62">
        <v>62</v>
      </c>
      <c r="B125" s="62">
        <v>21868</v>
      </c>
      <c r="C125" s="62">
        <f>B125/1000</f>
        <v>21.867999999999999</v>
      </c>
    </row>
    <row r="127" spans="1:3">
      <c r="A127" s="62">
        <v>63</v>
      </c>
      <c r="B127" s="62">
        <v>22886</v>
      </c>
      <c r="C127" s="62">
        <f>B127/1000</f>
        <v>22.885999999999999</v>
      </c>
    </row>
    <row r="129" spans="1:3">
      <c r="A129" s="62">
        <v>64</v>
      </c>
      <c r="B129" s="62">
        <v>23944</v>
      </c>
      <c r="C129" s="62">
        <f>B129/1000</f>
        <v>23.943999999999999</v>
      </c>
    </row>
    <row r="131" spans="1:3">
      <c r="A131" s="62">
        <v>65</v>
      </c>
      <c r="B131" s="62">
        <v>25043</v>
      </c>
      <c r="C131" s="62">
        <f>B131/1000</f>
        <v>25.042999999999999</v>
      </c>
    </row>
    <row r="133" spans="1:3">
      <c r="A133" s="62">
        <v>66</v>
      </c>
      <c r="B133" s="62">
        <v>26184</v>
      </c>
      <c r="C133" s="62">
        <f>B133/1000</f>
        <v>26.184000000000001</v>
      </c>
    </row>
    <row r="135" spans="1:3">
      <c r="A135" s="62">
        <v>67</v>
      </c>
      <c r="B135" s="62">
        <v>27370</v>
      </c>
      <c r="C135" s="62">
        <f>B135/1000</f>
        <v>27.37</v>
      </c>
    </row>
    <row r="137" spans="1:3">
      <c r="A137" s="62">
        <v>68</v>
      </c>
      <c r="B137" s="62">
        <v>28600</v>
      </c>
      <c r="C137" s="62">
        <f>B137/1000</f>
        <v>28.6</v>
      </c>
    </row>
    <row r="139" spans="1:3">
      <c r="A139" s="62">
        <v>69</v>
      </c>
      <c r="B139" s="62">
        <v>29877</v>
      </c>
      <c r="C139" s="62">
        <f>B139/1000</f>
        <v>29.876999999999999</v>
      </c>
    </row>
    <row r="141" spans="1:3">
      <c r="A141" s="62">
        <v>70</v>
      </c>
      <c r="B141" s="62">
        <v>31202</v>
      </c>
      <c r="C141" s="62">
        <f>B141/1000</f>
        <v>31.202000000000002</v>
      </c>
    </row>
    <row r="143" spans="1:3">
      <c r="A143" s="62">
        <v>71</v>
      </c>
      <c r="B143" s="62">
        <v>32577</v>
      </c>
      <c r="C143" s="62">
        <f>B143/1000</f>
        <v>32.576999999999998</v>
      </c>
    </row>
    <row r="145" spans="1:3">
      <c r="A145" s="62">
        <v>72</v>
      </c>
      <c r="B145" s="62">
        <v>34002</v>
      </c>
      <c r="C145" s="62">
        <f>B145/1000</f>
        <v>34.002000000000002</v>
      </c>
    </row>
    <row r="147" spans="1:3">
      <c r="A147" s="62">
        <v>73</v>
      </c>
      <c r="B147" s="62">
        <v>35479</v>
      </c>
      <c r="C147" s="62">
        <f>B147/1000</f>
        <v>35.478999999999999</v>
      </c>
    </row>
    <row r="149" spans="1:3">
      <c r="A149" s="62">
        <v>74</v>
      </c>
      <c r="B149" s="62">
        <v>37010</v>
      </c>
      <c r="C149" s="62">
        <f>B149/1000</f>
        <v>37.01</v>
      </c>
    </row>
    <row r="151" spans="1:3">
      <c r="A151" s="62">
        <v>75</v>
      </c>
      <c r="B151" s="62">
        <v>38597</v>
      </c>
      <c r="C151" s="62">
        <f>B151/1000</f>
        <v>38.597000000000001</v>
      </c>
    </row>
    <row r="153" spans="1:3">
      <c r="A153" s="62">
        <v>76</v>
      </c>
      <c r="B153" s="62">
        <v>40240</v>
      </c>
      <c r="C153" s="62">
        <f>B153/1000</f>
        <v>40.24</v>
      </c>
    </row>
    <row r="155" spans="1:3">
      <c r="A155" s="62">
        <v>77</v>
      </c>
      <c r="B155" s="62">
        <v>41942</v>
      </c>
      <c r="C155" s="62">
        <f>B155/1000</f>
        <v>41.942</v>
      </c>
    </row>
    <row r="157" spans="1:3">
      <c r="A157" s="62">
        <v>78</v>
      </c>
      <c r="B157" s="62">
        <v>43704</v>
      </c>
      <c r="C157" s="62">
        <f>B157/1000</f>
        <v>43.704000000000001</v>
      </c>
    </row>
    <row r="159" spans="1:3">
      <c r="A159" s="62">
        <v>79</v>
      </c>
      <c r="B159" s="62">
        <v>45528</v>
      </c>
      <c r="C159" s="62">
        <f>B159/1000</f>
        <v>45.527999999999999</v>
      </c>
    </row>
    <row r="161" spans="1:3">
      <c r="A161" s="62">
        <v>80</v>
      </c>
      <c r="B161" s="62">
        <v>47416</v>
      </c>
      <c r="C161" s="62">
        <f>B161/1000</f>
        <v>47.415999999999997</v>
      </c>
    </row>
    <row r="163" spans="1:3">
      <c r="A163" s="62">
        <v>81</v>
      </c>
      <c r="B163" s="62">
        <v>49368</v>
      </c>
      <c r="C163" s="62">
        <f>B163/1000</f>
        <v>49.368000000000002</v>
      </c>
    </row>
    <row r="165" spans="1:3">
      <c r="A165" s="62">
        <v>82</v>
      </c>
      <c r="B165" s="62">
        <v>51388</v>
      </c>
      <c r="C165" s="62">
        <f>B165/1000</f>
        <v>51.387999999999998</v>
      </c>
    </row>
    <row r="167" spans="1:3">
      <c r="A167" s="62">
        <v>83</v>
      </c>
      <c r="B167" s="62">
        <v>53477</v>
      </c>
      <c r="C167" s="62">
        <f>B167/1000</f>
        <v>53.476999999999997</v>
      </c>
    </row>
    <row r="169" spans="1:3">
      <c r="A169" s="62">
        <v>84</v>
      </c>
      <c r="B169" s="62">
        <v>55636</v>
      </c>
      <c r="C169" s="62">
        <f>B169/1000</f>
        <v>55.636000000000003</v>
      </c>
    </row>
    <row r="171" spans="1:3">
      <c r="A171" s="62">
        <v>85</v>
      </c>
      <c r="B171" s="62">
        <v>57868</v>
      </c>
      <c r="C171" s="62">
        <f>B171/1000</f>
        <v>57.868000000000002</v>
      </c>
    </row>
    <row r="173" spans="1:3">
      <c r="A173" s="62">
        <v>86</v>
      </c>
      <c r="B173" s="62">
        <v>60174</v>
      </c>
      <c r="C173" s="62">
        <f>B173/1000</f>
        <v>60.173999999999999</v>
      </c>
    </row>
    <row r="175" spans="1:3">
      <c r="A175" s="62">
        <v>87</v>
      </c>
      <c r="B175" s="62">
        <v>62557</v>
      </c>
      <c r="C175" s="62">
        <f>B175/1000</f>
        <v>62.557000000000002</v>
      </c>
    </row>
    <row r="177" spans="1:3">
      <c r="A177" s="62">
        <v>88</v>
      </c>
      <c r="B177" s="62">
        <v>65017</v>
      </c>
      <c r="C177" s="62">
        <f>B177/1000</f>
        <v>65.016999999999996</v>
      </c>
    </row>
    <row r="179" spans="1:3">
      <c r="A179" s="62">
        <v>89</v>
      </c>
      <c r="B179" s="62">
        <v>67559</v>
      </c>
      <c r="C179" s="62">
        <f>B179/1000</f>
        <v>67.558999999999997</v>
      </c>
    </row>
    <row r="181" spans="1:3">
      <c r="A181" s="62">
        <v>90</v>
      </c>
      <c r="B181" s="62">
        <v>70182</v>
      </c>
      <c r="C181" s="62">
        <f>B181/1000</f>
        <v>70.182000000000002</v>
      </c>
    </row>
    <row r="183" spans="1:3">
      <c r="A183" s="62">
        <v>91</v>
      </c>
      <c r="B183" s="62">
        <v>72890</v>
      </c>
      <c r="C183" s="62">
        <f>B183/1000</f>
        <v>72.89</v>
      </c>
    </row>
    <row r="185" spans="1:3">
      <c r="A185" s="62">
        <v>92</v>
      </c>
      <c r="B185" s="62">
        <v>75685</v>
      </c>
      <c r="C185" s="62">
        <f>B185/1000</f>
        <v>75.685000000000002</v>
      </c>
    </row>
    <row r="187" spans="1:3">
      <c r="A187" s="62">
        <v>93</v>
      </c>
      <c r="B187" s="62">
        <v>78568</v>
      </c>
      <c r="C187" s="62">
        <f>B187/1000</f>
        <v>78.567999999999998</v>
      </c>
    </row>
    <row r="189" spans="1:3">
      <c r="A189" s="62">
        <v>94</v>
      </c>
      <c r="B189" s="62">
        <v>81542</v>
      </c>
      <c r="C189" s="62">
        <f>B189/1000</f>
        <v>81.542000000000002</v>
      </c>
    </row>
    <row r="191" spans="1:3">
      <c r="A191" s="62">
        <v>95</v>
      </c>
      <c r="B191" s="62">
        <v>84609</v>
      </c>
      <c r="C191" s="62">
        <f>B191/1000</f>
        <v>84.608999999999995</v>
      </c>
    </row>
    <row r="193" spans="1:3">
      <c r="A193" s="62">
        <v>96</v>
      </c>
      <c r="B193" s="62">
        <v>87771</v>
      </c>
      <c r="C193" s="62">
        <f>B193/1000</f>
        <v>87.771000000000001</v>
      </c>
    </row>
    <row r="195" spans="1:3">
      <c r="A195" s="62">
        <v>97</v>
      </c>
      <c r="B195" s="62">
        <v>91031</v>
      </c>
      <c r="C195" s="62">
        <f>B195/1000</f>
        <v>91.031000000000006</v>
      </c>
    </row>
    <row r="197" spans="1:3">
      <c r="A197" s="62">
        <v>98</v>
      </c>
      <c r="B197" s="62">
        <v>94391</v>
      </c>
      <c r="C197" s="62">
        <f>B197/1000</f>
        <v>94.391000000000005</v>
      </c>
    </row>
    <row r="199" spans="1:3">
      <c r="A199" s="62">
        <v>99</v>
      </c>
      <c r="B199" s="62">
        <v>97853</v>
      </c>
      <c r="C199" s="62">
        <f>B199/1000</f>
        <v>97.852999999999994</v>
      </c>
    </row>
    <row r="201" spans="1:3">
      <c r="A201" s="62">
        <v>100</v>
      </c>
      <c r="B201" s="62">
        <v>101419</v>
      </c>
      <c r="C201" s="62">
        <f>B201/1000</f>
        <v>101.419</v>
      </c>
    </row>
    <row r="202" spans="1:3">
      <c r="A202" s="62">
        <v>100.5</v>
      </c>
      <c r="B202" s="62">
        <v>773.68</v>
      </c>
      <c r="C202" s="62">
        <v>103.15</v>
      </c>
    </row>
    <row r="203" spans="1:3">
      <c r="A203" s="62">
        <v>101</v>
      </c>
      <c r="B203" s="62">
        <v>787.57</v>
      </c>
      <c r="C203" s="62">
        <v>105</v>
      </c>
    </row>
    <row r="204" spans="1:3">
      <c r="A204" s="62">
        <v>101.5</v>
      </c>
      <c r="B204" s="62">
        <v>801.66</v>
      </c>
      <c r="C204" s="62">
        <v>106.88</v>
      </c>
    </row>
  </sheetData>
  <printOptions gridLinesSet="0"/>
  <pageMargins left="0.98425196850393704" right="0.39370078740157483" top="1.1811023622047245" bottom="0.82677165354330717" header="0.51181102362204722" footer="0.51181102362204722"/>
  <pageSetup paperSize="9" scale="90" orientation="landscape" horizontalDpi="360" verticalDpi="4294967292" r:id="rId1"/>
  <headerFooter alignWithMargins="0">
    <oddHeader>&amp;C&amp;"Times New Roman,標準"Measuring Method depends on JIS</oddHeader>
    <oddFooter>Page &amp;P</oddFooter>
  </headerFooter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Flow rate</vt:lpstr>
      <vt:lpstr>Flow rate A side</vt:lpstr>
      <vt:lpstr>Flow rate B side</vt:lpstr>
      <vt:lpstr>Dust A side</vt:lpstr>
      <vt:lpstr>Summary Temp. Pressure</vt:lpstr>
      <vt:lpstr>Summary dust concecntration</vt:lpstr>
      <vt:lpstr>Summary result</vt:lpstr>
      <vt:lpstr>Measurement Act</vt:lpstr>
      <vt:lpstr>'Dust A side'!Print_Area</vt:lpstr>
      <vt:lpstr>'Flow rate'!Print_Area</vt:lpstr>
      <vt:lpstr>'Flow rate A side'!Print_Area</vt:lpstr>
      <vt:lpstr>'Flow rate B side'!Print_Area</vt:lpstr>
      <vt:lpstr>'Measurement Act'!Print_Area</vt:lpstr>
      <vt:lpstr>'Summary dust concecntration'!Print_Area</vt:lpstr>
      <vt:lpstr>'Summary result'!Print_Area</vt:lpstr>
      <vt:lpstr>'Summary Temp. Pressure'!Print_Area</vt:lpstr>
      <vt:lpstr>'Measurement Act'!Print_Titles</vt:lpstr>
      <vt:lpstr>'Measurement Act'!水蒸気圧表</vt:lpstr>
      <vt:lpstr>'Measurement Act'!計量法１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cp:lastPrinted>2018-01-03T13:51:27Z</cp:lastPrinted>
  <dcterms:created xsi:type="dcterms:W3CDTF">2015-02-14T11:17:39Z</dcterms:created>
  <dcterms:modified xsi:type="dcterms:W3CDTF">2018-01-03T13:52:09Z</dcterms:modified>
</cp:coreProperties>
</file>