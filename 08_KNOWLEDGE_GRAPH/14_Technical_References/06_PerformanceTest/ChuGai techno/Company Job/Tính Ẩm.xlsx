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2" i="1"/>
  <c r="D4" i="1"/>
  <c r="E3" i="1"/>
  <c r="D3" i="1"/>
</calcChain>
</file>

<file path=xl/sharedStrings.xml><?xml version="1.0" encoding="utf-8"?>
<sst xmlns="http://schemas.openxmlformats.org/spreadsheetml/2006/main" count="12" uniqueCount="11">
  <si>
    <t>Vm</t>
  </si>
  <si>
    <t>T</t>
  </si>
  <si>
    <t>ma</t>
  </si>
  <si>
    <t>Xw</t>
  </si>
  <si>
    <t>Pa</t>
  </si>
  <si>
    <t>Pv</t>
  </si>
  <si>
    <t>Xtb</t>
  </si>
  <si>
    <t>CO2</t>
  </si>
  <si>
    <t>O2</t>
  </si>
  <si>
    <t>N2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</si>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</sst>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D9" sqref="D9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I1" t="s">
        <v>4</v>
      </c>
      <c r="K1" t="s">
        <v>1</v>
      </c>
      <c r="L1" t="s">
        <v>5</v>
      </c>
    </row>
    <row r="2" spans="1:12">
      <c r="A2">
        <v>5</v>
      </c>
      <c r="B2">
        <v>28</v>
      </c>
      <c r="C2">
        <v>0.41199999999999998</v>
      </c>
      <c r="D2">
        <f>ROUND((((22.41/18.02)*C2)/((A2*(273.15/(273.15+B2))*(($I$2-VLOOKUP(B2,K2:L7,2,FALSE))/101.32))+((22.41/18.02)*C2)))*100,1)</f>
        <v>10.6</v>
      </c>
      <c r="I2">
        <v>100.7</v>
      </c>
      <c r="K2">
        <v>25</v>
      </c>
      <c r="L2">
        <v>3.17</v>
      </c>
    </row>
    <row r="3" spans="1:12">
      <c r="A3">
        <v>5</v>
      </c>
      <c r="B3">
        <v>28</v>
      </c>
      <c r="C3">
        <v>0.41099999999999998</v>
      </c>
      <c r="D3">
        <f t="shared" ref="D3:D4" si="0">ROUND((((22.41/18.02)*C3)/((A3*(273.15/(273.15+B3))*(($I$2-VLOOKUP(B3,K3:L8,2,FALSE))/101.32))+((22.41/18.02)*C3)))*100,1)</f>
        <v>10.5</v>
      </c>
      <c r="E3">
        <f>ROUND(AVERAGE(D2:D4),1)</f>
        <v>10.6</v>
      </c>
      <c r="K3">
        <v>26</v>
      </c>
      <c r="L3">
        <v>3.36</v>
      </c>
    </row>
    <row r="4" spans="1:12">
      <c r="A4">
        <v>5</v>
      </c>
      <c r="B4">
        <v>28</v>
      </c>
      <c r="C4">
        <v>0.41299999999999998</v>
      </c>
      <c r="D4">
        <f>ROUND((((22.41/18.02)*C4)/((A4*(273.15/(273.15+B4))*(($I$2-VLOOKUP(B4,K4:L9,2,FALSE))/101.32))+((22.41/18.02)*C4)))*100,1)</f>
        <v>10.6</v>
      </c>
      <c r="K4">
        <v>27</v>
      </c>
      <c r="L4">
        <v>3.57</v>
      </c>
    </row>
    <row r="5" spans="1:12">
      <c r="K5">
        <v>28</v>
      </c>
      <c r="L5">
        <v>3.78</v>
      </c>
    </row>
    <row r="6" spans="1:12">
      <c r="K6">
        <v>29</v>
      </c>
      <c r="L6">
        <v>4.01</v>
      </c>
    </row>
    <row r="7" spans="1:12">
      <c r="K7">
        <v>30</v>
      </c>
      <c r="L7">
        <v>4.25</v>
      </c>
    </row>
    <row r="8" spans="1:12">
      <c r="A8" t="s">
        <v>7</v>
      </c>
      <c r="B8" t="s">
        <v>8</v>
      </c>
      <c r="C8" t="s">
        <v>9</v>
      </c>
      <c r="D8" t="s">
        <v>10</v>
      </c>
    </row>
    <row r="9" spans="1:12">
      <c r="D9">
        <f>1/2241</f>
        <v>4.4622936189201248E-4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2016-12-16T07:11:58Z</dcterms:created>
  <dcterms:modified xsi:type="dcterms:W3CDTF">2016-12-16T08:29:28Z</dcterms:modified>
</cp:coreProperties>
</file>