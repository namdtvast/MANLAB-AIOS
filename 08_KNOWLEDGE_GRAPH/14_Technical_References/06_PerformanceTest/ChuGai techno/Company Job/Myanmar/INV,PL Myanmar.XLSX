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230" yWindow="-15" windowWidth="10275" windowHeight="7275"/>
  </bookViews>
  <sheets>
    <sheet name="INVOICE RETURN" sheetId="6" r:id="rId1"/>
    <sheet name="PL Return" sheetId="7" r:id="rId2"/>
    <sheet name="INVOICE NORETURN" sheetId="4" r:id="rId3"/>
    <sheet name="PL Noreturn" sheetId="5" r:id="rId4"/>
    <sheet name="Sheet1" sheetId="1" r:id="rId5"/>
    <sheet name="Sheet2" sheetId="2" r:id="rId6"/>
    <sheet name="Sheet3" sheetId="3" r:id="rId7"/>
  </sheets>
  <definedNames>
    <definedName name="_xlnm._FilterDatabase" localSheetId="0" hidden="1">'INVOICE RETURN'!$A$27:$M$97</definedName>
    <definedName name="_xlnm.Print_Area" localSheetId="2">'INVOICE NORETURN'!$A$1:$J$49</definedName>
    <definedName name="_xlnm.Print_Area" localSheetId="0">'INVOICE RETURN'!$A$1:$I$110</definedName>
    <definedName name="_xlnm.Print_Area" localSheetId="3">'PL Noreturn'!$A$1:$E$42</definedName>
    <definedName name="_xlnm.Print_Area" localSheetId="1">'PL Return'!$A$1:$E$120</definedName>
    <definedName name="タイトル">#REF!</definedName>
    <definedName name="変換">#REF!</definedName>
  </definedNames>
  <calcPr calcId="152511"/>
</workbook>
</file>

<file path=xl/calcChain.xml><?xml version="1.0" encoding="utf-8"?>
<calcChain xmlns="http://schemas.openxmlformats.org/spreadsheetml/2006/main">
  <c r="H80" i="6" l="1"/>
  <c r="D103" i="7" l="1"/>
  <c r="H104" i="6" l="1"/>
  <c r="H103" i="6"/>
  <c r="I40" i="4"/>
  <c r="I39" i="4"/>
  <c r="I38" i="4"/>
  <c r="I37" i="4"/>
  <c r="I31" i="4"/>
  <c r="I32" i="4"/>
  <c r="I33" i="4"/>
  <c r="I34" i="4"/>
  <c r="I35" i="4"/>
  <c r="I36" i="4"/>
  <c r="I30" i="4"/>
  <c r="I29" i="4"/>
  <c r="I28" i="4"/>
  <c r="I42" i="4" l="1"/>
  <c r="H100" i="6"/>
  <c r="H101" i="6"/>
  <c r="H99" i="6"/>
  <c r="H102" i="6"/>
  <c r="H98" i="6"/>
  <c r="H97" i="6"/>
  <c r="H62" i="6"/>
  <c r="H96" i="6" l="1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1" i="6"/>
  <c r="H60" i="6"/>
  <c r="H59" i="6"/>
  <c r="H58" i="6"/>
  <c r="H57" i="6"/>
  <c r="H56" i="6"/>
  <c r="G55" i="6"/>
  <c r="H55" i="6" s="1"/>
  <c r="G54" i="6"/>
  <c r="H54" i="6" s="1"/>
  <c r="G53" i="6"/>
  <c r="H53" i="6" s="1"/>
  <c r="H52" i="6"/>
  <c r="H51" i="6"/>
  <c r="H50" i="6"/>
  <c r="G49" i="6"/>
  <c r="H49" i="6" s="1"/>
  <c r="G48" i="6"/>
  <c r="H48" i="6" s="1"/>
  <c r="G47" i="6"/>
  <c r="H47" i="6" s="1"/>
  <c r="G46" i="6"/>
  <c r="H46" i="6" s="1"/>
  <c r="H45" i="6"/>
  <c r="H44" i="6"/>
  <c r="G43" i="6"/>
  <c r="H43" i="6" s="1"/>
  <c r="H42" i="6"/>
  <c r="H41" i="6"/>
  <c r="H40" i="6"/>
  <c r="H39" i="6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H30" i="6"/>
  <c r="H29" i="6"/>
  <c r="H28" i="6"/>
  <c r="D39" i="5"/>
</calcChain>
</file>

<file path=xl/sharedStrings.xml><?xml version="1.0" encoding="utf-8"?>
<sst xmlns="http://schemas.openxmlformats.org/spreadsheetml/2006/main" count="654" uniqueCount="334">
  <si>
    <t xml:space="preserve">INVOICE </t>
    <phoneticPr fontId="0" type="Hiragana"/>
  </si>
  <si>
    <t>SHIPPER</t>
    <phoneticPr fontId="0" type="Hiragana"/>
  </si>
  <si>
    <t>NO.AND DATE OF INVOICE</t>
  </si>
  <si>
    <t>CCTVN-MSP-201707-04-02</t>
  </si>
  <si>
    <t>66 Cao Trieu Phat, Hung Gia 4 Area, Tan Phong Ward,</t>
    <phoneticPr fontId="0" type="Hiragana"/>
  </si>
  <si>
    <t>District 7, Ho Chi Minh City, Vietnam</t>
    <phoneticPr fontId="0" type="Hiragana"/>
  </si>
  <si>
    <t>COUNTRY OF ORIGIN</t>
  </si>
  <si>
    <t>Person in charge: Kazuyoshi Morimoto</t>
  </si>
  <si>
    <t>Japan</t>
    <phoneticPr fontId="0" type="Hiragana"/>
  </si>
  <si>
    <t>CONSIGNEE</t>
  </si>
  <si>
    <t>REMARKS</t>
  </si>
  <si>
    <t>No commercial value for customs clearance purpose only</t>
  </si>
  <si>
    <t>TERMS OF PAYMENT</t>
  </si>
  <si>
    <t>No Payment</t>
  </si>
  <si>
    <t>Person in charge</t>
  </si>
  <si>
    <t>NORTIFY PARTY</t>
  </si>
  <si>
    <t>SAME AS CONSIGNEE</t>
    <phoneticPr fontId="0" type="Hiragana"/>
  </si>
  <si>
    <t>MEANS OF TRANSPORT AND ROUTE</t>
  </si>
  <si>
    <t xml:space="preserve">SHIPPED PER  </t>
  </si>
  <si>
    <t>VESSEL</t>
  </si>
  <si>
    <t>TERMS OF TRANSPORT : FOB</t>
  </si>
  <si>
    <t>FROM</t>
  </si>
  <si>
    <t>HO CHI MINH</t>
  </si>
  <si>
    <t>NO RETURN CARGO</t>
  </si>
  <si>
    <t>TO</t>
  </si>
  <si>
    <t>Number</t>
  </si>
  <si>
    <t>Code</t>
  </si>
  <si>
    <t>Name of equipment</t>
  </si>
  <si>
    <t>Q'ty</t>
  </si>
  <si>
    <t>Unit</t>
  </si>
  <si>
    <t>Unit price</t>
  </si>
  <si>
    <t>Price</t>
  </si>
  <si>
    <t>Seri number or management code</t>
  </si>
  <si>
    <t>box</t>
  </si>
  <si>
    <t>tube</t>
  </si>
  <si>
    <t>roll</t>
  </si>
  <si>
    <t>tapis</t>
  </si>
  <si>
    <t>set</t>
  </si>
  <si>
    <t>Total</t>
  </si>
  <si>
    <t>CHUGAI TECHNOS VIET NAM CO.,LTD</t>
  </si>
  <si>
    <t>PARKING LIST</t>
  </si>
  <si>
    <t>SHIPPER</t>
  </si>
  <si>
    <t>CHUGAI TECHNOS VIETNAM Co,. LTD</t>
  </si>
  <si>
    <t>66 Cao Trieu Phat, Hung Gia 4 Area, Tan Phong Ward,</t>
  </si>
  <si>
    <t>District 7, Ho Chi Minh City, Vietnam</t>
  </si>
  <si>
    <t>Japan</t>
  </si>
  <si>
    <t>SAME AS CONSIGNEE</t>
  </si>
  <si>
    <t>TERMS OF TRANSPORT</t>
  </si>
  <si>
    <t>FOB</t>
  </si>
  <si>
    <t>No.</t>
  </si>
  <si>
    <t>ID-No</t>
  </si>
  <si>
    <t>Name</t>
  </si>
  <si>
    <t>Parking Box Number</t>
  </si>
  <si>
    <t>NO RETURN</t>
  </si>
  <si>
    <t>Total No. of Package</t>
  </si>
  <si>
    <t>Total gross Weight</t>
  </si>
  <si>
    <t>50kg</t>
  </si>
  <si>
    <t>CCTVN-MSP-201707-04-01</t>
  </si>
  <si>
    <t>VESSEL</t>
    <phoneticPr fontId="0" type="Hiragana"/>
  </si>
  <si>
    <t>RETURN CARGO</t>
  </si>
  <si>
    <t>001-005</t>
  </si>
  <si>
    <t>001-006</t>
  </si>
  <si>
    <t>piece</t>
  </si>
  <si>
    <t>001-010</t>
  </si>
  <si>
    <t>Aneroid Barometer</t>
  </si>
  <si>
    <t>Pitot Tube L type</t>
  </si>
  <si>
    <t>VS-005</t>
  </si>
  <si>
    <t>003-002</t>
  </si>
  <si>
    <t>Pitot Tube S type</t>
  </si>
  <si>
    <t>003-003</t>
  </si>
  <si>
    <t>Pressure Gauge 300Pa</t>
  </si>
  <si>
    <t>003-004</t>
  </si>
  <si>
    <t>Thermocouple</t>
  </si>
  <si>
    <t>Up-Down Transformer</t>
  </si>
  <si>
    <t>Diaphragm type dry vacuum pumps</t>
  </si>
  <si>
    <t>Buffer Bottle|with silicon stopper</t>
  </si>
  <si>
    <t>bottle</t>
  </si>
  <si>
    <t>Orsat gas analyzer</t>
  </si>
  <si>
    <t>Parts of orsat</t>
  </si>
  <si>
    <t>Breaker Reel</t>
  </si>
  <si>
    <t>Stabilizer Electricity</t>
  </si>
  <si>
    <t>Ribbon heater</t>
  </si>
  <si>
    <t>halter</t>
  </si>
  <si>
    <t>Helmet</t>
  </si>
  <si>
    <t>Gaiter</t>
  </si>
  <si>
    <t>Safety belt</t>
  </si>
  <si>
    <t>Balloon</t>
  </si>
  <si>
    <t>Gas hose</t>
  </si>
  <si>
    <t>Rope 10m, 50m</t>
  </si>
  <si>
    <t>rope</t>
  </si>
  <si>
    <t>Hammer</t>
  </si>
  <si>
    <t>Wrench</t>
  </si>
  <si>
    <t>Pipe wrench</t>
  </si>
  <si>
    <t>Plier</t>
  </si>
  <si>
    <t>ZP-175</t>
  </si>
  <si>
    <t>Clamp</t>
  </si>
  <si>
    <t>Lock plier</t>
  </si>
  <si>
    <t>Screw cock</t>
  </si>
  <si>
    <t>Y conector</t>
  </si>
  <si>
    <t>Direction arrow</t>
  </si>
  <si>
    <t>Screwdriver (+)</t>
  </si>
  <si>
    <t>Screwdriver (-)</t>
  </si>
  <si>
    <t>Felt cloth</t>
  </si>
  <si>
    <t>Tweezers</t>
  </si>
  <si>
    <t>Tool bag</t>
  </si>
  <si>
    <t>Plastic basket</t>
  </si>
  <si>
    <t>W hose</t>
  </si>
  <si>
    <t>Silicone grease</t>
  </si>
  <si>
    <t>Extension cord</t>
  </si>
  <si>
    <t>cord</t>
  </si>
  <si>
    <t>Flameproofing sheet</t>
  </si>
  <si>
    <t>Wash bottle</t>
  </si>
  <si>
    <t>Raincoat</t>
  </si>
  <si>
    <t>No.1</t>
  </si>
  <si>
    <t>No.7</t>
  </si>
  <si>
    <t>No.8</t>
  </si>
  <si>
    <t>350kg</t>
  </si>
  <si>
    <t>Tel: +84-28-541-09111</t>
    <phoneticPr fontId="92"/>
  </si>
  <si>
    <t>Stabilizer Electricity</t>
    <phoneticPr fontId="92"/>
  </si>
  <si>
    <t>Stabilizer Electricity</t>
    <phoneticPr fontId="92"/>
  </si>
  <si>
    <t>Connect top</t>
    <phoneticPr fontId="92"/>
  </si>
  <si>
    <t>Graduated cylinder 100ml</t>
    <phoneticPr fontId="92"/>
  </si>
  <si>
    <t>Plastic tool box</t>
    <phoneticPr fontId="92"/>
  </si>
  <si>
    <t>Plastic basket</t>
    <phoneticPr fontId="92"/>
  </si>
  <si>
    <t>1m</t>
    <phoneticPr fontId="92"/>
  </si>
  <si>
    <t>Flange 4inch 3hole</t>
    <phoneticPr fontId="92"/>
  </si>
  <si>
    <t>Flange 4inch for Pitot tube</t>
    <phoneticPr fontId="92"/>
  </si>
  <si>
    <t>Flange 4inch 1hole</t>
    <phoneticPr fontId="92"/>
  </si>
  <si>
    <t>Sampling tube (wide diameter) 0.5m</t>
    <phoneticPr fontId="92"/>
  </si>
  <si>
    <t xml:space="preserve">Sampling tube (wide diameter) 1m </t>
    <phoneticPr fontId="92"/>
  </si>
  <si>
    <t>Sampling tube (big wide diameter) 0.5m</t>
    <phoneticPr fontId="92"/>
  </si>
  <si>
    <t>Sampling tube (big wide diameter) 1m</t>
    <phoneticPr fontId="92"/>
  </si>
  <si>
    <t>Cooling box (big and small)</t>
    <phoneticPr fontId="92"/>
  </si>
  <si>
    <t>Volumetric flask 250ml</t>
    <phoneticPr fontId="92"/>
  </si>
  <si>
    <t>box</t>
    <phoneticPr fontId="92"/>
  </si>
  <si>
    <t>Tube with heater 0.5m</t>
    <phoneticPr fontId="92"/>
  </si>
  <si>
    <t>Ceramic Tape</t>
    <phoneticPr fontId="92"/>
  </si>
  <si>
    <t>Heat resistant tape</t>
    <phoneticPr fontId="92"/>
  </si>
  <si>
    <t>Vinyl Tape</t>
    <phoneticPr fontId="92"/>
  </si>
  <si>
    <t>Teflon Tape</t>
    <phoneticPr fontId="92"/>
  </si>
  <si>
    <t>Aluminum connector 3cm</t>
    <phoneticPr fontId="92"/>
  </si>
  <si>
    <t>Glass connector 3cm</t>
    <phoneticPr fontId="92"/>
  </si>
  <si>
    <t>Wire</t>
    <phoneticPr fontId="92"/>
  </si>
  <si>
    <t>Work gloves</t>
    <phoneticPr fontId="92"/>
  </si>
  <si>
    <t>dozen</t>
    <phoneticPr fontId="92"/>
  </si>
  <si>
    <t>Teflon tube (4/6-5m)</t>
    <phoneticPr fontId="92"/>
  </si>
  <si>
    <t>Silicon tube (4/8-5m)</t>
    <phoneticPr fontId="92"/>
  </si>
  <si>
    <t>Circular filter paper</t>
    <phoneticPr fontId="92"/>
  </si>
  <si>
    <t>sheet</t>
    <phoneticPr fontId="92"/>
  </si>
  <si>
    <t>Cylindrical holder</t>
    <phoneticPr fontId="92"/>
  </si>
  <si>
    <t>piece</t>
    <phoneticPr fontId="92"/>
  </si>
  <si>
    <t>Graduated cylinder 100ml</t>
    <phoneticPr fontId="92"/>
  </si>
  <si>
    <t>Circular holder</t>
    <phoneticPr fontId="92"/>
  </si>
  <si>
    <t>Vacuum pump</t>
    <phoneticPr fontId="92"/>
  </si>
  <si>
    <t>Digital manometer</t>
    <phoneticPr fontId="92"/>
  </si>
  <si>
    <t>Balance</t>
    <phoneticPr fontId="92"/>
  </si>
  <si>
    <t>VW-007</t>
    <phoneticPr fontId="92"/>
  </si>
  <si>
    <t>DVM-070-009</t>
    <phoneticPr fontId="92"/>
  </si>
  <si>
    <t>DVM-070-010</t>
    <phoneticPr fontId="92"/>
  </si>
  <si>
    <t>DVM-070-011</t>
    <phoneticPr fontId="92"/>
  </si>
  <si>
    <t>DVM-070-014</t>
    <phoneticPr fontId="92"/>
  </si>
  <si>
    <t>DVM-183-004</t>
    <phoneticPr fontId="92"/>
  </si>
  <si>
    <t>DVM-183-010</t>
    <phoneticPr fontId="92"/>
  </si>
  <si>
    <t>No.2</t>
    <phoneticPr fontId="92"/>
  </si>
  <si>
    <t>No.3</t>
    <phoneticPr fontId="92"/>
  </si>
  <si>
    <t>No.4</t>
    <phoneticPr fontId="92"/>
  </si>
  <si>
    <t>140062T</t>
    <phoneticPr fontId="92"/>
  </si>
  <si>
    <t>140063T</t>
    <phoneticPr fontId="92"/>
  </si>
  <si>
    <t>140097T</t>
    <phoneticPr fontId="92"/>
  </si>
  <si>
    <t>001-001-1</t>
    <phoneticPr fontId="92"/>
  </si>
  <si>
    <t>001-001-2</t>
    <phoneticPr fontId="92"/>
  </si>
  <si>
    <t>001-002-1</t>
    <phoneticPr fontId="92"/>
  </si>
  <si>
    <t>001-002-2</t>
  </si>
  <si>
    <t>001-003-1</t>
    <phoneticPr fontId="92"/>
  </si>
  <si>
    <t>001-003-2</t>
  </si>
  <si>
    <t>001-003-3</t>
  </si>
  <si>
    <t>001-003-4</t>
  </si>
  <si>
    <t>001-004</t>
    <phoneticPr fontId="92"/>
  </si>
  <si>
    <t>001-007-1</t>
    <phoneticPr fontId="92"/>
  </si>
  <si>
    <t>001-007-2</t>
  </si>
  <si>
    <t>001-008</t>
    <phoneticPr fontId="92"/>
  </si>
  <si>
    <t>001-009</t>
  </si>
  <si>
    <t>001-011</t>
  </si>
  <si>
    <t>002-001</t>
    <phoneticPr fontId="92"/>
  </si>
  <si>
    <t>002-002-1</t>
    <phoneticPr fontId="92"/>
  </si>
  <si>
    <t>002-002-2</t>
  </si>
  <si>
    <t>002-003-1</t>
    <phoneticPr fontId="92"/>
  </si>
  <si>
    <t>002-003-2</t>
  </si>
  <si>
    <t>002-003-3</t>
  </si>
  <si>
    <t>002-004</t>
    <phoneticPr fontId="92"/>
  </si>
  <si>
    <t>002-005</t>
  </si>
  <si>
    <t>003-001</t>
    <phoneticPr fontId="92"/>
  </si>
  <si>
    <t>Absorption bottle (500ml) in the box</t>
    <phoneticPr fontId="92"/>
  </si>
  <si>
    <t>004-001-1</t>
    <phoneticPr fontId="92"/>
  </si>
  <si>
    <t>004-001-2</t>
  </si>
  <si>
    <t>004-002</t>
    <phoneticPr fontId="92"/>
  </si>
  <si>
    <t>U tube in the box</t>
    <phoneticPr fontId="92"/>
  </si>
  <si>
    <t>004-003</t>
  </si>
  <si>
    <t>004-004</t>
  </si>
  <si>
    <t>004-005</t>
  </si>
  <si>
    <t>004-006</t>
  </si>
  <si>
    <t>004-007</t>
  </si>
  <si>
    <t>Round-bottomed flask in the box</t>
    <phoneticPr fontId="92"/>
  </si>
  <si>
    <t>Absorption bottle (150ml) in the box</t>
    <phoneticPr fontId="92"/>
  </si>
  <si>
    <t>001-012</t>
  </si>
  <si>
    <t>002-007</t>
  </si>
  <si>
    <t>002-008</t>
  </si>
  <si>
    <t>No.5</t>
    <phoneticPr fontId="92"/>
  </si>
  <si>
    <t>005-002</t>
    <phoneticPr fontId="92"/>
  </si>
  <si>
    <t>005-003</t>
  </si>
  <si>
    <t>005-004</t>
  </si>
  <si>
    <t>005-005</t>
  </si>
  <si>
    <t>005-006</t>
  </si>
  <si>
    <t>005-007</t>
  </si>
  <si>
    <t>005-008</t>
  </si>
  <si>
    <t>005-009</t>
  </si>
  <si>
    <t>005-010</t>
  </si>
  <si>
    <t>005-011</t>
  </si>
  <si>
    <t>005-012</t>
  </si>
  <si>
    <t>005-013</t>
  </si>
  <si>
    <t>005-001</t>
    <phoneticPr fontId="92"/>
  </si>
  <si>
    <t>Nozzle Φ4mm, Φ5mm, Φ6mm, Φ8mm, Φ10mm</t>
    <phoneticPr fontId="92"/>
  </si>
  <si>
    <t>005-015</t>
  </si>
  <si>
    <t>005-016</t>
  </si>
  <si>
    <t>005-017</t>
  </si>
  <si>
    <t>005-018</t>
  </si>
  <si>
    <t>No.6</t>
    <phoneticPr fontId="92"/>
  </si>
  <si>
    <t>006-001</t>
    <phoneticPr fontId="92"/>
  </si>
  <si>
    <t>006-002</t>
    <phoneticPr fontId="92"/>
  </si>
  <si>
    <t>007-001</t>
    <phoneticPr fontId="92"/>
  </si>
  <si>
    <t>007-002</t>
  </si>
  <si>
    <t>007-003</t>
  </si>
  <si>
    <t>007-004</t>
  </si>
  <si>
    <t>007-005</t>
  </si>
  <si>
    <t>007-006</t>
  </si>
  <si>
    <t>007-007</t>
  </si>
  <si>
    <t>006-003</t>
  </si>
  <si>
    <t>008-001</t>
    <phoneticPr fontId="92"/>
  </si>
  <si>
    <t>008-002</t>
  </si>
  <si>
    <t>008-003</t>
  </si>
  <si>
    <t>008-004</t>
  </si>
  <si>
    <t>008-005</t>
  </si>
  <si>
    <t>008-006</t>
  </si>
  <si>
    <t>JFE Engineering Corporation</t>
    <phoneticPr fontId="92"/>
  </si>
  <si>
    <t>PLANT NAME and ADDRESS</t>
  </si>
  <si>
    <t xml:space="preserve">Tel: </t>
    <phoneticPr fontId="92"/>
  </si>
  <si>
    <t>Name</t>
    <phoneticPr fontId="92"/>
  </si>
  <si>
    <t>November 10,2017</t>
    <phoneticPr fontId="92"/>
  </si>
  <si>
    <t>YANGON MYANMAR</t>
    <phoneticPr fontId="92"/>
  </si>
  <si>
    <t>PLANT NAME and ADDRESS</t>
    <phoneticPr fontId="92"/>
  </si>
  <si>
    <t>Person in charge:</t>
    <phoneticPr fontId="92"/>
  </si>
  <si>
    <t xml:space="preserve">Tel: </t>
    <phoneticPr fontId="92"/>
  </si>
  <si>
    <t>NOTIFY PARTY</t>
    <phoneticPr fontId="92"/>
  </si>
  <si>
    <t>No commercial value for customs clearance purpose only</t>
    <phoneticPr fontId="92"/>
  </si>
  <si>
    <t>Name</t>
    <phoneticPr fontId="92"/>
  </si>
  <si>
    <t>008-007</t>
  </si>
  <si>
    <t>No.9</t>
    <phoneticPr fontId="92"/>
  </si>
  <si>
    <t>Teflon tube (6/8-5m)</t>
    <phoneticPr fontId="92"/>
  </si>
  <si>
    <t>Cylindrical filter paper(10pieces/1box)</t>
    <phoneticPr fontId="92"/>
  </si>
  <si>
    <t>009-001</t>
    <phoneticPr fontId="92"/>
  </si>
  <si>
    <t>009-002</t>
  </si>
  <si>
    <t>009-003</t>
  </si>
  <si>
    <t>009-004</t>
  </si>
  <si>
    <t>009-005</t>
  </si>
  <si>
    <t>009-006</t>
  </si>
  <si>
    <t>009-007</t>
  </si>
  <si>
    <t>009-008</t>
  </si>
  <si>
    <t>009-009</t>
  </si>
  <si>
    <t>009-010</t>
  </si>
  <si>
    <t>009-011</t>
  </si>
  <si>
    <t>009-012</t>
  </si>
  <si>
    <t>009-013</t>
  </si>
  <si>
    <t>002-001</t>
    <phoneticPr fontId="92"/>
  </si>
  <si>
    <t>008-001</t>
    <phoneticPr fontId="92"/>
  </si>
  <si>
    <t>008-002</t>
    <phoneticPr fontId="92"/>
  </si>
  <si>
    <t>002-002-2</t>
    <phoneticPr fontId="92"/>
  </si>
  <si>
    <t>001-002-1</t>
    <phoneticPr fontId="92"/>
  </si>
  <si>
    <t>007-001</t>
    <phoneticPr fontId="92"/>
  </si>
  <si>
    <t>007-002</t>
    <phoneticPr fontId="92"/>
  </si>
  <si>
    <t>001-004</t>
    <phoneticPr fontId="92"/>
  </si>
  <si>
    <t>001-005</t>
    <phoneticPr fontId="92"/>
  </si>
  <si>
    <t>001-006</t>
    <phoneticPr fontId="92"/>
  </si>
  <si>
    <t>001-007-1</t>
    <phoneticPr fontId="92"/>
  </si>
  <si>
    <t>001-008</t>
    <phoneticPr fontId="92"/>
  </si>
  <si>
    <t>004-003</t>
    <phoneticPr fontId="92"/>
  </si>
  <si>
    <t>004-004</t>
    <phoneticPr fontId="92"/>
  </si>
  <si>
    <t>008-003</t>
    <phoneticPr fontId="92"/>
  </si>
  <si>
    <t>008-004</t>
    <phoneticPr fontId="92"/>
  </si>
  <si>
    <t>001-009</t>
    <phoneticPr fontId="92"/>
  </si>
  <si>
    <t>004-005</t>
    <phoneticPr fontId="92"/>
  </si>
  <si>
    <t>002-005</t>
    <phoneticPr fontId="92"/>
  </si>
  <si>
    <t>Plastic tool box</t>
    <phoneticPr fontId="92"/>
  </si>
  <si>
    <t>005-001</t>
    <phoneticPr fontId="92"/>
  </si>
  <si>
    <t>001-012</t>
    <phoneticPr fontId="92"/>
  </si>
  <si>
    <t>002-007</t>
    <phoneticPr fontId="92"/>
  </si>
  <si>
    <t>003-002</t>
    <phoneticPr fontId="92"/>
  </si>
  <si>
    <t>005-014</t>
    <phoneticPr fontId="92"/>
  </si>
  <si>
    <t>006-001</t>
    <phoneticPr fontId="92"/>
  </si>
  <si>
    <t>001-010</t>
    <phoneticPr fontId="92"/>
  </si>
  <si>
    <t>007-003</t>
    <phoneticPr fontId="92"/>
  </si>
  <si>
    <t>Extension cord</t>
    <phoneticPr fontId="92"/>
  </si>
  <si>
    <t>Flameproofing sheet</t>
    <phoneticPr fontId="92"/>
  </si>
  <si>
    <t>005-016</t>
    <phoneticPr fontId="92"/>
  </si>
  <si>
    <t>Connector top</t>
    <phoneticPr fontId="92"/>
  </si>
  <si>
    <t>005-015</t>
    <phoneticPr fontId="92"/>
  </si>
  <si>
    <t>005-014</t>
    <phoneticPr fontId="92"/>
  </si>
  <si>
    <t>001-011</t>
    <phoneticPr fontId="92"/>
  </si>
  <si>
    <t>007-004</t>
    <phoneticPr fontId="92"/>
  </si>
  <si>
    <t>Beaker 500ml</t>
    <phoneticPr fontId="92"/>
  </si>
  <si>
    <t>006-002</t>
    <phoneticPr fontId="92"/>
  </si>
  <si>
    <t>005-017</t>
    <phoneticPr fontId="92"/>
  </si>
  <si>
    <t>005-018</t>
    <phoneticPr fontId="92"/>
  </si>
  <si>
    <t>004-006</t>
    <phoneticPr fontId="92"/>
  </si>
  <si>
    <t>003-003</t>
    <phoneticPr fontId="92"/>
  </si>
  <si>
    <t>008-007</t>
    <phoneticPr fontId="92"/>
  </si>
  <si>
    <t>004-007</t>
    <phoneticPr fontId="92"/>
  </si>
  <si>
    <t>Round-bottomed flask in the box</t>
    <phoneticPr fontId="92"/>
  </si>
  <si>
    <t>Vacuum pump</t>
    <phoneticPr fontId="92"/>
  </si>
  <si>
    <t>003-004</t>
    <phoneticPr fontId="92"/>
  </si>
  <si>
    <t>002-008</t>
    <phoneticPr fontId="92"/>
  </si>
  <si>
    <t>006-003</t>
    <phoneticPr fontId="92"/>
  </si>
  <si>
    <t>Absorption bottle (150ml) in the  box</t>
  </si>
  <si>
    <t>Circular filter paper</t>
  </si>
  <si>
    <t>Cylindrical filter paper</t>
  </si>
  <si>
    <t>Digital thermometer</t>
  </si>
  <si>
    <t>Silicone tube (6/12-5m)</t>
  </si>
  <si>
    <t>CHUGAI TECHNOS VIETNAM CO., LTD</t>
  </si>
  <si>
    <r>
      <t>PLANT NAME</t>
    </r>
    <r>
      <rPr>
        <b/>
        <sz val="11"/>
        <rFont val="ＭＳ Ｐ明朝"/>
        <family val="1"/>
        <charset val="128"/>
      </rPr>
      <t>：　</t>
    </r>
    <r>
      <rPr>
        <b/>
        <sz val="11"/>
        <rFont val="Times New Roman"/>
        <family val="1"/>
      </rPr>
      <t>Yangon Waste-to-Energy Plant
ADDRESS</t>
    </r>
    <r>
      <rPr>
        <b/>
        <sz val="11"/>
        <rFont val="ＭＳ Ｐ明朝"/>
        <family val="1"/>
        <charset val="128"/>
      </rPr>
      <t>：　</t>
    </r>
    <r>
      <rPr>
        <b/>
        <sz val="11"/>
        <rFont val="Times New Roman"/>
        <family val="1"/>
      </rPr>
      <t>Shwe Pyi Thar Town ship, Yangon City, Myanmar</t>
    </r>
  </si>
  <si>
    <t>YANGON MYANMAR</t>
  </si>
  <si>
    <t>November 10,2017</t>
  </si>
  <si>
    <t>002-006-1</t>
  </si>
  <si>
    <t>002-006-2</t>
  </si>
  <si>
    <t>Weighing bottle box
(For cylindrical filter paper)</t>
  </si>
  <si>
    <t>Weighing bottle box
(For circular filter paper)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</si>
</sst>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2" formatCode="_(&quot;$&quot;* #,##0_);_(&quot;$&quot;* \(#,##0\);_(&quot;$&quot;* &quot;-&quot;_);_(@_)"/>
    <numFmt numFmtId="43" formatCode="_(* #,##0.00_);_(* \(#,##0.00\);_(* &quot;-&quot;??_);_(@_)"/>
    <numFmt numFmtId="164" formatCode="&quot;¥&quot;#,##0;[Red]&quot;¥&quot;\-#,##0"/>
    <numFmt numFmtId="165" formatCode="&quot;¥&quot;#,##0.00;[Red]&quot;¥&quot;\-#,##0.00"/>
    <numFmt numFmtId="166" formatCode="_ * #,##0_ ;_ * \-#,##0_ ;_ * &quot;-&quot;_ ;_ @_ "/>
    <numFmt numFmtId="167" formatCode="_ [$¥-804]* #,##0.00_ ;_ [$¥-804]* \-#,##0.00_ ;_ [$¥-804]* &quot;-&quot;??_ ;_ @_ "/>
    <numFmt numFmtId="168" formatCode="&quot;¥&quot;#,##0"/>
    <numFmt numFmtId="169" formatCode="[$-409]d\-mmm\-yy;@"/>
    <numFmt numFmtId="170" formatCode="#,##0;\-#,##0;&quot;-&quot;"/>
    <numFmt numFmtId="171" formatCode="_-* #,##0.00_-;\-* #,##0.00_-;_-* &quot;-&quot;??_-;_-@_-"/>
    <numFmt numFmtId="172" formatCode="#,##0.000;[Red]&quot;¥&quot;\!\-#,##0.000"/>
    <numFmt numFmtId="173" formatCode="#,##0.00000;[Red]&quot;¥&quot;\!\-#,##0.00000"/>
    <numFmt numFmtId="174" formatCode="#,##0.0000_ "/>
    <numFmt numFmtId="175" formatCode="[$¥-804]#,##0.00;[Red][$¥-804]#,##0.00"/>
    <numFmt numFmtId="176" formatCode="_-[$¥-411]* #,##0.00_-;\-[$¥-411]* #,##0.00_-;_-[$¥-411]* &quot;-&quot;??_-;_-@_-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i/>
      <sz val="25"/>
      <name val="Times New Roman"/>
      <family val="1"/>
    </font>
    <font>
      <b/>
      <u/>
      <sz val="2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明朝"/>
      <family val="1"/>
      <charset val="128"/>
    </font>
    <font>
      <sz val="11"/>
      <color theme="1"/>
      <name val="Times New Roman"/>
      <family val="1"/>
      <charset val="163"/>
    </font>
    <font>
      <sz val="11"/>
      <color rgb="FFFF0000"/>
      <name val="Times New Roman"/>
      <family val="1"/>
    </font>
    <font>
      <sz val="11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indexed="5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8"/>
      <name val="宋体"/>
      <charset val="128"/>
    </font>
    <font>
      <sz val="11"/>
      <color indexed="9"/>
      <name val="Calibri"/>
      <family val="2"/>
    </font>
    <font>
      <sz val="11"/>
      <color indexed="9"/>
      <name val="宋体"/>
      <charset val="128"/>
    </font>
    <font>
      <sz val="11"/>
      <name val="ＭＳ 明朝"/>
      <family val="1"/>
      <charset val="128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.25"/>
      <color indexed="0"/>
      <name val="明朝"/>
      <family val="1"/>
      <charset val="128"/>
    </font>
    <font>
      <sz val="11"/>
      <color theme="1"/>
      <name val="ＭＳ Ｐゴシック"/>
      <family val="3"/>
      <charset val="128"/>
    </font>
    <font>
      <sz val="10"/>
      <name val="Arial"/>
      <family val="2"/>
    </font>
    <font>
      <sz val="10"/>
      <name val="Vni-times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ＭＳ ゴシック"/>
      <family val="3"/>
      <charset val="128"/>
    </font>
    <font>
      <sz val="11"/>
      <color indexed="52"/>
      <name val="Calibri"/>
      <family val="2"/>
    </font>
    <font>
      <sz val="10"/>
      <name val="MS Sans Serif"/>
      <family val="2"/>
    </font>
    <font>
      <sz val="9"/>
      <name val="ＭＳ Ｐゴシック"/>
      <family val="3"/>
      <charset val="12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20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宋体"/>
      <charset val="128"/>
    </font>
    <font>
      <sz val="11"/>
      <name val="ＨＧ丸ゴシックM"/>
      <family val="3"/>
      <charset val="128"/>
    </font>
    <font>
      <sz val="11"/>
      <color indexed="6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u/>
      <sz val="10"/>
      <color indexed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7"/>
      <name val="宋体"/>
      <charset val="128"/>
    </font>
    <font>
      <sz val="11"/>
      <color indexed="20"/>
      <name val="宋体"/>
      <charset val="128"/>
    </font>
    <font>
      <i/>
      <sz val="11"/>
      <color indexed="23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  <charset val="128"/>
    </font>
    <font>
      <b/>
      <sz val="15"/>
      <color indexed="56"/>
      <name val="宋体"/>
      <charset val="128"/>
    </font>
    <font>
      <b/>
      <sz val="13"/>
      <color indexed="56"/>
      <name val="宋体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sz val="11"/>
      <color theme="1"/>
      <name val="Calibri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1"/>
      <color indexed="8"/>
      <name val="宋体"/>
      <charset val="128"/>
    </font>
    <font>
      <b/>
      <sz val="11"/>
      <color indexed="5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宋体"/>
      <charset val="128"/>
    </font>
    <font>
      <b/>
      <sz val="11"/>
      <color indexed="52"/>
      <name val="宋体"/>
      <charset val="128"/>
    </font>
    <font>
      <u/>
      <sz val="11"/>
      <color indexed="12"/>
      <name val="ＭＳ Ｐゴシック"/>
      <family val="3"/>
      <charset val="128"/>
    </font>
    <font>
      <sz val="11"/>
      <color indexed="62"/>
      <name val="宋体"/>
      <charset val="128"/>
    </font>
    <font>
      <b/>
      <sz val="11"/>
      <color indexed="63"/>
      <name val="宋体"/>
      <charset val="128"/>
    </font>
    <font>
      <sz val="11"/>
      <color indexed="60"/>
      <name val="宋体"/>
      <charset val="128"/>
    </font>
    <font>
      <sz val="12"/>
      <color theme="1"/>
      <name val="Times New Roman"/>
      <family val="1"/>
    </font>
    <font>
      <sz val="11"/>
      <color indexed="52"/>
      <name val="宋体"/>
      <charset val="128"/>
    </font>
    <font>
      <b/>
      <i/>
      <sz val="11"/>
      <name val="Times New Roman"/>
      <family val="1"/>
    </font>
    <font>
      <b/>
      <sz val="28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color rgb="FF000000"/>
      <name val="Arial"/>
      <family val="2"/>
      <charset val="163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name val="ＭＳ Ｐ明朝"/>
      <family val="1"/>
      <charset val="128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9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762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169" fontId="11" fillId="4" borderId="17" applyNumberFormat="0" applyFont="0" applyAlignment="0" applyProtection="0">
      <alignment vertical="center"/>
    </xf>
    <xf numFmtId="169" fontId="12" fillId="0" borderId="0" applyNumberFormat="0" applyFill="0" applyBorder="0" applyAlignment="0" applyProtection="0">
      <alignment vertical="center"/>
    </xf>
    <xf numFmtId="169" fontId="13" fillId="5" borderId="18" applyNumberFormat="0" applyAlignment="0" applyProtection="0">
      <alignment vertical="center"/>
    </xf>
    <xf numFmtId="169" fontId="14" fillId="0" borderId="0"/>
    <xf numFmtId="169" fontId="14" fillId="0" borderId="0"/>
    <xf numFmtId="169" fontId="15" fillId="0" borderId="19" applyNumberFormat="0" applyFill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7" fillId="7" borderId="0" applyNumberFormat="0" applyBorder="0" applyAlignment="0" applyProtection="0">
      <alignment vertical="center"/>
    </xf>
    <xf numFmtId="169" fontId="18" fillId="8" borderId="0" applyNumberFormat="0" applyBorder="0" applyAlignment="0" applyProtection="0"/>
    <xf numFmtId="169" fontId="18" fillId="9" borderId="0" applyNumberFormat="0" applyBorder="0" applyAlignment="0" applyProtection="0"/>
    <xf numFmtId="169" fontId="18" fillId="10" borderId="0" applyNumberFormat="0" applyBorder="0" applyAlignment="0" applyProtection="0"/>
    <xf numFmtId="169" fontId="18" fillId="11" borderId="0" applyNumberFormat="0" applyBorder="0" applyAlignment="0" applyProtection="0"/>
    <xf numFmtId="169" fontId="18" fillId="12" borderId="0" applyNumberFormat="0" applyBorder="0" applyAlignment="0" applyProtection="0"/>
    <xf numFmtId="169" fontId="18" fillId="13" borderId="0" applyNumberFormat="0" applyBorder="0" applyAlignment="0" applyProtection="0"/>
    <xf numFmtId="169" fontId="19" fillId="8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20" fillId="8" borderId="0" applyNumberFormat="0" applyBorder="0" applyAlignment="0" applyProtection="0">
      <alignment vertical="center"/>
    </xf>
    <xf numFmtId="169" fontId="21" fillId="8" borderId="0" applyNumberFormat="0" applyBorder="0" applyAlignment="0" applyProtection="0">
      <alignment vertical="center"/>
    </xf>
    <xf numFmtId="169" fontId="20" fillId="9" borderId="0" applyNumberFormat="0" applyBorder="0" applyAlignment="0" applyProtection="0">
      <alignment vertical="center"/>
    </xf>
    <xf numFmtId="169" fontId="21" fillId="9" borderId="0" applyNumberFormat="0" applyBorder="0" applyAlignment="0" applyProtection="0">
      <alignment vertical="center"/>
    </xf>
    <xf numFmtId="169" fontId="20" fillId="10" borderId="0" applyNumberFormat="0" applyBorder="0" applyAlignment="0" applyProtection="0">
      <alignment vertical="center"/>
    </xf>
    <xf numFmtId="169" fontId="21" fillId="10" borderId="0" applyNumberFormat="0" applyBorder="0" applyAlignment="0" applyProtection="0">
      <alignment vertical="center"/>
    </xf>
    <xf numFmtId="169" fontId="20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20" fillId="12" borderId="0" applyNumberFormat="0" applyBorder="0" applyAlignment="0" applyProtection="0">
      <alignment vertical="center"/>
    </xf>
    <xf numFmtId="169" fontId="21" fillId="12" borderId="0" applyNumberFormat="0" applyBorder="0" applyAlignment="0" applyProtection="0">
      <alignment vertical="center"/>
    </xf>
    <xf numFmtId="169" fontId="20" fillId="13" borderId="0" applyNumberFormat="0" applyBorder="0" applyAlignment="0" applyProtection="0">
      <alignment vertical="center"/>
    </xf>
    <xf numFmtId="169" fontId="21" fillId="13" borderId="0" applyNumberFormat="0" applyBorder="0" applyAlignment="0" applyProtection="0">
      <alignment vertical="center"/>
    </xf>
    <xf numFmtId="169" fontId="18" fillId="14" borderId="0" applyNumberFormat="0" applyBorder="0" applyAlignment="0" applyProtection="0"/>
    <xf numFmtId="169" fontId="18" fillId="15" borderId="0" applyNumberFormat="0" applyBorder="0" applyAlignment="0" applyProtection="0"/>
    <xf numFmtId="169" fontId="18" fillId="16" borderId="0" applyNumberFormat="0" applyBorder="0" applyAlignment="0" applyProtection="0"/>
    <xf numFmtId="169" fontId="18" fillId="11" borderId="0" applyNumberFormat="0" applyBorder="0" applyAlignment="0" applyProtection="0"/>
    <xf numFmtId="169" fontId="18" fillId="14" borderId="0" applyNumberFormat="0" applyBorder="0" applyAlignment="0" applyProtection="0"/>
    <xf numFmtId="169" fontId="18" fillId="17" borderId="0" applyNumberFormat="0" applyBorder="0" applyAlignment="0" applyProtection="0"/>
    <xf numFmtId="169" fontId="19" fillId="14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20" fillId="14" borderId="0" applyNumberFormat="0" applyBorder="0" applyAlignment="0" applyProtection="0">
      <alignment vertical="center"/>
    </xf>
    <xf numFmtId="169" fontId="21" fillId="14" borderId="0" applyNumberFormat="0" applyBorder="0" applyAlignment="0" applyProtection="0">
      <alignment vertical="center"/>
    </xf>
    <xf numFmtId="169" fontId="20" fillId="15" borderId="0" applyNumberFormat="0" applyBorder="0" applyAlignment="0" applyProtection="0">
      <alignment vertical="center"/>
    </xf>
    <xf numFmtId="169" fontId="21" fillId="15" borderId="0" applyNumberFormat="0" applyBorder="0" applyAlignment="0" applyProtection="0">
      <alignment vertical="center"/>
    </xf>
    <xf numFmtId="169" fontId="20" fillId="16" borderId="0" applyNumberFormat="0" applyBorder="0" applyAlignment="0" applyProtection="0">
      <alignment vertical="center"/>
    </xf>
    <xf numFmtId="169" fontId="21" fillId="16" borderId="0" applyNumberFormat="0" applyBorder="0" applyAlignment="0" applyProtection="0">
      <alignment vertical="center"/>
    </xf>
    <xf numFmtId="169" fontId="20" fillId="11" borderId="0" applyNumberFormat="0" applyBorder="0" applyAlignment="0" applyProtection="0">
      <alignment vertical="center"/>
    </xf>
    <xf numFmtId="169" fontId="21" fillId="11" borderId="0" applyNumberFormat="0" applyBorder="0" applyAlignment="0" applyProtection="0">
      <alignment vertical="center"/>
    </xf>
    <xf numFmtId="169" fontId="20" fillId="14" borderId="0" applyNumberFormat="0" applyBorder="0" applyAlignment="0" applyProtection="0">
      <alignment vertical="center"/>
    </xf>
    <xf numFmtId="169" fontId="21" fillId="14" borderId="0" applyNumberFormat="0" applyBorder="0" applyAlignment="0" applyProtection="0">
      <alignment vertical="center"/>
    </xf>
    <xf numFmtId="169" fontId="20" fillId="17" borderId="0" applyNumberFormat="0" applyBorder="0" applyAlignment="0" applyProtection="0">
      <alignment vertical="center"/>
    </xf>
    <xf numFmtId="169" fontId="21" fillId="17" borderId="0" applyNumberFormat="0" applyBorder="0" applyAlignment="0" applyProtection="0">
      <alignment vertical="center"/>
    </xf>
    <xf numFmtId="169" fontId="22" fillId="18" borderId="0" applyNumberFormat="0" applyBorder="0" applyAlignment="0" applyProtection="0"/>
    <xf numFmtId="169" fontId="22" fillId="15" borderId="0" applyNumberFormat="0" applyBorder="0" applyAlignment="0" applyProtection="0"/>
    <xf numFmtId="169" fontId="22" fillId="16" borderId="0" applyNumberFormat="0" applyBorder="0" applyAlignment="0" applyProtection="0"/>
    <xf numFmtId="169" fontId="22" fillId="19" borderId="0" applyNumberFormat="0" applyBorder="0" applyAlignment="0" applyProtection="0"/>
    <xf numFmtId="169" fontId="22" fillId="6" borderId="0" applyNumberFormat="0" applyBorder="0" applyAlignment="0" applyProtection="0"/>
    <xf numFmtId="169" fontId="22" fillId="20" borderId="0" applyNumberFormat="0" applyBorder="0" applyAlignment="0" applyProtection="0"/>
    <xf numFmtId="169" fontId="16" fillId="18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23" fillId="18" borderId="0" applyNumberFormat="0" applyBorder="0" applyAlignment="0" applyProtection="0">
      <alignment vertical="center"/>
    </xf>
    <xf numFmtId="169" fontId="23" fillId="15" borderId="0" applyNumberFormat="0" applyBorder="0" applyAlignment="0" applyProtection="0">
      <alignment vertical="center"/>
    </xf>
    <xf numFmtId="169" fontId="23" fillId="16" borderId="0" applyNumberFormat="0" applyBorder="0" applyAlignment="0" applyProtection="0">
      <alignment vertical="center"/>
    </xf>
    <xf numFmtId="169" fontId="23" fillId="19" borderId="0" applyNumberFormat="0" applyBorder="0" applyAlignment="0" applyProtection="0">
      <alignment vertical="center"/>
    </xf>
    <xf numFmtId="169" fontId="23" fillId="6" borderId="0" applyNumberFormat="0" applyBorder="0" applyAlignment="0" applyProtection="0">
      <alignment vertical="center"/>
    </xf>
    <xf numFmtId="169" fontId="23" fillId="20" borderId="0" applyNumberFormat="0" applyBorder="0" applyAlignment="0" applyProtection="0">
      <alignment vertical="center"/>
    </xf>
    <xf numFmtId="169" fontId="24" fillId="0" borderId="20" applyNumberFormat="0" applyBorder="0" applyAlignment="0" applyProtection="0">
      <alignment horizontal="left" vertical="top"/>
      <protection locked="0"/>
    </xf>
    <xf numFmtId="169" fontId="22" fillId="21" borderId="0" applyNumberFormat="0" applyBorder="0" applyAlignment="0" applyProtection="0"/>
    <xf numFmtId="169" fontId="22" fillId="22" borderId="0" applyNumberFormat="0" applyBorder="0" applyAlignment="0" applyProtection="0"/>
    <xf numFmtId="169" fontId="22" fillId="23" borderId="0" applyNumberFormat="0" applyBorder="0" applyAlignment="0" applyProtection="0"/>
    <xf numFmtId="169" fontId="22" fillId="19" borderId="0" applyNumberFormat="0" applyBorder="0" applyAlignment="0" applyProtection="0"/>
    <xf numFmtId="169" fontId="22" fillId="6" borderId="0" applyNumberFormat="0" applyBorder="0" applyAlignment="0" applyProtection="0"/>
    <xf numFmtId="169" fontId="22" fillId="24" borderId="0" applyNumberFormat="0" applyBorder="0" applyAlignment="0" applyProtection="0"/>
    <xf numFmtId="169" fontId="25" fillId="9" borderId="0" applyNumberFormat="0" applyBorder="0" applyAlignment="0" applyProtection="0"/>
    <xf numFmtId="0" fontId="8" fillId="0" borderId="0"/>
    <xf numFmtId="170" fontId="26" fillId="0" borderId="0" applyFill="0" applyBorder="0" applyAlignment="0"/>
    <xf numFmtId="169" fontId="27" fillId="25" borderId="21" applyNumberFormat="0" applyAlignment="0" applyProtection="0"/>
    <xf numFmtId="169" fontId="28" fillId="5" borderId="18" applyNumberFormat="0" applyAlignment="0" applyProtection="0"/>
    <xf numFmtId="169" fontId="29" fillId="0" borderId="0" applyFont="0" applyFill="0" applyBorder="0" applyAlignment="0" applyProtection="0"/>
    <xf numFmtId="38" fontId="30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1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171" fontId="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8" fillId="0" borderId="0"/>
    <xf numFmtId="169" fontId="33" fillId="0" borderId="0" applyNumberFormat="0" applyFill="0" applyBorder="0" applyAlignment="0" applyProtection="0"/>
    <xf numFmtId="169" fontId="34" fillId="10" borderId="0" applyNumberFormat="0" applyBorder="0" applyAlignment="0" applyProtection="0"/>
    <xf numFmtId="38" fontId="35" fillId="26" borderId="0" applyNumberFormat="0" applyBorder="0" applyAlignment="0" applyProtection="0"/>
    <xf numFmtId="169" fontId="36" fillId="0" borderId="22" applyNumberFormat="0" applyAlignment="0" applyProtection="0">
      <alignment horizontal="left" vertical="center"/>
    </xf>
    <xf numFmtId="169" fontId="36" fillId="0" borderId="8">
      <alignment horizontal="left" vertical="center"/>
    </xf>
    <xf numFmtId="169" fontId="37" fillId="0" borderId="23" applyNumberFormat="0" applyFill="0" applyAlignment="0" applyProtection="0"/>
    <xf numFmtId="169" fontId="38" fillId="0" borderId="24" applyNumberFormat="0" applyFill="0" applyAlignment="0" applyProtection="0"/>
    <xf numFmtId="169" fontId="39" fillId="0" borderId="25" applyNumberFormat="0" applyFill="0" applyAlignment="0" applyProtection="0"/>
    <xf numFmtId="169" fontId="39" fillId="0" borderId="25" applyNumberFormat="0" applyFill="0" applyAlignment="0" applyProtection="0"/>
    <xf numFmtId="169" fontId="39" fillId="0" borderId="0" applyNumberFormat="0" applyFill="0" applyBorder="0" applyAlignment="0" applyProtection="0"/>
    <xf numFmtId="10" fontId="35" fillId="27" borderId="13" applyNumberFormat="0" applyBorder="0" applyAlignment="0" applyProtection="0"/>
    <xf numFmtId="169" fontId="40" fillId="13" borderId="21" applyNumberFormat="0" applyAlignment="0" applyProtection="0"/>
    <xf numFmtId="1" fontId="41" fillId="0" borderId="0" applyProtection="0">
      <protection locked="0"/>
    </xf>
    <xf numFmtId="169" fontId="42" fillId="0" borderId="19" applyNumberFormat="0" applyFill="0" applyAlignment="0" applyProtection="0"/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69" fontId="44" fillId="0" borderId="0">
      <alignment vertical="center"/>
    </xf>
    <xf numFmtId="169" fontId="45" fillId="7" borderId="0" applyNumberFormat="0" applyBorder="0" applyAlignment="0" applyProtection="0"/>
    <xf numFmtId="174" fontId="1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11" fillId="0" borderId="0" applyNumberFormat="0" applyFill="0" applyBorder="0" applyAlignment="0" applyProtection="0"/>
    <xf numFmtId="169" fontId="30" fillId="0" borderId="0"/>
    <xf numFmtId="0" fontId="1" fillId="0" borderId="0"/>
    <xf numFmtId="0" fontId="1" fillId="0" borderId="0"/>
    <xf numFmtId="169" fontId="11" fillId="0" borderId="0">
      <alignment vertical="center"/>
    </xf>
    <xf numFmtId="169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32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31" fillId="0" borderId="0"/>
    <xf numFmtId="169" fontId="11" fillId="4" borderId="17" applyNumberFormat="0" applyFont="0" applyAlignment="0" applyProtection="0"/>
    <xf numFmtId="169" fontId="46" fillId="25" borderId="26" applyNumberFormat="0" applyAlignment="0" applyProtection="0"/>
    <xf numFmtId="10" fontId="31" fillId="0" borderId="0" applyFont="0" applyFill="0" applyBorder="0" applyAlignment="0" applyProtection="0"/>
    <xf numFmtId="169" fontId="43" fillId="0" borderId="0" applyNumberFormat="0" applyFont="0" applyFill="0" applyBorder="0" applyAlignment="0" applyProtection="0">
      <alignment horizontal="left"/>
    </xf>
    <xf numFmtId="169" fontId="47" fillId="0" borderId="10">
      <alignment horizontal="center"/>
    </xf>
    <xf numFmtId="169" fontId="47" fillId="0" borderId="10">
      <alignment horizontal="center"/>
    </xf>
    <xf numFmtId="169" fontId="31" fillId="0" borderId="0"/>
    <xf numFmtId="169" fontId="48" fillId="0" borderId="0" applyNumberFormat="0" applyFill="0" applyBorder="0" applyAlignment="0" applyProtection="0"/>
    <xf numFmtId="169" fontId="49" fillId="0" borderId="27" applyNumberFormat="0" applyFill="0" applyAlignment="0" applyProtection="0"/>
    <xf numFmtId="169" fontId="50" fillId="0" borderId="0" applyNumberFormat="0" applyFill="0" applyBorder="0" applyAlignment="0" applyProtection="0"/>
    <xf numFmtId="169" fontId="16" fillId="21" borderId="0" applyNumberFormat="0" applyBorder="0" applyAlignment="0" applyProtection="0">
      <alignment vertical="center"/>
    </xf>
    <xf numFmtId="169" fontId="16" fillId="22" borderId="0" applyNumberFormat="0" applyBorder="0" applyAlignment="0" applyProtection="0">
      <alignment vertical="center"/>
    </xf>
    <xf numFmtId="169" fontId="16" fillId="23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6" fillId="24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5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9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9" fillId="13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9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5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9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1" fillId="0" borderId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9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9" fillId="17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17" borderId="0" applyNumberFormat="0" applyBorder="0" applyAlignment="0" applyProtection="0">
      <alignment vertical="center"/>
    </xf>
    <xf numFmtId="169" fontId="16" fillId="20" borderId="0" applyNumberFormat="0" applyBorder="0" applyAlignment="0" applyProtection="0">
      <alignment vertical="center"/>
    </xf>
    <xf numFmtId="169" fontId="19" fillId="15" borderId="0" applyNumberFormat="0" applyBorder="0" applyAlignment="0" applyProtection="0">
      <alignment vertical="center"/>
    </xf>
    <xf numFmtId="169" fontId="19" fillId="8" borderId="0" applyNumberFormat="0" applyBorder="0" applyAlignment="0" applyProtection="0">
      <alignment vertical="center"/>
    </xf>
    <xf numFmtId="169" fontId="16" fillId="16" borderId="0" applyNumberFormat="0" applyBorder="0" applyAlignment="0" applyProtection="0">
      <alignment vertical="center"/>
    </xf>
    <xf numFmtId="169" fontId="16" fillId="19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  <xf numFmtId="169" fontId="16" fillId="15" borderId="0" applyNumberFormat="0" applyBorder="0" applyAlignment="0" applyProtection="0">
      <alignment vertical="center"/>
    </xf>
    <xf numFmtId="169" fontId="19" fillId="12" borderId="0" applyNumberFormat="0" applyBorder="0" applyAlignment="0" applyProtection="0">
      <alignment vertical="center"/>
    </xf>
    <xf numFmtId="169" fontId="19" fillId="16" borderId="0" applyNumberFormat="0" applyBorder="0" applyAlignment="0" applyProtection="0">
      <alignment vertical="center"/>
    </xf>
    <xf numFmtId="169" fontId="11" fillId="0" borderId="0">
      <alignment vertical="center"/>
    </xf>
    <xf numFmtId="169" fontId="19" fillId="9" borderId="0" applyNumberFormat="0" applyBorder="0" applyAlignment="0" applyProtection="0">
      <alignment vertical="center"/>
    </xf>
    <xf numFmtId="169" fontId="16" fillId="18" borderId="0" applyNumberFormat="0" applyBorder="0" applyAlignment="0" applyProtection="0">
      <alignment vertical="center"/>
    </xf>
    <xf numFmtId="169" fontId="19" fillId="13" borderId="0" applyNumberFormat="0" applyBorder="0" applyAlignment="0" applyProtection="0">
      <alignment vertical="center"/>
    </xf>
    <xf numFmtId="169" fontId="19" fillId="14" borderId="0" applyNumberFormat="0" applyBorder="0" applyAlignment="0" applyProtection="0">
      <alignment vertical="center"/>
    </xf>
    <xf numFmtId="169" fontId="19" fillId="11" borderId="0" applyNumberFormat="0" applyBorder="0" applyAlignment="0" applyProtection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51" fillId="9" borderId="0" applyNumberFormat="0" applyBorder="0" applyAlignment="0" applyProtection="0">
      <alignment vertical="center"/>
    </xf>
    <xf numFmtId="169" fontId="12" fillId="0" borderId="0" applyNumberFormat="0" applyFill="0" applyBorder="0" applyAlignment="0" applyProtection="0">
      <alignment vertical="center"/>
    </xf>
    <xf numFmtId="169" fontId="13" fillId="5" borderId="18" applyNumberFormat="0" applyAlignment="0" applyProtection="0">
      <alignment vertical="center"/>
    </xf>
    <xf numFmtId="169" fontId="17" fillId="7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69" fontId="52" fillId="0" borderId="0" applyNumberFormat="0" applyFill="0" applyBorder="0" applyAlignment="0" applyProtection="0">
      <alignment vertical="top"/>
      <protection locked="0"/>
    </xf>
    <xf numFmtId="169" fontId="11" fillId="4" borderId="17" applyNumberFormat="0" applyFont="0" applyAlignment="0" applyProtection="0">
      <alignment vertical="center"/>
    </xf>
    <xf numFmtId="169" fontId="53" fillId="10" borderId="0" applyNumberFormat="0" applyBorder="0" applyAlignment="0" applyProtection="0">
      <alignment vertical="center"/>
    </xf>
    <xf numFmtId="169" fontId="15" fillId="0" borderId="19" applyNumberFormat="0" applyFill="0" applyAlignment="0" applyProtection="0">
      <alignment vertical="center"/>
    </xf>
    <xf numFmtId="169" fontId="54" fillId="0" borderId="0">
      <alignment vertical="center"/>
    </xf>
    <xf numFmtId="169" fontId="55" fillId="0" borderId="0"/>
    <xf numFmtId="169" fontId="56" fillId="13" borderId="21" applyNumberFormat="0" applyAlignment="0" applyProtection="0">
      <alignment vertical="center"/>
    </xf>
    <xf numFmtId="169" fontId="57" fillId="0" borderId="23" applyNumberFormat="0" applyFill="0" applyAlignment="0" applyProtection="0">
      <alignment vertical="center"/>
    </xf>
    <xf numFmtId="169" fontId="58" fillId="25" borderId="26" applyNumberFormat="0" applyAlignment="0" applyProtection="0">
      <alignment vertical="center"/>
    </xf>
    <xf numFmtId="169" fontId="58" fillId="25" borderId="26" applyNumberFormat="0" applyAlignment="0" applyProtection="0">
      <alignment vertical="center"/>
    </xf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9" fontId="59" fillId="0" borderId="0" applyNumberFormat="0" applyFill="0" applyBorder="0" applyAlignment="0" applyProtection="0"/>
    <xf numFmtId="169" fontId="60" fillId="0" borderId="0" applyNumberFormat="0" applyFill="0" applyBorder="0" applyAlignment="0" applyProtection="0">
      <alignment vertical="center"/>
    </xf>
    <xf numFmtId="169" fontId="11" fillId="0" borderId="0"/>
    <xf numFmtId="169" fontId="61" fillId="10" borderId="0" applyNumberFormat="0" applyBorder="0" applyAlignment="0" applyProtection="0">
      <alignment vertical="center"/>
    </xf>
    <xf numFmtId="169" fontId="61" fillId="10" borderId="0" applyNumberFormat="0" applyBorder="0" applyAlignment="0" applyProtection="0">
      <alignment vertical="center"/>
    </xf>
    <xf numFmtId="169" fontId="61" fillId="10" borderId="0" applyNumberFormat="0" applyBorder="0" applyAlignment="0" applyProtection="0">
      <alignment vertical="center"/>
    </xf>
    <xf numFmtId="169" fontId="61" fillId="10" borderId="0" applyNumberFormat="0" applyBorder="0" applyAlignment="0" applyProtection="0">
      <alignment vertical="center"/>
    </xf>
    <xf numFmtId="169" fontId="61" fillId="10" borderId="0" applyNumberFormat="0" applyBorder="0" applyAlignment="0" applyProtection="0">
      <alignment vertical="center"/>
    </xf>
    <xf numFmtId="169" fontId="62" fillId="9" borderId="0" applyNumberFormat="0" applyBorder="0" applyAlignment="0" applyProtection="0">
      <alignment vertical="center"/>
    </xf>
    <xf numFmtId="169" fontId="62" fillId="9" borderId="0" applyNumberFormat="0" applyBorder="0" applyAlignment="0" applyProtection="0">
      <alignment vertical="center"/>
    </xf>
    <xf numFmtId="169" fontId="62" fillId="9" borderId="0" applyNumberFormat="0" applyBorder="0" applyAlignment="0" applyProtection="0">
      <alignment vertical="center"/>
    </xf>
    <xf numFmtId="169" fontId="62" fillId="9" borderId="0" applyNumberFormat="0" applyBorder="0" applyAlignment="0" applyProtection="0">
      <alignment vertical="center"/>
    </xf>
    <xf numFmtId="169" fontId="62" fillId="9" borderId="0" applyNumberFormat="0" applyBorder="0" applyAlignment="0" applyProtection="0">
      <alignment vertical="center"/>
    </xf>
    <xf numFmtId="169" fontId="24" fillId="0" borderId="0"/>
    <xf numFmtId="169" fontId="54" fillId="0" borderId="0"/>
    <xf numFmtId="169" fontId="23" fillId="21" borderId="0" applyNumberFormat="0" applyBorder="0" applyAlignment="0" applyProtection="0">
      <alignment vertical="center"/>
    </xf>
    <xf numFmtId="169" fontId="23" fillId="22" borderId="0" applyNumberFormat="0" applyBorder="0" applyAlignment="0" applyProtection="0">
      <alignment vertical="center"/>
    </xf>
    <xf numFmtId="169" fontId="23" fillId="23" borderId="0" applyNumberFormat="0" applyBorder="0" applyAlignment="0" applyProtection="0">
      <alignment vertical="center"/>
    </xf>
    <xf numFmtId="169" fontId="23" fillId="19" borderId="0" applyNumberFormat="0" applyBorder="0" applyAlignment="0" applyProtection="0">
      <alignment vertical="center"/>
    </xf>
    <xf numFmtId="169" fontId="23" fillId="6" borderId="0" applyNumberFormat="0" applyBorder="0" applyAlignment="0" applyProtection="0">
      <alignment vertical="center"/>
    </xf>
    <xf numFmtId="169" fontId="23" fillId="24" borderId="0" applyNumberFormat="0" applyBorder="0" applyAlignment="0" applyProtection="0">
      <alignment vertical="center"/>
    </xf>
    <xf numFmtId="169" fontId="51" fillId="9" borderId="0" applyNumberFormat="0" applyBorder="0" applyAlignment="0" applyProtection="0">
      <alignment vertical="center"/>
    </xf>
    <xf numFmtId="169" fontId="63" fillId="0" borderId="0" applyNumberFormat="0" applyFill="0" applyBorder="0" applyAlignment="0" applyProtection="0">
      <alignment vertical="center"/>
    </xf>
    <xf numFmtId="169" fontId="64" fillId="0" borderId="0"/>
    <xf numFmtId="169" fontId="65" fillId="0" borderId="0" applyNumberFormat="0" applyFill="0" applyBorder="0" applyAlignment="0" applyProtection="0">
      <alignment vertical="center"/>
    </xf>
    <xf numFmtId="169" fontId="66" fillId="0" borderId="23" applyNumberFormat="0" applyFill="0" applyAlignment="0" applyProtection="0">
      <alignment vertical="center"/>
    </xf>
    <xf numFmtId="169" fontId="67" fillId="0" borderId="24" applyNumberFormat="0" applyFill="0" applyAlignment="0" applyProtection="0">
      <alignment vertical="center"/>
    </xf>
    <xf numFmtId="169" fontId="68" fillId="0" borderId="25" applyNumberFormat="0" applyFill="0" applyAlignment="0" applyProtection="0">
      <alignment vertical="center"/>
    </xf>
    <xf numFmtId="169" fontId="68" fillId="0" borderId="25" applyNumberFormat="0" applyFill="0" applyAlignment="0" applyProtection="0">
      <alignment vertical="center"/>
    </xf>
    <xf numFmtId="169" fontId="68" fillId="0" borderId="0" applyNumberFormat="0" applyFill="0" applyBorder="0" applyAlignment="0" applyProtection="0">
      <alignment vertical="center"/>
    </xf>
    <xf numFmtId="169" fontId="65" fillId="0" borderId="0" applyNumberForma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38" fontId="11" fillId="0" borderId="0" applyFont="0" applyFill="0" applyBorder="0" applyAlignment="0" applyProtection="0"/>
    <xf numFmtId="166" fontId="3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169" fontId="69" fillId="5" borderId="18" applyNumberFormat="0" applyAlignment="0" applyProtection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70" fillId="0" borderId="0"/>
    <xf numFmtId="169" fontId="30" fillId="0" borderId="0">
      <alignment vertical="center"/>
    </xf>
    <xf numFmtId="169" fontId="31" fillId="0" borderId="0"/>
    <xf numFmtId="169" fontId="71" fillId="0" borderId="0"/>
    <xf numFmtId="169" fontId="11" fillId="0" borderId="0"/>
    <xf numFmtId="169" fontId="72" fillId="0" borderId="0">
      <alignment vertical="center"/>
    </xf>
    <xf numFmtId="169" fontId="31" fillId="0" borderId="0"/>
    <xf numFmtId="169" fontId="31" fillId="0" borderId="0"/>
    <xf numFmtId="169" fontId="19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11" fillId="0" borderId="0">
      <alignment vertical="center"/>
    </xf>
    <xf numFmtId="169" fontId="30" fillId="0" borderId="0"/>
    <xf numFmtId="169" fontId="30" fillId="0" borderId="0"/>
    <xf numFmtId="169" fontId="70" fillId="0" borderId="0">
      <alignment vertical="center"/>
    </xf>
    <xf numFmtId="169" fontId="73" fillId="0" borderId="27" applyNumberFormat="0" applyFill="0" applyAlignment="0" applyProtection="0">
      <alignment vertical="center"/>
    </xf>
    <xf numFmtId="169" fontId="11" fillId="4" borderId="17" applyNumberFormat="0" applyFont="0" applyAlignment="0" applyProtection="0">
      <alignment vertical="center"/>
    </xf>
    <xf numFmtId="169" fontId="24" fillId="0" borderId="0"/>
    <xf numFmtId="169" fontId="11" fillId="0" borderId="0">
      <alignment vertical="center"/>
    </xf>
    <xf numFmtId="169" fontId="74" fillId="25" borderId="21" applyNumberFormat="0" applyAlignment="0" applyProtection="0">
      <alignment vertical="center"/>
    </xf>
    <xf numFmtId="169" fontId="53" fillId="10" borderId="0" applyNumberFormat="0" applyBorder="0" applyAlignment="0" applyProtection="0">
      <alignment vertical="center"/>
    </xf>
    <xf numFmtId="169" fontId="57" fillId="0" borderId="23" applyNumberFormat="0" applyFill="0" applyAlignment="0" applyProtection="0">
      <alignment vertical="center"/>
    </xf>
    <xf numFmtId="169" fontId="75" fillId="0" borderId="24" applyNumberFormat="0" applyFill="0" applyAlignment="0" applyProtection="0">
      <alignment vertical="center"/>
    </xf>
    <xf numFmtId="169" fontId="76" fillId="0" borderId="25" applyNumberFormat="0" applyFill="0" applyAlignment="0" applyProtection="0">
      <alignment vertical="center"/>
    </xf>
    <xf numFmtId="169" fontId="76" fillId="0" borderId="25" applyNumberFormat="0" applyFill="0" applyAlignment="0" applyProtection="0">
      <alignment vertical="center"/>
    </xf>
    <xf numFmtId="169" fontId="76" fillId="0" borderId="0" applyNumberFormat="0" applyFill="0" applyBorder="0" applyAlignment="0" applyProtection="0">
      <alignment vertical="center"/>
    </xf>
    <xf numFmtId="169" fontId="77" fillId="0" borderId="0" applyNumberFormat="0" applyFill="0" applyBorder="0" applyAlignment="0" applyProtection="0">
      <alignment vertical="center"/>
    </xf>
    <xf numFmtId="169" fontId="74" fillId="25" borderId="21" applyNumberFormat="0" applyAlignment="0" applyProtection="0">
      <alignment vertical="center"/>
    </xf>
    <xf numFmtId="169" fontId="78" fillId="0" borderId="27" applyNumberFormat="0" applyFill="0" applyAlignment="0" applyProtection="0">
      <alignment vertical="center"/>
    </xf>
    <xf numFmtId="169" fontId="63" fillId="0" borderId="0" applyNumberFormat="0" applyFill="0" applyBorder="0" applyAlignment="0" applyProtection="0">
      <alignment vertical="center"/>
    </xf>
    <xf numFmtId="169" fontId="60" fillId="0" borderId="0" applyNumberFormat="0" applyFill="0" applyBorder="0" applyAlignment="0" applyProtection="0">
      <alignment vertical="center"/>
    </xf>
    <xf numFmtId="169" fontId="79" fillId="0" borderId="0" applyNumberFormat="0" applyFill="0" applyBorder="0" applyAlignment="0" applyProtection="0">
      <alignment vertical="center"/>
    </xf>
    <xf numFmtId="169" fontId="80" fillId="25" borderId="21" applyNumberFormat="0" applyAlignment="0" applyProtection="0">
      <alignment vertical="center"/>
    </xf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9" fontId="81" fillId="0" borderId="0" applyNumberFormat="0" applyFill="0" applyBorder="0" applyAlignment="0" applyProtection="0">
      <alignment vertical="top"/>
      <protection locked="0"/>
    </xf>
    <xf numFmtId="169" fontId="82" fillId="13" borderId="21" applyNumberFormat="0" applyAlignment="0" applyProtection="0">
      <alignment vertical="center"/>
    </xf>
    <xf numFmtId="169" fontId="83" fillId="25" borderId="26" applyNumberFormat="0" applyAlignment="0" applyProtection="0">
      <alignment vertical="center"/>
    </xf>
    <xf numFmtId="169" fontId="84" fillId="7" borderId="0" applyNumberFormat="0" applyBorder="0" applyAlignment="0" applyProtection="0">
      <alignment vertical="center"/>
    </xf>
    <xf numFmtId="42" fontId="85" fillId="0" borderId="0" applyFont="0" applyFill="0" applyBorder="0" applyAlignment="0" applyProtection="0"/>
    <xf numFmtId="169" fontId="86" fillId="0" borderId="19" applyNumberFormat="0" applyFill="0" applyAlignment="0" applyProtection="0">
      <alignment vertical="center"/>
    </xf>
    <xf numFmtId="169" fontId="78" fillId="0" borderId="27" applyNumberFormat="0" applyFill="0" applyAlignment="0" applyProtection="0">
      <alignment vertical="center"/>
    </xf>
    <xf numFmtId="169" fontId="51" fillId="9" borderId="0" applyNumberFormat="0" applyBorder="0" applyAlignment="0" applyProtection="0">
      <alignment vertical="center"/>
    </xf>
    <xf numFmtId="169" fontId="63" fillId="0" borderId="0" applyNumberFormat="0" applyFill="0" applyBorder="0" applyAlignment="0" applyProtection="0">
      <alignment vertical="center"/>
    </xf>
    <xf numFmtId="169" fontId="12" fillId="0" borderId="0" applyNumberFormat="0" applyFill="0" applyBorder="0" applyAlignment="0" applyProtection="0">
      <alignment vertical="center"/>
    </xf>
    <xf numFmtId="169" fontId="76" fillId="0" borderId="25" applyNumberFormat="0" applyFill="0" applyAlignment="0" applyProtection="0">
      <alignment vertical="center"/>
    </xf>
    <xf numFmtId="169" fontId="76" fillId="0" borderId="25" applyNumberFormat="0" applyFill="0" applyAlignment="0" applyProtection="0">
      <alignment vertical="center"/>
    </xf>
    <xf numFmtId="169" fontId="15" fillId="0" borderId="19" applyNumberFormat="0" applyFill="0" applyAlignment="0" applyProtection="0">
      <alignment vertical="center"/>
    </xf>
    <xf numFmtId="169" fontId="16" fillId="6" borderId="0" applyNumberFormat="0" applyBorder="0" applyAlignment="0" applyProtection="0">
      <alignment vertical="center"/>
    </xf>
    <xf numFmtId="169" fontId="19" fillId="10" borderId="0" applyNumberFormat="0" applyBorder="0" applyAlignment="0" applyProtection="0">
      <alignment vertical="center"/>
    </xf>
  </cellStyleXfs>
  <cellXfs count="325">
    <xf numFmtId="0" fontId="0" fillId="0" borderId="0" xfId="0"/>
    <xf numFmtId="0" fontId="3" fillId="0" borderId="0" xfId="2" applyFont="1" applyFill="1" applyAlignment="1"/>
    <xf numFmtId="0" fontId="2" fillId="0" borderId="0" xfId="2">
      <alignment vertical="center"/>
    </xf>
    <xf numFmtId="3" fontId="4" fillId="0" borderId="0" xfId="2" applyNumberFormat="1" applyFont="1" applyFill="1" applyAlignment="1">
      <alignment horizontal="center"/>
    </xf>
    <xf numFmtId="167" fontId="2" fillId="0" borderId="0" xfId="2" applyNumberFormat="1">
      <alignment vertical="center"/>
    </xf>
    <xf numFmtId="0" fontId="5" fillId="0" borderId="1" xfId="2" applyFont="1" applyFill="1" applyBorder="1" applyAlignment="1"/>
    <xf numFmtId="3" fontId="5" fillId="0" borderId="1" xfId="2" applyNumberFormat="1" applyFont="1" applyFill="1" applyBorder="1" applyAlignment="1"/>
    <xf numFmtId="167" fontId="5" fillId="0" borderId="1" xfId="2" applyNumberFormat="1" applyFont="1" applyFill="1" applyBorder="1" applyAlignment="1"/>
    <xf numFmtId="0" fontId="5" fillId="0" borderId="2" xfId="2" applyFont="1" applyFill="1" applyBorder="1" applyAlignment="1"/>
    <xf numFmtId="3" fontId="5" fillId="0" borderId="3" xfId="2" applyNumberFormat="1" applyFont="1" applyFill="1" applyBorder="1" applyAlignment="1"/>
    <xf numFmtId="167" fontId="5" fillId="0" borderId="2" xfId="2" applyNumberFormat="1" applyFont="1" applyFill="1" applyBorder="1" applyAlignment="1"/>
    <xf numFmtId="0" fontId="6" fillId="0" borderId="0" xfId="2" applyFont="1" applyFill="1" applyBorder="1" applyAlignment="1"/>
    <xf numFmtId="0" fontId="5" fillId="0" borderId="0" xfId="2" applyFont="1" applyFill="1" applyBorder="1" applyAlignment="1"/>
    <xf numFmtId="3" fontId="5" fillId="0" borderId="4" xfId="2" applyNumberFormat="1" applyFont="1" applyFill="1" applyBorder="1" applyAlignment="1"/>
    <xf numFmtId="0" fontId="7" fillId="2" borderId="0" xfId="2" applyFont="1" applyFill="1" applyBorder="1" applyAlignment="1">
      <alignment horizontal="left"/>
    </xf>
    <xf numFmtId="0" fontId="7" fillId="2" borderId="0" xfId="2" applyFont="1" applyFill="1" applyBorder="1" applyAlignment="1"/>
    <xf numFmtId="15" fontId="7" fillId="2" borderId="1" xfId="2" applyNumberFormat="1" applyFont="1" applyFill="1" applyBorder="1" applyAlignment="1">
      <alignment horizontal="left"/>
    </xf>
    <xf numFmtId="0" fontId="7" fillId="2" borderId="1" xfId="2" applyFont="1" applyFill="1" applyBorder="1" applyAlignment="1"/>
    <xf numFmtId="167" fontId="5" fillId="0" borderId="0" xfId="2" applyNumberFormat="1" applyFont="1" applyFill="1" applyBorder="1" applyAlignment="1"/>
    <xf numFmtId="3" fontId="5" fillId="0" borderId="5" xfId="2" applyNumberFormat="1" applyFont="1" applyFill="1" applyBorder="1" applyAlignment="1"/>
    <xf numFmtId="167" fontId="5" fillId="0" borderId="6" xfId="2" applyNumberFormat="1" applyFont="1" applyFill="1" applyBorder="1" applyAlignment="1"/>
    <xf numFmtId="167" fontId="5" fillId="0" borderId="7" xfId="2" applyNumberFormat="1" applyFont="1" applyFill="1" applyBorder="1" applyAlignment="1"/>
    <xf numFmtId="167" fontId="5" fillId="0" borderId="7" xfId="2" applyNumberFormat="1" applyFont="1" applyFill="1" applyBorder="1" applyAlignment="1">
      <alignment wrapText="1"/>
    </xf>
    <xf numFmtId="0" fontId="5" fillId="0" borderId="0" xfId="2" applyFont="1" applyFill="1" applyBorder="1" applyAlignment="1">
      <alignment wrapText="1"/>
    </xf>
    <xf numFmtId="0" fontId="5" fillId="0" borderId="4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 wrapText="1"/>
    </xf>
    <xf numFmtId="167" fontId="5" fillId="2" borderId="7" xfId="2" applyNumberFormat="1" applyFont="1" applyFill="1" applyBorder="1" applyAlignment="1"/>
    <xf numFmtId="167" fontId="6" fillId="0" borderId="7" xfId="2" applyNumberFormat="1" applyFont="1" applyFill="1" applyBorder="1" applyAlignment="1"/>
    <xf numFmtId="0" fontId="5" fillId="0" borderId="0" xfId="2" applyFont="1" applyFill="1" applyAlignment="1"/>
    <xf numFmtId="3" fontId="5" fillId="0" borderId="0" xfId="2" applyNumberFormat="1" applyFont="1" applyFill="1" applyBorder="1" applyAlignment="1"/>
    <xf numFmtId="0" fontId="5" fillId="0" borderId="8" xfId="2" applyFont="1" applyFill="1" applyBorder="1" applyAlignment="1"/>
    <xf numFmtId="3" fontId="5" fillId="0" borderId="9" xfId="2" applyNumberFormat="1" applyFont="1" applyFill="1" applyBorder="1" applyAlignment="1"/>
    <xf numFmtId="15" fontId="5" fillId="0" borderId="1" xfId="2" applyNumberFormat="1" applyFont="1" applyFill="1" applyBorder="1" applyAlignment="1"/>
    <xf numFmtId="167" fontId="5" fillId="0" borderId="0" xfId="2" applyNumberFormat="1" applyFont="1" applyFill="1" applyAlignment="1"/>
    <xf numFmtId="0" fontId="5" fillId="0" borderId="10" xfId="2" applyFont="1" applyFill="1" applyBorder="1" applyAlignment="1"/>
    <xf numFmtId="3" fontId="5" fillId="0" borderId="10" xfId="2" applyNumberFormat="1" applyFont="1" applyFill="1" applyBorder="1" applyAlignment="1"/>
    <xf numFmtId="167" fontId="5" fillId="0" borderId="11" xfId="2" applyNumberFormat="1" applyFont="1" applyFill="1" applyBorder="1" applyAlignment="1"/>
    <xf numFmtId="0" fontId="6" fillId="2" borderId="13" xfId="2" applyFont="1" applyFill="1" applyBorder="1" applyAlignment="1"/>
    <xf numFmtId="0" fontId="6" fillId="2" borderId="13" xfId="2" applyFont="1" applyFill="1" applyBorder="1" applyAlignment="1">
      <alignment horizontal="center"/>
    </xf>
    <xf numFmtId="3" fontId="6" fillId="2" borderId="13" xfId="2" applyNumberFormat="1" applyFont="1" applyFill="1" applyBorder="1" applyAlignment="1"/>
    <xf numFmtId="3" fontId="5" fillId="0" borderId="15" xfId="2" applyNumberFormat="1" applyFont="1" applyFill="1" applyBorder="1" applyAlignment="1"/>
    <xf numFmtId="167" fontId="6" fillId="2" borderId="13" xfId="2" applyNumberFormat="1" applyFont="1" applyFill="1" applyBorder="1" applyAlignment="1">
      <alignment horizontal="center" wrapText="1"/>
    </xf>
    <xf numFmtId="0" fontId="6" fillId="2" borderId="13" xfId="2" applyFont="1" applyFill="1" applyBorder="1" applyAlignment="1">
      <alignment wrapText="1"/>
    </xf>
    <xf numFmtId="0" fontId="7" fillId="2" borderId="13" xfId="2" applyFont="1" applyFill="1" applyBorder="1" applyAlignment="1">
      <alignment horizontal="center"/>
    </xf>
    <xf numFmtId="0" fontId="7" fillId="2" borderId="14" xfId="3" applyFont="1" applyFill="1" applyBorder="1" applyAlignment="1">
      <alignment vertical="center"/>
    </xf>
    <xf numFmtId="0" fontId="7" fillId="2" borderId="8" xfId="3" applyFont="1" applyFill="1" applyBorder="1" applyAlignment="1">
      <alignment vertical="center"/>
    </xf>
    <xf numFmtId="0" fontId="7" fillId="2" borderId="13" xfId="3" applyFont="1" applyFill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168" fontId="7" fillId="2" borderId="13" xfId="2" applyNumberFormat="1" applyFont="1" applyFill="1" applyBorder="1" applyAlignment="1">
      <alignment horizontal="center"/>
    </xf>
    <xf numFmtId="0" fontId="5" fillId="2" borderId="13" xfId="3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167" fontId="7" fillId="2" borderId="0" xfId="2" applyNumberFormat="1" applyFont="1" applyFill="1" applyBorder="1" applyAlignment="1">
      <alignment horizontal="center"/>
    </xf>
    <xf numFmtId="168" fontId="7" fillId="2" borderId="0" xfId="2" applyNumberFormat="1" applyFont="1" applyFill="1" applyBorder="1" applyAlignment="1">
      <alignment horizontal="center"/>
    </xf>
    <xf numFmtId="0" fontId="7" fillId="2" borderId="0" xfId="3" applyFont="1" applyFill="1" applyBorder="1" applyAlignment="1">
      <alignment horizontal="center" vertical="center"/>
    </xf>
    <xf numFmtId="38" fontId="5" fillId="0" borderId="0" xfId="4" applyFont="1" applyFill="1" applyAlignment="1">
      <alignment horizontal="center"/>
    </xf>
    <xf numFmtId="167" fontId="5" fillId="0" borderId="0" xfId="4" applyNumberFormat="1" applyFont="1" applyFill="1" applyAlignment="1">
      <alignment horizontal="center"/>
    </xf>
    <xf numFmtId="167" fontId="5" fillId="0" borderId="0" xfId="4" applyNumberFormat="1" applyFont="1" applyFill="1"/>
    <xf numFmtId="0" fontId="5" fillId="0" borderId="0" xfId="2" applyFont="1" applyFill="1" applyAlignment="1">
      <alignment horizontal="left"/>
    </xf>
    <xf numFmtId="3" fontId="5" fillId="0" borderId="0" xfId="2" applyNumberFormat="1" applyFont="1" applyFill="1" applyAlignment="1"/>
    <xf numFmtId="0" fontId="87" fillId="0" borderId="0" xfId="87" applyFont="1" applyFill="1"/>
    <xf numFmtId="0" fontId="5" fillId="0" borderId="0" xfId="87" applyFont="1" applyFill="1" applyAlignment="1">
      <alignment horizontal="center"/>
    </xf>
    <xf numFmtId="169" fontId="7" fillId="0" borderId="0" xfId="165" applyFont="1">
      <alignment vertical="center"/>
    </xf>
    <xf numFmtId="0" fontId="5" fillId="0" borderId="1" xfId="87" applyFont="1" applyFill="1" applyBorder="1"/>
    <xf numFmtId="1" fontId="5" fillId="0" borderId="1" xfId="87" applyNumberFormat="1" applyFont="1" applyFill="1" applyBorder="1"/>
    <xf numFmtId="0" fontId="5" fillId="0" borderId="1" xfId="87" applyFont="1" applyFill="1" applyBorder="1" applyAlignment="1">
      <alignment horizontal="center"/>
    </xf>
    <xf numFmtId="0" fontId="5" fillId="0" borderId="28" xfId="87" applyFont="1" applyFill="1" applyBorder="1"/>
    <xf numFmtId="0" fontId="5" fillId="0" borderId="2" xfId="87" applyFont="1" applyBorder="1"/>
    <xf numFmtId="0" fontId="5" fillId="0" borderId="3" xfId="87" applyFont="1" applyBorder="1"/>
    <xf numFmtId="1" fontId="5" fillId="0" borderId="2" xfId="87" applyNumberFormat="1" applyFont="1" applyFill="1" applyBorder="1"/>
    <xf numFmtId="0" fontId="5" fillId="0" borderId="3" xfId="87" applyFont="1" applyBorder="1" applyAlignment="1">
      <alignment horizontal="center"/>
    </xf>
    <xf numFmtId="0" fontId="6" fillId="0" borderId="7" xfId="87" applyFont="1" applyFill="1" applyBorder="1"/>
    <xf numFmtId="0" fontId="6" fillId="0" borderId="0" xfId="87" applyFont="1" applyFill="1" applyBorder="1"/>
    <xf numFmtId="0" fontId="6" fillId="0" borderId="4" xfId="87" applyFont="1" applyFill="1" applyBorder="1"/>
    <xf numFmtId="1" fontId="7" fillId="2" borderId="0" xfId="87" applyNumberFormat="1" applyFont="1" applyFill="1" applyBorder="1"/>
    <xf numFmtId="0" fontId="7" fillId="2" borderId="4" xfId="87" applyFont="1" applyFill="1" applyBorder="1" applyAlignment="1">
      <alignment horizontal="center"/>
    </xf>
    <xf numFmtId="0" fontId="5" fillId="0" borderId="7" xfId="87" applyFont="1" applyFill="1" applyBorder="1"/>
    <xf numFmtId="0" fontId="5" fillId="0" borderId="0" xfId="87" applyFont="1" applyFill="1" applyBorder="1"/>
    <xf numFmtId="0" fontId="5" fillId="0" borderId="4" xfId="87" applyFont="1" applyFill="1" applyBorder="1"/>
    <xf numFmtId="0" fontId="5" fillId="0" borderId="0" xfId="87" applyFont="1" applyBorder="1"/>
    <xf numFmtId="0" fontId="5" fillId="0" borderId="4" xfId="87" applyFont="1" applyBorder="1"/>
    <xf numFmtId="1" fontId="5" fillId="0" borderId="0" xfId="87" applyNumberFormat="1" applyFont="1" applyFill="1" applyBorder="1"/>
    <xf numFmtId="0" fontId="5" fillId="0" borderId="4" xfId="87" applyFont="1" applyBorder="1" applyAlignment="1">
      <alignment horizontal="center"/>
    </xf>
    <xf numFmtId="0" fontId="5" fillId="0" borderId="6" xfId="87" applyFont="1" applyFill="1" applyBorder="1"/>
    <xf numFmtId="0" fontId="5" fillId="0" borderId="5" xfId="87" applyFont="1" applyFill="1" applyBorder="1"/>
    <xf numFmtId="1" fontId="7" fillId="0" borderId="0" xfId="165" applyNumberFormat="1" applyFont="1" applyBorder="1" applyAlignment="1">
      <alignment horizontal="center" vertical="center"/>
    </xf>
    <xf numFmtId="0" fontId="5" fillId="0" borderId="4" xfId="87" applyFont="1" applyFill="1" applyBorder="1" applyAlignment="1">
      <alignment horizontal="center"/>
    </xf>
    <xf numFmtId="1" fontId="5" fillId="0" borderId="28" xfId="87" applyNumberFormat="1" applyFont="1" applyFill="1" applyBorder="1"/>
    <xf numFmtId="1" fontId="5" fillId="0" borderId="6" xfId="87" applyNumberFormat="1" applyFont="1" applyFill="1" applyBorder="1"/>
    <xf numFmtId="0" fontId="5" fillId="0" borderId="5" xfId="87" applyFont="1" applyFill="1" applyBorder="1" applyAlignment="1">
      <alignment horizontal="center"/>
    </xf>
    <xf numFmtId="1" fontId="5" fillId="0" borderId="7" xfId="165" applyNumberFormat="1" applyFont="1" applyFill="1" applyBorder="1" applyAlignment="1"/>
    <xf numFmtId="169" fontId="5" fillId="0" borderId="4" xfId="165" applyFont="1" applyFill="1" applyBorder="1" applyAlignment="1"/>
    <xf numFmtId="1" fontId="7" fillId="0" borderId="0" xfId="165" applyNumberFormat="1" applyFont="1">
      <alignment vertical="center"/>
    </xf>
    <xf numFmtId="169" fontId="89" fillId="0" borderId="30" xfId="165" applyFont="1" applyBorder="1" applyAlignment="1">
      <alignment horizontal="center" vertical="center" wrapText="1"/>
    </xf>
    <xf numFmtId="1" fontId="89" fillId="0" borderId="30" xfId="165" applyNumberFormat="1" applyFont="1" applyBorder="1" applyAlignment="1">
      <alignment horizontal="center" vertical="center" wrapText="1"/>
    </xf>
    <xf numFmtId="169" fontId="89" fillId="0" borderId="31" xfId="165" applyFont="1" applyBorder="1" applyAlignment="1">
      <alignment horizontal="center" vertical="center"/>
    </xf>
    <xf numFmtId="169" fontId="7" fillId="0" borderId="0" xfId="165" applyFont="1" applyBorder="1" applyAlignment="1">
      <alignment horizontal="left" vertical="center"/>
    </xf>
    <xf numFmtId="169" fontId="7" fillId="0" borderId="0" xfId="165" applyFont="1" applyAlignment="1">
      <alignment horizontal="left" vertical="center"/>
    </xf>
    <xf numFmtId="1" fontId="7" fillId="0" borderId="0" xfId="165" applyNumberFormat="1" applyFont="1" applyAlignment="1">
      <alignment horizontal="center" vertical="center"/>
    </xf>
    <xf numFmtId="169" fontId="7" fillId="0" borderId="0" xfId="165" applyFont="1" applyAlignment="1">
      <alignment horizontal="center" vertical="center"/>
    </xf>
    <xf numFmtId="169" fontId="90" fillId="0" borderId="0" xfId="165" applyFont="1">
      <alignment vertical="center"/>
    </xf>
    <xf numFmtId="169" fontId="89" fillId="0" borderId="0" xfId="165" applyFont="1">
      <alignment vertical="center"/>
    </xf>
    <xf numFmtId="3" fontId="5" fillId="0" borderId="12" xfId="2" applyNumberFormat="1" applyFont="1" applyFill="1" applyBorder="1" applyAlignment="1"/>
    <xf numFmtId="3" fontId="5" fillId="0" borderId="13" xfId="2" applyNumberFormat="1" applyFont="1" applyFill="1" applyBorder="1" applyAlignment="1"/>
    <xf numFmtId="0" fontId="5" fillId="2" borderId="13" xfId="3" applyFont="1" applyFill="1" applyBorder="1"/>
    <xf numFmtId="0" fontId="5" fillId="2" borderId="28" xfId="3" applyFont="1" applyFill="1" applyBorder="1" applyAlignment="1"/>
    <xf numFmtId="0" fontId="5" fillId="2" borderId="2" xfId="3" applyFont="1" applyFill="1" applyBorder="1" applyAlignment="1"/>
    <xf numFmtId="0" fontId="5" fillId="2" borderId="13" xfId="3" applyFont="1" applyFill="1" applyBorder="1" applyAlignment="1">
      <alignment horizontal="left"/>
    </xf>
    <xf numFmtId="0" fontId="5" fillId="2" borderId="14" xfId="3" applyFont="1" applyFill="1" applyBorder="1" applyAlignment="1"/>
    <xf numFmtId="0" fontId="5" fillId="2" borderId="8" xfId="3" applyFont="1" applyFill="1" applyBorder="1" applyAlignment="1"/>
    <xf numFmtId="0" fontId="5" fillId="2" borderId="28" xfId="3" applyFont="1" applyFill="1" applyBorder="1" applyAlignment="1">
      <alignment horizontal="left" vertical="center"/>
    </xf>
    <xf numFmtId="0" fontId="5" fillId="2" borderId="2" xfId="3" applyFont="1" applyFill="1" applyBorder="1" applyAlignment="1">
      <alignment horizontal="left" vertical="center"/>
    </xf>
    <xf numFmtId="168" fontId="7" fillId="2" borderId="13" xfId="2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5" fillId="2" borderId="14" xfId="3" applyFont="1" applyFill="1" applyBorder="1" applyAlignment="1">
      <alignment horizontal="left"/>
    </xf>
    <xf numFmtId="168" fontId="7" fillId="2" borderId="15" xfId="2" applyNumberFormat="1" applyFont="1" applyFill="1" applyBorder="1" applyAlignment="1">
      <alignment horizontal="center" vertical="center"/>
    </xf>
    <xf numFmtId="168" fontId="7" fillId="2" borderId="15" xfId="2" applyNumberFormat="1" applyFont="1" applyFill="1" applyBorder="1" applyAlignment="1">
      <alignment horizontal="center"/>
    </xf>
    <xf numFmtId="168" fontId="7" fillId="2" borderId="15" xfId="2" applyNumberFormat="1" applyFont="1" applyFill="1" applyBorder="1" applyAlignment="1">
      <alignment horizontal="center" vertical="center" wrapText="1"/>
    </xf>
    <xf numFmtId="0" fontId="5" fillId="2" borderId="0" xfId="3" applyFont="1" applyFill="1" applyBorder="1" applyAlignment="1">
      <alignment horizontal="left" vertical="center"/>
    </xf>
    <xf numFmtId="168" fontId="7" fillId="2" borderId="13" xfId="121" applyNumberFormat="1" applyFont="1" applyFill="1" applyBorder="1" applyAlignment="1">
      <alignment horizontal="center"/>
    </xf>
    <xf numFmtId="0" fontId="10" fillId="2" borderId="13" xfId="3" applyFont="1" applyFill="1" applyBorder="1" applyAlignment="1">
      <alignment horizontal="left"/>
    </xf>
    <xf numFmtId="0" fontId="5" fillId="2" borderId="8" xfId="3" applyFont="1" applyFill="1" applyBorder="1" applyAlignment="1">
      <alignment horizontal="left"/>
    </xf>
    <xf numFmtId="0" fontId="5" fillId="2" borderId="13" xfId="3" applyFont="1" applyFill="1" applyBorder="1" applyAlignment="1">
      <alignment horizontal="left" vertical="center"/>
    </xf>
    <xf numFmtId="0" fontId="5" fillId="2" borderId="14" xfId="3" applyFont="1" applyFill="1" applyBorder="1" applyAlignment="1">
      <alignment horizontal="left" vertical="center" wrapText="1"/>
    </xf>
    <xf numFmtId="0" fontId="5" fillId="2" borderId="8" xfId="3" applyFont="1" applyFill="1" applyBorder="1" applyAlignment="1">
      <alignment horizontal="left" vertical="center" wrapText="1"/>
    </xf>
    <xf numFmtId="0" fontId="91" fillId="28" borderId="13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/>
    </xf>
    <xf numFmtId="0" fontId="2" fillId="2" borderId="0" xfId="2" applyFill="1">
      <alignment vertical="center"/>
    </xf>
    <xf numFmtId="0" fontId="7" fillId="2" borderId="14" xfId="2" applyFont="1" applyFill="1" applyBorder="1" applyAlignment="1">
      <alignment horizontal="left"/>
    </xf>
    <xf numFmtId="0" fontId="7" fillId="2" borderId="8" xfId="2" applyFont="1" applyFill="1" applyBorder="1" applyAlignment="1">
      <alignment horizontal="left"/>
    </xf>
    <xf numFmtId="0" fontId="7" fillId="2" borderId="33" xfId="3" applyFont="1" applyFill="1" applyBorder="1" applyAlignment="1">
      <alignment vertical="center"/>
    </xf>
    <xf numFmtId="0" fontId="5" fillId="0" borderId="0" xfId="2" quotePrefix="1" applyFont="1" applyFill="1" applyBorder="1" applyAlignment="1">
      <alignment horizontal="left"/>
    </xf>
    <xf numFmtId="0" fontId="87" fillId="2" borderId="0" xfId="87" applyFont="1" applyFill="1"/>
    <xf numFmtId="0" fontId="5" fillId="2" borderId="0" xfId="87" applyFont="1" applyFill="1" applyAlignment="1">
      <alignment horizontal="center"/>
    </xf>
    <xf numFmtId="1" fontId="7" fillId="2" borderId="0" xfId="165" applyNumberFormat="1" applyFont="1" applyFill="1">
      <alignment vertical="center"/>
    </xf>
    <xf numFmtId="169" fontId="7" fillId="2" borderId="0" xfId="165" applyFont="1" applyFill="1">
      <alignment vertical="center"/>
    </xf>
    <xf numFmtId="0" fontId="5" fillId="2" borderId="1" xfId="87" applyFont="1" applyFill="1" applyBorder="1"/>
    <xf numFmtId="1" fontId="5" fillId="2" borderId="1" xfId="87" applyNumberFormat="1" applyFont="1" applyFill="1" applyBorder="1"/>
    <xf numFmtId="0" fontId="5" fillId="2" borderId="1" xfId="87" applyFont="1" applyFill="1" applyBorder="1" applyAlignment="1">
      <alignment horizontal="center"/>
    </xf>
    <xf numFmtId="0" fontId="5" fillId="2" borderId="28" xfId="87" applyFont="1" applyFill="1" applyBorder="1"/>
    <xf numFmtId="0" fontId="5" fillId="2" borderId="2" xfId="87" applyFont="1" applyFill="1" applyBorder="1"/>
    <xf numFmtId="0" fontId="5" fillId="2" borderId="3" xfId="87" applyFont="1" applyFill="1" applyBorder="1"/>
    <xf numFmtId="1" fontId="5" fillId="2" borderId="2" xfId="87" applyNumberFormat="1" applyFont="1" applyFill="1" applyBorder="1"/>
    <xf numFmtId="0" fontId="5" fillId="2" borderId="3" xfId="87" applyFont="1" applyFill="1" applyBorder="1" applyAlignment="1">
      <alignment horizontal="center"/>
    </xf>
    <xf numFmtId="0" fontId="6" fillId="2" borderId="0" xfId="87" applyFont="1" applyFill="1" applyBorder="1"/>
    <xf numFmtId="0" fontId="6" fillId="2" borderId="4" xfId="87" applyFont="1" applyFill="1" applyBorder="1"/>
    <xf numFmtId="0" fontId="5" fillId="2" borderId="7" xfId="87" applyFont="1" applyFill="1" applyBorder="1"/>
    <xf numFmtId="0" fontId="5" fillId="2" borderId="0" xfId="87" applyFont="1" applyFill="1" applyBorder="1"/>
    <xf numFmtId="0" fontId="5" fillId="2" borderId="4" xfId="87" applyFont="1" applyFill="1" applyBorder="1"/>
    <xf numFmtId="1" fontId="5" fillId="2" borderId="0" xfId="87" applyNumberFormat="1" applyFont="1" applyFill="1" applyBorder="1"/>
    <xf numFmtId="0" fontId="5" fillId="2" borderId="4" xfId="87" applyFont="1" applyFill="1" applyBorder="1" applyAlignment="1">
      <alignment horizontal="center"/>
    </xf>
    <xf numFmtId="0" fontId="5" fillId="2" borderId="6" xfId="87" applyFont="1" applyFill="1" applyBorder="1"/>
    <xf numFmtId="0" fontId="5" fillId="2" borderId="5" xfId="87" applyFont="1" applyFill="1" applyBorder="1"/>
    <xf numFmtId="1" fontId="7" fillId="2" borderId="0" xfId="165" applyNumberFormat="1" applyFont="1" applyFill="1" applyBorder="1" applyAlignment="1">
      <alignment horizontal="center" vertical="center"/>
    </xf>
    <xf numFmtId="1" fontId="5" fillId="2" borderId="28" xfId="87" applyNumberFormat="1" applyFont="1" applyFill="1" applyBorder="1"/>
    <xf numFmtId="1" fontId="5" fillId="2" borderId="6" xfId="87" applyNumberFormat="1" applyFont="1" applyFill="1" applyBorder="1"/>
    <xf numFmtId="0" fontId="5" fillId="2" borderId="5" xfId="87" applyFont="1" applyFill="1" applyBorder="1" applyAlignment="1">
      <alignment horizontal="center"/>
    </xf>
    <xf numFmtId="1" fontId="5" fillId="2" borderId="7" xfId="165" applyNumberFormat="1" applyFont="1" applyFill="1" applyBorder="1" applyAlignment="1"/>
    <xf numFmtId="169" fontId="5" fillId="2" borderId="4" xfId="165" applyFont="1" applyFill="1" applyBorder="1" applyAlignment="1"/>
    <xf numFmtId="169" fontId="89" fillId="2" borderId="30" xfId="165" applyFont="1" applyFill="1" applyBorder="1" applyAlignment="1">
      <alignment horizontal="center" vertical="center" wrapText="1"/>
    </xf>
    <xf numFmtId="1" fontId="89" fillId="2" borderId="30" xfId="165" applyNumberFormat="1" applyFont="1" applyFill="1" applyBorder="1" applyAlignment="1">
      <alignment horizontal="center" vertical="center" wrapText="1"/>
    </xf>
    <xf numFmtId="169" fontId="89" fillId="2" borderId="31" xfId="165" applyFont="1" applyFill="1" applyBorder="1" applyAlignment="1">
      <alignment horizontal="center" vertical="center"/>
    </xf>
    <xf numFmtId="1" fontId="7" fillId="2" borderId="33" xfId="165" applyNumberFormat="1" applyFont="1" applyFill="1" applyBorder="1" applyAlignment="1">
      <alignment horizontal="center" vertical="center" wrapText="1"/>
    </xf>
    <xf numFmtId="1" fontId="7" fillId="2" borderId="13" xfId="165" applyNumberFormat="1" applyFont="1" applyFill="1" applyBorder="1" applyAlignment="1">
      <alignment horizontal="center" vertical="center" wrapText="1"/>
    </xf>
    <xf numFmtId="169" fontId="7" fillId="2" borderId="13" xfId="165" applyFont="1" applyFill="1" applyBorder="1" applyAlignment="1">
      <alignment horizontal="left" vertical="center"/>
    </xf>
    <xf numFmtId="1" fontId="7" fillId="2" borderId="13" xfId="165" applyNumberFormat="1" applyFont="1" applyFill="1" applyBorder="1" applyAlignment="1">
      <alignment horizontal="center" vertical="center"/>
    </xf>
    <xf numFmtId="169" fontId="7" fillId="2" borderId="15" xfId="165" applyFont="1" applyFill="1" applyBorder="1" applyAlignment="1">
      <alignment horizontal="center" vertical="center"/>
    </xf>
    <xf numFmtId="169" fontId="7" fillId="2" borderId="16" xfId="165" applyFont="1" applyFill="1" applyBorder="1" applyAlignment="1">
      <alignment horizontal="center" vertical="center"/>
    </xf>
    <xf numFmtId="169" fontId="7" fillId="3" borderId="13" xfId="165" applyFont="1" applyFill="1" applyBorder="1" applyAlignment="1">
      <alignment horizontal="left" vertical="center"/>
    </xf>
    <xf numFmtId="169" fontId="7" fillId="2" borderId="0" xfId="165" applyFont="1" applyFill="1" applyAlignment="1">
      <alignment horizontal="center" vertical="center"/>
    </xf>
    <xf numFmtId="169" fontId="7" fillId="2" borderId="0" xfId="165" applyFont="1" applyFill="1" applyAlignment="1">
      <alignment horizontal="left" vertical="center"/>
    </xf>
    <xf numFmtId="1" fontId="7" fillId="2" borderId="0" xfId="165" applyNumberFormat="1" applyFont="1" applyFill="1" applyAlignment="1">
      <alignment horizontal="center" vertical="center"/>
    </xf>
    <xf numFmtId="169" fontId="90" fillId="2" borderId="0" xfId="165" applyFont="1" applyFill="1">
      <alignment vertical="center"/>
    </xf>
    <xf numFmtId="1" fontId="89" fillId="2" borderId="0" xfId="165" applyNumberFormat="1" applyFont="1" applyFill="1" applyAlignment="1">
      <alignment horizontal="left" vertical="center"/>
    </xf>
    <xf numFmtId="169" fontId="89" fillId="2" borderId="0" xfId="165" applyFont="1" applyFill="1" applyAlignment="1">
      <alignment horizontal="left" vertical="center"/>
    </xf>
    <xf numFmtId="169" fontId="89" fillId="2" borderId="0" xfId="165" applyFont="1" applyFill="1">
      <alignment vertical="center"/>
    </xf>
    <xf numFmtId="167" fontId="2" fillId="0" borderId="0" xfId="104" applyNumberFormat="1" applyFont="1" applyAlignment="1">
      <alignment vertical="center"/>
    </xf>
    <xf numFmtId="167" fontId="5" fillId="0" borderId="1" xfId="104" applyNumberFormat="1" applyFont="1" applyFill="1" applyBorder="1" applyAlignment="1"/>
    <xf numFmtId="167" fontId="5" fillId="0" borderId="28" xfId="104" applyNumberFormat="1" applyFont="1" applyFill="1" applyBorder="1" applyAlignment="1"/>
    <xf numFmtId="167" fontId="5" fillId="0" borderId="7" xfId="104" applyNumberFormat="1" applyFont="1" applyFill="1" applyBorder="1" applyAlignment="1"/>
    <xf numFmtId="167" fontId="5" fillId="0" borderId="6" xfId="104" applyNumberFormat="1" applyFont="1" applyFill="1" applyBorder="1" applyAlignment="1"/>
    <xf numFmtId="167" fontId="5" fillId="2" borderId="7" xfId="104" applyNumberFormat="1" applyFont="1" applyFill="1" applyBorder="1" applyAlignment="1"/>
    <xf numFmtId="167" fontId="6" fillId="0" borderId="7" xfId="104" applyNumberFormat="1" applyFont="1" applyFill="1" applyBorder="1" applyAlignment="1"/>
    <xf numFmtId="167" fontId="5" fillId="0" borderId="11" xfId="104" applyNumberFormat="1" applyFont="1" applyFill="1" applyBorder="1" applyAlignment="1"/>
    <xf numFmtId="167" fontId="5" fillId="0" borderId="0" xfId="104" applyNumberFormat="1" applyFont="1" applyFill="1" applyBorder="1" applyAlignment="1"/>
    <xf numFmtId="167" fontId="6" fillId="2" borderId="13" xfId="104" applyNumberFormat="1" applyFont="1" applyFill="1" applyBorder="1" applyAlignment="1">
      <alignment horizontal="center" wrapText="1"/>
    </xf>
    <xf numFmtId="167" fontId="7" fillId="2" borderId="0" xfId="104" applyNumberFormat="1" applyFont="1" applyFill="1" applyBorder="1" applyAlignment="1">
      <alignment horizontal="center"/>
    </xf>
    <xf numFmtId="167" fontId="5" fillId="0" borderId="0" xfId="104" applyNumberFormat="1" applyFont="1" applyFill="1" applyAlignment="1">
      <alignment horizontal="center"/>
    </xf>
    <xf numFmtId="167" fontId="5" fillId="0" borderId="0" xfId="104" applyNumberFormat="1" applyFont="1" applyFill="1" applyBorder="1"/>
    <xf numFmtId="167" fontId="5" fillId="0" borderId="0" xfId="104" applyNumberFormat="1" applyFont="1" applyFill="1"/>
    <xf numFmtId="175" fontId="5" fillId="2" borderId="13" xfId="104" applyNumberFormat="1" applyFont="1" applyFill="1" applyBorder="1" applyAlignment="1">
      <alignment horizontal="center" shrinkToFit="1"/>
    </xf>
    <xf numFmtId="175" fontId="5" fillId="2" borderId="13" xfId="104" applyNumberFormat="1" applyFont="1" applyFill="1" applyBorder="1" applyAlignment="1">
      <alignment horizontal="center" vertical="center" shrinkToFit="1"/>
    </xf>
    <xf numFmtId="175" fontId="5" fillId="2" borderId="15" xfId="104" applyNumberFormat="1" applyFont="1" applyFill="1" applyBorder="1" applyAlignment="1">
      <alignment horizontal="center" vertical="center" shrinkToFit="1"/>
    </xf>
    <xf numFmtId="175" fontId="5" fillId="2" borderId="15" xfId="104" applyNumberFormat="1" applyFont="1" applyFill="1" applyBorder="1" applyAlignment="1">
      <alignment horizontal="center" shrinkToFit="1"/>
    </xf>
    <xf numFmtId="175" fontId="7" fillId="2" borderId="13" xfId="104" applyNumberFormat="1" applyFont="1" applyFill="1" applyBorder="1" applyAlignment="1">
      <alignment horizontal="center"/>
    </xf>
    <xf numFmtId="176" fontId="7" fillId="2" borderId="13" xfId="1" applyNumberFormat="1" applyFont="1" applyFill="1" applyBorder="1" applyAlignment="1">
      <alignment horizontal="center" vertical="center"/>
    </xf>
    <xf numFmtId="169" fontId="7" fillId="2" borderId="9" xfId="165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center"/>
    </xf>
    <xf numFmtId="0" fontId="6" fillId="2" borderId="8" xfId="2" applyFont="1" applyFill="1" applyBorder="1" applyAlignment="1">
      <alignment horizontal="center"/>
    </xf>
    <xf numFmtId="167" fontId="10" fillId="2" borderId="7" xfId="104" applyNumberFormat="1" applyFont="1" applyFill="1" applyBorder="1" applyAlignment="1"/>
    <xf numFmtId="167" fontId="10" fillId="2" borderId="6" xfId="104" applyNumberFormat="1" applyFont="1" applyFill="1" applyBorder="1" applyAlignment="1">
      <alignment horizontal="left"/>
    </xf>
    <xf numFmtId="169" fontId="10" fillId="0" borderId="0" xfId="165" applyFont="1">
      <alignment vertical="center"/>
    </xf>
    <xf numFmtId="3" fontId="10" fillId="0" borderId="4" xfId="2" applyNumberFormat="1" applyFont="1" applyFill="1" applyBorder="1" applyAlignment="1"/>
    <xf numFmtId="169" fontId="10" fillId="2" borderId="0" xfId="165" applyFont="1" applyFill="1">
      <alignment vertical="center"/>
    </xf>
    <xf numFmtId="0" fontId="94" fillId="0" borderId="0" xfId="2" applyFont="1" applyFill="1" applyBorder="1" applyAlignment="1"/>
    <xf numFmtId="0" fontId="10" fillId="0" borderId="0" xfId="2" applyFont="1" applyFill="1" applyBorder="1" applyAlignment="1"/>
    <xf numFmtId="0" fontId="10" fillId="0" borderId="0" xfId="2" applyFont="1" applyFill="1" applyBorder="1" applyAlignment="1">
      <alignment horizontal="center" wrapText="1"/>
    </xf>
    <xf numFmtId="0" fontId="10" fillId="0" borderId="1" xfId="2" applyFont="1" applyFill="1" applyBorder="1" applyAlignment="1"/>
    <xf numFmtId="1" fontId="10" fillId="0" borderId="7" xfId="87" applyNumberFormat="1" applyFont="1" applyFill="1" applyBorder="1" applyAlignment="1"/>
    <xf numFmtId="1" fontId="10" fillId="0" borderId="7" xfId="87" applyNumberFormat="1" applyFont="1" applyBorder="1"/>
    <xf numFmtId="0" fontId="10" fillId="0" borderId="0" xfId="2" applyFont="1" applyFill="1" applyBorder="1" applyAlignment="1">
      <alignment horizontal="left" wrapText="1"/>
    </xf>
    <xf numFmtId="0" fontId="93" fillId="0" borderId="0" xfId="2" applyFont="1">
      <alignment vertical="center"/>
    </xf>
    <xf numFmtId="0" fontId="10" fillId="0" borderId="0" xfId="2" applyFont="1" applyFill="1" applyAlignment="1"/>
    <xf numFmtId="0" fontId="94" fillId="2" borderId="0" xfId="87" applyFont="1" applyFill="1" applyBorder="1"/>
    <xf numFmtId="0" fontId="94" fillId="2" borderId="4" xfId="87" applyFont="1" applyFill="1" applyBorder="1"/>
    <xf numFmtId="1" fontId="10" fillId="2" borderId="7" xfId="87" applyNumberFormat="1" applyFont="1" applyFill="1" applyBorder="1" applyAlignment="1"/>
    <xf numFmtId="0" fontId="10" fillId="2" borderId="7" xfId="87" applyFont="1" applyFill="1" applyBorder="1"/>
    <xf numFmtId="0" fontId="10" fillId="2" borderId="0" xfId="87" applyFont="1" applyFill="1" applyBorder="1"/>
    <xf numFmtId="0" fontId="10" fillId="2" borderId="4" xfId="87" applyFont="1" applyFill="1" applyBorder="1"/>
    <xf numFmtId="1" fontId="10" fillId="2" borderId="7" xfId="87" applyNumberFormat="1" applyFont="1" applyFill="1" applyBorder="1"/>
    <xf numFmtId="169" fontId="10" fillId="0" borderId="29" xfId="165" applyFont="1" applyBorder="1">
      <alignment vertical="center"/>
    </xf>
    <xf numFmtId="169" fontId="7" fillId="3" borderId="13" xfId="165" applyFont="1" applyFill="1" applyBorder="1" applyAlignment="1">
      <alignment horizontal="left" vertical="center" wrapText="1"/>
    </xf>
    <xf numFmtId="169" fontId="7" fillId="3" borderId="0" xfId="165" applyFont="1" applyFill="1" applyBorder="1" applyAlignment="1">
      <alignment horizontal="left" vertical="center"/>
    </xf>
    <xf numFmtId="169" fontId="7" fillId="3" borderId="0" xfId="165" applyFont="1" applyFill="1" applyAlignment="1">
      <alignment horizontal="left" vertical="center"/>
    </xf>
    <xf numFmtId="1" fontId="89" fillId="3" borderId="0" xfId="165" applyNumberFormat="1" applyFont="1" applyFill="1" applyAlignment="1">
      <alignment horizontal="left" vertical="center"/>
    </xf>
    <xf numFmtId="169" fontId="89" fillId="3" borderId="0" xfId="165" applyFont="1" applyFill="1" applyAlignment="1">
      <alignment horizontal="left" vertical="center"/>
    </xf>
    <xf numFmtId="169" fontId="10" fillId="0" borderId="0" xfId="165" applyFont="1" applyAlignment="1">
      <alignment horizontal="left" vertical="center"/>
    </xf>
    <xf numFmtId="169" fontId="5" fillId="0" borderId="0" xfId="165" applyFont="1" applyAlignment="1">
      <alignment horizontal="left" vertical="center"/>
    </xf>
    <xf numFmtId="3" fontId="5" fillId="3" borderId="13" xfId="3" applyNumberFormat="1" applyFont="1" applyFill="1" applyBorder="1" applyAlignment="1">
      <alignment horizontal="center"/>
    </xf>
    <xf numFmtId="3" fontId="5" fillId="3" borderId="15" xfId="3" applyNumberFormat="1" applyFont="1" applyFill="1" applyBorder="1" applyAlignment="1">
      <alignment horizontal="center" vertical="center"/>
    </xf>
    <xf numFmtId="3" fontId="5" fillId="3" borderId="33" xfId="3" applyNumberFormat="1" applyFont="1" applyFill="1" applyBorder="1" applyAlignment="1">
      <alignment horizontal="center" vertical="center"/>
    </xf>
    <xf numFmtId="3" fontId="5" fillId="3" borderId="15" xfId="3" applyNumberFormat="1" applyFont="1" applyFill="1" applyBorder="1" applyAlignment="1">
      <alignment horizontal="center"/>
    </xf>
    <xf numFmtId="169" fontId="7" fillId="3" borderId="0" xfId="165" applyFont="1" applyFill="1" applyBorder="1" applyAlignment="1">
      <alignment horizontal="center" vertical="center"/>
    </xf>
    <xf numFmtId="169" fontId="7" fillId="3" borderId="0" xfId="165" applyFont="1" applyFill="1" applyAlignment="1">
      <alignment horizontal="center" vertical="center"/>
    </xf>
    <xf numFmtId="3" fontId="5" fillId="3" borderId="16" xfId="3" applyNumberFormat="1" applyFont="1" applyFill="1" applyBorder="1" applyAlignment="1">
      <alignment horizontal="center" vertical="center"/>
    </xf>
    <xf numFmtId="0" fontId="5" fillId="2" borderId="35" xfId="3" applyFont="1" applyFill="1" applyBorder="1" applyAlignment="1">
      <alignment horizontal="left" vertical="center"/>
    </xf>
    <xf numFmtId="1" fontId="7" fillId="2" borderId="15" xfId="165" applyNumberFormat="1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left" vertical="center"/>
    </xf>
    <xf numFmtId="1" fontId="7" fillId="0" borderId="35" xfId="165" applyNumberFormat="1" applyFont="1" applyBorder="1" applyAlignment="1">
      <alignment horizontal="center" vertical="center"/>
    </xf>
    <xf numFmtId="169" fontId="7" fillId="0" borderId="35" xfId="165" applyFont="1" applyBorder="1" applyAlignment="1">
      <alignment horizontal="center" vertical="center"/>
    </xf>
    <xf numFmtId="3" fontId="5" fillId="3" borderId="13" xfId="3" applyNumberFormat="1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/>
    </xf>
    <xf numFmtId="0" fontId="95" fillId="2" borderId="14" xfId="3" applyFont="1" applyFill="1" applyBorder="1" applyAlignment="1">
      <alignment vertical="center"/>
    </xf>
    <xf numFmtId="0" fontId="5" fillId="2" borderId="14" xfId="2" applyFont="1" applyFill="1" applyBorder="1" applyAlignment="1">
      <alignment horizontal="left"/>
    </xf>
    <xf numFmtId="3" fontId="5" fillId="2" borderId="13" xfId="2" applyNumberFormat="1" applyFont="1" applyFill="1" applyBorder="1" applyAlignment="1">
      <alignment horizontal="center"/>
    </xf>
    <xf numFmtId="0" fontId="7" fillId="2" borderId="14" xfId="3" applyFont="1" applyFill="1" applyBorder="1" applyAlignment="1">
      <alignment horizontal="left" vertical="center"/>
    </xf>
    <xf numFmtId="0" fontId="2" fillId="0" borderId="0" xfId="2" applyFill="1">
      <alignment vertical="center"/>
    </xf>
    <xf numFmtId="0" fontId="7" fillId="0" borderId="0" xfId="2" applyFont="1" applyFill="1" applyBorder="1" applyAlignment="1"/>
    <xf numFmtId="0" fontId="7" fillId="0" borderId="9" xfId="3" applyFont="1" applyFill="1" applyBorder="1" applyAlignment="1">
      <alignment vertical="center"/>
    </xf>
    <xf numFmtId="0" fontId="7" fillId="0" borderId="9" xfId="3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/>
    </xf>
    <xf numFmtId="38" fontId="5" fillId="0" borderId="0" xfId="4" applyFont="1" applyFill="1" applyBorder="1" applyAlignment="1">
      <alignment horizontal="center"/>
    </xf>
    <xf numFmtId="167" fontId="5" fillId="0" borderId="0" xfId="104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167" fontId="7" fillId="2" borderId="1" xfId="104" applyNumberFormat="1" applyFont="1" applyFill="1" applyBorder="1" applyAlignment="1">
      <alignment horizontal="center"/>
    </xf>
    <xf numFmtId="168" fontId="7" fillId="2" borderId="1" xfId="2" applyNumberFormat="1" applyFont="1" applyFill="1" applyBorder="1" applyAlignment="1">
      <alignment horizontal="center"/>
    </xf>
    <xf numFmtId="169" fontId="7" fillId="2" borderId="0" xfId="165" applyFont="1" applyFill="1" applyAlignment="1">
      <alignment horizontal="center" vertical="center"/>
    </xf>
    <xf numFmtId="169" fontId="7" fillId="2" borderId="16" xfId="165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wrapText="1"/>
    </xf>
    <xf numFmtId="0" fontId="5" fillId="2" borderId="33" xfId="3" applyFont="1" applyFill="1" applyBorder="1" applyAlignment="1"/>
    <xf numFmtId="0" fontId="5" fillId="2" borderId="13" xfId="3" applyFont="1" applyFill="1" applyBorder="1" applyAlignment="1"/>
    <xf numFmtId="0" fontId="7" fillId="0" borderId="13" xfId="2" applyFont="1" applyBorder="1" applyAlignment="1">
      <alignment horizontal="center" vertical="center"/>
    </xf>
    <xf numFmtId="1" fontId="7" fillId="0" borderId="13" xfId="165" applyNumberFormat="1" applyFont="1" applyFill="1" applyBorder="1" applyAlignment="1">
      <alignment horizontal="center" vertical="center"/>
    </xf>
    <xf numFmtId="3" fontId="5" fillId="0" borderId="13" xfId="3" applyNumberFormat="1" applyFont="1" applyFill="1" applyBorder="1" applyAlignment="1">
      <alignment horizontal="center"/>
    </xf>
    <xf numFmtId="3" fontId="5" fillId="0" borderId="15" xfId="3" applyNumberFormat="1" applyFont="1" applyFill="1" applyBorder="1" applyAlignment="1">
      <alignment horizontal="center" vertical="center"/>
    </xf>
    <xf numFmtId="169" fontId="94" fillId="2" borderId="0" xfId="165" applyFont="1" applyFill="1" applyAlignment="1">
      <alignment horizontal="left" vertical="center"/>
    </xf>
    <xf numFmtId="0" fontId="6" fillId="0" borderId="0" xfId="2" applyFont="1" applyFill="1" applyBorder="1" applyAlignment="1">
      <alignment vertical="top"/>
    </xf>
    <xf numFmtId="0" fontId="6" fillId="2" borderId="7" xfId="87" applyFont="1" applyFill="1" applyBorder="1" applyAlignment="1">
      <alignment vertical="center"/>
    </xf>
    <xf numFmtId="169" fontId="5" fillId="2" borderId="34" xfId="165" applyFont="1" applyFill="1" applyBorder="1">
      <alignment vertical="center"/>
    </xf>
    <xf numFmtId="167" fontId="10" fillId="2" borderId="0" xfId="2" applyNumberFormat="1" applyFont="1" applyFill="1" applyBorder="1" applyAlignment="1"/>
    <xf numFmtId="169" fontId="7" fillId="3" borderId="33" xfId="165" applyFont="1" applyFill="1" applyBorder="1" applyAlignment="1">
      <alignment horizontal="left" vertical="center" wrapText="1"/>
    </xf>
    <xf numFmtId="169" fontId="94" fillId="3" borderId="0" xfId="165" applyFont="1" applyFill="1" applyAlignment="1">
      <alignment horizontal="left" vertical="center"/>
    </xf>
    <xf numFmtId="0" fontId="5" fillId="2" borderId="9" xfId="3" applyFont="1" applyFill="1" applyBorder="1" applyAlignment="1">
      <alignment horizontal="left" vertical="center"/>
    </xf>
    <xf numFmtId="0" fontId="7" fillId="2" borderId="4" xfId="2" applyFont="1" applyFill="1" applyBorder="1" applyAlignment="1"/>
    <xf numFmtId="0" fontId="7" fillId="2" borderId="5" xfId="2" applyFont="1" applyFill="1" applyBorder="1" applyAlignment="1"/>
    <xf numFmtId="0" fontId="5" fillId="0" borderId="4" xfId="2" applyFont="1" applyFill="1" applyBorder="1" applyAlignment="1"/>
    <xf numFmtId="0" fontId="5" fillId="0" borderId="5" xfId="2" applyFont="1" applyFill="1" applyBorder="1" applyAlignment="1"/>
    <xf numFmtId="0" fontId="5" fillId="0" borderId="4" xfId="2" applyFont="1" applyFill="1" applyBorder="1" applyAlignment="1">
      <alignment horizontal="center" wrapText="1"/>
    </xf>
    <xf numFmtId="0" fontId="5" fillId="0" borderId="4" xfId="2" applyFont="1" applyFill="1" applyBorder="1" applyAlignment="1">
      <alignment wrapText="1"/>
    </xf>
    <xf numFmtId="0" fontId="5" fillId="0" borderId="12" xfId="2" applyFont="1" applyFill="1" applyBorder="1" applyAlignment="1"/>
    <xf numFmtId="0" fontId="5" fillId="0" borderId="3" xfId="2" applyFont="1" applyFill="1" applyBorder="1" applyAlignment="1"/>
    <xf numFmtId="0" fontId="5" fillId="3" borderId="13" xfId="3" applyFont="1" applyFill="1" applyBorder="1" applyAlignment="1">
      <alignment horizontal="left"/>
    </xf>
    <xf numFmtId="0" fontId="6" fillId="0" borderId="0" xfId="2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horizontal="left" wrapText="1"/>
    </xf>
    <xf numFmtId="0" fontId="6" fillId="2" borderId="14" xfId="2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167" fontId="5" fillId="0" borderId="7" xfId="104" applyNumberFormat="1" applyFont="1" applyFill="1" applyBorder="1" applyAlignment="1">
      <alignment horizontal="left" wrapText="1"/>
    </xf>
    <xf numFmtId="167" fontId="5" fillId="0" borderId="0" xfId="104" applyNumberFormat="1" applyFont="1" applyFill="1" applyBorder="1" applyAlignment="1">
      <alignment horizontal="left" wrapText="1"/>
    </xf>
    <xf numFmtId="169" fontId="7" fillId="2" borderId="0" xfId="165" applyFont="1" applyFill="1" applyAlignment="1">
      <alignment horizontal="center" vertical="center"/>
    </xf>
    <xf numFmtId="169" fontId="7" fillId="2" borderId="15" xfId="165" applyFont="1" applyFill="1" applyBorder="1" applyAlignment="1">
      <alignment horizontal="center" vertical="center"/>
    </xf>
    <xf numFmtId="169" fontId="7" fillId="2" borderId="16" xfId="165" applyFont="1" applyFill="1" applyBorder="1" applyAlignment="1">
      <alignment horizontal="center" vertical="center"/>
    </xf>
    <xf numFmtId="169" fontId="7" fillId="2" borderId="33" xfId="165" applyFont="1" applyFill="1" applyBorder="1" applyAlignment="1">
      <alignment horizontal="center" vertical="center"/>
    </xf>
    <xf numFmtId="0" fontId="88" fillId="2" borderId="0" xfId="87" applyFont="1" applyFill="1" applyAlignment="1">
      <alignment horizontal="center"/>
    </xf>
    <xf numFmtId="0" fontId="6" fillId="2" borderId="0" xfId="87" applyFont="1" applyFill="1" applyAlignment="1">
      <alignment horizontal="center"/>
    </xf>
    <xf numFmtId="15" fontId="7" fillId="2" borderId="1" xfId="87" applyNumberFormat="1" applyFont="1" applyFill="1" applyBorder="1" applyAlignment="1">
      <alignment horizontal="left"/>
    </xf>
    <xf numFmtId="15" fontId="7" fillId="2" borderId="5" xfId="87" applyNumberFormat="1" applyFont="1" applyFill="1" applyBorder="1" applyAlignment="1">
      <alignment horizontal="left"/>
    </xf>
    <xf numFmtId="0" fontId="5" fillId="2" borderId="7" xfId="87" applyFont="1" applyFill="1" applyBorder="1" applyAlignment="1">
      <alignment horizontal="left" wrapText="1"/>
    </xf>
    <xf numFmtId="0" fontId="5" fillId="2" borderId="4" xfId="87" applyFont="1" applyFill="1" applyBorder="1" applyAlignment="1">
      <alignment horizontal="left" wrapText="1"/>
    </xf>
    <xf numFmtId="169" fontId="7" fillId="0" borderId="15" xfId="165" applyFont="1" applyFill="1" applyBorder="1" applyAlignment="1">
      <alignment horizontal="center" vertical="center"/>
    </xf>
    <xf numFmtId="169" fontId="7" fillId="0" borderId="16" xfId="165" applyFont="1" applyFill="1" applyBorder="1" applyAlignment="1">
      <alignment horizontal="center" vertical="center"/>
    </xf>
    <xf numFmtId="169" fontId="7" fillId="0" borderId="33" xfId="165" applyFont="1" applyFill="1" applyBorder="1" applyAlignment="1">
      <alignment horizontal="center" vertical="center"/>
    </xf>
    <xf numFmtId="0" fontId="6" fillId="2" borderId="7" xfId="87" applyFont="1" applyFill="1" applyBorder="1" applyAlignment="1">
      <alignment horizontal="left" wrapText="1"/>
    </xf>
    <xf numFmtId="0" fontId="6" fillId="2" borderId="0" xfId="87" applyFont="1" applyFill="1" applyBorder="1" applyAlignment="1">
      <alignment horizontal="left" wrapText="1"/>
    </xf>
    <xf numFmtId="0" fontId="6" fillId="2" borderId="4" xfId="87" applyFont="1" applyFill="1" applyBorder="1" applyAlignment="1">
      <alignment horizontal="left" wrapText="1"/>
    </xf>
    <xf numFmtId="169" fontId="7" fillId="2" borderId="3" xfId="165" applyFont="1" applyFill="1" applyBorder="1" applyAlignment="1">
      <alignment horizontal="center" vertical="center"/>
    </xf>
    <xf numFmtId="169" fontId="7" fillId="2" borderId="4" xfId="165" applyFont="1" applyFill="1" applyBorder="1" applyAlignment="1">
      <alignment horizontal="center" vertical="center"/>
    </xf>
    <xf numFmtId="169" fontId="7" fillId="2" borderId="5" xfId="165" applyFont="1" applyFill="1" applyBorder="1" applyAlignment="1">
      <alignment horizontal="center" vertical="center"/>
    </xf>
    <xf numFmtId="169" fontId="7" fillId="2" borderId="32" xfId="165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 wrapText="1"/>
    </xf>
    <xf numFmtId="0" fontId="6" fillId="0" borderId="0" xfId="2" applyFont="1" applyFill="1" applyBorder="1" applyAlignment="1">
      <alignment horizontal="left" wrapText="1"/>
    </xf>
    <xf numFmtId="0" fontId="6" fillId="2" borderId="8" xfId="2" applyFont="1" applyFill="1" applyBorder="1" applyAlignment="1">
      <alignment horizontal="center"/>
    </xf>
    <xf numFmtId="0" fontId="6" fillId="2" borderId="15" xfId="2" applyFont="1" applyFill="1" applyBorder="1" applyAlignment="1">
      <alignment horizontal="center" wrapText="1"/>
    </xf>
    <xf numFmtId="0" fontId="6" fillId="2" borderId="16" xfId="2" applyFont="1" applyFill="1" applyBorder="1" applyAlignment="1">
      <alignment horizontal="center" wrapText="1"/>
    </xf>
    <xf numFmtId="0" fontId="6" fillId="2" borderId="33" xfId="2" applyFont="1" applyFill="1" applyBorder="1" applyAlignment="1">
      <alignment horizontal="center" wrapText="1"/>
    </xf>
    <xf numFmtId="0" fontId="88" fillId="0" borderId="0" xfId="87" applyFont="1" applyFill="1" applyAlignment="1">
      <alignment horizontal="center"/>
    </xf>
    <xf numFmtId="0" fontId="6" fillId="0" borderId="0" xfId="87" applyFont="1" applyFill="1" applyAlignment="1">
      <alignment horizontal="center"/>
    </xf>
    <xf numFmtId="0" fontId="5" fillId="0" borderId="7" xfId="87" applyFont="1" applyBorder="1" applyAlignment="1">
      <alignment horizontal="left" wrapText="1"/>
    </xf>
    <xf numFmtId="0" fontId="5" fillId="0" borderId="4" xfId="87" applyFont="1" applyBorder="1" applyAlignment="1">
      <alignment horizontal="left" wrapText="1"/>
    </xf>
    <xf numFmtId="169" fontId="7" fillId="3" borderId="16" xfId="165" applyFont="1" applyFill="1" applyBorder="1" applyAlignment="1">
      <alignment horizontal="center" vertical="center"/>
    </xf>
    <xf numFmtId="169" fontId="7" fillId="0" borderId="0" xfId="165" applyFont="1" applyAlignment="1">
      <alignment horizontal="center" vertical="center"/>
    </xf>
    <xf numFmtId="169" fontId="7" fillId="3" borderId="0" xfId="165" applyFont="1" applyFill="1" applyAlignment="1">
      <alignment horizontal="center" vertical="center"/>
    </xf>
    <xf numFmtId="0" fontId="5" fillId="2" borderId="14" xfId="3" applyFont="1" applyFill="1" applyBorder="1" applyAlignment="1">
      <alignment wrapText="1"/>
    </xf>
    <xf numFmtId="0" fontId="5" fillId="2" borderId="14" xfId="3" applyFont="1" applyFill="1" applyBorder="1" applyAlignment="1">
      <alignment horizontal="left" wrapText="1"/>
    </xf>
    <xf numFmtId="0" fontId="5" fillId="2" borderId="9" xfId="3" applyFont="1" applyFill="1" applyBorder="1" applyAlignment="1">
      <alignment horizontal="left" wrapText="1"/>
    </xf>
  </cellXfs>
  <cellStyles count="762">
    <cellStyle name="〰" xfId="5"/>
    <cellStyle name="〰〰" xfId="6"/>
    <cellStyle name="〰〰　0" xfId="7"/>
    <cellStyle name="_11年7月更新　事業会社間振替スケジュール（アンケート集計）　" xfId="8"/>
    <cellStyle name="_4★競合調査(対応内容）HK" xfId="9"/>
    <cellStyle name="〰0〰" xfId="10"/>
    <cellStyle name="〰〰0" xfId="11"/>
    <cellStyle name="〰〰〰0" xfId="12"/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20% - アクセント 1 2" xfId="19"/>
    <cellStyle name="20% - アクセント 2 2" xfId="20"/>
    <cellStyle name="20% - アクセント 3 2" xfId="21"/>
    <cellStyle name="20% - アクセント 4 2" xfId="22"/>
    <cellStyle name="20% - アクセント 5 2" xfId="23"/>
    <cellStyle name="20% - アクセント 6 2" xfId="24"/>
    <cellStyle name="20% - 强调文字颜色 1" xfId="25"/>
    <cellStyle name="20% - 强调文字颜色 1 2" xfId="26"/>
    <cellStyle name="20% - 强调文字颜色 2" xfId="27"/>
    <cellStyle name="20% - 强调文字颜色 2 2" xfId="28"/>
    <cellStyle name="20% - 强调文字颜色 3" xfId="29"/>
    <cellStyle name="20% - 强调文字颜色 3 2" xfId="30"/>
    <cellStyle name="20% - 强调文字颜色 4" xfId="31"/>
    <cellStyle name="20% - 强调文字颜色 4 2" xfId="32"/>
    <cellStyle name="20% - 强调文字颜色 5" xfId="33"/>
    <cellStyle name="20% - 强调文字颜色 5 2" xfId="34"/>
    <cellStyle name="20% - 强调文字颜色 6" xfId="35"/>
    <cellStyle name="20% - 强调文字颜色 6 2" xfId="36"/>
    <cellStyle name="40% - Accent1 2" xfId="37"/>
    <cellStyle name="40% - Accent2 2" xfId="38"/>
    <cellStyle name="40% - Accent3 2" xfId="39"/>
    <cellStyle name="40% - Accent4 2" xfId="40"/>
    <cellStyle name="40% - Accent5 2" xfId="41"/>
    <cellStyle name="40% - Accent6 2" xfId="42"/>
    <cellStyle name="40% - アクセント 1 2" xfId="43"/>
    <cellStyle name="40% - アクセント 2 2" xfId="44"/>
    <cellStyle name="40% - アクセント 3 2" xfId="45"/>
    <cellStyle name="40% - アクセント 4 2" xfId="46"/>
    <cellStyle name="40% - アクセント 5 2" xfId="47"/>
    <cellStyle name="40% - アクセント 6 2" xfId="48"/>
    <cellStyle name="40% - 强调文字颜色 1" xfId="49"/>
    <cellStyle name="40% - 强调文字颜色 1 2" xfId="50"/>
    <cellStyle name="40% - 强调文字颜色 2" xfId="51"/>
    <cellStyle name="40% - 强调文字颜色 2 2" xfId="52"/>
    <cellStyle name="40% - 强调文字颜色 3" xfId="53"/>
    <cellStyle name="40% - 强调文字颜色 3 2" xfId="54"/>
    <cellStyle name="40% - 强调文字颜色 4" xfId="55"/>
    <cellStyle name="40% - 强调文字颜色 4 2" xfId="56"/>
    <cellStyle name="40% - 强调文字颜色 5" xfId="57"/>
    <cellStyle name="40% - 强调文字颜色 5 2" xfId="58"/>
    <cellStyle name="40% - 强调文字颜色 6" xfId="59"/>
    <cellStyle name="40% - 强调文字颜色 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60% - アクセント 1 2" xfId="67"/>
    <cellStyle name="60% - アクセント 2 2" xfId="68"/>
    <cellStyle name="60% - アクセント 3 2" xfId="69"/>
    <cellStyle name="60% - アクセント 4 2" xfId="70"/>
    <cellStyle name="60% - アクセント 5 2" xfId="71"/>
    <cellStyle name="60% - アクセント 6 2" xfId="72"/>
    <cellStyle name="60% - 强调文字颜色 1" xfId="73"/>
    <cellStyle name="60% - 强调文字颜色 2" xfId="74"/>
    <cellStyle name="60% - 强调文字颜色 3" xfId="75"/>
    <cellStyle name="60% - 强调文字颜色 4" xfId="76"/>
    <cellStyle name="60% - 强调文字颜色 5" xfId="77"/>
    <cellStyle name="60% - 强调文字颜色 6" xfId="78"/>
    <cellStyle name="A" xfId="79"/>
    <cellStyle name="Accent1 2" xfId="80"/>
    <cellStyle name="Accent2 2" xfId="81"/>
    <cellStyle name="Accent3 2" xfId="82"/>
    <cellStyle name="Accent4 2" xfId="83"/>
    <cellStyle name="Accent5 2" xfId="84"/>
    <cellStyle name="Accent6 2" xfId="85"/>
    <cellStyle name="Bad 2" xfId="86"/>
    <cellStyle name="Bình thường 2" xfId="3"/>
    <cellStyle name="Bình thường 3" xfId="87"/>
    <cellStyle name="Calc Currency (0)" xfId="88"/>
    <cellStyle name="Calculation 2" xfId="89"/>
    <cellStyle name="Check Cell 2" xfId="90"/>
    <cellStyle name="Comma" xfId="1" builtinId="3"/>
    <cellStyle name="Comma [0] 2" xfId="91"/>
    <cellStyle name="Comma [0] 3" xfId="92"/>
    <cellStyle name="Comma 10" xfId="93"/>
    <cellStyle name="Comma 11" xfId="94"/>
    <cellStyle name="Comma 12" xfId="95"/>
    <cellStyle name="Comma 13" xfId="96"/>
    <cellStyle name="Comma 14" xfId="97"/>
    <cellStyle name="Comma 15" xfId="98"/>
    <cellStyle name="Comma 16" xfId="99"/>
    <cellStyle name="Comma 17" xfId="100"/>
    <cellStyle name="Comma 18" xfId="101"/>
    <cellStyle name="Comma 19" xfId="102"/>
    <cellStyle name="Comma 2" xfId="103"/>
    <cellStyle name="Comma 2 2" xfId="104"/>
    <cellStyle name="Comma 20" xfId="105"/>
    <cellStyle name="Comma 21" xfId="106"/>
    <cellStyle name="Comma 22" xfId="107"/>
    <cellStyle name="Comma 23" xfId="108"/>
    <cellStyle name="Comma 24" xfId="109"/>
    <cellStyle name="Comma 25" xfId="110"/>
    <cellStyle name="Comma 26" xfId="111"/>
    <cellStyle name="Comma 27" xfId="112"/>
    <cellStyle name="Comma 28" xfId="113"/>
    <cellStyle name="Comma 29" xfId="114"/>
    <cellStyle name="Comma 3" xfId="115"/>
    <cellStyle name="Comma 30" xfId="116"/>
    <cellStyle name="Comma 31" xfId="117"/>
    <cellStyle name="Comma 32" xfId="118"/>
    <cellStyle name="Comma 33" xfId="119"/>
    <cellStyle name="Comma 34" xfId="120"/>
    <cellStyle name="Comma 35" xfId="121"/>
    <cellStyle name="Comma 4" xfId="122"/>
    <cellStyle name="Comma 5" xfId="123"/>
    <cellStyle name="Comma 6" xfId="124"/>
    <cellStyle name="Comma 7" xfId="125"/>
    <cellStyle name="Comma 8" xfId="126"/>
    <cellStyle name="Comma 9" xfId="127"/>
    <cellStyle name="Currency [0] 2" xfId="128"/>
    <cellStyle name="Dấu phảy [0] 2" xfId="4"/>
    <cellStyle name="dialog" xfId="129"/>
    <cellStyle name="Explanatory Text 2" xfId="130"/>
    <cellStyle name="Good 2" xfId="131"/>
    <cellStyle name="Grey" xfId="132"/>
    <cellStyle name="Header1" xfId="133"/>
    <cellStyle name="Header2" xfId="134"/>
    <cellStyle name="Heading 1 2" xfId="135"/>
    <cellStyle name="Heading 2 2" xfId="136"/>
    <cellStyle name="Heading 3 2" xfId="137"/>
    <cellStyle name="Heading 3 2 2" xfId="138"/>
    <cellStyle name="Heading 4 2" xfId="139"/>
    <cellStyle name="Input [yellow]" xfId="140"/>
    <cellStyle name="Input 2" xfId="141"/>
    <cellStyle name="KWE標準" xfId="142"/>
    <cellStyle name="Linked Cell 2" xfId="143"/>
    <cellStyle name="Milliers [0]_AR1194" xfId="144"/>
    <cellStyle name="Milliers_AR1194" xfId="145"/>
    <cellStyle name="Mon騁aire [0]_AR1194" xfId="146"/>
    <cellStyle name="Mon騁aire_AR1194" xfId="147"/>
    <cellStyle name="n" xfId="148"/>
    <cellStyle name="Neutral 2" xfId="149"/>
    <cellStyle name="Normal" xfId="0" builtinId="0"/>
    <cellStyle name="Normal - Style1" xfId="150"/>
    <cellStyle name="Normal 10" xfId="151"/>
    <cellStyle name="Normal 11" xfId="152"/>
    <cellStyle name="Normal 12" xfId="153"/>
    <cellStyle name="Normal 13" xfId="154"/>
    <cellStyle name="Normal 14" xfId="155"/>
    <cellStyle name="Normal 15" xfId="156"/>
    <cellStyle name="Normal 16" xfId="157"/>
    <cellStyle name="Normal 17" xfId="158"/>
    <cellStyle name="Normal 18" xfId="159"/>
    <cellStyle name="Normal 19" xfId="160"/>
    <cellStyle name="Normal 2" xfId="161"/>
    <cellStyle name="Normal 2 2" xfId="162"/>
    <cellStyle name="Normal 2 3" xfId="163"/>
    <cellStyle name="Normal 20" xfId="164"/>
    <cellStyle name="Normal 21" xfId="165"/>
    <cellStyle name="Normal 22" xfId="166"/>
    <cellStyle name="Normal 23" xfId="167"/>
    <cellStyle name="Normal 24" xfId="168"/>
    <cellStyle name="Normal 25" xfId="169"/>
    <cellStyle name="Normal 26" xfId="170"/>
    <cellStyle name="Normal 27" xfId="171"/>
    <cellStyle name="Normal 28" xfId="172"/>
    <cellStyle name="Normal 29" xfId="173"/>
    <cellStyle name="Normal 3" xfId="174"/>
    <cellStyle name="Normal 30" xfId="175"/>
    <cellStyle name="Normal 31" xfId="176"/>
    <cellStyle name="Normal 32" xfId="2"/>
    <cellStyle name="Normal 32 2" xfId="177"/>
    <cellStyle name="Normal 33" xfId="178"/>
    <cellStyle name="Normal 4" xfId="179"/>
    <cellStyle name="Normal 5" xfId="180"/>
    <cellStyle name="Normal 6" xfId="181"/>
    <cellStyle name="Normal 7" xfId="182"/>
    <cellStyle name="Normal 8" xfId="183"/>
    <cellStyle name="Normal 9" xfId="184"/>
    <cellStyle name="Note 2" xfId="185"/>
    <cellStyle name="Output 2" xfId="186"/>
    <cellStyle name="Percent [2]" xfId="187"/>
    <cellStyle name="PSChar" xfId="188"/>
    <cellStyle name="PSHeading" xfId="189"/>
    <cellStyle name="PSHeading 2" xfId="190"/>
    <cellStyle name="Style 1" xfId="191"/>
    <cellStyle name="Title 2" xfId="192"/>
    <cellStyle name="Total 2" xfId="193"/>
    <cellStyle name="Warning Text 2" xfId="194"/>
    <cellStyle name="アクセント 1 2" xfId="195"/>
    <cellStyle name="アクセント 2 2" xfId="196"/>
    <cellStyle name="アクセント 3 2" xfId="197"/>
    <cellStyle name="アクセント 4 2" xfId="198"/>
    <cellStyle name="アクセント 5 2" xfId="199"/>
    <cellStyle name="アクセント 6 2" xfId="200"/>
    <cellStyle name="こ" xfId="201"/>
    <cellStyle name="スタイル 1" xfId="202"/>
    <cellStyle name="スタイル 10" xfId="203"/>
    <cellStyle name="スタイル 100" xfId="204"/>
    <cellStyle name="スタイル 101" xfId="205"/>
    <cellStyle name="スタイル 102" xfId="206"/>
    <cellStyle name="スタイル 103" xfId="207"/>
    <cellStyle name="スタイル 104" xfId="208"/>
    <cellStyle name="スタイル 105" xfId="209"/>
    <cellStyle name="スタイル 106" xfId="210"/>
    <cellStyle name="スタイル 107" xfId="211"/>
    <cellStyle name="スタイル 108" xfId="212"/>
    <cellStyle name="スタイル 109" xfId="213"/>
    <cellStyle name="スタイル 11" xfId="214"/>
    <cellStyle name="スタイル 110" xfId="215"/>
    <cellStyle name="スタイル 111" xfId="216"/>
    <cellStyle name="スタイル 112" xfId="217"/>
    <cellStyle name="スタイル 113" xfId="218"/>
    <cellStyle name="スタイル 114" xfId="219"/>
    <cellStyle name="スタイル 115" xfId="220"/>
    <cellStyle name="スタイル 116" xfId="221"/>
    <cellStyle name="スタイル 117" xfId="222"/>
    <cellStyle name="スタイル 118" xfId="223"/>
    <cellStyle name="スタイル 119" xfId="224"/>
    <cellStyle name="スタイル 12" xfId="225"/>
    <cellStyle name="スタイル 120" xfId="226"/>
    <cellStyle name="スタイル 121" xfId="227"/>
    <cellStyle name="スタイル 122" xfId="228"/>
    <cellStyle name="スタイル 123" xfId="229"/>
    <cellStyle name="スタイル 124" xfId="230"/>
    <cellStyle name="スタイル 125" xfId="231"/>
    <cellStyle name="スタイル 126" xfId="232"/>
    <cellStyle name="スタイル 127" xfId="233"/>
    <cellStyle name="スタイル 128" xfId="234"/>
    <cellStyle name="スタイル 129" xfId="235"/>
    <cellStyle name="スタイル 13" xfId="236"/>
    <cellStyle name="スタイル 130" xfId="237"/>
    <cellStyle name="スタイル 131" xfId="238"/>
    <cellStyle name="スタイル 132" xfId="239"/>
    <cellStyle name="スタイル 133" xfId="240"/>
    <cellStyle name="スタイル 134" xfId="241"/>
    <cellStyle name="スタイル 135" xfId="242"/>
    <cellStyle name="スタイル 136" xfId="243"/>
    <cellStyle name="スタイル 137" xfId="244"/>
    <cellStyle name="スタイル 138" xfId="245"/>
    <cellStyle name="スタイル 139" xfId="246"/>
    <cellStyle name="スタイル 14" xfId="247"/>
    <cellStyle name="スタイル 140" xfId="248"/>
    <cellStyle name="スタイル 141" xfId="249"/>
    <cellStyle name="スタイル 142" xfId="250"/>
    <cellStyle name="スタイル 143" xfId="251"/>
    <cellStyle name="スタイル 144" xfId="252"/>
    <cellStyle name="スタイル 145" xfId="253"/>
    <cellStyle name="スタイル 146" xfId="254"/>
    <cellStyle name="スタイル 147" xfId="255"/>
    <cellStyle name="スタイル 148" xfId="256"/>
    <cellStyle name="スタイル 149" xfId="257"/>
    <cellStyle name="スタイル 15" xfId="258"/>
    <cellStyle name="スタイル 150" xfId="259"/>
    <cellStyle name="スタイル 151" xfId="260"/>
    <cellStyle name="スタイル 152" xfId="261"/>
    <cellStyle name="スタイル 153" xfId="262"/>
    <cellStyle name="スタイル 154" xfId="263"/>
    <cellStyle name="スタイル 155" xfId="264"/>
    <cellStyle name="スタイル 156" xfId="265"/>
    <cellStyle name="スタイル 157" xfId="266"/>
    <cellStyle name="スタイル 158" xfId="267"/>
    <cellStyle name="スタイル 159" xfId="268"/>
    <cellStyle name="スタイル 16" xfId="269"/>
    <cellStyle name="スタイル 160" xfId="270"/>
    <cellStyle name="スタイル 161" xfId="271"/>
    <cellStyle name="スタイル 162" xfId="272"/>
    <cellStyle name="スタイル 163" xfId="273"/>
    <cellStyle name="スタイル 164" xfId="274"/>
    <cellStyle name="スタイル 165" xfId="275"/>
    <cellStyle name="スタイル 166" xfId="276"/>
    <cellStyle name="スタイル 167" xfId="277"/>
    <cellStyle name="スタイル 168" xfId="278"/>
    <cellStyle name="スタイル 169" xfId="279"/>
    <cellStyle name="スタイル 17" xfId="280"/>
    <cellStyle name="スタイル 170" xfId="281"/>
    <cellStyle name="スタイル 171" xfId="282"/>
    <cellStyle name="スタイル 172" xfId="283"/>
    <cellStyle name="スタイル 173" xfId="284"/>
    <cellStyle name="スタイル 174" xfId="285"/>
    <cellStyle name="スタイル 175" xfId="286"/>
    <cellStyle name="スタイル 176" xfId="287"/>
    <cellStyle name="スタイル 177" xfId="288"/>
    <cellStyle name="スタイル 178" xfId="289"/>
    <cellStyle name="スタイル 179" xfId="290"/>
    <cellStyle name="スタイル 18" xfId="291"/>
    <cellStyle name="スタイル 180" xfId="292"/>
    <cellStyle name="スタイル 181" xfId="293"/>
    <cellStyle name="スタイル 182" xfId="294"/>
    <cellStyle name="スタイル 183" xfId="295"/>
    <cellStyle name="スタイル 184" xfId="296"/>
    <cellStyle name="スタイル 185" xfId="297"/>
    <cellStyle name="スタイル 186" xfId="298"/>
    <cellStyle name="スタイル 187" xfId="299"/>
    <cellStyle name="スタイル 188" xfId="300"/>
    <cellStyle name="スタイル 189" xfId="301"/>
    <cellStyle name="スタイル 19" xfId="302"/>
    <cellStyle name="スタイル 190" xfId="303"/>
    <cellStyle name="スタイル 191" xfId="304"/>
    <cellStyle name="スタイル 192" xfId="305"/>
    <cellStyle name="スタイル 193" xfId="306"/>
    <cellStyle name="スタイル 194" xfId="307"/>
    <cellStyle name="スタイル 195" xfId="308"/>
    <cellStyle name="スタイル 196" xfId="309"/>
    <cellStyle name="スタイル 197" xfId="310"/>
    <cellStyle name="スタイル 198" xfId="311"/>
    <cellStyle name="スタイル 199" xfId="312"/>
    <cellStyle name="スタイル 2" xfId="313"/>
    <cellStyle name="スタイル 20" xfId="314"/>
    <cellStyle name="スタイル 200" xfId="315"/>
    <cellStyle name="スタイル 201" xfId="316"/>
    <cellStyle name="スタイル 202" xfId="317"/>
    <cellStyle name="スタイル 203" xfId="318"/>
    <cellStyle name="スタイル 204" xfId="319"/>
    <cellStyle name="スタイル 205" xfId="320"/>
    <cellStyle name="スタイル 206" xfId="321"/>
    <cellStyle name="スタイル 207" xfId="322"/>
    <cellStyle name="スタイル 208" xfId="323"/>
    <cellStyle name="スタイル 209" xfId="324"/>
    <cellStyle name="スタイル 21" xfId="325"/>
    <cellStyle name="スタイル 210" xfId="326"/>
    <cellStyle name="スタイル 211" xfId="327"/>
    <cellStyle name="スタイル 212" xfId="328"/>
    <cellStyle name="スタイル 213" xfId="329"/>
    <cellStyle name="スタイル 214" xfId="330"/>
    <cellStyle name="スタイル 215" xfId="331"/>
    <cellStyle name="スタイル 216" xfId="332"/>
    <cellStyle name="スタイル 217" xfId="333"/>
    <cellStyle name="スタイル 218" xfId="334"/>
    <cellStyle name="スタイル 219" xfId="335"/>
    <cellStyle name="スタイル 22" xfId="336"/>
    <cellStyle name="スタイル 220" xfId="337"/>
    <cellStyle name="スタイル 221" xfId="338"/>
    <cellStyle name="スタイル 222" xfId="339"/>
    <cellStyle name="スタイル 223" xfId="340"/>
    <cellStyle name="スタイル 224" xfId="341"/>
    <cellStyle name="スタイル 225" xfId="342"/>
    <cellStyle name="スタイル 226" xfId="343"/>
    <cellStyle name="スタイル 227" xfId="344"/>
    <cellStyle name="スタイル 228" xfId="345"/>
    <cellStyle name="スタイル 229" xfId="346"/>
    <cellStyle name="スタイル 23" xfId="347"/>
    <cellStyle name="スタイル 230" xfId="348"/>
    <cellStyle name="スタイル 231" xfId="349"/>
    <cellStyle name="スタイル 232" xfId="350"/>
    <cellStyle name="スタイル 233" xfId="351"/>
    <cellStyle name="スタイル 234" xfId="352"/>
    <cellStyle name="スタイル 235" xfId="353"/>
    <cellStyle name="スタイル 236" xfId="354"/>
    <cellStyle name="スタイル 237" xfId="355"/>
    <cellStyle name="スタイル 238" xfId="356"/>
    <cellStyle name="スタイル 239" xfId="357"/>
    <cellStyle name="スタイル 24" xfId="358"/>
    <cellStyle name="スタイル 240" xfId="359"/>
    <cellStyle name="スタイル 241" xfId="360"/>
    <cellStyle name="スタイル 242" xfId="361"/>
    <cellStyle name="スタイル 243" xfId="362"/>
    <cellStyle name="スタイル 244" xfId="363"/>
    <cellStyle name="スタイル 245" xfId="364"/>
    <cellStyle name="スタイル 246" xfId="365"/>
    <cellStyle name="スタイル 247" xfId="366"/>
    <cellStyle name="スタイル 248" xfId="367"/>
    <cellStyle name="スタイル 249" xfId="368"/>
    <cellStyle name="スタイル 25" xfId="369"/>
    <cellStyle name="スタイル 250" xfId="370"/>
    <cellStyle name="スタイル 251" xfId="371"/>
    <cellStyle name="スタイル 252" xfId="372"/>
    <cellStyle name="スタイル 253" xfId="373"/>
    <cellStyle name="スタイル 254" xfId="374"/>
    <cellStyle name="スタイル 255" xfId="375"/>
    <cellStyle name="スタイル 256" xfId="376"/>
    <cellStyle name="スタイル 257" xfId="377"/>
    <cellStyle name="スタイル 258" xfId="378"/>
    <cellStyle name="スタイル 259" xfId="379"/>
    <cellStyle name="スタイル 26" xfId="380"/>
    <cellStyle name="スタイル 260" xfId="381"/>
    <cellStyle name="スタイル 261" xfId="382"/>
    <cellStyle name="スタイル 262" xfId="383"/>
    <cellStyle name="スタイル 263" xfId="384"/>
    <cellStyle name="スタイル 264" xfId="385"/>
    <cellStyle name="スタイル 265" xfId="386"/>
    <cellStyle name="スタイル 266" xfId="387"/>
    <cellStyle name="スタイル 267" xfId="388"/>
    <cellStyle name="スタイル 268" xfId="389"/>
    <cellStyle name="スタイル 269" xfId="390"/>
    <cellStyle name="スタイル 27" xfId="391"/>
    <cellStyle name="スタイル 270" xfId="392"/>
    <cellStyle name="スタイル 271" xfId="393"/>
    <cellStyle name="スタイル 272" xfId="394"/>
    <cellStyle name="スタイル 273" xfId="395"/>
    <cellStyle name="スタイル 274" xfId="396"/>
    <cellStyle name="スタイル 275" xfId="397"/>
    <cellStyle name="スタイル 276" xfId="398"/>
    <cellStyle name="スタイル 277" xfId="399"/>
    <cellStyle name="スタイル 278" xfId="400"/>
    <cellStyle name="スタイル 279" xfId="401"/>
    <cellStyle name="スタイル 28" xfId="402"/>
    <cellStyle name="スタイル 280" xfId="403"/>
    <cellStyle name="スタイル 281" xfId="404"/>
    <cellStyle name="スタイル 282" xfId="405"/>
    <cellStyle name="スタイル 283" xfId="406"/>
    <cellStyle name="スタイル 284" xfId="407"/>
    <cellStyle name="スタイル 285" xfId="408"/>
    <cellStyle name="スタイル 286" xfId="409"/>
    <cellStyle name="スタイル 287" xfId="410"/>
    <cellStyle name="スタイル 288" xfId="411"/>
    <cellStyle name="スタイル 289" xfId="412"/>
    <cellStyle name="スタイル 29" xfId="413"/>
    <cellStyle name="スタイル 290" xfId="414"/>
    <cellStyle name="スタイル 291" xfId="415"/>
    <cellStyle name="スタイル 292" xfId="416"/>
    <cellStyle name="スタイル 293" xfId="417"/>
    <cellStyle name="スタイル 294" xfId="418"/>
    <cellStyle name="スタイル 295" xfId="419"/>
    <cellStyle name="スタイル 296" xfId="420"/>
    <cellStyle name="スタイル 297" xfId="421"/>
    <cellStyle name="スタイル 298" xfId="422"/>
    <cellStyle name="スタイル 299" xfId="423"/>
    <cellStyle name="スタイル 3" xfId="424"/>
    <cellStyle name="スタイル 30" xfId="425"/>
    <cellStyle name="スタイル 300" xfId="426"/>
    <cellStyle name="スタイル 301" xfId="427"/>
    <cellStyle name="スタイル 302" xfId="428"/>
    <cellStyle name="スタイル 303" xfId="429"/>
    <cellStyle name="スタイル 304" xfId="430"/>
    <cellStyle name="スタイル 305" xfId="431"/>
    <cellStyle name="スタイル 306" xfId="432"/>
    <cellStyle name="スタイル 307" xfId="433"/>
    <cellStyle name="スタイル 308" xfId="434"/>
    <cellStyle name="スタイル 309" xfId="435"/>
    <cellStyle name="スタイル 31" xfId="436"/>
    <cellStyle name="スタイル 310" xfId="437"/>
    <cellStyle name="スタイル 311" xfId="438"/>
    <cellStyle name="スタイル 312" xfId="439"/>
    <cellStyle name="スタイル 313" xfId="440"/>
    <cellStyle name="スタイル 314" xfId="441"/>
    <cellStyle name="スタイル 315" xfId="442"/>
    <cellStyle name="スタイル 316" xfId="443"/>
    <cellStyle name="スタイル 317" xfId="444"/>
    <cellStyle name="スタイル 318" xfId="445"/>
    <cellStyle name="スタイル 319" xfId="446"/>
    <cellStyle name="スタイル 32" xfId="447"/>
    <cellStyle name="スタイル 320" xfId="448"/>
    <cellStyle name="スタイル 321" xfId="449"/>
    <cellStyle name="スタイル 322" xfId="450"/>
    <cellStyle name="スタイル 323" xfId="451"/>
    <cellStyle name="スタイル 324" xfId="452"/>
    <cellStyle name="スタイル 325" xfId="453"/>
    <cellStyle name="スタイル 326" xfId="454"/>
    <cellStyle name="スタイル 327" xfId="455"/>
    <cellStyle name="スタイル 328" xfId="456"/>
    <cellStyle name="スタイル 329" xfId="457"/>
    <cellStyle name="スタイル 33" xfId="458"/>
    <cellStyle name="スタイル 330" xfId="459"/>
    <cellStyle name="スタイル 331" xfId="460"/>
    <cellStyle name="スタイル 332" xfId="461"/>
    <cellStyle name="スタイル 333" xfId="462"/>
    <cellStyle name="スタイル 334" xfId="463"/>
    <cellStyle name="スタイル 335" xfId="464"/>
    <cellStyle name="スタイル 336" xfId="465"/>
    <cellStyle name="スタイル 337" xfId="466"/>
    <cellStyle name="スタイル 338" xfId="467"/>
    <cellStyle name="スタイル 339" xfId="468"/>
    <cellStyle name="スタイル 34" xfId="469"/>
    <cellStyle name="スタイル 340" xfId="470"/>
    <cellStyle name="スタイル 341" xfId="471"/>
    <cellStyle name="スタイル 342" xfId="472"/>
    <cellStyle name="スタイル 343" xfId="473"/>
    <cellStyle name="スタイル 344" xfId="474"/>
    <cellStyle name="スタイル 345" xfId="475"/>
    <cellStyle name="スタイル 346" xfId="476"/>
    <cellStyle name="スタイル 347" xfId="477"/>
    <cellStyle name="スタイル 348" xfId="478"/>
    <cellStyle name="スタイル 349" xfId="479"/>
    <cellStyle name="スタイル 35" xfId="480"/>
    <cellStyle name="スタイル 350" xfId="481"/>
    <cellStyle name="スタイル 351" xfId="482"/>
    <cellStyle name="スタイル 352" xfId="483"/>
    <cellStyle name="スタイル 353" xfId="484"/>
    <cellStyle name="スタイル 354" xfId="485"/>
    <cellStyle name="スタイル 355" xfId="486"/>
    <cellStyle name="スタイル 356" xfId="487"/>
    <cellStyle name="スタイル 357" xfId="488"/>
    <cellStyle name="スタイル 358" xfId="489"/>
    <cellStyle name="スタイル 359" xfId="490"/>
    <cellStyle name="スタイル 36" xfId="491"/>
    <cellStyle name="スタイル 360" xfId="492"/>
    <cellStyle name="スタイル 361" xfId="493"/>
    <cellStyle name="スタイル 362" xfId="494"/>
    <cellStyle name="スタイル 363" xfId="495"/>
    <cellStyle name="スタイル 364" xfId="496"/>
    <cellStyle name="スタイル 365" xfId="497"/>
    <cellStyle name="スタイル 366" xfId="498"/>
    <cellStyle name="スタイル 367" xfId="499"/>
    <cellStyle name="スタイル 368" xfId="500"/>
    <cellStyle name="スタイル 369" xfId="501"/>
    <cellStyle name="スタイル 37" xfId="502"/>
    <cellStyle name="スタイル 370" xfId="503"/>
    <cellStyle name="スタイル 371" xfId="504"/>
    <cellStyle name="スタイル 372" xfId="505"/>
    <cellStyle name="スタイル 373" xfId="506"/>
    <cellStyle name="スタイル 374" xfId="507"/>
    <cellStyle name="スタイル 375" xfId="508"/>
    <cellStyle name="スタイル 376" xfId="509"/>
    <cellStyle name="スタイル 377" xfId="510"/>
    <cellStyle name="スタイル 378" xfId="511"/>
    <cellStyle name="スタイル 379" xfId="512"/>
    <cellStyle name="スタイル 38" xfId="513"/>
    <cellStyle name="スタイル 380" xfId="514"/>
    <cellStyle name="スタイル 381" xfId="515"/>
    <cellStyle name="スタイル 382" xfId="516"/>
    <cellStyle name="スタイル 383" xfId="517"/>
    <cellStyle name="スタイル 384" xfId="518"/>
    <cellStyle name="スタイル 385" xfId="519"/>
    <cellStyle name="スタイル 386" xfId="520"/>
    <cellStyle name="スタイル 387" xfId="521"/>
    <cellStyle name="スタイル 388" xfId="522"/>
    <cellStyle name="スタイル 389" xfId="523"/>
    <cellStyle name="スタイル 39" xfId="524"/>
    <cellStyle name="スタイル 390" xfId="525"/>
    <cellStyle name="スタイル 391" xfId="526"/>
    <cellStyle name="スタイル 392" xfId="527"/>
    <cellStyle name="スタイル 393" xfId="528"/>
    <cellStyle name="スタイル 394" xfId="529"/>
    <cellStyle name="スタイル 395" xfId="530"/>
    <cellStyle name="スタイル 396" xfId="531"/>
    <cellStyle name="スタイル 397" xfId="532"/>
    <cellStyle name="スタイル 398" xfId="533"/>
    <cellStyle name="スタイル 399" xfId="534"/>
    <cellStyle name="スタイル 4" xfId="535"/>
    <cellStyle name="スタイル 40" xfId="536"/>
    <cellStyle name="スタイル 400" xfId="537"/>
    <cellStyle name="スタイル 401" xfId="538"/>
    <cellStyle name="スタイル 402" xfId="539"/>
    <cellStyle name="スタイル 403" xfId="540"/>
    <cellStyle name="スタイル 404" xfId="541"/>
    <cellStyle name="スタイル 405" xfId="542"/>
    <cellStyle name="スタイル 406" xfId="543"/>
    <cellStyle name="スタイル 407" xfId="544"/>
    <cellStyle name="スタイル 408" xfId="545"/>
    <cellStyle name="スタイル 409" xfId="546"/>
    <cellStyle name="スタイル 41" xfId="547"/>
    <cellStyle name="スタイル 410" xfId="548"/>
    <cellStyle name="スタイル 411" xfId="549"/>
    <cellStyle name="スタイル 412" xfId="550"/>
    <cellStyle name="スタイル 413" xfId="551"/>
    <cellStyle name="スタイル 414" xfId="552"/>
    <cellStyle name="スタイル 415" xfId="553"/>
    <cellStyle name="スタイル 416" xfId="554"/>
    <cellStyle name="スタイル 417" xfId="555"/>
    <cellStyle name="スタイル 418" xfId="556"/>
    <cellStyle name="スタイル 419" xfId="557"/>
    <cellStyle name="スタイル 42" xfId="558"/>
    <cellStyle name="スタイル 420" xfId="559"/>
    <cellStyle name="スタイル 421" xfId="560"/>
    <cellStyle name="スタイル 422" xfId="561"/>
    <cellStyle name="スタイル 423" xfId="562"/>
    <cellStyle name="スタイル 424" xfId="563"/>
    <cellStyle name="スタイル 425" xfId="564"/>
    <cellStyle name="スタイル 426" xfId="565"/>
    <cellStyle name="スタイル 427" xfId="566"/>
    <cellStyle name="スタイル 428" xfId="567"/>
    <cellStyle name="スタイル 429" xfId="568"/>
    <cellStyle name="スタイル 43" xfId="569"/>
    <cellStyle name="スタイル 430" xfId="570"/>
    <cellStyle name="スタイル 431" xfId="571"/>
    <cellStyle name="スタイル 432" xfId="572"/>
    <cellStyle name="スタイル 433" xfId="573"/>
    <cellStyle name="スタイル 434" xfId="574"/>
    <cellStyle name="スタイル 435" xfId="575"/>
    <cellStyle name="スタイル 436" xfId="576"/>
    <cellStyle name="スタイル 437" xfId="577"/>
    <cellStyle name="スタイル 438" xfId="578"/>
    <cellStyle name="スタイル 439" xfId="579"/>
    <cellStyle name="スタイル 44" xfId="580"/>
    <cellStyle name="スタイル 440" xfId="581"/>
    <cellStyle name="スタイル 441" xfId="582"/>
    <cellStyle name="スタイル 442" xfId="583"/>
    <cellStyle name="スタイル 443" xfId="584"/>
    <cellStyle name="スタイル 444" xfId="585"/>
    <cellStyle name="スタイル 445" xfId="586"/>
    <cellStyle name="スタイル 446" xfId="587"/>
    <cellStyle name="スタイル 447" xfId="588"/>
    <cellStyle name="スタイル 448" xfId="589"/>
    <cellStyle name="スタイル 449" xfId="590"/>
    <cellStyle name="スタイル 45" xfId="591"/>
    <cellStyle name="スタイル 450" xfId="592"/>
    <cellStyle name="スタイル 451" xfId="593"/>
    <cellStyle name="スタイル 452" xfId="594"/>
    <cellStyle name="スタイル 453" xfId="595"/>
    <cellStyle name="スタイル 454" xfId="596"/>
    <cellStyle name="スタイル 46" xfId="597"/>
    <cellStyle name="スタイル 47" xfId="598"/>
    <cellStyle name="スタイル 48" xfId="599"/>
    <cellStyle name="スタイル 49" xfId="600"/>
    <cellStyle name="スタイル 5" xfId="601"/>
    <cellStyle name="スタイル 50" xfId="602"/>
    <cellStyle name="スタイル 51" xfId="603"/>
    <cellStyle name="スタイル 52" xfId="604"/>
    <cellStyle name="スタイル 53" xfId="605"/>
    <cellStyle name="スタイル 54" xfId="606"/>
    <cellStyle name="スタイル 55" xfId="607"/>
    <cellStyle name="スタイル 56" xfId="608"/>
    <cellStyle name="スタイル 57" xfId="609"/>
    <cellStyle name="スタイル 58" xfId="610"/>
    <cellStyle name="スタイル 59" xfId="611"/>
    <cellStyle name="スタイル 6" xfId="612"/>
    <cellStyle name="スタイル 60" xfId="613"/>
    <cellStyle name="スタイル 61" xfId="614"/>
    <cellStyle name="スタイル 62" xfId="615"/>
    <cellStyle name="スタイル 63" xfId="616"/>
    <cellStyle name="スタイル 64" xfId="617"/>
    <cellStyle name="スタイル 65" xfId="618"/>
    <cellStyle name="スタイル 66" xfId="619"/>
    <cellStyle name="スタイル 67" xfId="620"/>
    <cellStyle name="スタイル 68" xfId="621"/>
    <cellStyle name="スタイル 69" xfId="622"/>
    <cellStyle name="スタイル 7" xfId="623"/>
    <cellStyle name="スタイル 70" xfId="624"/>
    <cellStyle name="スタイル 71" xfId="625"/>
    <cellStyle name="スタイル 72" xfId="626"/>
    <cellStyle name="スタイル 73" xfId="627"/>
    <cellStyle name="スタイル 74" xfId="628"/>
    <cellStyle name="スタイル 75" xfId="629"/>
    <cellStyle name="スタイル 76" xfId="630"/>
    <cellStyle name="スタイル 77" xfId="631"/>
    <cellStyle name="スタイル 78" xfId="632"/>
    <cellStyle name="スタイル 79" xfId="633"/>
    <cellStyle name="スタイル 8" xfId="634"/>
    <cellStyle name="スタイル 80" xfId="635"/>
    <cellStyle name="スタイル 81" xfId="636"/>
    <cellStyle name="スタイル 82" xfId="637"/>
    <cellStyle name="スタイル 83" xfId="638"/>
    <cellStyle name="スタイル 84" xfId="639"/>
    <cellStyle name="スタイル 85" xfId="640"/>
    <cellStyle name="スタイル 86" xfId="641"/>
    <cellStyle name="スタイル 87" xfId="642"/>
    <cellStyle name="スタイル 88" xfId="643"/>
    <cellStyle name="スタイル 89" xfId="644"/>
    <cellStyle name="スタイル 9" xfId="645"/>
    <cellStyle name="スタイル 90" xfId="646"/>
    <cellStyle name="スタイル 91" xfId="647"/>
    <cellStyle name="スタイル 92" xfId="648"/>
    <cellStyle name="スタイル 93" xfId="649"/>
    <cellStyle name="スタイル 94" xfId="650"/>
    <cellStyle name="スタイル 95" xfId="651"/>
    <cellStyle name="スタイル 96" xfId="652"/>
    <cellStyle name="スタイル 97" xfId="653"/>
    <cellStyle name="スタイル 98" xfId="654"/>
    <cellStyle name="スタイル 99" xfId="655"/>
    <cellStyle name="だ" xfId="656"/>
    <cellStyle name="タイトル 2" xfId="657"/>
    <cellStyle name="チェック セル 2" xfId="658"/>
    <cellStyle name="どちらでもない 2" xfId="659"/>
    <cellStyle name="パーセント 2" xfId="660"/>
    <cellStyle name="ハイパーリンク 2" xfId="661"/>
    <cellStyle name="メモ 2" xfId="662"/>
    <cellStyle name="も" xfId="663"/>
    <cellStyle name="リンク セル 2" xfId="664"/>
    <cellStyle name="一般_Sheet1" xfId="665"/>
    <cellStyle name="丸ゴシック" xfId="666"/>
    <cellStyle name="入力 2" xfId="667"/>
    <cellStyle name="冉0" xfId="668"/>
    <cellStyle name="出力 2" xfId="669"/>
    <cellStyle name="剑" xfId="670"/>
    <cellStyle name="千位分隔[0]_RESULTS" xfId="671"/>
    <cellStyle name="千位分隔_RESULTS" xfId="672"/>
    <cellStyle name="卨げ" xfId="673"/>
    <cellStyle name="后继超级链接_RESULTS" xfId="674"/>
    <cellStyle name="咋e" xfId="675"/>
    <cellStyle name="堀鞊0" xfId="676"/>
    <cellStyle name="好" xfId="677"/>
    <cellStyle name="好_100702　易達様　クッション出荷可能日回答_" xfId="678"/>
    <cellStyle name="好_100707　易達　納期回答　" xfId="679"/>
    <cellStyle name="好_DB会議資料" xfId="680"/>
    <cellStyle name="好_コピー易達■10 07 02 DCM冬季出货PO 10 07 06 再调整2" xfId="681"/>
    <cellStyle name="差" xfId="682"/>
    <cellStyle name="差_100702　易達様　クッション出荷可能日回答_" xfId="683"/>
    <cellStyle name="差_100707　易達　納期回答　" xfId="684"/>
    <cellStyle name="差_DB会議資料" xfId="685"/>
    <cellStyle name="差_コピー易達■10 07 02 DCM冬季出货PO 10 07 06 再调整2" xfId="686"/>
    <cellStyle name="帀]" xfId="687"/>
    <cellStyle name="常规_norma1" xfId="688"/>
    <cellStyle name="强调文字颜色 1" xfId="689"/>
    <cellStyle name="强调文字颜色 2" xfId="690"/>
    <cellStyle name="强调文字颜色 3" xfId="691"/>
    <cellStyle name="强调文字颜色 4" xfId="692"/>
    <cellStyle name="强调文字颜色 5" xfId="693"/>
    <cellStyle name="强调文字颜色 6" xfId="694"/>
    <cellStyle name="悪い 2" xfId="695"/>
    <cellStyle name="暊e" xfId="696"/>
    <cellStyle name="未定義" xfId="697"/>
    <cellStyle name="标题" xfId="698"/>
    <cellStyle name="标题 1" xfId="699"/>
    <cellStyle name="标题 2" xfId="700"/>
    <cellStyle name="标题 3" xfId="701"/>
    <cellStyle name="标题 3 2" xfId="702"/>
    <cellStyle name="标题 4" xfId="703"/>
    <cellStyle name="标题_100702　易達様　クッション出荷可能日回答_" xfId="704"/>
    <cellStyle name="桁区切り [0.00] 2" xfId="705"/>
    <cellStyle name="桁区切り 2" xfId="706"/>
    <cellStyle name="桁区切り 3" xfId="707"/>
    <cellStyle name="桁区切り 4" xfId="708"/>
    <cellStyle name="检查单元格" xfId="709"/>
    <cellStyle name="標彨" xfId="710"/>
    <cellStyle name="標徨" xfId="711"/>
    <cellStyle name="標準 11" xfId="712"/>
    <cellStyle name="標準 2" xfId="713"/>
    <cellStyle name="標準 2 2" xfId="714"/>
    <cellStyle name="標準 2 2 2" xfId="715"/>
    <cellStyle name="標準 2 3" xfId="716"/>
    <cellStyle name="標準 2 4" xfId="717"/>
    <cellStyle name="標準 2_Sailing Schedule_2011_June" xfId="718"/>
    <cellStyle name="標準 3" xfId="719"/>
    <cellStyle name="標準 3 2" xfId="720"/>
    <cellStyle name="標準 4" xfId="721"/>
    <cellStyle name="標準 5" xfId="722"/>
    <cellStyle name="標準 6" xfId="723"/>
    <cellStyle name="標準 7" xfId="724"/>
    <cellStyle name="標準 8" xfId="725"/>
    <cellStyle name="標準 9" xfId="726"/>
    <cellStyle name="汇总" xfId="727"/>
    <cellStyle name="注释" xfId="728"/>
    <cellStyle name="湪" xfId="729"/>
    <cellStyle name="湪昀彥〰到顏〰〰" xfId="730"/>
    <cellStyle name="箊" xfId="731"/>
    <cellStyle name="良い 2" xfId="732"/>
    <cellStyle name="見出し 1 2" xfId="733"/>
    <cellStyle name="見出し 2 2" xfId="734"/>
    <cellStyle name="見出し 3 2" xfId="735"/>
    <cellStyle name="見出し 3 2 2" xfId="736"/>
    <cellStyle name="見出し 4 2" xfId="737"/>
    <cellStyle name="解释性文本" xfId="738"/>
    <cellStyle name="計算 2" xfId="739"/>
    <cellStyle name="誖" xfId="740"/>
    <cellStyle name="説明文 2" xfId="741"/>
    <cellStyle name="警告文 2" xfId="742"/>
    <cellStyle name="警告文本" xfId="743"/>
    <cellStyle name="计算" xfId="744"/>
    <cellStyle name="货币[0]_RESULTS" xfId="745"/>
    <cellStyle name="货币_RESULTS" xfId="746"/>
    <cellStyle name="超级链接_RESULTS" xfId="747"/>
    <cellStyle name="输入" xfId="748"/>
    <cellStyle name="输出" xfId="749"/>
    <cellStyle name="适中" xfId="750"/>
    <cellStyle name="通貨 2" xfId="751"/>
    <cellStyle name="链接单元格" xfId="752"/>
    <cellStyle name="集計 2" xfId="753"/>
    <cellStyle name="㼿" xfId="754"/>
    <cellStyle name="㼿?" xfId="755"/>
    <cellStyle name="㼿㼿" xfId="756"/>
    <cellStyle name="㼿㼿?" xfId="757"/>
    <cellStyle name="㼿㼿? 2" xfId="758"/>
    <cellStyle name="㼿㼿㼿" xfId="759"/>
    <cellStyle name="㼿㼿㼿?" xfId="760"/>
    <cellStyle name="㼿㼿㼿㼿㼿㼿?" xfId="76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08"/>
  <sheetViews>
    <sheetView tabSelected="1" view="pageBreakPreview" topLeftCell="A20" zoomScaleNormal="70" zoomScaleSheetLayoutView="100" workbookViewId="0">
      <selection activeCell="C28" sqref="C28"/>
    </sheetView>
  </sheetViews>
  <sheetFormatPr defaultColWidth="9.140625" defaultRowHeight="15"/>
  <cols>
    <col min="1" max="1" width="11.7109375" style="2" customWidth="1"/>
    <col min="2" max="4" width="15.7109375" style="2" customWidth="1"/>
    <col min="5" max="5" width="13.28515625" style="2" customWidth="1"/>
    <col min="6" max="6" width="15.7109375" style="2" customWidth="1"/>
    <col min="7" max="7" width="13.5703125" style="175" customWidth="1"/>
    <col min="8" max="9" width="15.7109375" style="2" customWidth="1"/>
    <col min="10" max="16384" width="9.140625" style="2"/>
  </cols>
  <sheetData>
    <row r="1" spans="1:13" ht="30.75">
      <c r="A1" s="1"/>
      <c r="F1" s="3" t="s">
        <v>0</v>
      </c>
    </row>
    <row r="2" spans="1:13">
      <c r="A2" s="5"/>
      <c r="B2" s="5"/>
      <c r="C2" s="5"/>
      <c r="D2" s="5"/>
      <c r="E2" s="5"/>
      <c r="F2" s="6"/>
      <c r="G2" s="176"/>
      <c r="H2" s="5"/>
      <c r="I2" s="5"/>
    </row>
    <row r="3" spans="1:13">
      <c r="A3" s="8" t="s">
        <v>1</v>
      </c>
      <c r="B3" s="8"/>
      <c r="C3" s="8"/>
      <c r="D3" s="8"/>
      <c r="E3" s="8"/>
      <c r="F3" s="9"/>
      <c r="G3" s="177" t="s">
        <v>2</v>
      </c>
      <c r="H3" s="8"/>
      <c r="I3" s="280"/>
    </row>
    <row r="4" spans="1:13">
      <c r="A4" s="11" t="s">
        <v>326</v>
      </c>
      <c r="B4" s="11"/>
      <c r="C4" s="11"/>
      <c r="D4" s="11"/>
      <c r="E4" s="12"/>
      <c r="F4" s="13"/>
      <c r="G4" s="198" t="s">
        <v>57</v>
      </c>
      <c r="H4" s="14"/>
      <c r="I4" s="273"/>
    </row>
    <row r="5" spans="1:13">
      <c r="A5" s="12" t="s">
        <v>4</v>
      </c>
      <c r="B5" s="12"/>
      <c r="C5" s="12"/>
      <c r="D5" s="12"/>
      <c r="E5" s="12"/>
      <c r="F5" s="13"/>
      <c r="G5" s="199" t="s">
        <v>247</v>
      </c>
      <c r="H5" s="16"/>
      <c r="I5" s="274"/>
    </row>
    <row r="6" spans="1:13">
      <c r="A6" s="12" t="s">
        <v>5</v>
      </c>
      <c r="B6" s="12"/>
      <c r="C6" s="12"/>
      <c r="D6" s="12"/>
      <c r="E6" s="12"/>
      <c r="F6" s="13"/>
      <c r="G6" s="178" t="s">
        <v>6</v>
      </c>
      <c r="H6" s="12"/>
      <c r="I6" s="275"/>
    </row>
    <row r="7" spans="1:13">
      <c r="A7" s="12" t="s">
        <v>7</v>
      </c>
      <c r="B7" s="12"/>
      <c r="C7" s="12"/>
      <c r="D7" s="12"/>
      <c r="E7" s="12"/>
      <c r="F7" s="13"/>
      <c r="G7" s="178" t="s">
        <v>8</v>
      </c>
      <c r="H7" s="12"/>
      <c r="I7" s="275"/>
    </row>
    <row r="8" spans="1:13">
      <c r="A8" s="5" t="s">
        <v>117</v>
      </c>
      <c r="B8" s="5"/>
      <c r="C8" s="5"/>
      <c r="D8" s="5"/>
      <c r="E8" s="5"/>
      <c r="F8" s="19"/>
      <c r="G8" s="179"/>
      <c r="H8" s="5"/>
      <c r="I8" s="276"/>
    </row>
    <row r="9" spans="1:13">
      <c r="A9" s="8" t="s">
        <v>9</v>
      </c>
      <c r="B9" s="8"/>
      <c r="C9" s="8"/>
      <c r="D9" s="8"/>
      <c r="E9" s="8"/>
      <c r="F9" s="9"/>
      <c r="G9" s="178" t="s">
        <v>10</v>
      </c>
      <c r="H9" s="12"/>
      <c r="I9" s="275"/>
    </row>
    <row r="10" spans="1:13" ht="21" customHeight="1">
      <c r="A10" s="266" t="s">
        <v>243</v>
      </c>
      <c r="B10" s="203"/>
      <c r="C10" s="203"/>
      <c r="D10" s="204"/>
      <c r="E10" s="12"/>
      <c r="F10" s="13"/>
      <c r="G10" s="286" t="s">
        <v>11</v>
      </c>
      <c r="H10" s="287"/>
      <c r="I10" s="277"/>
    </row>
    <row r="11" spans="1:13">
      <c r="A11" s="12" t="s">
        <v>249</v>
      </c>
      <c r="B11" s="11"/>
      <c r="C11" s="11"/>
      <c r="D11" s="12"/>
      <c r="E11" s="12"/>
      <c r="F11" s="13"/>
      <c r="G11" s="286"/>
      <c r="H11" s="287"/>
      <c r="I11" s="278"/>
    </row>
    <row r="12" spans="1:13" ht="25.5" customHeight="1">
      <c r="A12" s="282" t="s">
        <v>327</v>
      </c>
      <c r="B12" s="282"/>
      <c r="C12" s="282"/>
      <c r="D12" s="282"/>
      <c r="E12" s="23"/>
      <c r="F12" s="24"/>
      <c r="G12" s="178" t="s">
        <v>12</v>
      </c>
      <c r="H12" s="12"/>
      <c r="I12" s="278"/>
    </row>
    <row r="13" spans="1:13">
      <c r="A13" s="282"/>
      <c r="B13" s="282"/>
      <c r="C13" s="282"/>
      <c r="D13" s="282"/>
      <c r="E13" s="25"/>
      <c r="F13" s="24"/>
      <c r="G13" s="180" t="s">
        <v>13</v>
      </c>
      <c r="H13" s="12"/>
      <c r="I13" s="275"/>
    </row>
    <row r="14" spans="1:13" ht="30" customHeight="1">
      <c r="A14" s="258" t="s">
        <v>14</v>
      </c>
      <c r="B14" s="205"/>
      <c r="C14" s="283" t="s">
        <v>246</v>
      </c>
      <c r="D14" s="283"/>
      <c r="E14" s="25"/>
      <c r="F14" s="24"/>
      <c r="G14" s="181"/>
      <c r="H14" s="12"/>
      <c r="I14" s="275"/>
    </row>
    <row r="15" spans="1:13">
      <c r="A15" s="204"/>
      <c r="B15" s="204"/>
      <c r="C15" s="204"/>
      <c r="D15" s="204"/>
      <c r="E15" s="12"/>
      <c r="F15" s="13"/>
      <c r="G15" s="178"/>
      <c r="H15" s="12"/>
      <c r="I15" s="275"/>
      <c r="L15" s="12"/>
      <c r="M15" s="12"/>
    </row>
    <row r="16" spans="1:13">
      <c r="A16" s="206" t="s">
        <v>245</v>
      </c>
      <c r="B16" s="206"/>
      <c r="C16" s="206"/>
      <c r="D16" s="206"/>
      <c r="E16" s="5"/>
      <c r="F16" s="19"/>
      <c r="G16" s="178"/>
      <c r="H16" s="12"/>
      <c r="I16" s="275"/>
      <c r="L16" s="12"/>
      <c r="M16" s="12"/>
    </row>
    <row r="17" spans="1:13">
      <c r="A17" s="12" t="s">
        <v>15</v>
      </c>
      <c r="B17" s="12"/>
      <c r="C17" s="12"/>
      <c r="D17" s="12"/>
      <c r="E17" s="12"/>
      <c r="F17" s="13"/>
      <c r="G17" s="178"/>
      <c r="H17" s="12"/>
      <c r="I17" s="275"/>
      <c r="L17" s="12"/>
      <c r="M17" s="12"/>
    </row>
    <row r="18" spans="1:13">
      <c r="A18" s="12" t="s">
        <v>16</v>
      </c>
      <c r="B18" s="12"/>
      <c r="C18" s="12"/>
      <c r="D18" s="12"/>
      <c r="E18" s="12"/>
      <c r="F18" s="13"/>
      <c r="G18" s="178"/>
      <c r="H18" s="12"/>
      <c r="I18" s="275"/>
      <c r="L18" s="12"/>
      <c r="M18" s="12"/>
    </row>
    <row r="19" spans="1:13">
      <c r="A19" s="5" t="s">
        <v>17</v>
      </c>
      <c r="B19" s="5"/>
      <c r="C19" s="5"/>
      <c r="D19" s="5"/>
      <c r="E19" s="5"/>
      <c r="F19" s="19"/>
      <c r="G19" s="178"/>
      <c r="H19" s="12"/>
      <c r="I19" s="275"/>
    </row>
    <row r="20" spans="1:13">
      <c r="A20" s="12" t="s">
        <v>18</v>
      </c>
      <c r="B20" s="12"/>
      <c r="C20" s="12"/>
      <c r="D20" s="12"/>
      <c r="E20" s="12"/>
      <c r="F20" s="13"/>
      <c r="G20" s="178"/>
      <c r="H20" s="12"/>
      <c r="I20" s="275"/>
    </row>
    <row r="21" spans="1:13">
      <c r="A21" s="5" t="s">
        <v>58</v>
      </c>
      <c r="B21" s="5"/>
      <c r="C21" s="5"/>
      <c r="D21" s="32"/>
      <c r="E21" s="5"/>
      <c r="F21" s="19"/>
      <c r="G21" s="181" t="s">
        <v>47</v>
      </c>
      <c r="H21" s="12"/>
      <c r="I21" s="275"/>
    </row>
    <row r="22" spans="1:13">
      <c r="A22" s="12" t="s">
        <v>21</v>
      </c>
      <c r="B22" s="12"/>
      <c r="C22" s="12"/>
      <c r="D22" s="12"/>
      <c r="E22" s="12"/>
      <c r="F22" s="13"/>
      <c r="G22" s="181" t="s">
        <v>48</v>
      </c>
      <c r="H22" s="12"/>
      <c r="I22" s="275"/>
    </row>
    <row r="23" spans="1:13">
      <c r="A23" s="5" t="s">
        <v>22</v>
      </c>
      <c r="B23" s="5"/>
      <c r="C23" s="5"/>
      <c r="D23" s="5"/>
      <c r="E23" s="5"/>
      <c r="F23" s="19"/>
      <c r="G23" s="178" t="s">
        <v>59</v>
      </c>
      <c r="H23" s="12"/>
      <c r="I23" s="275"/>
    </row>
    <row r="24" spans="1:13">
      <c r="A24" s="12" t="s">
        <v>24</v>
      </c>
      <c r="B24" s="12"/>
      <c r="C24" s="12"/>
      <c r="D24" s="12"/>
      <c r="E24" s="12"/>
      <c r="F24" s="13"/>
      <c r="G24" s="178"/>
      <c r="H24" s="12"/>
      <c r="I24" s="275"/>
    </row>
    <row r="25" spans="1:13" ht="15.75" thickBot="1">
      <c r="A25" s="34" t="s">
        <v>248</v>
      </c>
      <c r="B25" s="34"/>
      <c r="C25" s="34"/>
      <c r="D25" s="34"/>
      <c r="E25" s="34"/>
      <c r="F25" s="101"/>
      <c r="G25" s="182"/>
      <c r="H25" s="34"/>
      <c r="I25" s="279"/>
    </row>
    <row r="26" spans="1:13">
      <c r="A26" s="12"/>
      <c r="B26" s="12"/>
      <c r="C26" s="12"/>
      <c r="D26" s="12"/>
      <c r="E26" s="12"/>
      <c r="F26" s="29"/>
      <c r="G26" s="183"/>
      <c r="H26" s="12"/>
      <c r="I26" s="12"/>
    </row>
    <row r="27" spans="1:13" ht="43.5">
      <c r="A27" s="37" t="s">
        <v>25</v>
      </c>
      <c r="B27" s="38" t="s">
        <v>26</v>
      </c>
      <c r="C27" s="284" t="s">
        <v>27</v>
      </c>
      <c r="D27" s="285"/>
      <c r="E27" s="39" t="s">
        <v>28</v>
      </c>
      <c r="F27" s="102" t="s">
        <v>29</v>
      </c>
      <c r="G27" s="184" t="s">
        <v>30</v>
      </c>
      <c r="H27" s="37" t="s">
        <v>31</v>
      </c>
      <c r="I27" s="42" t="s">
        <v>32</v>
      </c>
    </row>
    <row r="28" spans="1:13">
      <c r="A28" s="43">
        <v>1</v>
      </c>
      <c r="B28" s="167" t="s">
        <v>272</v>
      </c>
      <c r="C28" s="107" t="s">
        <v>64</v>
      </c>
      <c r="D28" s="108"/>
      <c r="E28" s="227">
        <v>1</v>
      </c>
      <c r="F28" s="261" t="s">
        <v>62</v>
      </c>
      <c r="G28" s="189">
        <v>24000</v>
      </c>
      <c r="H28" s="48">
        <f t="shared" ref="H28:H41" si="0">E28*G28</f>
        <v>24000</v>
      </c>
      <c r="I28" s="106">
        <v>93136</v>
      </c>
    </row>
    <row r="29" spans="1:13">
      <c r="A29" s="43">
        <v>2</v>
      </c>
      <c r="B29" s="167" t="s">
        <v>273</v>
      </c>
      <c r="C29" s="106" t="s">
        <v>65</v>
      </c>
      <c r="D29" s="113" t="s">
        <v>124</v>
      </c>
      <c r="E29" s="227">
        <v>2</v>
      </c>
      <c r="F29" s="261" t="s">
        <v>62</v>
      </c>
      <c r="G29" s="189">
        <v>13500</v>
      </c>
      <c r="H29" s="48">
        <f t="shared" si="0"/>
        <v>27000</v>
      </c>
      <c r="I29" s="281" t="s">
        <v>66</v>
      </c>
    </row>
    <row r="30" spans="1:13">
      <c r="A30" s="43">
        <v>3</v>
      </c>
      <c r="B30" s="167" t="s">
        <v>274</v>
      </c>
      <c r="C30" s="106" t="s">
        <v>68</v>
      </c>
      <c r="D30" s="113" t="s">
        <v>124</v>
      </c>
      <c r="E30" s="227">
        <v>2</v>
      </c>
      <c r="F30" s="261" t="s">
        <v>62</v>
      </c>
      <c r="G30" s="189">
        <v>8500</v>
      </c>
      <c r="H30" s="48">
        <f t="shared" si="0"/>
        <v>17000</v>
      </c>
      <c r="I30" s="281" t="s">
        <v>156</v>
      </c>
    </row>
    <row r="31" spans="1:13">
      <c r="A31" s="43">
        <v>4</v>
      </c>
      <c r="B31" s="167" t="s">
        <v>184</v>
      </c>
      <c r="C31" s="109" t="s">
        <v>70</v>
      </c>
      <c r="D31" s="110"/>
      <c r="E31" s="228">
        <v>1</v>
      </c>
      <c r="F31" s="261" t="s">
        <v>62</v>
      </c>
      <c r="G31" s="191">
        <f t="shared" ref="G31:G38" si="1">16500*0.2</f>
        <v>3300</v>
      </c>
      <c r="H31" s="114">
        <f t="shared" si="0"/>
        <v>3300</v>
      </c>
      <c r="I31" s="106">
        <v>6555052</v>
      </c>
    </row>
    <row r="32" spans="1:13">
      <c r="A32" s="43">
        <v>5</v>
      </c>
      <c r="B32" s="167" t="s">
        <v>275</v>
      </c>
      <c r="C32" s="109" t="s">
        <v>70</v>
      </c>
      <c r="D32" s="236"/>
      <c r="E32" s="239">
        <v>1</v>
      </c>
      <c r="F32" s="261" t="s">
        <v>62</v>
      </c>
      <c r="G32" s="191">
        <f t="shared" si="1"/>
        <v>3300</v>
      </c>
      <c r="H32" s="114">
        <f t="shared" si="0"/>
        <v>3300</v>
      </c>
      <c r="I32" s="106">
        <v>6555056</v>
      </c>
    </row>
    <row r="33" spans="1:9">
      <c r="A33" s="43">
        <v>6</v>
      </c>
      <c r="B33" s="220" t="s">
        <v>169</v>
      </c>
      <c r="C33" s="104" t="s">
        <v>324</v>
      </c>
      <c r="D33" s="105"/>
      <c r="E33" s="230">
        <v>1</v>
      </c>
      <c r="F33" s="261" t="s">
        <v>62</v>
      </c>
      <c r="G33" s="192">
        <f t="shared" si="1"/>
        <v>3300</v>
      </c>
      <c r="H33" s="115">
        <f t="shared" si="0"/>
        <v>3300</v>
      </c>
      <c r="I33" s="106">
        <v>130810064</v>
      </c>
    </row>
    <row r="34" spans="1:9">
      <c r="A34" s="43">
        <v>7</v>
      </c>
      <c r="B34" s="220" t="s">
        <v>170</v>
      </c>
      <c r="C34" s="104" t="s">
        <v>324</v>
      </c>
      <c r="D34" s="108"/>
      <c r="E34" s="227">
        <v>1</v>
      </c>
      <c r="F34" s="261" t="s">
        <v>62</v>
      </c>
      <c r="G34" s="192">
        <f t="shared" si="1"/>
        <v>3300</v>
      </c>
      <c r="H34" s="115">
        <f t="shared" si="0"/>
        <v>3300</v>
      </c>
      <c r="I34" s="106">
        <v>130810068</v>
      </c>
    </row>
    <row r="35" spans="1:9">
      <c r="A35" s="43">
        <v>8</v>
      </c>
      <c r="B35" s="220" t="s">
        <v>276</v>
      </c>
      <c r="C35" s="104" t="s">
        <v>72</v>
      </c>
      <c r="D35" s="105"/>
      <c r="E35" s="230">
        <v>1</v>
      </c>
      <c r="F35" s="261" t="s">
        <v>62</v>
      </c>
      <c r="G35" s="192">
        <f t="shared" si="1"/>
        <v>3300</v>
      </c>
      <c r="H35" s="115">
        <f t="shared" si="0"/>
        <v>3300</v>
      </c>
      <c r="I35" s="106">
        <v>103753</v>
      </c>
    </row>
    <row r="36" spans="1:9">
      <c r="A36" s="43">
        <v>9</v>
      </c>
      <c r="B36" s="220" t="s">
        <v>172</v>
      </c>
      <c r="C36" s="104" t="s">
        <v>72</v>
      </c>
      <c r="D36" s="108"/>
      <c r="E36" s="227">
        <v>1</v>
      </c>
      <c r="F36" s="261" t="s">
        <v>62</v>
      </c>
      <c r="G36" s="192">
        <f t="shared" si="1"/>
        <v>3300</v>
      </c>
      <c r="H36" s="115">
        <f t="shared" si="0"/>
        <v>3300</v>
      </c>
      <c r="I36" s="106">
        <v>103755</v>
      </c>
    </row>
    <row r="37" spans="1:9">
      <c r="A37" s="43">
        <v>10</v>
      </c>
      <c r="B37" s="167" t="s">
        <v>193</v>
      </c>
      <c r="C37" s="104" t="s">
        <v>73</v>
      </c>
      <c r="D37" s="105"/>
      <c r="E37" s="230">
        <v>1</v>
      </c>
      <c r="F37" s="261" t="s">
        <v>62</v>
      </c>
      <c r="G37" s="192">
        <f t="shared" si="1"/>
        <v>3300</v>
      </c>
      <c r="H37" s="115">
        <f t="shared" si="0"/>
        <v>3300</v>
      </c>
      <c r="I37" s="106">
        <v>14040627</v>
      </c>
    </row>
    <row r="38" spans="1:9">
      <c r="A38" s="43">
        <v>11</v>
      </c>
      <c r="B38" s="167" t="s">
        <v>194</v>
      </c>
      <c r="C38" s="104" t="s">
        <v>73</v>
      </c>
      <c r="D38" s="108"/>
      <c r="E38" s="227">
        <v>1</v>
      </c>
      <c r="F38" s="261" t="s">
        <v>62</v>
      </c>
      <c r="G38" s="192">
        <f t="shared" si="1"/>
        <v>3300</v>
      </c>
      <c r="H38" s="115">
        <f t="shared" si="0"/>
        <v>3300</v>
      </c>
      <c r="I38" s="106">
        <v>14040630</v>
      </c>
    </row>
    <row r="39" spans="1:9">
      <c r="A39" s="43">
        <v>12</v>
      </c>
      <c r="B39" s="167" t="s">
        <v>186</v>
      </c>
      <c r="C39" s="109" t="s">
        <v>74</v>
      </c>
      <c r="D39" s="110"/>
      <c r="E39" s="228">
        <v>1</v>
      </c>
      <c r="F39" s="261" t="s">
        <v>62</v>
      </c>
      <c r="G39" s="191">
        <v>98500</v>
      </c>
      <c r="H39" s="116">
        <f t="shared" si="0"/>
        <v>98500</v>
      </c>
      <c r="I39" s="106" t="s">
        <v>166</v>
      </c>
    </row>
    <row r="40" spans="1:9">
      <c r="A40" s="43">
        <v>13</v>
      </c>
      <c r="B40" s="167" t="s">
        <v>187</v>
      </c>
      <c r="C40" s="109" t="s">
        <v>74</v>
      </c>
      <c r="D40" s="272"/>
      <c r="E40" s="239">
        <v>1</v>
      </c>
      <c r="F40" s="261" t="s">
        <v>62</v>
      </c>
      <c r="G40" s="191">
        <v>98500</v>
      </c>
      <c r="H40" s="116">
        <f t="shared" si="0"/>
        <v>98500</v>
      </c>
      <c r="I40" s="106" t="s">
        <v>167</v>
      </c>
    </row>
    <row r="41" spans="1:9">
      <c r="A41" s="43">
        <v>14</v>
      </c>
      <c r="B41" s="167" t="s">
        <v>188</v>
      </c>
      <c r="C41" s="109" t="s">
        <v>74</v>
      </c>
      <c r="D41" s="112"/>
      <c r="E41" s="229">
        <v>1</v>
      </c>
      <c r="F41" s="261" t="s">
        <v>62</v>
      </c>
      <c r="G41" s="191">
        <v>98500</v>
      </c>
      <c r="H41" s="116">
        <f t="shared" si="0"/>
        <v>98500</v>
      </c>
      <c r="I41" s="106" t="s">
        <v>168</v>
      </c>
    </row>
    <row r="42" spans="1:9">
      <c r="A42" s="43">
        <v>15</v>
      </c>
      <c r="B42" s="167" t="s">
        <v>191</v>
      </c>
      <c r="C42" s="106" t="s">
        <v>75</v>
      </c>
      <c r="D42" s="106"/>
      <c r="E42" s="227">
        <v>2</v>
      </c>
      <c r="F42" s="261" t="s">
        <v>76</v>
      </c>
      <c r="G42" s="189">
        <v>200</v>
      </c>
      <c r="H42" s="118">
        <f>G42*E42</f>
        <v>400</v>
      </c>
      <c r="I42" s="119"/>
    </row>
    <row r="43" spans="1:9">
      <c r="A43" s="43">
        <v>16</v>
      </c>
      <c r="B43" s="167" t="s">
        <v>277</v>
      </c>
      <c r="C43" s="109" t="s">
        <v>77</v>
      </c>
      <c r="D43" s="110"/>
      <c r="E43" s="228">
        <v>1</v>
      </c>
      <c r="F43" s="261" t="s">
        <v>62</v>
      </c>
      <c r="G43" s="191">
        <f>0.2*100000</f>
        <v>20000</v>
      </c>
      <c r="H43" s="114">
        <f t="shared" ref="H43:H45" si="2">E43*G43</f>
        <v>20000</v>
      </c>
      <c r="I43" s="106"/>
    </row>
    <row r="44" spans="1:9">
      <c r="A44" s="43">
        <v>17</v>
      </c>
      <c r="B44" s="167" t="s">
        <v>278</v>
      </c>
      <c r="C44" s="109" t="s">
        <v>78</v>
      </c>
      <c r="D44" s="110"/>
      <c r="E44" s="228">
        <v>1</v>
      </c>
      <c r="F44" s="47" t="s">
        <v>37</v>
      </c>
      <c r="G44" s="191">
        <v>500</v>
      </c>
      <c r="H44" s="114">
        <f>E44*G44</f>
        <v>500</v>
      </c>
      <c r="I44" s="106"/>
    </row>
    <row r="45" spans="1:9">
      <c r="A45" s="43">
        <v>18</v>
      </c>
      <c r="B45" s="167" t="s">
        <v>195</v>
      </c>
      <c r="C45" s="113" t="s">
        <v>196</v>
      </c>
      <c r="D45" s="120"/>
      <c r="E45" s="227">
        <v>10</v>
      </c>
      <c r="F45" s="47" t="s">
        <v>34</v>
      </c>
      <c r="G45" s="189">
        <v>8500</v>
      </c>
      <c r="H45" s="48">
        <f t="shared" si="2"/>
        <v>85000</v>
      </c>
      <c r="I45" s="106"/>
    </row>
    <row r="46" spans="1:9">
      <c r="A46" s="43">
        <v>19</v>
      </c>
      <c r="B46" s="167" t="s">
        <v>173</v>
      </c>
      <c r="C46" s="109" t="s">
        <v>79</v>
      </c>
      <c r="D46" s="110"/>
      <c r="E46" s="233">
        <v>1</v>
      </c>
      <c r="F46" s="47" t="s">
        <v>35</v>
      </c>
      <c r="G46" s="191">
        <f>0.2*18000</f>
        <v>3600</v>
      </c>
      <c r="H46" s="114">
        <f>E46*G46</f>
        <v>3600</v>
      </c>
      <c r="I46" s="106" t="s">
        <v>157</v>
      </c>
    </row>
    <row r="47" spans="1:9">
      <c r="A47" s="43">
        <v>20</v>
      </c>
      <c r="B47" s="167" t="s">
        <v>174</v>
      </c>
      <c r="C47" s="109" t="s">
        <v>79</v>
      </c>
      <c r="D47" s="236"/>
      <c r="E47" s="239">
        <v>1</v>
      </c>
      <c r="F47" s="47" t="s">
        <v>35</v>
      </c>
      <c r="G47" s="191">
        <f t="shared" ref="G47:G49" si="3">0.2*18000</f>
        <v>3600</v>
      </c>
      <c r="H47" s="114">
        <f t="shared" ref="H47:H49" si="4">E47*G47</f>
        <v>3600</v>
      </c>
      <c r="I47" s="106" t="s">
        <v>158</v>
      </c>
    </row>
    <row r="48" spans="1:9">
      <c r="A48" s="43">
        <v>21</v>
      </c>
      <c r="B48" s="167" t="s">
        <v>175</v>
      </c>
      <c r="C48" s="109" t="s">
        <v>79</v>
      </c>
      <c r="D48" s="236"/>
      <c r="E48" s="239">
        <v>1</v>
      </c>
      <c r="F48" s="47" t="s">
        <v>35</v>
      </c>
      <c r="G48" s="191">
        <f t="shared" si="3"/>
        <v>3600</v>
      </c>
      <c r="H48" s="114">
        <f t="shared" si="4"/>
        <v>3600</v>
      </c>
      <c r="I48" s="106" t="s">
        <v>159</v>
      </c>
    </row>
    <row r="49" spans="1:9">
      <c r="A49" s="43">
        <v>22</v>
      </c>
      <c r="B49" s="167" t="s">
        <v>176</v>
      </c>
      <c r="C49" s="109" t="s">
        <v>79</v>
      </c>
      <c r="D49" s="117"/>
      <c r="E49" s="229">
        <v>1</v>
      </c>
      <c r="F49" s="47" t="s">
        <v>35</v>
      </c>
      <c r="G49" s="191">
        <f t="shared" si="3"/>
        <v>3600</v>
      </c>
      <c r="H49" s="114">
        <f t="shared" si="4"/>
        <v>3600</v>
      </c>
      <c r="I49" s="106" t="s">
        <v>160</v>
      </c>
    </row>
    <row r="50" spans="1:9">
      <c r="A50" s="43">
        <v>23</v>
      </c>
      <c r="B50" s="167" t="s">
        <v>279</v>
      </c>
      <c r="C50" s="107" t="s">
        <v>125</v>
      </c>
      <c r="D50" s="108"/>
      <c r="E50" s="227">
        <v>2</v>
      </c>
      <c r="F50" s="47" t="s">
        <v>62</v>
      </c>
      <c r="G50" s="189">
        <v>1000</v>
      </c>
      <c r="H50" s="48">
        <f>E50*G50</f>
        <v>2000</v>
      </c>
      <c r="I50" s="106"/>
    </row>
    <row r="51" spans="1:9">
      <c r="A51" s="43">
        <v>24</v>
      </c>
      <c r="B51" s="167" t="s">
        <v>280</v>
      </c>
      <c r="C51" s="106" t="s">
        <v>126</v>
      </c>
      <c r="D51" s="106"/>
      <c r="E51" s="227">
        <v>2</v>
      </c>
      <c r="F51" s="47" t="s">
        <v>62</v>
      </c>
      <c r="G51" s="189">
        <v>1000</v>
      </c>
      <c r="H51" s="48">
        <f>E51*G51</f>
        <v>2000</v>
      </c>
      <c r="I51" s="106"/>
    </row>
    <row r="52" spans="1:9">
      <c r="A52" s="43">
        <v>25</v>
      </c>
      <c r="B52" s="167" t="s">
        <v>281</v>
      </c>
      <c r="C52" s="107" t="s">
        <v>127</v>
      </c>
      <c r="D52" s="108"/>
      <c r="E52" s="227">
        <v>2</v>
      </c>
      <c r="F52" s="47" t="s">
        <v>62</v>
      </c>
      <c r="G52" s="189">
        <v>1000</v>
      </c>
      <c r="H52" s="48">
        <f>E52*G52</f>
        <v>2000</v>
      </c>
      <c r="I52" s="106"/>
    </row>
    <row r="53" spans="1:9">
      <c r="A53" s="43">
        <v>26</v>
      </c>
      <c r="B53" s="167" t="s">
        <v>282</v>
      </c>
      <c r="C53" s="109" t="s">
        <v>118</v>
      </c>
      <c r="D53" s="234"/>
      <c r="E53" s="228">
        <v>1</v>
      </c>
      <c r="F53" s="47" t="s">
        <v>62</v>
      </c>
      <c r="G53" s="191">
        <f>0.2*20400</f>
        <v>4080</v>
      </c>
      <c r="H53" s="114">
        <f>E53*G53</f>
        <v>4080</v>
      </c>
      <c r="I53" s="106" t="s">
        <v>161</v>
      </c>
    </row>
    <row r="54" spans="1:9">
      <c r="A54" s="43">
        <v>27</v>
      </c>
      <c r="B54" s="167" t="s">
        <v>179</v>
      </c>
      <c r="C54" s="109" t="s">
        <v>80</v>
      </c>
      <c r="D54" s="236"/>
      <c r="E54" s="239">
        <v>1</v>
      </c>
      <c r="F54" s="47" t="s">
        <v>62</v>
      </c>
      <c r="G54" s="191">
        <f>0.2*20400</f>
        <v>4080</v>
      </c>
      <c r="H54" s="114">
        <f>E54*G54</f>
        <v>4080</v>
      </c>
      <c r="I54" s="106" t="s">
        <v>162</v>
      </c>
    </row>
    <row r="55" spans="1:9">
      <c r="A55" s="43">
        <v>28</v>
      </c>
      <c r="B55" s="167" t="s">
        <v>283</v>
      </c>
      <c r="C55" s="107" t="s">
        <v>81</v>
      </c>
      <c r="D55" s="108"/>
      <c r="E55" s="227">
        <v>2</v>
      </c>
      <c r="F55" s="47" t="s">
        <v>82</v>
      </c>
      <c r="G55" s="189">
        <f>0.2*4500</f>
        <v>900</v>
      </c>
      <c r="H55" s="48">
        <f t="shared" ref="H55:H95" si="5">E55*G55</f>
        <v>1800</v>
      </c>
      <c r="I55" s="103"/>
    </row>
    <row r="56" spans="1:9">
      <c r="A56" s="43">
        <v>29</v>
      </c>
      <c r="B56" s="167" t="s">
        <v>189</v>
      </c>
      <c r="C56" s="107" t="s">
        <v>83</v>
      </c>
      <c r="D56" s="108"/>
      <c r="E56" s="227">
        <v>2</v>
      </c>
      <c r="F56" s="47" t="s">
        <v>62</v>
      </c>
      <c r="G56" s="189">
        <v>1000</v>
      </c>
      <c r="H56" s="48">
        <f t="shared" si="5"/>
        <v>2000</v>
      </c>
      <c r="I56" s="106"/>
    </row>
    <row r="57" spans="1:9">
      <c r="A57" s="43">
        <v>30</v>
      </c>
      <c r="B57" s="167" t="s">
        <v>284</v>
      </c>
      <c r="C57" s="107" t="s">
        <v>84</v>
      </c>
      <c r="D57" s="108"/>
      <c r="E57" s="227">
        <v>2</v>
      </c>
      <c r="F57" s="47" t="s">
        <v>37</v>
      </c>
      <c r="G57" s="189">
        <v>100</v>
      </c>
      <c r="H57" s="48">
        <f t="shared" si="5"/>
        <v>200</v>
      </c>
      <c r="I57" s="106"/>
    </row>
    <row r="58" spans="1:9">
      <c r="A58" s="43">
        <v>31</v>
      </c>
      <c r="B58" s="167" t="s">
        <v>285</v>
      </c>
      <c r="C58" s="107" t="s">
        <v>85</v>
      </c>
      <c r="D58" s="108"/>
      <c r="E58" s="227">
        <v>2</v>
      </c>
      <c r="F58" s="47" t="s">
        <v>37</v>
      </c>
      <c r="G58" s="189">
        <v>500</v>
      </c>
      <c r="H58" s="48">
        <f t="shared" si="5"/>
        <v>1000</v>
      </c>
      <c r="I58" s="106"/>
    </row>
    <row r="59" spans="1:9">
      <c r="A59" s="43">
        <v>32</v>
      </c>
      <c r="B59" s="167" t="s">
        <v>286</v>
      </c>
      <c r="C59" s="106" t="s">
        <v>128</v>
      </c>
      <c r="D59" s="106"/>
      <c r="E59" s="227">
        <v>1</v>
      </c>
      <c r="F59" s="47" t="s">
        <v>34</v>
      </c>
      <c r="G59" s="189">
        <v>800</v>
      </c>
      <c r="H59" s="48">
        <f t="shared" si="5"/>
        <v>800</v>
      </c>
      <c r="I59" s="106"/>
    </row>
    <row r="60" spans="1:9">
      <c r="A60" s="43">
        <v>33</v>
      </c>
      <c r="B60" s="167" t="s">
        <v>287</v>
      </c>
      <c r="C60" s="106" t="s">
        <v>129</v>
      </c>
      <c r="D60" s="106"/>
      <c r="E60" s="227">
        <v>1</v>
      </c>
      <c r="F60" s="47" t="s">
        <v>34</v>
      </c>
      <c r="G60" s="189">
        <v>1000</v>
      </c>
      <c r="H60" s="48">
        <f t="shared" si="5"/>
        <v>1000</v>
      </c>
      <c r="I60" s="106"/>
    </row>
    <row r="61" spans="1:9">
      <c r="A61" s="43">
        <v>34</v>
      </c>
      <c r="B61" s="167" t="s">
        <v>241</v>
      </c>
      <c r="C61" s="106" t="s">
        <v>130</v>
      </c>
      <c r="D61" s="106"/>
      <c r="E61" s="227">
        <v>1</v>
      </c>
      <c r="F61" s="47" t="s">
        <v>34</v>
      </c>
      <c r="G61" s="189">
        <v>800</v>
      </c>
      <c r="H61" s="48">
        <f t="shared" si="5"/>
        <v>800</v>
      </c>
      <c r="I61" s="106"/>
    </row>
    <row r="62" spans="1:9">
      <c r="A62" s="43">
        <v>35</v>
      </c>
      <c r="B62" s="167" t="s">
        <v>242</v>
      </c>
      <c r="C62" s="106" t="s">
        <v>131</v>
      </c>
      <c r="D62" s="120"/>
      <c r="E62" s="227">
        <v>3</v>
      </c>
      <c r="F62" s="47" t="s">
        <v>34</v>
      </c>
      <c r="G62" s="189">
        <v>1000</v>
      </c>
      <c r="H62" s="48">
        <f>E62*G62</f>
        <v>3000</v>
      </c>
      <c r="I62" s="106"/>
    </row>
    <row r="63" spans="1:9">
      <c r="A63" s="240">
        <v>36</v>
      </c>
      <c r="B63" s="167" t="s">
        <v>288</v>
      </c>
      <c r="C63" s="107" t="s">
        <v>86</v>
      </c>
      <c r="D63" s="108"/>
      <c r="E63" s="227">
        <v>4</v>
      </c>
      <c r="F63" s="47" t="s">
        <v>62</v>
      </c>
      <c r="G63" s="189">
        <v>500</v>
      </c>
      <c r="H63" s="48">
        <f t="shared" si="5"/>
        <v>2000</v>
      </c>
      <c r="I63" s="106"/>
    </row>
    <row r="64" spans="1:9">
      <c r="A64" s="240">
        <v>37</v>
      </c>
      <c r="B64" s="167" t="s">
        <v>289</v>
      </c>
      <c r="C64" s="107" t="s">
        <v>87</v>
      </c>
      <c r="D64" s="108"/>
      <c r="E64" s="227">
        <v>2</v>
      </c>
      <c r="F64" s="47" t="s">
        <v>34</v>
      </c>
      <c r="G64" s="189">
        <v>1000</v>
      </c>
      <c r="H64" s="48">
        <f t="shared" si="5"/>
        <v>2000</v>
      </c>
      <c r="I64" s="106"/>
    </row>
    <row r="65" spans="1:9">
      <c r="A65" s="240">
        <v>38</v>
      </c>
      <c r="B65" s="167" t="s">
        <v>290</v>
      </c>
      <c r="C65" s="107" t="s">
        <v>88</v>
      </c>
      <c r="D65" s="108"/>
      <c r="E65" s="227">
        <v>4</v>
      </c>
      <c r="F65" s="47" t="s">
        <v>89</v>
      </c>
      <c r="G65" s="189">
        <v>1000</v>
      </c>
      <c r="H65" s="48">
        <f t="shared" si="5"/>
        <v>4000</v>
      </c>
      <c r="I65" s="106"/>
    </row>
    <row r="66" spans="1:9">
      <c r="A66" s="240">
        <v>39</v>
      </c>
      <c r="B66" s="167" t="s">
        <v>292</v>
      </c>
      <c r="C66" s="107" t="s">
        <v>291</v>
      </c>
      <c r="D66" s="108"/>
      <c r="E66" s="227">
        <v>2</v>
      </c>
      <c r="F66" s="47" t="s">
        <v>33</v>
      </c>
      <c r="G66" s="189">
        <v>1000</v>
      </c>
      <c r="H66" s="48">
        <f t="shared" si="5"/>
        <v>2000</v>
      </c>
      <c r="I66" s="106"/>
    </row>
    <row r="67" spans="1:9">
      <c r="A67" s="240">
        <v>40</v>
      </c>
      <c r="B67" s="167" t="s">
        <v>208</v>
      </c>
      <c r="C67" s="107" t="s">
        <v>90</v>
      </c>
      <c r="D67" s="108"/>
      <c r="E67" s="227">
        <v>2</v>
      </c>
      <c r="F67" s="49" t="s">
        <v>62</v>
      </c>
      <c r="G67" s="189">
        <v>500</v>
      </c>
      <c r="H67" s="48">
        <f t="shared" si="5"/>
        <v>1000</v>
      </c>
      <c r="I67" s="106"/>
    </row>
    <row r="68" spans="1:9">
      <c r="A68" s="240">
        <v>41</v>
      </c>
      <c r="B68" s="167" t="s">
        <v>209</v>
      </c>
      <c r="C68" s="107" t="s">
        <v>91</v>
      </c>
      <c r="D68" s="108"/>
      <c r="E68" s="227">
        <v>4</v>
      </c>
      <c r="F68" s="49" t="s">
        <v>62</v>
      </c>
      <c r="G68" s="189">
        <v>500</v>
      </c>
      <c r="H68" s="48">
        <f t="shared" si="5"/>
        <v>2000</v>
      </c>
      <c r="I68" s="106"/>
    </row>
    <row r="69" spans="1:9">
      <c r="A69" s="240">
        <v>42</v>
      </c>
      <c r="B69" s="167" t="s">
        <v>210</v>
      </c>
      <c r="C69" s="107" t="s">
        <v>92</v>
      </c>
      <c r="D69" s="108"/>
      <c r="E69" s="227">
        <v>4</v>
      </c>
      <c r="F69" s="49" t="s">
        <v>62</v>
      </c>
      <c r="G69" s="189">
        <v>500</v>
      </c>
      <c r="H69" s="48">
        <f t="shared" si="5"/>
        <v>2000</v>
      </c>
      <c r="I69" s="106"/>
    </row>
    <row r="70" spans="1:9">
      <c r="A70" s="240">
        <v>43</v>
      </c>
      <c r="B70" s="167" t="s">
        <v>211</v>
      </c>
      <c r="C70" s="107" t="s">
        <v>93</v>
      </c>
      <c r="D70" s="108"/>
      <c r="E70" s="227">
        <v>2</v>
      </c>
      <c r="F70" s="49" t="s">
        <v>62</v>
      </c>
      <c r="G70" s="189">
        <v>300</v>
      </c>
      <c r="H70" s="48">
        <f t="shared" si="5"/>
        <v>600</v>
      </c>
      <c r="I70" s="106" t="s">
        <v>94</v>
      </c>
    </row>
    <row r="71" spans="1:9">
      <c r="A71" s="240">
        <v>44</v>
      </c>
      <c r="B71" s="167" t="s">
        <v>212</v>
      </c>
      <c r="C71" s="107" t="s">
        <v>95</v>
      </c>
      <c r="D71" s="108"/>
      <c r="E71" s="227">
        <v>6</v>
      </c>
      <c r="F71" s="49" t="s">
        <v>62</v>
      </c>
      <c r="G71" s="189">
        <v>500</v>
      </c>
      <c r="H71" s="48">
        <f t="shared" si="5"/>
        <v>3000</v>
      </c>
      <c r="I71" s="106"/>
    </row>
    <row r="72" spans="1:9">
      <c r="A72" s="240">
        <v>45</v>
      </c>
      <c r="B72" s="167" t="s">
        <v>213</v>
      </c>
      <c r="C72" s="107" t="s">
        <v>96</v>
      </c>
      <c r="D72" s="108"/>
      <c r="E72" s="227">
        <v>4</v>
      </c>
      <c r="F72" s="49" t="s">
        <v>62</v>
      </c>
      <c r="G72" s="189">
        <v>500</v>
      </c>
      <c r="H72" s="48">
        <f t="shared" si="5"/>
        <v>2000</v>
      </c>
      <c r="I72" s="106"/>
    </row>
    <row r="73" spans="1:9">
      <c r="A73" s="240">
        <v>46</v>
      </c>
      <c r="B73" s="167" t="s">
        <v>214</v>
      </c>
      <c r="C73" s="107" t="s">
        <v>97</v>
      </c>
      <c r="D73" s="108"/>
      <c r="E73" s="227">
        <v>5</v>
      </c>
      <c r="F73" s="49" t="s">
        <v>62</v>
      </c>
      <c r="G73" s="189">
        <v>100</v>
      </c>
      <c r="H73" s="48">
        <f t="shared" si="5"/>
        <v>500</v>
      </c>
      <c r="I73" s="106"/>
    </row>
    <row r="74" spans="1:9">
      <c r="A74" s="240">
        <v>47</v>
      </c>
      <c r="B74" s="167" t="s">
        <v>215</v>
      </c>
      <c r="C74" s="107" t="s">
        <v>98</v>
      </c>
      <c r="D74" s="108"/>
      <c r="E74" s="227">
        <v>4</v>
      </c>
      <c r="F74" s="49" t="s">
        <v>62</v>
      </c>
      <c r="G74" s="189">
        <v>10</v>
      </c>
      <c r="H74" s="48">
        <f t="shared" si="5"/>
        <v>40</v>
      </c>
      <c r="I74" s="106"/>
    </row>
    <row r="75" spans="1:9">
      <c r="A75" s="240">
        <v>48</v>
      </c>
      <c r="B75" s="167" t="s">
        <v>216</v>
      </c>
      <c r="C75" s="107" t="s">
        <v>99</v>
      </c>
      <c r="D75" s="108"/>
      <c r="E75" s="227">
        <v>3</v>
      </c>
      <c r="F75" s="49" t="s">
        <v>62</v>
      </c>
      <c r="G75" s="189">
        <v>300</v>
      </c>
      <c r="H75" s="48">
        <f t="shared" si="5"/>
        <v>900</v>
      </c>
      <c r="I75" s="106"/>
    </row>
    <row r="76" spans="1:9">
      <c r="A76" s="240">
        <v>49</v>
      </c>
      <c r="B76" s="167" t="s">
        <v>217</v>
      </c>
      <c r="C76" s="107" t="s">
        <v>100</v>
      </c>
      <c r="D76" s="108"/>
      <c r="E76" s="227">
        <v>2</v>
      </c>
      <c r="F76" s="49" t="s">
        <v>62</v>
      </c>
      <c r="G76" s="189">
        <v>300</v>
      </c>
      <c r="H76" s="48">
        <f t="shared" si="5"/>
        <v>600</v>
      </c>
      <c r="I76" s="106"/>
    </row>
    <row r="77" spans="1:9">
      <c r="A77" s="240">
        <v>50</v>
      </c>
      <c r="B77" s="167" t="s">
        <v>218</v>
      </c>
      <c r="C77" s="107" t="s">
        <v>101</v>
      </c>
      <c r="D77" s="108"/>
      <c r="E77" s="227">
        <v>2</v>
      </c>
      <c r="F77" s="49" t="s">
        <v>62</v>
      </c>
      <c r="G77" s="189">
        <v>300</v>
      </c>
      <c r="H77" s="48">
        <f t="shared" si="5"/>
        <v>600</v>
      </c>
      <c r="I77" s="106"/>
    </row>
    <row r="78" spans="1:9">
      <c r="A78" s="240">
        <v>51</v>
      </c>
      <c r="B78" s="167" t="s">
        <v>219</v>
      </c>
      <c r="C78" s="107" t="s">
        <v>149</v>
      </c>
      <c r="D78" s="108"/>
      <c r="E78" s="227">
        <v>1</v>
      </c>
      <c r="F78" s="47" t="s">
        <v>37</v>
      </c>
      <c r="G78" s="189">
        <v>1000</v>
      </c>
      <c r="H78" s="48">
        <f t="shared" si="5"/>
        <v>1000</v>
      </c>
      <c r="I78" s="106"/>
    </row>
    <row r="79" spans="1:9">
      <c r="A79" s="240">
        <v>52</v>
      </c>
      <c r="B79" s="167" t="s">
        <v>293</v>
      </c>
      <c r="C79" s="107" t="s">
        <v>102</v>
      </c>
      <c r="D79" s="108"/>
      <c r="E79" s="227">
        <v>2</v>
      </c>
      <c r="F79" s="47" t="s">
        <v>36</v>
      </c>
      <c r="G79" s="189">
        <v>300</v>
      </c>
      <c r="H79" s="48">
        <f t="shared" si="5"/>
        <v>600</v>
      </c>
      <c r="I79" s="106"/>
    </row>
    <row r="80" spans="1:9" ht="30" customHeight="1">
      <c r="A80" s="240">
        <v>53</v>
      </c>
      <c r="B80" s="167" t="s">
        <v>330</v>
      </c>
      <c r="C80" s="323" t="s">
        <v>332</v>
      </c>
      <c r="D80" s="324"/>
      <c r="E80" s="239">
        <v>1</v>
      </c>
      <c r="F80" s="47" t="s">
        <v>33</v>
      </c>
      <c r="G80" s="189">
        <v>500</v>
      </c>
      <c r="H80" s="48">
        <f t="shared" ref="H80" si="6">E80*G80</f>
        <v>500</v>
      </c>
      <c r="I80" s="106"/>
    </row>
    <row r="81" spans="1:9" ht="30" customHeight="1">
      <c r="A81" s="240">
        <v>54</v>
      </c>
      <c r="B81" s="167" t="s">
        <v>331</v>
      </c>
      <c r="C81" s="323" t="s">
        <v>333</v>
      </c>
      <c r="D81" s="324"/>
      <c r="E81" s="239">
        <v>1</v>
      </c>
      <c r="F81" s="47" t="s">
        <v>33</v>
      </c>
      <c r="G81" s="189">
        <v>500</v>
      </c>
      <c r="H81" s="48">
        <f t="shared" si="5"/>
        <v>500</v>
      </c>
      <c r="I81" s="106"/>
    </row>
    <row r="82" spans="1:9">
      <c r="A82" s="240">
        <v>55</v>
      </c>
      <c r="B82" s="167" t="s">
        <v>294</v>
      </c>
      <c r="C82" s="107" t="s">
        <v>103</v>
      </c>
      <c r="D82" s="108"/>
      <c r="E82" s="227">
        <v>2</v>
      </c>
      <c r="F82" s="49" t="s">
        <v>62</v>
      </c>
      <c r="G82" s="189">
        <v>200</v>
      </c>
      <c r="H82" s="48">
        <f t="shared" si="5"/>
        <v>400</v>
      </c>
      <c r="I82" s="106"/>
    </row>
    <row r="83" spans="1:9">
      <c r="A83" s="240">
        <v>56</v>
      </c>
      <c r="B83" s="167" t="s">
        <v>295</v>
      </c>
      <c r="C83" s="107" t="s">
        <v>104</v>
      </c>
      <c r="D83" s="108"/>
      <c r="E83" s="227">
        <v>2</v>
      </c>
      <c r="F83" s="49" t="s">
        <v>62</v>
      </c>
      <c r="G83" s="189">
        <v>500</v>
      </c>
      <c r="H83" s="48">
        <f t="shared" si="5"/>
        <v>1000</v>
      </c>
      <c r="I83" s="106"/>
    </row>
    <row r="84" spans="1:9" ht="47.25" customHeight="1">
      <c r="A84" s="240">
        <v>57</v>
      </c>
      <c r="B84" s="167" t="s">
        <v>296</v>
      </c>
      <c r="C84" s="122" t="s">
        <v>221</v>
      </c>
      <c r="D84" s="123"/>
      <c r="E84" s="239">
        <v>10</v>
      </c>
      <c r="F84" s="47" t="s">
        <v>62</v>
      </c>
      <c r="G84" s="190">
        <v>300</v>
      </c>
      <c r="H84" s="111">
        <f t="shared" si="5"/>
        <v>3000</v>
      </c>
      <c r="I84" s="121"/>
    </row>
    <row r="85" spans="1:9">
      <c r="A85" s="240">
        <v>58</v>
      </c>
      <c r="B85" s="167" t="s">
        <v>297</v>
      </c>
      <c r="C85" s="107" t="s">
        <v>105</v>
      </c>
      <c r="D85" s="108"/>
      <c r="E85" s="227">
        <v>4</v>
      </c>
      <c r="F85" s="49" t="s">
        <v>62</v>
      </c>
      <c r="G85" s="189">
        <v>200</v>
      </c>
      <c r="H85" s="48">
        <f t="shared" si="5"/>
        <v>800</v>
      </c>
      <c r="I85" s="106"/>
    </row>
    <row r="86" spans="1:9">
      <c r="A86" s="240">
        <v>59</v>
      </c>
      <c r="B86" s="167" t="s">
        <v>298</v>
      </c>
      <c r="C86" s="107" t="s">
        <v>106</v>
      </c>
      <c r="D86" s="108"/>
      <c r="E86" s="227">
        <v>2</v>
      </c>
      <c r="F86" s="47" t="s">
        <v>34</v>
      </c>
      <c r="G86" s="189">
        <v>1000</v>
      </c>
      <c r="H86" s="48">
        <f t="shared" si="5"/>
        <v>2000</v>
      </c>
      <c r="I86" s="106"/>
    </row>
    <row r="87" spans="1:9">
      <c r="A87" s="240">
        <v>60</v>
      </c>
      <c r="B87" s="167" t="s">
        <v>299</v>
      </c>
      <c r="C87" s="107" t="s">
        <v>107</v>
      </c>
      <c r="D87" s="108"/>
      <c r="E87" s="227">
        <v>1</v>
      </c>
      <c r="F87" s="47" t="s">
        <v>33</v>
      </c>
      <c r="G87" s="189">
        <v>300</v>
      </c>
      <c r="H87" s="48">
        <f t="shared" si="5"/>
        <v>300</v>
      </c>
      <c r="I87" s="106"/>
    </row>
    <row r="88" spans="1:9">
      <c r="A88" s="240">
        <v>61</v>
      </c>
      <c r="B88" s="167" t="s">
        <v>306</v>
      </c>
      <c r="C88" s="107" t="s">
        <v>300</v>
      </c>
      <c r="D88" s="108"/>
      <c r="E88" s="227">
        <v>4</v>
      </c>
      <c r="F88" s="124" t="s">
        <v>109</v>
      </c>
      <c r="G88" s="189">
        <v>500</v>
      </c>
      <c r="H88" s="48">
        <f t="shared" si="5"/>
        <v>2000</v>
      </c>
      <c r="I88" s="106"/>
    </row>
    <row r="89" spans="1:9" s="126" customFormat="1">
      <c r="A89" s="240">
        <v>62</v>
      </c>
      <c r="B89" s="167" t="s">
        <v>222</v>
      </c>
      <c r="C89" s="107" t="s">
        <v>301</v>
      </c>
      <c r="D89" s="108"/>
      <c r="E89" s="227">
        <v>5</v>
      </c>
      <c r="F89" s="125" t="s">
        <v>36</v>
      </c>
      <c r="G89" s="189">
        <v>2000</v>
      </c>
      <c r="H89" s="48">
        <f t="shared" si="5"/>
        <v>10000</v>
      </c>
      <c r="I89" s="106"/>
    </row>
    <row r="90" spans="1:9" s="126" customFormat="1">
      <c r="A90" s="240">
        <v>63</v>
      </c>
      <c r="B90" s="167" t="s">
        <v>302</v>
      </c>
      <c r="C90" s="107" t="s">
        <v>303</v>
      </c>
      <c r="D90" s="108"/>
      <c r="E90" s="227">
        <v>3</v>
      </c>
      <c r="F90" s="49" t="s">
        <v>62</v>
      </c>
      <c r="G90" s="189">
        <v>100</v>
      </c>
      <c r="H90" s="48">
        <f t="shared" si="5"/>
        <v>300</v>
      </c>
      <c r="I90" s="106"/>
    </row>
    <row r="91" spans="1:9">
      <c r="A91" s="240">
        <v>64</v>
      </c>
      <c r="B91" s="167" t="s">
        <v>307</v>
      </c>
      <c r="C91" s="107" t="s">
        <v>133</v>
      </c>
      <c r="D91" s="108"/>
      <c r="E91" s="227">
        <v>1</v>
      </c>
      <c r="F91" s="49" t="s">
        <v>62</v>
      </c>
      <c r="G91" s="189">
        <v>2500</v>
      </c>
      <c r="H91" s="48">
        <f t="shared" si="5"/>
        <v>2500</v>
      </c>
      <c r="I91" s="106"/>
    </row>
    <row r="92" spans="1:9">
      <c r="A92" s="240">
        <v>65</v>
      </c>
      <c r="B92" s="167" t="s">
        <v>233</v>
      </c>
      <c r="C92" s="107" t="s">
        <v>111</v>
      </c>
      <c r="D92" s="108"/>
      <c r="E92" s="227">
        <v>1</v>
      </c>
      <c r="F92" s="49" t="s">
        <v>62</v>
      </c>
      <c r="G92" s="189">
        <v>500</v>
      </c>
      <c r="H92" s="48">
        <f t="shared" si="5"/>
        <v>500</v>
      </c>
      <c r="I92" s="106"/>
    </row>
    <row r="93" spans="1:9">
      <c r="A93" s="240">
        <v>66</v>
      </c>
      <c r="B93" s="167" t="s">
        <v>234</v>
      </c>
      <c r="C93" s="107" t="s">
        <v>308</v>
      </c>
      <c r="D93" s="108"/>
      <c r="E93" s="227">
        <v>2</v>
      </c>
      <c r="F93" s="49" t="s">
        <v>62</v>
      </c>
      <c r="G93" s="189">
        <v>1000</v>
      </c>
      <c r="H93" s="48">
        <f t="shared" si="5"/>
        <v>2000</v>
      </c>
      <c r="I93" s="106"/>
    </row>
    <row r="94" spans="1:9">
      <c r="A94" s="240">
        <v>67</v>
      </c>
      <c r="B94" s="167" t="s">
        <v>235</v>
      </c>
      <c r="C94" s="107" t="s">
        <v>151</v>
      </c>
      <c r="D94" s="108"/>
      <c r="E94" s="227">
        <v>1</v>
      </c>
      <c r="F94" s="49" t="s">
        <v>62</v>
      </c>
      <c r="G94" s="189">
        <v>1000</v>
      </c>
      <c r="H94" s="48">
        <f t="shared" si="5"/>
        <v>1000</v>
      </c>
      <c r="I94" s="106"/>
    </row>
    <row r="95" spans="1:9">
      <c r="A95" s="240">
        <v>68</v>
      </c>
      <c r="B95" s="167" t="s">
        <v>228</v>
      </c>
      <c r="C95" s="107" t="s">
        <v>132</v>
      </c>
      <c r="D95" s="108"/>
      <c r="E95" s="227">
        <v>2</v>
      </c>
      <c r="F95" s="49" t="s">
        <v>62</v>
      </c>
      <c r="G95" s="189">
        <v>500</v>
      </c>
      <c r="H95" s="48">
        <f t="shared" si="5"/>
        <v>1000</v>
      </c>
      <c r="I95" s="106"/>
    </row>
    <row r="96" spans="1:9">
      <c r="A96" s="240">
        <v>69</v>
      </c>
      <c r="B96" s="167" t="s">
        <v>310</v>
      </c>
      <c r="C96" s="127" t="s">
        <v>112</v>
      </c>
      <c r="D96" s="128"/>
      <c r="E96" s="241">
        <v>2</v>
      </c>
      <c r="F96" s="49" t="s">
        <v>62</v>
      </c>
      <c r="G96" s="193">
        <v>500</v>
      </c>
      <c r="H96" s="48">
        <f>E96*G96</f>
        <v>1000</v>
      </c>
      <c r="I96" s="129"/>
    </row>
    <row r="97" spans="1:9">
      <c r="A97" s="240">
        <v>70</v>
      </c>
      <c r="B97" s="167" t="s">
        <v>311</v>
      </c>
      <c r="C97" s="107" t="s">
        <v>152</v>
      </c>
      <c r="D97" s="108"/>
      <c r="E97" s="227">
        <v>2</v>
      </c>
      <c r="F97" s="49" t="s">
        <v>62</v>
      </c>
      <c r="G97" s="189">
        <v>1000</v>
      </c>
      <c r="H97" s="48">
        <f t="shared" ref="H97" si="7">E97*G97</f>
        <v>2000</v>
      </c>
      <c r="I97" s="129"/>
    </row>
    <row r="98" spans="1:9">
      <c r="A98" s="240">
        <v>71</v>
      </c>
      <c r="B98" s="167" t="s">
        <v>312</v>
      </c>
      <c r="C98" s="107" t="s">
        <v>203</v>
      </c>
      <c r="D98" s="108"/>
      <c r="E98" s="227">
        <v>6</v>
      </c>
      <c r="F98" s="49" t="s">
        <v>62</v>
      </c>
      <c r="G98" s="189">
        <v>3000</v>
      </c>
      <c r="H98" s="48">
        <f t="shared" ref="H98:H102" si="8">E98*G98</f>
        <v>18000</v>
      </c>
      <c r="I98" s="129"/>
    </row>
    <row r="99" spans="1:9">
      <c r="A99" s="240">
        <v>72</v>
      </c>
      <c r="B99" s="167" t="s">
        <v>313</v>
      </c>
      <c r="C99" s="107" t="s">
        <v>192</v>
      </c>
      <c r="D99" s="108"/>
      <c r="E99" s="227">
        <v>6</v>
      </c>
      <c r="F99" s="49" t="s">
        <v>62</v>
      </c>
      <c r="G99" s="189">
        <v>3000</v>
      </c>
      <c r="H99" s="48">
        <f t="shared" si="8"/>
        <v>18000</v>
      </c>
      <c r="I99" s="129"/>
    </row>
    <row r="100" spans="1:9">
      <c r="A100" s="240">
        <v>73</v>
      </c>
      <c r="B100" s="167" t="s">
        <v>314</v>
      </c>
      <c r="C100" s="107" t="s">
        <v>135</v>
      </c>
      <c r="D100" s="108"/>
      <c r="E100" s="227">
        <v>2</v>
      </c>
      <c r="F100" s="49" t="s">
        <v>134</v>
      </c>
      <c r="G100" s="193">
        <v>500</v>
      </c>
      <c r="H100" s="48">
        <f t="shared" si="8"/>
        <v>1000</v>
      </c>
      <c r="I100" s="129"/>
    </row>
    <row r="101" spans="1:9">
      <c r="A101" s="240">
        <v>74</v>
      </c>
      <c r="B101" s="167" t="s">
        <v>315</v>
      </c>
      <c r="C101" s="107" t="s">
        <v>316</v>
      </c>
      <c r="D101" s="108"/>
      <c r="E101" s="227">
        <v>3</v>
      </c>
      <c r="F101" s="49" t="s">
        <v>134</v>
      </c>
      <c r="G101" s="193">
        <v>500</v>
      </c>
      <c r="H101" s="48">
        <f t="shared" si="8"/>
        <v>1500</v>
      </c>
      <c r="I101" s="129"/>
    </row>
    <row r="102" spans="1:9">
      <c r="A102" s="240">
        <v>75</v>
      </c>
      <c r="B102" s="167" t="s">
        <v>318</v>
      </c>
      <c r="C102" s="107" t="s">
        <v>317</v>
      </c>
      <c r="D102" s="108"/>
      <c r="E102" s="227">
        <v>1</v>
      </c>
      <c r="F102" s="47" t="s">
        <v>37</v>
      </c>
      <c r="G102" s="189">
        <v>1000</v>
      </c>
      <c r="H102" s="48">
        <f t="shared" si="8"/>
        <v>1000</v>
      </c>
      <c r="I102" s="129"/>
    </row>
    <row r="103" spans="1:9">
      <c r="A103" s="240">
        <v>76</v>
      </c>
      <c r="B103" s="167" t="s">
        <v>319</v>
      </c>
      <c r="C103" s="107" t="s">
        <v>154</v>
      </c>
      <c r="D103" s="108"/>
      <c r="E103" s="227">
        <v>1</v>
      </c>
      <c r="F103" s="47" t="s">
        <v>37</v>
      </c>
      <c r="G103" s="189">
        <v>1000</v>
      </c>
      <c r="H103" s="48">
        <f t="shared" ref="H103" si="9">E103*G103</f>
        <v>1000</v>
      </c>
      <c r="I103" s="129"/>
    </row>
    <row r="104" spans="1:9">
      <c r="A104" s="240">
        <v>77</v>
      </c>
      <c r="B104" s="167" t="s">
        <v>320</v>
      </c>
      <c r="C104" s="107" t="s">
        <v>155</v>
      </c>
      <c r="D104" s="108"/>
      <c r="E104" s="227">
        <v>1</v>
      </c>
      <c r="F104" s="47" t="s">
        <v>37</v>
      </c>
      <c r="G104" s="189">
        <v>1000</v>
      </c>
      <c r="H104" s="48">
        <f t="shared" ref="H104" si="10">E104*G104</f>
        <v>1000</v>
      </c>
      <c r="I104" s="129"/>
    </row>
    <row r="105" spans="1:9">
      <c r="A105" s="50"/>
      <c r="B105" s="15"/>
      <c r="C105" s="14"/>
      <c r="D105" s="14"/>
      <c r="E105" s="14"/>
      <c r="F105" s="50"/>
      <c r="G105" s="185"/>
      <c r="H105" s="52"/>
      <c r="I105" s="53"/>
    </row>
    <row r="106" spans="1:9">
      <c r="A106" s="50"/>
      <c r="B106" s="15"/>
      <c r="C106" s="14"/>
      <c r="D106" s="14"/>
      <c r="E106" s="14"/>
      <c r="F106" s="50"/>
      <c r="G106" s="185" t="s">
        <v>39</v>
      </c>
      <c r="H106" s="50"/>
      <c r="I106" s="50"/>
    </row>
    <row r="107" spans="1:9">
      <c r="A107" s="50"/>
      <c r="B107" s="15"/>
      <c r="C107" s="14"/>
      <c r="D107" s="14"/>
      <c r="E107" s="14"/>
      <c r="F107" s="50"/>
      <c r="G107" s="185"/>
      <c r="H107" s="52"/>
      <c r="I107" s="53"/>
    </row>
    <row r="108" spans="1:9">
      <c r="A108" s="50"/>
      <c r="B108" s="15"/>
      <c r="C108" s="14"/>
      <c r="D108" s="14"/>
      <c r="E108" s="14"/>
      <c r="F108" s="50"/>
      <c r="G108" s="185"/>
      <c r="H108" s="52"/>
      <c r="I108" s="53"/>
    </row>
    <row r="109" spans="1:9">
      <c r="A109" s="50"/>
      <c r="B109" s="15"/>
      <c r="C109" s="14"/>
      <c r="D109" s="14"/>
      <c r="E109" s="14"/>
      <c r="F109" s="50"/>
      <c r="G109" s="185"/>
      <c r="H109" s="52"/>
      <c r="I109" s="53"/>
    </row>
    <row r="110" spans="1:9">
      <c r="A110" s="50"/>
      <c r="B110" s="15"/>
      <c r="C110" s="14"/>
      <c r="D110" s="14"/>
      <c r="E110" s="14"/>
      <c r="F110" s="253"/>
      <c r="G110" s="254"/>
      <c r="H110" s="255"/>
      <c r="I110" s="53"/>
    </row>
    <row r="111" spans="1:9">
      <c r="A111" s="50"/>
      <c r="B111" s="15"/>
      <c r="C111" s="14"/>
      <c r="D111" s="14"/>
      <c r="E111" s="54"/>
      <c r="F111" s="54"/>
      <c r="G111" s="186"/>
      <c r="H111" s="54"/>
      <c r="I111" s="53"/>
    </row>
    <row r="112" spans="1:9">
      <c r="A112" s="50"/>
      <c r="B112" s="15"/>
      <c r="C112" s="14"/>
      <c r="D112" s="14"/>
      <c r="E112" s="251"/>
      <c r="F112" s="251"/>
      <c r="G112" s="252"/>
      <c r="H112" s="251"/>
      <c r="I112" s="50"/>
    </row>
    <row r="113" spans="1:9">
      <c r="A113" s="130"/>
      <c r="B113" s="12"/>
      <c r="C113" s="12"/>
      <c r="D113" s="12"/>
      <c r="E113" s="12"/>
      <c r="F113" s="29"/>
      <c r="G113" s="187"/>
      <c r="H113" s="12"/>
      <c r="I113" s="12"/>
    </row>
    <row r="114" spans="1:9">
      <c r="A114" s="57"/>
      <c r="G114" s="188"/>
    </row>
    <row r="115" spans="1:9">
      <c r="G115" s="188"/>
    </row>
    <row r="116" spans="1:9">
      <c r="G116" s="188"/>
    </row>
    <row r="117" spans="1:9">
      <c r="G117" s="188"/>
    </row>
    <row r="118" spans="1:9">
      <c r="G118" s="188"/>
    </row>
    <row r="121" spans="1:9">
      <c r="G121" s="188"/>
    </row>
    <row r="127" spans="1:9">
      <c r="H127" s="12"/>
      <c r="I127" s="12"/>
    </row>
    <row r="128" spans="1:9">
      <c r="A128" s="12"/>
      <c r="B128" s="12"/>
      <c r="C128" s="12"/>
      <c r="D128" s="12"/>
      <c r="H128" s="12"/>
      <c r="I128" s="12"/>
    </row>
    <row r="129" spans="1:9">
      <c r="A129" s="12"/>
      <c r="B129" s="12"/>
      <c r="C129" s="12"/>
      <c r="D129" s="12"/>
      <c r="E129" s="12"/>
      <c r="F129" s="29"/>
      <c r="G129" s="183"/>
      <c r="H129" s="12"/>
      <c r="I129" s="12"/>
    </row>
    <row r="130" spans="1:9">
      <c r="A130" s="12"/>
      <c r="B130" s="12"/>
      <c r="C130" s="12"/>
      <c r="D130" s="12"/>
      <c r="E130" s="12"/>
      <c r="F130" s="29"/>
      <c r="G130" s="183"/>
      <c r="H130" s="12"/>
      <c r="I130" s="12"/>
    </row>
    <row r="131" spans="1:9">
      <c r="A131" s="12"/>
      <c r="B131" s="12"/>
      <c r="C131" s="12"/>
      <c r="D131" s="12"/>
      <c r="E131" s="12"/>
      <c r="F131" s="29"/>
      <c r="G131" s="183"/>
      <c r="H131" s="12"/>
      <c r="I131" s="12"/>
    </row>
    <row r="132" spans="1:9">
      <c r="A132" s="12"/>
      <c r="B132" s="12"/>
      <c r="C132" s="12"/>
      <c r="D132" s="12"/>
      <c r="E132" s="12"/>
      <c r="F132" s="29"/>
      <c r="G132" s="183"/>
      <c r="H132" s="12"/>
      <c r="I132" s="12"/>
    </row>
    <row r="133" spans="1:9">
      <c r="A133" s="12"/>
      <c r="B133" s="12"/>
      <c r="C133" s="12"/>
      <c r="D133" s="12"/>
      <c r="E133" s="12"/>
      <c r="F133" s="29"/>
      <c r="G133" s="183"/>
      <c r="H133" s="12"/>
      <c r="I133" s="12"/>
    </row>
    <row r="134" spans="1:9">
      <c r="A134" s="12"/>
      <c r="B134" s="12"/>
      <c r="C134" s="12"/>
      <c r="D134" s="12"/>
      <c r="E134" s="12"/>
      <c r="F134" s="29"/>
      <c r="G134" s="183"/>
      <c r="H134" s="12"/>
      <c r="I134" s="12"/>
    </row>
    <row r="135" spans="1:9">
      <c r="A135" s="12"/>
      <c r="B135" s="12"/>
      <c r="C135" s="12"/>
      <c r="D135" s="12"/>
      <c r="E135" s="12"/>
      <c r="F135" s="29"/>
      <c r="G135" s="183"/>
      <c r="H135" s="12"/>
      <c r="I135" s="12"/>
    </row>
    <row r="136" spans="1:9">
      <c r="A136" s="12"/>
      <c r="B136" s="12"/>
      <c r="C136" s="12"/>
      <c r="D136" s="12"/>
      <c r="E136" s="12"/>
      <c r="F136" s="29"/>
      <c r="G136" s="183"/>
      <c r="H136" s="12"/>
      <c r="I136" s="12"/>
    </row>
    <row r="137" spans="1:9">
      <c r="A137" s="12"/>
      <c r="B137" s="12"/>
      <c r="C137" s="12"/>
      <c r="D137" s="12"/>
      <c r="E137" s="12"/>
      <c r="F137" s="29"/>
      <c r="G137" s="183"/>
      <c r="H137" s="12"/>
      <c r="I137" s="12"/>
    </row>
    <row r="138" spans="1:9">
      <c r="A138" s="12"/>
      <c r="B138" s="12"/>
      <c r="C138" s="12"/>
      <c r="D138" s="12"/>
      <c r="E138" s="12"/>
      <c r="F138" s="29"/>
      <c r="G138" s="183"/>
      <c r="H138" s="12"/>
      <c r="I138" s="12"/>
    </row>
    <row r="139" spans="1:9">
      <c r="A139" s="12"/>
      <c r="B139" s="12"/>
      <c r="C139" s="12"/>
      <c r="D139" s="12"/>
      <c r="E139" s="12"/>
      <c r="F139" s="29"/>
      <c r="G139" s="183"/>
      <c r="H139" s="12"/>
      <c r="I139" s="12"/>
    </row>
    <row r="140" spans="1:9">
      <c r="A140" s="12"/>
      <c r="B140" s="12"/>
      <c r="C140" s="12"/>
      <c r="D140" s="12"/>
      <c r="E140" s="12"/>
      <c r="F140" s="29"/>
      <c r="G140" s="183"/>
      <c r="H140" s="12"/>
      <c r="I140" s="12"/>
    </row>
    <row r="141" spans="1:9">
      <c r="A141" s="12"/>
      <c r="B141" s="12"/>
      <c r="C141" s="12"/>
      <c r="D141" s="12"/>
      <c r="E141" s="12"/>
      <c r="F141" s="29"/>
      <c r="G141" s="183"/>
      <c r="H141" s="12"/>
      <c r="I141" s="12"/>
    </row>
    <row r="142" spans="1:9">
      <c r="A142" s="12"/>
      <c r="B142" s="12"/>
      <c r="C142" s="12"/>
      <c r="D142" s="12"/>
      <c r="E142" s="12"/>
      <c r="F142" s="29"/>
      <c r="G142" s="183"/>
      <c r="H142" s="12"/>
      <c r="I142" s="12"/>
    </row>
    <row r="143" spans="1:9">
      <c r="A143" s="12"/>
      <c r="B143" s="12"/>
      <c r="C143" s="12"/>
      <c r="D143" s="12"/>
      <c r="E143" s="12"/>
      <c r="F143" s="29"/>
      <c r="G143" s="183"/>
      <c r="H143" s="12"/>
      <c r="I143" s="12"/>
    </row>
    <row r="144" spans="1:9">
      <c r="A144" s="12"/>
      <c r="B144" s="12"/>
      <c r="C144" s="12"/>
      <c r="D144" s="12"/>
      <c r="E144" s="12"/>
      <c r="F144" s="29"/>
      <c r="G144" s="183"/>
      <c r="H144" s="12"/>
      <c r="I144" s="12"/>
    </row>
    <row r="145" spans="1:9">
      <c r="A145" s="12"/>
      <c r="B145" s="12"/>
      <c r="C145" s="12"/>
      <c r="D145" s="12"/>
      <c r="E145" s="12"/>
      <c r="F145" s="29"/>
      <c r="G145" s="183"/>
      <c r="H145" s="12"/>
      <c r="I145" s="12"/>
    </row>
    <row r="146" spans="1:9">
      <c r="A146" s="12"/>
      <c r="B146" s="12"/>
      <c r="C146" s="12"/>
      <c r="D146" s="12"/>
      <c r="E146" s="12"/>
      <c r="F146" s="29"/>
      <c r="G146" s="183"/>
      <c r="H146" s="12"/>
      <c r="I146" s="12"/>
    </row>
    <row r="147" spans="1:9">
      <c r="A147" s="12"/>
      <c r="B147" s="12"/>
      <c r="C147" s="12"/>
      <c r="D147" s="12"/>
      <c r="E147" s="12"/>
      <c r="F147" s="29"/>
      <c r="G147" s="183"/>
      <c r="H147" s="12"/>
      <c r="I147" s="12"/>
    </row>
    <row r="148" spans="1:9">
      <c r="A148" s="12"/>
      <c r="B148" s="12"/>
      <c r="C148" s="12"/>
      <c r="D148" s="12"/>
      <c r="E148" s="12"/>
      <c r="F148" s="29"/>
      <c r="G148" s="183"/>
      <c r="H148" s="12"/>
      <c r="I148" s="12"/>
    </row>
    <row r="149" spans="1:9">
      <c r="A149" s="12"/>
      <c r="B149" s="12"/>
      <c r="C149" s="12"/>
      <c r="D149" s="12"/>
      <c r="E149" s="12"/>
      <c r="F149" s="29"/>
      <c r="G149" s="183"/>
      <c r="H149" s="12"/>
      <c r="I149" s="12"/>
    </row>
    <row r="150" spans="1:9">
      <c r="A150" s="12"/>
      <c r="B150" s="12"/>
      <c r="C150" s="12"/>
      <c r="D150" s="12"/>
      <c r="E150" s="12"/>
      <c r="F150" s="29"/>
      <c r="G150" s="183"/>
      <c r="H150" s="12"/>
      <c r="I150" s="12"/>
    </row>
    <row r="151" spans="1:9">
      <c r="A151" s="12"/>
      <c r="B151" s="12"/>
      <c r="C151" s="12"/>
      <c r="D151" s="12"/>
      <c r="E151" s="12"/>
      <c r="F151" s="29"/>
      <c r="G151" s="183"/>
      <c r="H151" s="12"/>
      <c r="I151" s="12"/>
    </row>
    <row r="152" spans="1:9">
      <c r="A152" s="12"/>
      <c r="B152" s="12"/>
      <c r="C152" s="12"/>
      <c r="D152" s="12"/>
      <c r="E152" s="12"/>
      <c r="F152" s="29"/>
      <c r="G152" s="183"/>
      <c r="H152" s="12"/>
      <c r="I152" s="12"/>
    </row>
    <row r="153" spans="1:9">
      <c r="A153" s="12"/>
      <c r="B153" s="12"/>
      <c r="C153" s="12"/>
      <c r="D153" s="12"/>
      <c r="E153" s="12"/>
      <c r="F153" s="29"/>
      <c r="G153" s="183"/>
      <c r="H153" s="12"/>
      <c r="I153" s="12"/>
    </row>
    <row r="154" spans="1:9">
      <c r="A154" s="12"/>
      <c r="B154" s="12"/>
      <c r="C154" s="12"/>
      <c r="D154" s="12"/>
      <c r="E154" s="12"/>
      <c r="F154" s="29"/>
      <c r="G154" s="183"/>
      <c r="H154" s="12"/>
      <c r="I154" s="12"/>
    </row>
    <row r="155" spans="1:9">
      <c r="A155" s="12"/>
      <c r="B155" s="12"/>
      <c r="C155" s="12"/>
      <c r="D155" s="12"/>
      <c r="E155" s="12"/>
      <c r="F155" s="29"/>
      <c r="G155" s="183"/>
      <c r="H155" s="12"/>
      <c r="I155" s="12"/>
    </row>
    <row r="156" spans="1:9">
      <c r="A156" s="12"/>
      <c r="B156" s="12"/>
      <c r="C156" s="12"/>
      <c r="D156" s="12"/>
      <c r="E156" s="12"/>
      <c r="F156" s="29"/>
      <c r="G156" s="183"/>
      <c r="H156" s="12"/>
      <c r="I156" s="12"/>
    </row>
    <row r="157" spans="1:9">
      <c r="A157" s="12"/>
      <c r="B157" s="12"/>
      <c r="C157" s="12"/>
      <c r="D157" s="12"/>
      <c r="E157" s="12"/>
      <c r="F157" s="29"/>
      <c r="G157" s="183"/>
      <c r="H157" s="12"/>
      <c r="I157" s="12"/>
    </row>
    <row r="158" spans="1:9">
      <c r="A158" s="12"/>
      <c r="B158" s="12"/>
      <c r="C158" s="12"/>
      <c r="D158" s="12"/>
      <c r="E158" s="12"/>
      <c r="F158" s="29"/>
      <c r="G158" s="183"/>
      <c r="H158" s="12"/>
      <c r="I158" s="12"/>
    </row>
    <row r="159" spans="1:9">
      <c r="A159" s="12"/>
      <c r="B159" s="12"/>
      <c r="C159" s="12"/>
      <c r="D159" s="12"/>
      <c r="E159" s="12"/>
      <c r="F159" s="29"/>
      <c r="G159" s="183"/>
      <c r="H159" s="12"/>
      <c r="I159" s="12"/>
    </row>
    <row r="160" spans="1:9">
      <c r="A160" s="12"/>
      <c r="B160" s="12"/>
      <c r="C160" s="12"/>
      <c r="D160" s="12"/>
      <c r="E160" s="12"/>
      <c r="F160" s="29"/>
      <c r="G160" s="183"/>
      <c r="H160" s="12"/>
      <c r="I160" s="12"/>
    </row>
    <row r="161" spans="1:9">
      <c r="A161" s="12"/>
      <c r="B161" s="12"/>
      <c r="C161" s="12"/>
      <c r="D161" s="12"/>
      <c r="E161" s="12"/>
      <c r="F161" s="29"/>
      <c r="G161" s="183"/>
      <c r="H161" s="12"/>
      <c r="I161" s="12"/>
    </row>
    <row r="162" spans="1:9">
      <c r="A162" s="12"/>
      <c r="B162" s="12"/>
      <c r="C162" s="12"/>
      <c r="D162" s="12"/>
      <c r="E162" s="12"/>
      <c r="F162" s="29"/>
      <c r="G162" s="183"/>
      <c r="H162" s="12"/>
      <c r="I162" s="12"/>
    </row>
    <row r="163" spans="1:9">
      <c r="A163" s="12"/>
      <c r="B163" s="12"/>
      <c r="C163" s="12"/>
      <c r="D163" s="12"/>
      <c r="E163" s="12"/>
      <c r="F163" s="29"/>
      <c r="G163" s="183"/>
      <c r="H163" s="12"/>
      <c r="I163" s="12"/>
    </row>
    <row r="164" spans="1:9">
      <c r="A164" s="12"/>
      <c r="B164" s="12"/>
      <c r="C164" s="12"/>
      <c r="D164" s="12"/>
      <c r="E164" s="12"/>
      <c r="F164" s="29"/>
      <c r="G164" s="183"/>
      <c r="H164" s="12"/>
      <c r="I164" s="12"/>
    </row>
    <row r="165" spans="1:9">
      <c r="A165" s="12"/>
      <c r="B165" s="12"/>
      <c r="C165" s="12"/>
      <c r="D165" s="12"/>
      <c r="E165" s="12"/>
      <c r="F165" s="29"/>
      <c r="G165" s="183"/>
      <c r="H165" s="12"/>
      <c r="I165" s="12"/>
    </row>
    <row r="166" spans="1:9">
      <c r="A166" s="12"/>
      <c r="B166" s="12"/>
      <c r="C166" s="12"/>
      <c r="D166" s="12"/>
      <c r="E166" s="12"/>
      <c r="F166" s="29"/>
      <c r="G166" s="183"/>
      <c r="H166" s="12"/>
      <c r="I166" s="12"/>
    </row>
    <row r="167" spans="1:9">
      <c r="A167" s="12"/>
      <c r="B167" s="12"/>
      <c r="C167" s="12"/>
      <c r="D167" s="12"/>
      <c r="E167" s="12"/>
      <c r="F167" s="29"/>
      <c r="G167" s="183"/>
      <c r="H167" s="12"/>
      <c r="I167" s="12"/>
    </row>
    <row r="168" spans="1:9">
      <c r="A168" s="12"/>
      <c r="B168" s="12"/>
      <c r="C168" s="12"/>
      <c r="D168" s="12"/>
      <c r="E168" s="12"/>
      <c r="F168" s="29"/>
      <c r="G168" s="183"/>
      <c r="H168" s="12"/>
      <c r="I168" s="12"/>
    </row>
    <row r="169" spans="1:9">
      <c r="A169" s="12"/>
      <c r="B169" s="12"/>
      <c r="C169" s="12"/>
      <c r="D169" s="12"/>
      <c r="E169" s="12"/>
      <c r="F169" s="29"/>
      <c r="G169" s="183"/>
      <c r="H169" s="12"/>
      <c r="I169" s="12"/>
    </row>
    <row r="170" spans="1:9">
      <c r="A170" s="12"/>
      <c r="B170" s="12"/>
      <c r="C170" s="12"/>
      <c r="D170" s="12"/>
      <c r="E170" s="12"/>
      <c r="F170" s="29"/>
      <c r="G170" s="183"/>
      <c r="H170" s="12"/>
      <c r="I170" s="12"/>
    </row>
    <row r="171" spans="1:9">
      <c r="A171" s="12"/>
      <c r="B171" s="12"/>
      <c r="C171" s="12"/>
      <c r="D171" s="12"/>
      <c r="E171" s="12"/>
      <c r="F171" s="29"/>
      <c r="G171" s="183"/>
      <c r="H171" s="12"/>
      <c r="I171" s="12"/>
    </row>
    <row r="172" spans="1:9">
      <c r="A172" s="12"/>
      <c r="B172" s="12"/>
      <c r="C172" s="12"/>
      <c r="D172" s="12"/>
      <c r="E172" s="12"/>
      <c r="F172" s="29"/>
      <c r="G172" s="183"/>
      <c r="H172" s="12"/>
      <c r="I172" s="12"/>
    </row>
    <row r="173" spans="1:9">
      <c r="A173" s="12"/>
      <c r="B173" s="12"/>
      <c r="C173" s="12"/>
      <c r="D173" s="12"/>
      <c r="E173" s="12"/>
      <c r="F173" s="29"/>
      <c r="G173" s="183"/>
      <c r="H173" s="12"/>
      <c r="I173" s="12"/>
    </row>
    <row r="174" spans="1:9">
      <c r="A174" s="12"/>
      <c r="B174" s="12"/>
      <c r="C174" s="12"/>
      <c r="D174" s="12"/>
      <c r="E174" s="12"/>
      <c r="F174" s="29"/>
      <c r="G174" s="183"/>
      <c r="H174" s="12"/>
      <c r="I174" s="12"/>
    </row>
    <row r="175" spans="1:9">
      <c r="A175" s="12"/>
      <c r="B175" s="12"/>
      <c r="C175" s="12"/>
      <c r="D175" s="12"/>
      <c r="E175" s="12"/>
      <c r="F175" s="29"/>
      <c r="G175" s="183"/>
      <c r="H175" s="12"/>
      <c r="I175" s="12"/>
    </row>
    <row r="176" spans="1:9">
      <c r="A176" s="12"/>
      <c r="B176" s="12"/>
      <c r="C176" s="12"/>
      <c r="D176" s="12"/>
      <c r="E176" s="12"/>
      <c r="F176" s="29"/>
      <c r="G176" s="183"/>
      <c r="H176" s="12"/>
      <c r="I176" s="12"/>
    </row>
    <row r="177" spans="1:9">
      <c r="A177" s="12"/>
      <c r="B177" s="12"/>
      <c r="C177" s="12"/>
      <c r="D177" s="12"/>
      <c r="E177" s="12"/>
      <c r="F177" s="29"/>
      <c r="G177" s="183"/>
      <c r="H177" s="12"/>
      <c r="I177" s="12"/>
    </row>
    <row r="178" spans="1:9">
      <c r="A178" s="12"/>
      <c r="B178" s="12"/>
      <c r="C178" s="12"/>
      <c r="D178" s="12"/>
      <c r="E178" s="12"/>
      <c r="F178" s="29"/>
      <c r="G178" s="183"/>
      <c r="H178" s="12"/>
      <c r="I178" s="12"/>
    </row>
    <row r="179" spans="1:9">
      <c r="A179" s="12"/>
      <c r="B179" s="12"/>
      <c r="C179" s="12"/>
      <c r="D179" s="12"/>
      <c r="E179" s="12"/>
      <c r="F179" s="29"/>
      <c r="G179" s="183"/>
      <c r="H179" s="12"/>
      <c r="I179" s="12"/>
    </row>
    <row r="180" spans="1:9">
      <c r="A180" s="12"/>
      <c r="B180" s="12"/>
      <c r="C180" s="12"/>
      <c r="D180" s="12"/>
      <c r="E180" s="12"/>
      <c r="F180" s="29"/>
      <c r="G180" s="183"/>
      <c r="H180" s="12"/>
      <c r="I180" s="12"/>
    </row>
    <row r="181" spans="1:9">
      <c r="A181" s="12"/>
      <c r="B181" s="12"/>
      <c r="C181" s="12"/>
      <c r="D181" s="12"/>
      <c r="E181" s="12"/>
      <c r="F181" s="29"/>
      <c r="G181" s="183"/>
      <c r="H181" s="12"/>
      <c r="I181" s="12"/>
    </row>
    <row r="182" spans="1:9">
      <c r="A182" s="12"/>
      <c r="B182" s="12"/>
      <c r="C182" s="12"/>
      <c r="D182" s="12"/>
      <c r="E182" s="12"/>
      <c r="F182" s="29"/>
      <c r="G182" s="183"/>
      <c r="H182" s="12"/>
      <c r="I182" s="12"/>
    </row>
    <row r="183" spans="1:9">
      <c r="A183" s="12"/>
      <c r="B183" s="12"/>
      <c r="C183" s="12"/>
      <c r="D183" s="12"/>
      <c r="E183" s="12"/>
      <c r="F183" s="29"/>
      <c r="G183" s="183"/>
      <c r="H183" s="12"/>
      <c r="I183" s="12"/>
    </row>
    <row r="184" spans="1:9">
      <c r="A184" s="12"/>
      <c r="B184" s="12"/>
      <c r="C184" s="12"/>
      <c r="D184" s="12"/>
      <c r="E184" s="12"/>
      <c r="F184" s="29"/>
      <c r="G184" s="183"/>
      <c r="H184" s="12"/>
      <c r="I184" s="12"/>
    </row>
    <row r="185" spans="1:9">
      <c r="A185" s="12"/>
      <c r="B185" s="12"/>
      <c r="C185" s="12"/>
      <c r="D185" s="12"/>
      <c r="E185" s="12"/>
      <c r="F185" s="29"/>
      <c r="G185" s="183"/>
      <c r="H185" s="12"/>
      <c r="I185" s="12"/>
    </row>
    <row r="186" spans="1:9">
      <c r="A186" s="12"/>
      <c r="B186" s="12"/>
      <c r="C186" s="12"/>
      <c r="D186" s="12"/>
      <c r="E186" s="12"/>
      <c r="F186" s="29"/>
      <c r="G186" s="183"/>
      <c r="H186" s="12"/>
      <c r="I186" s="12"/>
    </row>
    <row r="187" spans="1:9">
      <c r="A187" s="12"/>
      <c r="B187" s="12"/>
      <c r="C187" s="12"/>
      <c r="D187" s="12"/>
      <c r="E187" s="12"/>
      <c r="F187" s="29"/>
      <c r="G187" s="183"/>
      <c r="H187" s="12"/>
      <c r="I187" s="12"/>
    </row>
    <row r="188" spans="1:9">
      <c r="A188" s="12"/>
      <c r="B188" s="12"/>
      <c r="C188" s="12"/>
      <c r="D188" s="12"/>
      <c r="E188" s="12"/>
      <c r="F188" s="29"/>
      <c r="G188" s="183"/>
      <c r="H188" s="12"/>
      <c r="I188" s="12"/>
    </row>
    <row r="189" spans="1:9">
      <c r="A189" s="12"/>
      <c r="B189" s="12"/>
      <c r="C189" s="12"/>
      <c r="D189" s="12"/>
      <c r="E189" s="12"/>
      <c r="F189" s="29"/>
      <c r="G189" s="183"/>
      <c r="H189" s="12"/>
      <c r="I189" s="12"/>
    </row>
    <row r="190" spans="1:9">
      <c r="A190" s="12"/>
      <c r="B190" s="12"/>
      <c r="C190" s="12"/>
      <c r="D190" s="12"/>
      <c r="E190" s="12"/>
      <c r="F190" s="29"/>
      <c r="G190" s="183"/>
      <c r="H190" s="12"/>
      <c r="I190" s="12"/>
    </row>
    <row r="191" spans="1:9">
      <c r="A191" s="12"/>
      <c r="B191" s="12"/>
      <c r="C191" s="12"/>
      <c r="D191" s="12"/>
      <c r="E191" s="12"/>
      <c r="F191" s="29"/>
      <c r="G191" s="183"/>
      <c r="H191" s="12"/>
      <c r="I191" s="12"/>
    </row>
    <row r="192" spans="1:9">
      <c r="A192" s="12"/>
      <c r="B192" s="12"/>
      <c r="C192" s="12"/>
      <c r="D192" s="12"/>
      <c r="E192" s="12"/>
      <c r="F192" s="29"/>
      <c r="G192" s="183"/>
      <c r="H192" s="12"/>
      <c r="I192" s="12"/>
    </row>
    <row r="193" spans="1:9">
      <c r="A193" s="12"/>
      <c r="B193" s="12"/>
      <c r="C193" s="12"/>
      <c r="D193" s="12"/>
      <c r="E193" s="12"/>
      <c r="F193" s="29"/>
      <c r="G193" s="183"/>
      <c r="H193" s="12"/>
      <c r="I193" s="12"/>
    </row>
    <row r="194" spans="1:9">
      <c r="A194" s="12"/>
      <c r="B194" s="12"/>
      <c r="C194" s="12"/>
      <c r="D194" s="12"/>
      <c r="E194" s="12"/>
      <c r="F194" s="29"/>
      <c r="G194" s="183"/>
      <c r="H194" s="12"/>
      <c r="I194" s="12"/>
    </row>
    <row r="195" spans="1:9">
      <c r="A195" s="12"/>
      <c r="B195" s="12"/>
      <c r="C195" s="12"/>
      <c r="D195" s="12"/>
      <c r="E195" s="12"/>
      <c r="F195" s="29"/>
      <c r="G195" s="183"/>
      <c r="H195" s="12"/>
      <c r="I195" s="12"/>
    </row>
    <row r="196" spans="1:9">
      <c r="A196" s="12"/>
      <c r="B196" s="12"/>
      <c r="C196" s="12"/>
      <c r="D196" s="12"/>
      <c r="E196" s="12"/>
      <c r="F196" s="29"/>
      <c r="G196" s="183"/>
      <c r="H196" s="12"/>
      <c r="I196" s="12"/>
    </row>
    <row r="197" spans="1:9">
      <c r="A197" s="12"/>
      <c r="B197" s="12"/>
      <c r="C197" s="12"/>
      <c r="D197" s="12"/>
      <c r="E197" s="12"/>
      <c r="F197" s="29"/>
      <c r="G197" s="183"/>
      <c r="H197" s="12"/>
      <c r="I197" s="12"/>
    </row>
    <row r="198" spans="1:9">
      <c r="A198" s="12"/>
      <c r="B198" s="12"/>
      <c r="C198" s="12"/>
      <c r="D198" s="12"/>
      <c r="E198" s="12"/>
      <c r="F198" s="29"/>
      <c r="G198" s="183"/>
      <c r="H198" s="12"/>
      <c r="I198" s="12"/>
    </row>
    <row r="199" spans="1:9">
      <c r="A199" s="12"/>
      <c r="B199" s="12"/>
      <c r="C199" s="12"/>
      <c r="D199" s="12"/>
      <c r="E199" s="12"/>
      <c r="F199" s="29"/>
      <c r="G199" s="183"/>
      <c r="H199" s="12"/>
      <c r="I199" s="12"/>
    </row>
    <row r="200" spans="1:9">
      <c r="A200" s="12"/>
      <c r="B200" s="12"/>
      <c r="C200" s="12"/>
      <c r="D200" s="12"/>
      <c r="E200" s="12"/>
      <c r="F200" s="29"/>
      <c r="G200" s="183"/>
      <c r="H200" s="12"/>
      <c r="I200" s="12"/>
    </row>
    <row r="201" spans="1:9">
      <c r="A201" s="12"/>
      <c r="B201" s="12"/>
      <c r="C201" s="12"/>
      <c r="D201" s="12"/>
      <c r="E201" s="12"/>
      <c r="F201" s="29"/>
      <c r="G201" s="183"/>
      <c r="H201" s="12"/>
      <c r="I201" s="12"/>
    </row>
    <row r="202" spans="1:9">
      <c r="A202" s="12"/>
      <c r="B202" s="12"/>
      <c r="C202" s="12"/>
      <c r="D202" s="12"/>
      <c r="E202" s="12"/>
      <c r="F202" s="29"/>
      <c r="G202" s="183"/>
      <c r="H202" s="12"/>
      <c r="I202" s="12"/>
    </row>
    <row r="203" spans="1:9">
      <c r="A203" s="12"/>
      <c r="B203" s="12"/>
      <c r="C203" s="12"/>
      <c r="D203" s="12"/>
      <c r="E203" s="12"/>
      <c r="F203" s="29"/>
      <c r="G203" s="183"/>
      <c r="H203" s="12"/>
      <c r="I203" s="12"/>
    </row>
    <row r="204" spans="1:9">
      <c r="A204" s="12"/>
      <c r="B204" s="12"/>
      <c r="C204" s="12"/>
      <c r="D204" s="12"/>
      <c r="E204" s="12"/>
      <c r="F204" s="29"/>
      <c r="G204" s="183"/>
      <c r="H204" s="12"/>
      <c r="I204" s="12"/>
    </row>
    <row r="205" spans="1:9">
      <c r="A205" s="12"/>
      <c r="B205" s="12"/>
      <c r="C205" s="12"/>
      <c r="D205" s="12"/>
      <c r="E205" s="12"/>
      <c r="F205" s="29"/>
      <c r="G205" s="183"/>
      <c r="H205" s="12"/>
      <c r="I205" s="12"/>
    </row>
    <row r="206" spans="1:9">
      <c r="A206" s="12"/>
      <c r="B206" s="12"/>
      <c r="C206" s="12"/>
      <c r="D206" s="12"/>
      <c r="E206" s="12"/>
      <c r="F206" s="29"/>
      <c r="G206" s="183"/>
      <c r="H206" s="12"/>
      <c r="I206" s="12"/>
    </row>
    <row r="207" spans="1:9">
      <c r="A207" s="12"/>
      <c r="B207" s="12"/>
      <c r="C207" s="12"/>
      <c r="D207" s="12"/>
      <c r="E207" s="12"/>
      <c r="F207" s="29"/>
      <c r="G207" s="183"/>
      <c r="H207" s="12"/>
      <c r="I207" s="12"/>
    </row>
    <row r="208" spans="1:9">
      <c r="A208" s="12"/>
      <c r="B208" s="12"/>
      <c r="C208" s="12"/>
      <c r="D208" s="12"/>
      <c r="E208" s="12"/>
      <c r="F208" s="29"/>
      <c r="G208" s="183"/>
      <c r="H208" s="12"/>
      <c r="I208" s="12"/>
    </row>
  </sheetData>
  <autoFilter ref="A27:M97"/>
  <mergeCells count="6">
    <mergeCell ref="C81:D81"/>
    <mergeCell ref="A12:D13"/>
    <mergeCell ref="C14:D14"/>
    <mergeCell ref="C27:D27"/>
    <mergeCell ref="G10:H11"/>
    <mergeCell ref="C80:D80"/>
  </mergeCells>
  <phoneticPr fontId="92"/>
  <pageMargins left="0.68" right="0.56000000000000005" top="0.27" bottom="0.28999999999999998" header="0.24" footer="0.21"/>
  <pageSetup paperSize="9" scale="4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view="pageBreakPreview" topLeftCell="A43" zoomScale="115" zoomScaleNormal="100" zoomScaleSheetLayoutView="115" workbookViewId="0">
      <selection activeCell="C53" sqref="C53"/>
    </sheetView>
  </sheetViews>
  <sheetFormatPr defaultColWidth="18.85546875" defaultRowHeight="15"/>
  <cols>
    <col min="1" max="1" width="18.85546875" style="134"/>
    <col min="2" max="2" width="18.85546875" style="169"/>
    <col min="3" max="3" width="38" style="169" customWidth="1"/>
    <col min="4" max="4" width="18.85546875" style="170"/>
    <col min="5" max="5" width="18.85546875" style="168"/>
    <col min="6" max="6" width="18.85546875" style="133"/>
    <col min="7" max="7" width="18.85546875" style="168"/>
    <col min="8" max="10" width="18.85546875" style="134"/>
    <col min="11" max="11" width="18.85546875" style="168"/>
    <col min="12" max="14" width="18.85546875" style="134"/>
    <col min="15" max="15" width="18.85546875" style="168"/>
    <col min="16" max="16384" width="18.85546875" style="134"/>
  </cols>
  <sheetData>
    <row r="1" spans="1:7" s="134" customFormat="1" ht="34.5">
      <c r="A1" s="131"/>
      <c r="B1" s="292" t="s">
        <v>40</v>
      </c>
      <c r="C1" s="293"/>
      <c r="D1" s="293"/>
      <c r="E1" s="132"/>
      <c r="F1" s="133"/>
    </row>
    <row r="2" spans="1:7" s="134" customFormat="1">
      <c r="A2" s="135"/>
      <c r="B2" s="135"/>
      <c r="C2" s="135"/>
      <c r="D2" s="136"/>
      <c r="E2" s="137"/>
      <c r="F2" s="133"/>
    </row>
    <row r="3" spans="1:7" s="134" customFormat="1">
      <c r="A3" s="138" t="s">
        <v>41</v>
      </c>
      <c r="B3" s="139"/>
      <c r="C3" s="140"/>
      <c r="D3" s="141" t="s">
        <v>2</v>
      </c>
      <c r="E3" s="142"/>
      <c r="F3" s="133"/>
    </row>
    <row r="4" spans="1:7" s="134" customFormat="1">
      <c r="A4" s="11" t="s">
        <v>326</v>
      </c>
      <c r="B4" s="143"/>
      <c r="C4" s="144"/>
      <c r="D4" s="73" t="s">
        <v>57</v>
      </c>
      <c r="E4" s="74"/>
      <c r="F4" s="133"/>
      <c r="G4" s="202"/>
    </row>
    <row r="5" spans="1:7" s="134" customFormat="1">
      <c r="A5" s="145" t="s">
        <v>43</v>
      </c>
      <c r="B5" s="146"/>
      <c r="C5" s="147"/>
      <c r="D5" s="294" t="s">
        <v>329</v>
      </c>
      <c r="E5" s="295"/>
      <c r="F5" s="133"/>
      <c r="G5" s="202"/>
    </row>
    <row r="6" spans="1:7" s="134" customFormat="1">
      <c r="A6" s="145" t="s">
        <v>44</v>
      </c>
      <c r="B6" s="146"/>
      <c r="C6" s="147"/>
      <c r="D6" s="148" t="s">
        <v>6</v>
      </c>
      <c r="E6" s="149"/>
      <c r="F6" s="133"/>
    </row>
    <row r="7" spans="1:7" s="134" customFormat="1">
      <c r="A7" s="145" t="s">
        <v>7</v>
      </c>
      <c r="B7" s="146"/>
      <c r="C7" s="147"/>
      <c r="D7" s="148" t="s">
        <v>45</v>
      </c>
      <c r="E7" s="149"/>
      <c r="F7" s="133"/>
    </row>
    <row r="8" spans="1:7" s="134" customFormat="1">
      <c r="A8" s="150" t="s">
        <v>117</v>
      </c>
      <c r="B8" s="135"/>
      <c r="C8" s="151"/>
      <c r="D8" s="152"/>
      <c r="E8" s="149"/>
      <c r="F8" s="133"/>
    </row>
    <row r="9" spans="1:7" s="134" customFormat="1">
      <c r="A9" s="145" t="s">
        <v>9</v>
      </c>
      <c r="B9" s="146"/>
      <c r="C9" s="147"/>
      <c r="D9" s="153" t="s">
        <v>10</v>
      </c>
      <c r="E9" s="142"/>
      <c r="F9" s="133"/>
    </row>
    <row r="10" spans="1:7" s="134" customFormat="1">
      <c r="A10" s="267" t="s">
        <v>243</v>
      </c>
      <c r="B10" s="212"/>
      <c r="C10" s="213"/>
      <c r="D10" s="296" t="s">
        <v>253</v>
      </c>
      <c r="E10" s="297"/>
      <c r="F10" s="133"/>
    </row>
    <row r="11" spans="1:7" s="134" customFormat="1">
      <c r="A11" s="145" t="s">
        <v>244</v>
      </c>
      <c r="B11" s="212"/>
      <c r="C11" s="213"/>
      <c r="D11" s="296"/>
      <c r="E11" s="297"/>
      <c r="F11" s="133"/>
    </row>
    <row r="12" spans="1:7" s="134" customFormat="1" ht="15" customHeight="1">
      <c r="A12" s="301" t="s">
        <v>327</v>
      </c>
      <c r="B12" s="302"/>
      <c r="C12" s="303"/>
      <c r="D12" s="214"/>
      <c r="E12" s="149"/>
      <c r="F12" s="133"/>
    </row>
    <row r="13" spans="1:7" s="134" customFormat="1">
      <c r="A13" s="301"/>
      <c r="B13" s="302"/>
      <c r="C13" s="303"/>
      <c r="D13" s="214"/>
      <c r="E13" s="149"/>
      <c r="F13" s="133"/>
    </row>
    <row r="14" spans="1:7" s="134" customFormat="1">
      <c r="A14" s="215" t="s">
        <v>250</v>
      </c>
      <c r="B14" s="216"/>
      <c r="C14" s="217"/>
      <c r="D14" s="218"/>
      <c r="E14" s="149"/>
      <c r="F14" s="133"/>
    </row>
    <row r="15" spans="1:7" s="134" customFormat="1">
      <c r="A15" s="215" t="s">
        <v>251</v>
      </c>
      <c r="B15" s="216"/>
      <c r="C15" s="217"/>
      <c r="D15" s="218"/>
      <c r="E15" s="149"/>
      <c r="F15" s="133"/>
    </row>
    <row r="16" spans="1:7" s="134" customFormat="1">
      <c r="A16" s="145" t="s">
        <v>252</v>
      </c>
      <c r="B16" s="216"/>
      <c r="C16" s="217"/>
      <c r="D16" s="218"/>
      <c r="E16" s="149"/>
      <c r="F16" s="133"/>
    </row>
    <row r="17" spans="1:15">
      <c r="A17" s="145" t="s">
        <v>46</v>
      </c>
      <c r="B17" s="146"/>
      <c r="C17" s="147"/>
      <c r="D17" s="154"/>
      <c r="E17" s="155"/>
      <c r="G17" s="134"/>
      <c r="K17" s="134"/>
      <c r="O17" s="134"/>
    </row>
    <row r="18" spans="1:15">
      <c r="A18" s="145"/>
      <c r="B18" s="146"/>
      <c r="C18" s="147"/>
      <c r="D18" s="154"/>
      <c r="E18" s="155"/>
      <c r="G18" s="134"/>
      <c r="K18" s="134"/>
      <c r="O18" s="134"/>
    </row>
    <row r="19" spans="1:15">
      <c r="A19" s="138" t="s">
        <v>18</v>
      </c>
      <c r="B19" s="139"/>
      <c r="C19" s="140"/>
      <c r="D19" s="141" t="s">
        <v>12</v>
      </c>
      <c r="E19" s="142"/>
      <c r="G19" s="134"/>
      <c r="K19" s="134"/>
      <c r="O19" s="134"/>
    </row>
    <row r="20" spans="1:15">
      <c r="A20" s="145" t="s">
        <v>19</v>
      </c>
      <c r="B20" s="146"/>
      <c r="C20" s="147"/>
      <c r="D20" s="148" t="s">
        <v>13</v>
      </c>
      <c r="E20" s="149"/>
      <c r="G20" s="134"/>
      <c r="K20" s="134"/>
      <c r="O20" s="134"/>
    </row>
    <row r="21" spans="1:15">
      <c r="A21" s="145" t="s">
        <v>21</v>
      </c>
      <c r="B21" s="146"/>
      <c r="C21" s="147"/>
      <c r="D21" s="148"/>
      <c r="E21" s="149"/>
      <c r="G21" s="134"/>
      <c r="K21" s="134"/>
      <c r="O21" s="134"/>
    </row>
    <row r="22" spans="1:15">
      <c r="A22" s="145" t="s">
        <v>22</v>
      </c>
      <c r="B22" s="146"/>
      <c r="C22" s="147"/>
      <c r="D22" s="156" t="s">
        <v>47</v>
      </c>
      <c r="E22" s="157"/>
      <c r="G22" s="134"/>
      <c r="K22" s="134"/>
      <c r="O22" s="134"/>
    </row>
    <row r="23" spans="1:15">
      <c r="A23" s="145" t="s">
        <v>24</v>
      </c>
      <c r="B23" s="146"/>
      <c r="C23" s="147"/>
      <c r="D23" s="156" t="s">
        <v>48</v>
      </c>
      <c r="E23" s="157"/>
      <c r="G23" s="134"/>
      <c r="K23" s="134"/>
      <c r="O23" s="134"/>
    </row>
    <row r="24" spans="1:15" ht="15.75" thickBot="1">
      <c r="A24" s="34" t="s">
        <v>248</v>
      </c>
      <c r="B24" s="135"/>
      <c r="C24" s="151"/>
      <c r="D24" s="136"/>
      <c r="E24" s="155"/>
      <c r="G24" s="134"/>
      <c r="K24" s="134"/>
      <c r="O24" s="134"/>
    </row>
    <row r="25" spans="1:15" ht="15.75" thickBot="1">
      <c r="A25" s="268" t="s">
        <v>49</v>
      </c>
      <c r="B25" s="158" t="s">
        <v>50</v>
      </c>
      <c r="C25" s="158" t="s">
        <v>51</v>
      </c>
      <c r="D25" s="159" t="s">
        <v>28</v>
      </c>
      <c r="E25" s="160" t="s">
        <v>52</v>
      </c>
      <c r="G25" s="134"/>
      <c r="K25" s="134"/>
      <c r="O25" s="134"/>
    </row>
    <row r="26" spans="1:15">
      <c r="B26" s="270" t="s">
        <v>169</v>
      </c>
      <c r="C26" s="259" t="s">
        <v>324</v>
      </c>
      <c r="D26" s="161">
        <v>1</v>
      </c>
      <c r="E26" s="307" t="s">
        <v>113</v>
      </c>
      <c r="G26" s="134"/>
      <c r="K26" s="134"/>
      <c r="O26" s="134"/>
    </row>
    <row r="27" spans="1:15">
      <c r="B27" s="220" t="s">
        <v>170</v>
      </c>
      <c r="C27" s="260" t="s">
        <v>324</v>
      </c>
      <c r="D27" s="162">
        <v>1</v>
      </c>
      <c r="E27" s="290"/>
      <c r="G27" s="134"/>
      <c r="K27" s="134"/>
      <c r="O27" s="134"/>
    </row>
    <row r="28" spans="1:15">
      <c r="B28" s="220" t="s">
        <v>171</v>
      </c>
      <c r="C28" s="260" t="s">
        <v>72</v>
      </c>
      <c r="D28" s="162">
        <v>1</v>
      </c>
      <c r="E28" s="290"/>
      <c r="G28" s="134"/>
      <c r="K28" s="134"/>
      <c r="O28" s="134"/>
    </row>
    <row r="29" spans="1:15">
      <c r="B29" s="220" t="s">
        <v>172</v>
      </c>
      <c r="C29" s="260" t="s">
        <v>72</v>
      </c>
      <c r="D29" s="164">
        <v>1</v>
      </c>
      <c r="E29" s="290"/>
      <c r="G29" s="134"/>
      <c r="K29" s="134"/>
      <c r="O29" s="134"/>
    </row>
    <row r="30" spans="1:15">
      <c r="B30" s="167" t="s">
        <v>173</v>
      </c>
      <c r="C30" s="163" t="s">
        <v>79</v>
      </c>
      <c r="D30" s="164">
        <v>1</v>
      </c>
      <c r="E30" s="290"/>
      <c r="G30" s="134"/>
      <c r="K30" s="134"/>
      <c r="O30" s="134"/>
    </row>
    <row r="31" spans="1:15">
      <c r="B31" s="167" t="s">
        <v>174</v>
      </c>
      <c r="C31" s="163" t="s">
        <v>79</v>
      </c>
      <c r="D31" s="164">
        <v>1</v>
      </c>
      <c r="E31" s="290"/>
      <c r="G31" s="134"/>
      <c r="K31" s="134"/>
      <c r="O31" s="134"/>
    </row>
    <row r="32" spans="1:15">
      <c r="B32" s="167" t="s">
        <v>175</v>
      </c>
      <c r="C32" s="163" t="s">
        <v>79</v>
      </c>
      <c r="D32" s="164">
        <v>1</v>
      </c>
      <c r="E32" s="290"/>
      <c r="G32" s="134"/>
      <c r="K32" s="134"/>
      <c r="O32" s="134"/>
    </row>
    <row r="33" spans="2:15">
      <c r="B33" s="167" t="s">
        <v>176</v>
      </c>
      <c r="C33" s="163" t="s">
        <v>79</v>
      </c>
      <c r="D33" s="164">
        <v>1</v>
      </c>
      <c r="E33" s="290"/>
      <c r="G33" s="134"/>
      <c r="K33" s="134"/>
      <c r="O33" s="134"/>
    </row>
    <row r="34" spans="2:15">
      <c r="B34" s="167" t="s">
        <v>177</v>
      </c>
      <c r="C34" s="260" t="s">
        <v>125</v>
      </c>
      <c r="D34" s="164">
        <v>2</v>
      </c>
      <c r="E34" s="290"/>
      <c r="G34" s="134"/>
      <c r="K34" s="134"/>
      <c r="O34" s="134"/>
    </row>
    <row r="35" spans="2:15">
      <c r="B35" s="167" t="s">
        <v>60</v>
      </c>
      <c r="C35" s="106" t="s">
        <v>126</v>
      </c>
      <c r="D35" s="164">
        <v>2</v>
      </c>
      <c r="E35" s="290"/>
      <c r="G35" s="134"/>
      <c r="K35" s="134"/>
      <c r="O35" s="134"/>
    </row>
    <row r="36" spans="2:15">
      <c r="B36" s="167" t="s">
        <v>61</v>
      </c>
      <c r="C36" s="260" t="s">
        <v>127</v>
      </c>
      <c r="D36" s="164">
        <v>2</v>
      </c>
      <c r="E36" s="290"/>
      <c r="G36" s="134"/>
      <c r="K36" s="134"/>
      <c r="O36" s="134"/>
    </row>
    <row r="37" spans="2:15">
      <c r="B37" s="167" t="s">
        <v>178</v>
      </c>
      <c r="C37" s="121" t="s">
        <v>118</v>
      </c>
      <c r="D37" s="164">
        <v>1</v>
      </c>
      <c r="E37" s="290"/>
      <c r="G37" s="134"/>
      <c r="K37" s="134"/>
      <c r="O37" s="134"/>
    </row>
    <row r="38" spans="2:15">
      <c r="B38" s="167" t="s">
        <v>179</v>
      </c>
      <c r="C38" s="121" t="s">
        <v>80</v>
      </c>
      <c r="D38" s="164">
        <v>1</v>
      </c>
      <c r="E38" s="290"/>
      <c r="G38" s="134"/>
      <c r="K38" s="134"/>
      <c r="O38" s="134"/>
    </row>
    <row r="39" spans="2:15">
      <c r="B39" s="167" t="s">
        <v>180</v>
      </c>
      <c r="C39" s="260" t="s">
        <v>81</v>
      </c>
      <c r="D39" s="164">
        <v>2</v>
      </c>
      <c r="E39" s="290"/>
      <c r="G39" s="134"/>
      <c r="K39" s="134"/>
      <c r="O39" s="134"/>
    </row>
    <row r="40" spans="2:15">
      <c r="B40" s="167" t="s">
        <v>181</v>
      </c>
      <c r="C40" s="107" t="s">
        <v>86</v>
      </c>
      <c r="D40" s="164">
        <v>4</v>
      </c>
      <c r="E40" s="290"/>
      <c r="G40" s="134"/>
      <c r="K40" s="134"/>
      <c r="O40" s="134"/>
    </row>
    <row r="41" spans="2:15">
      <c r="B41" s="167" t="s">
        <v>63</v>
      </c>
      <c r="C41" s="107" t="s">
        <v>106</v>
      </c>
      <c r="D41" s="164">
        <v>2</v>
      </c>
      <c r="E41" s="290"/>
      <c r="G41" s="134"/>
      <c r="K41" s="134"/>
      <c r="O41" s="134"/>
    </row>
    <row r="42" spans="2:15">
      <c r="B42" s="167" t="s">
        <v>182</v>
      </c>
      <c r="C42" s="107" t="s">
        <v>108</v>
      </c>
      <c r="D42" s="164">
        <v>4</v>
      </c>
      <c r="E42" s="290"/>
      <c r="G42" s="134"/>
      <c r="K42" s="134"/>
      <c r="O42" s="134"/>
    </row>
    <row r="43" spans="2:15">
      <c r="B43" s="167" t="s">
        <v>204</v>
      </c>
      <c r="C43" s="107" t="s">
        <v>102</v>
      </c>
      <c r="D43" s="164">
        <v>2</v>
      </c>
      <c r="E43" s="291"/>
      <c r="G43" s="134"/>
      <c r="K43" s="134"/>
      <c r="O43" s="134"/>
    </row>
    <row r="44" spans="2:15">
      <c r="B44" s="167" t="s">
        <v>183</v>
      </c>
      <c r="C44" s="107" t="s">
        <v>64</v>
      </c>
      <c r="D44" s="164">
        <v>1</v>
      </c>
      <c r="E44" s="298" t="s">
        <v>163</v>
      </c>
      <c r="G44" s="134"/>
      <c r="K44" s="134"/>
      <c r="O44" s="134"/>
    </row>
    <row r="45" spans="2:15">
      <c r="B45" s="167" t="s">
        <v>184</v>
      </c>
      <c r="C45" s="109" t="s">
        <v>70</v>
      </c>
      <c r="D45" s="164">
        <v>1</v>
      </c>
      <c r="E45" s="299"/>
      <c r="G45" s="134"/>
      <c r="K45" s="134"/>
      <c r="O45" s="134"/>
    </row>
    <row r="46" spans="2:15">
      <c r="B46" s="167" t="s">
        <v>185</v>
      </c>
      <c r="C46" s="109" t="s">
        <v>70</v>
      </c>
      <c r="D46" s="164">
        <v>1</v>
      </c>
      <c r="E46" s="299"/>
      <c r="G46" s="134"/>
      <c r="K46" s="134"/>
      <c r="O46" s="134"/>
    </row>
    <row r="47" spans="2:15">
      <c r="B47" s="167" t="s">
        <v>186</v>
      </c>
      <c r="C47" s="109" t="s">
        <v>74</v>
      </c>
      <c r="D47" s="164">
        <v>1</v>
      </c>
      <c r="E47" s="299"/>
      <c r="G47" s="134"/>
      <c r="K47" s="134"/>
      <c r="O47" s="134"/>
    </row>
    <row r="48" spans="2:15">
      <c r="B48" s="167" t="s">
        <v>187</v>
      </c>
      <c r="C48" s="109" t="s">
        <v>74</v>
      </c>
      <c r="D48" s="164">
        <v>1</v>
      </c>
      <c r="E48" s="299"/>
      <c r="G48" s="134"/>
      <c r="K48" s="134"/>
      <c r="O48" s="134"/>
    </row>
    <row r="49" spans="2:15">
      <c r="B49" s="167" t="s">
        <v>188</v>
      </c>
      <c r="C49" s="109" t="s">
        <v>74</v>
      </c>
      <c r="D49" s="164">
        <v>1</v>
      </c>
      <c r="E49" s="299"/>
      <c r="G49" s="134"/>
      <c r="K49" s="134"/>
      <c r="O49" s="134"/>
    </row>
    <row r="50" spans="2:15">
      <c r="B50" s="167" t="s">
        <v>189</v>
      </c>
      <c r="C50" s="107" t="s">
        <v>83</v>
      </c>
      <c r="D50" s="164">
        <v>2</v>
      </c>
      <c r="E50" s="299"/>
      <c r="G50" s="134"/>
      <c r="K50" s="134"/>
      <c r="O50" s="134"/>
    </row>
    <row r="51" spans="2:15">
      <c r="B51" s="167" t="s">
        <v>190</v>
      </c>
      <c r="C51" s="107" t="s">
        <v>88</v>
      </c>
      <c r="D51" s="164">
        <v>4</v>
      </c>
      <c r="E51" s="299"/>
      <c r="G51" s="134"/>
      <c r="K51" s="134"/>
      <c r="O51" s="134"/>
    </row>
    <row r="52" spans="2:15" ht="30">
      <c r="B52" s="167" t="s">
        <v>330</v>
      </c>
      <c r="C52" s="322" t="s">
        <v>332</v>
      </c>
      <c r="D52" s="164">
        <v>1</v>
      </c>
      <c r="E52" s="299"/>
      <c r="G52" s="134"/>
      <c r="K52" s="134"/>
      <c r="O52" s="134"/>
    </row>
    <row r="53" spans="2:15" ht="30">
      <c r="B53" s="167" t="s">
        <v>331</v>
      </c>
      <c r="C53" s="322" t="s">
        <v>333</v>
      </c>
      <c r="D53" s="164">
        <v>1</v>
      </c>
      <c r="E53" s="299"/>
      <c r="G53" s="134"/>
      <c r="K53" s="134"/>
      <c r="O53" s="134"/>
    </row>
    <row r="54" spans="2:15">
      <c r="B54" s="167" t="s">
        <v>205</v>
      </c>
      <c r="C54" s="107" t="s">
        <v>103</v>
      </c>
      <c r="D54" s="164">
        <v>2</v>
      </c>
      <c r="E54" s="299"/>
      <c r="G54" s="134"/>
      <c r="K54" s="134"/>
      <c r="O54" s="134"/>
    </row>
    <row r="55" spans="2:15">
      <c r="B55" s="167" t="s">
        <v>206</v>
      </c>
      <c r="C55" s="107" t="s">
        <v>154</v>
      </c>
      <c r="D55" s="164">
        <v>1</v>
      </c>
      <c r="E55" s="300"/>
      <c r="G55" s="134"/>
      <c r="K55" s="134"/>
      <c r="O55" s="134"/>
    </row>
    <row r="56" spans="2:15">
      <c r="B56" s="167" t="s">
        <v>191</v>
      </c>
      <c r="C56" s="106" t="s">
        <v>75</v>
      </c>
      <c r="D56" s="164">
        <v>2</v>
      </c>
      <c r="E56" s="298" t="s">
        <v>164</v>
      </c>
      <c r="G56" s="134"/>
      <c r="K56" s="134"/>
      <c r="O56" s="134"/>
    </row>
    <row r="57" spans="2:15">
      <c r="B57" s="167" t="s">
        <v>67</v>
      </c>
      <c r="C57" s="107" t="s">
        <v>104</v>
      </c>
      <c r="D57" s="164">
        <v>2</v>
      </c>
      <c r="E57" s="299"/>
      <c r="G57" s="134"/>
      <c r="K57" s="134"/>
      <c r="O57" s="134"/>
    </row>
    <row r="58" spans="2:15">
      <c r="B58" s="167" t="s">
        <v>69</v>
      </c>
      <c r="C58" s="107" t="s">
        <v>192</v>
      </c>
      <c r="D58" s="164">
        <v>6</v>
      </c>
      <c r="E58" s="299"/>
      <c r="G58" s="134"/>
      <c r="K58" s="134"/>
      <c r="O58" s="134"/>
    </row>
    <row r="59" spans="2:15">
      <c r="B59" s="167" t="s">
        <v>71</v>
      </c>
      <c r="C59" s="107" t="s">
        <v>153</v>
      </c>
      <c r="D59" s="235">
        <v>1</v>
      </c>
      <c r="E59" s="300"/>
      <c r="G59" s="134"/>
      <c r="K59" s="134"/>
      <c r="O59" s="134"/>
    </row>
    <row r="60" spans="2:15">
      <c r="B60" s="167" t="s">
        <v>193</v>
      </c>
      <c r="C60" s="104" t="s">
        <v>73</v>
      </c>
      <c r="D60" s="164">
        <v>1</v>
      </c>
      <c r="E60" s="289" t="s">
        <v>165</v>
      </c>
      <c r="G60" s="134"/>
      <c r="K60" s="134"/>
      <c r="O60" s="134"/>
    </row>
    <row r="61" spans="2:15">
      <c r="B61" s="167" t="s">
        <v>194</v>
      </c>
      <c r="C61" s="104" t="s">
        <v>73</v>
      </c>
      <c r="D61" s="164">
        <v>1</v>
      </c>
      <c r="E61" s="290"/>
      <c r="G61" s="134"/>
      <c r="K61" s="134"/>
      <c r="O61" s="134"/>
    </row>
    <row r="62" spans="2:15">
      <c r="B62" s="167" t="s">
        <v>195</v>
      </c>
      <c r="C62" s="113" t="s">
        <v>196</v>
      </c>
      <c r="D62" s="164">
        <v>6</v>
      </c>
      <c r="E62" s="290"/>
      <c r="G62" s="134"/>
      <c r="K62" s="134"/>
      <c r="O62" s="134"/>
    </row>
    <row r="63" spans="2:15">
      <c r="B63" s="167" t="s">
        <v>197</v>
      </c>
      <c r="C63" s="107" t="s">
        <v>84</v>
      </c>
      <c r="D63" s="164">
        <v>2</v>
      </c>
      <c r="E63" s="290"/>
      <c r="G63" s="134"/>
      <c r="K63" s="134"/>
      <c r="O63" s="134"/>
    </row>
    <row r="64" spans="2:15">
      <c r="B64" s="167" t="s">
        <v>198</v>
      </c>
      <c r="C64" s="107" t="s">
        <v>85</v>
      </c>
      <c r="D64" s="164">
        <v>2</v>
      </c>
      <c r="E64" s="290"/>
      <c r="G64" s="134"/>
      <c r="K64" s="134"/>
      <c r="O64" s="134"/>
    </row>
    <row r="65" spans="2:15">
      <c r="B65" s="167" t="s">
        <v>199</v>
      </c>
      <c r="C65" s="107" t="s">
        <v>87</v>
      </c>
      <c r="D65" s="164">
        <v>2</v>
      </c>
      <c r="E65" s="290"/>
      <c r="G65" s="134"/>
      <c r="K65" s="134"/>
      <c r="O65" s="134"/>
    </row>
    <row r="66" spans="2:15">
      <c r="B66" s="167" t="s">
        <v>200</v>
      </c>
      <c r="C66" s="107" t="s">
        <v>321</v>
      </c>
      <c r="D66" s="164">
        <v>6</v>
      </c>
      <c r="E66" s="290"/>
      <c r="G66" s="134"/>
      <c r="K66" s="134"/>
      <c r="O66" s="134"/>
    </row>
    <row r="67" spans="2:15">
      <c r="B67" s="167" t="s">
        <v>201</v>
      </c>
      <c r="C67" s="107" t="s">
        <v>202</v>
      </c>
      <c r="D67" s="164">
        <v>3</v>
      </c>
      <c r="E67" s="291"/>
      <c r="G67" s="134"/>
      <c r="K67" s="134"/>
      <c r="O67" s="134"/>
    </row>
    <row r="68" spans="2:15">
      <c r="B68" s="167" t="s">
        <v>220</v>
      </c>
      <c r="C68" s="107" t="s">
        <v>291</v>
      </c>
      <c r="D68" s="164">
        <v>2</v>
      </c>
      <c r="E68" s="289" t="s">
        <v>207</v>
      </c>
      <c r="G68" s="134"/>
      <c r="K68" s="134"/>
      <c r="O68" s="134"/>
    </row>
    <row r="69" spans="2:15">
      <c r="B69" s="167" t="s">
        <v>208</v>
      </c>
      <c r="C69" s="107" t="s">
        <v>90</v>
      </c>
      <c r="D69" s="164">
        <v>2</v>
      </c>
      <c r="E69" s="290"/>
      <c r="G69" s="134"/>
      <c r="K69" s="134"/>
      <c r="O69" s="134"/>
    </row>
    <row r="70" spans="2:15">
      <c r="B70" s="167" t="s">
        <v>209</v>
      </c>
      <c r="C70" s="107" t="s">
        <v>91</v>
      </c>
      <c r="D70" s="164">
        <v>2</v>
      </c>
      <c r="E70" s="290"/>
      <c r="G70" s="134"/>
      <c r="K70" s="134"/>
      <c r="O70" s="134"/>
    </row>
    <row r="71" spans="2:15">
      <c r="B71" s="167" t="s">
        <v>210</v>
      </c>
      <c r="C71" s="107" t="s">
        <v>92</v>
      </c>
      <c r="D71" s="262">
        <v>2</v>
      </c>
      <c r="E71" s="290"/>
      <c r="G71" s="134"/>
      <c r="K71" s="134"/>
      <c r="O71" s="134"/>
    </row>
    <row r="72" spans="2:15">
      <c r="B72" s="167" t="s">
        <v>211</v>
      </c>
      <c r="C72" s="107" t="s">
        <v>93</v>
      </c>
      <c r="D72" s="164">
        <v>2</v>
      </c>
      <c r="E72" s="290"/>
      <c r="G72" s="134"/>
      <c r="K72" s="134"/>
      <c r="O72" s="134"/>
    </row>
    <row r="73" spans="2:15">
      <c r="B73" s="167" t="s">
        <v>212</v>
      </c>
      <c r="C73" s="107" t="s">
        <v>95</v>
      </c>
      <c r="D73" s="263">
        <v>6</v>
      </c>
      <c r="E73" s="290"/>
      <c r="G73" s="134"/>
      <c r="K73" s="134"/>
      <c r="O73" s="134"/>
    </row>
    <row r="74" spans="2:15">
      <c r="B74" s="167" t="s">
        <v>213</v>
      </c>
      <c r="C74" s="107" t="s">
        <v>96</v>
      </c>
      <c r="D74" s="263">
        <v>4</v>
      </c>
      <c r="E74" s="290"/>
      <c r="G74" s="134"/>
      <c r="K74" s="134"/>
      <c r="O74" s="134"/>
    </row>
    <row r="75" spans="2:15">
      <c r="B75" s="167" t="s">
        <v>214</v>
      </c>
      <c r="C75" s="107" t="s">
        <v>97</v>
      </c>
      <c r="D75" s="263">
        <v>5</v>
      </c>
      <c r="E75" s="290"/>
      <c r="G75" s="134"/>
      <c r="K75" s="134"/>
      <c r="O75" s="134"/>
    </row>
    <row r="76" spans="2:15">
      <c r="B76" s="167" t="s">
        <v>215</v>
      </c>
      <c r="C76" s="107" t="s">
        <v>98</v>
      </c>
      <c r="D76" s="263">
        <v>4</v>
      </c>
      <c r="E76" s="290"/>
      <c r="G76" s="134"/>
      <c r="K76" s="134"/>
      <c r="O76" s="134"/>
    </row>
    <row r="77" spans="2:15">
      <c r="B77" s="167" t="s">
        <v>216</v>
      </c>
      <c r="C77" s="107" t="s">
        <v>99</v>
      </c>
      <c r="D77" s="263">
        <v>3</v>
      </c>
      <c r="E77" s="290"/>
      <c r="G77" s="134"/>
      <c r="K77" s="134"/>
      <c r="O77" s="134"/>
    </row>
    <row r="78" spans="2:15">
      <c r="B78" s="167" t="s">
        <v>217</v>
      </c>
      <c r="C78" s="107" t="s">
        <v>100</v>
      </c>
      <c r="D78" s="263">
        <v>2</v>
      </c>
      <c r="E78" s="290"/>
      <c r="G78" s="134"/>
      <c r="K78" s="134"/>
      <c r="O78" s="134"/>
    </row>
    <row r="79" spans="2:15">
      <c r="B79" s="167" t="s">
        <v>218</v>
      </c>
      <c r="C79" s="107" t="s">
        <v>101</v>
      </c>
      <c r="D79" s="263">
        <v>2</v>
      </c>
      <c r="E79" s="290"/>
      <c r="G79" s="134"/>
      <c r="K79" s="134"/>
      <c r="O79" s="134"/>
    </row>
    <row r="80" spans="2:15">
      <c r="B80" s="167" t="s">
        <v>219</v>
      </c>
      <c r="C80" s="107" t="s">
        <v>149</v>
      </c>
      <c r="D80" s="263">
        <v>1</v>
      </c>
      <c r="E80" s="290"/>
      <c r="G80" s="134"/>
      <c r="K80" s="134"/>
      <c r="O80" s="134"/>
    </row>
    <row r="81" spans="2:15" ht="30">
      <c r="B81" s="167" t="s">
        <v>305</v>
      </c>
      <c r="C81" s="122" t="s">
        <v>221</v>
      </c>
      <c r="D81" s="164">
        <v>10</v>
      </c>
      <c r="E81" s="290"/>
      <c r="G81" s="134"/>
      <c r="K81" s="134"/>
      <c r="O81" s="134"/>
    </row>
    <row r="82" spans="2:15">
      <c r="B82" s="167" t="s">
        <v>304</v>
      </c>
      <c r="C82" s="107" t="s">
        <v>110</v>
      </c>
      <c r="D82" s="164">
        <v>5</v>
      </c>
      <c r="E82" s="290"/>
      <c r="G82" s="134"/>
      <c r="K82" s="134"/>
      <c r="O82" s="134"/>
    </row>
    <row r="83" spans="2:15">
      <c r="B83" s="167" t="s">
        <v>223</v>
      </c>
      <c r="C83" s="107" t="s">
        <v>303</v>
      </c>
      <c r="D83" s="164">
        <v>3</v>
      </c>
      <c r="E83" s="290"/>
      <c r="G83" s="134"/>
      <c r="K83" s="134"/>
      <c r="O83" s="134"/>
    </row>
    <row r="84" spans="2:15">
      <c r="B84" s="167" t="s">
        <v>224</v>
      </c>
      <c r="C84" s="127" t="s">
        <v>112</v>
      </c>
      <c r="D84" s="164">
        <v>2</v>
      </c>
      <c r="E84" s="290"/>
      <c r="G84" s="134"/>
      <c r="K84" s="134"/>
      <c r="O84" s="134"/>
    </row>
    <row r="85" spans="2:15">
      <c r="B85" s="167" t="s">
        <v>225</v>
      </c>
      <c r="C85" s="107" t="s">
        <v>152</v>
      </c>
      <c r="D85" s="164">
        <v>2</v>
      </c>
      <c r="E85" s="291"/>
      <c r="G85" s="134"/>
      <c r="K85" s="134"/>
      <c r="O85" s="134"/>
    </row>
    <row r="86" spans="2:15">
      <c r="B86" s="167" t="s">
        <v>227</v>
      </c>
      <c r="C86" s="107" t="s">
        <v>105</v>
      </c>
      <c r="D86" s="164">
        <v>4</v>
      </c>
      <c r="E86" s="289" t="s">
        <v>226</v>
      </c>
      <c r="G86" s="134"/>
      <c r="K86" s="134"/>
      <c r="O86" s="134"/>
    </row>
    <row r="87" spans="2:15">
      <c r="B87" s="167" t="s">
        <v>309</v>
      </c>
      <c r="C87" s="107" t="s">
        <v>132</v>
      </c>
      <c r="D87" s="164">
        <v>2</v>
      </c>
      <c r="E87" s="290"/>
      <c r="G87" s="134"/>
      <c r="K87" s="134"/>
      <c r="O87" s="134"/>
    </row>
    <row r="88" spans="2:15">
      <c r="B88" s="167" t="s">
        <v>236</v>
      </c>
      <c r="C88" s="107" t="s">
        <v>155</v>
      </c>
      <c r="D88" s="235">
        <v>1</v>
      </c>
      <c r="E88" s="291"/>
      <c r="G88" s="134"/>
      <c r="K88" s="134"/>
      <c r="O88" s="134"/>
    </row>
    <row r="89" spans="2:15">
      <c r="B89" s="167" t="s">
        <v>229</v>
      </c>
      <c r="C89" s="109" t="s">
        <v>77</v>
      </c>
      <c r="D89" s="264">
        <v>1</v>
      </c>
      <c r="E89" s="289" t="s">
        <v>114</v>
      </c>
      <c r="G89" s="134"/>
      <c r="K89" s="134"/>
      <c r="O89" s="134"/>
    </row>
    <row r="90" spans="2:15">
      <c r="B90" s="167" t="s">
        <v>230</v>
      </c>
      <c r="C90" s="109" t="s">
        <v>78</v>
      </c>
      <c r="D90" s="264">
        <v>1</v>
      </c>
      <c r="E90" s="290"/>
      <c r="G90" s="134"/>
      <c r="K90" s="134"/>
      <c r="O90" s="134"/>
    </row>
    <row r="91" spans="2:15">
      <c r="B91" s="167" t="s">
        <v>231</v>
      </c>
      <c r="C91" s="107" t="s">
        <v>107</v>
      </c>
      <c r="D91" s="164">
        <v>1</v>
      </c>
      <c r="E91" s="290"/>
      <c r="G91" s="134"/>
      <c r="K91" s="134"/>
      <c r="O91" s="134"/>
    </row>
    <row r="92" spans="2:15">
      <c r="B92" s="167" t="s">
        <v>232</v>
      </c>
      <c r="C92" s="107" t="s">
        <v>133</v>
      </c>
      <c r="D92" s="263">
        <v>1</v>
      </c>
      <c r="E92" s="290"/>
      <c r="G92" s="134"/>
      <c r="K92" s="134"/>
      <c r="O92" s="134"/>
    </row>
    <row r="93" spans="2:15">
      <c r="B93" s="167" t="s">
        <v>233</v>
      </c>
      <c r="C93" s="107" t="s">
        <v>111</v>
      </c>
      <c r="D93" s="263">
        <v>1</v>
      </c>
      <c r="E93" s="290"/>
      <c r="G93" s="134"/>
      <c r="K93" s="134"/>
      <c r="O93" s="134"/>
    </row>
    <row r="94" spans="2:15">
      <c r="B94" s="167" t="s">
        <v>234</v>
      </c>
      <c r="C94" s="107" t="s">
        <v>308</v>
      </c>
      <c r="D94" s="263">
        <v>2</v>
      </c>
      <c r="E94" s="290"/>
      <c r="G94" s="134"/>
      <c r="K94" s="134"/>
      <c r="O94" s="134"/>
    </row>
    <row r="95" spans="2:15">
      <c r="B95" s="167" t="s">
        <v>235</v>
      </c>
      <c r="C95" s="107" t="s">
        <v>151</v>
      </c>
      <c r="D95" s="263">
        <v>1</v>
      </c>
      <c r="E95" s="290"/>
      <c r="G95" s="134"/>
      <c r="K95" s="134"/>
      <c r="O95" s="134"/>
    </row>
    <row r="96" spans="2:15">
      <c r="B96" s="167" t="s">
        <v>237</v>
      </c>
      <c r="C96" s="113" t="s">
        <v>65</v>
      </c>
      <c r="D96" s="164">
        <v>1</v>
      </c>
      <c r="E96" s="304" t="s">
        <v>115</v>
      </c>
      <c r="G96" s="134"/>
      <c r="K96" s="134"/>
      <c r="O96" s="134"/>
    </row>
    <row r="97" spans="1:15">
      <c r="B97" s="167" t="s">
        <v>238</v>
      </c>
      <c r="C97" s="113" t="s">
        <v>68</v>
      </c>
      <c r="D97" s="164">
        <v>1</v>
      </c>
      <c r="E97" s="305"/>
      <c r="G97" s="134"/>
      <c r="K97" s="134"/>
      <c r="O97" s="134"/>
    </row>
    <row r="98" spans="1:15">
      <c r="B98" s="167" t="s">
        <v>239</v>
      </c>
      <c r="C98" s="113" t="s">
        <v>128</v>
      </c>
      <c r="D98" s="164">
        <v>1</v>
      </c>
      <c r="E98" s="305"/>
      <c r="G98" s="134"/>
      <c r="K98" s="134"/>
      <c r="O98" s="134"/>
    </row>
    <row r="99" spans="1:15">
      <c r="B99" s="167" t="s">
        <v>240</v>
      </c>
      <c r="C99" s="113" t="s">
        <v>129</v>
      </c>
      <c r="D99" s="164">
        <v>1</v>
      </c>
      <c r="E99" s="305"/>
      <c r="G99" s="134"/>
      <c r="K99" s="134"/>
      <c r="O99" s="134"/>
    </row>
    <row r="100" spans="1:15">
      <c r="B100" s="167" t="s">
        <v>241</v>
      </c>
      <c r="C100" s="113" t="s">
        <v>130</v>
      </c>
      <c r="D100" s="164">
        <v>1</v>
      </c>
      <c r="E100" s="305"/>
      <c r="G100" s="134"/>
      <c r="K100" s="134"/>
      <c r="O100" s="134"/>
    </row>
    <row r="101" spans="1:15">
      <c r="B101" s="167" t="s">
        <v>242</v>
      </c>
      <c r="C101" s="113" t="s">
        <v>131</v>
      </c>
      <c r="D101" s="164">
        <v>3</v>
      </c>
      <c r="E101" s="305"/>
      <c r="G101" s="134"/>
      <c r="K101" s="134"/>
      <c r="O101" s="134"/>
    </row>
    <row r="102" spans="1:15">
      <c r="B102" s="167" t="s">
        <v>255</v>
      </c>
      <c r="C102" s="107" t="s">
        <v>135</v>
      </c>
      <c r="D102" s="164">
        <v>2</v>
      </c>
      <c r="E102" s="306"/>
      <c r="G102" s="134"/>
      <c r="K102" s="134"/>
      <c r="O102" s="134"/>
    </row>
    <row r="103" spans="1:15">
      <c r="D103" s="152">
        <f>SUM(D27:D102)</f>
        <v>164</v>
      </c>
      <c r="G103" s="134"/>
      <c r="K103" s="134"/>
      <c r="O103" s="134"/>
    </row>
    <row r="104" spans="1:15">
      <c r="A104" s="171" t="s">
        <v>54</v>
      </c>
      <c r="B104" s="172">
        <v>8</v>
      </c>
      <c r="C104" s="288" t="s">
        <v>39</v>
      </c>
      <c r="D104" s="288"/>
      <c r="E104" s="288"/>
      <c r="G104" s="134"/>
      <c r="K104" s="134"/>
      <c r="O104" s="134"/>
    </row>
    <row r="105" spans="1:15">
      <c r="A105" s="171" t="s">
        <v>55</v>
      </c>
      <c r="B105" s="265" t="s">
        <v>116</v>
      </c>
      <c r="G105" s="134"/>
      <c r="K105" s="134"/>
      <c r="O105" s="134"/>
    </row>
    <row r="106" spans="1:15">
      <c r="A106" s="174"/>
      <c r="B106" s="173"/>
      <c r="G106" s="134"/>
      <c r="K106" s="134"/>
      <c r="O106" s="134"/>
    </row>
    <row r="107" spans="1:15">
      <c r="A107" s="174"/>
      <c r="B107" s="173"/>
      <c r="G107" s="134"/>
      <c r="K107" s="134"/>
      <c r="O107" s="134"/>
    </row>
    <row r="108" spans="1:15">
      <c r="G108" s="134"/>
      <c r="K108" s="134"/>
      <c r="O108" s="134"/>
    </row>
    <row r="109" spans="1:15">
      <c r="G109" s="134"/>
      <c r="K109" s="134"/>
      <c r="O109" s="134"/>
    </row>
    <row r="110" spans="1:15">
      <c r="G110" s="134"/>
      <c r="K110" s="134"/>
      <c r="O110" s="134"/>
    </row>
    <row r="111" spans="1:15">
      <c r="G111" s="134"/>
      <c r="K111" s="134"/>
      <c r="O111" s="134"/>
    </row>
    <row r="112" spans="1:15">
      <c r="G112" s="134"/>
      <c r="K112" s="134"/>
      <c r="O112" s="134"/>
    </row>
    <row r="113" spans="7:15">
      <c r="G113" s="134"/>
      <c r="K113" s="134"/>
      <c r="O113" s="134"/>
    </row>
    <row r="114" spans="7:15">
      <c r="G114" s="134"/>
      <c r="K114" s="134"/>
      <c r="O114" s="134"/>
    </row>
    <row r="115" spans="7:15">
      <c r="G115" s="134"/>
      <c r="K115" s="134"/>
      <c r="O115" s="134"/>
    </row>
    <row r="117" spans="7:15">
      <c r="G117" s="134"/>
      <c r="K117" s="134"/>
      <c r="O117" s="134"/>
    </row>
    <row r="118" spans="7:15">
      <c r="G118" s="134"/>
      <c r="K118" s="134"/>
      <c r="O118" s="134"/>
    </row>
    <row r="119" spans="7:15">
      <c r="G119" s="134"/>
      <c r="K119" s="134"/>
      <c r="O119" s="134"/>
    </row>
    <row r="120" spans="7:15">
      <c r="G120" s="134"/>
      <c r="K120" s="134"/>
      <c r="O120" s="134"/>
    </row>
  </sheetData>
  <mergeCells count="13">
    <mergeCell ref="C104:E104"/>
    <mergeCell ref="E68:E85"/>
    <mergeCell ref="E89:E95"/>
    <mergeCell ref="B1:D1"/>
    <mergeCell ref="D5:E5"/>
    <mergeCell ref="D10:E11"/>
    <mergeCell ref="E44:E55"/>
    <mergeCell ref="E56:E59"/>
    <mergeCell ref="E86:E88"/>
    <mergeCell ref="A12:C13"/>
    <mergeCell ref="E96:E102"/>
    <mergeCell ref="E60:E67"/>
    <mergeCell ref="E26:E43"/>
  </mergeCells>
  <phoneticPr fontId="92"/>
  <pageMargins left="0.7" right="0.7" top="0.75" bottom="0.75" header="0.3" footer="0.3"/>
  <pageSetup paperSize="9" scale="71" orientation="portrait" r:id="rId1"/>
  <rowBreaks count="1" manualBreakCount="1">
    <brk id="67" max="4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22"/>
  <sheetViews>
    <sheetView view="pageBreakPreview" zoomScale="115" zoomScaleNormal="100" zoomScaleSheetLayoutView="115" workbookViewId="0">
      <selection activeCell="H5" sqref="H5"/>
    </sheetView>
  </sheetViews>
  <sheetFormatPr defaultColWidth="9.140625" defaultRowHeight="15"/>
  <cols>
    <col min="1" max="4" width="9.140625" style="2"/>
    <col min="5" max="5" width="12.5703125" style="2" customWidth="1"/>
    <col min="6" max="7" width="9.140625" style="2"/>
    <col min="8" max="8" width="11" style="4" customWidth="1"/>
    <col min="9" max="9" width="9.140625" style="2"/>
    <col min="10" max="10" width="13.7109375" style="2" customWidth="1"/>
    <col min="11" max="16384" width="9.140625" style="2"/>
  </cols>
  <sheetData>
    <row r="1" spans="1:14" ht="30.75">
      <c r="A1" s="1"/>
      <c r="G1" s="3" t="s">
        <v>0</v>
      </c>
    </row>
    <row r="2" spans="1:14">
      <c r="A2" s="5"/>
      <c r="B2" s="5"/>
      <c r="C2" s="5"/>
      <c r="D2" s="5"/>
      <c r="E2" s="5"/>
      <c r="F2" s="5"/>
      <c r="G2" s="6"/>
      <c r="H2" s="7"/>
      <c r="I2" s="5"/>
      <c r="J2" s="5"/>
    </row>
    <row r="3" spans="1:14">
      <c r="A3" s="8" t="s">
        <v>1</v>
      </c>
      <c r="B3" s="8"/>
      <c r="C3" s="8"/>
      <c r="D3" s="8"/>
      <c r="E3" s="8"/>
      <c r="F3" s="8"/>
      <c r="G3" s="9"/>
      <c r="H3" s="10" t="s">
        <v>2</v>
      </c>
      <c r="I3" s="8"/>
      <c r="J3" s="8"/>
    </row>
    <row r="4" spans="1:14">
      <c r="A4" s="11" t="s">
        <v>326</v>
      </c>
      <c r="B4" s="11"/>
      <c r="C4" s="11"/>
      <c r="D4" s="11"/>
      <c r="E4" s="12"/>
      <c r="F4" s="12"/>
      <c r="G4" s="201"/>
      <c r="H4" s="269" t="s">
        <v>3</v>
      </c>
      <c r="I4" s="14"/>
      <c r="J4" s="15"/>
    </row>
    <row r="5" spans="1:14">
      <c r="A5" s="12" t="s">
        <v>4</v>
      </c>
      <c r="B5" s="12"/>
      <c r="C5" s="12"/>
      <c r="D5" s="12"/>
      <c r="E5" s="12"/>
      <c r="F5" s="12"/>
      <c r="G5" s="201"/>
      <c r="H5" s="199" t="s">
        <v>247</v>
      </c>
      <c r="I5" s="16"/>
      <c r="J5" s="17"/>
    </row>
    <row r="6" spans="1:14">
      <c r="A6" s="12" t="s">
        <v>5</v>
      </c>
      <c r="B6" s="12"/>
      <c r="C6" s="12"/>
      <c r="D6" s="12"/>
      <c r="E6" s="12"/>
      <c r="F6" s="12"/>
      <c r="G6" s="13"/>
      <c r="H6" s="18" t="s">
        <v>6</v>
      </c>
      <c r="I6" s="12"/>
      <c r="J6" s="12"/>
    </row>
    <row r="7" spans="1:14">
      <c r="A7" s="12" t="s">
        <v>7</v>
      </c>
      <c r="B7" s="12"/>
      <c r="C7" s="12"/>
      <c r="D7" s="12"/>
      <c r="E7" s="12"/>
      <c r="F7" s="12"/>
      <c r="G7" s="13"/>
      <c r="H7" s="18" t="s">
        <v>8</v>
      </c>
      <c r="I7" s="12"/>
      <c r="J7" s="12"/>
    </row>
    <row r="8" spans="1:14">
      <c r="A8" s="5" t="s">
        <v>117</v>
      </c>
      <c r="B8" s="5"/>
      <c r="C8" s="5"/>
      <c r="D8" s="5"/>
      <c r="E8" s="5"/>
      <c r="F8" s="5"/>
      <c r="G8" s="19"/>
      <c r="H8" s="20"/>
      <c r="I8" s="5"/>
      <c r="J8" s="5"/>
    </row>
    <row r="9" spans="1:14">
      <c r="A9" s="8" t="s">
        <v>9</v>
      </c>
      <c r="B9" s="8"/>
      <c r="C9" s="8"/>
      <c r="D9" s="8"/>
      <c r="E9" s="8"/>
      <c r="F9" s="8"/>
      <c r="G9" s="9"/>
      <c r="H9" s="21" t="s">
        <v>10</v>
      </c>
      <c r="I9" s="12"/>
      <c r="J9" s="12"/>
    </row>
    <row r="10" spans="1:14" ht="30.75" customHeight="1">
      <c r="A10" s="266" t="s">
        <v>243</v>
      </c>
      <c r="B10" s="203"/>
      <c r="C10" s="203"/>
      <c r="D10" s="204"/>
      <c r="E10" s="12"/>
      <c r="F10" s="12"/>
      <c r="G10" s="13"/>
      <c r="H10" s="308" t="s">
        <v>11</v>
      </c>
      <c r="I10" s="309"/>
      <c r="J10" s="309"/>
    </row>
    <row r="11" spans="1:14">
      <c r="A11" s="12" t="s">
        <v>249</v>
      </c>
      <c r="B11" s="203"/>
      <c r="C11" s="203"/>
      <c r="D11" s="204"/>
      <c r="E11" s="12"/>
      <c r="F11" s="12"/>
      <c r="G11" s="13"/>
      <c r="H11" s="22"/>
      <c r="I11" s="23"/>
      <c r="J11" s="23"/>
    </row>
    <row r="12" spans="1:14" ht="28.5" customHeight="1">
      <c r="A12" s="310" t="s">
        <v>327</v>
      </c>
      <c r="B12" s="310"/>
      <c r="C12" s="310"/>
      <c r="D12" s="310"/>
      <c r="E12" s="310"/>
      <c r="F12" s="310"/>
      <c r="G12" s="24"/>
      <c r="H12" s="21" t="s">
        <v>12</v>
      </c>
      <c r="I12" s="12"/>
      <c r="J12" s="23"/>
    </row>
    <row r="13" spans="1:14">
      <c r="A13" s="209"/>
      <c r="B13" s="209"/>
      <c r="C13" s="209"/>
      <c r="D13" s="209"/>
      <c r="E13" s="25"/>
      <c r="F13" s="25"/>
      <c r="G13" s="24"/>
      <c r="H13" s="26" t="s">
        <v>13</v>
      </c>
      <c r="I13" s="12"/>
      <c r="J13" s="12"/>
    </row>
    <row r="14" spans="1:14" ht="30">
      <c r="A14" s="205" t="s">
        <v>14</v>
      </c>
      <c r="B14" s="205"/>
      <c r="C14" s="209" t="s">
        <v>254</v>
      </c>
      <c r="D14" s="209"/>
      <c r="E14" s="25"/>
      <c r="F14" s="25"/>
      <c r="G14" s="24"/>
      <c r="H14" s="27"/>
      <c r="I14" s="12"/>
      <c r="J14" s="12"/>
    </row>
    <row r="15" spans="1:14">
      <c r="A15" s="210"/>
      <c r="B15" s="211"/>
      <c r="C15" s="204"/>
      <c r="D15" s="204"/>
      <c r="E15" s="12"/>
      <c r="F15" s="12"/>
      <c r="G15" s="13"/>
      <c r="H15" s="21"/>
      <c r="I15" s="12"/>
      <c r="J15" s="12"/>
      <c r="M15" s="12"/>
      <c r="N15" s="12"/>
    </row>
    <row r="16" spans="1:14">
      <c r="A16" s="206" t="s">
        <v>245</v>
      </c>
      <c r="B16" s="206"/>
      <c r="C16" s="206"/>
      <c r="D16" s="206"/>
      <c r="E16" s="5"/>
      <c r="F16" s="5"/>
      <c r="G16" s="19"/>
      <c r="H16" s="21"/>
      <c r="I16" s="12"/>
      <c r="J16" s="12"/>
      <c r="M16" s="12"/>
      <c r="N16" s="12"/>
    </row>
    <row r="17" spans="1:14">
      <c r="A17" s="12" t="s">
        <v>15</v>
      </c>
      <c r="B17" s="12"/>
      <c r="C17" s="12"/>
      <c r="D17" s="12"/>
      <c r="E17" s="12"/>
      <c r="F17" s="12"/>
      <c r="G17" s="29"/>
      <c r="H17" s="21"/>
      <c r="I17" s="12"/>
      <c r="J17" s="12"/>
      <c r="M17" s="12"/>
      <c r="N17" s="12"/>
    </row>
    <row r="18" spans="1:14">
      <c r="A18" s="12" t="s">
        <v>16</v>
      </c>
      <c r="B18" s="12"/>
      <c r="C18" s="12"/>
      <c r="D18" s="5"/>
      <c r="E18" s="5"/>
      <c r="F18" s="5"/>
      <c r="G18" s="6"/>
      <c r="H18" s="20"/>
      <c r="I18" s="5"/>
      <c r="J18" s="5"/>
      <c r="M18" s="12"/>
      <c r="N18" s="12"/>
    </row>
    <row r="19" spans="1:14">
      <c r="A19" s="5" t="s">
        <v>17</v>
      </c>
      <c r="B19" s="5"/>
      <c r="C19" s="5"/>
      <c r="D19" s="30"/>
      <c r="E19" s="30"/>
      <c r="F19" s="30"/>
      <c r="G19" s="31"/>
      <c r="J19" s="12"/>
    </row>
    <row r="20" spans="1:14">
      <c r="A20" s="12" t="s">
        <v>18</v>
      </c>
      <c r="B20" s="12"/>
      <c r="C20" s="12"/>
      <c r="D20" s="12"/>
      <c r="E20" s="12"/>
      <c r="F20" s="12"/>
      <c r="G20" s="29"/>
      <c r="J20" s="12"/>
    </row>
    <row r="21" spans="1:14">
      <c r="A21" s="5" t="s">
        <v>19</v>
      </c>
      <c r="B21" s="5"/>
      <c r="C21" s="5"/>
      <c r="D21" s="32"/>
      <c r="E21" s="5"/>
      <c r="F21" s="5"/>
      <c r="G21" s="6"/>
      <c r="H21" s="27" t="s">
        <v>20</v>
      </c>
      <c r="I21" s="11"/>
      <c r="J21" s="11"/>
    </row>
    <row r="22" spans="1:14">
      <c r="A22" s="12" t="s">
        <v>21</v>
      </c>
      <c r="B22" s="12"/>
      <c r="C22" s="12"/>
      <c r="D22" s="12"/>
      <c r="E22" s="12"/>
      <c r="F22" s="12"/>
      <c r="G22" s="29"/>
      <c r="H22" s="21"/>
      <c r="I22" s="12"/>
      <c r="J22" s="12"/>
    </row>
    <row r="23" spans="1:14">
      <c r="A23" s="5" t="s">
        <v>22</v>
      </c>
      <c r="B23" s="5"/>
      <c r="C23" s="5"/>
      <c r="D23" s="5"/>
      <c r="E23" s="5"/>
      <c r="F23" s="5"/>
      <c r="G23" s="6"/>
      <c r="H23" s="33" t="s">
        <v>23</v>
      </c>
      <c r="J23" s="12"/>
    </row>
    <row r="24" spans="1:14">
      <c r="A24" s="12" t="s">
        <v>24</v>
      </c>
      <c r="B24" s="12"/>
      <c r="C24" s="12"/>
      <c r="D24" s="12"/>
      <c r="E24" s="12"/>
      <c r="F24" s="12"/>
      <c r="G24" s="29"/>
      <c r="H24" s="21"/>
      <c r="I24" s="12"/>
      <c r="J24" s="12"/>
    </row>
    <row r="25" spans="1:14" ht="15.75" thickBot="1">
      <c r="A25" s="34" t="s">
        <v>248</v>
      </c>
      <c r="B25" s="34"/>
      <c r="C25" s="34"/>
      <c r="D25" s="34"/>
      <c r="E25" s="34"/>
      <c r="F25" s="34"/>
      <c r="G25" s="35"/>
      <c r="H25" s="36"/>
      <c r="I25" s="34"/>
      <c r="J25" s="34"/>
    </row>
    <row r="26" spans="1:14">
      <c r="A26" s="12"/>
      <c r="B26" s="12"/>
      <c r="C26" s="12"/>
      <c r="D26" s="12"/>
      <c r="E26" s="12"/>
      <c r="F26" s="12"/>
      <c r="G26" s="29"/>
      <c r="H26" s="18"/>
      <c r="I26" s="12"/>
      <c r="J26" s="12"/>
    </row>
    <row r="27" spans="1:14" ht="57.75">
      <c r="A27" s="37" t="s">
        <v>25</v>
      </c>
      <c r="B27" s="38" t="s">
        <v>26</v>
      </c>
      <c r="C27" s="284" t="s">
        <v>27</v>
      </c>
      <c r="D27" s="311"/>
      <c r="E27" s="285"/>
      <c r="F27" s="39" t="s">
        <v>28</v>
      </c>
      <c r="G27" s="40" t="s">
        <v>29</v>
      </c>
      <c r="H27" s="41" t="s">
        <v>30</v>
      </c>
      <c r="I27" s="37" t="s">
        <v>31</v>
      </c>
      <c r="J27" s="42" t="s">
        <v>32</v>
      </c>
    </row>
    <row r="28" spans="1:14">
      <c r="A28" s="240">
        <v>1</v>
      </c>
      <c r="B28" s="195" t="s">
        <v>259</v>
      </c>
      <c r="C28" s="243" t="s">
        <v>138</v>
      </c>
      <c r="D28" s="197"/>
      <c r="E28" s="196"/>
      <c r="F28" s="244">
        <v>10</v>
      </c>
      <c r="G28" s="47" t="s">
        <v>35</v>
      </c>
      <c r="H28" s="194">
        <v>100</v>
      </c>
      <c r="I28" s="48">
        <f t="shared" ref="I28:I40" si="0">F28*H28</f>
        <v>1000</v>
      </c>
      <c r="J28" s="312"/>
    </row>
    <row r="29" spans="1:14">
      <c r="A29" s="240">
        <v>2</v>
      </c>
      <c r="B29" s="195" t="s">
        <v>260</v>
      </c>
      <c r="C29" s="243" t="s">
        <v>139</v>
      </c>
      <c r="D29" s="197"/>
      <c r="E29" s="196"/>
      <c r="F29" s="244">
        <v>6</v>
      </c>
      <c r="G29" s="47" t="s">
        <v>35</v>
      </c>
      <c r="H29" s="194">
        <v>100</v>
      </c>
      <c r="I29" s="48">
        <f t="shared" si="0"/>
        <v>600</v>
      </c>
      <c r="J29" s="313"/>
    </row>
    <row r="30" spans="1:14">
      <c r="A30" s="240">
        <v>3</v>
      </c>
      <c r="B30" s="195" t="s">
        <v>261</v>
      </c>
      <c r="C30" s="243" t="s">
        <v>137</v>
      </c>
      <c r="D30" s="197"/>
      <c r="E30" s="196"/>
      <c r="F30" s="244">
        <v>4</v>
      </c>
      <c r="G30" s="47" t="s">
        <v>35</v>
      </c>
      <c r="H30" s="194">
        <v>100</v>
      </c>
      <c r="I30" s="48">
        <f t="shared" si="0"/>
        <v>400</v>
      </c>
      <c r="J30" s="313"/>
    </row>
    <row r="31" spans="1:14">
      <c r="A31" s="43">
        <v>4</v>
      </c>
      <c r="B31" s="195" t="s">
        <v>262</v>
      </c>
      <c r="C31" s="44" t="s">
        <v>136</v>
      </c>
      <c r="D31" s="45"/>
      <c r="E31" s="248"/>
      <c r="F31" s="46">
        <v>1</v>
      </c>
      <c r="G31" s="47" t="s">
        <v>35</v>
      </c>
      <c r="H31" s="194">
        <v>300</v>
      </c>
      <c r="I31" s="48">
        <f t="shared" si="0"/>
        <v>300</v>
      </c>
      <c r="J31" s="313"/>
    </row>
    <row r="32" spans="1:14">
      <c r="A32" s="43">
        <v>5</v>
      </c>
      <c r="B32" s="195" t="s">
        <v>263</v>
      </c>
      <c r="C32" s="242" t="s">
        <v>140</v>
      </c>
      <c r="D32" s="45"/>
      <c r="E32" s="248"/>
      <c r="F32" s="46">
        <v>2</v>
      </c>
      <c r="G32" s="47" t="s">
        <v>34</v>
      </c>
      <c r="H32" s="194">
        <v>100</v>
      </c>
      <c r="I32" s="48">
        <f t="shared" si="0"/>
        <v>200</v>
      </c>
      <c r="J32" s="313"/>
    </row>
    <row r="33" spans="1:10">
      <c r="A33" s="43">
        <v>6</v>
      </c>
      <c r="B33" s="195" t="s">
        <v>264</v>
      </c>
      <c r="C33" s="44" t="s">
        <v>141</v>
      </c>
      <c r="D33" s="45"/>
      <c r="E33" s="248"/>
      <c r="F33" s="46">
        <v>4</v>
      </c>
      <c r="G33" s="47" t="s">
        <v>34</v>
      </c>
      <c r="H33" s="194">
        <v>100</v>
      </c>
      <c r="I33" s="48">
        <f t="shared" si="0"/>
        <v>400</v>
      </c>
      <c r="J33" s="313"/>
    </row>
    <row r="34" spans="1:10">
      <c r="A34" s="43">
        <v>7</v>
      </c>
      <c r="B34" s="195" t="s">
        <v>265</v>
      </c>
      <c r="C34" s="44" t="s">
        <v>142</v>
      </c>
      <c r="D34" s="45"/>
      <c r="E34" s="248"/>
      <c r="F34" s="46">
        <v>2</v>
      </c>
      <c r="G34" s="47" t="s">
        <v>35</v>
      </c>
      <c r="H34" s="194">
        <v>100</v>
      </c>
      <c r="I34" s="48">
        <f t="shared" si="0"/>
        <v>200</v>
      </c>
      <c r="J34" s="313"/>
    </row>
    <row r="35" spans="1:10">
      <c r="A35" s="43">
        <v>8</v>
      </c>
      <c r="B35" s="195" t="s">
        <v>266</v>
      </c>
      <c r="C35" s="44" t="s">
        <v>143</v>
      </c>
      <c r="D35" s="45"/>
      <c r="E35" s="248"/>
      <c r="F35" s="46">
        <v>1</v>
      </c>
      <c r="G35" s="47" t="s">
        <v>144</v>
      </c>
      <c r="H35" s="194">
        <v>300</v>
      </c>
      <c r="I35" s="48">
        <f t="shared" si="0"/>
        <v>300</v>
      </c>
      <c r="J35" s="313"/>
    </row>
    <row r="36" spans="1:10">
      <c r="A36" s="43">
        <v>9</v>
      </c>
      <c r="B36" s="195" t="s">
        <v>267</v>
      </c>
      <c r="C36" s="121" t="s">
        <v>145</v>
      </c>
      <c r="D36" s="245"/>
      <c r="E36" s="249"/>
      <c r="F36" s="46">
        <v>1</v>
      </c>
      <c r="G36" s="47" t="s">
        <v>34</v>
      </c>
      <c r="H36" s="194">
        <v>1000</v>
      </c>
      <c r="I36" s="48">
        <f t="shared" si="0"/>
        <v>1000</v>
      </c>
      <c r="J36" s="313"/>
    </row>
    <row r="37" spans="1:10">
      <c r="A37" s="43">
        <v>10</v>
      </c>
      <c r="B37" s="195" t="s">
        <v>268</v>
      </c>
      <c r="C37" s="121" t="s">
        <v>146</v>
      </c>
      <c r="D37" s="245"/>
      <c r="E37" s="249"/>
      <c r="F37" s="46">
        <v>1</v>
      </c>
      <c r="G37" s="47" t="s">
        <v>34</v>
      </c>
      <c r="H37" s="194">
        <v>1000</v>
      </c>
      <c r="I37" s="48">
        <f t="shared" si="0"/>
        <v>1000</v>
      </c>
      <c r="J37" s="313"/>
    </row>
    <row r="38" spans="1:10">
      <c r="A38" s="43">
        <v>11</v>
      </c>
      <c r="B38" s="195" t="s">
        <v>269</v>
      </c>
      <c r="C38" s="121" t="s">
        <v>257</v>
      </c>
      <c r="D38" s="245"/>
      <c r="E38" s="249"/>
      <c r="F38" s="46">
        <v>1</v>
      </c>
      <c r="G38" s="47" t="s">
        <v>34</v>
      </c>
      <c r="H38" s="194">
        <v>1000</v>
      </c>
      <c r="I38" s="48">
        <f t="shared" si="0"/>
        <v>1000</v>
      </c>
      <c r="J38" s="313"/>
    </row>
    <row r="39" spans="1:10">
      <c r="A39" s="43">
        <v>12</v>
      </c>
      <c r="B39" s="195" t="s">
        <v>270</v>
      </c>
      <c r="C39" s="121" t="s">
        <v>147</v>
      </c>
      <c r="D39" s="245"/>
      <c r="E39" s="249"/>
      <c r="F39" s="46">
        <v>20</v>
      </c>
      <c r="G39" s="47" t="s">
        <v>148</v>
      </c>
      <c r="H39" s="194">
        <v>2000</v>
      </c>
      <c r="I39" s="48">
        <f t="shared" si="0"/>
        <v>40000</v>
      </c>
      <c r="J39" s="313"/>
    </row>
    <row r="40" spans="1:10">
      <c r="A40" s="43">
        <v>13</v>
      </c>
      <c r="B40" s="195" t="s">
        <v>271</v>
      </c>
      <c r="C40" s="121" t="s">
        <v>258</v>
      </c>
      <c r="D40" s="245"/>
      <c r="E40" s="249"/>
      <c r="F40" s="46">
        <v>20</v>
      </c>
      <c r="G40" s="47" t="s">
        <v>150</v>
      </c>
      <c r="H40" s="194">
        <v>2000</v>
      </c>
      <c r="I40" s="48">
        <f t="shared" si="0"/>
        <v>40000</v>
      </c>
      <c r="J40" s="314"/>
    </row>
    <row r="41" spans="1:10">
      <c r="B41" s="246"/>
      <c r="E41" s="246"/>
    </row>
    <row r="42" spans="1:10">
      <c r="A42" s="50"/>
      <c r="B42" s="247"/>
      <c r="C42" s="14"/>
      <c r="D42" s="14"/>
      <c r="E42" s="250"/>
      <c r="F42" s="14"/>
      <c r="G42" s="50"/>
      <c r="H42" s="51" t="s">
        <v>38</v>
      </c>
      <c r="I42" s="52">
        <f>SUM(I28:I40)</f>
        <v>86400</v>
      </c>
      <c r="J42" s="53"/>
    </row>
    <row r="43" spans="1:10">
      <c r="A43" s="50"/>
      <c r="B43" s="247"/>
      <c r="C43" s="14"/>
      <c r="D43" s="14"/>
      <c r="E43" s="250"/>
      <c r="F43" s="14"/>
      <c r="G43" s="50"/>
      <c r="H43" s="51"/>
      <c r="I43" s="52"/>
      <c r="J43" s="53"/>
    </row>
    <row r="44" spans="1:10">
      <c r="A44" s="50"/>
      <c r="B44" s="247"/>
      <c r="C44" s="14"/>
      <c r="D44" s="14"/>
      <c r="E44" s="250"/>
      <c r="F44" s="14"/>
      <c r="G44" s="50" t="s">
        <v>39</v>
      </c>
      <c r="H44" s="51"/>
      <c r="I44" s="50"/>
      <c r="J44" s="50"/>
    </row>
    <row r="45" spans="1:10">
      <c r="A45" s="50"/>
      <c r="B45" s="247"/>
      <c r="C45" s="14"/>
      <c r="D45" s="14"/>
      <c r="E45" s="250"/>
      <c r="F45" s="14"/>
      <c r="G45" s="50"/>
      <c r="H45" s="51"/>
      <c r="I45" s="52"/>
      <c r="J45" s="53"/>
    </row>
    <row r="46" spans="1:10">
      <c r="A46" s="50"/>
      <c r="B46" s="247"/>
      <c r="C46" s="14"/>
      <c r="D46" s="14"/>
      <c r="E46" s="250"/>
      <c r="F46" s="14"/>
      <c r="G46" s="50"/>
      <c r="H46" s="51"/>
      <c r="I46" s="52"/>
      <c r="J46" s="53"/>
    </row>
    <row r="47" spans="1:10">
      <c r="A47" s="50"/>
      <c r="B47" s="247"/>
      <c r="C47" s="14"/>
      <c r="D47" s="14"/>
      <c r="E47" s="250"/>
      <c r="F47" s="14"/>
      <c r="G47" s="50"/>
      <c r="H47" s="51"/>
      <c r="I47" s="52"/>
      <c r="J47" s="53"/>
    </row>
    <row r="48" spans="1:10">
      <c r="A48" s="50"/>
      <c r="B48" s="247"/>
      <c r="C48" s="14"/>
      <c r="D48" s="14"/>
      <c r="E48" s="250"/>
      <c r="F48" s="14"/>
      <c r="G48" s="50"/>
      <c r="H48" s="51"/>
      <c r="I48" s="52"/>
      <c r="J48" s="53"/>
    </row>
    <row r="49" spans="1:10">
      <c r="A49" s="50"/>
      <c r="B49" s="247"/>
      <c r="C49" s="14"/>
      <c r="D49" s="14"/>
      <c r="E49" s="250"/>
      <c r="F49" s="14"/>
      <c r="G49" s="50"/>
      <c r="H49" s="51"/>
      <c r="I49" s="52"/>
      <c r="J49" s="53"/>
    </row>
    <row r="50" spans="1:10">
      <c r="A50" s="50"/>
      <c r="B50" s="247"/>
      <c r="C50" s="14"/>
      <c r="D50" s="14"/>
      <c r="E50" s="250"/>
      <c r="F50" s="14"/>
      <c r="G50" s="50"/>
      <c r="H50" s="51"/>
      <c r="I50" s="52"/>
      <c r="J50" s="53"/>
    </row>
    <row r="51" spans="1:10">
      <c r="A51" s="50"/>
      <c r="B51" s="247"/>
      <c r="C51" s="14"/>
      <c r="D51" s="14"/>
      <c r="E51" s="250"/>
      <c r="F51" s="14"/>
      <c r="G51" s="54"/>
      <c r="H51" s="55"/>
      <c r="I51" s="54"/>
      <c r="J51" s="54"/>
    </row>
    <row r="52" spans="1:10">
      <c r="A52" s="28"/>
      <c r="B52" s="28"/>
      <c r="C52" s="28"/>
      <c r="D52" s="28"/>
      <c r="E52" s="28"/>
      <c r="F52" s="28"/>
      <c r="G52" s="58"/>
      <c r="H52" s="56"/>
      <c r="I52" s="28"/>
      <c r="J52" s="28"/>
    </row>
    <row r="53" spans="1:10">
      <c r="B53" s="246"/>
      <c r="E53" s="246"/>
      <c r="H53" s="56"/>
    </row>
    <row r="54" spans="1:10">
      <c r="B54" s="246"/>
      <c r="E54" s="246"/>
    </row>
    <row r="55" spans="1:10">
      <c r="B55" s="246"/>
      <c r="E55" s="246"/>
      <c r="I55" s="12"/>
      <c r="J55" s="12"/>
    </row>
    <row r="56" spans="1:10">
      <c r="A56" s="12"/>
      <c r="B56" s="12"/>
      <c r="C56" s="12"/>
      <c r="D56" s="12"/>
      <c r="E56" s="246"/>
      <c r="I56" s="12"/>
      <c r="J56" s="12"/>
    </row>
    <row r="57" spans="1:10">
      <c r="A57" s="12"/>
      <c r="B57" s="12"/>
      <c r="C57" s="12"/>
      <c r="D57" s="12"/>
      <c r="E57" s="12"/>
      <c r="F57" s="12"/>
      <c r="G57" s="29"/>
      <c r="H57" s="18"/>
      <c r="I57" s="12"/>
      <c r="J57" s="12"/>
    </row>
    <row r="58" spans="1:10">
      <c r="A58" s="12"/>
      <c r="B58" s="12"/>
      <c r="C58" s="12"/>
      <c r="D58" s="12"/>
      <c r="E58" s="12"/>
      <c r="F58" s="12"/>
      <c r="G58" s="29"/>
      <c r="H58" s="18"/>
      <c r="I58" s="12"/>
      <c r="J58" s="12"/>
    </row>
    <row r="59" spans="1:10">
      <c r="A59" s="12"/>
      <c r="B59" s="12"/>
      <c r="C59" s="12"/>
      <c r="D59" s="12"/>
      <c r="E59" s="12"/>
      <c r="F59" s="12"/>
      <c r="G59" s="29"/>
      <c r="H59" s="18"/>
      <c r="I59" s="12"/>
      <c r="J59" s="12"/>
    </row>
    <row r="60" spans="1:10">
      <c r="A60" s="12"/>
      <c r="B60" s="12"/>
      <c r="C60" s="12"/>
      <c r="D60" s="12"/>
      <c r="E60" s="12"/>
      <c r="F60" s="12"/>
      <c r="G60" s="29"/>
      <c r="H60" s="18"/>
      <c r="I60" s="12"/>
      <c r="J60" s="12"/>
    </row>
    <row r="61" spans="1:10">
      <c r="A61" s="12"/>
      <c r="B61" s="12"/>
      <c r="C61" s="12"/>
      <c r="D61" s="12"/>
      <c r="E61" s="12"/>
      <c r="F61" s="12"/>
      <c r="G61" s="29"/>
      <c r="H61" s="18"/>
      <c r="I61" s="12"/>
      <c r="J61" s="12"/>
    </row>
    <row r="62" spans="1:10">
      <c r="A62" s="12"/>
      <c r="B62" s="12"/>
      <c r="C62" s="12"/>
      <c r="D62" s="12"/>
      <c r="E62" s="12"/>
      <c r="F62" s="12"/>
      <c r="G62" s="29"/>
      <c r="H62" s="18"/>
      <c r="I62" s="12"/>
      <c r="J62" s="12"/>
    </row>
    <row r="63" spans="1:10">
      <c r="A63" s="12"/>
      <c r="B63" s="12"/>
      <c r="C63" s="12"/>
      <c r="D63" s="12"/>
      <c r="E63" s="12"/>
      <c r="F63" s="12"/>
      <c r="G63" s="29"/>
      <c r="H63" s="18"/>
      <c r="I63" s="12"/>
      <c r="J63" s="12"/>
    </row>
    <row r="64" spans="1:10">
      <c r="A64" s="12"/>
      <c r="B64" s="12"/>
      <c r="C64" s="12"/>
      <c r="D64" s="12"/>
      <c r="E64" s="12"/>
      <c r="F64" s="12"/>
      <c r="G64" s="29"/>
      <c r="H64" s="18"/>
      <c r="I64" s="12"/>
      <c r="J64" s="12"/>
    </row>
    <row r="65" spans="1:10">
      <c r="A65" s="12"/>
      <c r="B65" s="12"/>
      <c r="C65" s="12"/>
      <c r="D65" s="12"/>
      <c r="E65" s="12"/>
      <c r="F65" s="12"/>
      <c r="G65" s="29"/>
      <c r="H65" s="18"/>
      <c r="I65" s="12"/>
      <c r="J65" s="12"/>
    </row>
    <row r="66" spans="1:10">
      <c r="A66" s="12"/>
      <c r="B66" s="12"/>
      <c r="C66" s="12"/>
      <c r="D66" s="12"/>
      <c r="E66" s="12"/>
      <c r="F66" s="12"/>
      <c r="G66" s="29"/>
      <c r="H66" s="18"/>
      <c r="I66" s="12"/>
      <c r="J66" s="12"/>
    </row>
    <row r="67" spans="1:10">
      <c r="A67" s="12"/>
      <c r="B67" s="12"/>
      <c r="C67" s="12"/>
      <c r="D67" s="12"/>
      <c r="E67" s="12"/>
      <c r="F67" s="12"/>
      <c r="G67" s="29"/>
      <c r="H67" s="18"/>
      <c r="I67" s="12"/>
      <c r="J67" s="12"/>
    </row>
    <row r="68" spans="1:10">
      <c r="A68" s="12"/>
      <c r="B68" s="12"/>
      <c r="C68" s="204"/>
      <c r="D68" s="12"/>
      <c r="E68" s="12"/>
      <c r="F68" s="12"/>
      <c r="G68" s="29"/>
      <c r="H68" s="18"/>
      <c r="I68" s="12"/>
      <c r="J68" s="12"/>
    </row>
    <row r="69" spans="1:10">
      <c r="A69" s="12"/>
      <c r="B69" s="12"/>
      <c r="C69" s="12"/>
      <c r="D69" s="12"/>
      <c r="E69" s="12"/>
      <c r="F69" s="12"/>
      <c r="G69" s="29"/>
      <c r="H69" s="18"/>
      <c r="I69" s="12"/>
      <c r="J69" s="12"/>
    </row>
    <row r="70" spans="1:10">
      <c r="A70" s="12"/>
      <c r="B70" s="12"/>
      <c r="C70" s="12"/>
      <c r="D70" s="12"/>
      <c r="E70" s="12"/>
      <c r="F70" s="12"/>
      <c r="G70" s="29"/>
      <c r="H70" s="18"/>
      <c r="I70" s="12"/>
      <c r="J70" s="12"/>
    </row>
    <row r="71" spans="1:10">
      <c r="A71" s="12"/>
      <c r="B71" s="12"/>
      <c r="C71" s="12"/>
      <c r="D71" s="12"/>
      <c r="E71" s="12"/>
      <c r="F71" s="12"/>
      <c r="G71" s="29"/>
      <c r="H71" s="18"/>
      <c r="I71" s="12"/>
      <c r="J71" s="12"/>
    </row>
    <row r="72" spans="1:10">
      <c r="A72" s="12"/>
      <c r="B72" s="12"/>
      <c r="C72" s="12"/>
      <c r="D72" s="12"/>
      <c r="E72" s="12"/>
      <c r="F72" s="12"/>
      <c r="G72" s="29"/>
      <c r="H72" s="18"/>
      <c r="I72" s="12"/>
      <c r="J72" s="12"/>
    </row>
    <row r="73" spans="1:10">
      <c r="A73" s="12"/>
      <c r="B73" s="12"/>
      <c r="C73" s="12"/>
      <c r="D73" s="12"/>
      <c r="E73" s="12"/>
      <c r="F73" s="12"/>
      <c r="G73" s="29"/>
      <c r="H73" s="18"/>
      <c r="I73" s="12"/>
      <c r="J73" s="12"/>
    </row>
    <row r="74" spans="1:10">
      <c r="A74" s="12"/>
      <c r="B74" s="12"/>
      <c r="C74" s="12"/>
      <c r="D74" s="12"/>
      <c r="E74" s="12"/>
      <c r="F74" s="12"/>
      <c r="G74" s="29"/>
      <c r="H74" s="18"/>
      <c r="I74" s="12"/>
      <c r="J74" s="12"/>
    </row>
    <row r="75" spans="1:10">
      <c r="A75" s="12"/>
      <c r="B75" s="12"/>
      <c r="C75" s="12"/>
      <c r="D75" s="12"/>
      <c r="E75" s="12"/>
      <c r="F75" s="12"/>
      <c r="G75" s="29"/>
      <c r="H75" s="18"/>
      <c r="I75" s="12"/>
      <c r="J75" s="12"/>
    </row>
    <row r="76" spans="1:10">
      <c r="A76" s="12"/>
      <c r="B76" s="12"/>
      <c r="C76" s="12"/>
      <c r="D76" s="12"/>
      <c r="E76" s="12"/>
      <c r="F76" s="12"/>
      <c r="G76" s="29"/>
      <c r="H76" s="18"/>
      <c r="I76" s="12"/>
      <c r="J76" s="12"/>
    </row>
    <row r="77" spans="1:10">
      <c r="A77" s="12"/>
      <c r="B77" s="12"/>
      <c r="C77" s="12"/>
      <c r="D77" s="12"/>
      <c r="E77" s="12"/>
      <c r="F77" s="12"/>
      <c r="G77" s="29"/>
      <c r="H77" s="18"/>
      <c r="I77" s="12"/>
      <c r="J77" s="12"/>
    </row>
    <row r="78" spans="1:10">
      <c r="A78" s="12"/>
      <c r="B78" s="12"/>
      <c r="C78" s="12"/>
      <c r="D78" s="12"/>
      <c r="E78" s="12"/>
      <c r="F78" s="12"/>
      <c r="G78" s="29"/>
      <c r="H78" s="18"/>
      <c r="I78" s="12"/>
      <c r="J78" s="12"/>
    </row>
    <row r="79" spans="1:10">
      <c r="A79" s="12"/>
      <c r="B79" s="12"/>
      <c r="C79" s="12"/>
      <c r="D79" s="12"/>
      <c r="E79" s="12"/>
      <c r="F79" s="12"/>
      <c r="G79" s="29"/>
      <c r="H79" s="18"/>
      <c r="I79" s="12"/>
      <c r="J79" s="12"/>
    </row>
    <row r="80" spans="1:10">
      <c r="A80" s="12"/>
      <c r="B80" s="12"/>
      <c r="C80" s="12"/>
      <c r="D80" s="12"/>
      <c r="E80" s="12"/>
      <c r="F80" s="12"/>
      <c r="G80" s="29"/>
      <c r="H80" s="18"/>
      <c r="I80" s="12"/>
      <c r="J80" s="12"/>
    </row>
    <row r="81" spans="1:10">
      <c r="A81" s="12"/>
      <c r="B81" s="12"/>
      <c r="C81" s="12"/>
      <c r="D81" s="12"/>
      <c r="E81" s="12"/>
      <c r="F81" s="12"/>
      <c r="G81" s="29"/>
      <c r="H81" s="18"/>
      <c r="I81" s="12"/>
      <c r="J81" s="12"/>
    </row>
    <row r="82" spans="1:10">
      <c r="A82" s="12"/>
      <c r="B82" s="12"/>
      <c r="C82" s="12"/>
      <c r="D82" s="12"/>
      <c r="E82" s="12"/>
      <c r="F82" s="12"/>
      <c r="G82" s="29"/>
      <c r="H82" s="18"/>
      <c r="I82" s="12"/>
      <c r="J82" s="12"/>
    </row>
    <row r="83" spans="1:10">
      <c r="A83" s="12"/>
      <c r="B83" s="12"/>
      <c r="C83" s="12"/>
      <c r="D83" s="12"/>
      <c r="E83" s="12"/>
      <c r="F83" s="12"/>
      <c r="G83" s="29"/>
      <c r="H83" s="18"/>
      <c r="I83" s="12"/>
      <c r="J83" s="12"/>
    </row>
    <row r="84" spans="1:10">
      <c r="A84" s="12"/>
      <c r="B84" s="12"/>
      <c r="C84" s="12"/>
      <c r="D84" s="12"/>
      <c r="E84" s="12"/>
      <c r="F84" s="12"/>
      <c r="G84" s="29"/>
      <c r="H84" s="18"/>
      <c r="I84" s="12"/>
      <c r="J84" s="12"/>
    </row>
    <row r="85" spans="1:10">
      <c r="A85" s="12"/>
      <c r="B85" s="12"/>
      <c r="C85" s="12"/>
      <c r="D85" s="12"/>
      <c r="E85" s="12"/>
      <c r="F85" s="12"/>
      <c r="G85" s="29"/>
      <c r="H85" s="18"/>
      <c r="I85" s="12"/>
      <c r="J85" s="12"/>
    </row>
    <row r="86" spans="1:10">
      <c r="A86" s="12"/>
      <c r="B86" s="12"/>
      <c r="C86" s="12"/>
      <c r="D86" s="12"/>
      <c r="E86" s="12"/>
      <c r="F86" s="12"/>
      <c r="G86" s="29"/>
      <c r="H86" s="18"/>
      <c r="I86" s="12"/>
      <c r="J86" s="12"/>
    </row>
    <row r="87" spans="1:10">
      <c r="A87" s="12"/>
      <c r="B87" s="12"/>
      <c r="C87" s="12"/>
      <c r="D87" s="12"/>
      <c r="E87" s="12"/>
      <c r="F87" s="12"/>
      <c r="G87" s="29"/>
      <c r="H87" s="18"/>
      <c r="I87" s="12"/>
      <c r="J87" s="12"/>
    </row>
    <row r="88" spans="1:10">
      <c r="A88" s="12"/>
      <c r="B88" s="12"/>
      <c r="C88" s="12"/>
      <c r="D88" s="12"/>
      <c r="E88" s="12"/>
      <c r="F88" s="12"/>
      <c r="G88" s="29"/>
      <c r="H88" s="18"/>
      <c r="I88" s="12"/>
      <c r="J88" s="12"/>
    </row>
    <row r="89" spans="1:10">
      <c r="A89" s="12"/>
      <c r="B89" s="12"/>
      <c r="C89" s="12"/>
      <c r="D89" s="12"/>
      <c r="E89" s="12"/>
      <c r="F89" s="12"/>
      <c r="G89" s="29"/>
      <c r="H89" s="18"/>
      <c r="I89" s="12"/>
      <c r="J89" s="12"/>
    </row>
    <row r="90" spans="1:10">
      <c r="A90" s="12"/>
      <c r="B90" s="12"/>
      <c r="C90" s="12"/>
      <c r="D90" s="12"/>
      <c r="E90" s="12"/>
      <c r="F90" s="12"/>
      <c r="G90" s="29"/>
      <c r="H90" s="18"/>
      <c r="I90" s="12"/>
      <c r="J90" s="12"/>
    </row>
    <row r="91" spans="1:10">
      <c r="A91" s="12"/>
      <c r="B91" s="12"/>
      <c r="C91" s="12"/>
      <c r="D91" s="12"/>
      <c r="E91" s="12"/>
      <c r="F91" s="12"/>
      <c r="G91" s="29"/>
      <c r="H91" s="18"/>
      <c r="I91" s="12"/>
      <c r="J91" s="12"/>
    </row>
    <row r="92" spans="1:10">
      <c r="A92" s="12"/>
      <c r="B92" s="12"/>
      <c r="C92" s="12"/>
      <c r="D92" s="12"/>
      <c r="E92" s="12"/>
      <c r="F92" s="12"/>
      <c r="G92" s="29"/>
      <c r="H92" s="18"/>
      <c r="I92" s="12"/>
      <c r="J92" s="12"/>
    </row>
    <row r="93" spans="1:10">
      <c r="A93" s="12"/>
      <c r="B93" s="12"/>
      <c r="C93" s="12"/>
      <c r="D93" s="12"/>
      <c r="E93" s="12"/>
      <c r="F93" s="12"/>
      <c r="G93" s="29"/>
      <c r="H93" s="18"/>
      <c r="I93" s="12"/>
      <c r="J93" s="12"/>
    </row>
    <row r="94" spans="1:10">
      <c r="A94" s="12"/>
      <c r="B94" s="12"/>
      <c r="C94" s="12"/>
      <c r="D94" s="12"/>
      <c r="E94" s="12"/>
      <c r="F94" s="12"/>
      <c r="G94" s="29"/>
      <c r="H94" s="18"/>
      <c r="I94" s="12"/>
      <c r="J94" s="12"/>
    </row>
    <row r="95" spans="1:10">
      <c r="A95" s="12"/>
      <c r="B95" s="12"/>
      <c r="C95" s="12"/>
      <c r="D95" s="12"/>
      <c r="E95" s="12"/>
      <c r="F95" s="12"/>
      <c r="G95" s="29"/>
      <c r="H95" s="18"/>
      <c r="I95" s="12"/>
      <c r="J95" s="12"/>
    </row>
    <row r="96" spans="1:10">
      <c r="A96" s="12"/>
      <c r="B96" s="12"/>
      <c r="C96" s="12"/>
      <c r="D96" s="12"/>
      <c r="E96" s="12"/>
      <c r="F96" s="12"/>
      <c r="G96" s="29"/>
      <c r="H96" s="18"/>
      <c r="I96" s="12"/>
      <c r="J96" s="12"/>
    </row>
    <row r="97" spans="1:10">
      <c r="A97" s="12"/>
      <c r="B97" s="12"/>
      <c r="C97" s="12"/>
      <c r="D97" s="12"/>
      <c r="E97" s="12"/>
      <c r="F97" s="12"/>
      <c r="G97" s="29"/>
      <c r="H97" s="18"/>
      <c r="I97" s="12"/>
      <c r="J97" s="12"/>
    </row>
    <row r="98" spans="1:10">
      <c r="A98" s="12"/>
      <c r="B98" s="12"/>
      <c r="C98" s="12"/>
      <c r="D98" s="12"/>
      <c r="E98" s="12"/>
      <c r="F98" s="12"/>
      <c r="G98" s="29"/>
      <c r="H98" s="18"/>
      <c r="I98" s="12"/>
      <c r="J98" s="12"/>
    </row>
    <row r="99" spans="1:10">
      <c r="A99" s="12"/>
      <c r="B99" s="12"/>
      <c r="C99" s="12"/>
      <c r="D99" s="12"/>
      <c r="E99" s="12"/>
      <c r="F99" s="12"/>
      <c r="G99" s="29"/>
      <c r="H99" s="18"/>
      <c r="I99" s="12"/>
      <c r="J99" s="12"/>
    </row>
    <row r="100" spans="1:10">
      <c r="A100" s="12"/>
      <c r="B100" s="12"/>
      <c r="C100" s="12"/>
      <c r="D100" s="12"/>
      <c r="E100" s="12"/>
      <c r="F100" s="12"/>
      <c r="G100" s="29"/>
      <c r="H100" s="18"/>
      <c r="I100" s="12"/>
      <c r="J100" s="12"/>
    </row>
    <row r="101" spans="1:10">
      <c r="A101" s="12"/>
      <c r="B101" s="12"/>
      <c r="C101" s="12"/>
      <c r="D101" s="12"/>
      <c r="E101" s="12"/>
      <c r="F101" s="12"/>
      <c r="G101" s="29"/>
      <c r="H101" s="18"/>
      <c r="I101" s="12"/>
      <c r="J101" s="12"/>
    </row>
    <row r="102" spans="1:10">
      <c r="A102" s="12"/>
      <c r="B102" s="12"/>
      <c r="C102" s="12"/>
      <c r="D102" s="12"/>
      <c r="E102" s="12"/>
      <c r="F102" s="12"/>
      <c r="G102" s="29"/>
      <c r="H102" s="18"/>
      <c r="I102" s="12"/>
      <c r="J102" s="12"/>
    </row>
    <row r="103" spans="1:10">
      <c r="A103" s="12"/>
      <c r="B103" s="12"/>
      <c r="C103" s="12"/>
      <c r="D103" s="12"/>
      <c r="E103" s="12"/>
      <c r="F103" s="12"/>
      <c r="G103" s="29"/>
      <c r="H103" s="18"/>
      <c r="I103" s="12"/>
      <c r="J103" s="12"/>
    </row>
    <row r="104" spans="1:10">
      <c r="A104" s="12"/>
      <c r="B104" s="12"/>
      <c r="C104" s="12"/>
      <c r="D104" s="12"/>
      <c r="E104" s="12"/>
      <c r="F104" s="12"/>
      <c r="G104" s="29"/>
      <c r="H104" s="18"/>
      <c r="I104" s="12"/>
      <c r="J104" s="12"/>
    </row>
    <row r="105" spans="1:10">
      <c r="A105" s="12"/>
      <c r="B105" s="12"/>
      <c r="C105" s="12"/>
      <c r="D105" s="12"/>
      <c r="E105" s="12"/>
      <c r="F105" s="12"/>
      <c r="G105" s="29"/>
      <c r="H105" s="18"/>
      <c r="I105" s="12"/>
      <c r="J105" s="12"/>
    </row>
    <row r="106" spans="1:10">
      <c r="A106" s="12"/>
      <c r="B106" s="12"/>
      <c r="C106" s="12"/>
      <c r="D106" s="12"/>
      <c r="E106" s="12"/>
      <c r="F106" s="12"/>
      <c r="G106" s="29"/>
      <c r="H106" s="18"/>
      <c r="I106" s="12"/>
      <c r="J106" s="12"/>
    </row>
    <row r="107" spans="1:10">
      <c r="A107" s="12"/>
      <c r="B107" s="12"/>
      <c r="C107" s="12"/>
      <c r="D107" s="12"/>
      <c r="E107" s="12"/>
      <c r="F107" s="12"/>
      <c r="G107" s="29"/>
      <c r="H107" s="18"/>
      <c r="I107" s="12"/>
      <c r="J107" s="12"/>
    </row>
    <row r="108" spans="1:10">
      <c r="A108" s="12"/>
      <c r="B108" s="12"/>
      <c r="C108" s="12"/>
      <c r="D108" s="12"/>
      <c r="E108" s="12"/>
      <c r="F108" s="12"/>
      <c r="G108" s="29"/>
      <c r="H108" s="18"/>
      <c r="I108" s="12"/>
      <c r="J108" s="12"/>
    </row>
    <row r="109" spans="1:10">
      <c r="A109" s="12"/>
      <c r="B109" s="12"/>
      <c r="C109" s="12"/>
      <c r="D109" s="12"/>
      <c r="E109" s="12"/>
      <c r="F109" s="12"/>
      <c r="G109" s="29"/>
      <c r="H109" s="18"/>
      <c r="I109" s="12"/>
      <c r="J109" s="12"/>
    </row>
    <row r="110" spans="1:10">
      <c r="A110" s="12"/>
      <c r="B110" s="12"/>
      <c r="C110" s="12"/>
      <c r="D110" s="12"/>
      <c r="E110" s="12"/>
      <c r="F110" s="12"/>
      <c r="G110" s="29"/>
      <c r="H110" s="18"/>
      <c r="I110" s="12"/>
      <c r="J110" s="12"/>
    </row>
    <row r="111" spans="1:10">
      <c r="A111" s="12"/>
      <c r="B111" s="12"/>
      <c r="C111" s="12"/>
      <c r="D111" s="12"/>
      <c r="E111" s="12"/>
      <c r="F111" s="12"/>
      <c r="G111" s="29"/>
      <c r="H111" s="18"/>
      <c r="I111" s="12"/>
      <c r="J111" s="12"/>
    </row>
    <row r="112" spans="1:10">
      <c r="A112" s="12"/>
      <c r="B112" s="12"/>
      <c r="C112" s="12"/>
      <c r="D112" s="12"/>
      <c r="E112" s="12"/>
      <c r="F112" s="12"/>
      <c r="G112" s="29"/>
      <c r="H112" s="18"/>
      <c r="I112" s="12"/>
      <c r="J112" s="12"/>
    </row>
    <row r="113" spans="1:10">
      <c r="A113" s="12"/>
      <c r="B113" s="12"/>
      <c r="C113" s="12"/>
      <c r="D113" s="12"/>
      <c r="E113" s="12"/>
      <c r="F113" s="12"/>
      <c r="G113" s="29"/>
      <c r="H113" s="18"/>
      <c r="I113" s="12"/>
      <c r="J113" s="12"/>
    </row>
    <row r="114" spans="1:10">
      <c r="A114" s="12"/>
      <c r="B114" s="12"/>
      <c r="C114" s="12"/>
      <c r="D114" s="12"/>
      <c r="E114" s="12"/>
      <c r="F114" s="12"/>
      <c r="G114" s="29"/>
      <c r="H114" s="18"/>
      <c r="I114" s="12"/>
      <c r="J114" s="12"/>
    </row>
    <row r="115" spans="1:10">
      <c r="A115" s="12"/>
      <c r="B115" s="12"/>
      <c r="C115" s="12"/>
      <c r="D115" s="12"/>
      <c r="E115" s="12"/>
      <c r="F115" s="12"/>
      <c r="G115" s="29"/>
      <c r="H115" s="18"/>
      <c r="I115" s="12"/>
      <c r="J115" s="12"/>
    </row>
    <row r="116" spans="1:10">
      <c r="A116" s="12"/>
      <c r="B116" s="12"/>
      <c r="C116" s="12"/>
      <c r="D116" s="12"/>
      <c r="E116" s="12"/>
      <c r="F116" s="12"/>
      <c r="G116" s="29"/>
      <c r="H116" s="18"/>
      <c r="I116" s="12"/>
      <c r="J116" s="12"/>
    </row>
    <row r="117" spans="1:10">
      <c r="A117" s="12"/>
      <c r="B117" s="12"/>
      <c r="C117" s="12"/>
      <c r="D117" s="12"/>
      <c r="E117" s="12"/>
      <c r="F117" s="12"/>
      <c r="G117" s="29"/>
      <c r="H117" s="18"/>
      <c r="I117" s="12"/>
      <c r="J117" s="12"/>
    </row>
    <row r="118" spans="1:10">
      <c r="A118" s="12"/>
      <c r="B118" s="12"/>
      <c r="C118" s="12"/>
      <c r="D118" s="12"/>
      <c r="E118" s="12"/>
      <c r="F118" s="12"/>
      <c r="G118" s="29"/>
      <c r="H118" s="18"/>
      <c r="I118" s="12"/>
      <c r="J118" s="12"/>
    </row>
    <row r="119" spans="1:10">
      <c r="A119" s="12"/>
      <c r="B119" s="12"/>
      <c r="C119" s="12"/>
      <c r="D119" s="12"/>
      <c r="E119" s="12"/>
      <c r="F119" s="12"/>
      <c r="G119" s="29"/>
      <c r="H119" s="18"/>
      <c r="I119" s="12"/>
      <c r="J119" s="12"/>
    </row>
    <row r="120" spans="1:10">
      <c r="A120" s="12"/>
      <c r="B120" s="12"/>
      <c r="C120" s="12"/>
      <c r="D120" s="12"/>
      <c r="E120" s="12"/>
      <c r="F120" s="12"/>
      <c r="G120" s="29"/>
      <c r="H120" s="18"/>
      <c r="I120" s="12"/>
      <c r="J120" s="12"/>
    </row>
    <row r="121" spans="1:10">
      <c r="A121" s="12"/>
      <c r="B121" s="12"/>
      <c r="C121" s="12"/>
      <c r="D121" s="12"/>
      <c r="E121" s="12"/>
      <c r="F121" s="12"/>
      <c r="G121" s="29"/>
      <c r="H121" s="18"/>
      <c r="I121" s="12"/>
      <c r="J121" s="12"/>
    </row>
    <row r="122" spans="1:10">
      <c r="A122" s="12"/>
      <c r="B122" s="12"/>
      <c r="C122" s="12"/>
      <c r="D122" s="12"/>
      <c r="E122" s="12"/>
      <c r="F122" s="12"/>
      <c r="G122" s="29"/>
      <c r="H122" s="18"/>
      <c r="I122" s="12"/>
      <c r="J122" s="12"/>
    </row>
  </sheetData>
  <mergeCells count="4">
    <mergeCell ref="H10:J10"/>
    <mergeCell ref="A12:F12"/>
    <mergeCell ref="C27:E27"/>
    <mergeCell ref="J28:J40"/>
  </mergeCells>
  <phoneticPr fontId="92"/>
  <pageMargins left="0.7" right="0.7" top="0.75" bottom="0.75" header="0.3" footer="0.3"/>
  <pageSetup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"/>
  <sheetViews>
    <sheetView view="pageBreakPreview" topLeftCell="A24" zoomScale="115" zoomScaleNormal="100" zoomScaleSheetLayoutView="115" workbookViewId="0">
      <selection activeCell="C7" sqref="C7"/>
    </sheetView>
  </sheetViews>
  <sheetFormatPr defaultColWidth="18.85546875" defaultRowHeight="15"/>
  <cols>
    <col min="1" max="1" width="18.85546875" style="61"/>
    <col min="2" max="2" width="18.85546875" style="96"/>
    <col min="3" max="3" width="38" style="96" customWidth="1"/>
    <col min="4" max="4" width="18.85546875" style="97"/>
    <col min="5" max="5" width="20.5703125" style="98" customWidth="1"/>
    <col min="6" max="6" width="18.85546875" style="61"/>
    <col min="7" max="7" width="18.85546875" style="98"/>
    <col min="8" max="10" width="18.85546875" style="61"/>
    <col min="11" max="11" width="18.85546875" style="98"/>
    <col min="12" max="14" width="18.85546875" style="61"/>
    <col min="15" max="15" width="18.85546875" style="98"/>
    <col min="16" max="16384" width="18.85546875" style="61"/>
  </cols>
  <sheetData>
    <row r="1" spans="1:7" s="61" customFormat="1" ht="34.5">
      <c r="A1" s="59"/>
      <c r="B1" s="315" t="s">
        <v>40</v>
      </c>
      <c r="C1" s="316"/>
      <c r="D1" s="316"/>
      <c r="E1" s="60"/>
    </row>
    <row r="2" spans="1:7" s="61" customFormat="1">
      <c r="A2" s="62"/>
      <c r="B2" s="62"/>
      <c r="C2" s="62"/>
      <c r="D2" s="63"/>
      <c r="E2" s="64"/>
    </row>
    <row r="3" spans="1:7" s="61" customFormat="1">
      <c r="A3" s="65" t="s">
        <v>41</v>
      </c>
      <c r="B3" s="66"/>
      <c r="C3" s="67"/>
      <c r="D3" s="68" t="s">
        <v>2</v>
      </c>
      <c r="E3" s="69"/>
    </row>
    <row r="4" spans="1:7" s="61" customFormat="1">
      <c r="A4" s="70" t="s">
        <v>42</v>
      </c>
      <c r="B4" s="71"/>
      <c r="C4" s="72"/>
      <c r="D4" s="73" t="s">
        <v>3</v>
      </c>
      <c r="E4" s="74"/>
      <c r="G4" s="200"/>
    </row>
    <row r="5" spans="1:7" s="61" customFormat="1">
      <c r="A5" s="75" t="s">
        <v>43</v>
      </c>
      <c r="B5" s="76"/>
      <c r="C5" s="77"/>
      <c r="D5" s="294" t="s">
        <v>329</v>
      </c>
      <c r="E5" s="295"/>
      <c r="G5" s="200"/>
    </row>
    <row r="6" spans="1:7" s="61" customFormat="1">
      <c r="A6" s="75" t="s">
        <v>44</v>
      </c>
      <c r="B6" s="78"/>
      <c r="C6" s="79"/>
      <c r="D6" s="80" t="s">
        <v>6</v>
      </c>
      <c r="E6" s="81"/>
    </row>
    <row r="7" spans="1:7" s="61" customFormat="1">
      <c r="A7" s="75" t="s">
        <v>7</v>
      </c>
      <c r="B7" s="78"/>
      <c r="C7" s="79"/>
      <c r="D7" s="80" t="s">
        <v>45</v>
      </c>
      <c r="E7" s="81"/>
    </row>
    <row r="8" spans="1:7" s="61" customFormat="1">
      <c r="A8" s="82" t="s">
        <v>117</v>
      </c>
      <c r="B8" s="62"/>
      <c r="C8" s="83"/>
      <c r="D8" s="84"/>
      <c r="E8" s="85"/>
    </row>
    <row r="9" spans="1:7" s="61" customFormat="1">
      <c r="A9" s="145" t="s">
        <v>9</v>
      </c>
      <c r="B9" s="146"/>
      <c r="C9" s="147"/>
      <c r="D9" s="86" t="s">
        <v>10</v>
      </c>
      <c r="E9" s="69"/>
    </row>
    <row r="10" spans="1:7" s="61" customFormat="1">
      <c r="A10" s="267" t="s">
        <v>243</v>
      </c>
      <c r="B10" s="212"/>
      <c r="C10" s="213"/>
      <c r="D10" s="317" t="s">
        <v>11</v>
      </c>
      <c r="E10" s="318"/>
    </row>
    <row r="11" spans="1:7" s="61" customFormat="1">
      <c r="A11" s="145" t="s">
        <v>244</v>
      </c>
      <c r="B11" s="212"/>
      <c r="C11" s="213"/>
      <c r="D11" s="317"/>
      <c r="E11" s="318"/>
    </row>
    <row r="12" spans="1:7" s="61" customFormat="1" ht="15" customHeight="1">
      <c r="A12" s="301" t="s">
        <v>327</v>
      </c>
      <c r="B12" s="302"/>
      <c r="C12" s="303"/>
      <c r="D12" s="207"/>
      <c r="E12" s="85"/>
    </row>
    <row r="13" spans="1:7" s="61" customFormat="1">
      <c r="A13" s="301"/>
      <c r="B13" s="302"/>
      <c r="C13" s="303"/>
      <c r="D13" s="68" t="s">
        <v>12</v>
      </c>
      <c r="E13" s="69"/>
    </row>
    <row r="14" spans="1:7" s="61" customFormat="1">
      <c r="A14" s="215" t="s">
        <v>250</v>
      </c>
      <c r="B14" s="216"/>
      <c r="C14" s="217"/>
      <c r="D14" s="80" t="s">
        <v>13</v>
      </c>
      <c r="E14" s="85"/>
    </row>
    <row r="15" spans="1:7" s="61" customFormat="1">
      <c r="A15" s="215" t="s">
        <v>251</v>
      </c>
      <c r="B15" s="216"/>
      <c r="C15" s="217"/>
      <c r="D15" s="208"/>
      <c r="E15" s="81"/>
    </row>
    <row r="16" spans="1:7" s="61" customFormat="1">
      <c r="A16" s="145" t="s">
        <v>252</v>
      </c>
      <c r="B16" s="216"/>
      <c r="C16" s="217"/>
      <c r="D16" s="208"/>
      <c r="E16" s="81"/>
    </row>
    <row r="17" spans="1:15">
      <c r="A17" s="145" t="s">
        <v>46</v>
      </c>
      <c r="B17" s="146"/>
      <c r="C17" s="147"/>
      <c r="D17" s="87"/>
      <c r="E17" s="88"/>
      <c r="G17" s="61"/>
      <c r="K17" s="61"/>
      <c r="O17" s="61"/>
    </row>
    <row r="18" spans="1:15">
      <c r="A18" s="75"/>
      <c r="B18" s="76"/>
      <c r="C18" s="77"/>
      <c r="D18" s="87"/>
      <c r="E18" s="88"/>
      <c r="G18" s="61"/>
      <c r="K18" s="61"/>
      <c r="O18" s="61"/>
    </row>
    <row r="19" spans="1:15">
      <c r="A19" s="65" t="s">
        <v>18</v>
      </c>
      <c r="B19" s="66"/>
      <c r="C19" s="67"/>
      <c r="D19" s="89" t="s">
        <v>47</v>
      </c>
      <c r="E19" s="90"/>
      <c r="G19" s="61"/>
      <c r="K19" s="61"/>
      <c r="O19" s="61"/>
    </row>
    <row r="20" spans="1:15">
      <c r="A20" s="75" t="s">
        <v>19</v>
      </c>
      <c r="B20" s="76"/>
      <c r="C20" s="77"/>
      <c r="D20" s="89" t="s">
        <v>48</v>
      </c>
      <c r="E20" s="90"/>
      <c r="G20" s="61"/>
      <c r="K20" s="61"/>
      <c r="O20" s="61"/>
    </row>
    <row r="21" spans="1:15">
      <c r="A21" s="75" t="s">
        <v>21</v>
      </c>
      <c r="B21" s="78"/>
      <c r="C21" s="79"/>
      <c r="D21" s="80"/>
      <c r="E21" s="81"/>
      <c r="G21" s="61"/>
      <c r="K21" s="61"/>
      <c r="O21" s="61"/>
    </row>
    <row r="22" spans="1:15">
      <c r="A22" s="75" t="s">
        <v>22</v>
      </c>
      <c r="B22" s="76"/>
      <c r="C22" s="77"/>
      <c r="D22" s="91" t="s">
        <v>23</v>
      </c>
      <c r="E22" s="61"/>
      <c r="G22" s="61"/>
      <c r="K22" s="61"/>
      <c r="O22" s="61"/>
    </row>
    <row r="23" spans="1:15">
      <c r="A23" s="75" t="s">
        <v>24</v>
      </c>
      <c r="B23" s="76"/>
      <c r="C23" s="77"/>
      <c r="D23" s="91"/>
      <c r="E23" s="61"/>
      <c r="G23" s="61"/>
      <c r="K23" s="61"/>
      <c r="O23" s="61"/>
    </row>
    <row r="24" spans="1:15" ht="15.75" thickBot="1">
      <c r="A24" s="34" t="s">
        <v>328</v>
      </c>
      <c r="B24" s="62"/>
      <c r="C24" s="83"/>
      <c r="D24" s="63"/>
      <c r="E24" s="88"/>
      <c r="G24" s="61"/>
      <c r="K24" s="61"/>
      <c r="O24" s="61"/>
    </row>
    <row r="25" spans="1:15" ht="15.75" thickBot="1">
      <c r="A25" s="219" t="s">
        <v>49</v>
      </c>
      <c r="B25" s="92" t="s">
        <v>50</v>
      </c>
      <c r="C25" s="92" t="s">
        <v>51</v>
      </c>
      <c r="D25" s="93" t="s">
        <v>28</v>
      </c>
      <c r="E25" s="94" t="s">
        <v>52</v>
      </c>
      <c r="G25" s="61"/>
      <c r="K25" s="61"/>
      <c r="O25" s="61"/>
    </row>
    <row r="26" spans="1:15" s="134" customFormat="1">
      <c r="A26" s="165" t="s">
        <v>53</v>
      </c>
      <c r="B26" s="195" t="s">
        <v>259</v>
      </c>
      <c r="C26" s="243" t="s">
        <v>138</v>
      </c>
      <c r="D26" s="244">
        <v>10</v>
      </c>
      <c r="E26" s="307" t="s">
        <v>256</v>
      </c>
    </row>
    <row r="27" spans="1:15" s="134" customFormat="1">
      <c r="A27" s="257"/>
      <c r="B27" s="195" t="s">
        <v>260</v>
      </c>
      <c r="C27" s="243" t="s">
        <v>139</v>
      </c>
      <c r="D27" s="244">
        <v>6</v>
      </c>
      <c r="E27" s="290"/>
    </row>
    <row r="28" spans="1:15" s="134" customFormat="1">
      <c r="A28" s="257"/>
      <c r="B28" s="195" t="s">
        <v>261</v>
      </c>
      <c r="C28" s="243" t="s">
        <v>137</v>
      </c>
      <c r="D28" s="244">
        <v>4</v>
      </c>
      <c r="E28" s="290"/>
    </row>
    <row r="29" spans="1:15" s="134" customFormat="1">
      <c r="A29" s="257"/>
      <c r="B29" s="195" t="s">
        <v>262</v>
      </c>
      <c r="C29" s="44" t="s">
        <v>136</v>
      </c>
      <c r="D29" s="46">
        <v>1</v>
      </c>
      <c r="E29" s="290"/>
    </row>
    <row r="30" spans="1:15" s="134" customFormat="1">
      <c r="A30" s="257"/>
      <c r="B30" s="195" t="s">
        <v>263</v>
      </c>
      <c r="C30" s="242" t="s">
        <v>140</v>
      </c>
      <c r="D30" s="46">
        <v>2</v>
      </c>
      <c r="E30" s="290"/>
    </row>
    <row r="31" spans="1:15" s="134" customFormat="1">
      <c r="A31" s="257"/>
      <c r="B31" s="195" t="s">
        <v>264</v>
      </c>
      <c r="C31" s="44" t="s">
        <v>141</v>
      </c>
      <c r="D31" s="46">
        <v>4</v>
      </c>
      <c r="E31" s="290"/>
    </row>
    <row r="32" spans="1:15" s="134" customFormat="1">
      <c r="A32" s="257"/>
      <c r="B32" s="195" t="s">
        <v>265</v>
      </c>
      <c r="C32" s="44" t="s">
        <v>142</v>
      </c>
      <c r="D32" s="46">
        <v>2</v>
      </c>
      <c r="E32" s="290"/>
    </row>
    <row r="33" spans="1:15" s="134" customFormat="1">
      <c r="A33" s="257"/>
      <c r="B33" s="195" t="s">
        <v>266</v>
      </c>
      <c r="C33" s="44" t="s">
        <v>143</v>
      </c>
      <c r="D33" s="46">
        <v>1</v>
      </c>
      <c r="E33" s="290"/>
    </row>
    <row r="34" spans="1:15" s="134" customFormat="1">
      <c r="A34" s="257"/>
      <c r="B34" s="195" t="s">
        <v>267</v>
      </c>
      <c r="C34" s="121" t="s">
        <v>145</v>
      </c>
      <c r="D34" s="46">
        <v>1</v>
      </c>
      <c r="E34" s="290"/>
    </row>
    <row r="35" spans="1:15" s="134" customFormat="1">
      <c r="A35" s="257"/>
      <c r="B35" s="195" t="s">
        <v>268</v>
      </c>
      <c r="C35" s="121" t="s">
        <v>325</v>
      </c>
      <c r="D35" s="46">
        <v>1</v>
      </c>
      <c r="E35" s="290"/>
    </row>
    <row r="36" spans="1:15" s="134" customFormat="1">
      <c r="A36" s="257"/>
      <c r="B36" s="195" t="s">
        <v>269</v>
      </c>
      <c r="C36" s="121" t="s">
        <v>257</v>
      </c>
      <c r="D36" s="46">
        <v>1</v>
      </c>
      <c r="E36" s="290"/>
    </row>
    <row r="37" spans="1:15" s="134" customFormat="1">
      <c r="A37" s="166"/>
      <c r="B37" s="195" t="s">
        <v>270</v>
      </c>
      <c r="C37" s="121" t="s">
        <v>322</v>
      </c>
      <c r="D37" s="46">
        <v>20</v>
      </c>
      <c r="E37" s="290"/>
    </row>
    <row r="38" spans="1:15" s="134" customFormat="1">
      <c r="A38" s="166"/>
      <c r="B38" s="195" t="s">
        <v>271</v>
      </c>
      <c r="C38" s="121" t="s">
        <v>323</v>
      </c>
      <c r="D38" s="46">
        <v>20</v>
      </c>
      <c r="E38" s="319"/>
    </row>
    <row r="39" spans="1:15">
      <c r="A39" s="256" t="s">
        <v>53</v>
      </c>
      <c r="B39" s="221"/>
      <c r="C39" s="95"/>
      <c r="D39" s="84">
        <f>SUM(D26:D38)</f>
        <v>73</v>
      </c>
      <c r="E39" s="231"/>
      <c r="G39" s="61"/>
      <c r="K39" s="61"/>
      <c r="O39" s="61"/>
    </row>
    <row r="40" spans="1:15">
      <c r="B40" s="222"/>
      <c r="C40" s="226"/>
      <c r="E40" s="232"/>
      <c r="G40" s="61"/>
      <c r="K40" s="61"/>
      <c r="O40" s="61"/>
    </row>
    <row r="41" spans="1:15">
      <c r="A41" s="99" t="s">
        <v>54</v>
      </c>
      <c r="B41" s="223">
        <v>1</v>
      </c>
      <c r="C41" s="320" t="s">
        <v>39</v>
      </c>
      <c r="D41" s="320"/>
      <c r="E41" s="321"/>
      <c r="G41" s="61"/>
      <c r="K41" s="61"/>
      <c r="O41" s="61"/>
    </row>
    <row r="42" spans="1:15">
      <c r="A42" s="99" t="s">
        <v>55</v>
      </c>
      <c r="B42" s="271" t="s">
        <v>56</v>
      </c>
      <c r="E42" s="232"/>
      <c r="G42" s="61"/>
      <c r="K42" s="61"/>
      <c r="O42" s="61"/>
    </row>
    <row r="43" spans="1:15">
      <c r="A43" s="100"/>
      <c r="B43" s="224"/>
      <c r="E43" s="232"/>
      <c r="G43" s="61"/>
      <c r="K43" s="61"/>
      <c r="O43" s="61"/>
    </row>
    <row r="44" spans="1:15">
      <c r="A44" s="100"/>
      <c r="B44" s="224"/>
      <c r="E44" s="232"/>
      <c r="G44" s="61"/>
      <c r="K44" s="61"/>
      <c r="O44" s="61"/>
    </row>
    <row r="45" spans="1:15">
      <c r="B45" s="222"/>
      <c r="E45" s="232"/>
      <c r="G45" s="61"/>
      <c r="K45" s="61"/>
      <c r="O45" s="61"/>
    </row>
    <row r="46" spans="1:15">
      <c r="B46" s="222"/>
      <c r="E46" s="232"/>
      <c r="G46" s="61"/>
      <c r="K46" s="61"/>
      <c r="O46" s="61"/>
    </row>
    <row r="47" spans="1:15">
      <c r="B47" s="222"/>
      <c r="E47" s="232"/>
      <c r="G47" s="61"/>
      <c r="K47" s="61"/>
      <c r="O47" s="61"/>
    </row>
    <row r="48" spans="1:15">
      <c r="B48" s="222"/>
      <c r="E48" s="232"/>
      <c r="G48" s="61"/>
      <c r="K48" s="61"/>
      <c r="O48" s="61"/>
    </row>
    <row r="49" spans="2:15">
      <c r="B49" s="222"/>
      <c r="E49" s="232"/>
      <c r="G49" s="61"/>
      <c r="K49" s="61"/>
      <c r="O49" s="61"/>
    </row>
    <row r="50" spans="2:15">
      <c r="B50" s="222"/>
      <c r="E50" s="232"/>
      <c r="G50" s="61"/>
      <c r="K50" s="61"/>
      <c r="O50" s="61"/>
    </row>
    <row r="51" spans="2:15">
      <c r="B51" s="222"/>
      <c r="E51" s="232">
        <v>2</v>
      </c>
      <c r="G51" s="61"/>
      <c r="K51" s="61"/>
      <c r="O51" s="61"/>
    </row>
    <row r="52" spans="2:15">
      <c r="B52" s="222"/>
      <c r="E52" s="232"/>
      <c r="G52" s="61"/>
      <c r="K52" s="61"/>
      <c r="O52" s="61"/>
    </row>
    <row r="53" spans="2:15">
      <c r="B53" s="222"/>
      <c r="E53" s="232">
        <v>1</v>
      </c>
      <c r="G53" s="61"/>
      <c r="K53" s="61"/>
      <c r="O53" s="61"/>
    </row>
    <row r="54" spans="2:15">
      <c r="B54" s="222"/>
      <c r="E54" s="232"/>
      <c r="G54" s="61"/>
      <c r="K54" s="61"/>
      <c r="O54" s="61"/>
    </row>
    <row r="55" spans="2:15">
      <c r="B55" s="222"/>
      <c r="E55" s="232"/>
      <c r="G55" s="61"/>
      <c r="K55" s="61"/>
      <c r="O55" s="61"/>
    </row>
    <row r="56" spans="2:15">
      <c r="B56" s="222"/>
      <c r="E56" s="232"/>
      <c r="G56" s="61"/>
      <c r="K56" s="61"/>
      <c r="O56" s="61"/>
    </row>
    <row r="57" spans="2:15">
      <c r="B57" s="222"/>
      <c r="E57" s="232"/>
      <c r="G57" s="61"/>
      <c r="K57" s="61"/>
      <c r="O57" s="61"/>
    </row>
    <row r="58" spans="2:15">
      <c r="B58" s="222"/>
      <c r="E58" s="232"/>
      <c r="G58" s="61"/>
      <c r="K58" s="61"/>
      <c r="O58" s="61"/>
    </row>
    <row r="59" spans="2:15">
      <c r="B59" s="222"/>
      <c r="C59" s="226" t="s">
        <v>125</v>
      </c>
      <c r="E59" s="232">
        <v>2</v>
      </c>
      <c r="G59" s="61"/>
      <c r="K59" s="61"/>
      <c r="O59" s="61"/>
    </row>
    <row r="60" spans="2:15">
      <c r="B60" s="222"/>
      <c r="C60" s="226" t="s">
        <v>126</v>
      </c>
      <c r="E60" s="232"/>
      <c r="G60" s="61"/>
      <c r="K60" s="61"/>
      <c r="O60" s="61"/>
    </row>
    <row r="61" spans="2:15">
      <c r="B61" s="222"/>
      <c r="C61" s="226" t="s">
        <v>127</v>
      </c>
      <c r="E61" s="232"/>
      <c r="G61" s="61"/>
      <c r="K61" s="61"/>
      <c r="O61" s="61"/>
    </row>
    <row r="62" spans="2:15">
      <c r="B62" s="222"/>
      <c r="C62" s="96" t="s">
        <v>119</v>
      </c>
      <c r="G62" s="61"/>
      <c r="K62" s="61"/>
      <c r="O62" s="61"/>
    </row>
    <row r="63" spans="2:15">
      <c r="B63" s="222"/>
      <c r="D63" s="237"/>
      <c r="E63" s="238"/>
      <c r="G63" s="61"/>
      <c r="K63" s="61"/>
      <c r="O63" s="61"/>
    </row>
    <row r="64" spans="2:15">
      <c r="B64" s="222"/>
      <c r="G64" s="61"/>
      <c r="K64" s="61"/>
      <c r="O64" s="61"/>
    </row>
    <row r="65" spans="2:15">
      <c r="B65" s="222"/>
      <c r="G65" s="61"/>
      <c r="K65" s="61"/>
      <c r="O65" s="61"/>
    </row>
    <row r="66" spans="2:15">
      <c r="B66" s="222"/>
      <c r="G66" s="61"/>
      <c r="K66" s="61"/>
      <c r="O66" s="61"/>
    </row>
    <row r="67" spans="2:15">
      <c r="B67" s="222"/>
      <c r="G67" s="61"/>
      <c r="K67" s="61"/>
      <c r="O67" s="61"/>
    </row>
    <row r="68" spans="2:15">
      <c r="B68" s="222"/>
      <c r="C68" s="225"/>
      <c r="G68" s="61"/>
      <c r="K68" s="61"/>
      <c r="O68" s="61"/>
    </row>
    <row r="69" spans="2:15">
      <c r="B69" s="222"/>
      <c r="G69" s="61"/>
      <c r="K69" s="61"/>
      <c r="O69" s="61"/>
    </row>
    <row r="70" spans="2:15">
      <c r="B70" s="222"/>
      <c r="G70" s="61"/>
      <c r="K70" s="61"/>
      <c r="O70" s="61"/>
    </row>
    <row r="71" spans="2:15">
      <c r="B71" s="222"/>
      <c r="G71" s="61"/>
      <c r="K71" s="61"/>
      <c r="O71" s="61"/>
    </row>
    <row r="72" spans="2:15">
      <c r="B72" s="222"/>
      <c r="G72" s="61"/>
      <c r="K72" s="61"/>
      <c r="O72" s="61"/>
    </row>
    <row r="73" spans="2:15">
      <c r="B73" s="222"/>
      <c r="G73" s="61"/>
      <c r="K73" s="61"/>
      <c r="O73" s="61"/>
    </row>
    <row r="74" spans="2:15">
      <c r="B74" s="222"/>
      <c r="C74" s="96" t="s">
        <v>122</v>
      </c>
      <c r="G74" s="61"/>
      <c r="K74" s="61"/>
      <c r="O74" s="61"/>
    </row>
    <row r="75" spans="2:15">
      <c r="B75" s="222"/>
      <c r="G75" s="61"/>
      <c r="K75" s="61"/>
      <c r="O75" s="61"/>
    </row>
    <row r="76" spans="2:15">
      <c r="B76" s="222"/>
      <c r="G76" s="61"/>
      <c r="K76" s="61"/>
      <c r="O76" s="61"/>
    </row>
    <row r="77" spans="2:15">
      <c r="B77" s="222"/>
      <c r="G77" s="61"/>
      <c r="K77" s="61"/>
      <c r="O77" s="61"/>
    </row>
    <row r="78" spans="2:15">
      <c r="B78" s="222"/>
      <c r="G78" s="61"/>
      <c r="K78" s="61"/>
      <c r="O78" s="61"/>
    </row>
    <row r="79" spans="2:15">
      <c r="B79" s="222"/>
      <c r="G79" s="61"/>
      <c r="K79" s="61"/>
      <c r="O79" s="61"/>
    </row>
    <row r="80" spans="2:15">
      <c r="B80" s="222"/>
      <c r="G80" s="61"/>
      <c r="K80" s="61"/>
      <c r="O80" s="61"/>
    </row>
    <row r="81" spans="2:15">
      <c r="B81" s="222"/>
      <c r="G81" s="61"/>
      <c r="K81" s="61"/>
      <c r="O81" s="61"/>
    </row>
    <row r="82" spans="2:15">
      <c r="B82" s="222"/>
      <c r="G82" s="61"/>
      <c r="K82" s="61"/>
      <c r="O82" s="61"/>
    </row>
    <row r="83" spans="2:15">
      <c r="B83" s="222"/>
      <c r="G83" s="61"/>
      <c r="K83" s="61"/>
      <c r="O83" s="61"/>
    </row>
    <row r="84" spans="2:15">
      <c r="B84" s="222"/>
      <c r="G84" s="61"/>
      <c r="K84" s="61"/>
      <c r="O84" s="61"/>
    </row>
    <row r="85" spans="2:15">
      <c r="B85" s="222"/>
      <c r="G85" s="61"/>
      <c r="K85" s="61"/>
      <c r="O85" s="61"/>
    </row>
    <row r="86" spans="2:15">
      <c r="B86" s="222"/>
      <c r="G86" s="61"/>
      <c r="K86" s="61"/>
      <c r="O86" s="61"/>
    </row>
    <row r="87" spans="2:15">
      <c r="B87" s="222"/>
      <c r="G87" s="61"/>
      <c r="K87" s="61"/>
      <c r="O87" s="61"/>
    </row>
    <row r="88" spans="2:15">
      <c r="B88" s="222"/>
      <c r="G88" s="61"/>
      <c r="K88" s="61"/>
      <c r="O88" s="61"/>
    </row>
    <row r="89" spans="2:15">
      <c r="B89" s="222"/>
      <c r="G89" s="61"/>
      <c r="K89" s="61"/>
      <c r="O89" s="61"/>
    </row>
    <row r="90" spans="2:15">
      <c r="B90" s="222"/>
      <c r="G90" s="61"/>
      <c r="K90" s="61"/>
      <c r="O90" s="61"/>
    </row>
    <row r="91" spans="2:15">
      <c r="B91" s="222"/>
      <c r="G91" s="61"/>
      <c r="K91" s="61"/>
      <c r="O91" s="61"/>
    </row>
    <row r="92" spans="2:15">
      <c r="B92" s="222"/>
      <c r="G92" s="61"/>
      <c r="K92" s="61"/>
      <c r="O92" s="61"/>
    </row>
    <row r="93" spans="2:15">
      <c r="B93" s="222"/>
      <c r="G93" s="61"/>
      <c r="K93" s="61"/>
      <c r="O93" s="61"/>
    </row>
    <row r="94" spans="2:15">
      <c r="B94" s="222"/>
      <c r="G94" s="61"/>
      <c r="K94" s="61"/>
      <c r="O94" s="61"/>
    </row>
    <row r="95" spans="2:15">
      <c r="B95" s="222"/>
      <c r="G95" s="61"/>
      <c r="K95" s="61"/>
      <c r="O95" s="61"/>
    </row>
    <row r="96" spans="2:15">
      <c r="B96" s="222"/>
      <c r="G96" s="61"/>
      <c r="K96" s="61"/>
      <c r="O96" s="61"/>
    </row>
    <row r="97" spans="2:15">
      <c r="B97" s="222"/>
      <c r="C97" s="96" t="s">
        <v>120</v>
      </c>
      <c r="G97" s="61"/>
      <c r="K97" s="61"/>
      <c r="O97" s="61"/>
    </row>
    <row r="98" spans="2:15">
      <c r="B98" s="222"/>
      <c r="G98" s="61"/>
      <c r="K98" s="61"/>
      <c r="O98" s="61"/>
    </row>
    <row r="99" spans="2:15">
      <c r="B99" s="222"/>
      <c r="G99" s="61"/>
      <c r="K99" s="61"/>
      <c r="O99" s="61"/>
    </row>
    <row r="100" spans="2:15">
      <c r="B100" s="222"/>
      <c r="G100" s="61"/>
      <c r="K100" s="61"/>
      <c r="O100" s="61"/>
    </row>
    <row r="101" spans="2:15">
      <c r="B101" s="222"/>
      <c r="C101" s="96" t="s">
        <v>121</v>
      </c>
      <c r="G101" s="61"/>
      <c r="K101" s="61"/>
      <c r="O101" s="61"/>
    </row>
    <row r="102" spans="2:15">
      <c r="B102" s="222"/>
      <c r="C102" s="96" t="s">
        <v>123</v>
      </c>
      <c r="G102" s="61"/>
      <c r="K102" s="61"/>
      <c r="O102" s="61"/>
    </row>
    <row r="103" spans="2:15">
      <c r="B103" s="222"/>
      <c r="G103" s="61"/>
      <c r="K103" s="61"/>
      <c r="O103" s="61"/>
    </row>
    <row r="104" spans="2:15">
      <c r="G104" s="61"/>
      <c r="K104" s="61"/>
      <c r="O104" s="61"/>
    </row>
    <row r="105" spans="2:15">
      <c r="G105" s="61"/>
      <c r="K105" s="61"/>
      <c r="O105" s="61"/>
    </row>
    <row r="106" spans="2:15">
      <c r="G106" s="61"/>
      <c r="K106" s="61"/>
      <c r="O106" s="61"/>
    </row>
    <row r="107" spans="2:15">
      <c r="G107" s="61"/>
      <c r="K107" s="61"/>
      <c r="O107" s="61"/>
    </row>
    <row r="108" spans="2:15">
      <c r="G108" s="61"/>
      <c r="K108" s="61"/>
      <c r="O108" s="61"/>
    </row>
    <row r="109" spans="2:15">
      <c r="G109" s="61"/>
      <c r="K109" s="61"/>
      <c r="O109" s="61"/>
    </row>
    <row r="110" spans="2:15">
      <c r="G110" s="61"/>
      <c r="K110" s="61"/>
      <c r="O110" s="61"/>
    </row>
    <row r="111" spans="2:15">
      <c r="G111" s="61"/>
      <c r="K111" s="61"/>
      <c r="O111" s="61"/>
    </row>
    <row r="112" spans="2:15">
      <c r="G112" s="61"/>
      <c r="K112" s="61"/>
      <c r="O112" s="61"/>
    </row>
    <row r="113" spans="7:15">
      <c r="G113" s="61"/>
      <c r="K113" s="61"/>
      <c r="O113" s="61"/>
    </row>
    <row r="114" spans="7:15">
      <c r="G114" s="61"/>
      <c r="K114" s="61"/>
      <c r="O114" s="61"/>
    </row>
    <row r="115" spans="7:15">
      <c r="G115" s="61"/>
      <c r="K115" s="61"/>
      <c r="O115" s="61"/>
    </row>
    <row r="116" spans="7:15">
      <c r="G116" s="61"/>
      <c r="K116" s="61"/>
      <c r="O116" s="61"/>
    </row>
    <row r="117" spans="7:15">
      <c r="G117" s="61"/>
      <c r="K117" s="61"/>
      <c r="O117" s="61"/>
    </row>
    <row r="118" spans="7:15">
      <c r="G118" s="61"/>
      <c r="K118" s="61"/>
      <c r="O118" s="61"/>
    </row>
    <row r="119" spans="7:15">
      <c r="G119" s="61"/>
      <c r="K119" s="61"/>
      <c r="O119" s="61"/>
    </row>
    <row r="120" spans="7:15">
      <c r="G120" s="61"/>
      <c r="K120" s="61"/>
      <c r="O120" s="61"/>
    </row>
    <row r="121" spans="7:15">
      <c r="G121" s="61"/>
      <c r="K121" s="61"/>
      <c r="O121" s="61"/>
    </row>
    <row r="122" spans="7:15">
      <c r="G122" s="61"/>
      <c r="K122" s="61"/>
      <c r="O122" s="61"/>
    </row>
    <row r="123" spans="7:15">
      <c r="G123" s="61"/>
      <c r="K123" s="61"/>
      <c r="O123" s="61"/>
    </row>
    <row r="124" spans="7:15">
      <c r="G124" s="61"/>
      <c r="K124" s="61"/>
      <c r="O124" s="61"/>
    </row>
    <row r="125" spans="7:15">
      <c r="G125" s="61"/>
      <c r="K125" s="61"/>
      <c r="O125" s="61"/>
    </row>
    <row r="126" spans="7:15">
      <c r="G126" s="61"/>
      <c r="K126" s="61"/>
      <c r="O126" s="61"/>
    </row>
    <row r="127" spans="7:15">
      <c r="G127" s="61"/>
      <c r="K127" s="61"/>
      <c r="O127" s="61"/>
    </row>
    <row r="128" spans="7:15">
      <c r="G128" s="61"/>
      <c r="K128" s="61"/>
      <c r="O128" s="61"/>
    </row>
    <row r="129" spans="7:15">
      <c r="G129" s="61"/>
      <c r="K129" s="61"/>
      <c r="O129" s="61"/>
    </row>
    <row r="130" spans="7:15">
      <c r="G130" s="61"/>
      <c r="K130" s="61"/>
      <c r="O130" s="61"/>
    </row>
    <row r="131" spans="7:15">
      <c r="G131" s="61"/>
      <c r="K131" s="61"/>
      <c r="O131" s="61"/>
    </row>
    <row r="132" spans="7:15">
      <c r="G132" s="61"/>
      <c r="K132" s="61"/>
      <c r="O132" s="61"/>
    </row>
    <row r="133" spans="7:15">
      <c r="G133" s="61"/>
      <c r="K133" s="61"/>
      <c r="O133" s="61"/>
    </row>
    <row r="134" spans="7:15">
      <c r="G134" s="61"/>
      <c r="K134" s="61"/>
      <c r="O134" s="61"/>
    </row>
    <row r="135" spans="7:15">
      <c r="G135" s="61"/>
      <c r="K135" s="61"/>
      <c r="O135" s="61"/>
    </row>
    <row r="136" spans="7:15">
      <c r="G136" s="61"/>
      <c r="K136" s="61"/>
      <c r="O136" s="61"/>
    </row>
    <row r="137" spans="7:15">
      <c r="G137" s="61"/>
      <c r="K137" s="61"/>
      <c r="O137" s="61"/>
    </row>
    <row r="138" spans="7:15">
      <c r="G138" s="61"/>
      <c r="K138" s="61"/>
      <c r="O138" s="61"/>
    </row>
    <row r="139" spans="7:15">
      <c r="G139" s="61"/>
      <c r="K139" s="61"/>
      <c r="O139" s="61"/>
    </row>
    <row r="140" spans="7:15">
      <c r="G140" s="61"/>
      <c r="K140" s="61"/>
      <c r="O140" s="61"/>
    </row>
    <row r="141" spans="7:15">
      <c r="G141" s="61"/>
      <c r="K141" s="61"/>
      <c r="O141" s="61"/>
    </row>
    <row r="142" spans="7:15">
      <c r="G142" s="61"/>
      <c r="K142" s="61"/>
      <c r="O142" s="61"/>
    </row>
    <row r="143" spans="7:15">
      <c r="G143" s="61"/>
      <c r="K143" s="61"/>
      <c r="O143" s="61"/>
    </row>
    <row r="144" spans="7:15">
      <c r="G144" s="61"/>
      <c r="K144" s="61"/>
      <c r="O144" s="61"/>
    </row>
    <row r="145" spans="7:15">
      <c r="G145" s="61"/>
      <c r="K145" s="61"/>
      <c r="O145" s="61"/>
    </row>
    <row r="146" spans="7:15">
      <c r="G146" s="61"/>
      <c r="K146" s="61"/>
      <c r="O146" s="61"/>
    </row>
    <row r="147" spans="7:15">
      <c r="G147" s="61"/>
      <c r="K147" s="61"/>
      <c r="O147" s="61"/>
    </row>
    <row r="148" spans="7:15">
      <c r="G148" s="61"/>
      <c r="K148" s="61"/>
      <c r="O148" s="61"/>
    </row>
    <row r="149" spans="7:15">
      <c r="G149" s="61"/>
      <c r="K149" s="61"/>
      <c r="O149" s="61"/>
    </row>
    <row r="150" spans="7:15">
      <c r="G150" s="61"/>
      <c r="K150" s="61"/>
      <c r="O150" s="61"/>
    </row>
    <row r="151" spans="7:15">
      <c r="G151" s="61"/>
      <c r="K151" s="61"/>
      <c r="O151" s="61"/>
    </row>
    <row r="152" spans="7:15">
      <c r="G152" s="61"/>
      <c r="K152" s="61"/>
      <c r="O152" s="61"/>
    </row>
    <row r="153" spans="7:15">
      <c r="G153" s="61"/>
      <c r="K153" s="61"/>
      <c r="O153" s="61"/>
    </row>
    <row r="154" spans="7:15">
      <c r="G154" s="61"/>
      <c r="K154" s="61"/>
      <c r="O154" s="61"/>
    </row>
    <row r="155" spans="7:15">
      <c r="G155" s="61"/>
      <c r="K155" s="61"/>
      <c r="O155" s="61"/>
    </row>
    <row r="156" spans="7:15">
      <c r="G156" s="61"/>
      <c r="K156" s="61"/>
      <c r="O156" s="61"/>
    </row>
    <row r="157" spans="7:15">
      <c r="G157" s="61"/>
      <c r="K157" s="61"/>
      <c r="O157" s="61"/>
    </row>
    <row r="158" spans="7:15">
      <c r="G158" s="61"/>
      <c r="K158" s="61"/>
      <c r="O158" s="61"/>
    </row>
    <row r="159" spans="7:15">
      <c r="G159" s="61"/>
      <c r="K159" s="61"/>
      <c r="O159" s="61"/>
    </row>
    <row r="160" spans="7:15">
      <c r="G160" s="61"/>
      <c r="K160" s="61"/>
      <c r="O160" s="61"/>
    </row>
    <row r="161" spans="7:15">
      <c r="G161" s="61"/>
      <c r="K161" s="61"/>
      <c r="O161" s="61"/>
    </row>
    <row r="162" spans="7:15">
      <c r="G162" s="61"/>
      <c r="K162" s="61"/>
      <c r="O162" s="61"/>
    </row>
    <row r="163" spans="7:15">
      <c r="G163" s="61"/>
      <c r="K163" s="61"/>
      <c r="O163" s="61"/>
    </row>
    <row r="164" spans="7:15">
      <c r="G164" s="61"/>
      <c r="K164" s="61"/>
      <c r="O164" s="61"/>
    </row>
    <row r="165" spans="7:15">
      <c r="G165" s="61"/>
      <c r="K165" s="61"/>
      <c r="O165" s="61"/>
    </row>
    <row r="166" spans="7:15">
      <c r="G166" s="61"/>
      <c r="K166" s="61"/>
      <c r="O166" s="61"/>
    </row>
    <row r="167" spans="7:15">
      <c r="G167" s="61"/>
      <c r="K167" s="61"/>
      <c r="O167" s="61"/>
    </row>
    <row r="168" spans="7:15">
      <c r="G168" s="61"/>
      <c r="K168" s="61"/>
      <c r="O168" s="61"/>
    </row>
    <row r="169" spans="7:15">
      <c r="G169" s="61"/>
      <c r="K169" s="61"/>
      <c r="O169" s="61"/>
    </row>
    <row r="170" spans="7:15">
      <c r="G170" s="61"/>
      <c r="K170" s="61"/>
      <c r="O170" s="61"/>
    </row>
    <row r="171" spans="7:15">
      <c r="G171" s="61"/>
      <c r="K171" s="61"/>
      <c r="O171" s="61"/>
    </row>
    <row r="172" spans="7:15">
      <c r="G172" s="61"/>
      <c r="K172" s="61"/>
      <c r="O172" s="61"/>
    </row>
    <row r="173" spans="7:15">
      <c r="G173" s="61"/>
      <c r="K173" s="61"/>
      <c r="O173" s="61"/>
    </row>
    <row r="174" spans="7:15">
      <c r="G174" s="61"/>
      <c r="K174" s="61"/>
      <c r="O174" s="61"/>
    </row>
    <row r="175" spans="7:15">
      <c r="G175" s="61"/>
      <c r="K175" s="61"/>
      <c r="O175" s="61"/>
    </row>
    <row r="176" spans="7:15">
      <c r="O176" s="61"/>
    </row>
    <row r="177" spans="7:15">
      <c r="G177" s="61"/>
      <c r="K177" s="61"/>
      <c r="O177" s="61"/>
    </row>
    <row r="178" spans="7:15">
      <c r="G178" s="61"/>
      <c r="K178" s="61"/>
      <c r="O178" s="61"/>
    </row>
    <row r="179" spans="7:15">
      <c r="G179" s="61"/>
      <c r="K179" s="61"/>
      <c r="O179" s="61"/>
    </row>
    <row r="180" spans="7:15">
      <c r="G180" s="61"/>
      <c r="K180" s="61"/>
      <c r="O180" s="61"/>
    </row>
  </sheetData>
  <mergeCells count="6">
    <mergeCell ref="B1:D1"/>
    <mergeCell ref="D5:E5"/>
    <mergeCell ref="D10:E11"/>
    <mergeCell ref="E26:E38"/>
    <mergeCell ref="C41:E41"/>
    <mergeCell ref="A12:C13"/>
  </mergeCells>
  <phoneticPr fontId="92"/>
  <pageMargins left="0.7" right="0.7" top="0.75" bottom="0.75" header="0.3" footer="0.3"/>
  <pageSetup paperSize="9" scale="76" orientation="portrait" r:id="rId1"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9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9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9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INVOICE RETURN</vt:lpstr>
      <vt:lpstr>PL Return</vt:lpstr>
      <vt:lpstr>INVOICE NORETURN</vt:lpstr>
      <vt:lpstr>PL Noreturn</vt:lpstr>
      <vt:lpstr>Sheet1</vt:lpstr>
      <vt:lpstr>Sheet2</vt:lpstr>
      <vt:lpstr>Sheet3</vt:lpstr>
      <vt:lpstr>'INVOICE NORETURN'!Print_Area</vt:lpstr>
      <vt:lpstr>'INVOICE RETURN'!Print_Area</vt:lpstr>
      <vt:lpstr>'PL Noreturn'!Print_Area</vt:lpstr>
      <vt:lpstr>'PL Return'!Print_Area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2017-10-17T04:53:06Z</dcterms:modified>
</cp:coreProperties>
</file>