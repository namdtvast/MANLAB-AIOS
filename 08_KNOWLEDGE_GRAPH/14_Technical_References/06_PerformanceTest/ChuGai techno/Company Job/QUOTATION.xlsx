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ocuments\Company Job\"/>
    </mc:Choice>
  </mc:AlternateContent>
  <bookViews>
    <workbookView xWindow="0" yWindow="0" windowWidth="20490" windowHeight="7755"/>
  </bookViews>
  <sheets>
    <sheet name="Quoutation" sheetId="26" r:id="rId1"/>
  </sheets>
  <definedNames>
    <definedName name="_xlnm.Print_Area" localSheetId="0">Quoutation!$A$1:$F$81</definedName>
  </definedNames>
  <calcPr calcId="152511"/>
</workbook>
</file>

<file path=xl/calcChain.xml><?xml version="1.0" encoding="utf-8"?>
<calcChain xmlns="http://schemas.openxmlformats.org/spreadsheetml/2006/main">
  <c r="F17" i="26" l="1"/>
  <c r="E23" i="26"/>
  <c r="E25" i="26"/>
  <c r="E24" i="26"/>
  <c r="E22" i="26"/>
  <c r="E26" i="26"/>
  <c r="E21" i="26"/>
  <c r="E17" i="26"/>
  <c r="E20" i="26"/>
  <c r="F9" i="26"/>
  <c r="F26" i="26" l="1"/>
  <c r="F25" i="26"/>
  <c r="F24" i="26"/>
  <c r="F23" i="26"/>
  <c r="F22" i="26"/>
  <c r="F21" i="26"/>
  <c r="F20" i="26"/>
  <c r="F27" i="26" l="1"/>
  <c r="F10" i="26"/>
  <c r="F28" i="26" l="1"/>
  <c r="F29" i="26" s="1"/>
</calcChain>
</file>

<file path=xl/sharedStrings.xml><?xml version="1.0" encoding="utf-8"?>
<sst xmlns="http://schemas.openxmlformats.org/spreadsheetml/2006/main" count="90" uniqueCount="87">
  <si>
    <t>+</t>
  </si>
  <si>
    <t xml:space="preserve"> </t>
  </si>
  <si>
    <t>QUOTATION</t>
  </si>
  <si>
    <t>Attn to:</t>
  </si>
  <si>
    <t>Name:</t>
  </si>
  <si>
    <t>Company:</t>
  </si>
  <si>
    <t>No.</t>
  </si>
  <si>
    <t>TOTAL:</t>
  </si>
  <si>
    <t>PRETAX TOTAL:</t>
  </si>
  <si>
    <t>VAT 10%:</t>
  </si>
  <si>
    <t xml:space="preserve"> - Please kindly mention above quotation number in your official PO.</t>
  </si>
  <si>
    <t xml:space="preserve"> - Place: customer place.</t>
  </si>
  <si>
    <t xml:space="preserve"> - Quanlity: 100% Brand new with technical specification as per Catalogue.</t>
  </si>
  <si>
    <t>Reference No.:</t>
  </si>
  <si>
    <t>Date of Issued:</t>
  </si>
  <si>
    <t>Expired date:</t>
  </si>
  <si>
    <t xml:space="preserve"> - The payment currency be Viet Nam (VND).</t>
  </si>
  <si>
    <t xml:space="preserve"> - Payment by 02 times:</t>
  </si>
  <si>
    <t>First time: 40% advance of the total value of goods after to sign a contract.</t>
  </si>
  <si>
    <t>Second times: 60% payment of the total value of goods within 07 day from deliver goods day.</t>
  </si>
  <si>
    <t>Beneficiary</t>
  </si>
  <si>
    <t>Account No.</t>
  </si>
  <si>
    <t>Bank Name</t>
  </si>
  <si>
    <t>UNIT PRICE
(VND)</t>
  </si>
  <si>
    <t>NET PRICE 
(VND)</t>
  </si>
  <si>
    <t xml:space="preserve"> - The currency used in quote is VietNam Dong (VND). The currency to payment be VietNam Dong (VND).</t>
  </si>
  <si>
    <r>
      <t xml:space="preserve">PRODUCT DESCRIPTION
</t>
    </r>
    <r>
      <rPr>
        <b/>
        <i/>
        <sz val="11"/>
        <rFont val="Arial"/>
        <family val="2"/>
      </rPr>
      <t>MÔ TẢ SẢN PHẨM</t>
    </r>
  </si>
  <si>
    <r>
      <t xml:space="preserve">Q'TY
</t>
    </r>
    <r>
      <rPr>
        <b/>
        <i/>
        <sz val="11"/>
        <rFont val="Arial"/>
        <family val="2"/>
      </rPr>
      <t>SỐ LƯỢNG</t>
    </r>
  </si>
  <si>
    <t xml:space="preserve"> - Xin sử dụng số báo giá trên khi đặt PO.</t>
  </si>
  <si>
    <r>
      <t xml:space="preserve">A. </t>
    </r>
    <r>
      <rPr>
        <b/>
        <u/>
        <sz val="11"/>
        <rFont val="Arial"/>
        <family val="2"/>
      </rPr>
      <t>NOTE</t>
    </r>
    <r>
      <rPr>
        <b/>
        <i/>
        <u/>
        <sz val="11"/>
        <rFont val="Arial"/>
        <family val="2"/>
      </rPr>
      <t>/GHI CHÚ:</t>
    </r>
  </si>
  <si>
    <t>Prices/Giá cả:</t>
  </si>
  <si>
    <t xml:space="preserve"> - Đồng tiền sử dụng trong báo giá là Đồng Việt Nam (VND), đồng tiền thanh toán là Đồng Việt Nam (VND).</t>
  </si>
  <si>
    <t>Delivery/Giao hàng:</t>
  </si>
  <si>
    <t xml:space="preserve"> - Địa điểm: Tại cơ sở của khách hàng.</t>
  </si>
  <si>
    <t>Goods Conditions/Quy cách hàng hóa:</t>
  </si>
  <si>
    <t xml:space="preserve"> - Chất lượng: Hàng mới 100% với thông số kỹ thuật như trên Catalogue.</t>
  </si>
  <si>
    <r>
      <rPr>
        <b/>
        <sz val="11"/>
        <rFont val="Arial"/>
        <family val="2"/>
      </rPr>
      <t xml:space="preserve">B. </t>
    </r>
    <r>
      <rPr>
        <b/>
        <u/>
        <sz val="11"/>
        <rFont val="Arial"/>
        <family val="2"/>
      </rPr>
      <t>TERMS</t>
    </r>
    <r>
      <rPr>
        <b/>
        <i/>
        <u/>
        <sz val="11"/>
        <rFont val="Arial"/>
        <family val="2"/>
      </rPr>
      <t>/CÁC ĐIỀU KHOẢN:</t>
    </r>
  </si>
  <si>
    <t>Warranty/Bảo hành:</t>
  </si>
  <si>
    <t>Payment/Thanh toán:</t>
  </si>
  <si>
    <t>- Đồng tiền thanh toán là Đồng Việt Nam (VND).</t>
  </si>
  <si>
    <t xml:space="preserve"> - Thanh toán làm 02 đợt:</t>
  </si>
  <si>
    <t>Đợt 1: Ứng trước 40% tổng giá trị đơn hàng ngay sau ký hợp đồng.</t>
  </si>
  <si>
    <t>Đợt 2: Thanh toán 60% tổng giá trị đơn hàng trong vòng 07 ngày kể từ ngày bàn giao nghiệm thu thiết bị.</t>
  </si>
  <si>
    <r>
      <rPr>
        <b/>
        <sz val="11"/>
        <rFont val="Arial"/>
        <family val="2"/>
      </rPr>
      <t xml:space="preserve">C. </t>
    </r>
    <r>
      <rPr>
        <b/>
        <u/>
        <sz val="11"/>
        <rFont val="Arial"/>
        <family val="2"/>
      </rPr>
      <t>BANK INFORMATION/THÔNG TIN TÀI KHOẢN NGÂN HÀNG:</t>
    </r>
  </si>
  <si>
    <t>Tên đăng ký tài khoản</t>
  </si>
  <si>
    <t>Số Tài khoản</t>
  </si>
  <si>
    <t>Tên ngân hàng</t>
  </si>
  <si>
    <t>Các phụ kiện đi kèm để đáp ứng công việc (khách hàng tùy chọn):</t>
  </si>
  <si>
    <r>
      <t xml:space="preserve">Code </t>
    </r>
    <r>
      <rPr>
        <b/>
        <sz val="11"/>
        <rFont val="Arial"/>
        <family val="2"/>
      </rPr>
      <t>45MG-WF</t>
    </r>
    <r>
      <rPr>
        <sz val="11"/>
        <rFont val="Arial"/>
        <family val="2"/>
      </rPr>
      <t xml:space="preserve">: Kích hoạt phần mềm hiển thị dạng sóng âm A-Scan, RF, 1/2 sóng âm và 1/2 sóng dương trên màn hình thiết bị. Với phần mềm này, 45MG sẽ cho độ chính xác đo lường tốt hơn khi kiểm tra đo đạc qua lớp sơn phủ và các chiều dày mỏng dưới 0.5 mm.
</t>
    </r>
    <r>
      <rPr>
        <i/>
        <u/>
        <sz val="11"/>
        <rFont val="Arial"/>
        <family val="2"/>
      </rPr>
      <t>Note</t>
    </r>
    <r>
      <rPr>
        <sz val="11"/>
        <rFont val="Arial"/>
        <family val="2"/>
      </rPr>
      <t xml:space="preserve">: </t>
    </r>
    <r>
      <rPr>
        <i/>
        <sz val="11"/>
        <rFont val="Arial"/>
        <family val="2"/>
      </rPr>
      <t>Sau khi kích hoạt, phần mềm sẽ được sử dụng trọn đời với 45MG.</t>
    </r>
  </si>
  <si>
    <r>
      <t xml:space="preserve">Code </t>
    </r>
    <r>
      <rPr>
        <b/>
        <sz val="11"/>
        <rFont val="Arial"/>
        <family val="2"/>
      </rPr>
      <t>45MG-EETC</t>
    </r>
    <r>
      <rPr>
        <sz val="11"/>
        <rFont val="Arial"/>
        <family val="2"/>
      </rPr>
      <t xml:space="preserve">: Kích hoạt phần mềm đo qua lớp sơn phủ mà không cần phải loại bỏ chúng (có thể hiển thị cả chiều dày kim loại cơ bản và chiều dày lớp sơn phủ).
</t>
    </r>
    <r>
      <rPr>
        <i/>
        <u/>
        <sz val="11"/>
        <rFont val="Arial"/>
        <family val="2"/>
      </rPr>
      <t>Note</t>
    </r>
    <r>
      <rPr>
        <sz val="11"/>
        <rFont val="Arial"/>
        <family val="2"/>
      </rPr>
      <t xml:space="preserve">: </t>
    </r>
    <r>
      <rPr>
        <i/>
        <sz val="11"/>
        <rFont val="Arial"/>
        <family val="2"/>
      </rPr>
      <t>Sau khi kích hoạt, phần mềm sẽ được sử dụng trọn đời với 45MG.</t>
    </r>
  </si>
  <si>
    <r>
      <rPr>
        <i/>
        <u/>
        <sz val="11"/>
        <rFont val="Arial"/>
        <family val="2"/>
      </rPr>
      <t>Phạm vi cung cấp, bao gồm:</t>
    </r>
    <r>
      <rPr>
        <sz val="11"/>
        <rFont val="Arial"/>
        <family val="2"/>
      </rPr>
      <t xml:space="preserve">
- 05 máy chính đáp ứng đầy đủ các thông số kỹ thuật trên.
- 015 pin AA.
- 05 cáp kết nối USB giữa máy chính với PC.
- 05 chai chất tiếp âm để hiệu chuẩn thiết bị trước khi kiểm tra.
- 05 đĩa CD hướng dẫn sử dụng bằng tiếng Anh.
- 01 file PDF hướng dẫn sử dụng bằng tiếng Việt.
- 05 vỏ cao su bảo vệ máy chính, với chân chống và dây đeo vai.
- 05 vali nhựa đựng và vận chuyển máy chính cùng phụ kiện khác.
- 05 chứng chỉ hiệu chuẩn máy chính của hãng.
- 05 chứng chỉ hiệu chuẩn máy chính của VISCO phù hợp theo chứng nhận  ISO 17025 VILAS 431 tại Việt Nam.
- Thời gian bảo hành: 24 tháng cho máy chính do lỗi kỹ thuật nhà sản xuất.</t>
    </r>
  </si>
  <si>
    <r>
      <rPr>
        <b/>
        <sz val="11"/>
        <rFont val="Arial"/>
        <family val="2"/>
      </rPr>
      <t>Đầu dò đo qua lớp sơn phủ cho 45MG (Cần kích hoạt code 45MG-EETC cho máy chính).</t>
    </r>
    <r>
      <rPr>
        <sz val="11"/>
        <rFont val="Arial"/>
        <family val="2"/>
      </rPr>
      <t xml:space="preserve">
 </t>
    </r>
    <r>
      <rPr>
        <b/>
        <sz val="11"/>
        <rFont val="Arial"/>
        <family val="2"/>
      </rPr>
      <t>• Model: D7906-SM.
 • Hãng: OLYMPUS.
 • Xuất xứ: USA.</t>
    </r>
    <r>
      <rPr>
        <sz val="11"/>
        <rFont val="Arial"/>
        <family val="2"/>
      </rPr>
      <t xml:space="preserve">
</t>
    </r>
    <r>
      <rPr>
        <i/>
        <u/>
        <sz val="11"/>
        <rFont val="Arial"/>
        <family val="2"/>
      </rPr>
      <t>Thông số kỹ thuật:</t>
    </r>
    <r>
      <rPr>
        <sz val="11"/>
        <rFont val="Arial"/>
        <family val="2"/>
      </rPr>
      <t xml:space="preserve">
- Đầu dò biến tử đôi với tần số 5 MHz, kích thước đầu tiếp xúc Ø 11 mm.
- Dải đo trong thép: 1 mm - 50 mm.
- Dải nhiệt độ bề mặt có thể kiểm tra: Từ 0°C đến  50°C.
- Kiểu kết nối rời với cáp kết nối nên có thể thay thế cáp khi bị hỏng.
</t>
    </r>
    <r>
      <rPr>
        <i/>
        <u/>
        <sz val="11"/>
        <rFont val="Arial"/>
        <family val="2"/>
      </rPr>
      <t>Phạm vi cung cấp:</t>
    </r>
    <r>
      <rPr>
        <sz val="11"/>
        <rFont val="Arial"/>
        <family val="2"/>
      </rPr>
      <t xml:space="preserve">
- 05 đầu dò đáp ứng các thông số kỹ thuật trên.
- 05 cáp kết nối LCMD-316-5L với máy chính.
- 05 chứng chỉ chứng nhận đầu dò.
- 05 hộp đựng đầu dò.
- 05 bao nhựa đựng cáp kết nối.
- Thời gian bảo hành: 06 tháng cho đầu dò và cáp kết nối do lỗi kỹ thuật nhà sản xuất.
</t>
    </r>
  </si>
  <si>
    <r>
      <rPr>
        <b/>
        <sz val="11"/>
        <rFont val="Arial"/>
        <family val="2"/>
      </rPr>
      <t>Đầu dò tiêu chuẩn cho 45MG.</t>
    </r>
    <r>
      <rPr>
        <sz val="11"/>
        <rFont val="Arial"/>
        <family val="2"/>
      </rPr>
      <t xml:space="preserve">
 </t>
    </r>
    <r>
      <rPr>
        <b/>
        <sz val="11"/>
        <rFont val="Arial"/>
        <family val="2"/>
      </rPr>
      <t>• Model: D790-SM.
 • Hãng: OLYMPUS.
 • Xuất xứ: USA.</t>
    </r>
    <r>
      <rPr>
        <sz val="11"/>
        <rFont val="Arial"/>
        <family val="2"/>
      </rPr>
      <t xml:space="preserve">
</t>
    </r>
    <r>
      <rPr>
        <i/>
        <u/>
        <sz val="11"/>
        <rFont val="Arial"/>
        <family val="2"/>
      </rPr>
      <t>Thông số kỹ thuật:</t>
    </r>
    <r>
      <rPr>
        <sz val="11"/>
        <rFont val="Arial"/>
        <family val="2"/>
      </rPr>
      <t xml:space="preserve">
- Đầu dò biến tử đôi với tần số 5 MHz, kích thước đầu tiếp xúc Ø 11 mm.
- Dải đo trong thép: 1 mm - 500 mm.
- Dải nhiệt độ bề mặt có thể kiểm tra: Từ -20°C đến  500°C.
- Kiểu kết nối rời với cáp kết nối nên có thể thay thế cáp khi bị hỏng.
</t>
    </r>
    <r>
      <rPr>
        <i/>
        <u/>
        <sz val="11"/>
        <rFont val="Arial"/>
        <family val="2"/>
      </rPr>
      <t>Phạm vi cung cấp:</t>
    </r>
    <r>
      <rPr>
        <sz val="11"/>
        <rFont val="Arial"/>
        <family val="2"/>
      </rPr>
      <t xml:space="preserve">
- 05 đầu dò đáp ứng các thông số kỹ thuật trên.
- 05 cáp kết nối LCMD-316-5B với máy chính.
- 05 chứng chỉ chứng nhận đầu dò.
- 05 hộp đựng đầu dò.
- 05 bao nhựa đựng cáp kết nối.
- Thời gian bảo hành: 06 tháng cho đầu dò và cáp kết nối do lỗi kỹ thuật nhà sản xuất.</t>
    </r>
  </si>
  <si>
    <r>
      <rPr>
        <b/>
        <sz val="11"/>
        <rFont val="Arial"/>
        <family val="2"/>
      </rPr>
      <t>Thiết bị đo chiều dày kim loại bằng sóng âm tân tiến hiện nay, thiết kế đạt chuẩn EN15317, cấp bỏ vệ IP67, và  chuẩn quân đội Hoa Kỳ MIL-STD-810G. Với các Code tùy chọn khác có thể kích hoạt từ xa mà không cần phải chuyển máy về hãng, 45MG sẽ trở thành một thiết bị tân tiến như: hiển thị thêm dạng sóng âm A-Scan, đo qua được lớp sơn phủ mà không cần phải loại bỏ chúng (có thể hiển thị cả chiều dày kim loại cơ bản và chiều dày lớp sơn phủ), cho độ phân giải lên đến 0.001 mm và đo được chiều dày thép mỏng hơn 0.5 mm.
 • Model: 45MG.
 • Hãng: OLYMPUS.
 • Xuất xứ: USA.</t>
    </r>
    <r>
      <rPr>
        <sz val="11"/>
        <rFont val="Arial"/>
        <family val="2"/>
      </rPr>
      <t xml:space="preserve">
</t>
    </r>
    <r>
      <rPr>
        <i/>
        <u/>
        <sz val="11"/>
        <rFont val="Arial"/>
        <family val="2"/>
      </rPr>
      <t>Thông số kỹ thuật chung cho 45MG tiêu chuẩn:</t>
    </r>
    <r>
      <rPr>
        <sz val="11"/>
        <rFont val="Arial"/>
        <family val="2"/>
      </rPr>
      <t xml:space="preserve">
- Kích thước tổng thể (W x H x D): 91.1 mm x 162 mm x 41.1 mm.
- Màn hình LCD hiển thị màu QVGA với kích thước 54.61 mm x 41.15 mm, với hiển thị dạng số đo và mặt cắt chiếu cạnh B-Scan.
- Trọng lượng: 430.9 gam.
- Nguồn sử dụng 3 pin AA.
- Dải đo trong thép: Từ 0.5 mm đến 635 mm (tùy theo từng đầu dò được sử dụng).
- Độ phân giải:
    • Thấp: 0.1 mm.
    • Tiêu chuẩn: 0.01 mm.
- Dải nhiệt độ bề mặt có thể kiểm tra: -20ºC đến 500ºC (tùy theo từng đầu dò được sử dụng).
- Dải nhiệt độ môi trường hoạt động của thiết bị: -10ºC đến 50ºC.</t>
    </r>
  </si>
  <si>
    <r>
      <rPr>
        <b/>
        <sz val="11"/>
        <rFont val="Arial"/>
        <family val="2"/>
      </rPr>
      <t>Mẫu chuẩn để hiệu chuẩn thiết bị cho kiểm tra thép không gỉ (Stainless Steel).</t>
    </r>
    <r>
      <rPr>
        <sz val="11"/>
        <rFont val="Arial"/>
        <family val="2"/>
      </rPr>
      <t xml:space="preserve">
 </t>
    </r>
    <r>
      <rPr>
        <b/>
        <sz val="11"/>
        <rFont val="Arial"/>
        <family val="2"/>
      </rPr>
      <t>• Model: 2211M.
 • Hãng: OLYMPUS.
 • Xuất xứ: USA.</t>
    </r>
    <r>
      <rPr>
        <sz val="11"/>
        <rFont val="Arial"/>
        <family val="2"/>
      </rPr>
      <t xml:space="preserve">
</t>
    </r>
    <r>
      <rPr>
        <i/>
        <u/>
        <sz val="11"/>
        <rFont val="Arial"/>
        <family val="2"/>
      </rPr>
      <t>Thông số kỹ thuật:</t>
    </r>
    <r>
      <rPr>
        <sz val="11"/>
        <rFont val="Arial"/>
        <family val="2"/>
      </rPr>
      <t xml:space="preserve">
- Chế tạo bằng thép không gỉ (304 Stainless Steel).
- Kiểu dáng: gồm 5 bậc chiều dày khác nhau (2.5 mm, 5.0 mm, 7.5 mm, 10.0 mm, 12.5 mm).
</t>
    </r>
    <r>
      <rPr>
        <i/>
        <u/>
        <sz val="11"/>
        <rFont val="Arial"/>
        <family val="2"/>
      </rPr>
      <t>Phạm vi cung cấp:</t>
    </r>
    <r>
      <rPr>
        <sz val="11"/>
        <rFont val="Arial"/>
        <family val="2"/>
      </rPr>
      <t xml:space="preserve">
- 05 mẫu chuẩn đáp ứng các thông số kỹ thuật trên.
- 05 chứng chỉ chứng nhận mẫu chuẩn.
- 05 hộp đựng mẫu chuẩn.
- Thời gian bảo hành: 06 tháng cho đầu dò và cáp kết nối do lỗi kỹ thuật nhà sản xuất.
</t>
    </r>
  </si>
  <si>
    <r>
      <rPr>
        <b/>
        <sz val="11"/>
        <rFont val="Arial"/>
        <family val="2"/>
      </rPr>
      <t>Mẫu chuẩn để hiệu chuẩn thiết bị cho kiểm tra thép gỉ (Carbon Steel).</t>
    </r>
    <r>
      <rPr>
        <sz val="11"/>
        <rFont val="Arial"/>
        <family val="2"/>
      </rPr>
      <t xml:space="preserve">
 </t>
    </r>
    <r>
      <rPr>
        <b/>
        <sz val="11"/>
        <rFont val="Arial"/>
        <family val="2"/>
      </rPr>
      <t>• Model: 2214M.
 • Hãng: OLYMPUS.
 • Xuất xứ: USA.</t>
    </r>
    <r>
      <rPr>
        <sz val="11"/>
        <rFont val="Arial"/>
        <family val="2"/>
      </rPr>
      <t xml:space="preserve">
</t>
    </r>
    <r>
      <rPr>
        <i/>
        <u/>
        <sz val="11"/>
        <rFont val="Arial"/>
        <family val="2"/>
      </rPr>
      <t>Thông số kỹ thuật:</t>
    </r>
    <r>
      <rPr>
        <sz val="11"/>
        <rFont val="Arial"/>
        <family val="2"/>
      </rPr>
      <t xml:space="preserve">
- Chế tạo bằng thép gỉ (1018 Carbon Steel).
- Kiểu dáng: gồm 5 bậc chiều dày khác nhau (2.5 mm, 5.0 mm, 7.5 mm, 10.0 mm, 12.5 mm).
</t>
    </r>
    <r>
      <rPr>
        <i/>
        <u/>
        <sz val="11"/>
        <rFont val="Arial"/>
        <family val="2"/>
      </rPr>
      <t>Phạm vi cung cấp:</t>
    </r>
    <r>
      <rPr>
        <sz val="11"/>
        <rFont val="Arial"/>
        <family val="2"/>
      </rPr>
      <t xml:space="preserve">
- 05 mẫu chuẩn đáp ứng các thông số kỹ thuật trên.
- 05 chứng chỉ chứng nhận mẫu chuẩn.
- 05 hộp đựng mẫu chuẩn.
- Thời gian bảo hành: 06 tháng cho đầu dò và cáp kết nối do lỗi kỹ thuật nhà sản xuất.
</t>
    </r>
  </si>
  <si>
    <r>
      <rPr>
        <b/>
        <sz val="11"/>
        <rFont val="Arial"/>
        <family val="2"/>
      </rPr>
      <t>Chất tiếp âm sử dụng cho sử dụng thực hiện tại mẫu vật cần kiểm tra.
 • Model: D12.
 • Hãng: OLYMPUS.
 • Xuất xứ: USA.</t>
    </r>
    <r>
      <rPr>
        <sz val="11"/>
        <rFont val="Arial"/>
        <family val="2"/>
      </rPr>
      <t xml:space="preserve">
</t>
    </r>
    <r>
      <rPr>
        <i/>
        <u/>
        <sz val="11"/>
        <rFont val="Arial"/>
        <family val="2"/>
      </rPr>
      <t>Thông số kỹ thuật:</t>
    </r>
    <r>
      <rPr>
        <sz val="11"/>
        <rFont val="Arial"/>
        <family val="2"/>
      </rPr>
      <t xml:space="preserve">
- Dung tích 0.35 lít.
</t>
    </r>
    <r>
      <rPr>
        <i/>
        <u/>
        <sz val="11"/>
        <rFont val="Arial"/>
        <family val="2"/>
      </rPr>
      <t>Phạm vi cung cấp:</t>
    </r>
    <r>
      <rPr>
        <sz val="11"/>
        <rFont val="Arial"/>
        <family val="2"/>
      </rPr>
      <t xml:space="preserve">
- 05 chai đáp ứng các thông số kỹ thuật trên.</t>
    </r>
  </si>
  <si>
    <t>- 24 tháng cho 45MG và 06 tháng cho các phụ kiện do lỗi kỹ thuật của nhà sản xuất kể từ ngày bàn giao nghiệm thu thiết bị.</t>
  </si>
  <si>
    <t xml:space="preserve"> - 24 months for 45MG and 06 months for accessories by under the technical fault of manufacturer from deliver goods day.</t>
  </si>
  <si>
    <t>CHUGAI TECHNOS CO., LTD
CTY TNHH CHUGAI TECHNOS VIỆT NAM</t>
  </si>
  <si>
    <r>
      <t xml:space="preserve">                           </t>
    </r>
    <r>
      <rPr>
        <b/>
        <sz val="10"/>
        <rFont val="Arial"/>
        <family val="2"/>
      </rPr>
      <t>Office</t>
    </r>
    <r>
      <rPr>
        <sz val="10"/>
        <rFont val="Arial"/>
        <family val="2"/>
      </rPr>
      <t>: 66 Cao Trieu Phat, Hung Gia 4 Area, Tan Phong Ward District 7, Ho Chi Minh</t>
    </r>
  </si>
  <si>
    <r>
      <t xml:space="preserve">                           </t>
    </r>
    <r>
      <rPr>
        <b/>
        <sz val="10"/>
        <rFont val="Arial"/>
        <family val="2"/>
      </rPr>
      <t>Website</t>
    </r>
    <r>
      <rPr>
        <sz val="10"/>
        <rFont val="Arial"/>
        <family val="2"/>
      </rPr>
      <t xml:space="preserve">: </t>
    </r>
    <r>
      <rPr>
        <u/>
        <sz val="10"/>
        <color rgb="FF3333FF"/>
        <rFont val="Arial"/>
        <family val="2"/>
      </rPr>
      <t>www.chugai-tec-vn.com</t>
    </r>
  </si>
  <si>
    <t xml:space="preserve"> - Chugai Technos VN will notify the customer in writing of any change relating to technical equipment configuration.</t>
  </si>
  <si>
    <t xml:space="preserve"> - Chugai Technos VN sẽ thông báo bằng văn bản tới khách hàng khi có thay đổi liên quan đến cấu hình kỹ thuật thiết bị.</t>
  </si>
  <si>
    <t>: CHUGAI TECHNOS VIETNAM COMPANY LIMITED</t>
  </si>
  <si>
    <t>: Công ty TNHH Chugai Technos Việt Nam</t>
  </si>
  <si>
    <t>: 10065702  (VND Account)</t>
  </si>
  <si>
    <t>: 10065702 (Tài khoản VND)</t>
  </si>
  <si>
    <t>: Sumitomo Mitsui Banking Corporation - Ho Chi Minh Branch</t>
  </si>
  <si>
    <t>: Sumitomo Mitsui Banking Corporation – CN Ho Chi Minh</t>
  </si>
  <si>
    <t xml:space="preserve"> ** Please append one's signature to this document
          and send to Chugai Technos VN to order **
 ** Xin ký và đóng dấu vào bản sao của báo giá này
          và gửi lại cho chúng tôi để đặt hàng **</t>
  </si>
  <si>
    <t>On behalf of Chugai Technos VN</t>
  </si>
  <si>
    <t xml:space="preserve"> - Thời gian: Trong vòng 02 đến 06 tuần kể từ khi khách hàng chuyển tiền đợt 1 (cần phải xác nhận lại trước khi đặt hàng).</t>
  </si>
  <si>
    <t xml:space="preserve"> - Time: 2 to 6 weeks from since to transfer money first time (Reconfirm before order).</t>
  </si>
  <si>
    <t xml:space="preserve"> - The prices above is cost to transportation for customer place.</t>
  </si>
  <si>
    <t xml:space="preserve"> - Giá trên đã bao gồm chi phí vận chuyển đến cơ sở của khách hàng.</t>
  </si>
  <si>
    <t xml:space="preserve"> - Địa điểm: 66 Cao Triều Phát, Phường Tân Phong, Quận 7, TP.Hồ Chí Minh, Việt Nam.</t>
  </si>
  <si>
    <t xml:space="preserve"> - Warranty Place: 66 Cao Trieu Phat, Tan Phong Ward, District 7., HCM City, Vietnam.</t>
  </si>
  <si>
    <t xml:space="preserve"> - Documents: Certificate of Origin (CO), Certificate of Conformity Quality (CC)</t>
  </si>
  <si>
    <t xml:space="preserve"> - Chứng từ: Chứng chỉ xuất xứ (CO), Chứng chỉ phù hợp chất lượng (CC)</t>
  </si>
  <si>
    <t xml:space="preserve">                           Tel: (+84) 8 5410 9111   |   Fax: (+84) 8 5410 9222   |   Email: info.vn@chugai-tec.co.jp</t>
  </si>
  <si>
    <t>Công ty TNHH TM&amp;ĐT Thái Bình Dương</t>
  </si>
  <si>
    <t>(No Alley 180 Hoang Quoc Viet Str., Cau Giay Dist., Ha Noi., VN)</t>
  </si>
  <si>
    <t>Ms Hạnh</t>
  </si>
  <si>
    <t>Cell: 0164 523 5321</t>
  </si>
  <si>
    <t>pur_2@pitc.com.vn</t>
  </si>
  <si>
    <r>
      <t xml:space="preserve">
We thank you for your interest to our products and service of Chugai Technos VN. With reference to your enquiry, we have an honour to offer you following quotation:
</t>
    </r>
    <r>
      <rPr>
        <i/>
        <sz val="11"/>
        <rFont val="Arial"/>
        <family val="2"/>
      </rPr>
      <t xml:space="preserve">Cảm ơn Quý khách hàng đã quan tâm đến các sản phẩm và dịch vụ của công ty Chugai Technos VN chúng tôi. Với những yêu cầu từ Quý khách hàng, chúng tôi xin trân trọng gửi đến Quý khách hàng bản báo giá như sau: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</si>
</sst>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quot;$&quot;* #,##0.00_);_(&quot;$&quot;* \(#,##0.00\);_(&quot;$&quot;* &quot;-&quot;??_);_(@_)"/>
    <numFmt numFmtId="43" formatCode="_(* #,##0.00_);_(* \(#,##0.00\);_(* &quot;-&quot;??_);_(@_)"/>
    <numFmt numFmtId="164" formatCode="00"/>
    <numFmt numFmtId="165" formatCode="dd/mm/yyyy"/>
    <numFmt numFmtId="166" formatCode="#,##0\ [$₫-42A]"/>
    <numFmt numFmtId="167" formatCode="00\ &quot;Set (Bộ)&quot;"/>
    <numFmt numFmtId="168" formatCode="00\ &quot;Code (Mã)&quot;"/>
  </numFmts>
  <fonts count="25" x14ac:knownFonts="1">
    <font>
      <sz val="11"/>
      <color theme="1"/>
      <name val="Calibri"/>
      <family val="2"/>
      <scheme val="minor"/>
    </font>
    <font>
      <sz val="10"/>
      <name val="Arial"/>
      <family val="2"/>
    </font>
    <font>
      <sz val="10"/>
      <name val="Arial"/>
      <family val="2"/>
      <charset val="163"/>
    </font>
    <font>
      <b/>
      <sz val="10"/>
      <name val="Arial"/>
      <family val="2"/>
    </font>
    <font>
      <sz val="10"/>
      <name val="Arial"/>
      <family val="2"/>
    </font>
    <font>
      <sz val="11"/>
      <name val="Arial"/>
      <family val="2"/>
    </font>
    <font>
      <b/>
      <sz val="11"/>
      <name val="Arial"/>
      <family val="2"/>
    </font>
    <font>
      <b/>
      <i/>
      <sz val="10"/>
      <name val="Arial"/>
      <family val="2"/>
    </font>
    <font>
      <b/>
      <sz val="21"/>
      <name val="Arial"/>
      <family val="2"/>
    </font>
    <font>
      <sz val="11"/>
      <color theme="1"/>
      <name val="Arial"/>
      <family val="2"/>
    </font>
    <font>
      <sz val="10"/>
      <color theme="1"/>
      <name val="Arial"/>
      <family val="2"/>
    </font>
    <font>
      <u/>
      <sz val="10"/>
      <color theme="10"/>
      <name val="Arial"/>
      <family val="2"/>
      <charset val="163"/>
    </font>
    <font>
      <u/>
      <sz val="10"/>
      <color rgb="FF3333FF"/>
      <name val="Arial"/>
      <family val="2"/>
    </font>
    <font>
      <b/>
      <sz val="11"/>
      <color theme="1"/>
      <name val="Arial"/>
      <family val="2"/>
    </font>
    <font>
      <b/>
      <sz val="36"/>
      <name val="Arial"/>
      <family val="2"/>
    </font>
    <font>
      <b/>
      <u/>
      <sz val="11"/>
      <name val="Arial"/>
      <family val="2"/>
    </font>
    <font>
      <i/>
      <u/>
      <sz val="11"/>
      <name val="Arial"/>
      <family val="2"/>
    </font>
    <font>
      <b/>
      <u/>
      <sz val="12"/>
      <name val="Arial"/>
      <family val="2"/>
    </font>
    <font>
      <i/>
      <sz val="11"/>
      <name val="Arial"/>
      <family val="2"/>
    </font>
    <font>
      <b/>
      <i/>
      <sz val="11"/>
      <name val="Arial"/>
      <family val="2"/>
    </font>
    <font>
      <b/>
      <i/>
      <u/>
      <sz val="11"/>
      <name val="Arial"/>
      <family val="2"/>
    </font>
    <font>
      <i/>
      <sz val="11"/>
      <color theme="1"/>
      <name val="Arial"/>
      <family val="2"/>
    </font>
    <font>
      <b/>
      <sz val="24"/>
      <name val="Arial"/>
      <family val="2"/>
    </font>
    <font>
      <b/>
      <sz val="11.5"/>
      <name val="Arial"/>
      <family val="2"/>
    </font>
    <font>
      <b/>
      <sz val="11.5"/>
      <color theme="1"/>
      <name val="Arial"/>
      <family val="2"/>
    </font>
  </fonts>
  <fills count="5">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tint="-0.14999847407452621"/>
        <bgColor indexed="64"/>
      </patternFill>
    </fill>
  </fills>
  <borders count="20">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rgb="FF000099"/>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10">
    <xf numFmtId="0" fontId="0" fillId="0" borderId="0"/>
    <xf numFmtId="44" fontId="4" fillId="0" borderId="0" applyFont="0" applyFill="0" applyBorder="0" applyAlignment="0" applyProtection="0"/>
    <xf numFmtId="0" fontId="1"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43" fontId="2" fillId="0" borderId="0" applyFont="0" applyFill="0" applyBorder="0" applyAlignment="0" applyProtection="0"/>
    <xf numFmtId="44" fontId="4" fillId="0" borderId="0" applyFont="0" applyFill="0" applyBorder="0" applyAlignment="0" applyProtection="0"/>
    <xf numFmtId="0" fontId="11" fillId="0" borderId="0" applyNumberFormat="0" applyFill="0" applyBorder="0" applyAlignment="0" applyProtection="0">
      <alignment vertical="top"/>
      <protection locked="0"/>
    </xf>
  </cellStyleXfs>
  <cellXfs count="87">
    <xf numFmtId="0" fontId="0" fillId="0" borderId="0" xfId="0"/>
    <xf numFmtId="0" fontId="3" fillId="0" borderId="0" xfId="2" applyFont="1" applyAlignment="1" applyProtection="1">
      <alignment horizontal="center" vertical="center"/>
    </xf>
    <xf numFmtId="0" fontId="4" fillId="0" borderId="0" xfId="2" applyFont="1" applyAlignment="1" applyProtection="1">
      <alignment vertical="center"/>
      <protection hidden="1"/>
    </xf>
    <xf numFmtId="0" fontId="10" fillId="0" borderId="0" xfId="0" applyFont="1"/>
    <xf numFmtId="0" fontId="3" fillId="0" borderId="0" xfId="2" applyFont="1" applyAlignment="1" applyProtection="1">
      <alignment horizontal="center" vertical="center"/>
      <protection locked="0"/>
    </xf>
    <xf numFmtId="0" fontId="4" fillId="0" borderId="0" xfId="2" applyFont="1" applyAlignment="1">
      <alignment vertical="center"/>
    </xf>
    <xf numFmtId="0" fontId="10" fillId="0" borderId="0" xfId="0" applyFont="1" applyAlignment="1">
      <alignment vertical="center"/>
    </xf>
    <xf numFmtId="0" fontId="9" fillId="0" borderId="0" xfId="0" applyFont="1" applyAlignment="1">
      <alignment vertical="center"/>
    </xf>
    <xf numFmtId="0" fontId="5" fillId="0" borderId="0" xfId="2" applyFont="1" applyAlignment="1">
      <alignment vertical="center"/>
    </xf>
    <xf numFmtId="0" fontId="8" fillId="0" borderId="0" xfId="2" applyFont="1" applyAlignment="1" applyProtection="1"/>
    <xf numFmtId="0" fontId="4" fillId="0" borderId="0" xfId="2" applyFont="1" applyAlignment="1" applyProtection="1">
      <alignment vertical="center"/>
    </xf>
    <xf numFmtId="0" fontId="6" fillId="0" borderId="0" xfId="2" applyFont="1" applyAlignment="1" applyProtection="1">
      <alignment vertical="center"/>
      <protection locked="0"/>
    </xf>
    <xf numFmtId="0" fontId="5" fillId="2" borderId="1" xfId="4" applyFont="1" applyFill="1" applyBorder="1" applyAlignment="1" applyProtection="1">
      <alignment horizontal="right" vertical="center"/>
      <protection locked="0"/>
    </xf>
    <xf numFmtId="0" fontId="5" fillId="0" borderId="0" xfId="2" applyFont="1" applyAlignment="1" applyProtection="1">
      <alignment horizontal="right" vertical="center"/>
      <protection locked="0"/>
    </xf>
    <xf numFmtId="0" fontId="5" fillId="0" borderId="0" xfId="2" applyFont="1" applyAlignment="1" applyProtection="1">
      <alignment vertical="center"/>
      <protection locked="0"/>
    </xf>
    <xf numFmtId="0" fontId="5" fillId="0" borderId="3" xfId="4" applyFont="1" applyBorder="1" applyAlignment="1" applyProtection="1">
      <alignment horizontal="right" vertical="center"/>
      <protection locked="0"/>
    </xf>
    <xf numFmtId="165" fontId="9" fillId="0" borderId="4" xfId="0" applyNumberFormat="1" applyFont="1" applyBorder="1" applyAlignment="1">
      <alignment horizontal="left" vertical="center"/>
    </xf>
    <xf numFmtId="0" fontId="5" fillId="0" borderId="0" xfId="2" applyFont="1" applyAlignment="1" applyProtection="1">
      <alignment horizontal="left" vertical="center"/>
      <protection locked="0"/>
    </xf>
    <xf numFmtId="0" fontId="5" fillId="0" borderId="5" xfId="4" applyFont="1" applyBorder="1" applyAlignment="1" applyProtection="1">
      <alignment horizontal="right" vertical="center"/>
      <protection locked="0"/>
    </xf>
    <xf numFmtId="165" fontId="9" fillId="0" borderId="6" xfId="0" applyNumberFormat="1" applyFont="1" applyBorder="1" applyAlignment="1">
      <alignment horizontal="left" vertical="center"/>
    </xf>
    <xf numFmtId="0" fontId="9" fillId="0" borderId="0" xfId="0" applyFont="1" applyBorder="1"/>
    <xf numFmtId="0" fontId="5" fillId="0" borderId="0" xfId="2" applyFont="1" applyBorder="1" applyAlignment="1" applyProtection="1">
      <alignment horizontal="left" vertical="center"/>
      <protection locked="0"/>
    </xf>
    <xf numFmtId="0" fontId="15" fillId="0" borderId="0" xfId="2" applyFont="1" applyAlignment="1" applyProtection="1">
      <alignment vertical="center"/>
      <protection locked="0"/>
    </xf>
    <xf numFmtId="0" fontId="5" fillId="0" borderId="0" xfId="2" quotePrefix="1" applyFont="1" applyAlignment="1" applyProtection="1">
      <alignment vertical="center"/>
      <protection locked="0"/>
    </xf>
    <xf numFmtId="0" fontId="16" fillId="0" borderId="0" xfId="2" applyFont="1" applyAlignment="1" applyProtection="1">
      <alignment vertical="center"/>
      <protection locked="0"/>
    </xf>
    <xf numFmtId="0" fontId="9" fillId="0" borderId="0" xfId="0" applyFont="1"/>
    <xf numFmtId="0" fontId="15" fillId="0" borderId="0" xfId="2" applyFont="1" applyAlignment="1" applyProtection="1">
      <alignment vertical="center"/>
      <protection hidden="1"/>
    </xf>
    <xf numFmtId="0" fontId="5" fillId="0" borderId="0" xfId="2" applyFont="1" applyAlignment="1" applyProtection="1">
      <alignment vertical="center"/>
      <protection hidden="1"/>
    </xf>
    <xf numFmtId="0" fontId="5" fillId="0" borderId="0" xfId="2" applyFont="1" applyAlignment="1" applyProtection="1">
      <alignment horizontal="right" vertical="center"/>
      <protection hidden="1"/>
    </xf>
    <xf numFmtId="0" fontId="1" fillId="0" borderId="0" xfId="2" applyFont="1" applyAlignment="1">
      <alignment vertical="center"/>
    </xf>
    <xf numFmtId="0" fontId="3" fillId="0" borderId="8" xfId="2" applyFont="1" applyBorder="1" applyAlignment="1" applyProtection="1">
      <alignment horizontal="center" vertical="center"/>
    </xf>
    <xf numFmtId="0" fontId="18" fillId="0" borderId="0" xfId="2" applyFont="1" applyAlignment="1" applyProtection="1">
      <alignment vertical="center"/>
      <protection locked="0"/>
    </xf>
    <xf numFmtId="0" fontId="18" fillId="0" borderId="0" xfId="2" quotePrefix="1" applyFont="1" applyAlignment="1" applyProtection="1">
      <alignment vertical="center"/>
      <protection locked="0"/>
    </xf>
    <xf numFmtId="0" fontId="18" fillId="0" borderId="0" xfId="2" applyFont="1" applyAlignment="1" applyProtection="1">
      <alignment horizontal="right" vertical="center"/>
      <protection locked="0"/>
    </xf>
    <xf numFmtId="0" fontId="21" fillId="0" borderId="0" xfId="0" applyFont="1"/>
    <xf numFmtId="0" fontId="18" fillId="0" borderId="0" xfId="2" applyFont="1" applyAlignment="1" applyProtection="1">
      <alignment horizontal="right" vertical="center"/>
      <protection hidden="1"/>
    </xf>
    <xf numFmtId="0" fontId="18" fillId="0" borderId="0" xfId="2" applyFont="1" applyAlignment="1" applyProtection="1">
      <alignment vertical="center"/>
      <protection hidden="1"/>
    </xf>
    <xf numFmtId="166" fontId="24" fillId="0" borderId="0" xfId="0" applyNumberFormat="1" applyFont="1" applyAlignment="1">
      <alignment vertical="center"/>
    </xf>
    <xf numFmtId="0" fontId="23" fillId="0" borderId="0" xfId="2" applyFont="1" applyAlignment="1">
      <alignment horizontal="right" vertical="center"/>
    </xf>
    <xf numFmtId="0" fontId="14" fillId="0" borderId="0" xfId="2" applyFont="1" applyAlignment="1" applyProtection="1">
      <alignment horizontal="center"/>
      <protection locked="0"/>
    </xf>
    <xf numFmtId="0" fontId="15" fillId="0" borderId="0" xfId="2" applyFont="1" applyAlignment="1" applyProtection="1">
      <alignment horizontal="right" vertical="center"/>
      <protection locked="0"/>
    </xf>
    <xf numFmtId="167" fontId="5" fillId="0" borderId="9" xfId="2" applyNumberFormat="1" applyFont="1" applyBorder="1" applyAlignment="1" applyProtection="1">
      <alignment horizontal="center" vertical="top" wrapText="1"/>
      <protection locked="0"/>
    </xf>
    <xf numFmtId="166" fontId="5" fillId="0" borderId="9" xfId="7" applyNumberFormat="1" applyFont="1" applyBorder="1" applyAlignment="1" applyProtection="1">
      <alignment horizontal="center" vertical="top" wrapText="1"/>
      <protection locked="0"/>
    </xf>
    <xf numFmtId="166" fontId="5" fillId="0" borderId="4" xfId="7" applyNumberFormat="1" applyFont="1" applyBorder="1" applyAlignment="1" applyProtection="1">
      <alignment horizontal="center" vertical="top" wrapText="1"/>
      <protection locked="0"/>
    </xf>
    <xf numFmtId="164" fontId="5" fillId="0" borderId="3" xfId="2" applyNumberFormat="1" applyFont="1" applyBorder="1" applyAlignment="1" applyProtection="1">
      <alignment horizontal="center" vertical="top" wrapText="1"/>
      <protection locked="0"/>
    </xf>
    <xf numFmtId="164" fontId="5" fillId="0" borderId="5" xfId="2" applyNumberFormat="1" applyFont="1" applyBorder="1" applyAlignment="1" applyProtection="1">
      <alignment horizontal="center" vertical="top" wrapText="1"/>
      <protection locked="0"/>
    </xf>
    <xf numFmtId="167" fontId="5" fillId="0" borderId="7" xfId="2" applyNumberFormat="1" applyFont="1" applyBorder="1" applyAlignment="1" applyProtection="1">
      <alignment horizontal="center" vertical="top" wrapText="1"/>
      <protection locked="0"/>
    </xf>
    <xf numFmtId="166" fontId="5" fillId="0" borderId="7" xfId="7" applyNumberFormat="1" applyFont="1" applyBorder="1" applyAlignment="1" applyProtection="1">
      <alignment horizontal="center" vertical="top" wrapText="1"/>
      <protection locked="0"/>
    </xf>
    <xf numFmtId="166" fontId="5" fillId="0" borderId="6" xfId="7" applyNumberFormat="1" applyFont="1" applyBorder="1" applyAlignment="1" applyProtection="1">
      <alignment horizontal="center" vertical="top" wrapText="1"/>
      <protection locked="0"/>
    </xf>
    <xf numFmtId="0" fontId="6" fillId="3" borderId="14" xfId="2" applyFont="1" applyFill="1" applyBorder="1" applyAlignment="1" applyProtection="1">
      <alignment horizontal="center" vertical="center"/>
      <protection locked="0"/>
    </xf>
    <xf numFmtId="0" fontId="6" fillId="3" borderId="15" xfId="2" applyFont="1" applyFill="1" applyBorder="1" applyAlignment="1" applyProtection="1">
      <alignment horizontal="center" vertical="center" wrapText="1"/>
      <protection locked="0"/>
    </xf>
    <xf numFmtId="0" fontId="13" fillId="3" borderId="16" xfId="0" applyFont="1" applyFill="1" applyBorder="1" applyAlignment="1">
      <alignment horizontal="center" vertical="center" wrapText="1"/>
    </xf>
    <xf numFmtId="168" fontId="5" fillId="0" borderId="9" xfId="2" applyNumberFormat="1" applyFont="1" applyBorder="1" applyAlignment="1" applyProtection="1">
      <alignment horizontal="center" vertical="top" wrapText="1"/>
      <protection locked="0"/>
    </xf>
    <xf numFmtId="0" fontId="1" fillId="2" borderId="2" xfId="4" applyFont="1" applyFill="1" applyBorder="1" applyAlignment="1" applyProtection="1">
      <alignment horizontal="left" vertical="center"/>
      <protection locked="0"/>
    </xf>
    <xf numFmtId="0" fontId="15" fillId="0" borderId="0" xfId="2" applyFont="1" applyAlignment="1" applyProtection="1">
      <alignment horizontal="right" vertical="center"/>
      <protection locked="0"/>
    </xf>
    <xf numFmtId="0" fontId="11" fillId="0" borderId="0" xfId="9" applyAlignment="1" applyProtection="1">
      <alignment vertical="center"/>
      <protection locked="0"/>
    </xf>
    <xf numFmtId="0" fontId="22" fillId="0" borderId="0" xfId="2" applyFont="1" applyAlignment="1" applyProtection="1">
      <alignment horizontal="center" wrapText="1"/>
    </xf>
    <xf numFmtId="0" fontId="22" fillId="0" borderId="0" xfId="2" applyFont="1" applyAlignment="1" applyProtection="1">
      <alignment horizontal="center"/>
    </xf>
    <xf numFmtId="0" fontId="1" fillId="0" borderId="0" xfId="2" applyFont="1" applyAlignment="1" applyProtection="1">
      <alignment vertical="center"/>
    </xf>
    <xf numFmtId="0" fontId="6" fillId="3" borderId="15" xfId="2" applyFont="1" applyFill="1" applyBorder="1" applyAlignment="1" applyProtection="1">
      <alignment horizontal="center" vertical="center" wrapText="1"/>
      <protection locked="0"/>
    </xf>
    <xf numFmtId="0" fontId="6" fillId="3" borderId="15" xfId="2" applyFont="1" applyFill="1" applyBorder="1" applyAlignment="1" applyProtection="1">
      <alignment horizontal="center" vertical="center"/>
      <protection locked="0"/>
    </xf>
    <xf numFmtId="0" fontId="1" fillId="0" borderId="8" xfId="2" applyFont="1" applyBorder="1" applyAlignment="1" applyProtection="1">
      <alignment horizontal="center" vertical="center"/>
    </xf>
    <xf numFmtId="0" fontId="14" fillId="0" borderId="0" xfId="2" applyFont="1" applyAlignment="1" applyProtection="1">
      <alignment horizontal="center" wrapText="1"/>
      <protection locked="0"/>
    </xf>
    <xf numFmtId="0" fontId="14" fillId="0" borderId="0" xfId="2" applyFont="1" applyAlignment="1" applyProtection="1">
      <alignment horizontal="center"/>
      <protection locked="0"/>
    </xf>
    <xf numFmtId="0" fontId="15" fillId="0" borderId="0" xfId="2" applyFont="1" applyAlignment="1" applyProtection="1">
      <alignment horizontal="right" vertical="center"/>
      <protection locked="0"/>
    </xf>
    <xf numFmtId="0" fontId="5" fillId="0" borderId="10" xfId="2" applyFont="1" applyBorder="1" applyAlignment="1" applyProtection="1">
      <alignment vertical="center" wrapText="1"/>
      <protection locked="0"/>
    </xf>
    <xf numFmtId="164" fontId="5" fillId="0" borderId="12" xfId="2" applyNumberFormat="1" applyFont="1" applyBorder="1" applyAlignment="1" applyProtection="1">
      <alignment horizontal="center" vertical="top" wrapText="1"/>
      <protection locked="0"/>
    </xf>
    <xf numFmtId="164" fontId="5" fillId="0" borderId="3" xfId="2" applyNumberFormat="1" applyFont="1" applyBorder="1" applyAlignment="1" applyProtection="1">
      <alignment horizontal="center" vertical="top" wrapText="1"/>
      <protection locked="0"/>
    </xf>
    <xf numFmtId="0" fontId="5" fillId="0" borderId="17" xfId="2" quotePrefix="1" applyNumberFormat="1" applyFont="1" applyBorder="1" applyAlignment="1" applyProtection="1">
      <alignment horizontal="justify" vertical="top" wrapText="1" readingOrder="1"/>
      <protection locked="0"/>
    </xf>
    <xf numFmtId="167" fontId="5" fillId="0" borderId="11" xfId="2" applyNumberFormat="1" applyFont="1" applyBorder="1" applyAlignment="1" applyProtection="1">
      <alignment horizontal="center" vertical="top" wrapText="1"/>
      <protection locked="0"/>
    </xf>
    <xf numFmtId="167" fontId="5" fillId="0" borderId="9" xfId="2" applyNumberFormat="1" applyFont="1" applyBorder="1" applyAlignment="1" applyProtection="1">
      <alignment horizontal="center" vertical="top" wrapText="1"/>
      <protection locked="0"/>
    </xf>
    <xf numFmtId="166" fontId="5" fillId="0" borderId="11" xfId="7" applyNumberFormat="1" applyFont="1" applyBorder="1" applyAlignment="1" applyProtection="1">
      <alignment horizontal="center" vertical="top" wrapText="1"/>
      <protection locked="0"/>
    </xf>
    <xf numFmtId="166" fontId="5" fillId="0" borderId="9" xfId="7" applyNumberFormat="1" applyFont="1" applyBorder="1" applyAlignment="1" applyProtection="1">
      <alignment horizontal="center" vertical="top" wrapText="1"/>
      <protection locked="0"/>
    </xf>
    <xf numFmtId="166" fontId="5" fillId="0" borderId="13" xfId="7" applyNumberFormat="1" applyFont="1" applyBorder="1" applyAlignment="1" applyProtection="1">
      <alignment horizontal="center" vertical="top" wrapText="1"/>
      <protection locked="0"/>
    </xf>
    <xf numFmtId="166" fontId="5" fillId="0" borderId="4" xfId="7" applyNumberFormat="1" applyFont="1" applyBorder="1" applyAlignment="1" applyProtection="1">
      <alignment horizontal="center" vertical="top" wrapText="1"/>
      <protection locked="0"/>
    </xf>
    <xf numFmtId="0" fontId="10" fillId="0" borderId="0" xfId="0" applyFont="1" applyAlignment="1">
      <alignment horizontal="center"/>
    </xf>
    <xf numFmtId="0" fontId="5" fillId="0" borderId="11" xfId="2" quotePrefix="1" applyNumberFormat="1" applyFont="1" applyBorder="1" applyAlignment="1" applyProtection="1">
      <alignment horizontal="justify" vertical="top" wrapText="1" readingOrder="1"/>
      <protection locked="0"/>
    </xf>
    <xf numFmtId="164" fontId="20" fillId="4" borderId="3" xfId="2" applyNumberFormat="1" applyFont="1" applyFill="1" applyBorder="1" applyAlignment="1" applyProtection="1">
      <alignment vertical="center" wrapText="1"/>
      <protection locked="0"/>
    </xf>
    <xf numFmtId="164" fontId="20" fillId="4" borderId="9" xfId="2" applyNumberFormat="1" applyFont="1" applyFill="1" applyBorder="1" applyAlignment="1" applyProtection="1">
      <alignment vertical="center" wrapText="1"/>
      <protection locked="0"/>
    </xf>
    <xf numFmtId="164" fontId="20" fillId="4" borderId="4" xfId="2" applyNumberFormat="1" applyFont="1" applyFill="1" applyBorder="1" applyAlignment="1" applyProtection="1">
      <alignment vertical="center" wrapText="1"/>
      <protection locked="0"/>
    </xf>
    <xf numFmtId="0" fontId="5" fillId="0" borderId="9" xfId="2" quotePrefix="1" applyNumberFormat="1" applyFont="1" applyBorder="1" applyAlignment="1" applyProtection="1">
      <alignment horizontal="justify" vertical="top" wrapText="1" readingOrder="1"/>
      <protection locked="0"/>
    </xf>
    <xf numFmtId="0" fontId="5" fillId="0" borderId="18" xfId="2" quotePrefix="1" applyNumberFormat="1" applyFont="1" applyBorder="1" applyAlignment="1" applyProtection="1">
      <alignment horizontal="justify" vertical="top" wrapText="1" readingOrder="1"/>
      <protection locked="0"/>
    </xf>
    <xf numFmtId="0" fontId="5" fillId="0" borderId="19" xfId="2" quotePrefix="1" applyNumberFormat="1" applyFont="1" applyBorder="1" applyAlignment="1" applyProtection="1">
      <alignment horizontal="justify" vertical="top" wrapText="1" readingOrder="1"/>
      <protection locked="0"/>
    </xf>
    <xf numFmtId="0" fontId="7" fillId="0" borderId="0" xfId="2" quotePrefix="1" applyFont="1" applyAlignment="1">
      <alignment vertical="center" wrapText="1"/>
    </xf>
    <xf numFmtId="0" fontId="17" fillId="0" borderId="0" xfId="2" applyFont="1" applyAlignment="1" applyProtection="1">
      <alignment horizontal="center" vertical="center"/>
      <protection locked="0"/>
    </xf>
    <xf numFmtId="0" fontId="23" fillId="0" borderId="0" xfId="2" applyFont="1" applyBorder="1" applyAlignment="1">
      <alignment horizontal="right" vertical="center"/>
    </xf>
    <xf numFmtId="0" fontId="23" fillId="0" borderId="0" xfId="2" applyFont="1" applyAlignment="1">
      <alignment horizontal="right" vertical="center"/>
    </xf>
  </cellXfs>
  <cellStyles count="10">
    <cellStyle name="Comma 5" xfId="7"/>
    <cellStyle name="Currency 2 2" xfId="1"/>
    <cellStyle name="Currency 2 3" xfId="3"/>
    <cellStyle name="Currency 2 4" xfId="5"/>
    <cellStyle name="Currency 2 5" xfId="8"/>
    <cellStyle name="Hyperlink" xfId="9" builtinId="8"/>
    <cellStyle name="Normal" xfId="0" builtinId="0"/>
    <cellStyle name="Normal 3" xfId="2"/>
    <cellStyle name="Normal 4" xfId="4"/>
    <cellStyle name="Normal 5" xfId="6"/>
  </cellStyles>
  <dxfs count="0"/>
  <tableStyles count="0" defaultTableStyle="TableStyleMedium9" defaultPivotStyle="PivotStyleLight16"/>
  <colors>
    <mruColors>
      <color rgb="FF000099"/>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microsoft.com/office/2007/relationships/hdphoto" Target="../media/hdphoto3.wdp"/><Relationship Id="rId13" Type="http://schemas.openxmlformats.org/officeDocument/2006/relationships/image" Target="../media/image8.jpeg"/><Relationship Id="rId18" Type="http://schemas.microsoft.com/office/2007/relationships/hdphoto" Target="../media/hdphoto8.wdp"/><Relationship Id="rId3" Type="http://schemas.microsoft.com/office/2007/relationships/hdphoto" Target="../media/hdphoto1.wdp"/><Relationship Id="rId21" Type="http://schemas.microsoft.com/office/2007/relationships/hdphoto" Target="../media/hdphoto9.wdp"/><Relationship Id="rId7" Type="http://schemas.openxmlformats.org/officeDocument/2006/relationships/image" Target="../media/image5.png"/><Relationship Id="rId12" Type="http://schemas.microsoft.com/office/2007/relationships/hdphoto" Target="../media/hdphoto5.wdp"/><Relationship Id="rId17" Type="http://schemas.openxmlformats.org/officeDocument/2006/relationships/image" Target="../media/image10.jpeg"/><Relationship Id="rId2" Type="http://schemas.openxmlformats.org/officeDocument/2006/relationships/image" Target="../media/image2.jpeg"/><Relationship Id="rId16" Type="http://schemas.microsoft.com/office/2007/relationships/hdphoto" Target="../media/hdphoto7.wdp"/><Relationship Id="rId20" Type="http://schemas.openxmlformats.org/officeDocument/2006/relationships/image" Target="../media/image12.jpeg"/><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image" Target="../media/image7.jpeg"/><Relationship Id="rId5" Type="http://schemas.microsoft.com/office/2007/relationships/hdphoto" Target="../media/hdphoto2.wdp"/><Relationship Id="rId15" Type="http://schemas.openxmlformats.org/officeDocument/2006/relationships/image" Target="../media/image9.jpeg"/><Relationship Id="rId23" Type="http://schemas.openxmlformats.org/officeDocument/2006/relationships/image" Target="../media/image14.png"/><Relationship Id="rId10" Type="http://schemas.microsoft.com/office/2007/relationships/hdphoto" Target="../media/hdphoto4.wdp"/><Relationship Id="rId19" Type="http://schemas.openxmlformats.org/officeDocument/2006/relationships/image" Target="../media/image11.jpeg"/><Relationship Id="rId4" Type="http://schemas.openxmlformats.org/officeDocument/2006/relationships/image" Target="../media/image3.png"/><Relationship Id="rId9" Type="http://schemas.openxmlformats.org/officeDocument/2006/relationships/image" Target="../media/image6.png"/><Relationship Id="rId14" Type="http://schemas.microsoft.com/office/2007/relationships/hdphoto" Target="../media/hdphoto6.wdp"/><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0</xdr:colOff>
      <xdr:row>74</xdr:row>
      <xdr:rowOff>11206</xdr:rowOff>
    </xdr:from>
    <xdr:to>
      <xdr:col>2</xdr:col>
      <xdr:colOff>1338431</xdr:colOff>
      <xdr:row>74</xdr:row>
      <xdr:rowOff>11206</xdr:rowOff>
    </xdr:to>
    <xdr:cxnSp macro="">
      <xdr:nvCxnSpPr>
        <xdr:cNvPr id="2" name="Straight Connector 1"/>
        <xdr:cNvCxnSpPr/>
      </xdr:nvCxnSpPr>
      <xdr:spPr>
        <a:xfrm>
          <a:off x="0" y="62257081"/>
          <a:ext cx="3062456" cy="0"/>
        </a:xfrm>
        <a:prstGeom prst="line">
          <a:avLst/>
        </a:prstGeom>
        <a:ln w="16764">
          <a:solidFill>
            <a:srgbClr val="00009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795618</xdr:colOff>
      <xdr:row>17</xdr:row>
      <xdr:rowOff>2476501</xdr:rowOff>
    </xdr:from>
    <xdr:to>
      <xdr:col>2</xdr:col>
      <xdr:colOff>574085</xdr:colOff>
      <xdr:row>17</xdr:row>
      <xdr:rowOff>4496564</xdr:rowOff>
    </xdr:to>
    <xdr:pic>
      <xdr:nvPicPr>
        <xdr:cNvPr id="8" name="Picture 7"/>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151" r="22829" b="5145"/>
        <a:stretch/>
      </xdr:blipFill>
      <xdr:spPr>
        <a:xfrm>
          <a:off x="1210236" y="11508442"/>
          <a:ext cx="1089555" cy="2020063"/>
        </a:xfrm>
        <a:prstGeom prst="rect">
          <a:avLst/>
        </a:prstGeom>
      </xdr:spPr>
    </xdr:pic>
    <xdr:clientData/>
  </xdr:twoCellAnchor>
  <xdr:twoCellAnchor editAs="oneCell">
    <xdr:from>
      <xdr:col>2</xdr:col>
      <xdr:colOff>1972240</xdr:colOff>
      <xdr:row>17</xdr:row>
      <xdr:rowOff>2454092</xdr:rowOff>
    </xdr:from>
    <xdr:to>
      <xdr:col>2</xdr:col>
      <xdr:colOff>3532264</xdr:colOff>
      <xdr:row>17</xdr:row>
      <xdr:rowOff>4527178</xdr:rowOff>
    </xdr:to>
    <xdr:pic>
      <xdr:nvPicPr>
        <xdr:cNvPr id="9" name="Picture 8"/>
        <xdr:cNvPicPr>
          <a:picLocks noChangeAspect="1"/>
        </xdr:cNvPicPr>
      </xdr:nvPicPr>
      <xdr:blipFill rotWithShape="1">
        <a:blip xmlns:r="http://schemas.openxmlformats.org/officeDocument/2006/relationships" r:embed="rId2">
          <a:extLst>
            <a:ext uri="{BEBA8EAE-BF5A-486C-A8C5-ECC9F3942E4B}">
              <a14:imgProps xmlns:a14="http://schemas.microsoft.com/office/drawing/2010/main">
                <a14:imgLayer r:embed="rId3">
                  <a14:imgEffect>
                    <a14:brightnessContrast bright="15000"/>
                  </a14:imgEffect>
                </a14:imgLayer>
              </a14:imgProps>
            </a:ext>
            <a:ext uri="{28A0092B-C50C-407E-A947-70E740481C1C}">
              <a14:useLocalDpi xmlns:a14="http://schemas.microsoft.com/office/drawing/2010/main" val="0"/>
            </a:ext>
          </a:extLst>
        </a:blip>
        <a:srcRect l="9804" r="5491" b="5032"/>
        <a:stretch/>
      </xdr:blipFill>
      <xdr:spPr>
        <a:xfrm>
          <a:off x="3697946" y="11620504"/>
          <a:ext cx="1560024" cy="2073086"/>
        </a:xfrm>
        <a:prstGeom prst="rect">
          <a:avLst/>
        </a:prstGeom>
      </xdr:spPr>
    </xdr:pic>
    <xdr:clientData/>
  </xdr:twoCellAnchor>
  <xdr:twoCellAnchor editAs="oneCell">
    <xdr:from>
      <xdr:col>1</xdr:col>
      <xdr:colOff>571501</xdr:colOff>
      <xdr:row>19</xdr:row>
      <xdr:rowOff>854447</xdr:rowOff>
    </xdr:from>
    <xdr:to>
      <xdr:col>2</xdr:col>
      <xdr:colOff>907677</xdr:colOff>
      <xdr:row>19</xdr:row>
      <xdr:rowOff>2089895</xdr:rowOff>
    </xdr:to>
    <xdr:pic>
      <xdr:nvPicPr>
        <xdr:cNvPr id="10" name="Picture 9"/>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15000"/>
                  </a14:imgEffect>
                </a14:imgLayer>
              </a14:imgProps>
            </a:ext>
          </a:extLst>
        </a:blip>
        <a:stretch>
          <a:fillRect/>
        </a:stretch>
      </xdr:blipFill>
      <xdr:spPr>
        <a:xfrm>
          <a:off x="986119" y="15085918"/>
          <a:ext cx="1647264" cy="1235448"/>
        </a:xfrm>
        <a:prstGeom prst="rect">
          <a:avLst/>
        </a:prstGeom>
        <a:ln>
          <a:solidFill>
            <a:schemeClr val="bg1">
              <a:lumMod val="50000"/>
            </a:schemeClr>
          </a:solidFill>
        </a:ln>
      </xdr:spPr>
    </xdr:pic>
    <xdr:clientData/>
  </xdr:twoCellAnchor>
  <xdr:twoCellAnchor editAs="oneCell">
    <xdr:from>
      <xdr:col>2</xdr:col>
      <xdr:colOff>1916216</xdr:colOff>
      <xdr:row>19</xdr:row>
      <xdr:rowOff>854448</xdr:rowOff>
    </xdr:from>
    <xdr:to>
      <xdr:col>2</xdr:col>
      <xdr:colOff>3552275</xdr:colOff>
      <xdr:row>19</xdr:row>
      <xdr:rowOff>2081493</xdr:rowOff>
    </xdr:to>
    <xdr:pic>
      <xdr:nvPicPr>
        <xdr:cNvPr id="11" name="Picture 10"/>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1922" y="15197977"/>
          <a:ext cx="1636059" cy="1227045"/>
        </a:xfrm>
        <a:prstGeom prst="rect">
          <a:avLst/>
        </a:prstGeom>
        <a:noFill/>
        <a:ln w="9525">
          <a:solidFill>
            <a:schemeClr val="bg1">
              <a:lumMod val="50000"/>
            </a:schemeClr>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481853</xdr:colOff>
      <xdr:row>17</xdr:row>
      <xdr:rowOff>4504765</xdr:rowOff>
    </xdr:from>
    <xdr:to>
      <xdr:col>2</xdr:col>
      <xdr:colOff>941295</xdr:colOff>
      <xdr:row>17</xdr:row>
      <xdr:rowOff>4773706</xdr:rowOff>
    </xdr:to>
    <xdr:sp macro="" textlink="">
      <xdr:nvSpPr>
        <xdr:cNvPr id="12" name="TextBox 11"/>
        <xdr:cNvSpPr txBox="1"/>
      </xdr:nvSpPr>
      <xdr:spPr>
        <a:xfrm>
          <a:off x="896471" y="13671177"/>
          <a:ext cx="1770530"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45MG với</a:t>
          </a:r>
          <a:r>
            <a:rPr lang="en-US" sz="1000" b="1" baseline="0">
              <a:latin typeface="Arial" panose="020B0604020202020204" pitchFamily="34" charset="0"/>
              <a:cs typeface="Arial" panose="020B0604020202020204" pitchFamily="34" charset="0"/>
            </a:rPr>
            <a:t> hiển thị dạng số</a:t>
          </a:r>
          <a:endParaRPr lang="en-US" sz="1000" b="1">
            <a:latin typeface="Arial" panose="020B0604020202020204" pitchFamily="34" charset="0"/>
            <a:cs typeface="Arial" panose="020B0604020202020204" pitchFamily="34" charset="0"/>
          </a:endParaRPr>
        </a:p>
      </xdr:txBody>
    </xdr:sp>
    <xdr:clientData/>
  </xdr:twoCellAnchor>
  <xdr:twoCellAnchor>
    <xdr:from>
      <xdr:col>2</xdr:col>
      <xdr:colOff>1311084</xdr:colOff>
      <xdr:row>17</xdr:row>
      <xdr:rowOff>4515971</xdr:rowOff>
    </xdr:from>
    <xdr:to>
      <xdr:col>2</xdr:col>
      <xdr:colOff>4090144</xdr:colOff>
      <xdr:row>17</xdr:row>
      <xdr:rowOff>4773706</xdr:rowOff>
    </xdr:to>
    <xdr:sp macro="" textlink="">
      <xdr:nvSpPr>
        <xdr:cNvPr id="13" name="TextBox 12"/>
        <xdr:cNvSpPr txBox="1"/>
      </xdr:nvSpPr>
      <xdr:spPr>
        <a:xfrm>
          <a:off x="3036790" y="13682383"/>
          <a:ext cx="2779060"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45MG với</a:t>
          </a:r>
          <a:r>
            <a:rPr lang="en-US" sz="1000" b="1" baseline="0">
              <a:latin typeface="Arial" panose="020B0604020202020204" pitchFamily="34" charset="0"/>
              <a:cs typeface="Arial" panose="020B0604020202020204" pitchFamily="34" charset="0"/>
            </a:rPr>
            <a:t> vỏ cao su và chân chóng</a:t>
          </a:r>
          <a:endParaRPr lang="en-US" sz="1000" b="1">
            <a:latin typeface="Arial" panose="020B0604020202020204" pitchFamily="34" charset="0"/>
            <a:cs typeface="Arial" panose="020B0604020202020204" pitchFamily="34" charset="0"/>
          </a:endParaRPr>
        </a:p>
      </xdr:txBody>
    </xdr:sp>
    <xdr:clientData/>
  </xdr:twoCellAnchor>
  <xdr:twoCellAnchor>
    <xdr:from>
      <xdr:col>1</xdr:col>
      <xdr:colOff>504265</xdr:colOff>
      <xdr:row>19</xdr:row>
      <xdr:rowOff>2151529</xdr:rowOff>
    </xdr:from>
    <xdr:to>
      <xdr:col>2</xdr:col>
      <xdr:colOff>963707</xdr:colOff>
      <xdr:row>19</xdr:row>
      <xdr:rowOff>2566147</xdr:rowOff>
    </xdr:to>
    <xdr:sp macro="" textlink="">
      <xdr:nvSpPr>
        <xdr:cNvPr id="14" name="TextBox 13"/>
        <xdr:cNvSpPr txBox="1"/>
      </xdr:nvSpPr>
      <xdr:spPr>
        <a:xfrm>
          <a:off x="918883" y="16495058"/>
          <a:ext cx="1770530"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45MG với</a:t>
          </a:r>
          <a:r>
            <a:rPr lang="en-US" sz="1000" b="1" baseline="0">
              <a:latin typeface="Arial" panose="020B0604020202020204" pitchFamily="34" charset="0"/>
              <a:cs typeface="Arial" panose="020B0604020202020204" pitchFamily="34" charset="0"/>
            </a:rPr>
            <a:t> hiển thị dạng sóng A-Scan</a:t>
          </a:r>
          <a:endParaRPr lang="en-US" sz="1000" b="1">
            <a:latin typeface="Arial" panose="020B0604020202020204" pitchFamily="34" charset="0"/>
            <a:cs typeface="Arial" panose="020B0604020202020204" pitchFamily="34" charset="0"/>
          </a:endParaRPr>
        </a:p>
      </xdr:txBody>
    </xdr:sp>
    <xdr:clientData/>
  </xdr:twoCellAnchor>
  <xdr:twoCellAnchor>
    <xdr:from>
      <xdr:col>2</xdr:col>
      <xdr:colOff>1837777</xdr:colOff>
      <xdr:row>19</xdr:row>
      <xdr:rowOff>2151529</xdr:rowOff>
    </xdr:from>
    <xdr:to>
      <xdr:col>2</xdr:col>
      <xdr:colOff>3608307</xdr:colOff>
      <xdr:row>19</xdr:row>
      <xdr:rowOff>2566147</xdr:rowOff>
    </xdr:to>
    <xdr:sp macro="" textlink="">
      <xdr:nvSpPr>
        <xdr:cNvPr id="15" name="TextBox 14"/>
        <xdr:cNvSpPr txBox="1"/>
      </xdr:nvSpPr>
      <xdr:spPr>
        <a:xfrm>
          <a:off x="3563483" y="16495058"/>
          <a:ext cx="1770530"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45MG với</a:t>
          </a:r>
          <a:r>
            <a:rPr lang="en-US" sz="1000" b="1" baseline="0">
              <a:latin typeface="Arial" panose="020B0604020202020204" pitchFamily="34" charset="0"/>
              <a:cs typeface="Arial" panose="020B0604020202020204" pitchFamily="34" charset="0"/>
            </a:rPr>
            <a:t> hiển thị dạng sóng RF</a:t>
          </a:r>
          <a:endParaRPr lang="en-US" sz="1000" b="1">
            <a:latin typeface="Arial" panose="020B0604020202020204" pitchFamily="34" charset="0"/>
            <a:cs typeface="Arial" panose="020B0604020202020204" pitchFamily="34" charset="0"/>
          </a:endParaRPr>
        </a:p>
      </xdr:txBody>
    </xdr:sp>
    <xdr:clientData/>
  </xdr:twoCellAnchor>
  <xdr:twoCellAnchor>
    <xdr:from>
      <xdr:col>1</xdr:col>
      <xdr:colOff>504265</xdr:colOff>
      <xdr:row>20</xdr:row>
      <xdr:rowOff>2050675</xdr:rowOff>
    </xdr:from>
    <xdr:to>
      <xdr:col>2</xdr:col>
      <xdr:colOff>963707</xdr:colOff>
      <xdr:row>20</xdr:row>
      <xdr:rowOff>2465293</xdr:rowOff>
    </xdr:to>
    <xdr:sp macro="" textlink="">
      <xdr:nvSpPr>
        <xdr:cNvPr id="18" name="TextBox 17"/>
        <xdr:cNvSpPr txBox="1"/>
      </xdr:nvSpPr>
      <xdr:spPr>
        <a:xfrm>
          <a:off x="918883" y="18993969"/>
          <a:ext cx="1770530"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Đo</a:t>
          </a:r>
          <a:r>
            <a:rPr lang="en-US" sz="1000" b="1" baseline="0">
              <a:latin typeface="Arial" panose="020B0604020202020204" pitchFamily="34" charset="0"/>
              <a:cs typeface="Arial" panose="020B0604020202020204" pitchFamily="34" charset="0"/>
            </a:rPr>
            <a:t> qua bề mặt có lớp sơn phủ mà không cần loại bỏ</a:t>
          </a:r>
          <a:endParaRPr lang="en-US" sz="1000" b="1">
            <a:latin typeface="Arial" panose="020B0604020202020204" pitchFamily="34" charset="0"/>
            <a:cs typeface="Arial" panose="020B0604020202020204" pitchFamily="34" charset="0"/>
          </a:endParaRPr>
        </a:p>
      </xdr:txBody>
    </xdr:sp>
    <xdr:clientData/>
  </xdr:twoCellAnchor>
  <xdr:twoCellAnchor>
    <xdr:from>
      <xdr:col>2</xdr:col>
      <xdr:colOff>1400743</xdr:colOff>
      <xdr:row>20</xdr:row>
      <xdr:rowOff>2050675</xdr:rowOff>
    </xdr:from>
    <xdr:to>
      <xdr:col>2</xdr:col>
      <xdr:colOff>4022907</xdr:colOff>
      <xdr:row>20</xdr:row>
      <xdr:rowOff>2465293</xdr:rowOff>
    </xdr:to>
    <xdr:sp macro="" textlink="">
      <xdr:nvSpPr>
        <xdr:cNvPr id="19" name="TextBox 18"/>
        <xdr:cNvSpPr txBox="1"/>
      </xdr:nvSpPr>
      <xdr:spPr>
        <a:xfrm>
          <a:off x="3126449" y="18993969"/>
          <a:ext cx="2622164"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Arial" panose="020B0604020202020204" pitchFamily="34" charset="0"/>
              <a:cs typeface="Arial" panose="020B0604020202020204" pitchFamily="34" charset="0"/>
            </a:rPr>
            <a:t>45MG có</a:t>
          </a:r>
          <a:r>
            <a:rPr lang="en-US" sz="1000" b="1" baseline="0">
              <a:latin typeface="Arial" panose="020B0604020202020204" pitchFamily="34" charset="0"/>
              <a:cs typeface="Arial" panose="020B0604020202020204" pitchFamily="34" charset="0"/>
            </a:rPr>
            <a:t> thể </a:t>
          </a:r>
          <a:r>
            <a:rPr lang="en-US" sz="1000" b="1">
              <a:latin typeface="Arial" panose="020B0604020202020204" pitchFamily="34" charset="0"/>
              <a:cs typeface="Arial" panose="020B0604020202020204" pitchFamily="34" charset="0"/>
            </a:rPr>
            <a:t>hiển</a:t>
          </a:r>
          <a:r>
            <a:rPr lang="en-US" sz="1000" b="1" baseline="0">
              <a:latin typeface="Arial" panose="020B0604020202020204" pitchFamily="34" charset="0"/>
              <a:cs typeface="Arial" panose="020B0604020202020204" pitchFamily="34" charset="0"/>
            </a:rPr>
            <a:t> thị cả chiều dày lớp sơn phủ và chiều dày kim loại cơ bản</a:t>
          </a:r>
          <a:endParaRPr lang="en-US" sz="1000" b="1">
            <a:latin typeface="Arial" panose="020B0604020202020204" pitchFamily="34" charset="0"/>
            <a:cs typeface="Arial" panose="020B0604020202020204" pitchFamily="34" charset="0"/>
          </a:endParaRPr>
        </a:p>
      </xdr:txBody>
    </xdr:sp>
    <xdr:clientData/>
  </xdr:twoCellAnchor>
  <xdr:twoCellAnchor editAs="oneCell">
    <xdr:from>
      <xdr:col>1</xdr:col>
      <xdr:colOff>944988</xdr:colOff>
      <xdr:row>20</xdr:row>
      <xdr:rowOff>627529</xdr:rowOff>
    </xdr:from>
    <xdr:to>
      <xdr:col>2</xdr:col>
      <xdr:colOff>403412</xdr:colOff>
      <xdr:row>20</xdr:row>
      <xdr:rowOff>2000581</xdr:rowOff>
    </xdr:to>
    <xdr:pic>
      <xdr:nvPicPr>
        <xdr:cNvPr id="20" name="Picture 19"/>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rightnessContrast bright="10000"/>
                  </a14:imgEffect>
                </a14:imgLayer>
              </a14:imgProps>
            </a:ext>
          </a:extLst>
        </a:blip>
        <a:stretch>
          <a:fillRect/>
        </a:stretch>
      </xdr:blipFill>
      <xdr:spPr>
        <a:xfrm>
          <a:off x="1359606" y="17570823"/>
          <a:ext cx="769512" cy="1373052"/>
        </a:xfrm>
        <a:prstGeom prst="rect">
          <a:avLst/>
        </a:prstGeom>
        <a:ln>
          <a:solidFill>
            <a:schemeClr val="bg1">
              <a:lumMod val="50000"/>
            </a:schemeClr>
          </a:solidFill>
        </a:ln>
      </xdr:spPr>
    </xdr:pic>
    <xdr:clientData/>
  </xdr:twoCellAnchor>
  <xdr:twoCellAnchor editAs="oneCell">
    <xdr:from>
      <xdr:col>2</xdr:col>
      <xdr:colOff>1867648</xdr:colOff>
      <xdr:row>20</xdr:row>
      <xdr:rowOff>672353</xdr:rowOff>
    </xdr:from>
    <xdr:to>
      <xdr:col>2</xdr:col>
      <xdr:colOff>3541058</xdr:colOff>
      <xdr:row>20</xdr:row>
      <xdr:rowOff>1927411</xdr:rowOff>
    </xdr:to>
    <xdr:pic>
      <xdr:nvPicPr>
        <xdr:cNvPr id="21" name="Picture 20"/>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rightnessContrast bright="15000"/>
                  </a14:imgEffect>
                </a14:imgLayer>
              </a14:imgProps>
            </a:ext>
          </a:extLst>
        </a:blip>
        <a:stretch>
          <a:fillRect/>
        </a:stretch>
      </xdr:blipFill>
      <xdr:spPr>
        <a:xfrm>
          <a:off x="3593354" y="17615647"/>
          <a:ext cx="1673410" cy="1255058"/>
        </a:xfrm>
        <a:prstGeom prst="rect">
          <a:avLst/>
        </a:prstGeom>
        <a:ln>
          <a:solidFill>
            <a:schemeClr val="bg1">
              <a:lumMod val="50000"/>
            </a:schemeClr>
          </a:solidFill>
        </a:ln>
      </xdr:spPr>
    </xdr:pic>
    <xdr:clientData/>
  </xdr:twoCellAnchor>
  <xdr:twoCellAnchor editAs="oneCell">
    <xdr:from>
      <xdr:col>1</xdr:col>
      <xdr:colOff>590215</xdr:colOff>
      <xdr:row>21</xdr:row>
      <xdr:rowOff>2969560</xdr:rowOff>
    </xdr:from>
    <xdr:to>
      <xdr:col>2</xdr:col>
      <xdr:colOff>188948</xdr:colOff>
      <xdr:row>21</xdr:row>
      <xdr:rowOff>4045323</xdr:rowOff>
    </xdr:to>
    <xdr:pic>
      <xdr:nvPicPr>
        <xdr:cNvPr id="22" name="Picture 21"/>
        <xdr:cNvPicPr>
          <a:picLocks noChangeAspect="1"/>
        </xdr:cNvPicPr>
      </xdr:nvPicPr>
      <xdr:blipFill rotWithShape="1">
        <a:blip xmlns:r="http://schemas.openxmlformats.org/officeDocument/2006/relationships" r:embed="rId11" cstate="print">
          <a:extLst>
            <a:ext uri="{BEBA8EAE-BF5A-486C-A8C5-ECC9F3942E4B}">
              <a14:imgProps xmlns:a14="http://schemas.microsoft.com/office/drawing/2010/main">
                <a14:imgLayer r:embed="rId12">
                  <a14:imgEffect>
                    <a14:brightnessContrast bright="20000"/>
                  </a14:imgEffect>
                </a14:imgLayer>
              </a14:imgProps>
            </a:ext>
            <a:ext uri="{28A0092B-C50C-407E-A947-70E740481C1C}">
              <a14:useLocalDpi xmlns:a14="http://schemas.microsoft.com/office/drawing/2010/main" val="0"/>
            </a:ext>
          </a:extLst>
        </a:blip>
        <a:srcRect l="17328" t="11554" r="25271" b="20576"/>
        <a:stretch/>
      </xdr:blipFill>
      <xdr:spPr>
        <a:xfrm>
          <a:off x="1004833" y="22512619"/>
          <a:ext cx="909821" cy="1075763"/>
        </a:xfrm>
        <a:prstGeom prst="rect">
          <a:avLst/>
        </a:prstGeom>
      </xdr:spPr>
    </xdr:pic>
    <xdr:clientData/>
  </xdr:twoCellAnchor>
  <xdr:twoCellAnchor editAs="oneCell">
    <xdr:from>
      <xdr:col>2</xdr:col>
      <xdr:colOff>930089</xdr:colOff>
      <xdr:row>21</xdr:row>
      <xdr:rowOff>3171267</xdr:rowOff>
    </xdr:from>
    <xdr:to>
      <xdr:col>2</xdr:col>
      <xdr:colOff>3462618</xdr:colOff>
      <xdr:row>21</xdr:row>
      <xdr:rowOff>4104208</xdr:rowOff>
    </xdr:to>
    <xdr:pic>
      <xdr:nvPicPr>
        <xdr:cNvPr id="23" name="Picture 22"/>
        <xdr:cNvPicPr>
          <a:picLocks noChangeAspect="1"/>
        </xdr:cNvPicPr>
      </xdr:nvPicPr>
      <xdr:blipFill rotWithShape="1">
        <a:blip xmlns:r="http://schemas.openxmlformats.org/officeDocument/2006/relationships" r:embed="rId13" cstate="print">
          <a:extLst>
            <a:ext uri="{BEBA8EAE-BF5A-486C-A8C5-ECC9F3942E4B}">
              <a14:imgProps xmlns:a14="http://schemas.microsoft.com/office/drawing/2010/main">
                <a14:imgLayer r:embed="rId14">
                  <a14:imgEffect>
                    <a14:brightnessContrast bright="10000"/>
                  </a14:imgEffect>
                </a14:imgLayer>
              </a14:imgProps>
            </a:ext>
            <a:ext uri="{28A0092B-C50C-407E-A947-70E740481C1C}">
              <a14:useLocalDpi xmlns:a14="http://schemas.microsoft.com/office/drawing/2010/main" val="0"/>
            </a:ext>
          </a:extLst>
        </a:blip>
        <a:srcRect t="31831" b="31331"/>
        <a:stretch/>
      </xdr:blipFill>
      <xdr:spPr>
        <a:xfrm>
          <a:off x="2655795" y="22714326"/>
          <a:ext cx="2532529" cy="932941"/>
        </a:xfrm>
        <a:prstGeom prst="rect">
          <a:avLst/>
        </a:prstGeom>
      </xdr:spPr>
    </xdr:pic>
    <xdr:clientData/>
  </xdr:twoCellAnchor>
  <xdr:twoCellAnchor editAs="oneCell">
    <xdr:from>
      <xdr:col>1</xdr:col>
      <xdr:colOff>717178</xdr:colOff>
      <xdr:row>22</xdr:row>
      <xdr:rowOff>3316942</xdr:rowOff>
    </xdr:from>
    <xdr:to>
      <xdr:col>2</xdr:col>
      <xdr:colOff>1042148</xdr:colOff>
      <xdr:row>22</xdr:row>
      <xdr:rowOff>4072731</xdr:rowOff>
    </xdr:to>
    <xdr:pic>
      <xdr:nvPicPr>
        <xdr:cNvPr id="26" name="Picture 25"/>
        <xdr:cNvPicPr>
          <a:picLocks noChangeAspect="1"/>
        </xdr:cNvPicPr>
      </xdr:nvPicPr>
      <xdr:blipFill rotWithShape="1">
        <a:blip xmlns:r="http://schemas.openxmlformats.org/officeDocument/2006/relationships" r:embed="rId15" cstate="print">
          <a:extLst>
            <a:ext uri="{BEBA8EAE-BF5A-486C-A8C5-ECC9F3942E4B}">
              <a14:imgProps xmlns:a14="http://schemas.microsoft.com/office/drawing/2010/main">
                <a14:imgLayer r:embed="rId16">
                  <a14:imgEffect>
                    <a14:brightnessContrast bright="5000"/>
                  </a14:imgEffect>
                </a14:imgLayer>
              </a14:imgProps>
            </a:ext>
            <a:ext uri="{28A0092B-C50C-407E-A947-70E740481C1C}">
              <a14:useLocalDpi xmlns:a14="http://schemas.microsoft.com/office/drawing/2010/main" val="0"/>
            </a:ext>
          </a:extLst>
        </a:blip>
        <a:srcRect t="32609" b="21195"/>
        <a:stretch/>
      </xdr:blipFill>
      <xdr:spPr>
        <a:xfrm>
          <a:off x="1131796" y="27185471"/>
          <a:ext cx="1636058" cy="755789"/>
        </a:xfrm>
        <a:prstGeom prst="rect">
          <a:avLst/>
        </a:prstGeom>
      </xdr:spPr>
    </xdr:pic>
    <xdr:clientData/>
  </xdr:twoCellAnchor>
  <xdr:twoCellAnchor editAs="oneCell">
    <xdr:from>
      <xdr:col>2</xdr:col>
      <xdr:colOff>1680882</xdr:colOff>
      <xdr:row>22</xdr:row>
      <xdr:rowOff>2974905</xdr:rowOff>
    </xdr:from>
    <xdr:to>
      <xdr:col>2</xdr:col>
      <xdr:colOff>3272118</xdr:colOff>
      <xdr:row>22</xdr:row>
      <xdr:rowOff>4214614</xdr:rowOff>
    </xdr:to>
    <xdr:pic>
      <xdr:nvPicPr>
        <xdr:cNvPr id="27" name="Picture 26"/>
        <xdr:cNvPicPr>
          <a:picLocks noChangeAspect="1"/>
        </xdr:cNvPicPr>
      </xdr:nvPicPr>
      <xdr:blipFill rotWithShape="1">
        <a:blip xmlns:r="http://schemas.openxmlformats.org/officeDocument/2006/relationships" r:embed="rId17">
          <a:extLst>
            <a:ext uri="{BEBA8EAE-BF5A-486C-A8C5-ECC9F3942E4B}">
              <a14:imgProps xmlns:a14="http://schemas.microsoft.com/office/drawing/2010/main">
                <a14:imgLayer r:embed="rId18">
                  <a14:imgEffect>
                    <a14:brightnessContrast bright="10000"/>
                  </a14:imgEffect>
                </a14:imgLayer>
              </a14:imgProps>
            </a:ext>
            <a:ext uri="{28A0092B-C50C-407E-A947-70E740481C1C}">
              <a14:useLocalDpi xmlns:a14="http://schemas.microsoft.com/office/drawing/2010/main" val="0"/>
            </a:ext>
          </a:extLst>
        </a:blip>
        <a:srcRect t="7320" b="14771"/>
        <a:stretch/>
      </xdr:blipFill>
      <xdr:spPr>
        <a:xfrm>
          <a:off x="3406588" y="26843434"/>
          <a:ext cx="1591236" cy="1239709"/>
        </a:xfrm>
        <a:prstGeom prst="rect">
          <a:avLst/>
        </a:prstGeom>
      </xdr:spPr>
    </xdr:pic>
    <xdr:clientData/>
  </xdr:twoCellAnchor>
  <xdr:twoCellAnchor editAs="oneCell">
    <xdr:from>
      <xdr:col>1</xdr:col>
      <xdr:colOff>1086971</xdr:colOff>
      <xdr:row>23</xdr:row>
      <xdr:rowOff>2297206</xdr:rowOff>
    </xdr:from>
    <xdr:to>
      <xdr:col>2</xdr:col>
      <xdr:colOff>3003176</xdr:colOff>
      <xdr:row>23</xdr:row>
      <xdr:rowOff>2974321</xdr:rowOff>
    </xdr:to>
    <xdr:pic>
      <xdr:nvPicPr>
        <xdr:cNvPr id="30" name="Picture 29"/>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5452" t="44598" r="3617" b="36323"/>
        <a:stretch/>
      </xdr:blipFill>
      <xdr:spPr>
        <a:xfrm>
          <a:off x="1501589" y="30211059"/>
          <a:ext cx="3227293" cy="677115"/>
        </a:xfrm>
        <a:prstGeom prst="rect">
          <a:avLst/>
        </a:prstGeom>
      </xdr:spPr>
    </xdr:pic>
    <xdr:clientData/>
  </xdr:twoCellAnchor>
  <xdr:twoCellAnchor editAs="oneCell">
    <xdr:from>
      <xdr:col>2</xdr:col>
      <xdr:colOff>156882</xdr:colOff>
      <xdr:row>24</xdr:row>
      <xdr:rowOff>2241178</xdr:rowOff>
    </xdr:from>
    <xdr:to>
      <xdr:col>2</xdr:col>
      <xdr:colOff>3126441</xdr:colOff>
      <xdr:row>24</xdr:row>
      <xdr:rowOff>3400685</xdr:rowOff>
    </xdr:to>
    <xdr:pic>
      <xdr:nvPicPr>
        <xdr:cNvPr id="32" name="Picture 31"/>
        <xdr:cNvPicPr>
          <a:picLocks noChangeAspect="1"/>
        </xdr:cNvPicPr>
      </xdr:nvPicPr>
      <xdr:blipFill rotWithShape="1">
        <a:blip xmlns:r="http://schemas.openxmlformats.org/officeDocument/2006/relationships" r:embed="rId20" cstate="print">
          <a:extLst>
            <a:ext uri="{BEBA8EAE-BF5A-486C-A8C5-ECC9F3942E4B}">
              <a14:imgProps xmlns:a14="http://schemas.microsoft.com/office/drawing/2010/main">
                <a14:imgLayer r:embed="rId21">
                  <a14:imgEffect>
                    <a14:brightnessContrast bright="5000"/>
                  </a14:imgEffect>
                </a14:imgLayer>
              </a14:imgProps>
            </a:ext>
            <a:ext uri="{28A0092B-C50C-407E-A947-70E740481C1C}">
              <a14:useLocalDpi xmlns:a14="http://schemas.microsoft.com/office/drawing/2010/main" val="0"/>
            </a:ext>
          </a:extLst>
        </a:blip>
        <a:srcRect t="35759" b="25195"/>
        <a:stretch/>
      </xdr:blipFill>
      <xdr:spPr>
        <a:xfrm>
          <a:off x="1882588" y="33236649"/>
          <a:ext cx="2969559" cy="1159507"/>
        </a:xfrm>
        <a:prstGeom prst="rect">
          <a:avLst/>
        </a:prstGeom>
      </xdr:spPr>
    </xdr:pic>
    <xdr:clientData/>
  </xdr:twoCellAnchor>
  <xdr:twoCellAnchor editAs="oneCell">
    <xdr:from>
      <xdr:col>0</xdr:col>
      <xdr:colOff>44824</xdr:colOff>
      <xdr:row>0</xdr:row>
      <xdr:rowOff>268941</xdr:rowOff>
    </xdr:from>
    <xdr:to>
      <xdr:col>2</xdr:col>
      <xdr:colOff>437030</xdr:colOff>
      <xdr:row>1</xdr:row>
      <xdr:rowOff>45203</xdr:rowOff>
    </xdr:to>
    <xdr:pic>
      <xdr:nvPicPr>
        <xdr:cNvPr id="6" name="Picture 5"/>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44824" y="268941"/>
          <a:ext cx="2117912" cy="594291"/>
        </a:xfrm>
        <a:prstGeom prst="rect">
          <a:avLst/>
        </a:prstGeom>
      </xdr:spPr>
    </xdr:pic>
    <xdr:clientData/>
  </xdr:twoCellAnchor>
  <xdr:twoCellAnchor editAs="oneCell">
    <xdr:from>
      <xdr:col>1</xdr:col>
      <xdr:colOff>0</xdr:colOff>
      <xdr:row>1</xdr:row>
      <xdr:rowOff>22414</xdr:rowOff>
    </xdr:from>
    <xdr:to>
      <xdr:col>2</xdr:col>
      <xdr:colOff>280147</xdr:colOff>
      <xdr:row>2</xdr:row>
      <xdr:rowOff>83023</xdr:rowOff>
    </xdr:to>
    <xdr:pic>
      <xdr:nvPicPr>
        <xdr:cNvPr id="7" name="Picture 6"/>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14618" y="840443"/>
          <a:ext cx="1591235" cy="2399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ur_2@pitc.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tabSelected="1" topLeftCell="A20" zoomScale="90" zoomScaleNormal="90" workbookViewId="0">
      <selection activeCell="E21" sqref="E21"/>
    </sheetView>
  </sheetViews>
  <sheetFormatPr defaultColWidth="8.85546875" defaultRowHeight="12.75" x14ac:dyDescent="0.2"/>
  <cols>
    <col min="1" max="1" width="6.140625" style="3" customWidth="1"/>
    <col min="2" max="2" width="19.7109375" style="3" customWidth="1"/>
    <col min="3" max="3" width="66.5703125" style="3" customWidth="1"/>
    <col min="4" max="4" width="14.5703125" style="3" customWidth="1"/>
    <col min="5" max="5" width="15.5703125" style="3" customWidth="1"/>
    <col min="6" max="6" width="15.42578125" style="3" customWidth="1"/>
    <col min="7" max="16384" width="8.85546875" style="3"/>
  </cols>
  <sheetData>
    <row r="1" spans="1:6" ht="64.5" customHeight="1" x14ac:dyDescent="0.4">
      <c r="B1" s="9"/>
      <c r="C1" s="56" t="s">
        <v>59</v>
      </c>
      <c r="D1" s="57"/>
      <c r="E1" s="57"/>
      <c r="F1" s="57"/>
    </row>
    <row r="2" spans="1:6" ht="14.45" customHeight="1" x14ac:dyDescent="0.2">
      <c r="A2" s="10"/>
      <c r="B2" s="10"/>
      <c r="C2" s="58" t="s">
        <v>60</v>
      </c>
      <c r="D2" s="58"/>
      <c r="E2" s="58"/>
      <c r="F2" s="58"/>
    </row>
    <row r="3" spans="1:6" ht="14.65" customHeight="1" x14ac:dyDescent="0.2">
      <c r="A3" s="10"/>
      <c r="B3" s="10"/>
      <c r="C3" s="58" t="s">
        <v>80</v>
      </c>
      <c r="D3" s="58"/>
      <c r="E3" s="58"/>
      <c r="F3" s="58"/>
    </row>
    <row r="4" spans="1:6" ht="14.45" customHeight="1" x14ac:dyDescent="0.2">
      <c r="A4" s="1"/>
      <c r="B4" s="1"/>
      <c r="C4" s="58" t="s">
        <v>61</v>
      </c>
      <c r="D4" s="58"/>
      <c r="E4" s="58"/>
      <c r="F4" s="58"/>
    </row>
    <row r="5" spans="1:6" ht="6" customHeight="1" x14ac:dyDescent="0.2">
      <c r="A5" s="30"/>
      <c r="B5" s="30"/>
      <c r="C5" s="61"/>
      <c r="D5" s="61"/>
      <c r="E5" s="61"/>
      <c r="F5" s="61"/>
    </row>
    <row r="6" spans="1:6" ht="46.5" customHeight="1" x14ac:dyDescent="0.6">
      <c r="A6" s="62" t="s">
        <v>2</v>
      </c>
      <c r="B6" s="63"/>
      <c r="C6" s="63"/>
      <c r="D6" s="63"/>
      <c r="E6" s="63"/>
      <c r="F6" s="63"/>
    </row>
    <row r="7" spans="1:6" ht="11.25" customHeight="1" thickBot="1" x14ac:dyDescent="0.65">
      <c r="A7" s="39"/>
      <c r="B7" s="39"/>
      <c r="C7" s="39"/>
      <c r="D7" s="39"/>
      <c r="E7" s="39"/>
      <c r="F7" s="39"/>
    </row>
    <row r="8" spans="1:6" ht="17.45" customHeight="1" x14ac:dyDescent="0.2">
      <c r="A8" s="64" t="s">
        <v>3</v>
      </c>
      <c r="B8" s="64"/>
      <c r="C8" s="11"/>
      <c r="D8" s="11"/>
      <c r="E8" s="12" t="s">
        <v>13</v>
      </c>
      <c r="F8" s="53">
        <v>1032017</v>
      </c>
    </row>
    <row r="9" spans="1:6" ht="17.45" customHeight="1" x14ac:dyDescent="0.2">
      <c r="A9" s="13"/>
      <c r="B9" s="13" t="s">
        <v>5</v>
      </c>
      <c r="C9" s="11" t="s">
        <v>81</v>
      </c>
      <c r="D9" s="14"/>
      <c r="E9" s="15" t="s">
        <v>14</v>
      </c>
      <c r="F9" s="16">
        <f ca="1">TODAY()</f>
        <v>42818</v>
      </c>
    </row>
    <row r="10" spans="1:6" ht="17.45" customHeight="1" thickBot="1" x14ac:dyDescent="0.25">
      <c r="A10" s="13"/>
      <c r="B10" s="13"/>
      <c r="C10" s="14" t="s">
        <v>82</v>
      </c>
      <c r="D10" s="17"/>
      <c r="E10" s="18" t="s">
        <v>15</v>
      </c>
      <c r="F10" s="19">
        <f ca="1">F9+30</f>
        <v>42848</v>
      </c>
    </row>
    <row r="11" spans="1:6" ht="17.45" customHeight="1" x14ac:dyDescent="0.2">
      <c r="A11" s="13"/>
      <c r="B11" s="13" t="s">
        <v>4</v>
      </c>
      <c r="C11" s="25" t="s">
        <v>83</v>
      </c>
      <c r="D11" s="14"/>
      <c r="E11" s="17"/>
      <c r="F11" s="20"/>
    </row>
    <row r="12" spans="1:6" ht="17.45" customHeight="1" x14ac:dyDescent="0.2">
      <c r="A12" s="40"/>
      <c r="B12" s="40"/>
      <c r="C12" s="55" t="s">
        <v>85</v>
      </c>
      <c r="D12" s="14"/>
      <c r="E12" s="17"/>
      <c r="F12" s="20"/>
    </row>
    <row r="13" spans="1:6" ht="17.25" customHeight="1" x14ac:dyDescent="0.2">
      <c r="A13" s="40"/>
      <c r="B13" s="40"/>
      <c r="C13" s="14" t="s">
        <v>84</v>
      </c>
      <c r="D13" s="14"/>
      <c r="E13" s="17"/>
      <c r="F13" s="20"/>
    </row>
    <row r="14" spans="1:6" ht="17.25" customHeight="1" x14ac:dyDescent="0.2">
      <c r="A14" s="54"/>
      <c r="B14" s="54"/>
      <c r="C14" s="14"/>
      <c r="D14" s="14"/>
      <c r="E14" s="17"/>
      <c r="F14" s="20"/>
    </row>
    <row r="15" spans="1:6" ht="74.25" customHeight="1" thickBot="1" x14ac:dyDescent="0.25">
      <c r="A15" s="65" t="s">
        <v>86</v>
      </c>
      <c r="B15" s="65"/>
      <c r="C15" s="65"/>
      <c r="D15" s="65"/>
      <c r="E15" s="65"/>
      <c r="F15" s="65"/>
    </row>
    <row r="16" spans="1:6" ht="33.75" customHeight="1" thickBot="1" x14ac:dyDescent="0.25">
      <c r="A16" s="49" t="s">
        <v>6</v>
      </c>
      <c r="B16" s="59" t="s">
        <v>26</v>
      </c>
      <c r="C16" s="60"/>
      <c r="D16" s="50" t="s">
        <v>27</v>
      </c>
      <c r="E16" s="50" t="s">
        <v>23</v>
      </c>
      <c r="F16" s="51" t="s">
        <v>24</v>
      </c>
    </row>
    <row r="17" spans="1:6" ht="303.75" customHeight="1" x14ac:dyDescent="0.2">
      <c r="A17" s="66">
        <v>1</v>
      </c>
      <c r="B17" s="68" t="s">
        <v>53</v>
      </c>
      <c r="C17" s="68"/>
      <c r="D17" s="69">
        <v>5</v>
      </c>
      <c r="E17" s="71">
        <f>39850000*1.15</f>
        <v>45827500</v>
      </c>
      <c r="F17" s="73">
        <f>E17*D17</f>
        <v>229137500</v>
      </c>
    </row>
    <row r="18" spans="1:6" ht="382.5" customHeight="1" x14ac:dyDescent="0.2">
      <c r="A18" s="67"/>
      <c r="B18" s="76" t="s">
        <v>50</v>
      </c>
      <c r="C18" s="76"/>
      <c r="D18" s="70"/>
      <c r="E18" s="72"/>
      <c r="F18" s="74"/>
    </row>
    <row r="19" spans="1:6" ht="24.75" customHeight="1" x14ac:dyDescent="0.2">
      <c r="A19" s="77" t="s">
        <v>47</v>
      </c>
      <c r="B19" s="78"/>
      <c r="C19" s="78"/>
      <c r="D19" s="78"/>
      <c r="E19" s="78"/>
      <c r="F19" s="79"/>
    </row>
    <row r="20" spans="1:6" ht="204.75" customHeight="1" x14ac:dyDescent="0.2">
      <c r="A20" s="44">
        <v>2</v>
      </c>
      <c r="B20" s="80" t="s">
        <v>48</v>
      </c>
      <c r="C20" s="80"/>
      <c r="D20" s="52">
        <v>5</v>
      </c>
      <c r="E20" s="42">
        <f>10335000*1.15</f>
        <v>11885250</v>
      </c>
      <c r="F20" s="43">
        <f t="shared" ref="F20:F26" si="0">E20*D20</f>
        <v>59426250</v>
      </c>
    </row>
    <row r="21" spans="1:6" ht="195.75" customHeight="1" x14ac:dyDescent="0.2">
      <c r="A21" s="44">
        <v>3</v>
      </c>
      <c r="B21" s="80" t="s">
        <v>49</v>
      </c>
      <c r="C21" s="80"/>
      <c r="D21" s="52">
        <v>5</v>
      </c>
      <c r="E21" s="42">
        <f>10335000*1.15</f>
        <v>11885250</v>
      </c>
      <c r="F21" s="43">
        <f t="shared" si="0"/>
        <v>59426250</v>
      </c>
    </row>
    <row r="22" spans="1:6" ht="329.25" customHeight="1" x14ac:dyDescent="0.2">
      <c r="A22" s="44">
        <v>4</v>
      </c>
      <c r="B22" s="80" t="s">
        <v>52</v>
      </c>
      <c r="C22" s="80"/>
      <c r="D22" s="41">
        <v>5</v>
      </c>
      <c r="E22" s="42">
        <f>11165000*1.15</f>
        <v>12839749.999999998</v>
      </c>
      <c r="F22" s="43">
        <f t="shared" si="0"/>
        <v>64198749.999999993</v>
      </c>
    </row>
    <row r="23" spans="1:6" ht="339" customHeight="1" x14ac:dyDescent="0.2">
      <c r="A23" s="44">
        <v>5</v>
      </c>
      <c r="B23" s="80" t="s">
        <v>51</v>
      </c>
      <c r="C23" s="80"/>
      <c r="D23" s="41">
        <v>5</v>
      </c>
      <c r="E23" s="42">
        <f>11165000*1.15</f>
        <v>12839749.999999998</v>
      </c>
      <c r="F23" s="43">
        <f t="shared" si="0"/>
        <v>64198749.999999993</v>
      </c>
    </row>
    <row r="24" spans="1:6" ht="243" customHeight="1" x14ac:dyDescent="0.2">
      <c r="A24" s="44">
        <v>6</v>
      </c>
      <c r="B24" s="80" t="s">
        <v>55</v>
      </c>
      <c r="C24" s="80"/>
      <c r="D24" s="41">
        <v>5</v>
      </c>
      <c r="E24" s="42">
        <f>4925000*1.15</f>
        <v>5663750</v>
      </c>
      <c r="F24" s="43">
        <f t="shared" si="0"/>
        <v>28318750</v>
      </c>
    </row>
    <row r="25" spans="1:6" ht="273.75" customHeight="1" x14ac:dyDescent="0.2">
      <c r="A25" s="44">
        <v>7</v>
      </c>
      <c r="B25" s="80" t="s">
        <v>54</v>
      </c>
      <c r="C25" s="80"/>
      <c r="D25" s="41">
        <v>5</v>
      </c>
      <c r="E25" s="42">
        <f>8417000*1.15</f>
        <v>9679550</v>
      </c>
      <c r="F25" s="43">
        <f t="shared" si="0"/>
        <v>48397750</v>
      </c>
    </row>
    <row r="26" spans="1:6" ht="129.75" customHeight="1" thickBot="1" x14ac:dyDescent="0.25">
      <c r="A26" s="45">
        <v>8</v>
      </c>
      <c r="B26" s="81" t="s">
        <v>56</v>
      </c>
      <c r="C26" s="82"/>
      <c r="D26" s="46">
        <v>5</v>
      </c>
      <c r="E26" s="47">
        <f>846500*1.15</f>
        <v>973474.99999999988</v>
      </c>
      <c r="F26" s="48">
        <f t="shared" si="0"/>
        <v>4867374.9999999991</v>
      </c>
    </row>
    <row r="27" spans="1:6" ht="17.25" customHeight="1" x14ac:dyDescent="0.2">
      <c r="A27" s="21"/>
      <c r="B27" s="21"/>
      <c r="D27" s="85" t="s">
        <v>8</v>
      </c>
      <c r="E27" s="85"/>
      <c r="F27" s="37">
        <f>SUM(F17:F26)</f>
        <v>557971375</v>
      </c>
    </row>
    <row r="28" spans="1:6" ht="17.25" customHeight="1" x14ac:dyDescent="0.2">
      <c r="A28" s="21"/>
      <c r="B28" s="21"/>
      <c r="D28" s="86" t="s">
        <v>9</v>
      </c>
      <c r="E28" s="86"/>
      <c r="F28" s="37">
        <f>F27*0.1</f>
        <v>55797137.5</v>
      </c>
    </row>
    <row r="29" spans="1:6" ht="17.45" customHeight="1" x14ac:dyDescent="0.2">
      <c r="A29" s="21"/>
      <c r="B29" s="21"/>
      <c r="D29" s="86" t="s">
        <v>7</v>
      </c>
      <c r="E29" s="86"/>
      <c r="F29" s="37">
        <f>SUM(F27:F28)</f>
        <v>613768512.5</v>
      </c>
    </row>
    <row r="30" spans="1:6" ht="17.45" customHeight="1" x14ac:dyDescent="0.2">
      <c r="A30" s="21"/>
      <c r="B30" s="21"/>
      <c r="D30" s="38"/>
      <c r="E30" s="38"/>
      <c r="F30" s="37"/>
    </row>
    <row r="31" spans="1:6" ht="15" customHeight="1" x14ac:dyDescent="0.2">
      <c r="A31" s="11" t="s">
        <v>29</v>
      </c>
      <c r="B31" s="22"/>
      <c r="C31" s="22"/>
      <c r="D31" s="8"/>
      <c r="E31" s="5"/>
      <c r="F31" s="6"/>
    </row>
    <row r="32" spans="1:6" ht="15" customHeight="1" x14ac:dyDescent="0.2">
      <c r="A32" s="14" t="s">
        <v>10</v>
      </c>
      <c r="B32" s="14"/>
      <c r="C32" s="14"/>
      <c r="D32" s="8"/>
      <c r="E32" s="5"/>
      <c r="F32" s="6"/>
    </row>
    <row r="33" spans="1:6" ht="15" customHeight="1" x14ac:dyDescent="0.2">
      <c r="A33" s="31" t="s">
        <v>28</v>
      </c>
      <c r="B33" s="14"/>
      <c r="C33" s="14"/>
      <c r="D33" s="8"/>
      <c r="E33" s="5"/>
      <c r="F33" s="6"/>
    </row>
    <row r="34" spans="1:6" ht="15" customHeight="1" x14ac:dyDescent="0.2">
      <c r="A34" s="14" t="s">
        <v>62</v>
      </c>
      <c r="B34" s="14"/>
      <c r="C34" s="14"/>
      <c r="D34" s="8"/>
      <c r="E34" s="5"/>
      <c r="F34" s="6"/>
    </row>
    <row r="35" spans="1:6" ht="15" customHeight="1" x14ac:dyDescent="0.2">
      <c r="A35" s="31" t="s">
        <v>63</v>
      </c>
      <c r="B35" s="14"/>
      <c r="C35" s="14"/>
      <c r="D35" s="8"/>
      <c r="E35" s="5"/>
      <c r="F35" s="6"/>
    </row>
    <row r="36" spans="1:6" ht="15" customHeight="1" x14ac:dyDescent="0.2">
      <c r="A36" s="22" t="s">
        <v>36</v>
      </c>
      <c r="B36" s="22"/>
      <c r="C36" s="22"/>
      <c r="D36" s="8"/>
      <c r="E36" s="5"/>
      <c r="F36" s="6"/>
    </row>
    <row r="37" spans="1:6" ht="15" customHeight="1" x14ac:dyDescent="0.2">
      <c r="A37" s="24" t="s">
        <v>30</v>
      </c>
      <c r="B37" s="24"/>
      <c r="C37" s="24"/>
      <c r="D37" s="7"/>
      <c r="E37" s="6"/>
      <c r="F37" s="6"/>
    </row>
    <row r="38" spans="1:6" ht="15" customHeight="1" x14ac:dyDescent="0.2">
      <c r="A38" s="14" t="s">
        <v>25</v>
      </c>
      <c r="B38" s="14"/>
      <c r="C38" s="14"/>
      <c r="D38" s="7"/>
      <c r="E38" s="6"/>
      <c r="F38" s="6"/>
    </row>
    <row r="39" spans="1:6" ht="15" customHeight="1" x14ac:dyDescent="0.2">
      <c r="A39" s="31" t="s">
        <v>31</v>
      </c>
      <c r="B39" s="14"/>
      <c r="C39" s="14"/>
      <c r="D39" s="7"/>
      <c r="E39" s="6"/>
      <c r="F39" s="6"/>
    </row>
    <row r="40" spans="1:6" ht="15" customHeight="1" x14ac:dyDescent="0.2">
      <c r="A40" s="14" t="s">
        <v>74</v>
      </c>
      <c r="B40" s="14"/>
      <c r="C40" s="14"/>
      <c r="D40" s="7"/>
      <c r="E40" s="6"/>
      <c r="F40" s="6"/>
    </row>
    <row r="41" spans="1:6" ht="15" customHeight="1" x14ac:dyDescent="0.2">
      <c r="A41" s="31" t="s">
        <v>75</v>
      </c>
      <c r="B41" s="14"/>
      <c r="C41" s="14"/>
      <c r="D41" s="7"/>
      <c r="E41" s="6"/>
      <c r="F41" s="6"/>
    </row>
    <row r="42" spans="1:6" ht="15" customHeight="1" x14ac:dyDescent="0.2">
      <c r="A42" s="24" t="s">
        <v>32</v>
      </c>
      <c r="B42" s="24"/>
      <c r="C42" s="24"/>
      <c r="D42" s="7"/>
      <c r="E42" s="6"/>
      <c r="F42" s="6"/>
    </row>
    <row r="43" spans="1:6" ht="15" customHeight="1" x14ac:dyDescent="0.2">
      <c r="A43" s="23" t="s">
        <v>73</v>
      </c>
      <c r="B43" s="14"/>
      <c r="C43" s="14"/>
      <c r="D43" s="7"/>
      <c r="E43" s="6"/>
      <c r="F43" s="6"/>
    </row>
    <row r="44" spans="1:6" ht="15" customHeight="1" x14ac:dyDescent="0.2">
      <c r="A44" s="32" t="s">
        <v>72</v>
      </c>
      <c r="B44" s="14"/>
      <c r="C44" s="14"/>
      <c r="D44" s="7"/>
      <c r="E44" s="6"/>
      <c r="F44" s="6"/>
    </row>
    <row r="45" spans="1:6" ht="15" customHeight="1" x14ac:dyDescent="0.2">
      <c r="A45" s="14" t="s">
        <v>11</v>
      </c>
      <c r="B45" s="14"/>
      <c r="C45" s="14"/>
      <c r="D45" s="7"/>
      <c r="E45" s="6"/>
      <c r="F45" s="6"/>
    </row>
    <row r="46" spans="1:6" ht="15" customHeight="1" x14ac:dyDescent="0.2">
      <c r="A46" s="31" t="s">
        <v>33</v>
      </c>
      <c r="B46" s="14"/>
      <c r="C46" s="14"/>
      <c r="D46" s="7"/>
      <c r="E46" s="6"/>
      <c r="F46" s="6"/>
    </row>
    <row r="47" spans="1:6" ht="15" customHeight="1" x14ac:dyDescent="0.2">
      <c r="A47" s="24" t="s">
        <v>34</v>
      </c>
      <c r="B47" s="24"/>
      <c r="C47" s="24"/>
      <c r="D47" s="7"/>
      <c r="E47" s="6"/>
      <c r="F47" s="6"/>
    </row>
    <row r="48" spans="1:6" ht="15" customHeight="1" x14ac:dyDescent="0.2">
      <c r="A48" s="14" t="s">
        <v>12</v>
      </c>
      <c r="B48" s="14"/>
      <c r="C48" s="14"/>
      <c r="D48" s="7"/>
      <c r="E48" s="6"/>
      <c r="F48" s="6"/>
    </row>
    <row r="49" spans="1:6" ht="15" customHeight="1" x14ac:dyDescent="0.2">
      <c r="A49" s="31" t="s">
        <v>35</v>
      </c>
      <c r="B49" s="14"/>
      <c r="C49" s="14"/>
      <c r="D49" s="7"/>
      <c r="E49" s="6"/>
      <c r="F49" s="6"/>
    </row>
    <row r="50" spans="1:6" ht="15" customHeight="1" x14ac:dyDescent="0.2">
      <c r="A50" s="14" t="s">
        <v>78</v>
      </c>
      <c r="B50" s="14"/>
      <c r="C50" s="14"/>
      <c r="D50" s="7"/>
      <c r="E50" s="6"/>
      <c r="F50" s="6"/>
    </row>
    <row r="51" spans="1:6" ht="15" customHeight="1" x14ac:dyDescent="0.2">
      <c r="A51" s="31" t="s">
        <v>79</v>
      </c>
      <c r="B51" s="14"/>
      <c r="C51" s="14"/>
      <c r="D51" s="7"/>
      <c r="E51" s="6"/>
      <c r="F51" s="6"/>
    </row>
    <row r="52" spans="1:6" ht="15" customHeight="1" x14ac:dyDescent="0.2">
      <c r="A52" s="24" t="s">
        <v>37</v>
      </c>
      <c r="B52" s="24"/>
      <c r="C52" s="24"/>
      <c r="D52" s="7"/>
      <c r="E52" s="6"/>
      <c r="F52" s="6"/>
    </row>
    <row r="53" spans="1:6" ht="15" customHeight="1" x14ac:dyDescent="0.2">
      <c r="A53" s="14" t="s">
        <v>58</v>
      </c>
      <c r="B53" s="14"/>
      <c r="C53" s="14"/>
      <c r="D53" s="7"/>
      <c r="E53" s="6"/>
      <c r="F53" s="6"/>
    </row>
    <row r="54" spans="1:6" ht="15" customHeight="1" x14ac:dyDescent="0.2">
      <c r="A54" s="32" t="s">
        <v>57</v>
      </c>
      <c r="B54" s="14"/>
      <c r="C54" s="14"/>
      <c r="D54" s="7"/>
      <c r="E54" s="6"/>
      <c r="F54" s="6"/>
    </row>
    <row r="55" spans="1:6" ht="15" customHeight="1" x14ac:dyDescent="0.2">
      <c r="A55" s="14" t="s">
        <v>77</v>
      </c>
      <c r="B55" s="14"/>
      <c r="C55" s="14"/>
      <c r="D55" s="7"/>
      <c r="E55" s="6"/>
      <c r="F55" s="6"/>
    </row>
    <row r="56" spans="1:6" ht="15" customHeight="1" x14ac:dyDescent="0.2">
      <c r="A56" s="31" t="s">
        <v>76</v>
      </c>
      <c r="B56" s="14"/>
      <c r="C56" s="14"/>
      <c r="D56" s="7"/>
      <c r="E56" s="6"/>
      <c r="F56" s="6"/>
    </row>
    <row r="57" spans="1:6" ht="15" customHeight="1" x14ac:dyDescent="0.2">
      <c r="A57" s="24" t="s">
        <v>38</v>
      </c>
      <c r="B57" s="24"/>
      <c r="C57" s="24"/>
      <c r="D57" s="7"/>
      <c r="E57" s="6"/>
      <c r="F57" s="6"/>
    </row>
    <row r="58" spans="1:6" ht="15" customHeight="1" x14ac:dyDescent="0.2">
      <c r="A58" s="14" t="s">
        <v>16</v>
      </c>
      <c r="B58" s="14"/>
      <c r="C58" s="14"/>
      <c r="D58" s="7"/>
      <c r="E58" s="6"/>
      <c r="F58" s="6"/>
    </row>
    <row r="59" spans="1:6" ht="15" customHeight="1" x14ac:dyDescent="0.2">
      <c r="A59" s="32" t="s">
        <v>39</v>
      </c>
      <c r="B59" s="14"/>
      <c r="C59" s="14"/>
      <c r="D59" s="7"/>
      <c r="E59" s="6"/>
      <c r="F59" s="6"/>
    </row>
    <row r="60" spans="1:6" ht="15" customHeight="1" x14ac:dyDescent="0.2">
      <c r="A60" s="14" t="s">
        <v>17</v>
      </c>
      <c r="B60" s="14"/>
      <c r="C60" s="14"/>
      <c r="D60" s="7"/>
      <c r="E60" s="6"/>
      <c r="F60" s="6"/>
    </row>
    <row r="61" spans="1:6" ht="15" customHeight="1" x14ac:dyDescent="0.2">
      <c r="A61" s="31" t="s">
        <v>40</v>
      </c>
      <c r="B61" s="14"/>
      <c r="C61" s="14"/>
      <c r="D61" s="7"/>
      <c r="E61" s="6"/>
      <c r="F61" s="6"/>
    </row>
    <row r="62" spans="1:6" ht="15" customHeight="1" x14ac:dyDescent="0.2">
      <c r="A62" s="13" t="s">
        <v>0</v>
      </c>
      <c r="B62" s="14" t="s">
        <v>18</v>
      </c>
      <c r="C62" s="25"/>
      <c r="D62" s="8"/>
      <c r="E62" s="5"/>
      <c r="F62" s="6"/>
    </row>
    <row r="63" spans="1:6" ht="15" customHeight="1" x14ac:dyDescent="0.2">
      <c r="A63" s="33" t="s">
        <v>0</v>
      </c>
      <c r="B63" s="31" t="s">
        <v>41</v>
      </c>
      <c r="C63" s="34"/>
      <c r="D63" s="8"/>
      <c r="E63" s="5"/>
      <c r="F63" s="6"/>
    </row>
    <row r="64" spans="1:6" ht="15" customHeight="1" x14ac:dyDescent="0.2">
      <c r="A64" s="13" t="s">
        <v>0</v>
      </c>
      <c r="B64" s="14" t="s">
        <v>19</v>
      </c>
      <c r="C64" s="25"/>
      <c r="D64" s="8"/>
      <c r="E64" s="5"/>
      <c r="F64" s="6"/>
    </row>
    <row r="65" spans="1:6" ht="15" customHeight="1" x14ac:dyDescent="0.2">
      <c r="A65" s="33" t="s">
        <v>0</v>
      </c>
      <c r="B65" s="31" t="s">
        <v>42</v>
      </c>
      <c r="C65" s="25"/>
      <c r="D65" s="8"/>
      <c r="E65" s="5"/>
      <c r="F65" s="6"/>
    </row>
    <row r="66" spans="1:6" ht="15" customHeight="1" x14ac:dyDescent="0.2">
      <c r="A66" s="26" t="s">
        <v>43</v>
      </c>
      <c r="B66" s="26"/>
      <c r="C66" s="26"/>
      <c r="D66" s="27"/>
      <c r="E66" s="2"/>
      <c r="F66" s="6"/>
    </row>
    <row r="67" spans="1:6" ht="15" customHeight="1" x14ac:dyDescent="0.2">
      <c r="A67" s="27"/>
      <c r="B67" s="28" t="s">
        <v>20</v>
      </c>
      <c r="C67" s="27" t="s">
        <v>64</v>
      </c>
      <c r="D67" s="25"/>
      <c r="E67" s="2"/>
      <c r="F67" s="6"/>
    </row>
    <row r="68" spans="1:6" ht="15" customHeight="1" x14ac:dyDescent="0.2">
      <c r="A68" s="27"/>
      <c r="B68" s="35" t="s">
        <v>44</v>
      </c>
      <c r="C68" s="36" t="s">
        <v>65</v>
      </c>
      <c r="D68" s="25"/>
      <c r="E68" s="2"/>
      <c r="F68" s="6"/>
    </row>
    <row r="69" spans="1:6" ht="15" customHeight="1" x14ac:dyDescent="0.2">
      <c r="A69" s="27"/>
      <c r="B69" s="28" t="s">
        <v>21</v>
      </c>
      <c r="C69" s="27" t="s">
        <v>66</v>
      </c>
      <c r="D69" s="25"/>
      <c r="E69" s="2"/>
      <c r="F69" s="6"/>
    </row>
    <row r="70" spans="1:6" ht="15" customHeight="1" x14ac:dyDescent="0.2">
      <c r="A70" s="27"/>
      <c r="B70" s="35" t="s">
        <v>45</v>
      </c>
      <c r="C70" s="36" t="s">
        <v>67</v>
      </c>
      <c r="D70" s="25"/>
      <c r="E70" s="2"/>
      <c r="F70" s="6"/>
    </row>
    <row r="71" spans="1:6" ht="15" customHeight="1" x14ac:dyDescent="0.2">
      <c r="A71" s="27"/>
      <c r="B71" s="28" t="s">
        <v>22</v>
      </c>
      <c r="C71" s="27" t="s">
        <v>68</v>
      </c>
      <c r="D71" s="25"/>
      <c r="E71" s="2"/>
      <c r="F71" s="6"/>
    </row>
    <row r="72" spans="1:6" ht="15" customHeight="1" x14ac:dyDescent="0.2">
      <c r="A72" s="27"/>
      <c r="B72" s="35" t="s">
        <v>46</v>
      </c>
      <c r="C72" s="36" t="s">
        <v>69</v>
      </c>
      <c r="D72" s="25"/>
      <c r="E72" s="2"/>
      <c r="F72" s="6"/>
    </row>
    <row r="73" spans="1:6" ht="64.5" customHeight="1" x14ac:dyDescent="0.2">
      <c r="A73" s="83" t="s">
        <v>70</v>
      </c>
      <c r="B73" s="83"/>
      <c r="C73" s="83"/>
      <c r="D73" s="84" t="s">
        <v>71</v>
      </c>
      <c r="E73" s="84"/>
      <c r="F73" s="84"/>
    </row>
    <row r="74" spans="1:6" ht="14.1" customHeight="1" x14ac:dyDescent="0.2">
      <c r="A74" s="5"/>
      <c r="B74" s="29"/>
      <c r="C74" s="5"/>
      <c r="D74" s="4" t="s">
        <v>1</v>
      </c>
      <c r="E74" s="5"/>
      <c r="F74" s="6"/>
    </row>
    <row r="75" spans="1:6" ht="14.1" customHeight="1" x14ac:dyDescent="0.2">
      <c r="A75" s="5"/>
      <c r="B75" s="5"/>
      <c r="C75" s="5"/>
      <c r="D75" s="4"/>
      <c r="E75" s="5"/>
      <c r="F75" s="6"/>
    </row>
    <row r="76" spans="1:6" ht="14.1" customHeight="1" x14ac:dyDescent="0.2">
      <c r="A76" s="5"/>
      <c r="B76" s="5"/>
      <c r="C76" s="5"/>
      <c r="D76" s="4"/>
      <c r="E76" s="5"/>
      <c r="F76" s="6"/>
    </row>
    <row r="77" spans="1:6" x14ac:dyDescent="0.2">
      <c r="A77" s="6"/>
      <c r="B77" s="6"/>
      <c r="C77" s="6"/>
      <c r="D77" s="6"/>
      <c r="E77" s="6"/>
      <c r="F77" s="6"/>
    </row>
    <row r="78" spans="1:6" x14ac:dyDescent="0.2">
      <c r="A78" s="6"/>
      <c r="B78" s="6"/>
      <c r="C78" s="6"/>
      <c r="D78" s="6"/>
      <c r="E78" s="6"/>
      <c r="F78" s="6"/>
    </row>
    <row r="79" spans="1:6" x14ac:dyDescent="0.2">
      <c r="D79" s="75"/>
      <c r="E79" s="75"/>
      <c r="F79" s="75"/>
    </row>
    <row r="80" spans="1:6" x14ac:dyDescent="0.2">
      <c r="D80" s="75"/>
      <c r="E80" s="75"/>
      <c r="F80" s="75"/>
    </row>
    <row r="81" spans="4:6" x14ac:dyDescent="0.2">
      <c r="D81" s="4"/>
      <c r="E81" s="29"/>
      <c r="F81" s="6"/>
    </row>
    <row r="82" spans="4:6" x14ac:dyDescent="0.2">
      <c r="D82" s="6"/>
      <c r="E82" s="6"/>
      <c r="F82" s="6"/>
    </row>
    <row r="83" spans="4:6" x14ac:dyDescent="0.2">
      <c r="D83" s="6"/>
      <c r="E83" s="6"/>
      <c r="F83" s="6"/>
    </row>
  </sheetData>
  <mergeCells count="30">
    <mergeCell ref="D79:F79"/>
    <mergeCell ref="D80:F80"/>
    <mergeCell ref="B18:C18"/>
    <mergeCell ref="A19:F19"/>
    <mergeCell ref="B20:C20"/>
    <mergeCell ref="B21:C21"/>
    <mergeCell ref="B23:C23"/>
    <mergeCell ref="B24:C24"/>
    <mergeCell ref="B25:C25"/>
    <mergeCell ref="B26:C26"/>
    <mergeCell ref="A73:C73"/>
    <mergeCell ref="D73:F73"/>
    <mergeCell ref="B22:C22"/>
    <mergeCell ref="D27:E27"/>
    <mergeCell ref="D28:E28"/>
    <mergeCell ref="D29:E29"/>
    <mergeCell ref="A17:A18"/>
    <mergeCell ref="B17:C17"/>
    <mergeCell ref="D17:D18"/>
    <mergeCell ref="E17:E18"/>
    <mergeCell ref="F17:F18"/>
    <mergeCell ref="C1:F1"/>
    <mergeCell ref="C2:F2"/>
    <mergeCell ref="C3:F3"/>
    <mergeCell ref="B16:C16"/>
    <mergeCell ref="C4:F4"/>
    <mergeCell ref="C5:F5"/>
    <mergeCell ref="A6:F6"/>
    <mergeCell ref="A8:B8"/>
    <mergeCell ref="A15:F15"/>
  </mergeCells>
  <hyperlinks>
    <hyperlink ref="C12" r:id="rId1"/>
  </hyperlinks>
  <pageMargins left="0.3" right="0.1" top="0.4" bottom="0.4" header="0.3" footer="0.15"/>
  <pageSetup paperSize="10" scale="73" orientation="portrait" r:id="rId2"/>
  <headerFooter>
    <oddFooter>&amp;C&amp;KC00000_____ QUO-2669/Rev.0  I  Page &amp;P/&amp;N _____</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Quoutation</vt:lpstr>
      <vt:lpstr>Quoutation!Print_Area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dc:creator>
  <cp:lastModifiedBy>DELL</cp:lastModifiedBy>
  <cp:lastPrinted>2017-03-23T11:31:41Z</cp:lastPrinted>
  <dcterms:created xsi:type="dcterms:W3CDTF">2013-05-21T12:18:12Z</dcterms:created>
  <dcterms:modified xsi:type="dcterms:W3CDTF">2017-03-24T10:18:33Z</dcterms:modified>
</cp:coreProperties>
</file>