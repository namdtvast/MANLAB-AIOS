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Company Job\Acecook\"/>
    </mc:Choice>
  </mc:AlternateContent>
  <bookViews>
    <workbookView xWindow="0" yWindow="0" windowWidth="20490" windowHeight="7155"/>
  </bookViews>
  <sheets>
    <sheet name="Untitled1.変換" sheetId="1" r:id="rId1"/>
  </sheets>
  <calcPr calcId="152511"/>
</workbook>
</file>

<file path=xl/calcChain.xml><?xml version="1.0" encoding="utf-8"?>
<calcChain xmlns="http://schemas.openxmlformats.org/spreadsheetml/2006/main">
  <c r="G68" i="1" l="1"/>
  <c r="I69" i="1" l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</calcChain>
</file>

<file path=xl/sharedStrings.xml><?xml version="1.0" encoding="utf-8"?>
<sst xmlns="http://schemas.openxmlformats.org/spreadsheetml/2006/main" count="9" uniqueCount="9">
  <si>
    <t>時　間</t>
  </si>
  <si>
    <t>NOX(ppm)濃度</t>
  </si>
  <si>
    <t>SOX(ppm)濃度</t>
  </si>
  <si>
    <t>O2(%)濃度</t>
  </si>
  <si>
    <t>CO(ppm）濃度</t>
  </si>
  <si>
    <t>CO2(ppm)濃度</t>
  </si>
  <si>
    <t>NOX(mg/m3)濃度</t>
  </si>
  <si>
    <t>SOX(mg/m3)濃度</t>
  </si>
  <si>
    <t>CO(mg/m3）濃度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</si>
</sst>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h:mm;@"/>
    <numFmt numFmtId="165" formatCode="0.0"/>
  </numFmts>
  <fonts count="19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b/>
      <sz val="18"/>
      <color theme="3"/>
      <name val="Cambria"/>
      <family val="2"/>
      <charset val="128"/>
      <scheme val="major"/>
    </font>
    <font>
      <b/>
      <sz val="15"/>
      <color theme="3"/>
      <name val="Calibri"/>
      <family val="2"/>
      <charset val="128"/>
      <scheme val="minor"/>
    </font>
    <font>
      <b/>
      <sz val="13"/>
      <color theme="3"/>
      <name val="Calibri"/>
      <family val="2"/>
      <charset val="128"/>
      <scheme val="minor"/>
    </font>
    <font>
      <b/>
      <sz val="11"/>
      <color theme="3"/>
      <name val="Calibri"/>
      <family val="2"/>
      <charset val="128"/>
      <scheme val="minor"/>
    </font>
    <font>
      <sz val="11"/>
      <color rgb="FF006100"/>
      <name val="Calibri"/>
      <family val="2"/>
      <charset val="128"/>
      <scheme val="minor"/>
    </font>
    <font>
      <sz val="11"/>
      <color rgb="FF9C0006"/>
      <name val="Calibri"/>
      <family val="2"/>
      <charset val="128"/>
      <scheme val="minor"/>
    </font>
    <font>
      <sz val="11"/>
      <color rgb="FF9C6500"/>
      <name val="Calibri"/>
      <family val="2"/>
      <charset val="128"/>
      <scheme val="minor"/>
    </font>
    <font>
      <sz val="11"/>
      <color rgb="FF3F3F76"/>
      <name val="Calibri"/>
      <family val="2"/>
      <charset val="128"/>
      <scheme val="minor"/>
    </font>
    <font>
      <b/>
      <sz val="11"/>
      <color rgb="FF3F3F3F"/>
      <name val="Calibri"/>
      <family val="2"/>
      <charset val="128"/>
      <scheme val="minor"/>
    </font>
    <font>
      <b/>
      <sz val="11"/>
      <color rgb="FFFA7D00"/>
      <name val="Calibri"/>
      <family val="2"/>
      <charset val="128"/>
      <scheme val="minor"/>
    </font>
    <font>
      <sz val="11"/>
      <color rgb="FFFA7D00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i/>
      <sz val="11"/>
      <color rgb="FF7F7F7F"/>
      <name val="Calibri"/>
      <family val="2"/>
      <charset val="128"/>
      <scheme val="minor"/>
    </font>
    <font>
      <b/>
      <sz val="11"/>
      <color theme="1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  <font>
      <sz val="6"/>
      <name val="Calibri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64" fontId="0" fillId="0" borderId="0" xfId="0" applyNumberFormat="1">
      <alignment vertical="center"/>
    </xf>
    <xf numFmtId="165" fontId="0" fillId="0" borderId="0" xfId="0" applyNumberForma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5"/>
  <sheetViews>
    <sheetView tabSelected="1" zoomScaleNormal="100" workbookViewId="0">
      <selection activeCell="G75" sqref="G75"/>
    </sheetView>
  </sheetViews>
  <sheetFormatPr defaultRowHeight="15"/>
  <cols>
    <col min="1" max="1" width="9" style="1"/>
    <col min="4" max="4" width="6" customWidth="1"/>
    <col min="6" max="6" width="9.5703125" customWidth="1"/>
    <col min="7" max="7" width="12.140625" customWidth="1"/>
    <col min="8" max="8" width="11.85546875" customWidth="1"/>
    <col min="9" max="9" width="8.85546875" customWidth="1"/>
  </cols>
  <sheetData>
    <row r="1" spans="1:9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>
      <c r="A2" s="1">
        <v>42919.554664351897</v>
      </c>
      <c r="B2">
        <v>0.1</v>
      </c>
      <c r="C2">
        <v>3.5</v>
      </c>
      <c r="D2">
        <v>20.92</v>
      </c>
      <c r="E2">
        <v>0.9</v>
      </c>
      <c r="F2">
        <v>0</v>
      </c>
    </row>
    <row r="3" spans="1:9" hidden="1">
      <c r="A3" s="1">
        <v>42919.5553587963</v>
      </c>
      <c r="B3">
        <v>0.1</v>
      </c>
      <c r="C3">
        <v>2</v>
      </c>
      <c r="D3">
        <v>4.32</v>
      </c>
      <c r="E3">
        <v>1</v>
      </c>
      <c r="F3">
        <v>0</v>
      </c>
    </row>
    <row r="4" spans="1:9" hidden="1">
      <c r="A4" s="1">
        <v>42919.556053240703</v>
      </c>
      <c r="B4">
        <v>0.1</v>
      </c>
      <c r="C4">
        <v>1.5</v>
      </c>
      <c r="D4">
        <v>0</v>
      </c>
      <c r="E4">
        <v>0.9</v>
      </c>
      <c r="F4">
        <v>0.01</v>
      </c>
    </row>
    <row r="5" spans="1:9" hidden="1">
      <c r="A5" s="1">
        <v>42919.556747685201</v>
      </c>
      <c r="B5">
        <v>0.1</v>
      </c>
      <c r="C5">
        <v>1.4</v>
      </c>
      <c r="D5">
        <v>0</v>
      </c>
      <c r="E5">
        <v>0.9</v>
      </c>
      <c r="F5">
        <v>0</v>
      </c>
    </row>
    <row r="6" spans="1:9" hidden="1">
      <c r="A6" s="1">
        <v>42919.557442129597</v>
      </c>
      <c r="B6">
        <v>0.1</v>
      </c>
      <c r="C6">
        <v>2</v>
      </c>
      <c r="D6">
        <v>1.23</v>
      </c>
      <c r="E6">
        <v>1</v>
      </c>
      <c r="F6">
        <v>0.01</v>
      </c>
    </row>
    <row r="7" spans="1:9" hidden="1">
      <c r="A7" s="1">
        <v>42919.558136574102</v>
      </c>
      <c r="B7">
        <v>332.9</v>
      </c>
      <c r="C7">
        <v>2.1</v>
      </c>
      <c r="D7">
        <v>4.75</v>
      </c>
      <c r="E7">
        <v>0.4</v>
      </c>
      <c r="F7">
        <v>0.01</v>
      </c>
    </row>
    <row r="8" spans="1:9" hidden="1">
      <c r="A8" s="1">
        <v>42919.558831018498</v>
      </c>
      <c r="B8">
        <v>443</v>
      </c>
      <c r="C8">
        <v>1.4</v>
      </c>
      <c r="D8">
        <v>0.03</v>
      </c>
      <c r="E8">
        <v>0.3</v>
      </c>
      <c r="F8">
        <v>0.01</v>
      </c>
    </row>
    <row r="9" spans="1:9" hidden="1">
      <c r="A9" s="1">
        <v>42919.559525463003</v>
      </c>
      <c r="B9">
        <v>442.8</v>
      </c>
      <c r="C9">
        <v>1.4</v>
      </c>
      <c r="D9">
        <v>0.03</v>
      </c>
      <c r="E9">
        <v>0.3</v>
      </c>
      <c r="F9">
        <v>0.01</v>
      </c>
    </row>
    <row r="10" spans="1:9" hidden="1">
      <c r="A10" s="1">
        <v>42919.560219907398</v>
      </c>
      <c r="B10">
        <v>443</v>
      </c>
      <c r="C10">
        <v>1.4</v>
      </c>
      <c r="D10">
        <v>0</v>
      </c>
      <c r="E10">
        <v>330.4</v>
      </c>
      <c r="F10">
        <v>0.01</v>
      </c>
    </row>
    <row r="11" spans="1:9" hidden="1">
      <c r="A11" s="1">
        <v>42919.560914351903</v>
      </c>
      <c r="B11">
        <v>443.8</v>
      </c>
      <c r="C11">
        <v>1.4</v>
      </c>
      <c r="D11">
        <v>0.01</v>
      </c>
      <c r="E11">
        <v>1021.4</v>
      </c>
      <c r="F11">
        <v>0.01</v>
      </c>
    </row>
    <row r="12" spans="1:9" hidden="1">
      <c r="A12" s="1">
        <v>42919.561608796299</v>
      </c>
      <c r="B12">
        <v>406.8</v>
      </c>
      <c r="C12">
        <v>1.8</v>
      </c>
      <c r="D12">
        <v>0.83</v>
      </c>
      <c r="E12">
        <v>944</v>
      </c>
      <c r="F12">
        <v>0.01</v>
      </c>
    </row>
    <row r="13" spans="1:9" hidden="1">
      <c r="A13" s="1">
        <v>42919.562303240702</v>
      </c>
      <c r="B13">
        <v>11.7</v>
      </c>
      <c r="C13">
        <v>417.7</v>
      </c>
      <c r="D13">
        <v>9.86</v>
      </c>
      <c r="E13">
        <v>42.6</v>
      </c>
      <c r="F13">
        <v>6.8</v>
      </c>
    </row>
    <row r="14" spans="1:9" hidden="1">
      <c r="A14" s="1">
        <v>42919.5629976852</v>
      </c>
      <c r="B14">
        <v>2.2000000000000002</v>
      </c>
      <c r="C14">
        <v>919.3</v>
      </c>
      <c r="D14">
        <v>0.05</v>
      </c>
      <c r="E14">
        <v>4</v>
      </c>
      <c r="F14">
        <v>18.52</v>
      </c>
    </row>
    <row r="15" spans="1:9" hidden="1">
      <c r="A15" s="1">
        <v>42919.563692129603</v>
      </c>
      <c r="B15">
        <v>0.7</v>
      </c>
      <c r="C15">
        <v>953.7</v>
      </c>
      <c r="D15">
        <v>0</v>
      </c>
      <c r="E15">
        <v>2.2000000000000002</v>
      </c>
      <c r="F15">
        <v>18.579999999999998</v>
      </c>
    </row>
    <row r="16" spans="1:9" hidden="1">
      <c r="A16" s="1">
        <v>42919.5643865741</v>
      </c>
      <c r="B16">
        <v>0.1</v>
      </c>
      <c r="C16">
        <v>964.3</v>
      </c>
      <c r="D16">
        <v>0</v>
      </c>
      <c r="E16">
        <v>1.2</v>
      </c>
      <c r="F16">
        <v>18.600000000000001</v>
      </c>
    </row>
    <row r="17" spans="1:6" hidden="1">
      <c r="A17" s="1">
        <v>42919.565081018503</v>
      </c>
      <c r="B17">
        <v>0.1</v>
      </c>
      <c r="C17">
        <v>964</v>
      </c>
      <c r="D17">
        <v>0</v>
      </c>
      <c r="E17">
        <v>0.6</v>
      </c>
      <c r="F17">
        <v>18.600000000000001</v>
      </c>
    </row>
    <row r="18" spans="1:6" hidden="1">
      <c r="A18" s="1">
        <v>42919.565775463001</v>
      </c>
      <c r="B18">
        <v>0.1</v>
      </c>
      <c r="C18">
        <v>650.29999999999995</v>
      </c>
      <c r="D18">
        <v>0</v>
      </c>
      <c r="E18">
        <v>1</v>
      </c>
      <c r="F18">
        <v>15.82</v>
      </c>
    </row>
    <row r="19" spans="1:6" hidden="1">
      <c r="A19" s="1">
        <v>42919.566469907397</v>
      </c>
      <c r="B19">
        <v>0.2</v>
      </c>
      <c r="C19">
        <v>35.6</v>
      </c>
      <c r="D19">
        <v>19.489999999999998</v>
      </c>
      <c r="E19">
        <v>1.4</v>
      </c>
      <c r="F19">
        <v>0.25</v>
      </c>
    </row>
    <row r="20" spans="1:6" hidden="1">
      <c r="A20" s="1">
        <v>42919.567164351902</v>
      </c>
      <c r="B20">
        <v>0.8</v>
      </c>
      <c r="C20">
        <v>76.599999999999994</v>
      </c>
      <c r="D20">
        <v>22.48</v>
      </c>
      <c r="E20">
        <v>0.6</v>
      </c>
      <c r="F20">
        <v>7.0000000000000007E-2</v>
      </c>
    </row>
    <row r="21" spans="1:6" hidden="1">
      <c r="A21" s="1">
        <v>42919.567858796298</v>
      </c>
      <c r="B21">
        <v>0.5</v>
      </c>
      <c r="C21">
        <v>21.4</v>
      </c>
      <c r="D21">
        <v>23.1</v>
      </c>
      <c r="E21">
        <v>0</v>
      </c>
      <c r="F21">
        <v>7.0000000000000007E-2</v>
      </c>
    </row>
    <row r="22" spans="1:6" hidden="1">
      <c r="A22" s="1">
        <v>42919.568553240701</v>
      </c>
      <c r="B22">
        <v>0.3</v>
      </c>
      <c r="C22">
        <v>11.5</v>
      </c>
      <c r="D22">
        <v>23.11</v>
      </c>
      <c r="E22">
        <v>0</v>
      </c>
      <c r="F22">
        <v>7.0000000000000007E-2</v>
      </c>
    </row>
    <row r="23" spans="1:6" hidden="1">
      <c r="A23" s="1">
        <v>42919.569247685198</v>
      </c>
      <c r="B23">
        <v>0.3</v>
      </c>
      <c r="C23">
        <v>8.1</v>
      </c>
      <c r="D23">
        <v>23.07</v>
      </c>
      <c r="E23">
        <v>0</v>
      </c>
      <c r="F23">
        <v>0</v>
      </c>
    </row>
    <row r="24" spans="1:6" hidden="1">
      <c r="A24" s="1">
        <v>42919.569942129601</v>
      </c>
      <c r="B24">
        <v>0.2</v>
      </c>
      <c r="C24">
        <v>7.3</v>
      </c>
      <c r="D24">
        <v>8.85</v>
      </c>
      <c r="E24">
        <v>270.39999999999998</v>
      </c>
      <c r="F24">
        <v>7.0000000000000007E-2</v>
      </c>
    </row>
    <row r="25" spans="1:6" hidden="1">
      <c r="A25" s="1">
        <v>42919.570636574099</v>
      </c>
      <c r="B25">
        <v>0.1</v>
      </c>
      <c r="C25">
        <v>4.5</v>
      </c>
      <c r="D25">
        <v>0.16</v>
      </c>
      <c r="E25">
        <v>973.9</v>
      </c>
      <c r="F25">
        <v>7.0000000000000007E-2</v>
      </c>
    </row>
    <row r="26" spans="1:6" hidden="1">
      <c r="A26" s="1">
        <v>42919.571331018502</v>
      </c>
      <c r="B26">
        <v>0.1</v>
      </c>
      <c r="C26">
        <v>3.8</v>
      </c>
      <c r="D26">
        <v>0.06</v>
      </c>
      <c r="E26">
        <v>974.1</v>
      </c>
      <c r="F26">
        <v>7.0000000000000007E-2</v>
      </c>
    </row>
    <row r="27" spans="1:6" hidden="1">
      <c r="A27" s="1">
        <v>42919.572025463</v>
      </c>
      <c r="B27">
        <v>0.1</v>
      </c>
      <c r="C27">
        <v>3.5</v>
      </c>
      <c r="D27">
        <v>0.01</v>
      </c>
      <c r="E27">
        <v>970.8</v>
      </c>
      <c r="F27">
        <v>7.0000000000000007E-2</v>
      </c>
    </row>
    <row r="28" spans="1:6" hidden="1">
      <c r="A28" s="1">
        <v>42919.572719907403</v>
      </c>
      <c r="B28">
        <v>371.4</v>
      </c>
      <c r="C28">
        <v>3.5</v>
      </c>
      <c r="D28">
        <v>0.82</v>
      </c>
      <c r="E28">
        <v>908</v>
      </c>
      <c r="F28">
        <v>0.17</v>
      </c>
    </row>
    <row r="29" spans="1:6" hidden="1">
      <c r="A29" s="1">
        <v>42919.573414351798</v>
      </c>
      <c r="B29">
        <v>442.6</v>
      </c>
      <c r="C29">
        <v>3</v>
      </c>
      <c r="D29">
        <v>0</v>
      </c>
      <c r="E29">
        <v>14.4</v>
      </c>
      <c r="F29">
        <v>17.55</v>
      </c>
    </row>
    <row r="30" spans="1:6" hidden="1">
      <c r="A30" s="1">
        <v>42919.574108796303</v>
      </c>
      <c r="B30">
        <v>444.6</v>
      </c>
      <c r="C30">
        <v>2.8</v>
      </c>
      <c r="D30">
        <v>0</v>
      </c>
      <c r="E30">
        <v>4.7</v>
      </c>
      <c r="F30">
        <v>18.68</v>
      </c>
    </row>
    <row r="31" spans="1:6" hidden="1">
      <c r="A31" s="1">
        <v>42919.574803240699</v>
      </c>
      <c r="B31">
        <v>442.8</v>
      </c>
      <c r="C31">
        <v>2.6</v>
      </c>
      <c r="D31">
        <v>0</v>
      </c>
      <c r="E31">
        <v>2.9</v>
      </c>
      <c r="F31">
        <v>18.670000000000002</v>
      </c>
    </row>
    <row r="32" spans="1:6" hidden="1">
      <c r="A32" s="1">
        <v>42919.575497685197</v>
      </c>
      <c r="B32">
        <v>320.5</v>
      </c>
      <c r="C32">
        <v>44.2</v>
      </c>
      <c r="D32">
        <v>1.1399999999999999</v>
      </c>
      <c r="E32">
        <v>1.6</v>
      </c>
      <c r="F32">
        <v>18.600000000000001</v>
      </c>
    </row>
    <row r="33" spans="1:6" hidden="1">
      <c r="A33" s="1">
        <v>42919.5761921296</v>
      </c>
      <c r="B33">
        <v>1.3</v>
      </c>
      <c r="C33">
        <v>955.5</v>
      </c>
      <c r="D33">
        <v>0.3</v>
      </c>
      <c r="E33">
        <v>4.7</v>
      </c>
      <c r="F33">
        <v>4.16</v>
      </c>
    </row>
    <row r="34" spans="1:6" hidden="1">
      <c r="A34" s="1">
        <v>42919.576886574097</v>
      </c>
      <c r="B34">
        <v>0.3</v>
      </c>
      <c r="C34">
        <v>963.1</v>
      </c>
      <c r="D34">
        <v>0.3</v>
      </c>
      <c r="E34">
        <v>1.8</v>
      </c>
      <c r="F34">
        <v>0.12</v>
      </c>
    </row>
    <row r="35" spans="1:6" hidden="1">
      <c r="A35" s="1">
        <v>42919.5775810185</v>
      </c>
      <c r="B35">
        <v>0.1</v>
      </c>
      <c r="C35">
        <v>964.3</v>
      </c>
      <c r="D35">
        <v>0.3</v>
      </c>
      <c r="E35">
        <v>1</v>
      </c>
      <c r="F35">
        <v>0.08</v>
      </c>
    </row>
    <row r="36" spans="1:6" hidden="1">
      <c r="A36" s="1">
        <v>42919.578275462998</v>
      </c>
      <c r="B36">
        <v>4.8</v>
      </c>
      <c r="C36">
        <v>356.7</v>
      </c>
      <c r="D36">
        <v>5.2</v>
      </c>
      <c r="E36">
        <v>0.5</v>
      </c>
      <c r="F36">
        <v>0.08</v>
      </c>
    </row>
    <row r="37" spans="1:6" hidden="1">
      <c r="A37" s="1">
        <v>42919.578969907401</v>
      </c>
      <c r="B37">
        <v>2.2000000000000002</v>
      </c>
      <c r="C37">
        <v>14.4</v>
      </c>
      <c r="D37">
        <v>22.95</v>
      </c>
      <c r="E37">
        <v>0.3</v>
      </c>
      <c r="F37">
        <v>0.08</v>
      </c>
    </row>
    <row r="38" spans="1:6" hidden="1">
      <c r="A38" s="1">
        <v>42919.579664351899</v>
      </c>
      <c r="B38">
        <v>1.6</v>
      </c>
      <c r="C38">
        <v>6.3</v>
      </c>
      <c r="D38">
        <v>23.06</v>
      </c>
      <c r="E38">
        <v>0.2</v>
      </c>
      <c r="F38">
        <v>0.08</v>
      </c>
    </row>
    <row r="39" spans="1:6" hidden="1">
      <c r="A39" s="1">
        <v>42919.580358796302</v>
      </c>
      <c r="B39">
        <v>1.1000000000000001</v>
      </c>
      <c r="C39">
        <v>4.8</v>
      </c>
      <c r="D39">
        <v>23.08</v>
      </c>
      <c r="E39">
        <v>0.2</v>
      </c>
      <c r="F39">
        <v>0.08</v>
      </c>
    </row>
    <row r="40" spans="1:6" hidden="1">
      <c r="A40" s="1">
        <v>42919.581053240698</v>
      </c>
      <c r="B40">
        <v>1.1000000000000001</v>
      </c>
      <c r="C40">
        <v>5.7</v>
      </c>
      <c r="D40">
        <v>22.07</v>
      </c>
      <c r="E40">
        <v>0.2</v>
      </c>
      <c r="F40">
        <v>0.08</v>
      </c>
    </row>
    <row r="41" spans="1:6" hidden="1">
      <c r="A41" s="1">
        <v>42919.581747685203</v>
      </c>
      <c r="B41">
        <v>0.5</v>
      </c>
      <c r="C41">
        <v>4.7</v>
      </c>
      <c r="D41">
        <v>20.95</v>
      </c>
      <c r="E41">
        <v>0.2</v>
      </c>
      <c r="F41">
        <v>0.08</v>
      </c>
    </row>
    <row r="42" spans="1:6" hidden="1"/>
    <row r="43" spans="1:6" hidden="1"/>
    <row r="44" spans="1:6" hidden="1"/>
    <row r="45" spans="1:6" hidden="1"/>
    <row r="46" spans="1:6" hidden="1"/>
    <row r="47" spans="1:6" hidden="1"/>
    <row r="48" spans="1:6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spans="1:9" hidden="1"/>
    <row r="66" spans="1:9" hidden="1"/>
    <row r="67" spans="1:9" hidden="1"/>
    <row r="68" spans="1:9">
      <c r="A68" s="1">
        <v>42919.6250462963</v>
      </c>
      <c r="B68">
        <v>133</v>
      </c>
      <c r="C68">
        <v>116.8</v>
      </c>
      <c r="D68">
        <v>6.58</v>
      </c>
      <c r="E68" s="2">
        <v>4466.9566666666651</v>
      </c>
      <c r="F68">
        <v>12.38</v>
      </c>
      <c r="G68" s="2">
        <f>B68*1.88</f>
        <v>250.04</v>
      </c>
      <c r="H68" s="2">
        <f>C68*2.62</f>
        <v>306.01600000000002</v>
      </c>
      <c r="I68" s="2">
        <f>E68*1.14</f>
        <v>5092.3305999999975</v>
      </c>
    </row>
    <row r="69" spans="1:9">
      <c r="A69" s="1">
        <v>42919.625740740739</v>
      </c>
      <c r="B69">
        <v>133.30000000000001</v>
      </c>
      <c r="C69">
        <v>118.1</v>
      </c>
      <c r="D69">
        <v>6.63</v>
      </c>
      <c r="E69" s="2">
        <v>4876.1133333333328</v>
      </c>
      <c r="F69">
        <v>12.34</v>
      </c>
      <c r="G69" s="2">
        <f t="shared" ref="G69:G132" si="0">B69*1.88</f>
        <v>250.60400000000001</v>
      </c>
      <c r="H69" s="2">
        <f t="shared" ref="H69:H132" si="1">C69*2.62</f>
        <v>309.42200000000003</v>
      </c>
      <c r="I69" s="2">
        <f t="shared" ref="I69:I132" si="2">E69*1.14</f>
        <v>5558.7691999999988</v>
      </c>
    </row>
    <row r="70" spans="1:9">
      <c r="A70" s="1">
        <v>42919.626435185186</v>
      </c>
      <c r="B70">
        <v>133.9</v>
      </c>
      <c r="C70">
        <v>118.9</v>
      </c>
      <c r="D70">
        <v>6.7</v>
      </c>
      <c r="E70" s="2">
        <v>4864.708333333333</v>
      </c>
      <c r="F70">
        <v>12.3</v>
      </c>
      <c r="G70" s="2">
        <f t="shared" si="0"/>
        <v>251.732</v>
      </c>
      <c r="H70" s="2">
        <f t="shared" si="1"/>
        <v>311.51800000000003</v>
      </c>
      <c r="I70" s="2">
        <f t="shared" si="2"/>
        <v>5545.767499999999</v>
      </c>
    </row>
    <row r="71" spans="1:9">
      <c r="A71" s="1">
        <v>42919.627129629633</v>
      </c>
      <c r="B71">
        <v>134.9</v>
      </c>
      <c r="C71">
        <v>125.7</v>
      </c>
      <c r="D71">
        <v>6.69</v>
      </c>
      <c r="E71" s="2">
        <v>4829.5299999999979</v>
      </c>
      <c r="F71">
        <v>12.3</v>
      </c>
      <c r="G71" s="2">
        <f t="shared" si="0"/>
        <v>253.61199999999999</v>
      </c>
      <c r="H71" s="2">
        <f t="shared" si="1"/>
        <v>329.334</v>
      </c>
      <c r="I71" s="2">
        <f t="shared" si="2"/>
        <v>5505.6641999999974</v>
      </c>
    </row>
    <row r="72" spans="1:9">
      <c r="A72" s="1">
        <v>42919.627824074072</v>
      </c>
      <c r="B72">
        <v>135.4</v>
      </c>
      <c r="C72">
        <v>125.6</v>
      </c>
      <c r="D72">
        <v>6.78</v>
      </c>
      <c r="E72" s="2">
        <v>4867.663333333333</v>
      </c>
      <c r="F72">
        <v>12.23</v>
      </c>
      <c r="G72" s="2">
        <f t="shared" si="0"/>
        <v>254.55199999999999</v>
      </c>
      <c r="H72" s="2">
        <f t="shared" si="1"/>
        <v>329.072</v>
      </c>
      <c r="I72" s="2">
        <f t="shared" si="2"/>
        <v>5549.136199999999</v>
      </c>
    </row>
    <row r="73" spans="1:9">
      <c r="A73" s="1">
        <v>42919.628518518519</v>
      </c>
      <c r="B73">
        <v>135.9</v>
      </c>
      <c r="C73">
        <v>133.19999999999999</v>
      </c>
      <c r="D73">
        <v>6.65</v>
      </c>
      <c r="E73" s="2">
        <v>4652.8</v>
      </c>
      <c r="F73">
        <v>12.38</v>
      </c>
      <c r="G73" s="2">
        <f t="shared" si="0"/>
        <v>255.49199999999999</v>
      </c>
      <c r="H73" s="2">
        <f t="shared" si="1"/>
        <v>348.98399999999998</v>
      </c>
      <c r="I73" s="2">
        <f t="shared" si="2"/>
        <v>5304.192</v>
      </c>
    </row>
    <row r="74" spans="1:9">
      <c r="A74" s="1">
        <v>42919.629212963002</v>
      </c>
      <c r="B74">
        <v>135.9</v>
      </c>
      <c r="C74">
        <v>132.9</v>
      </c>
      <c r="D74">
        <v>6.55</v>
      </c>
      <c r="E74">
        <v>4635.2</v>
      </c>
      <c r="F74">
        <v>12.4</v>
      </c>
      <c r="G74" s="2">
        <f t="shared" si="0"/>
        <v>255.49199999999999</v>
      </c>
      <c r="H74" s="2">
        <f t="shared" si="1"/>
        <v>348.19800000000004</v>
      </c>
      <c r="I74" s="2">
        <f t="shared" si="2"/>
        <v>5284.1279999999997</v>
      </c>
    </row>
    <row r="75" spans="1:9">
      <c r="A75" s="1">
        <v>42919.629907407398</v>
      </c>
      <c r="B75">
        <v>135.6</v>
      </c>
      <c r="C75">
        <v>125.7</v>
      </c>
      <c r="D75">
        <v>6.54</v>
      </c>
      <c r="E75">
        <v>4622.2</v>
      </c>
      <c r="F75">
        <v>12.4</v>
      </c>
      <c r="G75" s="2">
        <f t="shared" si="0"/>
        <v>254.92799999999997</v>
      </c>
      <c r="H75" s="2">
        <f t="shared" si="1"/>
        <v>329.334</v>
      </c>
      <c r="I75" s="2">
        <f t="shared" si="2"/>
        <v>5269.3079999999991</v>
      </c>
    </row>
    <row r="76" spans="1:9">
      <c r="A76" s="1">
        <v>42919.630601851903</v>
      </c>
      <c r="B76">
        <v>134.69999999999999</v>
      </c>
      <c r="C76">
        <v>123.2</v>
      </c>
      <c r="D76">
        <v>6.58</v>
      </c>
      <c r="E76">
        <v>4623.1000000000004</v>
      </c>
      <c r="F76">
        <v>12.38</v>
      </c>
      <c r="G76" s="2">
        <f t="shared" si="0"/>
        <v>253.23599999999996</v>
      </c>
      <c r="H76" s="2">
        <f t="shared" si="1"/>
        <v>322.78400000000005</v>
      </c>
      <c r="I76" s="2">
        <f t="shared" si="2"/>
        <v>5270.3339999999998</v>
      </c>
    </row>
    <row r="77" spans="1:9">
      <c r="A77" s="1">
        <v>42919.631296296298</v>
      </c>
      <c r="B77">
        <v>133</v>
      </c>
      <c r="C77">
        <v>118.1</v>
      </c>
      <c r="D77">
        <v>6.63</v>
      </c>
      <c r="E77" s="2">
        <v>4613.6916666666648</v>
      </c>
      <c r="F77">
        <v>12.34</v>
      </c>
      <c r="G77" s="2">
        <f t="shared" si="0"/>
        <v>250.04</v>
      </c>
      <c r="H77" s="2">
        <f t="shared" si="1"/>
        <v>309.42200000000003</v>
      </c>
      <c r="I77" s="2">
        <f t="shared" si="2"/>
        <v>5259.6084999999975</v>
      </c>
    </row>
    <row r="78" spans="1:9">
      <c r="A78" s="1">
        <v>42919.631990740701</v>
      </c>
      <c r="B78">
        <v>130.30000000000001</v>
      </c>
      <c r="C78">
        <v>110.9</v>
      </c>
      <c r="D78">
        <v>6.7</v>
      </c>
      <c r="E78" s="2">
        <v>4674.1616666666678</v>
      </c>
      <c r="F78">
        <v>12.3</v>
      </c>
      <c r="G78" s="2">
        <f t="shared" si="0"/>
        <v>244.964</v>
      </c>
      <c r="H78" s="2">
        <f t="shared" si="1"/>
        <v>290.55800000000005</v>
      </c>
      <c r="I78" s="2">
        <f t="shared" si="2"/>
        <v>5328.5443000000005</v>
      </c>
    </row>
    <row r="79" spans="1:9">
      <c r="A79" s="1">
        <v>42919.632685185199</v>
      </c>
      <c r="B79">
        <v>127.5</v>
      </c>
      <c r="C79">
        <v>111</v>
      </c>
      <c r="D79">
        <v>6.69</v>
      </c>
      <c r="E79" s="2">
        <v>4520.9366666666656</v>
      </c>
      <c r="F79">
        <v>12.3</v>
      </c>
      <c r="G79" s="2">
        <f t="shared" si="0"/>
        <v>239.7</v>
      </c>
      <c r="H79" s="2">
        <f t="shared" si="1"/>
        <v>290.82</v>
      </c>
      <c r="I79" s="2">
        <f t="shared" si="2"/>
        <v>5153.8677999999982</v>
      </c>
    </row>
    <row r="80" spans="1:9">
      <c r="A80" s="1">
        <v>42919.633379629602</v>
      </c>
      <c r="B80">
        <v>123.8</v>
      </c>
      <c r="C80">
        <v>106</v>
      </c>
      <c r="D80">
        <v>6.78</v>
      </c>
      <c r="E80" s="2">
        <v>2668.1600000000008</v>
      </c>
      <c r="F80">
        <v>12.23</v>
      </c>
      <c r="G80" s="2">
        <f t="shared" si="0"/>
        <v>232.74399999999997</v>
      </c>
      <c r="H80" s="2">
        <f t="shared" si="1"/>
        <v>277.72000000000003</v>
      </c>
      <c r="I80" s="2">
        <f t="shared" si="2"/>
        <v>3041.7024000000006</v>
      </c>
    </row>
    <row r="81" spans="1:9">
      <c r="A81" s="1">
        <v>42919.6340740741</v>
      </c>
      <c r="B81">
        <v>122.2</v>
      </c>
      <c r="C81">
        <v>93.1</v>
      </c>
      <c r="D81">
        <v>6.96</v>
      </c>
      <c r="E81" s="2">
        <v>1702.845</v>
      </c>
      <c r="F81">
        <v>12.13</v>
      </c>
      <c r="G81" s="2">
        <f t="shared" si="0"/>
        <v>229.73599999999999</v>
      </c>
      <c r="H81" s="2">
        <f t="shared" si="1"/>
        <v>243.922</v>
      </c>
      <c r="I81" s="2">
        <f t="shared" si="2"/>
        <v>1941.2432999999999</v>
      </c>
    </row>
    <row r="82" spans="1:9">
      <c r="A82" s="1">
        <v>42919.634768518503</v>
      </c>
      <c r="B82">
        <v>118.2</v>
      </c>
      <c r="C82">
        <v>68.8</v>
      </c>
      <c r="D82">
        <v>7.5</v>
      </c>
      <c r="E82" s="2">
        <v>3494.1633333333325</v>
      </c>
      <c r="F82">
        <v>11.86</v>
      </c>
      <c r="G82" s="2">
        <f t="shared" si="0"/>
        <v>222.21599999999998</v>
      </c>
      <c r="H82" s="2">
        <f t="shared" si="1"/>
        <v>180.256</v>
      </c>
      <c r="I82" s="2">
        <f t="shared" si="2"/>
        <v>3983.3461999999986</v>
      </c>
    </row>
    <row r="83" spans="1:9">
      <c r="A83" s="1">
        <v>42919.635462963</v>
      </c>
      <c r="B83">
        <v>111.6</v>
      </c>
      <c r="C83">
        <v>63</v>
      </c>
      <c r="D83">
        <v>8.0399999999999991</v>
      </c>
      <c r="E83" s="2">
        <v>3723.6383333333333</v>
      </c>
      <c r="F83">
        <v>11.6</v>
      </c>
      <c r="G83" s="2">
        <f t="shared" si="0"/>
        <v>209.80799999999996</v>
      </c>
      <c r="H83" s="2">
        <f t="shared" si="1"/>
        <v>165.06</v>
      </c>
      <c r="I83" s="2">
        <f t="shared" si="2"/>
        <v>4244.9476999999997</v>
      </c>
    </row>
    <row r="84" spans="1:9">
      <c r="A84" s="1">
        <v>42919.636157407404</v>
      </c>
      <c r="B84">
        <v>107.5</v>
      </c>
      <c r="C84">
        <v>54.5</v>
      </c>
      <c r="D84">
        <v>8.56</v>
      </c>
      <c r="E84" s="2">
        <v>3474.99</v>
      </c>
      <c r="F84">
        <v>11.32</v>
      </c>
      <c r="G84" s="2">
        <f t="shared" si="0"/>
        <v>202.1</v>
      </c>
      <c r="H84" s="2">
        <f t="shared" si="1"/>
        <v>142.79</v>
      </c>
      <c r="I84" s="2">
        <f t="shared" si="2"/>
        <v>3961.4885999999992</v>
      </c>
    </row>
    <row r="85" spans="1:9">
      <c r="A85" s="1">
        <v>42919.636851851901</v>
      </c>
      <c r="B85">
        <v>105.1</v>
      </c>
      <c r="C85">
        <v>45.9</v>
      </c>
      <c r="D85">
        <v>9.11</v>
      </c>
      <c r="E85" s="2">
        <v>3192.9700000000012</v>
      </c>
      <c r="F85">
        <v>10.94</v>
      </c>
      <c r="G85" s="2">
        <f t="shared" si="0"/>
        <v>197.58799999999997</v>
      </c>
      <c r="H85" s="2">
        <f t="shared" si="1"/>
        <v>120.258</v>
      </c>
      <c r="I85" s="2">
        <f t="shared" si="2"/>
        <v>3639.9858000000008</v>
      </c>
    </row>
    <row r="86" spans="1:9">
      <c r="A86" s="1">
        <v>42919.637546296297</v>
      </c>
      <c r="B86">
        <v>102.3</v>
      </c>
      <c r="C86">
        <v>39.299999999999997</v>
      </c>
      <c r="D86">
        <v>9.6999999999999993</v>
      </c>
      <c r="E86" s="2">
        <v>2754.9266666666672</v>
      </c>
      <c r="F86">
        <v>10.47</v>
      </c>
      <c r="G86" s="2">
        <f t="shared" si="0"/>
        <v>192.32399999999998</v>
      </c>
      <c r="H86" s="2">
        <f t="shared" si="1"/>
        <v>102.96599999999999</v>
      </c>
      <c r="I86" s="2">
        <f t="shared" si="2"/>
        <v>3140.6164000000003</v>
      </c>
    </row>
    <row r="87" spans="1:9">
      <c r="A87" s="1">
        <v>42919.6382407407</v>
      </c>
      <c r="B87">
        <v>98.6</v>
      </c>
      <c r="C87">
        <v>33.700000000000003</v>
      </c>
      <c r="D87">
        <v>10.35</v>
      </c>
      <c r="E87">
        <v>2253.5</v>
      </c>
      <c r="F87">
        <v>9.93</v>
      </c>
      <c r="G87" s="2">
        <f t="shared" si="0"/>
        <v>185.36799999999997</v>
      </c>
      <c r="H87" s="2">
        <f t="shared" si="1"/>
        <v>88.294000000000011</v>
      </c>
      <c r="I87" s="2">
        <f t="shared" si="2"/>
        <v>2568.9899999999998</v>
      </c>
    </row>
    <row r="88" spans="1:9">
      <c r="A88" s="1">
        <v>42919.638935185198</v>
      </c>
      <c r="B88">
        <v>94.6</v>
      </c>
      <c r="C88">
        <v>29.7</v>
      </c>
      <c r="D88">
        <v>10.87</v>
      </c>
      <c r="E88">
        <v>1877.2</v>
      </c>
      <c r="F88">
        <v>9.5</v>
      </c>
      <c r="G88" s="2">
        <f t="shared" si="0"/>
        <v>177.84799999999998</v>
      </c>
      <c r="H88" s="2">
        <f t="shared" si="1"/>
        <v>77.814000000000007</v>
      </c>
      <c r="I88" s="2">
        <f t="shared" si="2"/>
        <v>2140.0079999999998</v>
      </c>
    </row>
    <row r="89" spans="1:9">
      <c r="A89" s="1">
        <v>42919.639629629601</v>
      </c>
      <c r="B89">
        <v>91.7</v>
      </c>
      <c r="C89">
        <v>27.6</v>
      </c>
      <c r="D89">
        <v>11.23</v>
      </c>
      <c r="E89">
        <v>687</v>
      </c>
      <c r="F89">
        <v>9.18</v>
      </c>
      <c r="G89" s="2">
        <f t="shared" si="0"/>
        <v>172.39599999999999</v>
      </c>
      <c r="H89" s="2">
        <f t="shared" si="1"/>
        <v>72.312000000000012</v>
      </c>
      <c r="I89" s="2">
        <f t="shared" si="2"/>
        <v>783.18</v>
      </c>
    </row>
    <row r="90" spans="1:9">
      <c r="A90" s="1">
        <v>42919.640324074098</v>
      </c>
      <c r="B90">
        <v>88</v>
      </c>
      <c r="C90">
        <v>25.8</v>
      </c>
      <c r="D90">
        <v>11.61</v>
      </c>
      <c r="E90">
        <v>419.5</v>
      </c>
      <c r="F90">
        <v>8.82</v>
      </c>
      <c r="G90" s="2">
        <f t="shared" si="0"/>
        <v>165.44</v>
      </c>
      <c r="H90" s="2">
        <f t="shared" si="1"/>
        <v>67.596000000000004</v>
      </c>
      <c r="I90" s="2">
        <f t="shared" si="2"/>
        <v>478.22999999999996</v>
      </c>
    </row>
    <row r="91" spans="1:9">
      <c r="A91" s="1">
        <v>42919.641018518501</v>
      </c>
      <c r="B91">
        <v>83.7</v>
      </c>
      <c r="C91">
        <v>24.7</v>
      </c>
      <c r="D91">
        <v>11.98</v>
      </c>
      <c r="E91">
        <v>268.2</v>
      </c>
      <c r="F91">
        <v>8.48</v>
      </c>
      <c r="G91" s="2">
        <f t="shared" si="0"/>
        <v>157.35599999999999</v>
      </c>
      <c r="H91" s="2">
        <f t="shared" si="1"/>
        <v>64.713999999999999</v>
      </c>
      <c r="I91" s="2">
        <f t="shared" si="2"/>
        <v>305.74799999999993</v>
      </c>
    </row>
    <row r="92" spans="1:9">
      <c r="A92" s="1">
        <v>42919.641712962999</v>
      </c>
      <c r="B92">
        <v>80.5</v>
      </c>
      <c r="C92">
        <v>24</v>
      </c>
      <c r="D92">
        <v>12.25</v>
      </c>
      <c r="E92">
        <v>194.6</v>
      </c>
      <c r="F92">
        <v>8.2200000000000006</v>
      </c>
      <c r="G92" s="2">
        <f t="shared" si="0"/>
        <v>151.34</v>
      </c>
      <c r="H92" s="2">
        <f t="shared" si="1"/>
        <v>62.88</v>
      </c>
      <c r="I92" s="2">
        <f t="shared" si="2"/>
        <v>221.84399999999997</v>
      </c>
    </row>
    <row r="93" spans="1:9">
      <c r="A93" s="1">
        <v>42919.642407407402</v>
      </c>
      <c r="B93">
        <v>76.8</v>
      </c>
      <c r="C93">
        <v>23.3</v>
      </c>
      <c r="D93">
        <v>13.15</v>
      </c>
      <c r="E93">
        <v>112.6</v>
      </c>
      <c r="F93">
        <v>7.32</v>
      </c>
      <c r="G93" s="2">
        <f t="shared" si="0"/>
        <v>144.38399999999999</v>
      </c>
      <c r="H93" s="2">
        <f t="shared" si="1"/>
        <v>61.046000000000006</v>
      </c>
      <c r="I93" s="2">
        <f t="shared" si="2"/>
        <v>128.36399999999998</v>
      </c>
    </row>
    <row r="94" spans="1:9">
      <c r="A94" s="1">
        <v>42919.643101851798</v>
      </c>
      <c r="B94">
        <v>79.400000000000006</v>
      </c>
      <c r="C94">
        <v>22</v>
      </c>
      <c r="D94">
        <v>13.86</v>
      </c>
      <c r="E94">
        <v>79.400000000000006</v>
      </c>
      <c r="F94">
        <v>6.7</v>
      </c>
      <c r="G94" s="2">
        <f t="shared" si="0"/>
        <v>149.27199999999999</v>
      </c>
      <c r="H94" s="2">
        <f t="shared" si="1"/>
        <v>57.64</v>
      </c>
      <c r="I94" s="2">
        <f t="shared" si="2"/>
        <v>90.516000000000005</v>
      </c>
    </row>
    <row r="95" spans="1:9">
      <c r="A95" s="1">
        <v>42919.643796296303</v>
      </c>
      <c r="B95">
        <v>85.8</v>
      </c>
      <c r="C95">
        <v>21</v>
      </c>
      <c r="D95">
        <v>14.03</v>
      </c>
      <c r="E95">
        <v>72.599999999999994</v>
      </c>
      <c r="F95">
        <v>6.55</v>
      </c>
      <c r="G95" s="2">
        <f t="shared" si="0"/>
        <v>161.30399999999997</v>
      </c>
      <c r="H95" s="2">
        <f t="shared" si="1"/>
        <v>55.02</v>
      </c>
      <c r="I95" s="2">
        <f t="shared" si="2"/>
        <v>82.763999999999982</v>
      </c>
    </row>
    <row r="96" spans="1:9">
      <c r="A96" s="1">
        <v>42919.644490740699</v>
      </c>
      <c r="B96">
        <v>91.4</v>
      </c>
      <c r="C96">
        <v>20.8</v>
      </c>
      <c r="D96">
        <v>14.01</v>
      </c>
      <c r="E96">
        <v>64.5</v>
      </c>
      <c r="F96">
        <v>6.57</v>
      </c>
      <c r="G96" s="2">
        <f t="shared" si="0"/>
        <v>171.83199999999999</v>
      </c>
      <c r="H96" s="2">
        <f t="shared" si="1"/>
        <v>54.496000000000002</v>
      </c>
      <c r="I96" s="2">
        <f t="shared" si="2"/>
        <v>73.529999999999987</v>
      </c>
    </row>
    <row r="97" spans="1:9">
      <c r="A97" s="1">
        <v>42919.645185185203</v>
      </c>
      <c r="B97">
        <v>95</v>
      </c>
      <c r="C97">
        <v>21</v>
      </c>
      <c r="D97">
        <v>13.85</v>
      </c>
      <c r="E97">
        <v>59.7</v>
      </c>
      <c r="F97">
        <v>6.74</v>
      </c>
      <c r="G97" s="2">
        <f t="shared" si="0"/>
        <v>178.6</v>
      </c>
      <c r="H97" s="2">
        <f t="shared" si="1"/>
        <v>55.02</v>
      </c>
      <c r="I97" s="2">
        <f t="shared" si="2"/>
        <v>68.057999999999993</v>
      </c>
    </row>
    <row r="98" spans="1:9">
      <c r="A98" s="1">
        <v>42919.645879629599</v>
      </c>
      <c r="B98">
        <v>97.7</v>
      </c>
      <c r="C98">
        <v>21.5</v>
      </c>
      <c r="D98">
        <v>13.58</v>
      </c>
      <c r="E98">
        <v>53.3</v>
      </c>
      <c r="F98">
        <v>7</v>
      </c>
      <c r="G98" s="2">
        <f t="shared" si="0"/>
        <v>183.67599999999999</v>
      </c>
      <c r="H98" s="2">
        <f t="shared" si="1"/>
        <v>56.330000000000005</v>
      </c>
      <c r="I98" s="2">
        <f t="shared" si="2"/>
        <v>60.761999999999993</v>
      </c>
    </row>
    <row r="99" spans="1:9">
      <c r="A99" s="1">
        <v>42919.646574074097</v>
      </c>
      <c r="B99">
        <v>99.6</v>
      </c>
      <c r="C99">
        <v>22.4</v>
      </c>
      <c r="D99">
        <v>13.22</v>
      </c>
      <c r="E99">
        <v>46</v>
      </c>
      <c r="F99">
        <v>7.32</v>
      </c>
      <c r="G99" s="2">
        <f t="shared" si="0"/>
        <v>187.24799999999999</v>
      </c>
      <c r="H99" s="2">
        <f t="shared" si="1"/>
        <v>58.687999999999995</v>
      </c>
      <c r="I99" s="2">
        <f t="shared" si="2"/>
        <v>52.44</v>
      </c>
    </row>
    <row r="100" spans="1:9">
      <c r="A100" s="1">
        <v>42919.6472685185</v>
      </c>
      <c r="B100">
        <v>102.7</v>
      </c>
      <c r="C100">
        <v>22.9</v>
      </c>
      <c r="D100">
        <v>12.83</v>
      </c>
      <c r="E100">
        <v>41.7</v>
      </c>
      <c r="F100">
        <v>7.71</v>
      </c>
      <c r="G100" s="2">
        <f t="shared" si="0"/>
        <v>193.07599999999999</v>
      </c>
      <c r="H100" s="2">
        <f t="shared" si="1"/>
        <v>59.997999999999998</v>
      </c>
      <c r="I100" s="2">
        <f t="shared" si="2"/>
        <v>47.537999999999997</v>
      </c>
    </row>
    <row r="101" spans="1:9">
      <c r="A101" s="1">
        <v>42919.647962962998</v>
      </c>
      <c r="B101">
        <v>107.6</v>
      </c>
      <c r="C101">
        <v>23.5</v>
      </c>
      <c r="D101">
        <v>12.4</v>
      </c>
      <c r="E101">
        <v>39.5</v>
      </c>
      <c r="F101">
        <v>8.11</v>
      </c>
      <c r="G101" s="2">
        <f t="shared" si="0"/>
        <v>202.28799999999998</v>
      </c>
      <c r="H101" s="2">
        <f t="shared" si="1"/>
        <v>61.57</v>
      </c>
      <c r="I101" s="2">
        <f t="shared" si="2"/>
        <v>45.029999999999994</v>
      </c>
    </row>
    <row r="102" spans="1:9">
      <c r="A102" s="1">
        <v>42919.648657407401</v>
      </c>
      <c r="B102">
        <v>113</v>
      </c>
      <c r="C102">
        <v>24.2</v>
      </c>
      <c r="D102">
        <v>11.95</v>
      </c>
      <c r="E102">
        <v>39</v>
      </c>
      <c r="F102">
        <v>8.5399999999999991</v>
      </c>
      <c r="G102" s="2">
        <f t="shared" si="0"/>
        <v>212.44</v>
      </c>
      <c r="H102" s="2">
        <f t="shared" si="1"/>
        <v>63.404000000000003</v>
      </c>
      <c r="I102" s="2">
        <f t="shared" si="2"/>
        <v>44.459999999999994</v>
      </c>
    </row>
    <row r="103" spans="1:9">
      <c r="A103" s="1">
        <v>42919.649351851898</v>
      </c>
      <c r="B103">
        <v>117.4</v>
      </c>
      <c r="C103">
        <v>25</v>
      </c>
      <c r="D103">
        <v>11.52</v>
      </c>
      <c r="E103">
        <v>40.6</v>
      </c>
      <c r="F103">
        <v>8.93</v>
      </c>
      <c r="G103" s="2">
        <f t="shared" si="0"/>
        <v>220.71199999999999</v>
      </c>
      <c r="H103" s="2">
        <f t="shared" si="1"/>
        <v>65.5</v>
      </c>
      <c r="I103" s="2">
        <f t="shared" si="2"/>
        <v>46.283999999999999</v>
      </c>
    </row>
    <row r="104" spans="1:9">
      <c r="A104" s="1">
        <v>42919.650046296301</v>
      </c>
      <c r="B104">
        <v>120.6</v>
      </c>
      <c r="C104">
        <v>25.4</v>
      </c>
      <c r="D104">
        <v>11.23</v>
      </c>
      <c r="E104">
        <v>51.7</v>
      </c>
      <c r="F104">
        <v>9.2200000000000006</v>
      </c>
      <c r="G104" s="2">
        <f t="shared" si="0"/>
        <v>226.72799999999998</v>
      </c>
      <c r="H104" s="2">
        <f t="shared" si="1"/>
        <v>66.548000000000002</v>
      </c>
      <c r="I104" s="2">
        <f t="shared" si="2"/>
        <v>58.937999999999995</v>
      </c>
    </row>
    <row r="105" spans="1:9">
      <c r="A105" s="1">
        <v>42919.650740740697</v>
      </c>
      <c r="B105">
        <v>124.2</v>
      </c>
      <c r="C105">
        <v>26</v>
      </c>
      <c r="D105">
        <v>10.85</v>
      </c>
      <c r="E105">
        <v>67.900000000000006</v>
      </c>
      <c r="F105">
        <v>9.58</v>
      </c>
      <c r="G105" s="2">
        <f t="shared" si="0"/>
        <v>233.49599999999998</v>
      </c>
      <c r="H105" s="2">
        <f t="shared" si="1"/>
        <v>68.12</v>
      </c>
      <c r="I105" s="2">
        <f t="shared" si="2"/>
        <v>77.406000000000006</v>
      </c>
    </row>
    <row r="106" spans="1:9">
      <c r="A106" s="1">
        <v>42919.651435185202</v>
      </c>
      <c r="B106">
        <v>127.1</v>
      </c>
      <c r="C106">
        <v>26.5</v>
      </c>
      <c r="D106">
        <v>10.55</v>
      </c>
      <c r="E106">
        <v>101.9</v>
      </c>
      <c r="F106">
        <v>9.85</v>
      </c>
      <c r="G106" s="2">
        <f t="shared" si="0"/>
        <v>238.94799999999998</v>
      </c>
      <c r="H106" s="2">
        <f t="shared" si="1"/>
        <v>69.430000000000007</v>
      </c>
      <c r="I106" s="2">
        <f t="shared" si="2"/>
        <v>116.166</v>
      </c>
    </row>
    <row r="107" spans="1:9">
      <c r="A107" s="1">
        <v>42919.652129629598</v>
      </c>
      <c r="B107">
        <v>129.4</v>
      </c>
      <c r="C107">
        <v>26.5</v>
      </c>
      <c r="D107">
        <v>10.37</v>
      </c>
      <c r="E107">
        <v>128.4</v>
      </c>
      <c r="F107">
        <v>10.029999999999999</v>
      </c>
      <c r="G107" s="2">
        <f t="shared" si="0"/>
        <v>243.27199999999999</v>
      </c>
      <c r="H107" s="2">
        <f t="shared" si="1"/>
        <v>69.430000000000007</v>
      </c>
      <c r="I107" s="2">
        <f t="shared" si="2"/>
        <v>146.376</v>
      </c>
    </row>
    <row r="108" spans="1:9">
      <c r="A108" s="1">
        <v>42919.652824074103</v>
      </c>
      <c r="B108">
        <v>132.6</v>
      </c>
      <c r="C108">
        <v>26.7</v>
      </c>
      <c r="D108">
        <v>10.11</v>
      </c>
      <c r="E108">
        <v>204.7</v>
      </c>
      <c r="F108">
        <v>10.29</v>
      </c>
      <c r="G108" s="2">
        <f t="shared" si="0"/>
        <v>249.28799999999998</v>
      </c>
      <c r="H108" s="2">
        <f t="shared" si="1"/>
        <v>69.954000000000008</v>
      </c>
      <c r="I108" s="2">
        <f t="shared" si="2"/>
        <v>233.35799999999998</v>
      </c>
    </row>
    <row r="109" spans="1:9">
      <c r="A109" s="1">
        <v>42919.653518518498</v>
      </c>
      <c r="B109">
        <v>134.9</v>
      </c>
      <c r="C109">
        <v>27.5</v>
      </c>
      <c r="D109">
        <v>9.85</v>
      </c>
      <c r="E109">
        <v>313.89999999999998</v>
      </c>
      <c r="F109">
        <v>10.49</v>
      </c>
      <c r="G109" s="2">
        <f t="shared" si="0"/>
        <v>253.61199999999999</v>
      </c>
      <c r="H109" s="2">
        <f t="shared" si="1"/>
        <v>72.05</v>
      </c>
      <c r="I109" s="2">
        <f t="shared" si="2"/>
        <v>357.84599999999995</v>
      </c>
    </row>
    <row r="110" spans="1:9">
      <c r="A110" s="1">
        <v>42919.654212963003</v>
      </c>
      <c r="B110">
        <v>137.6</v>
      </c>
      <c r="C110">
        <v>27.6</v>
      </c>
      <c r="D110">
        <v>9.7200000000000006</v>
      </c>
      <c r="E110">
        <v>303.3</v>
      </c>
      <c r="F110">
        <v>10.64</v>
      </c>
      <c r="G110" s="2">
        <f t="shared" si="0"/>
        <v>258.68799999999999</v>
      </c>
      <c r="H110" s="2">
        <f t="shared" si="1"/>
        <v>72.312000000000012</v>
      </c>
      <c r="I110" s="2">
        <f t="shared" si="2"/>
        <v>345.762</v>
      </c>
    </row>
    <row r="111" spans="1:9">
      <c r="A111" s="1">
        <v>42919.654907407399</v>
      </c>
      <c r="B111">
        <v>140.4</v>
      </c>
      <c r="C111">
        <v>28.4</v>
      </c>
      <c r="D111">
        <v>9.48</v>
      </c>
      <c r="E111">
        <v>483.1</v>
      </c>
      <c r="F111">
        <v>10.88</v>
      </c>
      <c r="G111" s="2">
        <f t="shared" si="0"/>
        <v>263.952</v>
      </c>
      <c r="H111" s="2">
        <f t="shared" si="1"/>
        <v>74.408000000000001</v>
      </c>
      <c r="I111" s="2">
        <f t="shared" si="2"/>
        <v>550.73399999999992</v>
      </c>
    </row>
    <row r="112" spans="1:9">
      <c r="A112" s="1">
        <v>42919.655601851897</v>
      </c>
      <c r="B112">
        <v>143.4</v>
      </c>
      <c r="C112">
        <v>29.7</v>
      </c>
      <c r="D112">
        <v>9.31</v>
      </c>
      <c r="E112">
        <v>586.5</v>
      </c>
      <c r="F112">
        <v>11</v>
      </c>
      <c r="G112" s="2">
        <f t="shared" si="0"/>
        <v>269.59199999999998</v>
      </c>
      <c r="H112" s="2">
        <f t="shared" si="1"/>
        <v>77.814000000000007</v>
      </c>
      <c r="I112" s="2">
        <f t="shared" si="2"/>
        <v>668.6099999999999</v>
      </c>
    </row>
    <row r="113" spans="1:9">
      <c r="A113" s="1">
        <v>0.65625</v>
      </c>
      <c r="B113">
        <v>141.9</v>
      </c>
      <c r="C113">
        <v>31.7</v>
      </c>
      <c r="D113">
        <v>9.2899999999999991</v>
      </c>
      <c r="E113">
        <v>733.2</v>
      </c>
      <c r="F113">
        <v>11.08</v>
      </c>
      <c r="G113" s="2">
        <f t="shared" si="0"/>
        <v>266.77199999999999</v>
      </c>
      <c r="H113" s="2">
        <f t="shared" si="1"/>
        <v>83.054000000000002</v>
      </c>
      <c r="I113" s="2">
        <f t="shared" si="2"/>
        <v>835.84799999999996</v>
      </c>
    </row>
    <row r="114" spans="1:9">
      <c r="A114" s="1">
        <v>0.65694444444444444</v>
      </c>
      <c r="B114">
        <v>144.19999999999999</v>
      </c>
      <c r="C114">
        <v>36.5</v>
      </c>
      <c r="D114">
        <v>9.09</v>
      </c>
      <c r="E114">
        <v>883.6</v>
      </c>
      <c r="F114">
        <v>11.26</v>
      </c>
      <c r="G114" s="2">
        <f t="shared" si="0"/>
        <v>271.09599999999995</v>
      </c>
      <c r="H114" s="2">
        <f t="shared" si="1"/>
        <v>95.63000000000001</v>
      </c>
      <c r="I114" s="2">
        <f t="shared" si="2"/>
        <v>1007.304</v>
      </c>
    </row>
    <row r="115" spans="1:9">
      <c r="A115" s="1">
        <v>0.65763888888888888</v>
      </c>
      <c r="B115">
        <v>146.69999999999999</v>
      </c>
      <c r="C115">
        <v>39.299999999999997</v>
      </c>
      <c r="D115">
        <v>8.9</v>
      </c>
      <c r="E115">
        <v>978.7</v>
      </c>
      <c r="F115">
        <v>11.45</v>
      </c>
      <c r="G115" s="2">
        <f t="shared" si="0"/>
        <v>275.79599999999994</v>
      </c>
      <c r="H115" s="2">
        <f t="shared" si="1"/>
        <v>102.96599999999999</v>
      </c>
      <c r="I115" s="2">
        <f t="shared" si="2"/>
        <v>1115.7179999999998</v>
      </c>
    </row>
    <row r="116" spans="1:9">
      <c r="A116" s="1">
        <v>0.65833333333333333</v>
      </c>
      <c r="B116">
        <v>148.69999999999999</v>
      </c>
      <c r="C116">
        <v>41</v>
      </c>
      <c r="D116">
        <v>8.8000000000000007</v>
      </c>
      <c r="E116">
        <v>1209.5</v>
      </c>
      <c r="F116">
        <v>11.52</v>
      </c>
      <c r="G116" s="2">
        <f t="shared" si="0"/>
        <v>279.55599999999998</v>
      </c>
      <c r="H116" s="2">
        <f t="shared" si="1"/>
        <v>107.42</v>
      </c>
      <c r="I116" s="2">
        <f t="shared" si="2"/>
        <v>1378.83</v>
      </c>
    </row>
    <row r="117" spans="1:9">
      <c r="A117" s="1">
        <v>0.65902777777777777</v>
      </c>
      <c r="B117">
        <v>131.80000000000001</v>
      </c>
      <c r="C117">
        <v>42.2</v>
      </c>
      <c r="D117">
        <v>8.6300000000000008</v>
      </c>
      <c r="E117">
        <v>1486.5</v>
      </c>
      <c r="F117">
        <v>11.69</v>
      </c>
      <c r="G117" s="2">
        <f t="shared" si="0"/>
        <v>247.78400000000002</v>
      </c>
      <c r="H117" s="2">
        <f t="shared" si="1"/>
        <v>110.56400000000001</v>
      </c>
      <c r="I117" s="2">
        <f t="shared" si="2"/>
        <v>1694.61</v>
      </c>
    </row>
    <row r="118" spans="1:9">
      <c r="A118" s="1">
        <v>0.65972222222222221</v>
      </c>
      <c r="B118">
        <v>128.5</v>
      </c>
      <c r="C118">
        <v>42.7</v>
      </c>
      <c r="D118">
        <v>8.43</v>
      </c>
      <c r="E118">
        <v>1813</v>
      </c>
      <c r="F118">
        <v>11.86</v>
      </c>
      <c r="G118" s="2">
        <f t="shared" si="0"/>
        <v>241.57999999999998</v>
      </c>
      <c r="H118" s="2">
        <f t="shared" si="1"/>
        <v>111.87400000000001</v>
      </c>
      <c r="I118" s="2">
        <f t="shared" si="2"/>
        <v>2066.8199999999997</v>
      </c>
    </row>
    <row r="119" spans="1:9">
      <c r="A119" s="1">
        <v>0.66041666666666665</v>
      </c>
      <c r="B119">
        <v>126.2</v>
      </c>
      <c r="C119">
        <v>42.8</v>
      </c>
      <c r="D119">
        <v>8.25</v>
      </c>
      <c r="E119">
        <v>1583.3</v>
      </c>
      <c r="F119">
        <v>12.05</v>
      </c>
      <c r="G119" s="2">
        <f t="shared" si="0"/>
        <v>237.256</v>
      </c>
      <c r="H119" s="2">
        <f t="shared" si="1"/>
        <v>112.136</v>
      </c>
      <c r="I119" s="2">
        <f t="shared" si="2"/>
        <v>1804.9619999999998</v>
      </c>
    </row>
    <row r="120" spans="1:9">
      <c r="A120" s="1">
        <v>0.66111111111111109</v>
      </c>
      <c r="B120">
        <v>123.6</v>
      </c>
      <c r="C120">
        <v>42.8</v>
      </c>
      <c r="D120">
        <v>8.06</v>
      </c>
      <c r="E120">
        <v>1702</v>
      </c>
      <c r="F120">
        <v>11.08</v>
      </c>
      <c r="G120" s="2">
        <f t="shared" si="0"/>
        <v>232.36799999999997</v>
      </c>
      <c r="H120" s="2">
        <f t="shared" si="1"/>
        <v>112.136</v>
      </c>
      <c r="I120" s="2">
        <f t="shared" si="2"/>
        <v>1940.2799999999997</v>
      </c>
    </row>
    <row r="121" spans="1:9">
      <c r="A121" s="1">
        <v>0.66180555555555554</v>
      </c>
      <c r="B121">
        <v>121.4</v>
      </c>
      <c r="C121">
        <v>43</v>
      </c>
      <c r="D121">
        <v>8.2799999999999994</v>
      </c>
      <c r="E121">
        <v>1877.4</v>
      </c>
      <c r="F121">
        <v>11.26</v>
      </c>
      <c r="G121" s="2">
        <f t="shared" si="0"/>
        <v>228.232</v>
      </c>
      <c r="H121" s="2">
        <f t="shared" si="1"/>
        <v>112.66000000000001</v>
      </c>
      <c r="I121" s="2">
        <f t="shared" si="2"/>
        <v>2140.2359999999999</v>
      </c>
    </row>
    <row r="122" spans="1:9">
      <c r="A122" s="1">
        <v>0.66249999999999998</v>
      </c>
      <c r="B122">
        <v>119.5</v>
      </c>
      <c r="C122">
        <v>50.1</v>
      </c>
      <c r="D122">
        <v>8.5299999999999994</v>
      </c>
      <c r="E122">
        <v>2063.1999999999998</v>
      </c>
      <c r="F122">
        <v>11.45</v>
      </c>
      <c r="G122" s="2">
        <f t="shared" si="0"/>
        <v>224.66</v>
      </c>
      <c r="H122" s="2">
        <f t="shared" si="1"/>
        <v>131.262</v>
      </c>
      <c r="I122" s="2">
        <f t="shared" si="2"/>
        <v>2352.0479999999998</v>
      </c>
    </row>
    <row r="123" spans="1:9">
      <c r="A123" s="1">
        <v>0.66319444444444442</v>
      </c>
      <c r="B123">
        <v>100.2</v>
      </c>
      <c r="C123">
        <v>52.9</v>
      </c>
      <c r="D123">
        <v>8.76</v>
      </c>
      <c r="E123">
        <v>2038.2</v>
      </c>
      <c r="F123">
        <v>11.52</v>
      </c>
      <c r="G123" s="2">
        <f t="shared" si="0"/>
        <v>188.376</v>
      </c>
      <c r="H123" s="2">
        <f t="shared" si="1"/>
        <v>138.59800000000001</v>
      </c>
      <c r="I123" s="2">
        <f t="shared" si="2"/>
        <v>2323.5479999999998</v>
      </c>
    </row>
    <row r="124" spans="1:9">
      <c r="A124" s="1">
        <v>0.66388888888888886</v>
      </c>
      <c r="B124">
        <v>103.6</v>
      </c>
      <c r="C124">
        <v>54.2</v>
      </c>
      <c r="D124">
        <v>8.9700000000000006</v>
      </c>
      <c r="E124">
        <v>2155.5</v>
      </c>
      <c r="F124">
        <v>11.69</v>
      </c>
      <c r="G124" s="2">
        <f t="shared" si="0"/>
        <v>194.76799999999997</v>
      </c>
      <c r="H124" s="2">
        <f t="shared" si="1"/>
        <v>142.00400000000002</v>
      </c>
      <c r="I124" s="2">
        <f t="shared" si="2"/>
        <v>2457.27</v>
      </c>
    </row>
    <row r="125" spans="1:9">
      <c r="A125" s="1">
        <v>0.6645833333333333</v>
      </c>
      <c r="B125">
        <v>104.9</v>
      </c>
      <c r="C125">
        <v>53.7</v>
      </c>
      <c r="D125">
        <v>8.9700000000000006</v>
      </c>
      <c r="E125" s="2">
        <v>3028.0483333333323</v>
      </c>
      <c r="F125">
        <v>11.86</v>
      </c>
      <c r="G125" s="2">
        <f t="shared" si="0"/>
        <v>197.21199999999999</v>
      </c>
      <c r="H125" s="2">
        <f t="shared" si="1"/>
        <v>140.69400000000002</v>
      </c>
      <c r="I125" s="2">
        <f t="shared" si="2"/>
        <v>3451.9750999999983</v>
      </c>
    </row>
    <row r="126" spans="1:9">
      <c r="A126" s="1">
        <v>0.66527777777777775</v>
      </c>
      <c r="B126">
        <v>100</v>
      </c>
      <c r="C126">
        <v>52.5</v>
      </c>
      <c r="D126">
        <v>8.89</v>
      </c>
      <c r="E126" s="2">
        <v>3570.813333333334</v>
      </c>
      <c r="F126">
        <v>11.24</v>
      </c>
      <c r="G126" s="2">
        <f t="shared" si="0"/>
        <v>188</v>
      </c>
      <c r="H126" s="2">
        <f t="shared" si="1"/>
        <v>137.55000000000001</v>
      </c>
      <c r="I126" s="2">
        <f t="shared" si="2"/>
        <v>4070.7272000000003</v>
      </c>
    </row>
    <row r="127" spans="1:9">
      <c r="A127" s="1">
        <v>0.66597222222222219</v>
      </c>
      <c r="B127">
        <v>102.9</v>
      </c>
      <c r="C127">
        <v>51.2</v>
      </c>
      <c r="D127">
        <v>8.7200000000000006</v>
      </c>
      <c r="E127" s="2">
        <v>3800.1516666666671</v>
      </c>
      <c r="F127">
        <v>11.39</v>
      </c>
      <c r="G127" s="2">
        <f t="shared" si="0"/>
        <v>193.452</v>
      </c>
      <c r="H127" s="2">
        <f t="shared" si="1"/>
        <v>134.14400000000001</v>
      </c>
      <c r="I127" s="2">
        <f t="shared" si="2"/>
        <v>4332.1729000000005</v>
      </c>
    </row>
    <row r="128" spans="1:9">
      <c r="A128" s="1">
        <v>0.66666666666666663</v>
      </c>
      <c r="B128">
        <v>106.7</v>
      </c>
      <c r="C128">
        <v>49.4</v>
      </c>
      <c r="D128">
        <v>8.51</v>
      </c>
      <c r="E128" s="2">
        <v>4000.836666666667</v>
      </c>
      <c r="F128">
        <v>11.48</v>
      </c>
      <c r="G128" s="2">
        <f t="shared" si="0"/>
        <v>200.596</v>
      </c>
      <c r="H128" s="2">
        <f t="shared" si="1"/>
        <v>129.428</v>
      </c>
      <c r="I128" s="2">
        <f t="shared" si="2"/>
        <v>4560.9538000000002</v>
      </c>
    </row>
    <row r="129" spans="1:9">
      <c r="A129" s="1">
        <v>0.66736111111111107</v>
      </c>
      <c r="B129">
        <v>107.9</v>
      </c>
      <c r="C129">
        <v>46.7</v>
      </c>
      <c r="D129">
        <v>8.56</v>
      </c>
      <c r="E129" s="2">
        <v>4153.7000000000007</v>
      </c>
      <c r="F129">
        <v>11.62</v>
      </c>
      <c r="G129" s="2">
        <f t="shared" si="0"/>
        <v>202.852</v>
      </c>
      <c r="H129" s="2">
        <f t="shared" si="1"/>
        <v>122.35400000000001</v>
      </c>
      <c r="I129" s="2">
        <f t="shared" si="2"/>
        <v>4735.2180000000008</v>
      </c>
    </row>
    <row r="130" spans="1:9">
      <c r="A130" s="1">
        <v>0.66805555555555562</v>
      </c>
      <c r="B130">
        <v>109.4</v>
      </c>
      <c r="C130">
        <v>45</v>
      </c>
      <c r="D130">
        <v>8.76</v>
      </c>
      <c r="E130" s="2">
        <v>4250.204999999999</v>
      </c>
      <c r="F130">
        <v>11.81</v>
      </c>
      <c r="G130" s="2">
        <f t="shared" si="0"/>
        <v>205.672</v>
      </c>
      <c r="H130" s="2">
        <f t="shared" si="1"/>
        <v>117.9</v>
      </c>
      <c r="I130" s="2">
        <f t="shared" si="2"/>
        <v>4845.2336999999989</v>
      </c>
    </row>
    <row r="131" spans="1:9">
      <c r="A131" s="1">
        <v>0.66875000000000007</v>
      </c>
      <c r="B131">
        <v>108.9</v>
      </c>
      <c r="C131">
        <v>43.5</v>
      </c>
      <c r="D131">
        <v>8.9700000000000006</v>
      </c>
      <c r="E131" s="2">
        <v>4574.3233333333346</v>
      </c>
      <c r="F131">
        <v>11.8</v>
      </c>
      <c r="G131" s="2">
        <f t="shared" si="0"/>
        <v>204.732</v>
      </c>
      <c r="H131" s="2">
        <f t="shared" si="1"/>
        <v>113.97</v>
      </c>
      <c r="I131" s="2">
        <f t="shared" si="2"/>
        <v>5214.7286000000013</v>
      </c>
    </row>
    <row r="132" spans="1:9">
      <c r="A132" s="1">
        <v>42919.669930555603</v>
      </c>
      <c r="B132">
        <v>108.8</v>
      </c>
      <c r="C132">
        <v>42.7</v>
      </c>
      <c r="D132">
        <v>8.8800000000000008</v>
      </c>
      <c r="E132" s="2">
        <v>4028.8016666666667</v>
      </c>
      <c r="F132">
        <v>11.22</v>
      </c>
      <c r="G132" s="2">
        <f t="shared" si="0"/>
        <v>204.54399999999998</v>
      </c>
      <c r="H132" s="2">
        <f t="shared" si="1"/>
        <v>111.87400000000001</v>
      </c>
      <c r="I132" s="2">
        <f t="shared" si="2"/>
        <v>4592.8338999999996</v>
      </c>
    </row>
    <row r="133" spans="1:9">
      <c r="A133" s="1">
        <v>42919.670624999999</v>
      </c>
      <c r="B133">
        <v>107.3</v>
      </c>
      <c r="C133">
        <v>39.200000000000003</v>
      </c>
      <c r="D133">
        <v>9.11</v>
      </c>
      <c r="E133" s="2">
        <v>3624.6099999999997</v>
      </c>
      <c r="F133">
        <v>11.05</v>
      </c>
      <c r="G133" s="2">
        <f t="shared" ref="G133:G196" si="3">B133*1.88</f>
        <v>201.72399999999999</v>
      </c>
      <c r="H133" s="2">
        <f t="shared" ref="H133:H196" si="4">C133*2.62</f>
        <v>102.70400000000001</v>
      </c>
      <c r="I133" s="2">
        <f t="shared" ref="I133:I196" si="5">E133*1.14</f>
        <v>4132.0553999999993</v>
      </c>
    </row>
    <row r="134" spans="1:9">
      <c r="A134" s="1">
        <v>42919.671319444402</v>
      </c>
      <c r="B134">
        <v>105.4</v>
      </c>
      <c r="C134">
        <v>36.299999999999997</v>
      </c>
      <c r="D134">
        <v>9.3699999999999992</v>
      </c>
      <c r="E134" s="2">
        <v>3197.2533333333322</v>
      </c>
      <c r="F134">
        <v>10.82</v>
      </c>
      <c r="G134" s="2">
        <f t="shared" si="3"/>
        <v>198.15199999999999</v>
      </c>
      <c r="H134" s="2">
        <f t="shared" si="4"/>
        <v>95.105999999999995</v>
      </c>
      <c r="I134" s="2">
        <f t="shared" si="5"/>
        <v>3644.8687999999984</v>
      </c>
    </row>
    <row r="135" spans="1:9">
      <c r="A135" s="1">
        <v>42919.6720138889</v>
      </c>
      <c r="B135">
        <v>103.2</v>
      </c>
      <c r="C135">
        <v>34.6</v>
      </c>
      <c r="D135">
        <v>9.6199999999999992</v>
      </c>
      <c r="E135" s="2">
        <v>2780.5949999999998</v>
      </c>
      <c r="F135">
        <v>10.61</v>
      </c>
      <c r="G135" s="2">
        <f t="shared" si="3"/>
        <v>194.01599999999999</v>
      </c>
      <c r="H135" s="2">
        <f t="shared" si="4"/>
        <v>90.652000000000001</v>
      </c>
      <c r="I135" s="2">
        <f t="shared" si="5"/>
        <v>3169.8782999999994</v>
      </c>
    </row>
    <row r="136" spans="1:9">
      <c r="A136" s="1">
        <v>42919.672708333303</v>
      </c>
      <c r="B136">
        <v>100.1</v>
      </c>
      <c r="C136">
        <v>34.799999999999997</v>
      </c>
      <c r="D136">
        <v>9.83</v>
      </c>
      <c r="E136" s="2">
        <v>2488.9749999999995</v>
      </c>
      <c r="F136">
        <v>10.37</v>
      </c>
      <c r="G136" s="2">
        <f t="shared" si="3"/>
        <v>188.18799999999999</v>
      </c>
      <c r="H136" s="2">
        <f t="shared" si="4"/>
        <v>91.176000000000002</v>
      </c>
      <c r="I136" s="2">
        <f t="shared" si="5"/>
        <v>2837.4314999999992</v>
      </c>
    </row>
    <row r="137" spans="1:9">
      <c r="A137" s="1">
        <v>42919.6734027778</v>
      </c>
      <c r="B137">
        <v>97.5</v>
      </c>
      <c r="C137">
        <v>32.299999999999997</v>
      </c>
      <c r="D137">
        <v>10.17</v>
      </c>
      <c r="E137" s="2">
        <v>2283.8216666666663</v>
      </c>
      <c r="F137">
        <v>10.09</v>
      </c>
      <c r="G137" s="2">
        <f t="shared" si="3"/>
        <v>183.29999999999998</v>
      </c>
      <c r="H137" s="2">
        <f t="shared" si="4"/>
        <v>84.625999999999991</v>
      </c>
      <c r="I137" s="2">
        <f t="shared" si="5"/>
        <v>2603.5566999999992</v>
      </c>
    </row>
    <row r="138" spans="1:9">
      <c r="A138" s="1">
        <v>42919.674097222203</v>
      </c>
      <c r="B138">
        <v>94.7</v>
      </c>
      <c r="C138">
        <v>29.7</v>
      </c>
      <c r="D138">
        <v>10.54</v>
      </c>
      <c r="E138">
        <v>2197.6999999999998</v>
      </c>
      <c r="F138">
        <v>9.7899999999999991</v>
      </c>
      <c r="G138" s="2">
        <f t="shared" si="3"/>
        <v>178.036</v>
      </c>
      <c r="H138" s="2">
        <f t="shared" si="4"/>
        <v>77.814000000000007</v>
      </c>
      <c r="I138" s="2">
        <f t="shared" si="5"/>
        <v>2505.3779999999997</v>
      </c>
    </row>
    <row r="139" spans="1:9">
      <c r="A139" s="1">
        <v>42919.674791666701</v>
      </c>
      <c r="B139">
        <v>92.2</v>
      </c>
      <c r="C139">
        <v>27.6</v>
      </c>
      <c r="D139">
        <v>10.87</v>
      </c>
      <c r="E139">
        <v>1783.8</v>
      </c>
      <c r="F139">
        <v>9.5</v>
      </c>
      <c r="G139" s="2">
        <f t="shared" si="3"/>
        <v>173.33599999999998</v>
      </c>
      <c r="H139" s="2">
        <f t="shared" si="4"/>
        <v>72.312000000000012</v>
      </c>
      <c r="I139" s="2">
        <f t="shared" si="5"/>
        <v>2033.5319999999997</v>
      </c>
    </row>
    <row r="140" spans="1:9">
      <c r="A140" s="1">
        <v>42919.675486111097</v>
      </c>
      <c r="B140">
        <v>90.1</v>
      </c>
      <c r="C140">
        <v>25.9</v>
      </c>
      <c r="D140">
        <v>11.16</v>
      </c>
      <c r="E140">
        <v>1024.2</v>
      </c>
      <c r="F140">
        <v>9.27</v>
      </c>
      <c r="G140" s="2">
        <f t="shared" si="3"/>
        <v>169.38799999999998</v>
      </c>
      <c r="H140" s="2">
        <f t="shared" si="4"/>
        <v>67.858000000000004</v>
      </c>
      <c r="I140" s="2">
        <f t="shared" si="5"/>
        <v>1167.588</v>
      </c>
    </row>
    <row r="141" spans="1:9">
      <c r="A141" s="1">
        <v>42919.676180555602</v>
      </c>
      <c r="B141">
        <v>88.4</v>
      </c>
      <c r="C141">
        <v>25.1</v>
      </c>
      <c r="D141">
        <v>11.62</v>
      </c>
      <c r="E141">
        <v>610.1</v>
      </c>
      <c r="F141">
        <v>8.8000000000000007</v>
      </c>
      <c r="G141" s="2">
        <f t="shared" si="3"/>
        <v>166.19200000000001</v>
      </c>
      <c r="H141" s="2">
        <f t="shared" si="4"/>
        <v>65.762</v>
      </c>
      <c r="I141" s="2">
        <f t="shared" si="5"/>
        <v>695.51400000000001</v>
      </c>
    </row>
    <row r="142" spans="1:9">
      <c r="A142" s="1">
        <v>42919.676874999997</v>
      </c>
      <c r="B142">
        <v>88.9</v>
      </c>
      <c r="C142">
        <v>23.6</v>
      </c>
      <c r="D142">
        <v>12.61</v>
      </c>
      <c r="E142">
        <v>146.1</v>
      </c>
      <c r="F142">
        <v>7.91</v>
      </c>
      <c r="G142" s="2">
        <f t="shared" si="3"/>
        <v>167.13200000000001</v>
      </c>
      <c r="H142" s="2">
        <f t="shared" si="4"/>
        <v>61.832000000000008</v>
      </c>
      <c r="I142" s="2">
        <f t="shared" si="5"/>
        <v>166.55399999999997</v>
      </c>
    </row>
    <row r="143" spans="1:9">
      <c r="A143" s="1">
        <v>42919.677569444444</v>
      </c>
      <c r="B143">
        <v>93.2</v>
      </c>
      <c r="C143">
        <v>23.2</v>
      </c>
      <c r="D143">
        <v>12.75</v>
      </c>
      <c r="E143">
        <v>105.3</v>
      </c>
      <c r="F143">
        <v>7.8</v>
      </c>
      <c r="G143" s="2">
        <f t="shared" si="3"/>
        <v>175.21600000000001</v>
      </c>
      <c r="H143" s="2">
        <f t="shared" si="4"/>
        <v>60.783999999999999</v>
      </c>
      <c r="I143" s="2">
        <f t="shared" si="5"/>
        <v>120.04199999999999</v>
      </c>
    </row>
    <row r="144" spans="1:9">
      <c r="A144" s="1">
        <v>42919.6781597222</v>
      </c>
      <c r="B144">
        <v>97.8</v>
      </c>
      <c r="C144">
        <v>22.4</v>
      </c>
      <c r="D144">
        <v>12.96</v>
      </c>
      <c r="E144">
        <v>71.3</v>
      </c>
      <c r="F144">
        <v>7.6</v>
      </c>
      <c r="G144" s="2">
        <f t="shared" si="3"/>
        <v>183.86399999999998</v>
      </c>
      <c r="H144" s="2">
        <f t="shared" si="4"/>
        <v>58.687999999999995</v>
      </c>
      <c r="I144" s="2">
        <f t="shared" si="5"/>
        <v>81.281999999999996</v>
      </c>
    </row>
    <row r="145" spans="1:9">
      <c r="A145" s="1">
        <v>42919.678854166697</v>
      </c>
      <c r="B145">
        <v>102.3</v>
      </c>
      <c r="C145">
        <v>22.4</v>
      </c>
      <c r="D145">
        <v>12.93</v>
      </c>
      <c r="E145">
        <v>61.7</v>
      </c>
      <c r="F145">
        <v>7.66</v>
      </c>
      <c r="G145" s="2">
        <f t="shared" si="3"/>
        <v>192.32399999999998</v>
      </c>
      <c r="H145" s="2">
        <f t="shared" si="4"/>
        <v>58.687999999999995</v>
      </c>
      <c r="I145" s="2">
        <f t="shared" si="5"/>
        <v>70.337999999999994</v>
      </c>
    </row>
    <row r="146" spans="1:9">
      <c r="A146" s="1">
        <v>42919.679548611108</v>
      </c>
      <c r="B146">
        <v>106.9</v>
      </c>
      <c r="C146">
        <v>22.1</v>
      </c>
      <c r="D146">
        <v>12.86</v>
      </c>
      <c r="E146">
        <v>56.2</v>
      </c>
      <c r="F146">
        <v>7.99</v>
      </c>
      <c r="G146" s="2">
        <f t="shared" si="3"/>
        <v>200.97200000000001</v>
      </c>
      <c r="H146" s="2">
        <f t="shared" si="4"/>
        <v>57.902000000000008</v>
      </c>
      <c r="I146" s="2">
        <f t="shared" si="5"/>
        <v>64.067999999999998</v>
      </c>
    </row>
    <row r="147" spans="1:9">
      <c r="A147" s="1">
        <v>42919.680243055554</v>
      </c>
      <c r="B147">
        <v>108.5</v>
      </c>
      <c r="C147">
        <v>22.6</v>
      </c>
      <c r="D147">
        <v>12.61</v>
      </c>
      <c r="E147">
        <v>50.6</v>
      </c>
      <c r="F147">
        <v>8.0500000000000007</v>
      </c>
      <c r="G147" s="2">
        <f t="shared" si="3"/>
        <v>203.98</v>
      </c>
      <c r="H147" s="2">
        <f t="shared" si="4"/>
        <v>59.212000000000003</v>
      </c>
      <c r="I147" s="2">
        <f t="shared" si="5"/>
        <v>57.683999999999997</v>
      </c>
    </row>
    <row r="148" spans="1:9">
      <c r="A148" s="1">
        <v>42919.680937500001</v>
      </c>
      <c r="B148">
        <v>110.6</v>
      </c>
      <c r="C148">
        <v>23</v>
      </c>
      <c r="D148">
        <v>12.35</v>
      </c>
      <c r="E148">
        <v>45.2</v>
      </c>
      <c r="F148">
        <v>8.2100000000000009</v>
      </c>
      <c r="G148" s="2">
        <f t="shared" si="3"/>
        <v>207.92799999999997</v>
      </c>
      <c r="H148" s="2">
        <f t="shared" si="4"/>
        <v>60.260000000000005</v>
      </c>
      <c r="I148" s="2">
        <f t="shared" si="5"/>
        <v>51.527999999999999</v>
      </c>
    </row>
    <row r="149" spans="1:9">
      <c r="A149" s="1">
        <v>42919.681342592601</v>
      </c>
      <c r="B149">
        <v>114.9</v>
      </c>
      <c r="C149">
        <v>23.6</v>
      </c>
      <c r="D149">
        <v>12.18</v>
      </c>
      <c r="E149">
        <v>41.4</v>
      </c>
      <c r="F149">
        <v>8.39</v>
      </c>
      <c r="G149" s="2">
        <f t="shared" si="3"/>
        <v>216.012</v>
      </c>
      <c r="H149" s="2">
        <f t="shared" si="4"/>
        <v>61.832000000000008</v>
      </c>
      <c r="I149" s="2">
        <f t="shared" si="5"/>
        <v>47.195999999999991</v>
      </c>
    </row>
    <row r="150" spans="1:9">
      <c r="A150" s="1">
        <v>42919.682037036997</v>
      </c>
      <c r="B150">
        <v>119.3</v>
      </c>
      <c r="C150">
        <v>24.3</v>
      </c>
      <c r="D150">
        <v>11.86</v>
      </c>
      <c r="E150">
        <v>42.3</v>
      </c>
      <c r="F150">
        <v>8.68</v>
      </c>
      <c r="G150" s="2">
        <f t="shared" si="3"/>
        <v>224.28399999999999</v>
      </c>
      <c r="H150" s="2">
        <f t="shared" si="4"/>
        <v>63.666000000000004</v>
      </c>
      <c r="I150" s="2">
        <f t="shared" si="5"/>
        <v>48.221999999999994</v>
      </c>
    </row>
    <row r="151" spans="1:9">
      <c r="A151" s="1">
        <v>42919.682731481502</v>
      </c>
      <c r="B151">
        <v>123.5</v>
      </c>
      <c r="C151">
        <v>24.7</v>
      </c>
      <c r="D151">
        <v>11.54</v>
      </c>
      <c r="E151">
        <v>49.9</v>
      </c>
      <c r="F151">
        <v>9</v>
      </c>
      <c r="G151" s="2">
        <f t="shared" si="3"/>
        <v>232.17999999999998</v>
      </c>
      <c r="H151" s="2">
        <f t="shared" si="4"/>
        <v>64.713999999999999</v>
      </c>
      <c r="I151" s="2">
        <f t="shared" si="5"/>
        <v>56.885999999999996</v>
      </c>
    </row>
    <row r="152" spans="1:9">
      <c r="A152" s="1">
        <v>42919.683425925898</v>
      </c>
      <c r="B152">
        <v>126.8</v>
      </c>
      <c r="C152">
        <v>25.1</v>
      </c>
      <c r="D152">
        <v>11.22</v>
      </c>
      <c r="E152">
        <v>65.2</v>
      </c>
      <c r="F152">
        <v>9.3000000000000007</v>
      </c>
      <c r="G152" s="2">
        <f t="shared" si="3"/>
        <v>238.38399999999999</v>
      </c>
      <c r="H152" s="2">
        <f t="shared" si="4"/>
        <v>65.762</v>
      </c>
      <c r="I152" s="2">
        <f t="shared" si="5"/>
        <v>74.328000000000003</v>
      </c>
    </row>
    <row r="153" spans="1:9">
      <c r="A153" s="1">
        <v>42919.684120370403</v>
      </c>
      <c r="B153">
        <v>130.6</v>
      </c>
      <c r="C153">
        <v>25.6</v>
      </c>
      <c r="D153">
        <v>10.9</v>
      </c>
      <c r="E153">
        <v>108.5</v>
      </c>
      <c r="F153">
        <v>9.59</v>
      </c>
      <c r="G153" s="2">
        <f t="shared" si="3"/>
        <v>245.52799999999996</v>
      </c>
      <c r="H153" s="2">
        <f t="shared" si="4"/>
        <v>67.072000000000003</v>
      </c>
      <c r="I153" s="2">
        <f t="shared" si="5"/>
        <v>123.68999999999998</v>
      </c>
    </row>
    <row r="154" spans="1:9">
      <c r="A154" s="1">
        <v>42919.684814814798</v>
      </c>
      <c r="B154">
        <v>132.9</v>
      </c>
      <c r="C154">
        <v>25.8</v>
      </c>
      <c r="D154">
        <v>10.67</v>
      </c>
      <c r="E154">
        <v>145.19999999999999</v>
      </c>
      <c r="F154">
        <v>9.7899999999999991</v>
      </c>
      <c r="G154" s="2">
        <f t="shared" si="3"/>
        <v>249.852</v>
      </c>
      <c r="H154" s="2">
        <f t="shared" si="4"/>
        <v>67.596000000000004</v>
      </c>
      <c r="I154" s="2">
        <f t="shared" si="5"/>
        <v>165.52799999999996</v>
      </c>
    </row>
    <row r="155" spans="1:9">
      <c r="A155" s="1">
        <v>42919.685509259303</v>
      </c>
      <c r="B155">
        <v>134.4</v>
      </c>
      <c r="C155">
        <v>26.5</v>
      </c>
      <c r="D155">
        <v>10.41</v>
      </c>
      <c r="E155">
        <v>247</v>
      </c>
      <c r="F155">
        <v>10.050000000000001</v>
      </c>
      <c r="G155" s="2">
        <f t="shared" si="3"/>
        <v>252.672</v>
      </c>
      <c r="H155" s="2">
        <f t="shared" si="4"/>
        <v>69.430000000000007</v>
      </c>
      <c r="I155" s="2">
        <f t="shared" si="5"/>
        <v>281.58</v>
      </c>
    </row>
    <row r="156" spans="1:9">
      <c r="A156" s="1">
        <v>42919.686203703699</v>
      </c>
      <c r="B156">
        <v>135.5</v>
      </c>
      <c r="C156">
        <v>27.3</v>
      </c>
      <c r="D156">
        <v>10.210000000000001</v>
      </c>
      <c r="E156">
        <v>415.5</v>
      </c>
      <c r="F156">
        <v>10.23</v>
      </c>
      <c r="G156" s="2">
        <f t="shared" si="3"/>
        <v>254.73999999999998</v>
      </c>
      <c r="H156" s="2">
        <f t="shared" si="4"/>
        <v>71.52600000000001</v>
      </c>
      <c r="I156" s="2">
        <f t="shared" si="5"/>
        <v>473.66999999999996</v>
      </c>
    </row>
    <row r="157" spans="1:9">
      <c r="A157" s="1">
        <v>42919.686898148102</v>
      </c>
      <c r="B157">
        <v>136.19999999999999</v>
      </c>
      <c r="C157">
        <v>28.3</v>
      </c>
      <c r="D157">
        <v>9.94</v>
      </c>
      <c r="E157">
        <v>733.2</v>
      </c>
      <c r="F157">
        <v>10.48</v>
      </c>
      <c r="G157" s="2">
        <f t="shared" si="3"/>
        <v>256.05599999999998</v>
      </c>
      <c r="H157" s="2">
        <f t="shared" si="4"/>
        <v>74.146000000000001</v>
      </c>
      <c r="I157" s="2">
        <f t="shared" si="5"/>
        <v>835.84799999999996</v>
      </c>
    </row>
    <row r="158" spans="1:9">
      <c r="A158" s="1">
        <v>42919.6875925926</v>
      </c>
      <c r="B158">
        <v>138.4</v>
      </c>
      <c r="C158">
        <v>29.3</v>
      </c>
      <c r="D158">
        <v>9.6999999999999993</v>
      </c>
      <c r="E158">
        <v>883.6</v>
      </c>
      <c r="F158">
        <v>10.69</v>
      </c>
      <c r="G158" s="2">
        <f t="shared" si="3"/>
        <v>260.19200000000001</v>
      </c>
      <c r="H158" s="2">
        <f t="shared" si="4"/>
        <v>76.766000000000005</v>
      </c>
      <c r="I158" s="2">
        <f t="shared" si="5"/>
        <v>1007.304</v>
      </c>
    </row>
    <row r="159" spans="1:9">
      <c r="A159" s="1">
        <v>42919.688287037003</v>
      </c>
      <c r="B159">
        <v>140.6</v>
      </c>
      <c r="C159">
        <v>29.9</v>
      </c>
      <c r="D159">
        <v>9.48</v>
      </c>
      <c r="E159">
        <v>978.7</v>
      </c>
      <c r="F159">
        <v>10.89</v>
      </c>
      <c r="G159" s="2">
        <f t="shared" si="3"/>
        <v>264.32799999999997</v>
      </c>
      <c r="H159" s="2">
        <f t="shared" si="4"/>
        <v>78.337999999999994</v>
      </c>
      <c r="I159" s="2">
        <f t="shared" si="5"/>
        <v>1115.7179999999998</v>
      </c>
    </row>
    <row r="160" spans="1:9">
      <c r="A160" s="1">
        <v>42919.6889814815</v>
      </c>
      <c r="B160">
        <v>141.9</v>
      </c>
      <c r="C160">
        <v>30.7</v>
      </c>
      <c r="D160">
        <v>9.2899999999999991</v>
      </c>
      <c r="E160">
        <v>1208.5</v>
      </c>
      <c r="F160">
        <v>11.08</v>
      </c>
      <c r="G160" s="2">
        <f t="shared" si="3"/>
        <v>266.77199999999999</v>
      </c>
      <c r="H160" s="2">
        <f t="shared" si="4"/>
        <v>80.433999999999997</v>
      </c>
      <c r="I160" s="2">
        <f t="shared" si="5"/>
        <v>1377.6899999999998</v>
      </c>
    </row>
    <row r="161" spans="1:9">
      <c r="A161" s="1">
        <v>42919.689675925903</v>
      </c>
      <c r="B161">
        <v>144.19999999999999</v>
      </c>
      <c r="C161">
        <v>32.200000000000003</v>
      </c>
      <c r="D161">
        <v>9.09</v>
      </c>
      <c r="E161">
        <v>1487.5</v>
      </c>
      <c r="F161">
        <v>11.26</v>
      </c>
      <c r="G161" s="2">
        <f t="shared" si="3"/>
        <v>271.09599999999995</v>
      </c>
      <c r="H161" s="2">
        <f t="shared" si="4"/>
        <v>84.364000000000004</v>
      </c>
      <c r="I161" s="2">
        <f t="shared" si="5"/>
        <v>1695.7499999999998</v>
      </c>
    </row>
    <row r="162" spans="1:9">
      <c r="A162" s="1">
        <v>42919.690370370401</v>
      </c>
      <c r="B162">
        <v>146.69999999999999</v>
      </c>
      <c r="C162">
        <v>33.700000000000003</v>
      </c>
      <c r="D162">
        <v>8.9</v>
      </c>
      <c r="E162">
        <v>1812</v>
      </c>
      <c r="F162">
        <v>11.45</v>
      </c>
      <c r="G162" s="2">
        <f t="shared" si="3"/>
        <v>275.79599999999994</v>
      </c>
      <c r="H162" s="2">
        <f t="shared" si="4"/>
        <v>88.294000000000011</v>
      </c>
      <c r="I162" s="2">
        <f t="shared" si="5"/>
        <v>2065.6799999999998</v>
      </c>
    </row>
    <row r="163" spans="1:9">
      <c r="A163" s="1">
        <v>42919.691064814797</v>
      </c>
      <c r="B163">
        <v>148.69999999999999</v>
      </c>
      <c r="C163">
        <v>33.799999999999997</v>
      </c>
      <c r="D163">
        <v>8.8000000000000007</v>
      </c>
      <c r="E163">
        <v>1582.3</v>
      </c>
      <c r="F163">
        <v>11.52</v>
      </c>
      <c r="G163" s="2">
        <f t="shared" si="3"/>
        <v>279.55599999999998</v>
      </c>
      <c r="H163" s="2">
        <f t="shared" si="4"/>
        <v>88.555999999999997</v>
      </c>
      <c r="I163" s="2">
        <f t="shared" si="5"/>
        <v>1803.8219999999999</v>
      </c>
    </row>
    <row r="164" spans="1:9">
      <c r="A164" s="1">
        <v>42919.691759259302</v>
      </c>
      <c r="B164">
        <v>150.19999999999999</v>
      </c>
      <c r="C164">
        <v>34.1</v>
      </c>
      <c r="D164">
        <v>8.6300000000000008</v>
      </c>
      <c r="E164">
        <v>1701</v>
      </c>
      <c r="F164">
        <v>11.69</v>
      </c>
      <c r="G164" s="2">
        <f t="shared" si="3"/>
        <v>282.37599999999998</v>
      </c>
      <c r="H164" s="2">
        <f t="shared" si="4"/>
        <v>89.342000000000013</v>
      </c>
      <c r="I164" s="2">
        <f t="shared" si="5"/>
        <v>1939.1399999999999</v>
      </c>
    </row>
    <row r="165" spans="1:9">
      <c r="A165" s="1">
        <v>42919.692453703698</v>
      </c>
      <c r="B165">
        <v>151.69999999999999</v>
      </c>
      <c r="C165">
        <v>35.9</v>
      </c>
      <c r="D165">
        <v>8.43</v>
      </c>
      <c r="E165">
        <v>1879.4</v>
      </c>
      <c r="F165">
        <v>11.86</v>
      </c>
      <c r="G165" s="2">
        <f t="shared" si="3"/>
        <v>285.19599999999997</v>
      </c>
      <c r="H165" s="2">
        <f t="shared" si="4"/>
        <v>94.058000000000007</v>
      </c>
      <c r="I165" s="2">
        <f t="shared" si="5"/>
        <v>2142.5160000000001</v>
      </c>
    </row>
    <row r="166" spans="1:9">
      <c r="A166" s="1">
        <v>42919.693148148202</v>
      </c>
      <c r="B166">
        <v>152.6</v>
      </c>
      <c r="C166">
        <v>37.799999999999997</v>
      </c>
      <c r="D166">
        <v>8.25</v>
      </c>
      <c r="E166">
        <v>2065.1999999999998</v>
      </c>
      <c r="F166">
        <v>12.05</v>
      </c>
      <c r="G166" s="2">
        <f t="shared" si="3"/>
        <v>286.88799999999998</v>
      </c>
      <c r="H166" s="2">
        <f t="shared" si="4"/>
        <v>99.036000000000001</v>
      </c>
      <c r="I166" s="2">
        <f t="shared" si="5"/>
        <v>2354.3279999999995</v>
      </c>
    </row>
    <row r="167" spans="1:9">
      <c r="A167" s="1">
        <v>42919.693842592598</v>
      </c>
      <c r="B167">
        <v>153.9</v>
      </c>
      <c r="C167">
        <v>38.799999999999997</v>
      </c>
      <c r="D167">
        <v>8.15</v>
      </c>
      <c r="E167">
        <v>2037.2</v>
      </c>
      <c r="F167">
        <v>12.13</v>
      </c>
      <c r="G167" s="2">
        <f t="shared" si="3"/>
        <v>289.33199999999999</v>
      </c>
      <c r="H167" s="2">
        <f t="shared" si="4"/>
        <v>101.65599999999999</v>
      </c>
      <c r="I167" s="2">
        <f t="shared" si="5"/>
        <v>2322.4079999999999</v>
      </c>
    </row>
    <row r="168" spans="1:9">
      <c r="A168" s="1">
        <v>42919.694537037001</v>
      </c>
      <c r="B168">
        <v>147.6</v>
      </c>
      <c r="C168">
        <v>42</v>
      </c>
      <c r="D168">
        <v>8</v>
      </c>
      <c r="E168">
        <v>2154.5</v>
      </c>
      <c r="F168">
        <v>12.25</v>
      </c>
      <c r="G168" s="2">
        <f t="shared" si="3"/>
        <v>277.488</v>
      </c>
      <c r="H168" s="2">
        <f t="shared" si="4"/>
        <v>110.04</v>
      </c>
      <c r="I168" s="2">
        <f t="shared" si="5"/>
        <v>2456.1299999999997</v>
      </c>
    </row>
    <row r="169" spans="1:9">
      <c r="A169" s="1">
        <v>42919.695231481499</v>
      </c>
      <c r="B169">
        <v>131.80000000000001</v>
      </c>
      <c r="C169">
        <v>87.7</v>
      </c>
      <c r="D169">
        <v>7.21</v>
      </c>
      <c r="E169" s="2">
        <v>2744.7866666666673</v>
      </c>
      <c r="F169">
        <v>12.62</v>
      </c>
      <c r="G169" s="2">
        <f t="shared" si="3"/>
        <v>247.78400000000002</v>
      </c>
      <c r="H169" s="2">
        <f t="shared" si="4"/>
        <v>229.77400000000003</v>
      </c>
      <c r="I169" s="2">
        <f t="shared" si="5"/>
        <v>3129.0568000000003</v>
      </c>
    </row>
    <row r="170" spans="1:9">
      <c r="A170" s="1">
        <v>42919.695925925902</v>
      </c>
      <c r="B170">
        <v>128.5</v>
      </c>
      <c r="C170">
        <v>108.5</v>
      </c>
      <c r="D170">
        <v>6.92</v>
      </c>
      <c r="E170" s="2">
        <v>3523.4633333333331</v>
      </c>
      <c r="F170">
        <v>12.63</v>
      </c>
      <c r="G170" s="2">
        <f t="shared" si="3"/>
        <v>241.57999999999998</v>
      </c>
      <c r="H170" s="2">
        <f t="shared" si="4"/>
        <v>284.27000000000004</v>
      </c>
      <c r="I170" s="2">
        <f t="shared" si="5"/>
        <v>4016.7481999999995</v>
      </c>
    </row>
    <row r="171" spans="1:9">
      <c r="A171" s="1">
        <v>42919.6966203704</v>
      </c>
      <c r="B171">
        <v>126.2</v>
      </c>
      <c r="C171">
        <v>102.7</v>
      </c>
      <c r="D171">
        <v>6.91</v>
      </c>
      <c r="E171" s="2">
        <v>4411.3183333333327</v>
      </c>
      <c r="F171">
        <v>12.58</v>
      </c>
      <c r="G171" s="2">
        <f t="shared" si="3"/>
        <v>237.256</v>
      </c>
      <c r="H171" s="2">
        <f t="shared" si="4"/>
        <v>269.07400000000001</v>
      </c>
      <c r="I171" s="2">
        <f t="shared" si="5"/>
        <v>5028.9028999999991</v>
      </c>
    </row>
    <row r="172" spans="1:9">
      <c r="A172" s="1">
        <v>42919.697314814803</v>
      </c>
      <c r="B172">
        <v>123.6</v>
      </c>
      <c r="C172">
        <v>97.4</v>
      </c>
      <c r="D172">
        <v>6.99</v>
      </c>
      <c r="E172" s="2">
        <v>4653.420000000001</v>
      </c>
      <c r="F172">
        <v>12.49</v>
      </c>
      <c r="G172" s="2">
        <f t="shared" si="3"/>
        <v>232.36799999999997</v>
      </c>
      <c r="H172" s="2">
        <f t="shared" si="4"/>
        <v>255.18800000000002</v>
      </c>
      <c r="I172" s="2">
        <f t="shared" si="5"/>
        <v>5304.8988000000008</v>
      </c>
    </row>
    <row r="173" spans="1:9">
      <c r="A173" s="1">
        <v>42919.6980092593</v>
      </c>
      <c r="B173">
        <v>121.4</v>
      </c>
      <c r="C173">
        <v>92.1</v>
      </c>
      <c r="D173">
        <v>7.09</v>
      </c>
      <c r="E173" s="2">
        <v>4450.6766666666663</v>
      </c>
      <c r="F173">
        <v>12.4</v>
      </c>
      <c r="G173" s="2">
        <f t="shared" si="3"/>
        <v>228.232</v>
      </c>
      <c r="H173" s="2">
        <f t="shared" si="4"/>
        <v>241.30199999999999</v>
      </c>
      <c r="I173" s="2">
        <f t="shared" si="5"/>
        <v>5073.7713999999987</v>
      </c>
    </row>
    <row r="174" spans="1:9">
      <c r="A174" s="1">
        <v>42919.698703703703</v>
      </c>
      <c r="B174">
        <v>119.5</v>
      </c>
      <c r="C174">
        <v>83.8</v>
      </c>
      <c r="D174">
        <v>7.25</v>
      </c>
      <c r="E174" s="2">
        <v>4466.9566666666651</v>
      </c>
      <c r="F174">
        <v>12.3</v>
      </c>
      <c r="G174" s="2">
        <f t="shared" si="3"/>
        <v>224.66</v>
      </c>
      <c r="H174" s="2">
        <f t="shared" si="4"/>
        <v>219.55600000000001</v>
      </c>
      <c r="I174" s="2">
        <f t="shared" si="5"/>
        <v>5092.3305999999975</v>
      </c>
    </row>
    <row r="175" spans="1:9">
      <c r="A175" s="1">
        <v>42919.699398148201</v>
      </c>
      <c r="B175">
        <v>117.6</v>
      </c>
      <c r="C175">
        <v>77.5</v>
      </c>
      <c r="D175">
        <v>7.41</v>
      </c>
      <c r="E175" s="2">
        <v>4876.1133333333328</v>
      </c>
      <c r="F175">
        <v>12.2</v>
      </c>
      <c r="G175" s="2">
        <f t="shared" si="3"/>
        <v>221.08799999999997</v>
      </c>
      <c r="H175" s="2">
        <f t="shared" si="4"/>
        <v>203.05</v>
      </c>
      <c r="I175" s="2">
        <f t="shared" si="5"/>
        <v>5558.7691999999988</v>
      </c>
    </row>
    <row r="176" spans="1:9">
      <c r="A176" s="1">
        <v>42919.700092592597</v>
      </c>
      <c r="B176">
        <v>116.6</v>
      </c>
      <c r="C176">
        <v>72.900000000000006</v>
      </c>
      <c r="D176">
        <v>7.61</v>
      </c>
      <c r="E176" s="2">
        <v>4864.708333333333</v>
      </c>
      <c r="F176">
        <v>12.12</v>
      </c>
      <c r="G176" s="2">
        <f t="shared" si="3"/>
        <v>219.20799999999997</v>
      </c>
      <c r="H176" s="2">
        <f t="shared" si="4"/>
        <v>190.99800000000002</v>
      </c>
      <c r="I176" s="2">
        <f t="shared" si="5"/>
        <v>5545.767499999999</v>
      </c>
    </row>
    <row r="177" spans="1:9">
      <c r="A177" s="1">
        <v>42919.700787037</v>
      </c>
      <c r="B177">
        <v>115.3</v>
      </c>
      <c r="C177">
        <v>68.8</v>
      </c>
      <c r="D177">
        <v>7.8</v>
      </c>
      <c r="E177" s="2">
        <v>4829.5299999999979</v>
      </c>
      <c r="F177">
        <v>12</v>
      </c>
      <c r="G177" s="2">
        <f t="shared" si="3"/>
        <v>216.76399999999998</v>
      </c>
      <c r="H177" s="2">
        <f t="shared" si="4"/>
        <v>180.256</v>
      </c>
      <c r="I177" s="2">
        <f t="shared" si="5"/>
        <v>5505.6641999999974</v>
      </c>
    </row>
    <row r="178" spans="1:9">
      <c r="A178" s="1">
        <v>42919.701481481497</v>
      </c>
      <c r="B178">
        <v>114.2</v>
      </c>
      <c r="C178">
        <v>66.5</v>
      </c>
      <c r="D178">
        <v>7.9</v>
      </c>
      <c r="E178" s="2">
        <v>4867.663333333333</v>
      </c>
      <c r="F178">
        <v>11.91</v>
      </c>
      <c r="G178" s="2">
        <f t="shared" si="3"/>
        <v>214.696</v>
      </c>
      <c r="H178" s="2">
        <f t="shared" si="4"/>
        <v>174.23000000000002</v>
      </c>
      <c r="I178" s="2">
        <f t="shared" si="5"/>
        <v>5549.136199999999</v>
      </c>
    </row>
    <row r="179" spans="1:9">
      <c r="A179" s="1">
        <v>42919.702175925901</v>
      </c>
      <c r="B179">
        <v>112.1</v>
      </c>
      <c r="C179">
        <v>57.3</v>
      </c>
      <c r="D179">
        <v>8.06</v>
      </c>
      <c r="E179" s="2">
        <v>4652.8</v>
      </c>
      <c r="F179">
        <v>11.79</v>
      </c>
      <c r="G179" s="2">
        <f t="shared" si="3"/>
        <v>210.74799999999999</v>
      </c>
      <c r="H179" s="2">
        <f t="shared" si="4"/>
        <v>150.126</v>
      </c>
      <c r="I179" s="2">
        <f t="shared" si="5"/>
        <v>5304.192</v>
      </c>
    </row>
    <row r="180" spans="1:9">
      <c r="A180" s="1">
        <v>42919.702870370398</v>
      </c>
      <c r="B180">
        <v>110.6</v>
      </c>
      <c r="C180">
        <v>49.7</v>
      </c>
      <c r="D180">
        <v>8.2799999999999994</v>
      </c>
      <c r="E180" s="2">
        <v>4364.6383333333324</v>
      </c>
      <c r="F180">
        <v>11.67</v>
      </c>
      <c r="G180" s="2">
        <f t="shared" si="3"/>
        <v>207.92799999999997</v>
      </c>
      <c r="H180" s="2">
        <f t="shared" si="4"/>
        <v>130.214</v>
      </c>
      <c r="I180" s="2">
        <f t="shared" si="5"/>
        <v>4975.6876999999986</v>
      </c>
    </row>
    <row r="181" spans="1:9">
      <c r="A181" s="1">
        <v>42919.703564814801</v>
      </c>
      <c r="B181">
        <v>109.1</v>
      </c>
      <c r="C181">
        <v>43.9</v>
      </c>
      <c r="D181">
        <v>8.5299999999999994</v>
      </c>
      <c r="E181" s="2">
        <v>3735.956666666666</v>
      </c>
      <c r="F181">
        <v>11.5</v>
      </c>
      <c r="G181" s="2">
        <f t="shared" si="3"/>
        <v>205.10799999999998</v>
      </c>
      <c r="H181" s="2">
        <f t="shared" si="4"/>
        <v>115.018</v>
      </c>
      <c r="I181" s="2">
        <f t="shared" si="5"/>
        <v>4258.9905999999992</v>
      </c>
    </row>
    <row r="182" spans="1:9">
      <c r="A182" s="1">
        <v>42919.704259259299</v>
      </c>
      <c r="B182">
        <v>107.8</v>
      </c>
      <c r="C182">
        <v>40.1</v>
      </c>
      <c r="D182">
        <v>8.76</v>
      </c>
      <c r="E182" s="2">
        <v>3519.1216666666674</v>
      </c>
      <c r="F182">
        <v>11.36</v>
      </c>
      <c r="G182" s="2">
        <f t="shared" si="3"/>
        <v>202.66399999999999</v>
      </c>
      <c r="H182" s="2">
        <f t="shared" si="4"/>
        <v>105.06200000000001</v>
      </c>
      <c r="I182" s="2">
        <f t="shared" si="5"/>
        <v>4011.7987000000003</v>
      </c>
    </row>
    <row r="183" spans="1:9">
      <c r="A183" s="1">
        <v>42919.704953703702</v>
      </c>
      <c r="B183">
        <v>106.7</v>
      </c>
      <c r="C183">
        <v>37.1</v>
      </c>
      <c r="D183">
        <v>8.9700000000000006</v>
      </c>
      <c r="E183" s="2">
        <v>3349.0783333333329</v>
      </c>
      <c r="F183">
        <v>11.18</v>
      </c>
      <c r="G183" s="2">
        <f t="shared" si="3"/>
        <v>200.596</v>
      </c>
      <c r="H183" s="2">
        <f t="shared" si="4"/>
        <v>97.202000000000012</v>
      </c>
      <c r="I183" s="2">
        <f t="shared" si="5"/>
        <v>3817.9492999999993</v>
      </c>
    </row>
    <row r="184" spans="1:9">
      <c r="A184" s="1">
        <v>42919.705648148098</v>
      </c>
      <c r="B184">
        <v>105</v>
      </c>
      <c r="C184">
        <v>34.299999999999997</v>
      </c>
      <c r="D184">
        <v>9.24</v>
      </c>
      <c r="E184" s="2">
        <v>3209.125</v>
      </c>
      <c r="F184">
        <v>10.96</v>
      </c>
      <c r="G184" s="2">
        <f t="shared" si="3"/>
        <v>197.39999999999998</v>
      </c>
      <c r="H184" s="2">
        <f t="shared" si="4"/>
        <v>89.866</v>
      </c>
      <c r="I184" s="2">
        <f t="shared" si="5"/>
        <v>3658.4024999999997</v>
      </c>
    </row>
    <row r="185" spans="1:9">
      <c r="A185" s="1">
        <v>42919.706342592603</v>
      </c>
      <c r="B185">
        <v>103.1</v>
      </c>
      <c r="C185">
        <v>31.1</v>
      </c>
      <c r="D185">
        <v>9.57</v>
      </c>
      <c r="E185">
        <v>2862.3</v>
      </c>
      <c r="F185">
        <v>10.71</v>
      </c>
      <c r="G185" s="2">
        <f t="shared" si="3"/>
        <v>193.82799999999997</v>
      </c>
      <c r="H185" s="2">
        <f t="shared" si="4"/>
        <v>81.482000000000014</v>
      </c>
      <c r="I185" s="2">
        <f t="shared" si="5"/>
        <v>3263.0219999999999</v>
      </c>
    </row>
    <row r="186" spans="1:9">
      <c r="A186" s="1">
        <v>42919.707037036998</v>
      </c>
      <c r="B186">
        <v>101.3</v>
      </c>
      <c r="C186">
        <v>28.9</v>
      </c>
      <c r="D186">
        <v>9.84</v>
      </c>
      <c r="E186">
        <v>2522.5</v>
      </c>
      <c r="F186">
        <v>10.49</v>
      </c>
      <c r="G186" s="2">
        <f t="shared" si="3"/>
        <v>190.44399999999999</v>
      </c>
      <c r="H186" s="2">
        <f t="shared" si="4"/>
        <v>75.718000000000004</v>
      </c>
      <c r="I186" s="2">
        <f t="shared" si="5"/>
        <v>2875.6499999999996</v>
      </c>
    </row>
    <row r="187" spans="1:9">
      <c r="A187" s="1">
        <v>42919.707731481503</v>
      </c>
      <c r="B187">
        <v>99.6</v>
      </c>
      <c r="C187">
        <v>27.2</v>
      </c>
      <c r="D187">
        <v>10.11</v>
      </c>
      <c r="E187">
        <v>2113.5</v>
      </c>
      <c r="F187">
        <v>10.25</v>
      </c>
      <c r="G187" s="2">
        <f t="shared" si="3"/>
        <v>187.24799999999999</v>
      </c>
      <c r="H187" s="2">
        <f t="shared" si="4"/>
        <v>71.263999999999996</v>
      </c>
      <c r="I187" s="2">
        <f t="shared" si="5"/>
        <v>2409.39</v>
      </c>
    </row>
    <row r="188" spans="1:9">
      <c r="A188" s="1">
        <v>42919.708425925899</v>
      </c>
      <c r="B188">
        <v>96.4</v>
      </c>
      <c r="C188">
        <v>25.1</v>
      </c>
      <c r="D188">
        <v>10.46</v>
      </c>
      <c r="E188">
        <v>1492.8</v>
      </c>
      <c r="F188">
        <v>9.93</v>
      </c>
      <c r="G188" s="2">
        <f t="shared" si="3"/>
        <v>181.232</v>
      </c>
      <c r="H188" s="2">
        <f t="shared" si="4"/>
        <v>65.762</v>
      </c>
      <c r="I188" s="2">
        <f t="shared" si="5"/>
        <v>1701.7919999999997</v>
      </c>
    </row>
    <row r="189" spans="1:9">
      <c r="A189" s="1">
        <v>42919.709120370397</v>
      </c>
      <c r="B189">
        <v>90.7</v>
      </c>
      <c r="C189">
        <v>23.2</v>
      </c>
      <c r="D189">
        <v>11.58</v>
      </c>
      <c r="E189">
        <v>511.3</v>
      </c>
      <c r="F189">
        <v>8.86</v>
      </c>
      <c r="G189" s="2">
        <f t="shared" si="3"/>
        <v>170.51599999999999</v>
      </c>
      <c r="H189" s="2">
        <f t="shared" si="4"/>
        <v>60.783999999999999</v>
      </c>
      <c r="I189" s="2">
        <f t="shared" si="5"/>
        <v>582.88199999999995</v>
      </c>
    </row>
    <row r="190" spans="1:9">
      <c r="A190" s="1">
        <v>42919.7098148148</v>
      </c>
      <c r="B190">
        <v>91.7</v>
      </c>
      <c r="C190">
        <v>21.4</v>
      </c>
      <c r="D190">
        <v>12.44</v>
      </c>
      <c r="E190">
        <v>118.5</v>
      </c>
      <c r="F190">
        <v>8.15</v>
      </c>
      <c r="G190" s="2">
        <f t="shared" si="3"/>
        <v>172.39599999999999</v>
      </c>
      <c r="H190" s="2">
        <f t="shared" si="4"/>
        <v>56.067999999999998</v>
      </c>
      <c r="I190" s="2">
        <f t="shared" si="5"/>
        <v>135.08999999999997</v>
      </c>
    </row>
    <row r="191" spans="1:9">
      <c r="A191" s="1">
        <v>42919.710509259297</v>
      </c>
      <c r="B191">
        <v>97.6</v>
      </c>
      <c r="C191">
        <v>20.5</v>
      </c>
      <c r="D191">
        <v>12.73</v>
      </c>
      <c r="E191">
        <v>83.6</v>
      </c>
      <c r="F191">
        <v>7.87</v>
      </c>
      <c r="G191" s="2">
        <f t="shared" si="3"/>
        <v>183.48799999999997</v>
      </c>
      <c r="H191" s="2">
        <f t="shared" si="4"/>
        <v>53.71</v>
      </c>
      <c r="I191" s="2">
        <f t="shared" si="5"/>
        <v>95.303999999999988</v>
      </c>
    </row>
    <row r="192" spans="1:9">
      <c r="A192" s="1">
        <v>42919.7112037037</v>
      </c>
      <c r="B192">
        <v>101.8</v>
      </c>
      <c r="C192">
        <v>19.899999999999999</v>
      </c>
      <c r="D192">
        <v>12.91</v>
      </c>
      <c r="E192">
        <v>73.099999999999994</v>
      </c>
      <c r="F192">
        <v>7.7</v>
      </c>
      <c r="G192" s="2">
        <f t="shared" si="3"/>
        <v>191.38399999999999</v>
      </c>
      <c r="H192" s="2">
        <f t="shared" si="4"/>
        <v>52.137999999999998</v>
      </c>
      <c r="I192" s="2">
        <f t="shared" si="5"/>
        <v>83.333999999999989</v>
      </c>
    </row>
    <row r="193" spans="1:9">
      <c r="A193" s="1">
        <v>42919.711898148104</v>
      </c>
      <c r="B193">
        <v>73.5</v>
      </c>
      <c r="C193">
        <v>18.8</v>
      </c>
      <c r="D193">
        <v>15.53</v>
      </c>
      <c r="E193">
        <v>42.6</v>
      </c>
      <c r="F193">
        <v>4.7699999999999996</v>
      </c>
      <c r="G193" s="2">
        <f t="shared" si="3"/>
        <v>138.17999999999998</v>
      </c>
      <c r="H193" s="2">
        <f t="shared" si="4"/>
        <v>49.256000000000007</v>
      </c>
      <c r="I193" s="2">
        <f t="shared" si="5"/>
        <v>48.564</v>
      </c>
    </row>
    <row r="194" spans="1:9">
      <c r="A194" s="1">
        <v>42919.712592592601</v>
      </c>
      <c r="B194">
        <v>8.8000000000000007</v>
      </c>
      <c r="C194">
        <v>12.4</v>
      </c>
      <c r="D194">
        <v>20.52</v>
      </c>
      <c r="E194">
        <v>6.8</v>
      </c>
      <c r="F194">
        <v>0.5</v>
      </c>
      <c r="G194" s="2">
        <f t="shared" si="3"/>
        <v>16.544</v>
      </c>
      <c r="H194" s="2">
        <f t="shared" si="4"/>
        <v>32.488</v>
      </c>
      <c r="I194" s="2">
        <f t="shared" si="5"/>
        <v>7.7519999999999989</v>
      </c>
    </row>
    <row r="195" spans="1:9">
      <c r="A195" s="1">
        <v>42919.713287036997</v>
      </c>
      <c r="B195">
        <v>8.6</v>
      </c>
      <c r="C195">
        <v>8.5</v>
      </c>
      <c r="D195">
        <v>20.45</v>
      </c>
      <c r="E195">
        <v>6.8</v>
      </c>
      <c r="F195">
        <v>0.8</v>
      </c>
      <c r="G195" s="2">
        <f t="shared" si="3"/>
        <v>16.167999999999999</v>
      </c>
      <c r="H195" s="2">
        <f t="shared" si="4"/>
        <v>22.27</v>
      </c>
      <c r="I195" s="2">
        <f t="shared" si="5"/>
        <v>7.7519999999999989</v>
      </c>
    </row>
    <row r="196" spans="1:9">
      <c r="A196" s="1">
        <v>42919.713981481502</v>
      </c>
      <c r="B196">
        <v>71.7</v>
      </c>
      <c r="C196">
        <v>9.1999999999999993</v>
      </c>
      <c r="D196">
        <v>15.41</v>
      </c>
      <c r="E196">
        <v>31.9</v>
      </c>
      <c r="F196">
        <v>5.83</v>
      </c>
      <c r="G196" s="2">
        <f t="shared" si="3"/>
        <v>134.79599999999999</v>
      </c>
      <c r="H196" s="2">
        <f t="shared" si="4"/>
        <v>24.103999999999999</v>
      </c>
      <c r="I196" s="2">
        <f t="shared" si="5"/>
        <v>36.365999999999993</v>
      </c>
    </row>
    <row r="197" spans="1:9">
      <c r="A197" s="1">
        <v>42919.714675925898</v>
      </c>
      <c r="B197">
        <v>115</v>
      </c>
      <c r="C197">
        <v>16.3</v>
      </c>
      <c r="D197">
        <v>12.26</v>
      </c>
      <c r="E197">
        <v>41.8</v>
      </c>
      <c r="F197">
        <v>8.3800000000000008</v>
      </c>
      <c r="G197" s="2">
        <f t="shared" ref="G197:G208" si="6">B197*1.88</f>
        <v>216.2</v>
      </c>
      <c r="H197" s="2">
        <f t="shared" ref="H197:H208" si="7">C197*2.62</f>
        <v>42.706000000000003</v>
      </c>
      <c r="I197" s="2">
        <f t="shared" ref="I197:I208" si="8">E197*1.14</f>
        <v>47.651999999999994</v>
      </c>
    </row>
    <row r="198" spans="1:9">
      <c r="A198" s="1">
        <v>42919.715370370403</v>
      </c>
      <c r="B198">
        <v>121.9</v>
      </c>
      <c r="C198">
        <v>19.8</v>
      </c>
      <c r="D198">
        <v>11.73</v>
      </c>
      <c r="E198">
        <v>40.799999999999997</v>
      </c>
      <c r="F198">
        <v>8.84</v>
      </c>
      <c r="G198" s="2">
        <f t="shared" si="6"/>
        <v>229.172</v>
      </c>
      <c r="H198" s="2">
        <f t="shared" si="7"/>
        <v>51.876000000000005</v>
      </c>
      <c r="I198" s="2">
        <f t="shared" si="8"/>
        <v>46.511999999999993</v>
      </c>
    </row>
    <row r="199" spans="1:9">
      <c r="A199" s="1">
        <v>42919.716064814798</v>
      </c>
      <c r="B199">
        <v>124.8</v>
      </c>
      <c r="C199">
        <v>21.1</v>
      </c>
      <c r="D199">
        <v>11.37</v>
      </c>
      <c r="E199">
        <v>43.1</v>
      </c>
      <c r="F199">
        <v>9.16</v>
      </c>
      <c r="G199" s="2">
        <f t="shared" si="6"/>
        <v>234.624</v>
      </c>
      <c r="H199" s="2">
        <f t="shared" si="7"/>
        <v>55.282000000000004</v>
      </c>
      <c r="I199" s="2">
        <f t="shared" si="8"/>
        <v>49.134</v>
      </c>
    </row>
    <row r="200" spans="1:9">
      <c r="A200" s="1">
        <v>42919.716759259303</v>
      </c>
      <c r="B200">
        <v>126.3</v>
      </c>
      <c r="C200">
        <v>22.1</v>
      </c>
      <c r="D200">
        <v>11.06</v>
      </c>
      <c r="E200">
        <v>52.1</v>
      </c>
      <c r="F200">
        <v>9.4600000000000009</v>
      </c>
      <c r="G200" s="2">
        <f t="shared" si="6"/>
        <v>237.44399999999999</v>
      </c>
      <c r="H200" s="2">
        <f t="shared" si="7"/>
        <v>57.902000000000008</v>
      </c>
      <c r="I200" s="2">
        <f t="shared" si="8"/>
        <v>59.393999999999998</v>
      </c>
    </row>
    <row r="201" spans="1:9">
      <c r="A201" s="1">
        <v>42919.717453703699</v>
      </c>
      <c r="B201">
        <v>127.3</v>
      </c>
      <c r="C201">
        <v>22.6</v>
      </c>
      <c r="D201">
        <v>10.81</v>
      </c>
      <c r="E201">
        <v>86.4</v>
      </c>
      <c r="F201">
        <v>9.6999999999999993</v>
      </c>
      <c r="G201" s="2">
        <f t="shared" si="6"/>
        <v>239.32399999999998</v>
      </c>
      <c r="H201" s="2">
        <f t="shared" si="7"/>
        <v>59.212000000000003</v>
      </c>
      <c r="I201" s="2">
        <f t="shared" si="8"/>
        <v>98.495999999999995</v>
      </c>
    </row>
    <row r="202" spans="1:9">
      <c r="A202" s="1">
        <v>42919.718148148102</v>
      </c>
      <c r="B202">
        <v>130</v>
      </c>
      <c r="C202">
        <v>23.4</v>
      </c>
      <c r="D202">
        <v>10.49</v>
      </c>
      <c r="E202">
        <v>157.1</v>
      </c>
      <c r="F202">
        <v>10</v>
      </c>
      <c r="G202" s="2">
        <f t="shared" si="6"/>
        <v>244.39999999999998</v>
      </c>
      <c r="H202" s="2">
        <f t="shared" si="7"/>
        <v>61.308</v>
      </c>
      <c r="I202" s="2">
        <f t="shared" si="8"/>
        <v>179.09399999999997</v>
      </c>
    </row>
    <row r="203" spans="1:9">
      <c r="A203" s="1">
        <v>42919.7188425926</v>
      </c>
      <c r="B203">
        <v>132.80000000000001</v>
      </c>
      <c r="C203">
        <v>24.1</v>
      </c>
      <c r="D203">
        <v>10.23</v>
      </c>
      <c r="E203">
        <v>241.8</v>
      </c>
      <c r="F203">
        <v>10.24</v>
      </c>
      <c r="G203" s="2">
        <f t="shared" si="6"/>
        <v>249.66400000000002</v>
      </c>
      <c r="H203" s="2">
        <f t="shared" si="7"/>
        <v>63.142000000000003</v>
      </c>
      <c r="I203" s="2">
        <f t="shared" si="8"/>
        <v>275.65199999999999</v>
      </c>
    </row>
    <row r="204" spans="1:9">
      <c r="A204" s="1">
        <v>42919.719537037003</v>
      </c>
      <c r="B204">
        <v>132.5</v>
      </c>
      <c r="C204">
        <v>24.9</v>
      </c>
      <c r="D204">
        <v>9.92</v>
      </c>
      <c r="E204">
        <v>365.8</v>
      </c>
      <c r="F204">
        <v>10.53</v>
      </c>
      <c r="G204" s="2">
        <f t="shared" si="6"/>
        <v>249.1</v>
      </c>
      <c r="H204" s="2">
        <f t="shared" si="7"/>
        <v>65.238</v>
      </c>
      <c r="I204" s="2">
        <f t="shared" si="8"/>
        <v>417.012</v>
      </c>
    </row>
    <row r="205" spans="1:9">
      <c r="A205" s="1">
        <v>42919.7202314815</v>
      </c>
      <c r="B205">
        <v>131.69999999999999</v>
      </c>
      <c r="C205">
        <v>26.1</v>
      </c>
      <c r="D205">
        <v>9.66</v>
      </c>
      <c r="E205">
        <v>540.9</v>
      </c>
      <c r="F205">
        <v>10.77</v>
      </c>
      <c r="G205" s="2">
        <f t="shared" si="6"/>
        <v>247.59599999999998</v>
      </c>
      <c r="H205" s="2">
        <f t="shared" si="7"/>
        <v>68.382000000000005</v>
      </c>
      <c r="I205" s="2">
        <f t="shared" si="8"/>
        <v>616.62599999999998</v>
      </c>
    </row>
    <row r="206" spans="1:9">
      <c r="A206" s="1">
        <v>42919.720925925903</v>
      </c>
      <c r="B206">
        <v>132.4</v>
      </c>
      <c r="C206">
        <v>27.5</v>
      </c>
      <c r="D206">
        <v>9.3699999999999992</v>
      </c>
      <c r="E206">
        <v>827.2</v>
      </c>
      <c r="F206">
        <v>11.02</v>
      </c>
      <c r="G206" s="2">
        <f t="shared" si="6"/>
        <v>248.91200000000001</v>
      </c>
      <c r="H206" s="2">
        <f t="shared" si="7"/>
        <v>72.05</v>
      </c>
      <c r="I206" s="2">
        <f t="shared" si="8"/>
        <v>943.00799999999992</v>
      </c>
    </row>
    <row r="207" spans="1:9">
      <c r="A207" s="1">
        <v>42919.721620370401</v>
      </c>
      <c r="B207">
        <v>133.30000000000001</v>
      </c>
      <c r="C207">
        <v>29</v>
      </c>
      <c r="D207">
        <v>9.14</v>
      </c>
      <c r="E207">
        <v>1107.4000000000001</v>
      </c>
      <c r="F207">
        <v>11.24</v>
      </c>
      <c r="G207" s="2">
        <f t="shared" si="6"/>
        <v>250.60400000000001</v>
      </c>
      <c r="H207" s="2">
        <f t="shared" si="7"/>
        <v>75.98</v>
      </c>
      <c r="I207" s="2">
        <f t="shared" si="8"/>
        <v>1262.4359999999999</v>
      </c>
    </row>
    <row r="208" spans="1:9">
      <c r="A208" s="1">
        <v>42919.722314814797</v>
      </c>
      <c r="B208">
        <v>134.80000000000001</v>
      </c>
      <c r="C208">
        <v>29.9</v>
      </c>
      <c r="D208">
        <v>8.9700000000000006</v>
      </c>
      <c r="E208">
        <v>1182.9000000000001</v>
      </c>
      <c r="F208">
        <v>11.39</v>
      </c>
      <c r="G208" s="2">
        <f t="shared" si="6"/>
        <v>253.42400000000001</v>
      </c>
      <c r="H208" s="2">
        <f t="shared" si="7"/>
        <v>78.337999999999994</v>
      </c>
      <c r="I208" s="2">
        <f t="shared" si="8"/>
        <v>1348.5060000000001</v>
      </c>
    </row>
    <row r="209" spans="1:6" hidden="1">
      <c r="A209" s="1">
        <v>42919.723009259302</v>
      </c>
      <c r="B209">
        <v>135.9</v>
      </c>
      <c r="C209">
        <v>29.9</v>
      </c>
      <c r="D209">
        <v>8.89</v>
      </c>
      <c r="E209">
        <v>1093.0999999999999</v>
      </c>
      <c r="F209">
        <v>11.48</v>
      </c>
    </row>
    <row r="210" spans="1:6" hidden="1">
      <c r="A210" s="1">
        <v>42919.723703703698</v>
      </c>
      <c r="B210">
        <v>136.30000000000001</v>
      </c>
      <c r="C210">
        <v>29.9</v>
      </c>
      <c r="D210">
        <v>8.7200000000000006</v>
      </c>
      <c r="E210">
        <v>1220.3</v>
      </c>
      <c r="F210">
        <v>11.62</v>
      </c>
    </row>
    <row r="211" spans="1:6" hidden="1">
      <c r="A211" s="1">
        <v>42919.724398148202</v>
      </c>
      <c r="B211">
        <v>137</v>
      </c>
      <c r="C211">
        <v>31.9</v>
      </c>
      <c r="D211">
        <v>8.51</v>
      </c>
      <c r="E211">
        <v>1612.8</v>
      </c>
      <c r="F211">
        <v>11.81</v>
      </c>
    </row>
    <row r="212" spans="1:6" hidden="1">
      <c r="A212" s="1">
        <v>42919.725092592598</v>
      </c>
      <c r="B212">
        <v>136.9</v>
      </c>
      <c r="C212">
        <v>33.5</v>
      </c>
      <c r="D212">
        <v>8.56</v>
      </c>
      <c r="E212">
        <v>1765.3</v>
      </c>
      <c r="F212">
        <v>11.8</v>
      </c>
    </row>
    <row r="213" spans="1:6" hidden="1">
      <c r="A213" s="1">
        <v>42919.725787037001</v>
      </c>
      <c r="B213">
        <v>8.8000000000000007</v>
      </c>
      <c r="C213">
        <v>14.1</v>
      </c>
      <c r="D213">
        <v>20.5</v>
      </c>
      <c r="E213">
        <v>145.6</v>
      </c>
      <c r="F213">
        <v>0.74</v>
      </c>
    </row>
    <row r="214" spans="1:6" hidden="1">
      <c r="A214" s="1">
        <v>0.72638888888888886</v>
      </c>
    </row>
    <row r="215" spans="1:6" hidden="1">
      <c r="A215" s="1">
        <v>0.7270833333333333</v>
      </c>
    </row>
    <row r="216" spans="1:6" hidden="1">
      <c r="A216" s="1">
        <v>0.72777777777777775</v>
      </c>
    </row>
    <row r="217" spans="1:6" hidden="1">
      <c r="A217" s="1">
        <v>42919.728819444397</v>
      </c>
      <c r="B217">
        <v>0.2</v>
      </c>
      <c r="C217">
        <v>4.9000000000000004</v>
      </c>
      <c r="D217">
        <v>21</v>
      </c>
      <c r="E217">
        <v>23.6</v>
      </c>
      <c r="F217">
        <v>0.12</v>
      </c>
    </row>
    <row r="218" spans="1:6" hidden="1">
      <c r="A218" s="1">
        <v>42919.729513888902</v>
      </c>
      <c r="B218">
        <v>0.2</v>
      </c>
      <c r="C218">
        <v>5.7</v>
      </c>
      <c r="D218">
        <v>13.25</v>
      </c>
      <c r="E218">
        <v>10.7</v>
      </c>
      <c r="F218">
        <v>0.08</v>
      </c>
    </row>
    <row r="219" spans="1:6" hidden="1">
      <c r="A219" s="1">
        <v>42919.730208333298</v>
      </c>
      <c r="B219">
        <v>0.1</v>
      </c>
      <c r="C219">
        <v>2.2000000000000002</v>
      </c>
      <c r="D219">
        <v>0.35</v>
      </c>
      <c r="E219">
        <v>0.1</v>
      </c>
      <c r="F219">
        <v>0.08</v>
      </c>
    </row>
    <row r="220" spans="1:6" hidden="1">
      <c r="A220" s="1">
        <v>42919.730902777803</v>
      </c>
      <c r="B220">
        <v>0.1</v>
      </c>
      <c r="C220">
        <v>1.9</v>
      </c>
      <c r="D220">
        <v>0.06</v>
      </c>
      <c r="E220">
        <v>0</v>
      </c>
      <c r="F220">
        <v>0.08</v>
      </c>
    </row>
    <row r="221" spans="1:6" hidden="1">
      <c r="A221" s="1">
        <v>42919.731597222199</v>
      </c>
      <c r="B221">
        <v>0.1</v>
      </c>
      <c r="C221">
        <v>1.7</v>
      </c>
      <c r="D221">
        <v>0</v>
      </c>
      <c r="E221">
        <v>0</v>
      </c>
      <c r="F221">
        <v>0.08</v>
      </c>
    </row>
    <row r="222" spans="1:6" hidden="1">
      <c r="A222" s="1">
        <v>42919.732291666704</v>
      </c>
      <c r="B222">
        <v>0.1</v>
      </c>
      <c r="C222">
        <v>2.7</v>
      </c>
      <c r="D222">
        <v>3.52</v>
      </c>
      <c r="E222">
        <v>0.5</v>
      </c>
      <c r="F222">
        <v>0.08</v>
      </c>
    </row>
    <row r="223" spans="1:6" hidden="1">
      <c r="A223" s="1">
        <v>42919.732986111099</v>
      </c>
      <c r="B223">
        <v>292.8</v>
      </c>
      <c r="C223">
        <v>2.6</v>
      </c>
      <c r="D223">
        <v>6.97</v>
      </c>
      <c r="E223">
        <v>876</v>
      </c>
      <c r="F223">
        <v>0.08</v>
      </c>
    </row>
    <row r="224" spans="1:6" hidden="1">
      <c r="A224" s="1">
        <v>42919.733680555597</v>
      </c>
      <c r="B224">
        <v>437.7</v>
      </c>
      <c r="C224">
        <v>1.4</v>
      </c>
      <c r="D224">
        <v>0.01</v>
      </c>
      <c r="E224">
        <v>955.7</v>
      </c>
      <c r="F224">
        <v>0.08</v>
      </c>
    </row>
    <row r="225" spans="1:6" hidden="1">
      <c r="A225" s="1">
        <v>42919.734375</v>
      </c>
      <c r="B225">
        <v>444.3</v>
      </c>
      <c r="C225">
        <v>1.3</v>
      </c>
      <c r="D225">
        <v>0.01</v>
      </c>
      <c r="E225">
        <v>973.4</v>
      </c>
      <c r="F225">
        <v>0.08</v>
      </c>
    </row>
    <row r="226" spans="1:6" hidden="1">
      <c r="A226" s="1">
        <v>42919.735069444403</v>
      </c>
      <c r="B226">
        <v>445.5</v>
      </c>
      <c r="C226">
        <v>1.3</v>
      </c>
      <c r="D226">
        <v>0.01</v>
      </c>
      <c r="E226">
        <v>975.6</v>
      </c>
      <c r="F226">
        <v>0.08</v>
      </c>
    </row>
    <row r="227" spans="1:6" hidden="1">
      <c r="A227" s="1">
        <v>42919.735763888901</v>
      </c>
      <c r="B227">
        <v>446.5</v>
      </c>
      <c r="C227">
        <v>1.2</v>
      </c>
      <c r="D227">
        <v>0.01</v>
      </c>
      <c r="E227">
        <v>976.5</v>
      </c>
      <c r="F227">
        <v>0.08</v>
      </c>
    </row>
    <row r="228" spans="1:6" hidden="1">
      <c r="A228" s="1">
        <v>42919.736458333296</v>
      </c>
      <c r="B228">
        <v>446.7</v>
      </c>
      <c r="C228">
        <v>1.1000000000000001</v>
      </c>
      <c r="D228">
        <v>0.01</v>
      </c>
      <c r="E228">
        <v>976.8</v>
      </c>
      <c r="F228">
        <v>0.08</v>
      </c>
    </row>
    <row r="229" spans="1:6" hidden="1">
      <c r="A229" s="1">
        <v>42919.737152777801</v>
      </c>
      <c r="B229">
        <v>62.8</v>
      </c>
      <c r="C229">
        <v>5.3</v>
      </c>
      <c r="D229">
        <v>12.36</v>
      </c>
      <c r="E229">
        <v>214.9</v>
      </c>
      <c r="F229">
        <v>0.02</v>
      </c>
    </row>
    <row r="230" spans="1:6" hidden="1">
      <c r="A230" s="1">
        <v>42919.737847222197</v>
      </c>
      <c r="B230">
        <v>0.7</v>
      </c>
      <c r="C230">
        <v>763.3</v>
      </c>
      <c r="D230">
        <v>4.49</v>
      </c>
      <c r="E230">
        <v>3.7</v>
      </c>
      <c r="F230">
        <v>17.37</v>
      </c>
    </row>
    <row r="231" spans="1:6" hidden="1">
      <c r="A231" s="1">
        <v>42919.738541666702</v>
      </c>
      <c r="B231">
        <v>0.2</v>
      </c>
      <c r="C231">
        <v>965.1</v>
      </c>
      <c r="D231">
        <v>4.49</v>
      </c>
      <c r="E231">
        <v>1.7</v>
      </c>
      <c r="F231">
        <v>18.600000000000001</v>
      </c>
    </row>
    <row r="232" spans="1:6" hidden="1">
      <c r="A232" s="1">
        <v>42919.739236111098</v>
      </c>
      <c r="B232">
        <v>0.1</v>
      </c>
      <c r="C232">
        <v>963.7</v>
      </c>
      <c r="D232">
        <v>4.49</v>
      </c>
      <c r="E232">
        <v>0.7</v>
      </c>
      <c r="F232">
        <v>18.600000000000001</v>
      </c>
    </row>
    <row r="233" spans="1:6" hidden="1">
      <c r="A233" s="1">
        <v>42919.739930555603</v>
      </c>
      <c r="B233">
        <v>0.1</v>
      </c>
      <c r="C233">
        <v>470.1</v>
      </c>
      <c r="D233">
        <v>6.26</v>
      </c>
      <c r="E233">
        <v>4.9000000000000004</v>
      </c>
      <c r="F233">
        <v>8.17</v>
      </c>
    </row>
    <row r="234" spans="1:6" hidden="1">
      <c r="A234" s="1">
        <v>42919.740624999999</v>
      </c>
      <c r="B234">
        <v>0.1</v>
      </c>
      <c r="C234">
        <v>1.7</v>
      </c>
      <c r="D234">
        <v>23.15</v>
      </c>
      <c r="E234">
        <v>3.9</v>
      </c>
      <c r="F234">
        <v>0.33</v>
      </c>
    </row>
    <row r="235" spans="1:6" hidden="1">
      <c r="A235" s="1">
        <v>42919.741319444402</v>
      </c>
      <c r="B235">
        <v>0.1</v>
      </c>
      <c r="C235">
        <v>0.2</v>
      </c>
      <c r="D235">
        <v>23.21</v>
      </c>
      <c r="E235">
        <v>1.1000000000000001</v>
      </c>
      <c r="F235">
        <v>0.1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Untitled1.変換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森本 一義</dc:creator>
  <cp:lastModifiedBy>DELL</cp:lastModifiedBy>
  <dcterms:created xsi:type="dcterms:W3CDTF">2017-07-06T14:09:35Z</dcterms:created>
  <dcterms:modified xsi:type="dcterms:W3CDTF">2017-07-11T02:11:38Z</dcterms:modified>
</cp:coreProperties>
</file>