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drawings/drawing2.xml" ContentType="application/vnd.openxmlformats-officedocument.drawing+xml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drawings/drawing3.xml" ContentType="application/vnd.openxmlformats-officedocument.drawing+xml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drawings/drawing4.xml" ContentType="application/vnd.openxmlformats-officedocument.drawing+xml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drawings/drawing5.xml" ContentType="application/vnd.openxmlformats-officedocument.drawing+xml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drawings/drawing6.xml" ContentType="application/vnd.openxmlformats-officedocument.drawing+xml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drawings/drawing7.xml" ContentType="application/vnd.openxmlformats-officedocument.drawing+xml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drawings/drawing8.xml" ContentType="application/vnd.openxmlformats-officedocument.drawing+xml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drawings/drawing9.xml" ContentType="application/vnd.openxmlformats-officedocument.drawing+xml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drawings/drawing10.xml" ContentType="application/vnd.openxmlformats-officedocument.drawing+xml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drawings/drawing11.xml" ContentType="application/vnd.openxmlformats-officedocument.drawing+xml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drawings/drawing12.xml" ContentType="application/vnd.openxmlformats-officedocument.drawing+xml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drawings/drawing13.xml" ContentType="application/vnd.openxmlformats-officedocument.drawing+xml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drawings/drawing14.xml" ContentType="application/vnd.openxmlformats-officedocument.drawing+xml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drawings/drawing15.xml" ContentType="application/vnd.openxmlformats-officedocument.drawing+xml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04\Documents\MONITOR - May-17\DVM-039-003\"/>
    </mc:Choice>
  </mc:AlternateContent>
  <bookViews>
    <workbookView xWindow="0" yWindow="0" windowWidth="20490" windowHeight="7905" firstSheet="10" activeTab="12"/>
  </bookViews>
  <sheets>
    <sheet name="O2 - 10%" sheetId="5" r:id="rId1"/>
    <sheet name="O2 - 25%" sheetId="6" r:id="rId2"/>
    <sheet name="SO2 - 200ppm" sheetId="7" r:id="rId3"/>
    <sheet name="SO2 - 500ppm" sheetId="13" r:id="rId4"/>
    <sheet name="SO2 - 1000ppm" sheetId="2" r:id="rId5"/>
    <sheet name="NO - 50ppm" sheetId="12" r:id="rId6"/>
    <sheet name="NO - 100ppm" sheetId="8" r:id="rId7"/>
    <sheet name="NO - 250ppm" sheetId="9" r:id="rId8"/>
    <sheet name="NO - 500ppm" sheetId="10" r:id="rId9"/>
    <sheet name="NO - 2500ppm" sheetId="11" r:id="rId10"/>
    <sheet name="NOx - 50ppm" sheetId="19" r:id="rId11"/>
    <sheet name="NOx - 100ppm" sheetId="18" r:id="rId12"/>
    <sheet name="NOx - 250ppm" sheetId="17" r:id="rId13"/>
    <sheet name="NOx - 500ppm" sheetId="16" r:id="rId14"/>
    <sheet name="NOx - 2500ppm" sheetId="15" r:id="rId1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70" i="19" l="1"/>
  <c r="Y69" i="19" s="1"/>
  <c r="AC69" i="19" s="1"/>
  <c r="F70" i="19"/>
  <c r="K69" i="19" s="1"/>
  <c r="O69" i="19" s="1"/>
  <c r="Z58" i="19"/>
  <c r="X56" i="19"/>
  <c r="X55" i="19"/>
  <c r="V40" i="19"/>
  <c r="V23" i="19"/>
  <c r="T70" i="18"/>
  <c r="Y69" i="18" s="1"/>
  <c r="F70" i="18"/>
  <c r="K67" i="18" s="1"/>
  <c r="O67" i="18" s="1"/>
  <c r="K69" i="18"/>
  <c r="O69" i="18" s="1"/>
  <c r="K68" i="18"/>
  <c r="O68" i="18" s="1"/>
  <c r="Z58" i="18"/>
  <c r="X56" i="18"/>
  <c r="X55" i="18"/>
  <c r="V40" i="18"/>
  <c r="V23" i="18"/>
  <c r="T70" i="17"/>
  <c r="Y69" i="17" s="1"/>
  <c r="F70" i="17"/>
  <c r="K69" i="17" s="1"/>
  <c r="O69" i="17" s="1"/>
  <c r="Z58" i="17"/>
  <c r="X56" i="17"/>
  <c r="X55" i="17"/>
  <c r="V40" i="17"/>
  <c r="V23" i="17"/>
  <c r="K67" i="19" l="1"/>
  <c r="O67" i="19" s="1"/>
  <c r="K68" i="19"/>
  <c r="O68" i="19" s="1"/>
  <c r="Y68" i="19"/>
  <c r="AC68" i="19" s="1"/>
  <c r="Y67" i="19"/>
  <c r="AC67" i="19" s="1"/>
  <c r="AC70" i="19" s="1"/>
  <c r="O70" i="18"/>
  <c r="Y68" i="18"/>
  <c r="AC68" i="18" s="1"/>
  <c r="AC69" i="18"/>
  <c r="Y67" i="18"/>
  <c r="AC67" i="18" s="1"/>
  <c r="K67" i="17"/>
  <c r="O67" i="17" s="1"/>
  <c r="K68" i="17"/>
  <c r="O68" i="17" s="1"/>
  <c r="Y68" i="17"/>
  <c r="AC68" i="17" s="1"/>
  <c r="AC69" i="17"/>
  <c r="Y67" i="17"/>
  <c r="AC67" i="17" s="1"/>
  <c r="T70" i="16"/>
  <c r="Y69" i="16" s="1"/>
  <c r="AC69" i="16" s="1"/>
  <c r="F70" i="16"/>
  <c r="K69" i="16" s="1"/>
  <c r="O69" i="16" s="1"/>
  <c r="Z58" i="16"/>
  <c r="X56" i="16"/>
  <c r="X55" i="16"/>
  <c r="V40" i="16"/>
  <c r="V23" i="16"/>
  <c r="T70" i="15"/>
  <c r="Y69" i="15" s="1"/>
  <c r="F70" i="15"/>
  <c r="K68" i="15" s="1"/>
  <c r="O68" i="15" s="1"/>
  <c r="Z58" i="15"/>
  <c r="X56" i="15"/>
  <c r="X55" i="15"/>
  <c r="V40" i="15"/>
  <c r="V23" i="15"/>
  <c r="X55" i="9"/>
  <c r="O70" i="19" l="1"/>
  <c r="AC70" i="18"/>
  <c r="AC70" i="17"/>
  <c r="O70" i="17"/>
  <c r="Y67" i="16"/>
  <c r="AC67" i="16" s="1"/>
  <c r="Y68" i="16"/>
  <c r="AC68" i="16" s="1"/>
  <c r="K67" i="16"/>
  <c r="O67" i="16" s="1"/>
  <c r="K68" i="16"/>
  <c r="O68" i="16" s="1"/>
  <c r="Y67" i="15"/>
  <c r="AC67" i="15" s="1"/>
  <c r="Y68" i="15"/>
  <c r="AC69" i="15"/>
  <c r="K67" i="15"/>
  <c r="O67" i="15" s="1"/>
  <c r="K69" i="15"/>
  <c r="O69" i="15" s="1"/>
  <c r="AC68" i="15"/>
  <c r="Z58" i="6"/>
  <c r="Z58" i="7"/>
  <c r="Z58" i="13"/>
  <c r="Z58" i="2"/>
  <c r="Z58" i="12"/>
  <c r="Z58" i="8"/>
  <c r="Z58" i="9"/>
  <c r="Z58" i="10"/>
  <c r="Z58" i="11"/>
  <c r="Z58" i="5"/>
  <c r="AC70" i="16" l="1"/>
  <c r="O70" i="16"/>
  <c r="O70" i="15"/>
  <c r="AC70" i="15"/>
  <c r="T70" i="13"/>
  <c r="Y69" i="13" s="1"/>
  <c r="F70" i="13"/>
  <c r="K69" i="13" s="1"/>
  <c r="X56" i="13"/>
  <c r="X55" i="13"/>
  <c r="V40" i="13"/>
  <c r="V23" i="13"/>
  <c r="Y67" i="13" l="1"/>
  <c r="AC67" i="13" s="1"/>
  <c r="Y68" i="13"/>
  <c r="AC68" i="13" s="1"/>
  <c r="K68" i="13"/>
  <c r="O68" i="13" s="1"/>
  <c r="K67" i="13"/>
  <c r="O67" i="13" s="1"/>
  <c r="O69" i="13"/>
  <c r="AC69" i="13"/>
  <c r="T70" i="12"/>
  <c r="Y69" i="12" s="1"/>
  <c r="F70" i="12"/>
  <c r="K69" i="12" s="1"/>
  <c r="X56" i="12"/>
  <c r="X55" i="12"/>
  <c r="V40" i="12"/>
  <c r="V23" i="12"/>
  <c r="AC70" i="13" l="1"/>
  <c r="O70" i="13"/>
  <c r="Y67" i="12"/>
  <c r="AC67" i="12" s="1"/>
  <c r="Y68" i="12"/>
  <c r="AC68" i="12" s="1"/>
  <c r="O69" i="12"/>
  <c r="AC69" i="12"/>
  <c r="K67" i="12"/>
  <c r="O67" i="12" s="1"/>
  <c r="K68" i="12"/>
  <c r="O68" i="12" s="1"/>
  <c r="T70" i="11"/>
  <c r="Y69" i="11" s="1"/>
  <c r="F70" i="11"/>
  <c r="K69" i="11" s="1"/>
  <c r="X56" i="11"/>
  <c r="X55" i="11"/>
  <c r="V40" i="11"/>
  <c r="V23" i="11"/>
  <c r="T70" i="10"/>
  <c r="Y69" i="10" s="1"/>
  <c r="F70" i="10"/>
  <c r="K69" i="10" s="1"/>
  <c r="X56" i="10"/>
  <c r="X55" i="10"/>
  <c r="V40" i="10"/>
  <c r="V23" i="10"/>
  <c r="T70" i="9"/>
  <c r="Y69" i="9" s="1"/>
  <c r="F70" i="9"/>
  <c r="K68" i="9" s="1"/>
  <c r="O68" i="9" s="1"/>
  <c r="X56" i="9"/>
  <c r="V40" i="9"/>
  <c r="V23" i="9"/>
  <c r="K69" i="9" l="1"/>
  <c r="Y67" i="11"/>
  <c r="K67" i="9"/>
  <c r="O67" i="9" s="1"/>
  <c r="AC70" i="12"/>
  <c r="O70" i="12"/>
  <c r="Y68" i="11"/>
  <c r="AC68" i="11" s="1"/>
  <c r="K68" i="11"/>
  <c r="O68" i="11" s="1"/>
  <c r="K67" i="11"/>
  <c r="O67" i="11" s="1"/>
  <c r="O69" i="11"/>
  <c r="AC67" i="11"/>
  <c r="AC69" i="11"/>
  <c r="Y67" i="10"/>
  <c r="AC67" i="10" s="1"/>
  <c r="Y68" i="10"/>
  <c r="AC68" i="10" s="1"/>
  <c r="K68" i="10"/>
  <c r="O68" i="10" s="1"/>
  <c r="K67" i="10"/>
  <c r="O67" i="10" s="1"/>
  <c r="O69" i="10"/>
  <c r="AC69" i="10"/>
  <c r="Y68" i="9"/>
  <c r="AC68" i="9" s="1"/>
  <c r="Y67" i="9"/>
  <c r="AC67" i="9" s="1"/>
  <c r="O69" i="9"/>
  <c r="AC69" i="9"/>
  <c r="T70" i="8"/>
  <c r="Y69" i="8" s="1"/>
  <c r="AC69" i="8" s="1"/>
  <c r="F70" i="8"/>
  <c r="K69" i="8" s="1"/>
  <c r="O69" i="8" s="1"/>
  <c r="X56" i="8"/>
  <c r="X55" i="8"/>
  <c r="V40" i="8"/>
  <c r="V23" i="8"/>
  <c r="AC70" i="11" l="1"/>
  <c r="O70" i="11"/>
  <c r="AC70" i="10"/>
  <c r="O70" i="10"/>
  <c r="AC70" i="9"/>
  <c r="O70" i="9"/>
  <c r="Y67" i="8"/>
  <c r="AC67" i="8" s="1"/>
  <c r="Y68" i="8"/>
  <c r="AC68" i="8" s="1"/>
  <c r="AC70" i="8" s="1"/>
  <c r="K67" i="8"/>
  <c r="O67" i="8" s="1"/>
  <c r="K68" i="8"/>
  <c r="O68" i="8" s="1"/>
  <c r="V23" i="2"/>
  <c r="O70" i="8" l="1"/>
  <c r="V23" i="7"/>
  <c r="T70" i="7" l="1"/>
  <c r="Y68" i="7" s="1"/>
  <c r="AC68" i="7" s="1"/>
  <c r="F70" i="7"/>
  <c r="K69" i="7" s="1"/>
  <c r="O69" i="7" s="1"/>
  <c r="V40" i="7"/>
  <c r="K68" i="7" l="1"/>
  <c r="O68" i="7" s="1"/>
  <c r="Y67" i="7"/>
  <c r="AC67" i="7" s="1"/>
  <c r="K67" i="7"/>
  <c r="O67" i="7" s="1"/>
  <c r="Y69" i="7"/>
  <c r="AC69" i="7" s="1"/>
  <c r="AC70" i="7" s="1"/>
  <c r="X56" i="6"/>
  <c r="X56" i="2"/>
  <c r="X56" i="5"/>
  <c r="X55" i="6"/>
  <c r="X55" i="2"/>
  <c r="X55" i="5"/>
  <c r="O70" i="7" l="1"/>
  <c r="T70" i="2"/>
  <c r="F70" i="2"/>
  <c r="T70" i="6"/>
  <c r="F70" i="6"/>
  <c r="T70" i="5"/>
  <c r="F70" i="5"/>
  <c r="Y67" i="6" l="1"/>
  <c r="AC67" i="6" s="1"/>
  <c r="Y69" i="6"/>
  <c r="AC69" i="6" s="1"/>
  <c r="Y68" i="6"/>
  <c r="AC68" i="6" s="1"/>
  <c r="K67" i="6"/>
  <c r="O67" i="6" s="1"/>
  <c r="K69" i="6"/>
  <c r="O69" i="6" s="1"/>
  <c r="K68" i="6"/>
  <c r="O68" i="6" s="1"/>
  <c r="V40" i="6"/>
  <c r="V23" i="6"/>
  <c r="Y69" i="5"/>
  <c r="AC69" i="5" s="1"/>
  <c r="K69" i="5"/>
  <c r="O69" i="5" s="1"/>
  <c r="Y68" i="5"/>
  <c r="AC68" i="5" s="1"/>
  <c r="K68" i="5"/>
  <c r="O68" i="5" s="1"/>
  <c r="Y67" i="5"/>
  <c r="AC67" i="5" s="1"/>
  <c r="K67" i="5"/>
  <c r="O67" i="5" s="1"/>
  <c r="V40" i="5"/>
  <c r="V23" i="5"/>
  <c r="Y69" i="2"/>
  <c r="AC69" i="2" s="1"/>
  <c r="K69" i="2"/>
  <c r="O69" i="2" s="1"/>
  <c r="Y68" i="2"/>
  <c r="AC68" i="2" s="1"/>
  <c r="K68" i="2"/>
  <c r="O68" i="2" s="1"/>
  <c r="Y67" i="2"/>
  <c r="AC67" i="2" s="1"/>
  <c r="K67" i="2"/>
  <c r="O67" i="2" s="1"/>
  <c r="V40" i="2"/>
  <c r="AC70" i="5" l="1"/>
  <c r="AC70" i="6"/>
  <c r="O70" i="6"/>
  <c r="AC70" i="2"/>
  <c r="O70" i="5"/>
  <c r="O70" i="2"/>
</calcChain>
</file>

<file path=xl/sharedStrings.xml><?xml version="1.0" encoding="utf-8"?>
<sst xmlns="http://schemas.openxmlformats.org/spreadsheetml/2006/main" count="2331" uniqueCount="123">
  <si>
    <r>
      <t>NO</t>
    </r>
    <r>
      <rPr>
        <b/>
        <vertAlign val="subscript"/>
        <sz val="14"/>
        <rFont val="Times New Roman"/>
        <family val="1"/>
      </rPr>
      <t>x</t>
    </r>
    <r>
      <rPr>
        <b/>
        <sz val="14"/>
        <rFont val="Times New Roman"/>
        <family val="1"/>
      </rPr>
      <t>/O</t>
    </r>
    <r>
      <rPr>
        <b/>
        <vertAlign val="subscript"/>
        <sz val="14"/>
        <rFont val="Times New Roman"/>
        <family val="1"/>
      </rPr>
      <t>2</t>
    </r>
    <r>
      <rPr>
        <b/>
        <sz val="14"/>
        <rFont val="Times New Roman"/>
        <family val="1"/>
      </rPr>
      <t xml:space="preserve"> ANALYZER CALIBRATION RECORD</t>
    </r>
  </si>
  <si>
    <t>1/2</t>
  </si>
  <si>
    <t>Page</t>
  </si>
  <si>
    <t>Management number</t>
  </si>
  <si>
    <t>Calibration day</t>
  </si>
  <si>
    <t>Manufacturer - Model</t>
  </si>
  <si>
    <t>Expiration day</t>
  </si>
  <si>
    <t>Equipment number</t>
  </si>
  <si>
    <t>Effective time</t>
  </si>
  <si>
    <t>12 months since the last day of calibration month</t>
  </si>
  <si>
    <t>Type of the target concentration meter</t>
  </si>
  <si>
    <t>Calibration range</t>
  </si>
  <si>
    <t>R</t>
    <phoneticPr fontId="0"/>
  </si>
  <si>
    <t>ppm</t>
  </si>
  <si>
    <t>Checking Equipment</t>
  </si>
  <si>
    <t>Equipment name</t>
  </si>
  <si>
    <t>Manufacturer</t>
  </si>
  <si>
    <t>Cylinder number</t>
  </si>
  <si>
    <t>Concentration</t>
  </si>
  <si>
    <t>Zero adjustment gas</t>
  </si>
  <si>
    <t>Span calibration gas</t>
  </si>
  <si>
    <t>Checking gas</t>
  </si>
  <si>
    <t>A/D converter</t>
  </si>
  <si>
    <t>Computer using</t>
  </si>
  <si>
    <t>1. Responsiveness</t>
  </si>
  <si>
    <t>Indicated value of the span calibration gas</t>
  </si>
  <si>
    <t>Indication rate</t>
  </si>
  <si>
    <t>After 4 minutes</t>
  </si>
  <si>
    <t>After 10 minutes</t>
  </si>
  <si>
    <t>A</t>
  </si>
  <si>
    <t>B</t>
  </si>
  <si>
    <t>e</t>
  </si>
  <si>
    <t>%</t>
  </si>
  <si>
    <t>CO</t>
  </si>
  <si>
    <t>After 2 minutes 30 seconds</t>
  </si>
  <si>
    <t>After 6 minutes</t>
  </si>
  <si>
    <t>Result</t>
  </si>
  <si>
    <t>Pass</t>
  </si>
  <si>
    <t>Fail</t>
  </si>
  <si>
    <t>Evaluation criteria</t>
  </si>
  <si>
    <t>Indication rate is more than 90%</t>
  </si>
  <si>
    <t>Calculation formula</t>
  </si>
  <si>
    <t>2. Instrument error test</t>
  </si>
  <si>
    <t>Testing gas</t>
  </si>
  <si>
    <t>Instrument error compares with the highest concentration</t>
  </si>
  <si>
    <t>Indicated value</t>
  </si>
  <si>
    <t>C</t>
  </si>
  <si>
    <t>I</t>
  </si>
  <si>
    <t>Instrumental error is within ± 4%</t>
  </si>
  <si>
    <t>Checked by</t>
  </si>
  <si>
    <t>Tested by</t>
  </si>
  <si>
    <t>Overall assessment</t>
  </si>
  <si>
    <t xml:space="preserve">5 years </t>
  </si>
  <si>
    <r>
      <t>NOx/O</t>
    </r>
    <r>
      <rPr>
        <b/>
        <vertAlign val="subscript"/>
        <sz val="14"/>
        <rFont val="Times New Roman"/>
        <family val="1"/>
      </rPr>
      <t>2</t>
    </r>
    <r>
      <rPr>
        <b/>
        <sz val="14"/>
        <rFont val="Times New Roman"/>
        <family val="1"/>
      </rPr>
      <t xml:space="preserve"> ANALYZER CALIBRATION RECORD</t>
    </r>
  </si>
  <si>
    <t>2/2</t>
  </si>
  <si>
    <t>Nhà sản xuất - Model</t>
  </si>
  <si>
    <t xml:space="preserve">ppm </t>
  </si>
  <si>
    <t>3. Repeatability test</t>
  </si>
  <si>
    <t>ZERO adjustment gas</t>
  </si>
  <si>
    <t>Average error</t>
  </si>
  <si>
    <t>Error compares with the highest concentration</t>
  </si>
  <si>
    <r>
      <t>C</t>
    </r>
    <r>
      <rPr>
        <vertAlign val="subscript"/>
        <sz val="10"/>
        <rFont val="Times New Roman"/>
        <family val="1"/>
      </rPr>
      <t>0</t>
    </r>
  </si>
  <si>
    <r>
      <t>δ</t>
    </r>
    <r>
      <rPr>
        <vertAlign val="subscript"/>
        <sz val="10"/>
        <rFont val="Times New Roman"/>
        <family val="1"/>
      </rPr>
      <t>0</t>
    </r>
  </si>
  <si>
    <r>
      <t>e</t>
    </r>
    <r>
      <rPr>
        <vertAlign val="subscript"/>
        <sz val="10"/>
        <rFont val="Times New Roman"/>
        <family val="1"/>
      </rPr>
      <t>0</t>
    </r>
  </si>
  <si>
    <r>
      <t>C</t>
    </r>
    <r>
      <rPr>
        <vertAlign val="subscript"/>
        <sz val="10"/>
        <rFont val="Times New Roman"/>
        <family val="1"/>
      </rPr>
      <t>s</t>
    </r>
  </si>
  <si>
    <r>
      <t>δ</t>
    </r>
    <r>
      <rPr>
        <vertAlign val="subscript"/>
        <sz val="10"/>
        <rFont val="Times New Roman"/>
        <family val="1"/>
      </rPr>
      <t>s</t>
    </r>
  </si>
  <si>
    <r>
      <t>e</t>
    </r>
    <r>
      <rPr>
        <vertAlign val="subscript"/>
        <sz val="10"/>
        <rFont val="Times New Roman"/>
        <family val="1"/>
      </rPr>
      <t>s</t>
    </r>
  </si>
  <si>
    <t>Unit</t>
  </si>
  <si>
    <t>First time</t>
  </si>
  <si>
    <t>Second time</t>
  </si>
  <si>
    <t>Third time</t>
  </si>
  <si>
    <t>Average value</t>
  </si>
  <si>
    <t>̶</t>
  </si>
  <si>
    <r>
      <t xml:space="preserve">Error is within </t>
    </r>
    <r>
      <rPr>
        <sz val="10"/>
        <rFont val="Calibri"/>
        <family val="2"/>
      </rPr>
      <t>± 2%</t>
    </r>
  </si>
  <si>
    <t>TAKACHIHO</t>
  </si>
  <si>
    <t>KEYENCE NR 500</t>
  </si>
  <si>
    <t>Retention
period</t>
  </si>
  <si>
    <t>Storage
department</t>
  </si>
  <si>
    <t>Measurement office</t>
  </si>
  <si>
    <t>Revised 
(Enacted) date</t>
  </si>
  <si>
    <r>
      <t>O</t>
    </r>
    <r>
      <rPr>
        <vertAlign val="subscript"/>
        <sz val="11"/>
        <color theme="4" tint="-0.499984740745262"/>
        <rFont val="Times New Roman"/>
        <family val="1"/>
      </rPr>
      <t>2</t>
    </r>
  </si>
  <si>
    <r>
      <t>CO,  CO</t>
    </r>
    <r>
      <rPr>
        <vertAlign val="subscript"/>
        <sz val="10"/>
        <rFont val="Times New Roman"/>
        <family val="1"/>
      </rPr>
      <t>2</t>
    </r>
  </si>
  <si>
    <r>
      <t>CO, CO</t>
    </r>
    <r>
      <rPr>
        <vertAlign val="subscript"/>
        <sz val="10"/>
        <rFont val="Times New Roman"/>
        <family val="1"/>
      </rPr>
      <t>2</t>
    </r>
  </si>
  <si>
    <t>HORIBA PG - 337</t>
  </si>
  <si>
    <t>KD65DEUG</t>
  </si>
  <si>
    <t>DVM - 039 - 003</t>
  </si>
  <si>
    <r>
      <t>SO</t>
    </r>
    <r>
      <rPr>
        <vertAlign val="subscript"/>
        <sz val="11"/>
        <color theme="4" tint="-0.499984740745262"/>
        <rFont val="Times New Roman"/>
        <family val="1"/>
      </rPr>
      <t>2</t>
    </r>
  </si>
  <si>
    <t>CV 23</t>
  </si>
  <si>
    <t>90.02ppm</t>
  </si>
  <si>
    <r>
      <t>NO</t>
    </r>
    <r>
      <rPr>
        <vertAlign val="subscript"/>
        <sz val="10"/>
        <rFont val="Times New Roman"/>
        <family val="1"/>
      </rPr>
      <t>x</t>
    </r>
    <r>
      <rPr>
        <sz val="10"/>
        <rFont val="Times New Roman"/>
        <family val="1"/>
      </rPr>
      <t>,  O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>,</t>
    </r>
    <r>
      <rPr>
        <vertAlign val="subscript"/>
        <sz val="10"/>
        <rFont val="Times New Roman"/>
        <family val="1"/>
      </rPr>
      <t xml:space="preserve"> </t>
    </r>
    <r>
      <rPr>
        <sz val="10"/>
        <rFont val="Times New Roman"/>
        <family val="1"/>
      </rPr>
      <t>SO</t>
    </r>
    <r>
      <rPr>
        <vertAlign val="subscript"/>
        <sz val="10"/>
        <rFont val="Times New Roman"/>
        <family val="1"/>
      </rPr>
      <t>2</t>
    </r>
  </si>
  <si>
    <r>
      <t>NO</t>
    </r>
    <r>
      <rPr>
        <vertAlign val="subscript"/>
        <sz val="10"/>
        <rFont val="Times New Roman"/>
        <family val="1"/>
      </rPr>
      <t>x</t>
    </r>
    <r>
      <rPr>
        <sz val="10"/>
        <rFont val="Times New Roman"/>
        <family val="1"/>
      </rPr>
      <t>,  O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>, SO</t>
    </r>
    <r>
      <rPr>
        <vertAlign val="subscript"/>
        <sz val="10"/>
        <rFont val="Times New Roman"/>
        <family val="1"/>
      </rPr>
      <t>2</t>
    </r>
  </si>
  <si>
    <t>963.8ppm</t>
  </si>
  <si>
    <t>CV22</t>
  </si>
  <si>
    <t>3BIS31151</t>
  </si>
  <si>
    <t>NO</t>
  </si>
  <si>
    <t>CV6</t>
  </si>
  <si>
    <t>3BIS58124</t>
  </si>
  <si>
    <t>225.9ppm</t>
  </si>
  <si>
    <t>442.1ppm</t>
  </si>
  <si>
    <t>CV4</t>
  </si>
  <si>
    <t>3BIS49168</t>
  </si>
  <si>
    <t>CV2</t>
  </si>
  <si>
    <t>5J14765</t>
  </si>
  <si>
    <t>1908ppm</t>
  </si>
  <si>
    <t>R</t>
  </si>
  <si>
    <t>CV9</t>
  </si>
  <si>
    <t>3BIS58094</t>
  </si>
  <si>
    <t>45.17ppm</t>
  </si>
  <si>
    <t>Sensitivity adjustment gas</t>
  </si>
  <si>
    <t>CV26</t>
  </si>
  <si>
    <t>CV19</t>
  </si>
  <si>
    <t>CV16</t>
  </si>
  <si>
    <t>DVM - 149 - 001</t>
  </si>
  <si>
    <t>7J26824</t>
  </si>
  <si>
    <t>4J18183</t>
  </si>
  <si>
    <t>4J21479</t>
  </si>
  <si>
    <t>2BIS76220</t>
  </si>
  <si>
    <t>89.73ppm</t>
  </si>
  <si>
    <t>CV8</t>
  </si>
  <si>
    <t>2BIS12853</t>
  </si>
  <si>
    <r>
      <t>NO</t>
    </r>
    <r>
      <rPr>
        <vertAlign val="subscript"/>
        <sz val="11"/>
        <color theme="4" tint="-0.499984740745262"/>
        <rFont val="Times New Roman"/>
        <family val="1"/>
      </rPr>
      <t>x</t>
    </r>
  </si>
  <si>
    <t>0.00ppm</t>
  </si>
  <si>
    <t>0.0ppm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</si>
</sst>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0.00000%"/>
    <numFmt numFmtId="165" formatCode="0.000%"/>
    <numFmt numFmtId="166" formatCode="[$-411]ggge&quot;年&quot;m&quot;月&quot;d&quot;日&quot;;@"/>
    <numFmt numFmtId="167" formatCode="0.00_ "/>
    <numFmt numFmtId="168" formatCode="0.0%"/>
    <numFmt numFmtId="169" formatCode="[$-409]d\-mmm\-yyyy;@"/>
    <numFmt numFmtId="170" formatCode="0.0"/>
    <numFmt numFmtId="171" formatCode="0.0_ "/>
    <numFmt numFmtId="172" formatCode="0_ "/>
  </numFmts>
  <fonts count="19">
    <font>
      <sz val="11"/>
      <name val="ＭＳ 明朝"/>
      <family val="1"/>
      <charset val="128"/>
    </font>
    <font>
      <b/>
      <sz val="14"/>
      <name val="Times New Roman"/>
      <family val="1"/>
    </font>
    <font>
      <b/>
      <vertAlign val="subscript"/>
      <sz val="14"/>
      <name val="Times New Roman"/>
      <family val="1"/>
    </font>
    <font>
      <sz val="11"/>
      <name val="Times New Roman"/>
      <family val="1"/>
    </font>
    <font>
      <sz val="10.5"/>
      <name val="Times New Roman"/>
      <family val="1"/>
    </font>
    <font>
      <sz val="11"/>
      <color theme="4" tint="-0.499984740745262"/>
      <name val="Times New Roman"/>
      <family val="1"/>
    </font>
    <font>
      <sz val="10.3"/>
      <color theme="4" tint="-0.499984740745262"/>
      <name val="Times New Roman"/>
      <family val="1"/>
    </font>
    <font>
      <sz val="8"/>
      <name val="Times New Roman"/>
      <family val="1"/>
    </font>
    <font>
      <b/>
      <sz val="11"/>
      <name val="Times New Roman"/>
      <family val="1"/>
    </font>
    <font>
      <b/>
      <sz val="9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vertAlign val="subscript"/>
      <sz val="10"/>
      <name val="Times New Roman"/>
      <family val="1"/>
    </font>
    <font>
      <sz val="10"/>
      <color theme="4" tint="-0.499984740745262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8.5"/>
      <name val="Times New Roman"/>
      <family val="1"/>
    </font>
    <font>
      <sz val="10"/>
      <name val="Calibri"/>
      <family val="2"/>
    </font>
    <font>
      <vertAlign val="subscript"/>
      <sz val="11"/>
      <color theme="4" tint="-0.499984740745262"/>
      <name val="Times New Roman"/>
      <family val="1"/>
    </font>
  </fonts>
  <fills count="2">
    <fill>
      <patternFill patternType="none"/>
    </fill>
    <fill>
      <patternFill patternType="gray125"/>
    </fill>
  </fills>
  <borders count="9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3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25" xfId="0" applyFont="1" applyBorder="1">
      <alignment vertical="center"/>
    </xf>
    <xf numFmtId="0" fontId="3" fillId="0" borderId="0" xfId="0" applyFont="1" applyBorder="1">
      <alignment vertical="center"/>
    </xf>
    <xf numFmtId="0" fontId="3" fillId="0" borderId="26" xfId="0" applyFont="1" applyBorder="1">
      <alignment vertical="center"/>
    </xf>
    <xf numFmtId="0" fontId="10" fillId="0" borderId="0" xfId="0" applyFont="1" applyBorder="1" applyAlignment="1">
      <alignment horizontal="center" vertical="center"/>
    </xf>
    <xf numFmtId="166" fontId="3" fillId="0" borderId="0" xfId="0" applyNumberFormat="1" applyFont="1" applyBorder="1" applyAlignment="1">
      <alignment horizontal="center" vertical="center"/>
    </xf>
    <xf numFmtId="0" fontId="8" fillId="0" borderId="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3" xfId="0" applyFont="1" applyBorder="1">
      <alignment vertical="center"/>
    </xf>
    <xf numFmtId="0" fontId="10" fillId="0" borderId="0" xfId="0" applyFont="1" applyBorder="1" applyAlignment="1">
      <alignment horizontal="center" vertical="center" shrinkToFit="1"/>
    </xf>
    <xf numFmtId="0" fontId="8" fillId="0" borderId="0" xfId="0" applyFont="1">
      <alignment vertical="center"/>
    </xf>
    <xf numFmtId="0" fontId="10" fillId="0" borderId="11" xfId="0" applyFont="1" applyBorder="1">
      <alignment vertical="center"/>
    </xf>
    <xf numFmtId="0" fontId="3" fillId="0" borderId="0" xfId="0" applyFont="1" applyAlignment="1">
      <alignment vertical="center" wrapText="1"/>
    </xf>
    <xf numFmtId="0" fontId="10" fillId="0" borderId="0" xfId="0" applyFont="1" applyBorder="1" applyAlignment="1">
      <alignment horizontal="center" vertical="center" shrinkToFit="1"/>
    </xf>
    <xf numFmtId="0" fontId="10" fillId="0" borderId="0" xfId="0" applyFont="1" applyBorder="1" applyAlignment="1">
      <alignment horizontal="center" vertical="center" shrinkToFit="1"/>
    </xf>
    <xf numFmtId="0" fontId="10" fillId="0" borderId="0" xfId="0" applyFont="1" applyBorder="1" applyAlignment="1">
      <alignment horizontal="center" vertical="center" shrinkToFit="1"/>
    </xf>
    <xf numFmtId="0" fontId="10" fillId="0" borderId="0" xfId="0" applyFont="1" applyBorder="1" applyAlignment="1">
      <alignment horizontal="center" vertical="center" shrinkToFit="1"/>
    </xf>
    <xf numFmtId="0" fontId="10" fillId="0" borderId="0" xfId="0" applyFont="1" applyBorder="1" applyAlignment="1">
      <alignment horizontal="center" vertical="center" shrinkToFit="1"/>
    </xf>
    <xf numFmtId="0" fontId="10" fillId="0" borderId="0" xfId="0" applyFont="1" applyBorder="1" applyAlignment="1">
      <alignment horizontal="center" vertical="center" shrinkToFit="1"/>
    </xf>
    <xf numFmtId="168" fontId="5" fillId="0" borderId="0" xfId="0" applyNumberFormat="1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165" fontId="5" fillId="0" borderId="0" xfId="0" applyNumberFormat="1" applyFont="1" applyFill="1" applyBorder="1" applyAlignment="1">
      <alignment vertical="center"/>
    </xf>
    <xf numFmtId="0" fontId="3" fillId="0" borderId="15" xfId="0" applyFont="1" applyFill="1" applyBorder="1" applyAlignment="1">
      <alignment horizontal="center" vertical="center" shrinkToFit="1"/>
    </xf>
    <xf numFmtId="0" fontId="3" fillId="0" borderId="16" xfId="0" applyFont="1" applyFill="1" applyBorder="1" applyAlignment="1">
      <alignment horizontal="center" vertical="center" shrinkToFit="1"/>
    </xf>
    <xf numFmtId="49" fontId="6" fillId="0" borderId="17" xfId="0" applyNumberFormat="1" applyFont="1" applyBorder="1" applyAlignment="1">
      <alignment horizontal="center" vertical="center"/>
    </xf>
    <xf numFmtId="49" fontId="6" fillId="0" borderId="18" xfId="0" applyNumberFormat="1" applyFont="1" applyBorder="1" applyAlignment="1">
      <alignment horizontal="center" vertical="center"/>
    </xf>
    <xf numFmtId="49" fontId="6" fillId="0" borderId="19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9" fontId="5" fillId="0" borderId="11" xfId="0" applyNumberFormat="1" applyFont="1" applyBorder="1" applyAlignment="1">
      <alignment horizontal="center" vertical="center"/>
    </xf>
    <xf numFmtId="169" fontId="5" fillId="0" borderId="12" xfId="0" applyNumberFormat="1" applyFont="1" applyBorder="1" applyAlignment="1">
      <alignment horizontal="center" vertical="center"/>
    </xf>
    <xf numFmtId="169" fontId="5" fillId="0" borderId="14" xfId="0" applyNumberFormat="1" applyFont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 shrinkToFit="1"/>
    </xf>
    <xf numFmtId="0" fontId="4" fillId="0" borderId="16" xfId="0" applyFont="1" applyFill="1" applyBorder="1" applyAlignment="1">
      <alignment horizontal="center" vertical="center" shrinkToFit="1"/>
    </xf>
    <xf numFmtId="49" fontId="5" fillId="0" borderId="17" xfId="0" applyNumberFormat="1" applyFont="1" applyBorder="1" applyAlignment="1">
      <alignment horizontal="center" vertical="center"/>
    </xf>
    <xf numFmtId="49" fontId="5" fillId="0" borderId="18" xfId="0" applyNumberFormat="1" applyFont="1" applyBorder="1" applyAlignment="1">
      <alignment horizontal="center" vertical="center"/>
    </xf>
    <xf numFmtId="49" fontId="5" fillId="0" borderId="20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0" borderId="22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shrinkToFit="1"/>
    </xf>
    <xf numFmtId="0" fontId="4" fillId="0" borderId="5" xfId="0" applyFont="1" applyBorder="1" applyAlignment="1">
      <alignment horizontal="left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49" fontId="5" fillId="0" borderId="8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8" fillId="0" borderId="28" xfId="0" applyFont="1" applyFill="1" applyBorder="1" applyAlignment="1">
      <alignment horizontal="center" vertical="center"/>
    </xf>
    <xf numFmtId="0" fontId="8" fillId="0" borderId="29" xfId="0" applyFont="1" applyFill="1" applyBorder="1" applyAlignment="1">
      <alignment horizontal="center" vertical="center"/>
    </xf>
    <xf numFmtId="0" fontId="7" fillId="0" borderId="23" xfId="0" applyFont="1" applyFill="1" applyBorder="1" applyAlignment="1">
      <alignment horizontal="center" vertical="center" wrapText="1" shrinkToFit="1"/>
    </xf>
    <xf numFmtId="0" fontId="7" fillId="0" borderId="18" xfId="0" applyFont="1" applyFill="1" applyBorder="1" applyAlignment="1">
      <alignment horizontal="center" vertical="center" wrapText="1" shrinkToFit="1"/>
    </xf>
    <xf numFmtId="0" fontId="7" fillId="0" borderId="20" xfId="0" applyFont="1" applyFill="1" applyBorder="1" applyAlignment="1">
      <alignment horizontal="center" vertical="center" wrapText="1" shrinkToFit="1"/>
    </xf>
    <xf numFmtId="49" fontId="5" fillId="0" borderId="16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shrinkToFit="1"/>
    </xf>
    <xf numFmtId="0" fontId="3" fillId="0" borderId="20" xfId="0" applyFont="1" applyBorder="1" applyAlignment="1">
      <alignment horizontal="center" vertical="center" shrinkToFit="1"/>
    </xf>
    <xf numFmtId="0" fontId="5" fillId="0" borderId="17" xfId="0" applyNumberFormat="1" applyFont="1" applyBorder="1" applyAlignment="1">
      <alignment horizontal="right" vertical="center" shrinkToFit="1"/>
    </xf>
    <xf numFmtId="0" fontId="5" fillId="0" borderId="18" xfId="0" applyNumberFormat="1" applyFont="1" applyBorder="1" applyAlignment="1">
      <alignment horizontal="right" vertical="center" shrinkToFit="1"/>
    </xf>
    <xf numFmtId="9" fontId="5" fillId="0" borderId="18" xfId="0" applyNumberFormat="1" applyFont="1" applyBorder="1" applyAlignment="1">
      <alignment horizontal="left" vertical="center" shrinkToFit="1"/>
    </xf>
    <xf numFmtId="9" fontId="5" fillId="0" borderId="24" xfId="0" applyNumberFormat="1" applyFont="1" applyBorder="1" applyAlignment="1">
      <alignment horizontal="left" vertical="center" shrinkToFit="1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164" fontId="5" fillId="0" borderId="28" xfId="0" applyNumberFormat="1" applyFont="1" applyFill="1" applyBorder="1" applyAlignment="1">
      <alignment horizontal="center" vertical="center"/>
    </xf>
    <xf numFmtId="164" fontId="5" fillId="0" borderId="29" xfId="0" applyNumberFormat="1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 shrinkToFit="1"/>
    </xf>
    <xf numFmtId="0" fontId="3" fillId="0" borderId="28" xfId="0" applyFont="1" applyBorder="1" applyAlignment="1">
      <alignment horizontal="center" vertical="center" shrinkToFit="1"/>
    </xf>
    <xf numFmtId="165" fontId="5" fillId="0" borderId="28" xfId="0" applyNumberFormat="1" applyFont="1" applyFill="1" applyBorder="1" applyAlignment="1">
      <alignment horizontal="center" vertical="center"/>
    </xf>
    <xf numFmtId="165" fontId="5" fillId="0" borderId="29" xfId="0" applyNumberFormat="1" applyFont="1" applyFill="1" applyBorder="1" applyAlignment="1">
      <alignment horizontal="center" vertical="center"/>
    </xf>
    <xf numFmtId="0" fontId="4" fillId="0" borderId="28" xfId="0" applyFont="1" applyFill="1" applyBorder="1" applyAlignment="1">
      <alignment horizontal="center" vertical="center" shrinkToFi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169" fontId="5" fillId="0" borderId="28" xfId="0" applyNumberFormat="1" applyFont="1" applyBorder="1" applyAlignment="1">
      <alignment horizontal="center" vertical="center"/>
    </xf>
    <xf numFmtId="0" fontId="5" fillId="0" borderId="82" xfId="0" applyFont="1" applyBorder="1" applyAlignment="1">
      <alignment horizontal="center" vertical="center"/>
    </xf>
    <xf numFmtId="0" fontId="5" fillId="0" borderId="83" xfId="0" applyFont="1" applyBorder="1" applyAlignment="1">
      <alignment horizontal="center" vertical="center"/>
    </xf>
    <xf numFmtId="0" fontId="5" fillId="0" borderId="9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5" fillId="0" borderId="34" xfId="0" applyFont="1" applyFill="1" applyBorder="1" applyAlignment="1">
      <alignment horizontal="center" vertical="center"/>
    </xf>
    <xf numFmtId="165" fontId="5" fillId="0" borderId="32" xfId="0" applyNumberFormat="1" applyFont="1" applyFill="1" applyBorder="1" applyAlignment="1">
      <alignment horizontal="center" vertical="center"/>
    </xf>
    <xf numFmtId="165" fontId="5" fillId="0" borderId="33" xfId="0" applyNumberFormat="1" applyFont="1" applyFill="1" applyBorder="1" applyAlignment="1">
      <alignment horizontal="center" vertical="center"/>
    </xf>
    <xf numFmtId="165" fontId="5" fillId="0" borderId="35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167" fontId="5" fillId="0" borderId="58" xfId="0" applyNumberFormat="1" applyFont="1" applyBorder="1" applyAlignment="1">
      <alignment horizontal="center" vertical="center"/>
    </xf>
    <xf numFmtId="167" fontId="5" fillId="0" borderId="59" xfId="0" applyNumberFormat="1" applyFont="1" applyBorder="1" applyAlignment="1">
      <alignment horizontal="center" vertical="center"/>
    </xf>
    <xf numFmtId="2" fontId="5" fillId="0" borderId="11" xfId="0" applyNumberFormat="1" applyFont="1" applyBorder="1" applyAlignment="1">
      <alignment horizontal="center" vertical="center"/>
    </xf>
    <xf numFmtId="2" fontId="5" fillId="0" borderId="12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0" fontId="10" fillId="0" borderId="59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10" fillId="0" borderId="61" xfId="0" applyFont="1" applyBorder="1" applyAlignment="1">
      <alignment horizontal="center" vertical="center" wrapText="1"/>
    </xf>
    <xf numFmtId="0" fontId="10" fillId="0" borderId="62" xfId="0" applyFont="1" applyBorder="1" applyAlignment="1">
      <alignment horizontal="center" vertical="center" wrapText="1"/>
    </xf>
    <xf numFmtId="0" fontId="10" fillId="0" borderId="63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 shrinkToFit="1"/>
    </xf>
    <xf numFmtId="0" fontId="10" fillId="0" borderId="0" xfId="0" applyFont="1" applyBorder="1" applyAlignment="1">
      <alignment horizontal="center" vertical="center" shrinkToFit="1"/>
    </xf>
    <xf numFmtId="0" fontId="10" fillId="0" borderId="0" xfId="0" applyFont="1" applyBorder="1" applyAlignment="1">
      <alignment vertical="center" shrinkToFit="1"/>
    </xf>
    <xf numFmtId="0" fontId="14" fillId="0" borderId="1" xfId="0" applyFont="1" applyFill="1" applyBorder="1" applyAlignment="1">
      <alignment horizontal="center" vertical="center" shrinkToFit="1"/>
    </xf>
    <xf numFmtId="0" fontId="14" fillId="0" borderId="2" xfId="0" applyFont="1" applyFill="1" applyBorder="1" applyAlignment="1">
      <alignment horizontal="center" vertical="center" shrinkToFit="1"/>
    </xf>
    <xf numFmtId="0" fontId="14" fillId="0" borderId="3" xfId="0" applyFont="1" applyFill="1" applyBorder="1" applyAlignment="1">
      <alignment horizontal="center" vertical="center" shrinkToFit="1"/>
    </xf>
    <xf numFmtId="0" fontId="14" fillId="0" borderId="66" xfId="0" applyFont="1" applyFill="1" applyBorder="1" applyAlignment="1">
      <alignment horizontal="center" vertical="center" shrinkToFit="1"/>
    </xf>
    <xf numFmtId="0" fontId="14" fillId="0" borderId="12" xfId="0" applyFont="1" applyFill="1" applyBorder="1" applyAlignment="1">
      <alignment horizontal="center" vertical="center" shrinkToFit="1"/>
    </xf>
    <xf numFmtId="0" fontId="14" fillId="0" borderId="13" xfId="0" applyFont="1" applyFill="1" applyBorder="1" applyAlignment="1">
      <alignment horizontal="center" vertical="center" shrinkToFit="1"/>
    </xf>
    <xf numFmtId="0" fontId="14" fillId="0" borderId="2" xfId="0" applyFont="1" applyBorder="1" applyAlignment="1">
      <alignment horizontal="center" vertical="center" shrinkToFit="1"/>
    </xf>
    <xf numFmtId="0" fontId="14" fillId="0" borderId="5" xfId="0" applyFont="1" applyBorder="1" applyAlignment="1">
      <alignment horizontal="center" vertical="center" shrinkToFit="1"/>
    </xf>
    <xf numFmtId="0" fontId="14" fillId="0" borderId="12" xfId="0" applyFont="1" applyBorder="1" applyAlignment="1">
      <alignment horizontal="center" vertical="center" shrinkToFit="1"/>
    </xf>
    <xf numFmtId="0" fontId="14" fillId="0" borderId="14" xfId="0" applyFont="1" applyBorder="1" applyAlignment="1">
      <alignment horizontal="center" vertical="center" shrinkToFit="1"/>
    </xf>
    <xf numFmtId="0" fontId="15" fillId="0" borderId="67" xfId="0" applyFont="1" applyBorder="1" applyAlignment="1">
      <alignment horizontal="center" vertical="center" wrapText="1"/>
    </xf>
    <xf numFmtId="0" fontId="15" fillId="0" borderId="68" xfId="0" applyFont="1" applyBorder="1" applyAlignment="1">
      <alignment horizontal="center" vertical="center" wrapText="1"/>
    </xf>
    <xf numFmtId="0" fontId="15" fillId="0" borderId="69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70" xfId="0" applyFont="1" applyBorder="1" applyAlignment="1">
      <alignment horizontal="center" vertical="center" wrapText="1"/>
    </xf>
    <xf numFmtId="0" fontId="15" fillId="0" borderId="71" xfId="0" applyFont="1" applyBorder="1" applyAlignment="1">
      <alignment horizontal="center" vertical="center" wrapText="1"/>
    </xf>
    <xf numFmtId="0" fontId="15" fillId="0" borderId="72" xfId="0" applyFont="1" applyBorder="1" applyAlignment="1">
      <alignment horizontal="center" vertical="center" wrapText="1"/>
    </xf>
    <xf numFmtId="0" fontId="15" fillId="0" borderId="67" xfId="0" applyFont="1" applyBorder="1" applyAlignment="1">
      <alignment horizontal="center" vertical="center"/>
    </xf>
    <xf numFmtId="0" fontId="15" fillId="0" borderId="68" xfId="0" applyFont="1" applyBorder="1" applyAlignment="1">
      <alignment horizontal="center" vertical="center"/>
    </xf>
    <xf numFmtId="0" fontId="15" fillId="0" borderId="69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8" fillId="0" borderId="66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8" fillId="0" borderId="66" xfId="0" applyFont="1" applyFill="1" applyBorder="1" applyAlignment="1">
      <alignment horizontal="center" vertical="center"/>
    </xf>
    <xf numFmtId="0" fontId="8" fillId="0" borderId="73" xfId="0" applyFont="1" applyFill="1" applyBorder="1" applyAlignment="1">
      <alignment horizontal="center" vertical="center"/>
    </xf>
    <xf numFmtId="0" fontId="8" fillId="0" borderId="37" xfId="0" applyFont="1" applyFill="1" applyBorder="1" applyAlignment="1">
      <alignment horizontal="center" vertical="center"/>
    </xf>
    <xf numFmtId="0" fontId="8" fillId="0" borderId="38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15" fillId="0" borderId="70" xfId="0" applyFont="1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5" fillId="0" borderId="72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2" fontId="5" fillId="0" borderId="57" xfId="0" applyNumberFormat="1" applyFont="1" applyBorder="1" applyAlignment="1">
      <alignment horizontal="center" vertical="center"/>
    </xf>
    <xf numFmtId="2" fontId="5" fillId="0" borderId="58" xfId="0" applyNumberFormat="1" applyFont="1" applyBorder="1" applyAlignment="1">
      <alignment horizontal="center" vertical="center"/>
    </xf>
    <xf numFmtId="2" fontId="5" fillId="0" borderId="64" xfId="0" applyNumberFormat="1" applyFont="1" applyBorder="1" applyAlignment="1">
      <alignment horizontal="center" vertical="center"/>
    </xf>
    <xf numFmtId="0" fontId="13" fillId="0" borderId="65" xfId="0" applyFont="1" applyBorder="1" applyAlignment="1">
      <alignment horizontal="center" vertical="center"/>
    </xf>
    <xf numFmtId="0" fontId="13" fillId="0" borderId="59" xfId="0" applyFont="1" applyBorder="1" applyAlignment="1">
      <alignment horizontal="center" vertical="center"/>
    </xf>
    <xf numFmtId="14" fontId="11" fillId="0" borderId="76" xfId="0" applyNumberFormat="1" applyFont="1" applyBorder="1" applyAlignment="1">
      <alignment horizontal="center" vertical="center" wrapText="1"/>
    </xf>
    <xf numFmtId="14" fontId="11" fillId="0" borderId="79" xfId="0" applyNumberFormat="1" applyFont="1" applyBorder="1" applyAlignment="1">
      <alignment horizontal="center" vertical="center" wrapText="1"/>
    </xf>
    <xf numFmtId="0" fontId="11" fillId="0" borderId="75" xfId="0" applyFont="1" applyBorder="1" applyAlignment="1">
      <alignment horizontal="center" vertical="center" wrapText="1"/>
    </xf>
    <xf numFmtId="0" fontId="11" fillId="0" borderId="76" xfId="0" applyFont="1" applyBorder="1" applyAlignment="1">
      <alignment horizontal="center" vertical="center" wrapText="1"/>
    </xf>
    <xf numFmtId="0" fontId="11" fillId="0" borderId="77" xfId="0" applyFont="1" applyBorder="1" applyAlignment="1">
      <alignment horizontal="center" vertical="center" wrapText="1"/>
    </xf>
    <xf numFmtId="0" fontId="11" fillId="0" borderId="78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10" fillId="0" borderId="82" xfId="0" applyFont="1" applyBorder="1">
      <alignment vertical="center"/>
    </xf>
    <xf numFmtId="0" fontId="10" fillId="0" borderId="83" xfId="0" applyFont="1" applyBorder="1">
      <alignment vertical="center"/>
    </xf>
    <xf numFmtId="0" fontId="10" fillId="0" borderId="42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84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85" xfId="0" applyFont="1" applyBorder="1" applyAlignment="1">
      <alignment horizontal="center" vertical="center"/>
    </xf>
    <xf numFmtId="0" fontId="10" fillId="0" borderId="60" xfId="0" applyFont="1" applyBorder="1">
      <alignment vertical="center"/>
    </xf>
    <xf numFmtId="0" fontId="10" fillId="0" borderId="37" xfId="0" applyFont="1" applyBorder="1">
      <alignment vertical="center"/>
    </xf>
    <xf numFmtId="0" fontId="10" fillId="0" borderId="38" xfId="0" applyFont="1" applyBorder="1">
      <alignment vertical="center"/>
    </xf>
    <xf numFmtId="0" fontId="10" fillId="0" borderId="80" xfId="0" applyFont="1" applyBorder="1">
      <alignment vertical="center"/>
    </xf>
    <xf numFmtId="0" fontId="10" fillId="0" borderId="0" xfId="0" applyFont="1" applyBorder="1">
      <alignment vertical="center"/>
    </xf>
    <xf numFmtId="0" fontId="10" fillId="0" borderId="81" xfId="0" applyFont="1" applyBorder="1">
      <alignment vertical="center"/>
    </xf>
    <xf numFmtId="0" fontId="10" fillId="0" borderId="16" xfId="0" applyFont="1" applyBorder="1" applyAlignment="1">
      <alignment horizontal="center" vertical="center" wrapText="1" shrinkToFit="1"/>
    </xf>
    <xf numFmtId="0" fontId="10" fillId="0" borderId="16" xfId="0" applyFont="1" applyBorder="1" applyAlignment="1">
      <alignment horizontal="center" vertical="center" shrinkToFit="1"/>
    </xf>
    <xf numFmtId="0" fontId="10" fillId="0" borderId="16" xfId="0" applyFont="1" applyBorder="1" applyAlignment="1">
      <alignment horizontal="center" vertical="center" wrapText="1"/>
    </xf>
    <xf numFmtId="167" fontId="5" fillId="0" borderId="47" xfId="0" applyNumberFormat="1" applyFont="1" applyBorder="1" applyAlignment="1">
      <alignment horizontal="center" vertical="center"/>
    </xf>
    <xf numFmtId="167" fontId="5" fillId="0" borderId="9" xfId="0" applyNumberFormat="1" applyFont="1" applyBorder="1" applyAlignment="1">
      <alignment horizontal="center" vertical="center"/>
    </xf>
    <xf numFmtId="167" fontId="5" fillId="0" borderId="21" xfId="0" applyNumberFormat="1" applyFont="1" applyBorder="1" applyAlignment="1">
      <alignment horizontal="center" vertical="center"/>
    </xf>
    <xf numFmtId="167" fontId="5" fillId="0" borderId="86" xfId="0" applyNumberFormat="1" applyFont="1" applyBorder="1" applyAlignment="1">
      <alignment horizontal="center" vertical="center"/>
    </xf>
    <xf numFmtId="167" fontId="5" fillId="0" borderId="36" xfId="0" applyNumberFormat="1" applyFont="1" applyBorder="1" applyAlignment="1">
      <alignment horizontal="center" vertical="center"/>
    </xf>
    <xf numFmtId="167" fontId="5" fillId="0" borderId="87" xfId="0" applyNumberFormat="1" applyFont="1" applyBorder="1" applyAlignment="1">
      <alignment horizontal="center" vertical="center"/>
    </xf>
    <xf numFmtId="167" fontId="5" fillId="0" borderId="39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center" vertical="center"/>
    </xf>
    <xf numFmtId="167" fontId="5" fillId="0" borderId="16" xfId="0" applyNumberFormat="1" applyFont="1" applyBorder="1" applyAlignment="1">
      <alignment horizontal="center" vertical="center"/>
    </xf>
    <xf numFmtId="167" fontId="5" fillId="0" borderId="49" xfId="0" applyNumberFormat="1" applyFont="1" applyBorder="1" applyAlignment="1">
      <alignment horizontal="center" vertical="center"/>
    </xf>
    <xf numFmtId="167" fontId="5" fillId="0" borderId="45" xfId="0" applyNumberFormat="1" applyFont="1" applyBorder="1" applyAlignment="1">
      <alignment horizontal="center" vertical="center"/>
    </xf>
    <xf numFmtId="167" fontId="5" fillId="0" borderId="43" xfId="0" applyNumberFormat="1" applyFont="1" applyBorder="1" applyAlignment="1">
      <alignment horizontal="center" vertical="center"/>
    </xf>
    <xf numFmtId="167" fontId="5" fillId="0" borderId="40" xfId="0" applyNumberFormat="1" applyFont="1" applyBorder="1" applyAlignment="1">
      <alignment horizontal="center" vertical="center"/>
    </xf>
    <xf numFmtId="167" fontId="5" fillId="0" borderId="88" xfId="0" applyNumberFormat="1" applyFont="1" applyBorder="1" applyAlignment="1">
      <alignment horizontal="center" vertical="center"/>
    </xf>
    <xf numFmtId="167" fontId="5" fillId="0" borderId="89" xfId="0" applyNumberFormat="1" applyFont="1" applyBorder="1" applyAlignment="1">
      <alignment horizontal="center" vertical="center"/>
    </xf>
    <xf numFmtId="167" fontId="5" fillId="0" borderId="90" xfId="0" applyNumberFormat="1" applyFont="1" applyBorder="1" applyAlignment="1">
      <alignment horizontal="center" vertical="center"/>
    </xf>
    <xf numFmtId="167" fontId="5" fillId="0" borderId="91" xfId="0" applyNumberFormat="1" applyFont="1" applyBorder="1" applyAlignment="1">
      <alignment horizontal="center" vertical="center"/>
    </xf>
    <xf numFmtId="167" fontId="5" fillId="0" borderId="41" xfId="0" applyNumberFormat="1" applyFont="1" applyBorder="1" applyAlignment="1">
      <alignment horizontal="center" vertical="center"/>
    </xf>
    <xf numFmtId="167" fontId="5" fillId="0" borderId="50" xfId="0" applyNumberFormat="1" applyFont="1" applyBorder="1" applyAlignment="1">
      <alignment horizontal="center" vertical="center"/>
    </xf>
    <xf numFmtId="167" fontId="5" fillId="0" borderId="18" xfId="0" applyNumberFormat="1" applyFont="1" applyBorder="1" applyAlignment="1">
      <alignment horizontal="center" vertical="center"/>
    </xf>
    <xf numFmtId="167" fontId="5" fillId="0" borderId="20" xfId="0" applyNumberFormat="1" applyFont="1" applyBorder="1" applyAlignment="1">
      <alignment horizontal="center" vertical="center"/>
    </xf>
    <xf numFmtId="167" fontId="5" fillId="0" borderId="48" xfId="0" applyNumberFormat="1" applyFont="1" applyBorder="1" applyAlignment="1">
      <alignment horizontal="center" vertical="center"/>
    </xf>
    <xf numFmtId="167" fontId="5" fillId="0" borderId="17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/>
    </xf>
    <xf numFmtId="167" fontId="13" fillId="0" borderId="64" xfId="0" applyNumberFormat="1" applyFont="1" applyBorder="1" applyAlignment="1">
      <alignment horizontal="center" vertical="center"/>
    </xf>
    <xf numFmtId="167" fontId="13" fillId="0" borderId="12" xfId="0" applyNumberFormat="1" applyFont="1" applyBorder="1" applyAlignment="1">
      <alignment horizontal="center" vertical="center"/>
    </xf>
    <xf numFmtId="167" fontId="13" fillId="0" borderId="65" xfId="0" applyNumberFormat="1" applyFont="1" applyBorder="1" applyAlignment="1">
      <alignment horizontal="center" vertical="center"/>
    </xf>
    <xf numFmtId="167" fontId="5" fillId="0" borderId="64" xfId="0" applyNumberFormat="1" applyFont="1" applyBorder="1" applyAlignment="1">
      <alignment horizontal="center" vertical="center"/>
    </xf>
    <xf numFmtId="167" fontId="5" fillId="0" borderId="12" xfId="0" applyNumberFormat="1" applyFont="1" applyBorder="1" applyAlignment="1">
      <alignment horizontal="center" vertical="center"/>
    </xf>
    <xf numFmtId="167" fontId="5" fillId="0" borderId="13" xfId="0" applyNumberFormat="1" applyFont="1" applyBorder="1" applyAlignment="1">
      <alignment horizontal="center" vertical="center"/>
    </xf>
    <xf numFmtId="167" fontId="5" fillId="0" borderId="57" xfId="0" applyNumberFormat="1" applyFont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165" fontId="5" fillId="0" borderId="11" xfId="0" applyNumberFormat="1" applyFont="1" applyFill="1" applyBorder="1" applyAlignment="1">
      <alignment horizontal="center" vertical="center"/>
    </xf>
    <xf numFmtId="165" fontId="5" fillId="0" borderId="12" xfId="0" applyNumberFormat="1" applyFont="1" applyFill="1" applyBorder="1" applyAlignment="1">
      <alignment horizontal="center" vertical="center"/>
    </xf>
    <xf numFmtId="165" fontId="5" fillId="0" borderId="14" xfId="0" applyNumberFormat="1" applyFont="1" applyFill="1" applyBorder="1" applyAlignment="1">
      <alignment horizontal="center" vertical="center"/>
    </xf>
    <xf numFmtId="10" fontId="5" fillId="0" borderId="31" xfId="0" applyNumberFormat="1" applyFont="1" applyFill="1" applyBorder="1" applyAlignment="1">
      <alignment horizontal="center" vertical="center"/>
    </xf>
    <xf numFmtId="10" fontId="5" fillId="0" borderId="92" xfId="0" applyNumberFormat="1" applyFont="1" applyFill="1" applyBorder="1" applyAlignment="1">
      <alignment horizontal="center" vertical="center"/>
    </xf>
    <xf numFmtId="2" fontId="5" fillId="0" borderId="59" xfId="0" applyNumberFormat="1" applyFont="1" applyBorder="1" applyAlignment="1">
      <alignment horizontal="center" vertical="center"/>
    </xf>
    <xf numFmtId="168" fontId="5" fillId="0" borderId="28" xfId="0" applyNumberFormat="1" applyFont="1" applyFill="1" applyBorder="1" applyAlignment="1">
      <alignment horizontal="center" vertical="center"/>
    </xf>
    <xf numFmtId="168" fontId="5" fillId="0" borderId="29" xfId="0" applyNumberFormat="1" applyFont="1" applyFill="1" applyBorder="1" applyAlignment="1">
      <alignment horizontal="center" vertical="center"/>
    </xf>
    <xf numFmtId="168" fontId="5" fillId="0" borderId="31" xfId="0" applyNumberFormat="1" applyFont="1" applyFill="1" applyBorder="1" applyAlignment="1">
      <alignment horizontal="center" vertical="center"/>
    </xf>
    <xf numFmtId="168" fontId="5" fillId="0" borderId="92" xfId="0" applyNumberFormat="1" applyFont="1" applyFill="1" applyBorder="1" applyAlignment="1">
      <alignment horizontal="center" vertical="center"/>
    </xf>
    <xf numFmtId="171" fontId="5" fillId="0" borderId="57" xfId="0" applyNumberFormat="1" applyFont="1" applyBorder="1" applyAlignment="1">
      <alignment horizontal="center" vertical="center"/>
    </xf>
    <xf numFmtId="171" fontId="5" fillId="0" borderId="58" xfId="0" applyNumberFormat="1" applyFont="1" applyBorder="1" applyAlignment="1">
      <alignment horizontal="center" vertical="center"/>
    </xf>
    <xf numFmtId="171" fontId="5" fillId="0" borderId="59" xfId="0" applyNumberFormat="1" applyFont="1" applyBorder="1" applyAlignment="1">
      <alignment horizontal="center" vertical="center"/>
    </xf>
    <xf numFmtId="170" fontId="5" fillId="0" borderId="58" xfId="0" applyNumberFormat="1" applyFont="1" applyBorder="1" applyAlignment="1">
      <alignment horizontal="center" vertical="center"/>
    </xf>
    <xf numFmtId="170" fontId="5" fillId="0" borderId="59" xfId="0" applyNumberFormat="1" applyFont="1" applyBorder="1" applyAlignment="1">
      <alignment horizontal="center" vertical="center"/>
    </xf>
    <xf numFmtId="171" fontId="5" fillId="0" borderId="47" xfId="0" applyNumberFormat="1" applyFont="1" applyBorder="1" applyAlignment="1">
      <alignment horizontal="center" vertical="center"/>
    </xf>
    <xf numFmtId="171" fontId="5" fillId="0" borderId="9" xfId="0" applyNumberFormat="1" applyFont="1" applyBorder="1" applyAlignment="1">
      <alignment horizontal="center" vertical="center"/>
    </xf>
    <xf numFmtId="171" fontId="5" fillId="0" borderId="21" xfId="0" applyNumberFormat="1" applyFont="1" applyBorder="1" applyAlignment="1">
      <alignment horizontal="center" vertical="center"/>
    </xf>
    <xf numFmtId="171" fontId="5" fillId="0" borderId="39" xfId="0" applyNumberFormat="1" applyFont="1" applyBorder="1" applyAlignment="1">
      <alignment horizontal="center" vertical="center"/>
    </xf>
    <xf numFmtId="171" fontId="5" fillId="0" borderId="7" xfId="0" applyNumberFormat="1" applyFont="1" applyBorder="1" applyAlignment="1">
      <alignment horizontal="center" vertical="center"/>
    </xf>
    <xf numFmtId="171" fontId="5" fillId="0" borderId="8" xfId="0" applyNumberFormat="1" applyFont="1" applyBorder="1" applyAlignment="1">
      <alignment horizontal="center" vertical="center"/>
    </xf>
    <xf numFmtId="171" fontId="5" fillId="0" borderId="45" xfId="0" applyNumberFormat="1" applyFont="1" applyBorder="1" applyAlignment="1">
      <alignment horizontal="center" vertical="center"/>
    </xf>
    <xf numFmtId="171" fontId="5" fillId="0" borderId="43" xfId="0" applyNumberFormat="1" applyFont="1" applyBorder="1" applyAlignment="1">
      <alignment horizontal="center" vertical="center"/>
    </xf>
    <xf numFmtId="171" fontId="5" fillId="0" borderId="40" xfId="0" applyNumberFormat="1" applyFont="1" applyBorder="1" applyAlignment="1">
      <alignment horizontal="center" vertical="center"/>
    </xf>
    <xf numFmtId="171" fontId="5" fillId="0" borderId="50" xfId="0" applyNumberFormat="1" applyFont="1" applyBorder="1" applyAlignment="1">
      <alignment horizontal="center" vertical="center"/>
    </xf>
    <xf numFmtId="171" fontId="5" fillId="0" borderId="18" xfId="0" applyNumberFormat="1" applyFont="1" applyBorder="1" applyAlignment="1">
      <alignment horizontal="center" vertical="center"/>
    </xf>
    <xf numFmtId="171" fontId="5" fillId="0" borderId="20" xfId="0" applyNumberFormat="1" applyFont="1" applyBorder="1" applyAlignment="1">
      <alignment horizontal="center" vertical="center"/>
    </xf>
    <xf numFmtId="171" fontId="5" fillId="0" borderId="48" xfId="0" applyNumberFormat="1" applyFont="1" applyBorder="1" applyAlignment="1">
      <alignment horizontal="center" vertical="center"/>
    </xf>
    <xf numFmtId="171" fontId="5" fillId="0" borderId="16" xfId="0" applyNumberFormat="1" applyFont="1" applyBorder="1" applyAlignment="1">
      <alignment horizontal="center" vertical="center"/>
    </xf>
    <xf numFmtId="171" fontId="5" fillId="0" borderId="17" xfId="0" applyNumberFormat="1" applyFont="1" applyBorder="1" applyAlignment="1">
      <alignment horizontal="center" vertical="center"/>
    </xf>
    <xf numFmtId="0" fontId="5" fillId="0" borderId="94" xfId="0" applyFont="1" applyBorder="1" applyAlignment="1">
      <alignment horizontal="center" vertical="center"/>
    </xf>
    <xf numFmtId="168" fontId="5" fillId="0" borderId="94" xfId="0" applyNumberFormat="1" applyFont="1" applyFill="1" applyBorder="1" applyAlignment="1">
      <alignment horizontal="center" vertical="center"/>
    </xf>
    <xf numFmtId="168" fontId="5" fillId="0" borderId="95" xfId="0" applyNumberFormat="1" applyFont="1" applyFill="1" applyBorder="1" applyAlignment="1">
      <alignment horizontal="center" vertical="center"/>
    </xf>
    <xf numFmtId="170" fontId="5" fillId="0" borderId="57" xfId="0" applyNumberFormat="1" applyFont="1" applyBorder="1" applyAlignment="1">
      <alignment horizontal="center" vertical="center"/>
    </xf>
    <xf numFmtId="172" fontId="5" fillId="0" borderId="47" xfId="0" applyNumberFormat="1" applyFont="1" applyBorder="1" applyAlignment="1">
      <alignment horizontal="center" vertical="center"/>
    </xf>
    <xf numFmtId="172" fontId="5" fillId="0" borderId="9" xfId="0" applyNumberFormat="1" applyFont="1" applyBorder="1" applyAlignment="1">
      <alignment horizontal="center" vertical="center"/>
    </xf>
    <xf numFmtId="172" fontId="5" fillId="0" borderId="21" xfId="0" applyNumberFormat="1" applyFont="1" applyBorder="1" applyAlignment="1">
      <alignment horizontal="center" vertical="center"/>
    </xf>
    <xf numFmtId="172" fontId="5" fillId="0" borderId="39" xfId="0" applyNumberFormat="1" applyFont="1" applyBorder="1" applyAlignment="1">
      <alignment horizontal="center" vertical="center"/>
    </xf>
    <xf numFmtId="172" fontId="5" fillId="0" borderId="7" xfId="0" applyNumberFormat="1" applyFont="1" applyBorder="1" applyAlignment="1">
      <alignment horizontal="center" vertical="center"/>
    </xf>
    <xf numFmtId="172" fontId="5" fillId="0" borderId="8" xfId="0" applyNumberFormat="1" applyFont="1" applyBorder="1" applyAlignment="1">
      <alignment horizontal="center" vertical="center"/>
    </xf>
    <xf numFmtId="172" fontId="5" fillId="0" borderId="45" xfId="0" applyNumberFormat="1" applyFont="1" applyBorder="1" applyAlignment="1">
      <alignment horizontal="center" vertical="center"/>
    </xf>
    <xf numFmtId="172" fontId="5" fillId="0" borderId="43" xfId="0" applyNumberFormat="1" applyFont="1" applyBorder="1" applyAlignment="1">
      <alignment horizontal="center" vertical="center"/>
    </xf>
    <xf numFmtId="172" fontId="5" fillId="0" borderId="40" xfId="0" applyNumberFormat="1" applyFont="1" applyBorder="1" applyAlignment="1">
      <alignment horizontal="center" vertical="center"/>
    </xf>
    <xf numFmtId="172" fontId="5" fillId="0" borderId="50" xfId="0" applyNumberFormat="1" applyFont="1" applyBorder="1" applyAlignment="1">
      <alignment horizontal="center" vertical="center"/>
    </xf>
    <xf numFmtId="172" fontId="5" fillId="0" borderId="18" xfId="0" applyNumberFormat="1" applyFont="1" applyBorder="1" applyAlignment="1">
      <alignment horizontal="center" vertical="center"/>
    </xf>
    <xf numFmtId="172" fontId="5" fillId="0" borderId="20" xfId="0" applyNumberFormat="1" applyFont="1" applyBorder="1" applyAlignment="1">
      <alignment horizontal="center" vertical="center"/>
    </xf>
    <xf numFmtId="172" fontId="5" fillId="0" borderId="48" xfId="0" applyNumberFormat="1" applyFont="1" applyBorder="1" applyAlignment="1">
      <alignment horizontal="center" vertical="center"/>
    </xf>
    <xf numFmtId="172" fontId="5" fillId="0" borderId="16" xfId="0" applyNumberFormat="1" applyFont="1" applyBorder="1" applyAlignment="1">
      <alignment horizontal="center" vertical="center"/>
    </xf>
    <xf numFmtId="172" fontId="5" fillId="0" borderId="17" xfId="0" applyNumberFormat="1" applyFont="1" applyBorder="1" applyAlignment="1">
      <alignment horizontal="center" vertical="center"/>
    </xf>
    <xf numFmtId="1" fontId="5" fillId="0" borderId="58" xfId="0" applyNumberFormat="1" applyFont="1" applyBorder="1" applyAlignment="1">
      <alignment horizontal="center" vertical="center"/>
    </xf>
    <xf numFmtId="1" fontId="5" fillId="0" borderId="59" xfId="0" applyNumberFormat="1" applyFont="1" applyBorder="1" applyAlignment="1">
      <alignment horizontal="center" vertical="center"/>
    </xf>
    <xf numFmtId="1" fontId="5" fillId="0" borderId="57" xfId="0" applyNumberFormat="1" applyFont="1" applyBorder="1" applyAlignment="1">
      <alignment horizontal="center" vertical="center"/>
    </xf>
    <xf numFmtId="172" fontId="5" fillId="0" borderId="58" xfId="0" applyNumberFormat="1" applyFont="1" applyBorder="1" applyAlignment="1">
      <alignment horizontal="center" vertical="center"/>
    </xf>
    <xf numFmtId="172" fontId="5" fillId="0" borderId="59" xfId="0" applyNumberFormat="1" applyFont="1" applyBorder="1" applyAlignment="1">
      <alignment horizontal="center" vertical="center"/>
    </xf>
    <xf numFmtId="10" fontId="5" fillId="0" borderId="28" xfId="0" applyNumberFormat="1" applyFont="1" applyFill="1" applyBorder="1" applyAlignment="1">
      <alignment horizontal="center" vertical="center"/>
    </xf>
    <xf numFmtId="10" fontId="5" fillId="0" borderId="29" xfId="0" applyNumberFormat="1" applyFont="1" applyFill="1" applyBorder="1" applyAlignment="1">
      <alignment horizontal="center" vertical="center"/>
    </xf>
    <xf numFmtId="171" fontId="5" fillId="0" borderId="86" xfId="0" applyNumberFormat="1" applyFont="1" applyBorder="1" applyAlignment="1">
      <alignment horizontal="center" vertical="center"/>
    </xf>
    <xf numFmtId="171" fontId="5" fillId="0" borderId="36" xfId="0" applyNumberFormat="1" applyFont="1" applyBorder="1" applyAlignment="1">
      <alignment horizontal="center" vertical="center"/>
    </xf>
    <xf numFmtId="171" fontId="5" fillId="0" borderId="88" xfId="0" applyNumberFormat="1" applyFont="1" applyBorder="1" applyAlignment="1">
      <alignment horizontal="center" vertical="center"/>
    </xf>
    <xf numFmtId="171" fontId="5" fillId="0" borderId="89" xfId="0" applyNumberFormat="1" applyFont="1" applyBorder="1" applyAlignment="1">
      <alignment horizontal="center" vertical="center"/>
    </xf>
    <xf numFmtId="171" fontId="5" fillId="0" borderId="41" xfId="0" applyNumberFormat="1" applyFont="1" applyBorder="1" applyAlignment="1">
      <alignment horizontal="center" vertical="center"/>
    </xf>
    <xf numFmtId="172" fontId="5" fillId="0" borderId="86" xfId="0" applyNumberFormat="1" applyFont="1" applyBorder="1" applyAlignment="1">
      <alignment horizontal="center" vertical="center"/>
    </xf>
    <xf numFmtId="172" fontId="5" fillId="0" borderId="36" xfId="0" applyNumberFormat="1" applyFont="1" applyBorder="1" applyAlignment="1">
      <alignment horizontal="center" vertical="center"/>
    </xf>
    <xf numFmtId="172" fontId="5" fillId="0" borderId="88" xfId="0" applyNumberFormat="1" applyFont="1" applyBorder="1" applyAlignment="1">
      <alignment horizontal="center" vertical="center"/>
    </xf>
    <xf numFmtId="172" fontId="5" fillId="0" borderId="89" xfId="0" applyNumberFormat="1" applyFont="1" applyBorder="1" applyAlignment="1">
      <alignment horizontal="center" vertical="center"/>
    </xf>
    <xf numFmtId="172" fontId="5" fillId="0" borderId="57" xfId="0" applyNumberFormat="1" applyFont="1" applyBorder="1" applyAlignment="1">
      <alignment horizontal="center" vertical="center"/>
    </xf>
    <xf numFmtId="172" fontId="5" fillId="0" borderId="41" xfId="0" applyNumberFormat="1" applyFont="1" applyBorder="1" applyAlignment="1">
      <alignment horizontal="center" vertical="center"/>
    </xf>
    <xf numFmtId="171" fontId="13" fillId="0" borderId="64" xfId="0" applyNumberFormat="1" applyFont="1" applyBorder="1" applyAlignment="1">
      <alignment horizontal="center" vertical="center"/>
    </xf>
    <xf numFmtId="171" fontId="13" fillId="0" borderId="12" xfId="0" applyNumberFormat="1" applyFont="1" applyBorder="1" applyAlignment="1">
      <alignment horizontal="center" vertical="center"/>
    </xf>
    <xf numFmtId="171" fontId="13" fillId="0" borderId="65" xfId="0" applyNumberFormat="1" applyFont="1" applyBorder="1" applyAlignment="1">
      <alignment horizontal="center" vertical="center"/>
    </xf>
    <xf numFmtId="172" fontId="13" fillId="0" borderId="64" xfId="0" applyNumberFormat="1" applyFont="1" applyBorder="1" applyAlignment="1">
      <alignment horizontal="center" vertical="center"/>
    </xf>
    <xf numFmtId="172" fontId="13" fillId="0" borderId="12" xfId="0" applyNumberFormat="1" applyFont="1" applyBorder="1" applyAlignment="1">
      <alignment horizontal="center" vertical="center"/>
    </xf>
    <xf numFmtId="172" fontId="13" fillId="0" borderId="6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9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0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31</xdr:row>
          <xdr:rowOff>38100</xdr:rowOff>
        </xdr:from>
        <xdr:to>
          <xdr:col>9</xdr:col>
          <xdr:colOff>19050</xdr:colOff>
          <xdr:row>32</xdr:row>
          <xdr:rowOff>152400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41</xdr:row>
          <xdr:rowOff>180975</xdr:rowOff>
        </xdr:from>
        <xdr:to>
          <xdr:col>9</xdr:col>
          <xdr:colOff>123825</xdr:colOff>
          <xdr:row>43</xdr:row>
          <xdr:rowOff>104775</xdr:rowOff>
        </xdr:to>
        <xdr:sp macro="" textlink="">
          <xdr:nvSpPr>
            <xdr:cNvPr id="5122" name="Object 2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72</xdr:row>
          <xdr:rowOff>85725</xdr:rowOff>
        </xdr:from>
        <xdr:to>
          <xdr:col>7</xdr:col>
          <xdr:colOff>114300</xdr:colOff>
          <xdr:row>74</xdr:row>
          <xdr:rowOff>19050</xdr:rowOff>
        </xdr:to>
        <xdr:sp macro="" textlink="">
          <xdr:nvSpPr>
            <xdr:cNvPr id="5123" name="Object 3" hidden="1">
              <a:extLst>
                <a:ext uri="{63B3BB69-23CF-44E3-9099-C40C66FF867C}">
                  <a14:compatExt spid="_x0000_s51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10</xdr:col>
      <xdr:colOff>142875</xdr:colOff>
      <xdr:row>51</xdr:row>
      <xdr:rowOff>57150</xdr:rowOff>
    </xdr:from>
    <xdr:to>
      <xdr:col>20</xdr:col>
      <xdr:colOff>142143</xdr:colOff>
      <xdr:row>52</xdr:row>
      <xdr:rowOff>161925</xdr:rowOff>
    </xdr:to>
    <xdr:pic>
      <xdr:nvPicPr>
        <xdr:cNvPr id="5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10391775"/>
          <a:ext cx="190426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133350</xdr:colOff>
      <xdr:row>101</xdr:row>
      <xdr:rowOff>47625</xdr:rowOff>
    </xdr:from>
    <xdr:to>
      <xdr:col>20</xdr:col>
      <xdr:colOff>132618</xdr:colOff>
      <xdr:row>102</xdr:row>
      <xdr:rowOff>152400</xdr:rowOff>
    </xdr:to>
    <xdr:pic>
      <xdr:nvPicPr>
        <xdr:cNvPr id="6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21174075"/>
          <a:ext cx="190426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30</xdr:row>
      <xdr:rowOff>0</xdr:rowOff>
    </xdr:from>
    <xdr:to>
      <xdr:col>11</xdr:col>
      <xdr:colOff>0</xdr:colOff>
      <xdr:row>31</xdr:row>
      <xdr:rowOff>0</xdr:rowOff>
    </xdr:to>
    <xdr:sp macro="" textlink="">
      <xdr:nvSpPr>
        <xdr:cNvPr id="8" name="Oval 7"/>
        <xdr:cNvSpPr>
          <a:spLocks noChangeArrowheads="1"/>
        </xdr:cNvSpPr>
      </xdr:nvSpPr>
      <xdr:spPr bwMode="auto">
        <a:xfrm>
          <a:off x="1333500" y="6200775"/>
          <a:ext cx="762000" cy="2667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85725</xdr:colOff>
      <xdr:row>45</xdr:row>
      <xdr:rowOff>9525</xdr:rowOff>
    </xdr:from>
    <xdr:to>
      <xdr:col>12</xdr:col>
      <xdr:colOff>85725</xdr:colOff>
      <xdr:row>46</xdr:row>
      <xdr:rowOff>180975</xdr:rowOff>
    </xdr:to>
    <xdr:sp macro="" textlink="">
      <xdr:nvSpPr>
        <xdr:cNvPr id="9" name="Oval 8"/>
        <xdr:cNvSpPr>
          <a:spLocks noChangeArrowheads="1"/>
        </xdr:cNvSpPr>
      </xdr:nvSpPr>
      <xdr:spPr bwMode="auto">
        <a:xfrm>
          <a:off x="1419225" y="9163050"/>
          <a:ext cx="952500" cy="3619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</xdr:row>
      <xdr:rowOff>0</xdr:rowOff>
    </xdr:from>
    <xdr:to>
      <xdr:col>10</xdr:col>
      <xdr:colOff>0</xdr:colOff>
      <xdr:row>70</xdr:row>
      <xdr:rowOff>342900</xdr:rowOff>
    </xdr:to>
    <xdr:sp macro="" textlink="">
      <xdr:nvSpPr>
        <xdr:cNvPr id="10" name="Oval 9"/>
        <xdr:cNvSpPr>
          <a:spLocks noChangeArrowheads="1"/>
        </xdr:cNvSpPr>
      </xdr:nvSpPr>
      <xdr:spPr bwMode="auto">
        <a:xfrm>
          <a:off x="1143000" y="14963775"/>
          <a:ext cx="762000" cy="3429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95250</xdr:colOff>
      <xdr:row>95</xdr:row>
      <xdr:rowOff>0</xdr:rowOff>
    </xdr:from>
    <xdr:to>
      <xdr:col>12</xdr:col>
      <xdr:colOff>85725</xdr:colOff>
      <xdr:row>96</xdr:row>
      <xdr:rowOff>171450</xdr:rowOff>
    </xdr:to>
    <xdr:sp macro="" textlink="">
      <xdr:nvSpPr>
        <xdr:cNvPr id="11" name="Oval 10"/>
        <xdr:cNvSpPr>
          <a:spLocks noChangeArrowheads="1"/>
        </xdr:cNvSpPr>
      </xdr:nvSpPr>
      <xdr:spPr bwMode="auto">
        <a:xfrm>
          <a:off x="1428750" y="19954875"/>
          <a:ext cx="942975" cy="3619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40</xdr:row>
      <xdr:rowOff>0</xdr:rowOff>
    </xdr:from>
    <xdr:to>
      <xdr:col>11</xdr:col>
      <xdr:colOff>0</xdr:colOff>
      <xdr:row>40</xdr:row>
      <xdr:rowOff>266700</xdr:rowOff>
    </xdr:to>
    <xdr:sp macro="" textlink="">
      <xdr:nvSpPr>
        <xdr:cNvPr id="12" name="Oval 11"/>
        <xdr:cNvSpPr>
          <a:spLocks noChangeArrowheads="1"/>
        </xdr:cNvSpPr>
      </xdr:nvSpPr>
      <xdr:spPr bwMode="auto">
        <a:xfrm>
          <a:off x="1333500" y="8162925"/>
          <a:ext cx="762000" cy="2667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15</xdr:col>
      <xdr:colOff>100639</xdr:colOff>
      <xdr:row>18</xdr:row>
      <xdr:rowOff>11205</xdr:rowOff>
    </xdr:from>
    <xdr:to>
      <xdr:col>16</xdr:col>
      <xdr:colOff>159467</xdr:colOff>
      <xdr:row>18</xdr:row>
      <xdr:rowOff>180974</xdr:rowOff>
    </xdr:to>
    <xdr:sp macro="" textlink="">
      <xdr:nvSpPr>
        <xdr:cNvPr id="13" name="Oval 10"/>
        <xdr:cNvSpPr>
          <a:spLocks noChangeArrowheads="1"/>
        </xdr:cNvSpPr>
      </xdr:nvSpPr>
      <xdr:spPr bwMode="auto">
        <a:xfrm>
          <a:off x="2958139" y="3967743"/>
          <a:ext cx="249328" cy="169769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25</xdr:row>
      <xdr:rowOff>7327</xdr:rowOff>
    </xdr:from>
    <xdr:to>
      <xdr:col>30</xdr:col>
      <xdr:colOff>183173</xdr:colOff>
      <xdr:row>28</xdr:row>
      <xdr:rowOff>256442</xdr:rowOff>
    </xdr:to>
    <xdr:cxnSp macro="">
      <xdr:nvCxnSpPr>
        <xdr:cNvPr id="3" name="Straight Connector 2"/>
        <xdr:cNvCxnSpPr/>
      </xdr:nvCxnSpPr>
      <xdr:spPr>
        <a:xfrm flipV="1">
          <a:off x="190500" y="5275385"/>
          <a:ext cx="5707673" cy="82061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31</xdr:row>
          <xdr:rowOff>38100</xdr:rowOff>
        </xdr:from>
        <xdr:to>
          <xdr:col>9</xdr:col>
          <xdr:colOff>19050</xdr:colOff>
          <xdr:row>32</xdr:row>
          <xdr:rowOff>152400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41</xdr:row>
          <xdr:rowOff>180975</xdr:rowOff>
        </xdr:from>
        <xdr:to>
          <xdr:col>9</xdr:col>
          <xdr:colOff>123825</xdr:colOff>
          <xdr:row>43</xdr:row>
          <xdr:rowOff>104775</xdr:rowOff>
        </xdr:to>
        <xdr:sp macro="" textlink="">
          <xdr:nvSpPr>
            <xdr:cNvPr id="6146" name="Object 2" hidden="1">
              <a:extLst>
                <a:ext uri="{63B3BB69-23CF-44E3-9099-C40C66FF867C}">
                  <a14:compatExt spid="_x0000_s61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72</xdr:row>
          <xdr:rowOff>85725</xdr:rowOff>
        </xdr:from>
        <xdr:to>
          <xdr:col>7</xdr:col>
          <xdr:colOff>114300</xdr:colOff>
          <xdr:row>74</xdr:row>
          <xdr:rowOff>19050</xdr:rowOff>
        </xdr:to>
        <xdr:sp macro="" textlink="">
          <xdr:nvSpPr>
            <xdr:cNvPr id="6147" name="Object 3" hidden="1">
              <a:extLst>
                <a:ext uri="{63B3BB69-23CF-44E3-9099-C40C66FF867C}">
                  <a14:compatExt spid="_x0000_s61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10</xdr:col>
      <xdr:colOff>142875</xdr:colOff>
      <xdr:row>51</xdr:row>
      <xdr:rowOff>57150</xdr:rowOff>
    </xdr:from>
    <xdr:to>
      <xdr:col>20</xdr:col>
      <xdr:colOff>142143</xdr:colOff>
      <xdr:row>52</xdr:row>
      <xdr:rowOff>161925</xdr:rowOff>
    </xdr:to>
    <xdr:pic>
      <xdr:nvPicPr>
        <xdr:cNvPr id="5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10391775"/>
          <a:ext cx="190426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133350</xdr:colOff>
      <xdr:row>101</xdr:row>
      <xdr:rowOff>47625</xdr:rowOff>
    </xdr:from>
    <xdr:to>
      <xdr:col>20</xdr:col>
      <xdr:colOff>132618</xdr:colOff>
      <xdr:row>102</xdr:row>
      <xdr:rowOff>152400</xdr:rowOff>
    </xdr:to>
    <xdr:pic>
      <xdr:nvPicPr>
        <xdr:cNvPr id="6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21174075"/>
          <a:ext cx="190426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85985</xdr:colOff>
      <xdr:row>18</xdr:row>
      <xdr:rowOff>11205</xdr:rowOff>
    </xdr:from>
    <xdr:to>
      <xdr:col>16</xdr:col>
      <xdr:colOff>144813</xdr:colOff>
      <xdr:row>18</xdr:row>
      <xdr:rowOff>180974</xdr:rowOff>
    </xdr:to>
    <xdr:sp macro="" textlink="">
      <xdr:nvSpPr>
        <xdr:cNvPr id="7" name="Oval 10"/>
        <xdr:cNvSpPr>
          <a:spLocks noChangeArrowheads="1"/>
        </xdr:cNvSpPr>
      </xdr:nvSpPr>
      <xdr:spPr bwMode="auto">
        <a:xfrm>
          <a:off x="2943485" y="3967743"/>
          <a:ext cx="249328" cy="169769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30</xdr:row>
      <xdr:rowOff>0</xdr:rowOff>
    </xdr:from>
    <xdr:to>
      <xdr:col>11</xdr:col>
      <xdr:colOff>0</xdr:colOff>
      <xdr:row>31</xdr:row>
      <xdr:rowOff>0</xdr:rowOff>
    </xdr:to>
    <xdr:sp macro="" textlink="">
      <xdr:nvSpPr>
        <xdr:cNvPr id="8" name="Oval 7"/>
        <xdr:cNvSpPr>
          <a:spLocks noChangeArrowheads="1"/>
        </xdr:cNvSpPr>
      </xdr:nvSpPr>
      <xdr:spPr bwMode="auto">
        <a:xfrm>
          <a:off x="1333500" y="6200775"/>
          <a:ext cx="762000" cy="2667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85725</xdr:colOff>
      <xdr:row>45</xdr:row>
      <xdr:rowOff>9525</xdr:rowOff>
    </xdr:from>
    <xdr:to>
      <xdr:col>12</xdr:col>
      <xdr:colOff>85725</xdr:colOff>
      <xdr:row>46</xdr:row>
      <xdr:rowOff>180975</xdr:rowOff>
    </xdr:to>
    <xdr:sp macro="" textlink="">
      <xdr:nvSpPr>
        <xdr:cNvPr id="9" name="Oval 8"/>
        <xdr:cNvSpPr>
          <a:spLocks noChangeArrowheads="1"/>
        </xdr:cNvSpPr>
      </xdr:nvSpPr>
      <xdr:spPr bwMode="auto">
        <a:xfrm>
          <a:off x="1419225" y="9163050"/>
          <a:ext cx="952500" cy="3619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</xdr:row>
      <xdr:rowOff>0</xdr:rowOff>
    </xdr:from>
    <xdr:to>
      <xdr:col>10</xdr:col>
      <xdr:colOff>0</xdr:colOff>
      <xdr:row>70</xdr:row>
      <xdr:rowOff>342900</xdr:rowOff>
    </xdr:to>
    <xdr:sp macro="" textlink="">
      <xdr:nvSpPr>
        <xdr:cNvPr id="10" name="Oval 9"/>
        <xdr:cNvSpPr>
          <a:spLocks noChangeArrowheads="1"/>
        </xdr:cNvSpPr>
      </xdr:nvSpPr>
      <xdr:spPr bwMode="auto">
        <a:xfrm>
          <a:off x="1143000" y="14963775"/>
          <a:ext cx="762000" cy="3429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95250</xdr:colOff>
      <xdr:row>95</xdr:row>
      <xdr:rowOff>7327</xdr:rowOff>
    </xdr:from>
    <xdr:to>
      <xdr:col>12</xdr:col>
      <xdr:colOff>85725</xdr:colOff>
      <xdr:row>96</xdr:row>
      <xdr:rowOff>178777</xdr:rowOff>
    </xdr:to>
    <xdr:sp macro="" textlink="">
      <xdr:nvSpPr>
        <xdr:cNvPr id="11" name="Oval 10"/>
        <xdr:cNvSpPr>
          <a:spLocks noChangeArrowheads="1"/>
        </xdr:cNvSpPr>
      </xdr:nvSpPr>
      <xdr:spPr bwMode="auto">
        <a:xfrm>
          <a:off x="1428750" y="19936558"/>
          <a:ext cx="942975" cy="3619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40</xdr:row>
      <xdr:rowOff>0</xdr:rowOff>
    </xdr:from>
    <xdr:to>
      <xdr:col>11</xdr:col>
      <xdr:colOff>0</xdr:colOff>
      <xdr:row>40</xdr:row>
      <xdr:rowOff>266700</xdr:rowOff>
    </xdr:to>
    <xdr:sp macro="" textlink="">
      <xdr:nvSpPr>
        <xdr:cNvPr id="12" name="Oval 11"/>
        <xdr:cNvSpPr>
          <a:spLocks noChangeArrowheads="1"/>
        </xdr:cNvSpPr>
      </xdr:nvSpPr>
      <xdr:spPr bwMode="auto">
        <a:xfrm>
          <a:off x="1333500" y="8162925"/>
          <a:ext cx="762000" cy="2667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7327</xdr:colOff>
      <xdr:row>25</xdr:row>
      <xdr:rowOff>7326</xdr:rowOff>
    </xdr:from>
    <xdr:to>
      <xdr:col>31</xdr:col>
      <xdr:colOff>0</xdr:colOff>
      <xdr:row>28</xdr:row>
      <xdr:rowOff>256441</xdr:rowOff>
    </xdr:to>
    <xdr:cxnSp macro="">
      <xdr:nvCxnSpPr>
        <xdr:cNvPr id="13" name="Straight Connector 12"/>
        <xdr:cNvCxnSpPr/>
      </xdr:nvCxnSpPr>
      <xdr:spPr>
        <a:xfrm flipV="1">
          <a:off x="197827" y="5275384"/>
          <a:ext cx="5707673" cy="82061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31</xdr:row>
          <xdr:rowOff>38100</xdr:rowOff>
        </xdr:from>
        <xdr:to>
          <xdr:col>9</xdr:col>
          <xdr:colOff>19050</xdr:colOff>
          <xdr:row>32</xdr:row>
          <xdr:rowOff>152400</xdr:rowOff>
        </xdr:to>
        <xdr:sp macro="" textlink="">
          <xdr:nvSpPr>
            <xdr:cNvPr id="11265" name="Object 1" hidden="1">
              <a:extLst>
                <a:ext uri="{63B3BB69-23CF-44E3-9099-C40C66FF867C}">
                  <a14:compatExt spid="_x0000_s112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41</xdr:row>
          <xdr:rowOff>180975</xdr:rowOff>
        </xdr:from>
        <xdr:to>
          <xdr:col>9</xdr:col>
          <xdr:colOff>123825</xdr:colOff>
          <xdr:row>43</xdr:row>
          <xdr:rowOff>104775</xdr:rowOff>
        </xdr:to>
        <xdr:sp macro="" textlink="">
          <xdr:nvSpPr>
            <xdr:cNvPr id="11266" name="Object 2" hidden="1">
              <a:extLst>
                <a:ext uri="{63B3BB69-23CF-44E3-9099-C40C66FF867C}">
                  <a14:compatExt spid="_x0000_s112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72</xdr:row>
          <xdr:rowOff>85725</xdr:rowOff>
        </xdr:from>
        <xdr:to>
          <xdr:col>7</xdr:col>
          <xdr:colOff>114300</xdr:colOff>
          <xdr:row>74</xdr:row>
          <xdr:rowOff>19050</xdr:rowOff>
        </xdr:to>
        <xdr:sp macro="" textlink="">
          <xdr:nvSpPr>
            <xdr:cNvPr id="11267" name="Object 3" hidden="1">
              <a:extLst>
                <a:ext uri="{63B3BB69-23CF-44E3-9099-C40C66FF867C}">
                  <a14:compatExt spid="_x0000_s112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10</xdr:col>
      <xdr:colOff>142875</xdr:colOff>
      <xdr:row>51</xdr:row>
      <xdr:rowOff>57150</xdr:rowOff>
    </xdr:from>
    <xdr:to>
      <xdr:col>20</xdr:col>
      <xdr:colOff>142143</xdr:colOff>
      <xdr:row>52</xdr:row>
      <xdr:rowOff>161925</xdr:rowOff>
    </xdr:to>
    <xdr:pic>
      <xdr:nvPicPr>
        <xdr:cNvPr id="5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10391775"/>
          <a:ext cx="190426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133350</xdr:colOff>
      <xdr:row>100</xdr:row>
      <xdr:rowOff>47625</xdr:rowOff>
    </xdr:from>
    <xdr:to>
      <xdr:col>20</xdr:col>
      <xdr:colOff>132618</xdr:colOff>
      <xdr:row>101</xdr:row>
      <xdr:rowOff>152400</xdr:rowOff>
    </xdr:to>
    <xdr:pic>
      <xdr:nvPicPr>
        <xdr:cNvPr id="6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21174075"/>
          <a:ext cx="190426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30</xdr:row>
      <xdr:rowOff>0</xdr:rowOff>
    </xdr:from>
    <xdr:to>
      <xdr:col>11</xdr:col>
      <xdr:colOff>0</xdr:colOff>
      <xdr:row>31</xdr:row>
      <xdr:rowOff>0</xdr:rowOff>
    </xdr:to>
    <xdr:sp macro="" textlink="">
      <xdr:nvSpPr>
        <xdr:cNvPr id="8" name="Oval 7"/>
        <xdr:cNvSpPr>
          <a:spLocks noChangeArrowheads="1"/>
        </xdr:cNvSpPr>
      </xdr:nvSpPr>
      <xdr:spPr bwMode="auto">
        <a:xfrm>
          <a:off x="1333500" y="6200775"/>
          <a:ext cx="762000" cy="2667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85725</xdr:colOff>
      <xdr:row>45</xdr:row>
      <xdr:rowOff>9525</xdr:rowOff>
    </xdr:from>
    <xdr:to>
      <xdr:col>12</xdr:col>
      <xdr:colOff>85725</xdr:colOff>
      <xdr:row>46</xdr:row>
      <xdr:rowOff>180975</xdr:rowOff>
    </xdr:to>
    <xdr:sp macro="" textlink="">
      <xdr:nvSpPr>
        <xdr:cNvPr id="9" name="Oval 8"/>
        <xdr:cNvSpPr>
          <a:spLocks noChangeArrowheads="1"/>
        </xdr:cNvSpPr>
      </xdr:nvSpPr>
      <xdr:spPr bwMode="auto">
        <a:xfrm>
          <a:off x="1419225" y="9163050"/>
          <a:ext cx="952500" cy="3619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</xdr:row>
      <xdr:rowOff>0</xdr:rowOff>
    </xdr:from>
    <xdr:to>
      <xdr:col>10</xdr:col>
      <xdr:colOff>0</xdr:colOff>
      <xdr:row>70</xdr:row>
      <xdr:rowOff>342900</xdr:rowOff>
    </xdr:to>
    <xdr:sp macro="" textlink="">
      <xdr:nvSpPr>
        <xdr:cNvPr id="10" name="Oval 9"/>
        <xdr:cNvSpPr>
          <a:spLocks noChangeArrowheads="1"/>
        </xdr:cNvSpPr>
      </xdr:nvSpPr>
      <xdr:spPr bwMode="auto">
        <a:xfrm>
          <a:off x="1143000" y="14963775"/>
          <a:ext cx="762000" cy="3429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95250</xdr:colOff>
      <xdr:row>94</xdr:row>
      <xdr:rowOff>0</xdr:rowOff>
    </xdr:from>
    <xdr:to>
      <xdr:col>12</xdr:col>
      <xdr:colOff>85725</xdr:colOff>
      <xdr:row>95</xdr:row>
      <xdr:rowOff>171450</xdr:rowOff>
    </xdr:to>
    <xdr:sp macro="" textlink="">
      <xdr:nvSpPr>
        <xdr:cNvPr id="11" name="Oval 10"/>
        <xdr:cNvSpPr>
          <a:spLocks noChangeArrowheads="1"/>
        </xdr:cNvSpPr>
      </xdr:nvSpPr>
      <xdr:spPr bwMode="auto">
        <a:xfrm>
          <a:off x="1428750" y="19954875"/>
          <a:ext cx="942975" cy="3619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40</xdr:row>
      <xdr:rowOff>0</xdr:rowOff>
    </xdr:from>
    <xdr:to>
      <xdr:col>11</xdr:col>
      <xdr:colOff>0</xdr:colOff>
      <xdr:row>40</xdr:row>
      <xdr:rowOff>266700</xdr:rowOff>
    </xdr:to>
    <xdr:sp macro="" textlink="">
      <xdr:nvSpPr>
        <xdr:cNvPr id="12" name="Oval 11"/>
        <xdr:cNvSpPr>
          <a:spLocks noChangeArrowheads="1"/>
        </xdr:cNvSpPr>
      </xdr:nvSpPr>
      <xdr:spPr bwMode="auto">
        <a:xfrm>
          <a:off x="1333500" y="8162925"/>
          <a:ext cx="762000" cy="2667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16</xdr:col>
      <xdr:colOff>115695</xdr:colOff>
      <xdr:row>18</xdr:row>
      <xdr:rowOff>16855</xdr:rowOff>
    </xdr:from>
    <xdr:to>
      <xdr:col>18</xdr:col>
      <xdr:colOff>20445</xdr:colOff>
      <xdr:row>18</xdr:row>
      <xdr:rowOff>188305</xdr:rowOff>
    </xdr:to>
    <xdr:sp macro="" textlink="">
      <xdr:nvSpPr>
        <xdr:cNvPr id="13" name="Oval 10"/>
        <xdr:cNvSpPr>
          <a:spLocks noChangeArrowheads="1"/>
        </xdr:cNvSpPr>
      </xdr:nvSpPr>
      <xdr:spPr bwMode="auto">
        <a:xfrm>
          <a:off x="3163695" y="3973393"/>
          <a:ext cx="285750" cy="1714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7326</xdr:colOff>
      <xdr:row>25</xdr:row>
      <xdr:rowOff>7326</xdr:rowOff>
    </xdr:from>
    <xdr:to>
      <xdr:col>30</xdr:col>
      <xdr:colOff>190499</xdr:colOff>
      <xdr:row>28</xdr:row>
      <xdr:rowOff>256441</xdr:rowOff>
    </xdr:to>
    <xdr:cxnSp macro="">
      <xdr:nvCxnSpPr>
        <xdr:cNvPr id="14" name="Straight Connector 13"/>
        <xdr:cNvCxnSpPr/>
      </xdr:nvCxnSpPr>
      <xdr:spPr>
        <a:xfrm flipV="1">
          <a:off x="197826" y="5275384"/>
          <a:ext cx="5707673" cy="82061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31</xdr:row>
          <xdr:rowOff>38100</xdr:rowOff>
        </xdr:from>
        <xdr:to>
          <xdr:col>9</xdr:col>
          <xdr:colOff>19050</xdr:colOff>
          <xdr:row>32</xdr:row>
          <xdr:rowOff>152400</xdr:rowOff>
        </xdr:to>
        <xdr:sp macro="" textlink="">
          <xdr:nvSpPr>
            <xdr:cNvPr id="22529" name="Object 1" hidden="1">
              <a:extLst>
                <a:ext uri="{63B3BB69-23CF-44E3-9099-C40C66FF867C}">
                  <a14:compatExt spid="_x0000_s225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41</xdr:row>
          <xdr:rowOff>180975</xdr:rowOff>
        </xdr:from>
        <xdr:to>
          <xdr:col>9</xdr:col>
          <xdr:colOff>123825</xdr:colOff>
          <xdr:row>43</xdr:row>
          <xdr:rowOff>104775</xdr:rowOff>
        </xdr:to>
        <xdr:sp macro="" textlink="">
          <xdr:nvSpPr>
            <xdr:cNvPr id="22530" name="Object 2" hidden="1">
              <a:extLst>
                <a:ext uri="{63B3BB69-23CF-44E3-9099-C40C66FF867C}">
                  <a14:compatExt spid="_x0000_s225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72</xdr:row>
          <xdr:rowOff>85725</xdr:rowOff>
        </xdr:from>
        <xdr:to>
          <xdr:col>7</xdr:col>
          <xdr:colOff>114300</xdr:colOff>
          <xdr:row>74</xdr:row>
          <xdr:rowOff>19050</xdr:rowOff>
        </xdr:to>
        <xdr:sp macro="" textlink="">
          <xdr:nvSpPr>
            <xdr:cNvPr id="22531" name="Object 3" hidden="1">
              <a:extLst>
                <a:ext uri="{63B3BB69-23CF-44E3-9099-C40C66FF867C}">
                  <a14:compatExt spid="_x0000_s225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10</xdr:col>
      <xdr:colOff>142875</xdr:colOff>
      <xdr:row>51</xdr:row>
      <xdr:rowOff>57150</xdr:rowOff>
    </xdr:from>
    <xdr:to>
      <xdr:col>20</xdr:col>
      <xdr:colOff>142143</xdr:colOff>
      <xdr:row>52</xdr:row>
      <xdr:rowOff>161925</xdr:rowOff>
    </xdr:to>
    <xdr:pic>
      <xdr:nvPicPr>
        <xdr:cNvPr id="5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10391775"/>
          <a:ext cx="190426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133350</xdr:colOff>
      <xdr:row>101</xdr:row>
      <xdr:rowOff>47625</xdr:rowOff>
    </xdr:from>
    <xdr:to>
      <xdr:col>20</xdr:col>
      <xdr:colOff>132618</xdr:colOff>
      <xdr:row>102</xdr:row>
      <xdr:rowOff>152400</xdr:rowOff>
    </xdr:to>
    <xdr:pic>
      <xdr:nvPicPr>
        <xdr:cNvPr id="6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21174075"/>
          <a:ext cx="190426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30</xdr:row>
      <xdr:rowOff>0</xdr:rowOff>
    </xdr:from>
    <xdr:to>
      <xdr:col>11</xdr:col>
      <xdr:colOff>0</xdr:colOff>
      <xdr:row>31</xdr:row>
      <xdr:rowOff>0</xdr:rowOff>
    </xdr:to>
    <xdr:sp macro="" textlink="">
      <xdr:nvSpPr>
        <xdr:cNvPr id="7" name="Oval 6"/>
        <xdr:cNvSpPr>
          <a:spLocks noChangeArrowheads="1"/>
        </xdr:cNvSpPr>
      </xdr:nvSpPr>
      <xdr:spPr bwMode="auto">
        <a:xfrm>
          <a:off x="1333500" y="6200775"/>
          <a:ext cx="762000" cy="2667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85725</xdr:colOff>
      <xdr:row>45</xdr:row>
      <xdr:rowOff>9525</xdr:rowOff>
    </xdr:from>
    <xdr:to>
      <xdr:col>12</xdr:col>
      <xdr:colOff>85725</xdr:colOff>
      <xdr:row>46</xdr:row>
      <xdr:rowOff>180975</xdr:rowOff>
    </xdr:to>
    <xdr:sp macro="" textlink="">
      <xdr:nvSpPr>
        <xdr:cNvPr id="8" name="Oval 7"/>
        <xdr:cNvSpPr>
          <a:spLocks noChangeArrowheads="1"/>
        </xdr:cNvSpPr>
      </xdr:nvSpPr>
      <xdr:spPr bwMode="auto">
        <a:xfrm>
          <a:off x="1419225" y="9163050"/>
          <a:ext cx="952500" cy="3619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</xdr:row>
      <xdr:rowOff>0</xdr:rowOff>
    </xdr:from>
    <xdr:to>
      <xdr:col>10</xdr:col>
      <xdr:colOff>0</xdr:colOff>
      <xdr:row>70</xdr:row>
      <xdr:rowOff>342900</xdr:rowOff>
    </xdr:to>
    <xdr:sp macro="" textlink="">
      <xdr:nvSpPr>
        <xdr:cNvPr id="9" name="Oval 8"/>
        <xdr:cNvSpPr>
          <a:spLocks noChangeArrowheads="1"/>
        </xdr:cNvSpPr>
      </xdr:nvSpPr>
      <xdr:spPr bwMode="auto">
        <a:xfrm>
          <a:off x="1143000" y="14963775"/>
          <a:ext cx="762000" cy="3429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95250</xdr:colOff>
      <xdr:row>95</xdr:row>
      <xdr:rowOff>0</xdr:rowOff>
    </xdr:from>
    <xdr:to>
      <xdr:col>12</xdr:col>
      <xdr:colOff>85725</xdr:colOff>
      <xdr:row>96</xdr:row>
      <xdr:rowOff>171450</xdr:rowOff>
    </xdr:to>
    <xdr:sp macro="" textlink="">
      <xdr:nvSpPr>
        <xdr:cNvPr id="10" name="Oval 9"/>
        <xdr:cNvSpPr>
          <a:spLocks noChangeArrowheads="1"/>
        </xdr:cNvSpPr>
      </xdr:nvSpPr>
      <xdr:spPr bwMode="auto">
        <a:xfrm>
          <a:off x="1428750" y="19954875"/>
          <a:ext cx="942975" cy="3619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40</xdr:row>
      <xdr:rowOff>0</xdr:rowOff>
    </xdr:from>
    <xdr:to>
      <xdr:col>11</xdr:col>
      <xdr:colOff>0</xdr:colOff>
      <xdr:row>40</xdr:row>
      <xdr:rowOff>266700</xdr:rowOff>
    </xdr:to>
    <xdr:sp macro="" textlink="">
      <xdr:nvSpPr>
        <xdr:cNvPr id="11" name="Oval 10"/>
        <xdr:cNvSpPr>
          <a:spLocks noChangeArrowheads="1"/>
        </xdr:cNvSpPr>
      </xdr:nvSpPr>
      <xdr:spPr bwMode="auto">
        <a:xfrm>
          <a:off x="1333500" y="8162925"/>
          <a:ext cx="762000" cy="2667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16</xdr:col>
      <xdr:colOff>115695</xdr:colOff>
      <xdr:row>18</xdr:row>
      <xdr:rowOff>16855</xdr:rowOff>
    </xdr:from>
    <xdr:to>
      <xdr:col>18</xdr:col>
      <xdr:colOff>20445</xdr:colOff>
      <xdr:row>18</xdr:row>
      <xdr:rowOff>188305</xdr:rowOff>
    </xdr:to>
    <xdr:sp macro="" textlink="">
      <xdr:nvSpPr>
        <xdr:cNvPr id="12" name="Oval 10"/>
        <xdr:cNvSpPr>
          <a:spLocks noChangeArrowheads="1"/>
        </xdr:cNvSpPr>
      </xdr:nvSpPr>
      <xdr:spPr bwMode="auto">
        <a:xfrm>
          <a:off x="3163695" y="3969730"/>
          <a:ext cx="285750" cy="1714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7327</xdr:colOff>
      <xdr:row>25</xdr:row>
      <xdr:rowOff>7326</xdr:rowOff>
    </xdr:from>
    <xdr:to>
      <xdr:col>31</xdr:col>
      <xdr:colOff>0</xdr:colOff>
      <xdr:row>28</xdr:row>
      <xdr:rowOff>256441</xdr:rowOff>
    </xdr:to>
    <xdr:cxnSp macro="">
      <xdr:nvCxnSpPr>
        <xdr:cNvPr id="13" name="Straight Connector 12"/>
        <xdr:cNvCxnSpPr/>
      </xdr:nvCxnSpPr>
      <xdr:spPr>
        <a:xfrm flipV="1">
          <a:off x="197827" y="5275384"/>
          <a:ext cx="5707673" cy="82061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31</xdr:row>
          <xdr:rowOff>38100</xdr:rowOff>
        </xdr:from>
        <xdr:to>
          <xdr:col>9</xdr:col>
          <xdr:colOff>19050</xdr:colOff>
          <xdr:row>32</xdr:row>
          <xdr:rowOff>152400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41</xdr:row>
          <xdr:rowOff>180975</xdr:rowOff>
        </xdr:from>
        <xdr:to>
          <xdr:col>9</xdr:col>
          <xdr:colOff>123825</xdr:colOff>
          <xdr:row>43</xdr:row>
          <xdr:rowOff>104775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72</xdr:row>
          <xdr:rowOff>85725</xdr:rowOff>
        </xdr:from>
        <xdr:to>
          <xdr:col>7</xdr:col>
          <xdr:colOff>114300</xdr:colOff>
          <xdr:row>74</xdr:row>
          <xdr:rowOff>19050</xdr:rowOff>
        </xdr:to>
        <xdr:sp macro="" textlink="">
          <xdr:nvSpPr>
            <xdr:cNvPr id="2051" name="Object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10</xdr:col>
      <xdr:colOff>142875</xdr:colOff>
      <xdr:row>51</xdr:row>
      <xdr:rowOff>57150</xdr:rowOff>
    </xdr:from>
    <xdr:to>
      <xdr:col>20</xdr:col>
      <xdr:colOff>142143</xdr:colOff>
      <xdr:row>52</xdr:row>
      <xdr:rowOff>161925</xdr:rowOff>
    </xdr:to>
    <xdr:pic>
      <xdr:nvPicPr>
        <xdr:cNvPr id="5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10391775"/>
          <a:ext cx="190426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133350</xdr:colOff>
      <xdr:row>101</xdr:row>
      <xdr:rowOff>47625</xdr:rowOff>
    </xdr:from>
    <xdr:to>
      <xdr:col>20</xdr:col>
      <xdr:colOff>132618</xdr:colOff>
      <xdr:row>102</xdr:row>
      <xdr:rowOff>152400</xdr:rowOff>
    </xdr:to>
    <xdr:pic>
      <xdr:nvPicPr>
        <xdr:cNvPr id="6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21174075"/>
          <a:ext cx="190426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30</xdr:row>
      <xdr:rowOff>0</xdr:rowOff>
    </xdr:from>
    <xdr:to>
      <xdr:col>11</xdr:col>
      <xdr:colOff>0</xdr:colOff>
      <xdr:row>31</xdr:row>
      <xdr:rowOff>0</xdr:rowOff>
    </xdr:to>
    <xdr:sp macro="" textlink="">
      <xdr:nvSpPr>
        <xdr:cNvPr id="8" name="Oval 7"/>
        <xdr:cNvSpPr>
          <a:spLocks noChangeArrowheads="1"/>
        </xdr:cNvSpPr>
      </xdr:nvSpPr>
      <xdr:spPr bwMode="auto">
        <a:xfrm>
          <a:off x="1333500" y="6200775"/>
          <a:ext cx="762000" cy="2667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85725</xdr:colOff>
      <xdr:row>45</xdr:row>
      <xdr:rowOff>9525</xdr:rowOff>
    </xdr:from>
    <xdr:to>
      <xdr:col>12</xdr:col>
      <xdr:colOff>85725</xdr:colOff>
      <xdr:row>46</xdr:row>
      <xdr:rowOff>180975</xdr:rowOff>
    </xdr:to>
    <xdr:sp macro="" textlink="">
      <xdr:nvSpPr>
        <xdr:cNvPr id="9" name="Oval 8"/>
        <xdr:cNvSpPr>
          <a:spLocks noChangeArrowheads="1"/>
        </xdr:cNvSpPr>
      </xdr:nvSpPr>
      <xdr:spPr bwMode="auto">
        <a:xfrm>
          <a:off x="1419225" y="9163050"/>
          <a:ext cx="952500" cy="3619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</xdr:row>
      <xdr:rowOff>0</xdr:rowOff>
    </xdr:from>
    <xdr:to>
      <xdr:col>10</xdr:col>
      <xdr:colOff>0</xdr:colOff>
      <xdr:row>70</xdr:row>
      <xdr:rowOff>342900</xdr:rowOff>
    </xdr:to>
    <xdr:sp macro="" textlink="">
      <xdr:nvSpPr>
        <xdr:cNvPr id="10" name="Oval 9"/>
        <xdr:cNvSpPr>
          <a:spLocks noChangeArrowheads="1"/>
        </xdr:cNvSpPr>
      </xdr:nvSpPr>
      <xdr:spPr bwMode="auto">
        <a:xfrm>
          <a:off x="1143000" y="14963775"/>
          <a:ext cx="762000" cy="3429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95250</xdr:colOff>
      <xdr:row>95</xdr:row>
      <xdr:rowOff>0</xdr:rowOff>
    </xdr:from>
    <xdr:to>
      <xdr:col>12</xdr:col>
      <xdr:colOff>85725</xdr:colOff>
      <xdr:row>96</xdr:row>
      <xdr:rowOff>171450</xdr:rowOff>
    </xdr:to>
    <xdr:sp macro="" textlink="">
      <xdr:nvSpPr>
        <xdr:cNvPr id="11" name="Oval 10"/>
        <xdr:cNvSpPr>
          <a:spLocks noChangeArrowheads="1"/>
        </xdr:cNvSpPr>
      </xdr:nvSpPr>
      <xdr:spPr bwMode="auto">
        <a:xfrm>
          <a:off x="1428750" y="19954875"/>
          <a:ext cx="942975" cy="3619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40</xdr:row>
      <xdr:rowOff>0</xdr:rowOff>
    </xdr:from>
    <xdr:to>
      <xdr:col>11</xdr:col>
      <xdr:colOff>0</xdr:colOff>
      <xdr:row>40</xdr:row>
      <xdr:rowOff>266700</xdr:rowOff>
    </xdr:to>
    <xdr:sp macro="" textlink="">
      <xdr:nvSpPr>
        <xdr:cNvPr id="12" name="Oval 11"/>
        <xdr:cNvSpPr>
          <a:spLocks noChangeArrowheads="1"/>
        </xdr:cNvSpPr>
      </xdr:nvSpPr>
      <xdr:spPr bwMode="auto">
        <a:xfrm>
          <a:off x="1333500" y="8162925"/>
          <a:ext cx="762000" cy="2667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16</xdr:col>
      <xdr:colOff>101041</xdr:colOff>
      <xdr:row>18</xdr:row>
      <xdr:rowOff>2201</xdr:rowOff>
    </xdr:from>
    <xdr:to>
      <xdr:col>18</xdr:col>
      <xdr:colOff>5791</xdr:colOff>
      <xdr:row>18</xdr:row>
      <xdr:rowOff>173651</xdr:rowOff>
    </xdr:to>
    <xdr:sp macro="" textlink="">
      <xdr:nvSpPr>
        <xdr:cNvPr id="13" name="Oval 10"/>
        <xdr:cNvSpPr>
          <a:spLocks noChangeArrowheads="1"/>
        </xdr:cNvSpPr>
      </xdr:nvSpPr>
      <xdr:spPr bwMode="auto">
        <a:xfrm>
          <a:off x="3149041" y="3958739"/>
          <a:ext cx="285750" cy="1714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25</xdr:row>
      <xdr:rowOff>7327</xdr:rowOff>
    </xdr:from>
    <xdr:to>
      <xdr:col>30</xdr:col>
      <xdr:colOff>183173</xdr:colOff>
      <xdr:row>28</xdr:row>
      <xdr:rowOff>256442</xdr:rowOff>
    </xdr:to>
    <xdr:cxnSp macro="">
      <xdr:nvCxnSpPr>
        <xdr:cNvPr id="14" name="Straight Connector 13"/>
        <xdr:cNvCxnSpPr/>
      </xdr:nvCxnSpPr>
      <xdr:spPr>
        <a:xfrm flipV="1">
          <a:off x="190500" y="5275385"/>
          <a:ext cx="5707673" cy="82061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31</xdr:row>
          <xdr:rowOff>38100</xdr:rowOff>
        </xdr:from>
        <xdr:to>
          <xdr:col>9</xdr:col>
          <xdr:colOff>19050</xdr:colOff>
          <xdr:row>32</xdr:row>
          <xdr:rowOff>152400</xdr:rowOff>
        </xdr:to>
        <xdr:sp macro="" textlink="">
          <xdr:nvSpPr>
            <xdr:cNvPr id="17409" name="Object 1" hidden="1">
              <a:extLst>
                <a:ext uri="{63B3BB69-23CF-44E3-9099-C40C66FF867C}">
                  <a14:compatExt spid="_x0000_s174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41</xdr:row>
          <xdr:rowOff>180975</xdr:rowOff>
        </xdr:from>
        <xdr:to>
          <xdr:col>9</xdr:col>
          <xdr:colOff>123825</xdr:colOff>
          <xdr:row>43</xdr:row>
          <xdr:rowOff>104775</xdr:rowOff>
        </xdr:to>
        <xdr:sp macro="" textlink="">
          <xdr:nvSpPr>
            <xdr:cNvPr id="17410" name="Object 2" hidden="1">
              <a:extLst>
                <a:ext uri="{63B3BB69-23CF-44E3-9099-C40C66FF867C}">
                  <a14:compatExt spid="_x0000_s174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72</xdr:row>
          <xdr:rowOff>85725</xdr:rowOff>
        </xdr:from>
        <xdr:to>
          <xdr:col>7</xdr:col>
          <xdr:colOff>114300</xdr:colOff>
          <xdr:row>74</xdr:row>
          <xdr:rowOff>19050</xdr:rowOff>
        </xdr:to>
        <xdr:sp macro="" textlink="">
          <xdr:nvSpPr>
            <xdr:cNvPr id="17411" name="Object 3" hidden="1">
              <a:extLst>
                <a:ext uri="{63B3BB69-23CF-44E3-9099-C40C66FF867C}">
                  <a14:compatExt spid="_x0000_s174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10</xdr:col>
      <xdr:colOff>142875</xdr:colOff>
      <xdr:row>51</xdr:row>
      <xdr:rowOff>57150</xdr:rowOff>
    </xdr:from>
    <xdr:to>
      <xdr:col>20</xdr:col>
      <xdr:colOff>142143</xdr:colOff>
      <xdr:row>52</xdr:row>
      <xdr:rowOff>161925</xdr:rowOff>
    </xdr:to>
    <xdr:pic>
      <xdr:nvPicPr>
        <xdr:cNvPr id="5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10391775"/>
          <a:ext cx="190426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133350</xdr:colOff>
      <xdr:row>101</xdr:row>
      <xdr:rowOff>47625</xdr:rowOff>
    </xdr:from>
    <xdr:to>
      <xdr:col>20</xdr:col>
      <xdr:colOff>132618</xdr:colOff>
      <xdr:row>102</xdr:row>
      <xdr:rowOff>152400</xdr:rowOff>
    </xdr:to>
    <xdr:pic>
      <xdr:nvPicPr>
        <xdr:cNvPr id="6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21174075"/>
          <a:ext cx="190426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30</xdr:row>
      <xdr:rowOff>0</xdr:rowOff>
    </xdr:from>
    <xdr:to>
      <xdr:col>11</xdr:col>
      <xdr:colOff>0</xdr:colOff>
      <xdr:row>31</xdr:row>
      <xdr:rowOff>0</xdr:rowOff>
    </xdr:to>
    <xdr:sp macro="" textlink="">
      <xdr:nvSpPr>
        <xdr:cNvPr id="7" name="Oval 6"/>
        <xdr:cNvSpPr>
          <a:spLocks noChangeArrowheads="1"/>
        </xdr:cNvSpPr>
      </xdr:nvSpPr>
      <xdr:spPr bwMode="auto">
        <a:xfrm>
          <a:off x="1333500" y="6200775"/>
          <a:ext cx="762000" cy="2667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85725</xdr:colOff>
      <xdr:row>45</xdr:row>
      <xdr:rowOff>9525</xdr:rowOff>
    </xdr:from>
    <xdr:to>
      <xdr:col>12</xdr:col>
      <xdr:colOff>85725</xdr:colOff>
      <xdr:row>46</xdr:row>
      <xdr:rowOff>180975</xdr:rowOff>
    </xdr:to>
    <xdr:sp macro="" textlink="">
      <xdr:nvSpPr>
        <xdr:cNvPr id="8" name="Oval 7"/>
        <xdr:cNvSpPr>
          <a:spLocks noChangeArrowheads="1"/>
        </xdr:cNvSpPr>
      </xdr:nvSpPr>
      <xdr:spPr bwMode="auto">
        <a:xfrm>
          <a:off x="1419225" y="9163050"/>
          <a:ext cx="952500" cy="3619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</xdr:row>
      <xdr:rowOff>0</xdr:rowOff>
    </xdr:from>
    <xdr:to>
      <xdr:col>10</xdr:col>
      <xdr:colOff>0</xdr:colOff>
      <xdr:row>70</xdr:row>
      <xdr:rowOff>342900</xdr:rowOff>
    </xdr:to>
    <xdr:sp macro="" textlink="">
      <xdr:nvSpPr>
        <xdr:cNvPr id="9" name="Oval 8"/>
        <xdr:cNvSpPr>
          <a:spLocks noChangeArrowheads="1"/>
        </xdr:cNvSpPr>
      </xdr:nvSpPr>
      <xdr:spPr bwMode="auto">
        <a:xfrm>
          <a:off x="1143000" y="14963775"/>
          <a:ext cx="762000" cy="3429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95250</xdr:colOff>
      <xdr:row>95</xdr:row>
      <xdr:rowOff>0</xdr:rowOff>
    </xdr:from>
    <xdr:to>
      <xdr:col>12</xdr:col>
      <xdr:colOff>85725</xdr:colOff>
      <xdr:row>96</xdr:row>
      <xdr:rowOff>171450</xdr:rowOff>
    </xdr:to>
    <xdr:sp macro="" textlink="">
      <xdr:nvSpPr>
        <xdr:cNvPr id="10" name="Oval 9"/>
        <xdr:cNvSpPr>
          <a:spLocks noChangeArrowheads="1"/>
        </xdr:cNvSpPr>
      </xdr:nvSpPr>
      <xdr:spPr bwMode="auto">
        <a:xfrm>
          <a:off x="1428750" y="19954875"/>
          <a:ext cx="942975" cy="3619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40</xdr:row>
      <xdr:rowOff>0</xdr:rowOff>
    </xdr:from>
    <xdr:to>
      <xdr:col>11</xdr:col>
      <xdr:colOff>0</xdr:colOff>
      <xdr:row>40</xdr:row>
      <xdr:rowOff>266700</xdr:rowOff>
    </xdr:to>
    <xdr:sp macro="" textlink="">
      <xdr:nvSpPr>
        <xdr:cNvPr id="11" name="Oval 10"/>
        <xdr:cNvSpPr>
          <a:spLocks noChangeArrowheads="1"/>
        </xdr:cNvSpPr>
      </xdr:nvSpPr>
      <xdr:spPr bwMode="auto">
        <a:xfrm>
          <a:off x="1333500" y="8162925"/>
          <a:ext cx="762000" cy="2667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14</xdr:col>
      <xdr:colOff>15316</xdr:colOff>
      <xdr:row>18</xdr:row>
      <xdr:rowOff>9528</xdr:rowOff>
    </xdr:from>
    <xdr:to>
      <xdr:col>15</xdr:col>
      <xdr:colOff>110566</xdr:colOff>
      <xdr:row>18</xdr:row>
      <xdr:rowOff>180978</xdr:rowOff>
    </xdr:to>
    <xdr:sp macro="" textlink="">
      <xdr:nvSpPr>
        <xdr:cNvPr id="12" name="Oval 10"/>
        <xdr:cNvSpPr>
          <a:spLocks noChangeArrowheads="1"/>
        </xdr:cNvSpPr>
      </xdr:nvSpPr>
      <xdr:spPr bwMode="auto">
        <a:xfrm>
          <a:off x="2682316" y="3962403"/>
          <a:ext cx="285750" cy="1714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25</xdr:row>
      <xdr:rowOff>7327</xdr:rowOff>
    </xdr:from>
    <xdr:to>
      <xdr:col>30</xdr:col>
      <xdr:colOff>183173</xdr:colOff>
      <xdr:row>28</xdr:row>
      <xdr:rowOff>256442</xdr:rowOff>
    </xdr:to>
    <xdr:cxnSp macro="">
      <xdr:nvCxnSpPr>
        <xdr:cNvPr id="13" name="Straight Connector 12"/>
        <xdr:cNvCxnSpPr/>
      </xdr:nvCxnSpPr>
      <xdr:spPr>
        <a:xfrm flipV="1">
          <a:off x="190500" y="5275385"/>
          <a:ext cx="5707673" cy="82061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31</xdr:row>
          <xdr:rowOff>38100</xdr:rowOff>
        </xdr:from>
        <xdr:to>
          <xdr:col>9</xdr:col>
          <xdr:colOff>19050</xdr:colOff>
          <xdr:row>32</xdr:row>
          <xdr:rowOff>152400</xdr:rowOff>
        </xdr:to>
        <xdr:sp macro="" textlink="">
          <xdr:nvSpPr>
            <xdr:cNvPr id="13313" name="Object 1" hidden="1">
              <a:extLst>
                <a:ext uri="{63B3BB69-23CF-44E3-9099-C40C66FF867C}">
                  <a14:compatExt spid="_x0000_s133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41</xdr:row>
          <xdr:rowOff>180975</xdr:rowOff>
        </xdr:from>
        <xdr:to>
          <xdr:col>9</xdr:col>
          <xdr:colOff>123825</xdr:colOff>
          <xdr:row>43</xdr:row>
          <xdr:rowOff>104775</xdr:rowOff>
        </xdr:to>
        <xdr:sp macro="" textlink="">
          <xdr:nvSpPr>
            <xdr:cNvPr id="13314" name="Object 2" hidden="1">
              <a:extLst>
                <a:ext uri="{63B3BB69-23CF-44E3-9099-C40C66FF867C}">
                  <a14:compatExt spid="_x0000_s133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72</xdr:row>
          <xdr:rowOff>85725</xdr:rowOff>
        </xdr:from>
        <xdr:to>
          <xdr:col>7</xdr:col>
          <xdr:colOff>114300</xdr:colOff>
          <xdr:row>74</xdr:row>
          <xdr:rowOff>19050</xdr:rowOff>
        </xdr:to>
        <xdr:sp macro="" textlink="">
          <xdr:nvSpPr>
            <xdr:cNvPr id="13315" name="Object 3" hidden="1">
              <a:extLst>
                <a:ext uri="{63B3BB69-23CF-44E3-9099-C40C66FF867C}">
                  <a14:compatExt spid="_x0000_s133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10</xdr:col>
      <xdr:colOff>142875</xdr:colOff>
      <xdr:row>51</xdr:row>
      <xdr:rowOff>57150</xdr:rowOff>
    </xdr:from>
    <xdr:to>
      <xdr:col>20</xdr:col>
      <xdr:colOff>142143</xdr:colOff>
      <xdr:row>52</xdr:row>
      <xdr:rowOff>161925</xdr:rowOff>
    </xdr:to>
    <xdr:pic>
      <xdr:nvPicPr>
        <xdr:cNvPr id="5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10391775"/>
          <a:ext cx="190426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133350</xdr:colOff>
      <xdr:row>101</xdr:row>
      <xdr:rowOff>47625</xdr:rowOff>
    </xdr:from>
    <xdr:to>
      <xdr:col>20</xdr:col>
      <xdr:colOff>132618</xdr:colOff>
      <xdr:row>102</xdr:row>
      <xdr:rowOff>152400</xdr:rowOff>
    </xdr:to>
    <xdr:pic>
      <xdr:nvPicPr>
        <xdr:cNvPr id="6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21174075"/>
          <a:ext cx="190426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30</xdr:row>
      <xdr:rowOff>0</xdr:rowOff>
    </xdr:from>
    <xdr:to>
      <xdr:col>11</xdr:col>
      <xdr:colOff>0</xdr:colOff>
      <xdr:row>31</xdr:row>
      <xdr:rowOff>0</xdr:rowOff>
    </xdr:to>
    <xdr:sp macro="" textlink="">
      <xdr:nvSpPr>
        <xdr:cNvPr id="7" name="Oval 6"/>
        <xdr:cNvSpPr>
          <a:spLocks noChangeArrowheads="1"/>
        </xdr:cNvSpPr>
      </xdr:nvSpPr>
      <xdr:spPr bwMode="auto">
        <a:xfrm>
          <a:off x="1333500" y="6200775"/>
          <a:ext cx="762000" cy="2667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85725</xdr:colOff>
      <xdr:row>45</xdr:row>
      <xdr:rowOff>9525</xdr:rowOff>
    </xdr:from>
    <xdr:to>
      <xdr:col>12</xdr:col>
      <xdr:colOff>85725</xdr:colOff>
      <xdr:row>46</xdr:row>
      <xdr:rowOff>180975</xdr:rowOff>
    </xdr:to>
    <xdr:sp macro="" textlink="">
      <xdr:nvSpPr>
        <xdr:cNvPr id="8" name="Oval 7"/>
        <xdr:cNvSpPr>
          <a:spLocks noChangeArrowheads="1"/>
        </xdr:cNvSpPr>
      </xdr:nvSpPr>
      <xdr:spPr bwMode="auto">
        <a:xfrm>
          <a:off x="1419225" y="9163050"/>
          <a:ext cx="952500" cy="3619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</xdr:row>
      <xdr:rowOff>0</xdr:rowOff>
    </xdr:from>
    <xdr:to>
      <xdr:col>10</xdr:col>
      <xdr:colOff>0</xdr:colOff>
      <xdr:row>70</xdr:row>
      <xdr:rowOff>342900</xdr:rowOff>
    </xdr:to>
    <xdr:sp macro="" textlink="">
      <xdr:nvSpPr>
        <xdr:cNvPr id="9" name="Oval 8"/>
        <xdr:cNvSpPr>
          <a:spLocks noChangeArrowheads="1"/>
        </xdr:cNvSpPr>
      </xdr:nvSpPr>
      <xdr:spPr bwMode="auto">
        <a:xfrm>
          <a:off x="1143000" y="14963775"/>
          <a:ext cx="762000" cy="3429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95250</xdr:colOff>
      <xdr:row>95</xdr:row>
      <xdr:rowOff>0</xdr:rowOff>
    </xdr:from>
    <xdr:to>
      <xdr:col>12</xdr:col>
      <xdr:colOff>85725</xdr:colOff>
      <xdr:row>96</xdr:row>
      <xdr:rowOff>171450</xdr:rowOff>
    </xdr:to>
    <xdr:sp macro="" textlink="">
      <xdr:nvSpPr>
        <xdr:cNvPr id="10" name="Oval 9"/>
        <xdr:cNvSpPr>
          <a:spLocks noChangeArrowheads="1"/>
        </xdr:cNvSpPr>
      </xdr:nvSpPr>
      <xdr:spPr bwMode="auto">
        <a:xfrm>
          <a:off x="1428750" y="19954875"/>
          <a:ext cx="942975" cy="3619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40</xdr:row>
      <xdr:rowOff>0</xdr:rowOff>
    </xdr:from>
    <xdr:to>
      <xdr:col>11</xdr:col>
      <xdr:colOff>0</xdr:colOff>
      <xdr:row>40</xdr:row>
      <xdr:rowOff>266700</xdr:rowOff>
    </xdr:to>
    <xdr:sp macro="" textlink="">
      <xdr:nvSpPr>
        <xdr:cNvPr id="11" name="Oval 10"/>
        <xdr:cNvSpPr>
          <a:spLocks noChangeArrowheads="1"/>
        </xdr:cNvSpPr>
      </xdr:nvSpPr>
      <xdr:spPr bwMode="auto">
        <a:xfrm>
          <a:off x="1333500" y="8162925"/>
          <a:ext cx="762000" cy="2667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14</xdr:col>
      <xdr:colOff>15316</xdr:colOff>
      <xdr:row>18</xdr:row>
      <xdr:rowOff>9528</xdr:rowOff>
    </xdr:from>
    <xdr:to>
      <xdr:col>15</xdr:col>
      <xdr:colOff>110566</xdr:colOff>
      <xdr:row>18</xdr:row>
      <xdr:rowOff>180978</xdr:rowOff>
    </xdr:to>
    <xdr:sp macro="" textlink="">
      <xdr:nvSpPr>
        <xdr:cNvPr id="12" name="Oval 10"/>
        <xdr:cNvSpPr>
          <a:spLocks noChangeArrowheads="1"/>
        </xdr:cNvSpPr>
      </xdr:nvSpPr>
      <xdr:spPr bwMode="auto">
        <a:xfrm>
          <a:off x="2682316" y="3962403"/>
          <a:ext cx="285750" cy="1714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31</xdr:row>
          <xdr:rowOff>38100</xdr:rowOff>
        </xdr:from>
        <xdr:to>
          <xdr:col>9</xdr:col>
          <xdr:colOff>19050</xdr:colOff>
          <xdr:row>32</xdr:row>
          <xdr:rowOff>152400</xdr:rowOff>
        </xdr:to>
        <xdr:sp macro="" textlink="">
          <xdr:nvSpPr>
            <xdr:cNvPr id="14337" name="Object 1" hidden="1">
              <a:extLst>
                <a:ext uri="{63B3BB69-23CF-44E3-9099-C40C66FF867C}">
                  <a14:compatExt spid="_x0000_s143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41</xdr:row>
          <xdr:rowOff>180975</xdr:rowOff>
        </xdr:from>
        <xdr:to>
          <xdr:col>9</xdr:col>
          <xdr:colOff>123825</xdr:colOff>
          <xdr:row>43</xdr:row>
          <xdr:rowOff>104775</xdr:rowOff>
        </xdr:to>
        <xdr:sp macro="" textlink="">
          <xdr:nvSpPr>
            <xdr:cNvPr id="14338" name="Object 2" hidden="1">
              <a:extLst>
                <a:ext uri="{63B3BB69-23CF-44E3-9099-C40C66FF867C}">
                  <a14:compatExt spid="_x0000_s143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72</xdr:row>
          <xdr:rowOff>85725</xdr:rowOff>
        </xdr:from>
        <xdr:to>
          <xdr:col>7</xdr:col>
          <xdr:colOff>114300</xdr:colOff>
          <xdr:row>74</xdr:row>
          <xdr:rowOff>19050</xdr:rowOff>
        </xdr:to>
        <xdr:sp macro="" textlink="">
          <xdr:nvSpPr>
            <xdr:cNvPr id="14339" name="Object 3" hidden="1">
              <a:extLst>
                <a:ext uri="{63B3BB69-23CF-44E3-9099-C40C66FF867C}">
                  <a14:compatExt spid="_x0000_s143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10</xdr:col>
      <xdr:colOff>142875</xdr:colOff>
      <xdr:row>51</xdr:row>
      <xdr:rowOff>57150</xdr:rowOff>
    </xdr:from>
    <xdr:to>
      <xdr:col>20</xdr:col>
      <xdr:colOff>142143</xdr:colOff>
      <xdr:row>52</xdr:row>
      <xdr:rowOff>161925</xdr:rowOff>
    </xdr:to>
    <xdr:pic>
      <xdr:nvPicPr>
        <xdr:cNvPr id="5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10391775"/>
          <a:ext cx="190426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133350</xdr:colOff>
      <xdr:row>101</xdr:row>
      <xdr:rowOff>47625</xdr:rowOff>
    </xdr:from>
    <xdr:to>
      <xdr:col>20</xdr:col>
      <xdr:colOff>132618</xdr:colOff>
      <xdr:row>102</xdr:row>
      <xdr:rowOff>152400</xdr:rowOff>
    </xdr:to>
    <xdr:pic>
      <xdr:nvPicPr>
        <xdr:cNvPr id="6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21174075"/>
          <a:ext cx="190426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30</xdr:row>
      <xdr:rowOff>0</xdr:rowOff>
    </xdr:from>
    <xdr:to>
      <xdr:col>11</xdr:col>
      <xdr:colOff>0</xdr:colOff>
      <xdr:row>31</xdr:row>
      <xdr:rowOff>0</xdr:rowOff>
    </xdr:to>
    <xdr:sp macro="" textlink="">
      <xdr:nvSpPr>
        <xdr:cNvPr id="7" name="Oval 6"/>
        <xdr:cNvSpPr>
          <a:spLocks noChangeArrowheads="1"/>
        </xdr:cNvSpPr>
      </xdr:nvSpPr>
      <xdr:spPr bwMode="auto">
        <a:xfrm>
          <a:off x="1333500" y="6200775"/>
          <a:ext cx="762000" cy="2667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85725</xdr:colOff>
      <xdr:row>45</xdr:row>
      <xdr:rowOff>9525</xdr:rowOff>
    </xdr:from>
    <xdr:to>
      <xdr:col>12</xdr:col>
      <xdr:colOff>85725</xdr:colOff>
      <xdr:row>46</xdr:row>
      <xdr:rowOff>180975</xdr:rowOff>
    </xdr:to>
    <xdr:sp macro="" textlink="">
      <xdr:nvSpPr>
        <xdr:cNvPr id="8" name="Oval 7"/>
        <xdr:cNvSpPr>
          <a:spLocks noChangeArrowheads="1"/>
        </xdr:cNvSpPr>
      </xdr:nvSpPr>
      <xdr:spPr bwMode="auto">
        <a:xfrm>
          <a:off x="1419225" y="9163050"/>
          <a:ext cx="952500" cy="3619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</xdr:row>
      <xdr:rowOff>0</xdr:rowOff>
    </xdr:from>
    <xdr:to>
      <xdr:col>10</xdr:col>
      <xdr:colOff>0</xdr:colOff>
      <xdr:row>70</xdr:row>
      <xdr:rowOff>342900</xdr:rowOff>
    </xdr:to>
    <xdr:sp macro="" textlink="">
      <xdr:nvSpPr>
        <xdr:cNvPr id="9" name="Oval 8"/>
        <xdr:cNvSpPr>
          <a:spLocks noChangeArrowheads="1"/>
        </xdr:cNvSpPr>
      </xdr:nvSpPr>
      <xdr:spPr bwMode="auto">
        <a:xfrm>
          <a:off x="1143000" y="14963775"/>
          <a:ext cx="762000" cy="3429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95250</xdr:colOff>
      <xdr:row>95</xdr:row>
      <xdr:rowOff>0</xdr:rowOff>
    </xdr:from>
    <xdr:to>
      <xdr:col>12</xdr:col>
      <xdr:colOff>85725</xdr:colOff>
      <xdr:row>96</xdr:row>
      <xdr:rowOff>171450</xdr:rowOff>
    </xdr:to>
    <xdr:sp macro="" textlink="">
      <xdr:nvSpPr>
        <xdr:cNvPr id="10" name="Oval 9"/>
        <xdr:cNvSpPr>
          <a:spLocks noChangeArrowheads="1"/>
        </xdr:cNvSpPr>
      </xdr:nvSpPr>
      <xdr:spPr bwMode="auto">
        <a:xfrm>
          <a:off x="1428750" y="19954875"/>
          <a:ext cx="942975" cy="3619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40</xdr:row>
      <xdr:rowOff>0</xdr:rowOff>
    </xdr:from>
    <xdr:to>
      <xdr:col>11</xdr:col>
      <xdr:colOff>0</xdr:colOff>
      <xdr:row>40</xdr:row>
      <xdr:rowOff>266700</xdr:rowOff>
    </xdr:to>
    <xdr:sp macro="" textlink="">
      <xdr:nvSpPr>
        <xdr:cNvPr id="11" name="Oval 10"/>
        <xdr:cNvSpPr>
          <a:spLocks noChangeArrowheads="1"/>
        </xdr:cNvSpPr>
      </xdr:nvSpPr>
      <xdr:spPr bwMode="auto">
        <a:xfrm>
          <a:off x="1333500" y="8162925"/>
          <a:ext cx="762000" cy="2667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14</xdr:col>
      <xdr:colOff>15316</xdr:colOff>
      <xdr:row>18</xdr:row>
      <xdr:rowOff>9528</xdr:rowOff>
    </xdr:from>
    <xdr:to>
      <xdr:col>15</xdr:col>
      <xdr:colOff>110566</xdr:colOff>
      <xdr:row>18</xdr:row>
      <xdr:rowOff>180978</xdr:rowOff>
    </xdr:to>
    <xdr:sp macro="" textlink="">
      <xdr:nvSpPr>
        <xdr:cNvPr id="12" name="Oval 10"/>
        <xdr:cNvSpPr>
          <a:spLocks noChangeArrowheads="1"/>
        </xdr:cNvSpPr>
      </xdr:nvSpPr>
      <xdr:spPr bwMode="auto">
        <a:xfrm>
          <a:off x="2682316" y="3962403"/>
          <a:ext cx="285750" cy="1714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31</xdr:row>
          <xdr:rowOff>38100</xdr:rowOff>
        </xdr:from>
        <xdr:to>
          <xdr:col>9</xdr:col>
          <xdr:colOff>19050</xdr:colOff>
          <xdr:row>32</xdr:row>
          <xdr:rowOff>152400</xdr:rowOff>
        </xdr:to>
        <xdr:sp macro="" textlink="">
          <xdr:nvSpPr>
            <xdr:cNvPr id="15361" name="Object 1" hidden="1">
              <a:extLst>
                <a:ext uri="{63B3BB69-23CF-44E3-9099-C40C66FF867C}">
                  <a14:compatExt spid="_x0000_s153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41</xdr:row>
          <xdr:rowOff>180975</xdr:rowOff>
        </xdr:from>
        <xdr:to>
          <xdr:col>9</xdr:col>
          <xdr:colOff>123825</xdr:colOff>
          <xdr:row>43</xdr:row>
          <xdr:rowOff>104775</xdr:rowOff>
        </xdr:to>
        <xdr:sp macro="" textlink="">
          <xdr:nvSpPr>
            <xdr:cNvPr id="15362" name="Object 2" hidden="1">
              <a:extLst>
                <a:ext uri="{63B3BB69-23CF-44E3-9099-C40C66FF867C}">
                  <a14:compatExt spid="_x0000_s153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72</xdr:row>
          <xdr:rowOff>85725</xdr:rowOff>
        </xdr:from>
        <xdr:to>
          <xdr:col>7</xdr:col>
          <xdr:colOff>114300</xdr:colOff>
          <xdr:row>74</xdr:row>
          <xdr:rowOff>19050</xdr:rowOff>
        </xdr:to>
        <xdr:sp macro="" textlink="">
          <xdr:nvSpPr>
            <xdr:cNvPr id="15363" name="Object 3" hidden="1">
              <a:extLst>
                <a:ext uri="{63B3BB69-23CF-44E3-9099-C40C66FF867C}">
                  <a14:compatExt spid="_x0000_s153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10</xdr:col>
      <xdr:colOff>142875</xdr:colOff>
      <xdr:row>51</xdr:row>
      <xdr:rowOff>57150</xdr:rowOff>
    </xdr:from>
    <xdr:to>
      <xdr:col>20</xdr:col>
      <xdr:colOff>142143</xdr:colOff>
      <xdr:row>52</xdr:row>
      <xdr:rowOff>161925</xdr:rowOff>
    </xdr:to>
    <xdr:pic>
      <xdr:nvPicPr>
        <xdr:cNvPr id="5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10391775"/>
          <a:ext cx="190426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133350</xdr:colOff>
      <xdr:row>101</xdr:row>
      <xdr:rowOff>47625</xdr:rowOff>
    </xdr:from>
    <xdr:to>
      <xdr:col>20</xdr:col>
      <xdr:colOff>132618</xdr:colOff>
      <xdr:row>102</xdr:row>
      <xdr:rowOff>152400</xdr:rowOff>
    </xdr:to>
    <xdr:pic>
      <xdr:nvPicPr>
        <xdr:cNvPr id="6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21174075"/>
          <a:ext cx="190426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30</xdr:row>
      <xdr:rowOff>0</xdr:rowOff>
    </xdr:from>
    <xdr:to>
      <xdr:col>11</xdr:col>
      <xdr:colOff>0</xdr:colOff>
      <xdr:row>31</xdr:row>
      <xdr:rowOff>0</xdr:rowOff>
    </xdr:to>
    <xdr:sp macro="" textlink="">
      <xdr:nvSpPr>
        <xdr:cNvPr id="7" name="Oval 6"/>
        <xdr:cNvSpPr>
          <a:spLocks noChangeArrowheads="1"/>
        </xdr:cNvSpPr>
      </xdr:nvSpPr>
      <xdr:spPr bwMode="auto">
        <a:xfrm>
          <a:off x="1333500" y="6200775"/>
          <a:ext cx="762000" cy="2667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85725</xdr:colOff>
      <xdr:row>45</xdr:row>
      <xdr:rowOff>9525</xdr:rowOff>
    </xdr:from>
    <xdr:to>
      <xdr:col>12</xdr:col>
      <xdr:colOff>85725</xdr:colOff>
      <xdr:row>46</xdr:row>
      <xdr:rowOff>180975</xdr:rowOff>
    </xdr:to>
    <xdr:sp macro="" textlink="">
      <xdr:nvSpPr>
        <xdr:cNvPr id="8" name="Oval 7"/>
        <xdr:cNvSpPr>
          <a:spLocks noChangeArrowheads="1"/>
        </xdr:cNvSpPr>
      </xdr:nvSpPr>
      <xdr:spPr bwMode="auto">
        <a:xfrm>
          <a:off x="1419225" y="9163050"/>
          <a:ext cx="952500" cy="3619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</xdr:row>
      <xdr:rowOff>0</xdr:rowOff>
    </xdr:from>
    <xdr:to>
      <xdr:col>10</xdr:col>
      <xdr:colOff>0</xdr:colOff>
      <xdr:row>70</xdr:row>
      <xdr:rowOff>342900</xdr:rowOff>
    </xdr:to>
    <xdr:sp macro="" textlink="">
      <xdr:nvSpPr>
        <xdr:cNvPr id="9" name="Oval 8"/>
        <xdr:cNvSpPr>
          <a:spLocks noChangeArrowheads="1"/>
        </xdr:cNvSpPr>
      </xdr:nvSpPr>
      <xdr:spPr bwMode="auto">
        <a:xfrm>
          <a:off x="1143000" y="14963775"/>
          <a:ext cx="762000" cy="3429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95250</xdr:colOff>
      <xdr:row>95</xdr:row>
      <xdr:rowOff>0</xdr:rowOff>
    </xdr:from>
    <xdr:to>
      <xdr:col>12</xdr:col>
      <xdr:colOff>85725</xdr:colOff>
      <xdr:row>96</xdr:row>
      <xdr:rowOff>171450</xdr:rowOff>
    </xdr:to>
    <xdr:sp macro="" textlink="">
      <xdr:nvSpPr>
        <xdr:cNvPr id="10" name="Oval 9"/>
        <xdr:cNvSpPr>
          <a:spLocks noChangeArrowheads="1"/>
        </xdr:cNvSpPr>
      </xdr:nvSpPr>
      <xdr:spPr bwMode="auto">
        <a:xfrm>
          <a:off x="1428750" y="19954875"/>
          <a:ext cx="942975" cy="3619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40</xdr:row>
      <xdr:rowOff>0</xdr:rowOff>
    </xdr:from>
    <xdr:to>
      <xdr:col>11</xdr:col>
      <xdr:colOff>0</xdr:colOff>
      <xdr:row>40</xdr:row>
      <xdr:rowOff>266700</xdr:rowOff>
    </xdr:to>
    <xdr:sp macro="" textlink="">
      <xdr:nvSpPr>
        <xdr:cNvPr id="11" name="Oval 10"/>
        <xdr:cNvSpPr>
          <a:spLocks noChangeArrowheads="1"/>
        </xdr:cNvSpPr>
      </xdr:nvSpPr>
      <xdr:spPr bwMode="auto">
        <a:xfrm>
          <a:off x="1333500" y="8162925"/>
          <a:ext cx="762000" cy="2667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14</xdr:col>
      <xdr:colOff>15316</xdr:colOff>
      <xdr:row>18</xdr:row>
      <xdr:rowOff>9528</xdr:rowOff>
    </xdr:from>
    <xdr:to>
      <xdr:col>15</xdr:col>
      <xdr:colOff>110566</xdr:colOff>
      <xdr:row>18</xdr:row>
      <xdr:rowOff>180978</xdr:rowOff>
    </xdr:to>
    <xdr:sp macro="" textlink="">
      <xdr:nvSpPr>
        <xdr:cNvPr id="12" name="Oval 10"/>
        <xdr:cNvSpPr>
          <a:spLocks noChangeArrowheads="1"/>
        </xdr:cNvSpPr>
      </xdr:nvSpPr>
      <xdr:spPr bwMode="auto">
        <a:xfrm>
          <a:off x="2682316" y="3962403"/>
          <a:ext cx="285750" cy="1714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31</xdr:row>
          <xdr:rowOff>38100</xdr:rowOff>
        </xdr:from>
        <xdr:to>
          <xdr:col>9</xdr:col>
          <xdr:colOff>19050</xdr:colOff>
          <xdr:row>32</xdr:row>
          <xdr:rowOff>152400</xdr:rowOff>
        </xdr:to>
        <xdr:sp macro="" textlink="">
          <xdr:nvSpPr>
            <xdr:cNvPr id="16385" name="Object 1" hidden="1">
              <a:extLst>
                <a:ext uri="{63B3BB69-23CF-44E3-9099-C40C66FF867C}">
                  <a14:compatExt spid="_x0000_s163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41</xdr:row>
          <xdr:rowOff>180975</xdr:rowOff>
        </xdr:from>
        <xdr:to>
          <xdr:col>9</xdr:col>
          <xdr:colOff>123825</xdr:colOff>
          <xdr:row>43</xdr:row>
          <xdr:rowOff>104775</xdr:rowOff>
        </xdr:to>
        <xdr:sp macro="" textlink="">
          <xdr:nvSpPr>
            <xdr:cNvPr id="16386" name="Object 2" hidden="1">
              <a:extLst>
                <a:ext uri="{63B3BB69-23CF-44E3-9099-C40C66FF867C}">
                  <a14:compatExt spid="_x0000_s163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72</xdr:row>
          <xdr:rowOff>85725</xdr:rowOff>
        </xdr:from>
        <xdr:to>
          <xdr:col>7</xdr:col>
          <xdr:colOff>114300</xdr:colOff>
          <xdr:row>74</xdr:row>
          <xdr:rowOff>19050</xdr:rowOff>
        </xdr:to>
        <xdr:sp macro="" textlink="">
          <xdr:nvSpPr>
            <xdr:cNvPr id="16387" name="Object 3" hidden="1">
              <a:extLst>
                <a:ext uri="{63B3BB69-23CF-44E3-9099-C40C66FF867C}">
                  <a14:compatExt spid="_x0000_s163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10</xdr:col>
      <xdr:colOff>142875</xdr:colOff>
      <xdr:row>51</xdr:row>
      <xdr:rowOff>57150</xdr:rowOff>
    </xdr:from>
    <xdr:to>
      <xdr:col>20</xdr:col>
      <xdr:colOff>142143</xdr:colOff>
      <xdr:row>52</xdr:row>
      <xdr:rowOff>161925</xdr:rowOff>
    </xdr:to>
    <xdr:pic>
      <xdr:nvPicPr>
        <xdr:cNvPr id="5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10391775"/>
          <a:ext cx="190426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133350</xdr:colOff>
      <xdr:row>101</xdr:row>
      <xdr:rowOff>47625</xdr:rowOff>
    </xdr:from>
    <xdr:to>
      <xdr:col>20</xdr:col>
      <xdr:colOff>132618</xdr:colOff>
      <xdr:row>102</xdr:row>
      <xdr:rowOff>152400</xdr:rowOff>
    </xdr:to>
    <xdr:pic>
      <xdr:nvPicPr>
        <xdr:cNvPr id="6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21174075"/>
          <a:ext cx="190426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30</xdr:row>
      <xdr:rowOff>0</xdr:rowOff>
    </xdr:from>
    <xdr:to>
      <xdr:col>11</xdr:col>
      <xdr:colOff>0</xdr:colOff>
      <xdr:row>31</xdr:row>
      <xdr:rowOff>0</xdr:rowOff>
    </xdr:to>
    <xdr:sp macro="" textlink="">
      <xdr:nvSpPr>
        <xdr:cNvPr id="7" name="Oval 6"/>
        <xdr:cNvSpPr>
          <a:spLocks noChangeArrowheads="1"/>
        </xdr:cNvSpPr>
      </xdr:nvSpPr>
      <xdr:spPr bwMode="auto">
        <a:xfrm>
          <a:off x="1333500" y="6200775"/>
          <a:ext cx="762000" cy="2667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85725</xdr:colOff>
      <xdr:row>45</xdr:row>
      <xdr:rowOff>9525</xdr:rowOff>
    </xdr:from>
    <xdr:to>
      <xdr:col>12</xdr:col>
      <xdr:colOff>85725</xdr:colOff>
      <xdr:row>46</xdr:row>
      <xdr:rowOff>180975</xdr:rowOff>
    </xdr:to>
    <xdr:sp macro="" textlink="">
      <xdr:nvSpPr>
        <xdr:cNvPr id="8" name="Oval 7"/>
        <xdr:cNvSpPr>
          <a:spLocks noChangeArrowheads="1"/>
        </xdr:cNvSpPr>
      </xdr:nvSpPr>
      <xdr:spPr bwMode="auto">
        <a:xfrm>
          <a:off x="1419225" y="9163050"/>
          <a:ext cx="952500" cy="3619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</xdr:row>
      <xdr:rowOff>0</xdr:rowOff>
    </xdr:from>
    <xdr:to>
      <xdr:col>10</xdr:col>
      <xdr:colOff>0</xdr:colOff>
      <xdr:row>70</xdr:row>
      <xdr:rowOff>342900</xdr:rowOff>
    </xdr:to>
    <xdr:sp macro="" textlink="">
      <xdr:nvSpPr>
        <xdr:cNvPr id="9" name="Oval 8"/>
        <xdr:cNvSpPr>
          <a:spLocks noChangeArrowheads="1"/>
        </xdr:cNvSpPr>
      </xdr:nvSpPr>
      <xdr:spPr bwMode="auto">
        <a:xfrm>
          <a:off x="1143000" y="14963775"/>
          <a:ext cx="762000" cy="3429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95250</xdr:colOff>
      <xdr:row>95</xdr:row>
      <xdr:rowOff>0</xdr:rowOff>
    </xdr:from>
    <xdr:to>
      <xdr:col>12</xdr:col>
      <xdr:colOff>85725</xdr:colOff>
      <xdr:row>96</xdr:row>
      <xdr:rowOff>171450</xdr:rowOff>
    </xdr:to>
    <xdr:sp macro="" textlink="">
      <xdr:nvSpPr>
        <xdr:cNvPr id="10" name="Oval 9"/>
        <xdr:cNvSpPr>
          <a:spLocks noChangeArrowheads="1"/>
        </xdr:cNvSpPr>
      </xdr:nvSpPr>
      <xdr:spPr bwMode="auto">
        <a:xfrm>
          <a:off x="1428750" y="19954875"/>
          <a:ext cx="942975" cy="3619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40</xdr:row>
      <xdr:rowOff>0</xdr:rowOff>
    </xdr:from>
    <xdr:to>
      <xdr:col>11</xdr:col>
      <xdr:colOff>0</xdr:colOff>
      <xdr:row>40</xdr:row>
      <xdr:rowOff>266700</xdr:rowOff>
    </xdr:to>
    <xdr:sp macro="" textlink="">
      <xdr:nvSpPr>
        <xdr:cNvPr id="11" name="Oval 10"/>
        <xdr:cNvSpPr>
          <a:spLocks noChangeArrowheads="1"/>
        </xdr:cNvSpPr>
      </xdr:nvSpPr>
      <xdr:spPr bwMode="auto">
        <a:xfrm>
          <a:off x="1333500" y="8162925"/>
          <a:ext cx="762000" cy="2667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14</xdr:col>
      <xdr:colOff>15316</xdr:colOff>
      <xdr:row>18</xdr:row>
      <xdr:rowOff>9528</xdr:rowOff>
    </xdr:from>
    <xdr:to>
      <xdr:col>15</xdr:col>
      <xdr:colOff>110566</xdr:colOff>
      <xdr:row>18</xdr:row>
      <xdr:rowOff>180978</xdr:rowOff>
    </xdr:to>
    <xdr:sp macro="" textlink="">
      <xdr:nvSpPr>
        <xdr:cNvPr id="12" name="Oval 10"/>
        <xdr:cNvSpPr>
          <a:spLocks noChangeArrowheads="1"/>
        </xdr:cNvSpPr>
      </xdr:nvSpPr>
      <xdr:spPr bwMode="auto">
        <a:xfrm>
          <a:off x="2682316" y="3962403"/>
          <a:ext cx="285750" cy="1714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31</xdr:row>
          <xdr:rowOff>38100</xdr:rowOff>
        </xdr:from>
        <xdr:to>
          <xdr:col>9</xdr:col>
          <xdr:colOff>19050</xdr:colOff>
          <xdr:row>32</xdr:row>
          <xdr:rowOff>152400</xdr:rowOff>
        </xdr:to>
        <xdr:sp macro="" textlink="">
          <xdr:nvSpPr>
            <xdr:cNvPr id="35841" name="Object 1" hidden="1">
              <a:extLst>
                <a:ext uri="{63B3BB69-23CF-44E3-9099-C40C66FF867C}">
                  <a14:compatExt spid="_x0000_s358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41</xdr:row>
          <xdr:rowOff>180975</xdr:rowOff>
        </xdr:from>
        <xdr:to>
          <xdr:col>9</xdr:col>
          <xdr:colOff>123825</xdr:colOff>
          <xdr:row>43</xdr:row>
          <xdr:rowOff>104775</xdr:rowOff>
        </xdr:to>
        <xdr:sp macro="" textlink="">
          <xdr:nvSpPr>
            <xdr:cNvPr id="35842" name="Object 2" hidden="1">
              <a:extLst>
                <a:ext uri="{63B3BB69-23CF-44E3-9099-C40C66FF867C}">
                  <a14:compatExt spid="_x0000_s358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72</xdr:row>
          <xdr:rowOff>85725</xdr:rowOff>
        </xdr:from>
        <xdr:to>
          <xdr:col>7</xdr:col>
          <xdr:colOff>114300</xdr:colOff>
          <xdr:row>74</xdr:row>
          <xdr:rowOff>19050</xdr:rowOff>
        </xdr:to>
        <xdr:sp macro="" textlink="">
          <xdr:nvSpPr>
            <xdr:cNvPr id="35843" name="Object 3" hidden="1">
              <a:extLst>
                <a:ext uri="{63B3BB69-23CF-44E3-9099-C40C66FF867C}">
                  <a14:compatExt spid="_x0000_s358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10</xdr:col>
      <xdr:colOff>142875</xdr:colOff>
      <xdr:row>51</xdr:row>
      <xdr:rowOff>57150</xdr:rowOff>
    </xdr:from>
    <xdr:to>
      <xdr:col>20</xdr:col>
      <xdr:colOff>142143</xdr:colOff>
      <xdr:row>52</xdr:row>
      <xdr:rowOff>161925</xdr:rowOff>
    </xdr:to>
    <xdr:pic>
      <xdr:nvPicPr>
        <xdr:cNvPr id="5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10391775"/>
          <a:ext cx="190426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133350</xdr:colOff>
      <xdr:row>101</xdr:row>
      <xdr:rowOff>47625</xdr:rowOff>
    </xdr:from>
    <xdr:to>
      <xdr:col>20</xdr:col>
      <xdr:colOff>132618</xdr:colOff>
      <xdr:row>102</xdr:row>
      <xdr:rowOff>152400</xdr:rowOff>
    </xdr:to>
    <xdr:pic>
      <xdr:nvPicPr>
        <xdr:cNvPr id="6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20983575"/>
          <a:ext cx="190426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30</xdr:row>
      <xdr:rowOff>0</xdr:rowOff>
    </xdr:from>
    <xdr:to>
      <xdr:col>11</xdr:col>
      <xdr:colOff>0</xdr:colOff>
      <xdr:row>31</xdr:row>
      <xdr:rowOff>0</xdr:rowOff>
    </xdr:to>
    <xdr:sp macro="" textlink="">
      <xdr:nvSpPr>
        <xdr:cNvPr id="7" name="Oval 6"/>
        <xdr:cNvSpPr>
          <a:spLocks noChangeArrowheads="1"/>
        </xdr:cNvSpPr>
      </xdr:nvSpPr>
      <xdr:spPr bwMode="auto">
        <a:xfrm>
          <a:off x="1333500" y="6200775"/>
          <a:ext cx="762000" cy="2667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85725</xdr:colOff>
      <xdr:row>45</xdr:row>
      <xdr:rowOff>9525</xdr:rowOff>
    </xdr:from>
    <xdr:to>
      <xdr:col>12</xdr:col>
      <xdr:colOff>85725</xdr:colOff>
      <xdr:row>46</xdr:row>
      <xdr:rowOff>180975</xdr:rowOff>
    </xdr:to>
    <xdr:sp macro="" textlink="">
      <xdr:nvSpPr>
        <xdr:cNvPr id="8" name="Oval 7"/>
        <xdr:cNvSpPr>
          <a:spLocks noChangeArrowheads="1"/>
        </xdr:cNvSpPr>
      </xdr:nvSpPr>
      <xdr:spPr bwMode="auto">
        <a:xfrm>
          <a:off x="1419225" y="9163050"/>
          <a:ext cx="952500" cy="3619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</xdr:row>
      <xdr:rowOff>0</xdr:rowOff>
    </xdr:from>
    <xdr:to>
      <xdr:col>10</xdr:col>
      <xdr:colOff>0</xdr:colOff>
      <xdr:row>70</xdr:row>
      <xdr:rowOff>342900</xdr:rowOff>
    </xdr:to>
    <xdr:sp macro="" textlink="">
      <xdr:nvSpPr>
        <xdr:cNvPr id="9" name="Oval 8"/>
        <xdr:cNvSpPr>
          <a:spLocks noChangeArrowheads="1"/>
        </xdr:cNvSpPr>
      </xdr:nvSpPr>
      <xdr:spPr bwMode="auto">
        <a:xfrm>
          <a:off x="1143000" y="14963775"/>
          <a:ext cx="762000" cy="3429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95250</xdr:colOff>
      <xdr:row>95</xdr:row>
      <xdr:rowOff>0</xdr:rowOff>
    </xdr:from>
    <xdr:to>
      <xdr:col>12</xdr:col>
      <xdr:colOff>85725</xdr:colOff>
      <xdr:row>96</xdr:row>
      <xdr:rowOff>171450</xdr:rowOff>
    </xdr:to>
    <xdr:sp macro="" textlink="">
      <xdr:nvSpPr>
        <xdr:cNvPr id="10" name="Oval 9"/>
        <xdr:cNvSpPr>
          <a:spLocks noChangeArrowheads="1"/>
        </xdr:cNvSpPr>
      </xdr:nvSpPr>
      <xdr:spPr bwMode="auto">
        <a:xfrm>
          <a:off x="1428750" y="19764375"/>
          <a:ext cx="942975" cy="3619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40</xdr:row>
      <xdr:rowOff>0</xdr:rowOff>
    </xdr:from>
    <xdr:to>
      <xdr:col>11</xdr:col>
      <xdr:colOff>0</xdr:colOff>
      <xdr:row>40</xdr:row>
      <xdr:rowOff>266700</xdr:rowOff>
    </xdr:to>
    <xdr:sp macro="" textlink="">
      <xdr:nvSpPr>
        <xdr:cNvPr id="11" name="Oval 10"/>
        <xdr:cNvSpPr>
          <a:spLocks noChangeArrowheads="1"/>
        </xdr:cNvSpPr>
      </xdr:nvSpPr>
      <xdr:spPr bwMode="auto">
        <a:xfrm>
          <a:off x="1333500" y="8162925"/>
          <a:ext cx="762000" cy="2667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14</xdr:col>
      <xdr:colOff>15316</xdr:colOff>
      <xdr:row>18</xdr:row>
      <xdr:rowOff>9528</xdr:rowOff>
    </xdr:from>
    <xdr:to>
      <xdr:col>15</xdr:col>
      <xdr:colOff>110566</xdr:colOff>
      <xdr:row>18</xdr:row>
      <xdr:rowOff>180978</xdr:rowOff>
    </xdr:to>
    <xdr:sp macro="" textlink="">
      <xdr:nvSpPr>
        <xdr:cNvPr id="12" name="Oval 10"/>
        <xdr:cNvSpPr>
          <a:spLocks noChangeArrowheads="1"/>
        </xdr:cNvSpPr>
      </xdr:nvSpPr>
      <xdr:spPr bwMode="auto">
        <a:xfrm>
          <a:off x="2682316" y="3962403"/>
          <a:ext cx="285750" cy="1714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31</xdr:row>
          <xdr:rowOff>38100</xdr:rowOff>
        </xdr:from>
        <xdr:to>
          <xdr:col>9</xdr:col>
          <xdr:colOff>19050</xdr:colOff>
          <xdr:row>32</xdr:row>
          <xdr:rowOff>152400</xdr:rowOff>
        </xdr:to>
        <xdr:sp macro="" textlink="">
          <xdr:nvSpPr>
            <xdr:cNvPr id="34817" name="Object 1" hidden="1">
              <a:extLst>
                <a:ext uri="{63B3BB69-23CF-44E3-9099-C40C66FF867C}">
                  <a14:compatExt spid="_x0000_s348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41</xdr:row>
          <xdr:rowOff>180975</xdr:rowOff>
        </xdr:from>
        <xdr:to>
          <xdr:col>9</xdr:col>
          <xdr:colOff>123825</xdr:colOff>
          <xdr:row>43</xdr:row>
          <xdr:rowOff>104775</xdr:rowOff>
        </xdr:to>
        <xdr:sp macro="" textlink="">
          <xdr:nvSpPr>
            <xdr:cNvPr id="34818" name="Object 2" hidden="1">
              <a:extLst>
                <a:ext uri="{63B3BB69-23CF-44E3-9099-C40C66FF867C}">
                  <a14:compatExt spid="_x0000_s348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72</xdr:row>
          <xdr:rowOff>85725</xdr:rowOff>
        </xdr:from>
        <xdr:to>
          <xdr:col>7</xdr:col>
          <xdr:colOff>114300</xdr:colOff>
          <xdr:row>74</xdr:row>
          <xdr:rowOff>19050</xdr:rowOff>
        </xdr:to>
        <xdr:sp macro="" textlink="">
          <xdr:nvSpPr>
            <xdr:cNvPr id="34819" name="Object 3" hidden="1">
              <a:extLst>
                <a:ext uri="{63B3BB69-23CF-44E3-9099-C40C66FF867C}">
                  <a14:compatExt spid="_x0000_s348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10</xdr:col>
      <xdr:colOff>142875</xdr:colOff>
      <xdr:row>51</xdr:row>
      <xdr:rowOff>57150</xdr:rowOff>
    </xdr:from>
    <xdr:to>
      <xdr:col>20</xdr:col>
      <xdr:colOff>142143</xdr:colOff>
      <xdr:row>52</xdr:row>
      <xdr:rowOff>161925</xdr:rowOff>
    </xdr:to>
    <xdr:pic>
      <xdr:nvPicPr>
        <xdr:cNvPr id="5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10391775"/>
          <a:ext cx="190426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133350</xdr:colOff>
      <xdr:row>101</xdr:row>
      <xdr:rowOff>47625</xdr:rowOff>
    </xdr:from>
    <xdr:to>
      <xdr:col>20</xdr:col>
      <xdr:colOff>132618</xdr:colOff>
      <xdr:row>102</xdr:row>
      <xdr:rowOff>152400</xdr:rowOff>
    </xdr:to>
    <xdr:pic>
      <xdr:nvPicPr>
        <xdr:cNvPr id="6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20983575"/>
          <a:ext cx="190426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30</xdr:row>
      <xdr:rowOff>0</xdr:rowOff>
    </xdr:from>
    <xdr:to>
      <xdr:col>11</xdr:col>
      <xdr:colOff>0</xdr:colOff>
      <xdr:row>31</xdr:row>
      <xdr:rowOff>0</xdr:rowOff>
    </xdr:to>
    <xdr:sp macro="" textlink="">
      <xdr:nvSpPr>
        <xdr:cNvPr id="7" name="Oval 6"/>
        <xdr:cNvSpPr>
          <a:spLocks noChangeArrowheads="1"/>
        </xdr:cNvSpPr>
      </xdr:nvSpPr>
      <xdr:spPr bwMode="auto">
        <a:xfrm>
          <a:off x="1333500" y="6200775"/>
          <a:ext cx="762000" cy="2667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85725</xdr:colOff>
      <xdr:row>45</xdr:row>
      <xdr:rowOff>9525</xdr:rowOff>
    </xdr:from>
    <xdr:to>
      <xdr:col>12</xdr:col>
      <xdr:colOff>85725</xdr:colOff>
      <xdr:row>46</xdr:row>
      <xdr:rowOff>180975</xdr:rowOff>
    </xdr:to>
    <xdr:sp macro="" textlink="">
      <xdr:nvSpPr>
        <xdr:cNvPr id="8" name="Oval 7"/>
        <xdr:cNvSpPr>
          <a:spLocks noChangeArrowheads="1"/>
        </xdr:cNvSpPr>
      </xdr:nvSpPr>
      <xdr:spPr bwMode="auto">
        <a:xfrm>
          <a:off x="1419225" y="9163050"/>
          <a:ext cx="952500" cy="3619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</xdr:row>
      <xdr:rowOff>0</xdr:rowOff>
    </xdr:from>
    <xdr:to>
      <xdr:col>10</xdr:col>
      <xdr:colOff>0</xdr:colOff>
      <xdr:row>70</xdr:row>
      <xdr:rowOff>342900</xdr:rowOff>
    </xdr:to>
    <xdr:sp macro="" textlink="">
      <xdr:nvSpPr>
        <xdr:cNvPr id="9" name="Oval 8"/>
        <xdr:cNvSpPr>
          <a:spLocks noChangeArrowheads="1"/>
        </xdr:cNvSpPr>
      </xdr:nvSpPr>
      <xdr:spPr bwMode="auto">
        <a:xfrm>
          <a:off x="1143000" y="14963775"/>
          <a:ext cx="762000" cy="3429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95250</xdr:colOff>
      <xdr:row>95</xdr:row>
      <xdr:rowOff>0</xdr:rowOff>
    </xdr:from>
    <xdr:to>
      <xdr:col>12</xdr:col>
      <xdr:colOff>85725</xdr:colOff>
      <xdr:row>96</xdr:row>
      <xdr:rowOff>171450</xdr:rowOff>
    </xdr:to>
    <xdr:sp macro="" textlink="">
      <xdr:nvSpPr>
        <xdr:cNvPr id="10" name="Oval 9"/>
        <xdr:cNvSpPr>
          <a:spLocks noChangeArrowheads="1"/>
        </xdr:cNvSpPr>
      </xdr:nvSpPr>
      <xdr:spPr bwMode="auto">
        <a:xfrm>
          <a:off x="1428750" y="19764375"/>
          <a:ext cx="942975" cy="3619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40</xdr:row>
      <xdr:rowOff>0</xdr:rowOff>
    </xdr:from>
    <xdr:to>
      <xdr:col>11</xdr:col>
      <xdr:colOff>0</xdr:colOff>
      <xdr:row>40</xdr:row>
      <xdr:rowOff>266700</xdr:rowOff>
    </xdr:to>
    <xdr:sp macro="" textlink="">
      <xdr:nvSpPr>
        <xdr:cNvPr id="11" name="Oval 10"/>
        <xdr:cNvSpPr>
          <a:spLocks noChangeArrowheads="1"/>
        </xdr:cNvSpPr>
      </xdr:nvSpPr>
      <xdr:spPr bwMode="auto">
        <a:xfrm>
          <a:off x="1333500" y="8162925"/>
          <a:ext cx="762000" cy="2667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14</xdr:col>
      <xdr:colOff>15316</xdr:colOff>
      <xdr:row>18</xdr:row>
      <xdr:rowOff>9528</xdr:rowOff>
    </xdr:from>
    <xdr:to>
      <xdr:col>15</xdr:col>
      <xdr:colOff>110566</xdr:colOff>
      <xdr:row>18</xdr:row>
      <xdr:rowOff>180978</xdr:rowOff>
    </xdr:to>
    <xdr:sp macro="" textlink="">
      <xdr:nvSpPr>
        <xdr:cNvPr id="12" name="Oval 10"/>
        <xdr:cNvSpPr>
          <a:spLocks noChangeArrowheads="1"/>
        </xdr:cNvSpPr>
      </xdr:nvSpPr>
      <xdr:spPr bwMode="auto">
        <a:xfrm>
          <a:off x="2682316" y="3962403"/>
          <a:ext cx="285750" cy="1714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31</xdr:row>
          <xdr:rowOff>38100</xdr:rowOff>
        </xdr:from>
        <xdr:to>
          <xdr:col>9</xdr:col>
          <xdr:colOff>19050</xdr:colOff>
          <xdr:row>32</xdr:row>
          <xdr:rowOff>152400</xdr:rowOff>
        </xdr:to>
        <xdr:sp macro="" textlink="">
          <xdr:nvSpPr>
            <xdr:cNvPr id="33793" name="Object 1" hidden="1">
              <a:extLst>
                <a:ext uri="{63B3BB69-23CF-44E3-9099-C40C66FF867C}">
                  <a14:compatExt spid="_x0000_s337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41</xdr:row>
          <xdr:rowOff>180975</xdr:rowOff>
        </xdr:from>
        <xdr:to>
          <xdr:col>9</xdr:col>
          <xdr:colOff>123825</xdr:colOff>
          <xdr:row>43</xdr:row>
          <xdr:rowOff>104775</xdr:rowOff>
        </xdr:to>
        <xdr:sp macro="" textlink="">
          <xdr:nvSpPr>
            <xdr:cNvPr id="33794" name="Object 2" hidden="1">
              <a:extLst>
                <a:ext uri="{63B3BB69-23CF-44E3-9099-C40C66FF867C}">
                  <a14:compatExt spid="_x0000_s337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72</xdr:row>
          <xdr:rowOff>85725</xdr:rowOff>
        </xdr:from>
        <xdr:to>
          <xdr:col>7</xdr:col>
          <xdr:colOff>114300</xdr:colOff>
          <xdr:row>74</xdr:row>
          <xdr:rowOff>19050</xdr:rowOff>
        </xdr:to>
        <xdr:sp macro="" textlink="">
          <xdr:nvSpPr>
            <xdr:cNvPr id="33795" name="Object 3" hidden="1">
              <a:extLst>
                <a:ext uri="{63B3BB69-23CF-44E3-9099-C40C66FF867C}">
                  <a14:compatExt spid="_x0000_s337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10</xdr:col>
      <xdr:colOff>142875</xdr:colOff>
      <xdr:row>51</xdr:row>
      <xdr:rowOff>57150</xdr:rowOff>
    </xdr:from>
    <xdr:to>
      <xdr:col>20</xdr:col>
      <xdr:colOff>142143</xdr:colOff>
      <xdr:row>52</xdr:row>
      <xdr:rowOff>161925</xdr:rowOff>
    </xdr:to>
    <xdr:pic>
      <xdr:nvPicPr>
        <xdr:cNvPr id="5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10391775"/>
          <a:ext cx="190426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133350</xdr:colOff>
      <xdr:row>101</xdr:row>
      <xdr:rowOff>47625</xdr:rowOff>
    </xdr:from>
    <xdr:to>
      <xdr:col>20</xdr:col>
      <xdr:colOff>132618</xdr:colOff>
      <xdr:row>102</xdr:row>
      <xdr:rowOff>152400</xdr:rowOff>
    </xdr:to>
    <xdr:pic>
      <xdr:nvPicPr>
        <xdr:cNvPr id="6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20983575"/>
          <a:ext cx="190426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30</xdr:row>
      <xdr:rowOff>0</xdr:rowOff>
    </xdr:from>
    <xdr:to>
      <xdr:col>11</xdr:col>
      <xdr:colOff>0</xdr:colOff>
      <xdr:row>31</xdr:row>
      <xdr:rowOff>0</xdr:rowOff>
    </xdr:to>
    <xdr:sp macro="" textlink="">
      <xdr:nvSpPr>
        <xdr:cNvPr id="7" name="Oval 6"/>
        <xdr:cNvSpPr>
          <a:spLocks noChangeArrowheads="1"/>
        </xdr:cNvSpPr>
      </xdr:nvSpPr>
      <xdr:spPr bwMode="auto">
        <a:xfrm>
          <a:off x="1333500" y="6200775"/>
          <a:ext cx="762000" cy="2667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85725</xdr:colOff>
      <xdr:row>45</xdr:row>
      <xdr:rowOff>9525</xdr:rowOff>
    </xdr:from>
    <xdr:to>
      <xdr:col>12</xdr:col>
      <xdr:colOff>85725</xdr:colOff>
      <xdr:row>46</xdr:row>
      <xdr:rowOff>180975</xdr:rowOff>
    </xdr:to>
    <xdr:sp macro="" textlink="">
      <xdr:nvSpPr>
        <xdr:cNvPr id="8" name="Oval 7"/>
        <xdr:cNvSpPr>
          <a:spLocks noChangeArrowheads="1"/>
        </xdr:cNvSpPr>
      </xdr:nvSpPr>
      <xdr:spPr bwMode="auto">
        <a:xfrm>
          <a:off x="1419225" y="9163050"/>
          <a:ext cx="952500" cy="3619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</xdr:row>
      <xdr:rowOff>0</xdr:rowOff>
    </xdr:from>
    <xdr:to>
      <xdr:col>10</xdr:col>
      <xdr:colOff>0</xdr:colOff>
      <xdr:row>70</xdr:row>
      <xdr:rowOff>342900</xdr:rowOff>
    </xdr:to>
    <xdr:sp macro="" textlink="">
      <xdr:nvSpPr>
        <xdr:cNvPr id="9" name="Oval 8"/>
        <xdr:cNvSpPr>
          <a:spLocks noChangeArrowheads="1"/>
        </xdr:cNvSpPr>
      </xdr:nvSpPr>
      <xdr:spPr bwMode="auto">
        <a:xfrm>
          <a:off x="1143000" y="14963775"/>
          <a:ext cx="762000" cy="3429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95250</xdr:colOff>
      <xdr:row>95</xdr:row>
      <xdr:rowOff>0</xdr:rowOff>
    </xdr:from>
    <xdr:to>
      <xdr:col>12</xdr:col>
      <xdr:colOff>85725</xdr:colOff>
      <xdr:row>96</xdr:row>
      <xdr:rowOff>171450</xdr:rowOff>
    </xdr:to>
    <xdr:sp macro="" textlink="">
      <xdr:nvSpPr>
        <xdr:cNvPr id="10" name="Oval 9"/>
        <xdr:cNvSpPr>
          <a:spLocks noChangeArrowheads="1"/>
        </xdr:cNvSpPr>
      </xdr:nvSpPr>
      <xdr:spPr bwMode="auto">
        <a:xfrm>
          <a:off x="1428750" y="19764375"/>
          <a:ext cx="942975" cy="3619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40</xdr:row>
      <xdr:rowOff>0</xdr:rowOff>
    </xdr:from>
    <xdr:to>
      <xdr:col>11</xdr:col>
      <xdr:colOff>0</xdr:colOff>
      <xdr:row>40</xdr:row>
      <xdr:rowOff>266700</xdr:rowOff>
    </xdr:to>
    <xdr:sp macro="" textlink="">
      <xdr:nvSpPr>
        <xdr:cNvPr id="11" name="Oval 10"/>
        <xdr:cNvSpPr>
          <a:spLocks noChangeArrowheads="1"/>
        </xdr:cNvSpPr>
      </xdr:nvSpPr>
      <xdr:spPr bwMode="auto">
        <a:xfrm>
          <a:off x="1333500" y="8162925"/>
          <a:ext cx="762000" cy="2667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14</xdr:col>
      <xdr:colOff>15316</xdr:colOff>
      <xdr:row>18</xdr:row>
      <xdr:rowOff>9528</xdr:rowOff>
    </xdr:from>
    <xdr:to>
      <xdr:col>15</xdr:col>
      <xdr:colOff>110566</xdr:colOff>
      <xdr:row>18</xdr:row>
      <xdr:rowOff>180978</xdr:rowOff>
    </xdr:to>
    <xdr:sp macro="" textlink="">
      <xdr:nvSpPr>
        <xdr:cNvPr id="12" name="Oval 10"/>
        <xdr:cNvSpPr>
          <a:spLocks noChangeArrowheads="1"/>
        </xdr:cNvSpPr>
      </xdr:nvSpPr>
      <xdr:spPr bwMode="auto">
        <a:xfrm>
          <a:off x="2682316" y="3962403"/>
          <a:ext cx="285750" cy="1714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31</xdr:row>
          <xdr:rowOff>38100</xdr:rowOff>
        </xdr:from>
        <xdr:to>
          <xdr:col>9</xdr:col>
          <xdr:colOff>19050</xdr:colOff>
          <xdr:row>32</xdr:row>
          <xdr:rowOff>152400</xdr:rowOff>
        </xdr:to>
        <xdr:sp macro="" textlink="">
          <xdr:nvSpPr>
            <xdr:cNvPr id="31745" name="Object 1" hidden="1">
              <a:extLst>
                <a:ext uri="{63B3BB69-23CF-44E3-9099-C40C66FF867C}">
                  <a14:compatExt spid="_x0000_s317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41</xdr:row>
          <xdr:rowOff>180975</xdr:rowOff>
        </xdr:from>
        <xdr:to>
          <xdr:col>9</xdr:col>
          <xdr:colOff>123825</xdr:colOff>
          <xdr:row>43</xdr:row>
          <xdr:rowOff>104775</xdr:rowOff>
        </xdr:to>
        <xdr:sp macro="" textlink="">
          <xdr:nvSpPr>
            <xdr:cNvPr id="31746" name="Object 2" hidden="1">
              <a:extLst>
                <a:ext uri="{63B3BB69-23CF-44E3-9099-C40C66FF867C}">
                  <a14:compatExt spid="_x0000_s317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72</xdr:row>
          <xdr:rowOff>85725</xdr:rowOff>
        </xdr:from>
        <xdr:to>
          <xdr:col>7</xdr:col>
          <xdr:colOff>114300</xdr:colOff>
          <xdr:row>74</xdr:row>
          <xdr:rowOff>19050</xdr:rowOff>
        </xdr:to>
        <xdr:sp macro="" textlink="">
          <xdr:nvSpPr>
            <xdr:cNvPr id="31747" name="Object 3" hidden="1">
              <a:extLst>
                <a:ext uri="{63B3BB69-23CF-44E3-9099-C40C66FF867C}">
                  <a14:compatExt spid="_x0000_s317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10</xdr:col>
      <xdr:colOff>142875</xdr:colOff>
      <xdr:row>51</xdr:row>
      <xdr:rowOff>57150</xdr:rowOff>
    </xdr:from>
    <xdr:to>
      <xdr:col>20</xdr:col>
      <xdr:colOff>142143</xdr:colOff>
      <xdr:row>52</xdr:row>
      <xdr:rowOff>161925</xdr:rowOff>
    </xdr:to>
    <xdr:pic>
      <xdr:nvPicPr>
        <xdr:cNvPr id="5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10391775"/>
          <a:ext cx="190426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133350</xdr:colOff>
      <xdr:row>101</xdr:row>
      <xdr:rowOff>47625</xdr:rowOff>
    </xdr:from>
    <xdr:to>
      <xdr:col>20</xdr:col>
      <xdr:colOff>132618</xdr:colOff>
      <xdr:row>102</xdr:row>
      <xdr:rowOff>152400</xdr:rowOff>
    </xdr:to>
    <xdr:pic>
      <xdr:nvPicPr>
        <xdr:cNvPr id="6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20983575"/>
          <a:ext cx="190426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30</xdr:row>
      <xdr:rowOff>0</xdr:rowOff>
    </xdr:from>
    <xdr:to>
      <xdr:col>11</xdr:col>
      <xdr:colOff>0</xdr:colOff>
      <xdr:row>31</xdr:row>
      <xdr:rowOff>0</xdr:rowOff>
    </xdr:to>
    <xdr:sp macro="" textlink="">
      <xdr:nvSpPr>
        <xdr:cNvPr id="7" name="Oval 6"/>
        <xdr:cNvSpPr>
          <a:spLocks noChangeArrowheads="1"/>
        </xdr:cNvSpPr>
      </xdr:nvSpPr>
      <xdr:spPr bwMode="auto">
        <a:xfrm>
          <a:off x="1333500" y="6200775"/>
          <a:ext cx="762000" cy="2667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85725</xdr:colOff>
      <xdr:row>45</xdr:row>
      <xdr:rowOff>9525</xdr:rowOff>
    </xdr:from>
    <xdr:to>
      <xdr:col>12</xdr:col>
      <xdr:colOff>85725</xdr:colOff>
      <xdr:row>46</xdr:row>
      <xdr:rowOff>180975</xdr:rowOff>
    </xdr:to>
    <xdr:sp macro="" textlink="">
      <xdr:nvSpPr>
        <xdr:cNvPr id="8" name="Oval 7"/>
        <xdr:cNvSpPr>
          <a:spLocks noChangeArrowheads="1"/>
        </xdr:cNvSpPr>
      </xdr:nvSpPr>
      <xdr:spPr bwMode="auto">
        <a:xfrm>
          <a:off x="1419225" y="9163050"/>
          <a:ext cx="952500" cy="3619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</xdr:row>
      <xdr:rowOff>0</xdr:rowOff>
    </xdr:from>
    <xdr:to>
      <xdr:col>10</xdr:col>
      <xdr:colOff>0</xdr:colOff>
      <xdr:row>70</xdr:row>
      <xdr:rowOff>342900</xdr:rowOff>
    </xdr:to>
    <xdr:sp macro="" textlink="">
      <xdr:nvSpPr>
        <xdr:cNvPr id="9" name="Oval 8"/>
        <xdr:cNvSpPr>
          <a:spLocks noChangeArrowheads="1"/>
        </xdr:cNvSpPr>
      </xdr:nvSpPr>
      <xdr:spPr bwMode="auto">
        <a:xfrm>
          <a:off x="1143000" y="14963775"/>
          <a:ext cx="762000" cy="3429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95250</xdr:colOff>
      <xdr:row>95</xdr:row>
      <xdr:rowOff>0</xdr:rowOff>
    </xdr:from>
    <xdr:to>
      <xdr:col>12</xdr:col>
      <xdr:colOff>85725</xdr:colOff>
      <xdr:row>96</xdr:row>
      <xdr:rowOff>171450</xdr:rowOff>
    </xdr:to>
    <xdr:sp macro="" textlink="">
      <xdr:nvSpPr>
        <xdr:cNvPr id="10" name="Oval 9"/>
        <xdr:cNvSpPr>
          <a:spLocks noChangeArrowheads="1"/>
        </xdr:cNvSpPr>
      </xdr:nvSpPr>
      <xdr:spPr bwMode="auto">
        <a:xfrm>
          <a:off x="1428750" y="19764375"/>
          <a:ext cx="942975" cy="3619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40</xdr:row>
      <xdr:rowOff>0</xdr:rowOff>
    </xdr:from>
    <xdr:to>
      <xdr:col>11</xdr:col>
      <xdr:colOff>0</xdr:colOff>
      <xdr:row>40</xdr:row>
      <xdr:rowOff>266700</xdr:rowOff>
    </xdr:to>
    <xdr:sp macro="" textlink="">
      <xdr:nvSpPr>
        <xdr:cNvPr id="11" name="Oval 10"/>
        <xdr:cNvSpPr>
          <a:spLocks noChangeArrowheads="1"/>
        </xdr:cNvSpPr>
      </xdr:nvSpPr>
      <xdr:spPr bwMode="auto">
        <a:xfrm>
          <a:off x="1333500" y="8162925"/>
          <a:ext cx="762000" cy="2667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14</xdr:col>
      <xdr:colOff>15316</xdr:colOff>
      <xdr:row>18</xdr:row>
      <xdr:rowOff>9528</xdr:rowOff>
    </xdr:from>
    <xdr:to>
      <xdr:col>15</xdr:col>
      <xdr:colOff>110566</xdr:colOff>
      <xdr:row>18</xdr:row>
      <xdr:rowOff>180978</xdr:rowOff>
    </xdr:to>
    <xdr:sp macro="" textlink="">
      <xdr:nvSpPr>
        <xdr:cNvPr id="12" name="Oval 10"/>
        <xdr:cNvSpPr>
          <a:spLocks noChangeArrowheads="1"/>
        </xdr:cNvSpPr>
      </xdr:nvSpPr>
      <xdr:spPr bwMode="auto">
        <a:xfrm>
          <a:off x="2682316" y="3962403"/>
          <a:ext cx="285750" cy="1714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31</xdr:row>
          <xdr:rowOff>38100</xdr:rowOff>
        </xdr:from>
        <xdr:to>
          <xdr:col>9</xdr:col>
          <xdr:colOff>19050</xdr:colOff>
          <xdr:row>32</xdr:row>
          <xdr:rowOff>152400</xdr:rowOff>
        </xdr:to>
        <xdr:sp macro="" textlink="">
          <xdr:nvSpPr>
            <xdr:cNvPr id="30721" name="Object 1" hidden="1">
              <a:extLst>
                <a:ext uri="{63B3BB69-23CF-44E3-9099-C40C66FF867C}">
                  <a14:compatExt spid="_x0000_s307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41</xdr:row>
          <xdr:rowOff>180975</xdr:rowOff>
        </xdr:from>
        <xdr:to>
          <xdr:col>9</xdr:col>
          <xdr:colOff>123825</xdr:colOff>
          <xdr:row>43</xdr:row>
          <xdr:rowOff>104775</xdr:rowOff>
        </xdr:to>
        <xdr:sp macro="" textlink="">
          <xdr:nvSpPr>
            <xdr:cNvPr id="30722" name="Object 2" hidden="1">
              <a:extLst>
                <a:ext uri="{63B3BB69-23CF-44E3-9099-C40C66FF867C}">
                  <a14:compatExt spid="_x0000_s307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72</xdr:row>
          <xdr:rowOff>85725</xdr:rowOff>
        </xdr:from>
        <xdr:to>
          <xdr:col>7</xdr:col>
          <xdr:colOff>114300</xdr:colOff>
          <xdr:row>74</xdr:row>
          <xdr:rowOff>19050</xdr:rowOff>
        </xdr:to>
        <xdr:sp macro="" textlink="">
          <xdr:nvSpPr>
            <xdr:cNvPr id="30723" name="Object 3" hidden="1">
              <a:extLst>
                <a:ext uri="{63B3BB69-23CF-44E3-9099-C40C66FF867C}">
                  <a14:compatExt spid="_x0000_s307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10</xdr:col>
      <xdr:colOff>142875</xdr:colOff>
      <xdr:row>51</xdr:row>
      <xdr:rowOff>57150</xdr:rowOff>
    </xdr:from>
    <xdr:to>
      <xdr:col>20</xdr:col>
      <xdr:colOff>142143</xdr:colOff>
      <xdr:row>52</xdr:row>
      <xdr:rowOff>161925</xdr:rowOff>
    </xdr:to>
    <xdr:pic>
      <xdr:nvPicPr>
        <xdr:cNvPr id="5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10391775"/>
          <a:ext cx="190426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133350</xdr:colOff>
      <xdr:row>101</xdr:row>
      <xdr:rowOff>47625</xdr:rowOff>
    </xdr:from>
    <xdr:to>
      <xdr:col>20</xdr:col>
      <xdr:colOff>132618</xdr:colOff>
      <xdr:row>102</xdr:row>
      <xdr:rowOff>152400</xdr:rowOff>
    </xdr:to>
    <xdr:pic>
      <xdr:nvPicPr>
        <xdr:cNvPr id="6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20983575"/>
          <a:ext cx="190426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30</xdr:row>
      <xdr:rowOff>0</xdr:rowOff>
    </xdr:from>
    <xdr:to>
      <xdr:col>11</xdr:col>
      <xdr:colOff>0</xdr:colOff>
      <xdr:row>31</xdr:row>
      <xdr:rowOff>0</xdr:rowOff>
    </xdr:to>
    <xdr:sp macro="" textlink="">
      <xdr:nvSpPr>
        <xdr:cNvPr id="7" name="Oval 6"/>
        <xdr:cNvSpPr>
          <a:spLocks noChangeArrowheads="1"/>
        </xdr:cNvSpPr>
      </xdr:nvSpPr>
      <xdr:spPr bwMode="auto">
        <a:xfrm>
          <a:off x="1333500" y="6200775"/>
          <a:ext cx="762000" cy="2667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85725</xdr:colOff>
      <xdr:row>45</xdr:row>
      <xdr:rowOff>9525</xdr:rowOff>
    </xdr:from>
    <xdr:to>
      <xdr:col>12</xdr:col>
      <xdr:colOff>85725</xdr:colOff>
      <xdr:row>46</xdr:row>
      <xdr:rowOff>180975</xdr:rowOff>
    </xdr:to>
    <xdr:sp macro="" textlink="">
      <xdr:nvSpPr>
        <xdr:cNvPr id="8" name="Oval 7"/>
        <xdr:cNvSpPr>
          <a:spLocks noChangeArrowheads="1"/>
        </xdr:cNvSpPr>
      </xdr:nvSpPr>
      <xdr:spPr bwMode="auto">
        <a:xfrm>
          <a:off x="1419225" y="9163050"/>
          <a:ext cx="952500" cy="3619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</xdr:row>
      <xdr:rowOff>0</xdr:rowOff>
    </xdr:from>
    <xdr:to>
      <xdr:col>10</xdr:col>
      <xdr:colOff>0</xdr:colOff>
      <xdr:row>70</xdr:row>
      <xdr:rowOff>342900</xdr:rowOff>
    </xdr:to>
    <xdr:sp macro="" textlink="">
      <xdr:nvSpPr>
        <xdr:cNvPr id="9" name="Oval 8"/>
        <xdr:cNvSpPr>
          <a:spLocks noChangeArrowheads="1"/>
        </xdr:cNvSpPr>
      </xdr:nvSpPr>
      <xdr:spPr bwMode="auto">
        <a:xfrm>
          <a:off x="1143000" y="14963775"/>
          <a:ext cx="762000" cy="3429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95250</xdr:colOff>
      <xdr:row>95</xdr:row>
      <xdr:rowOff>0</xdr:rowOff>
    </xdr:from>
    <xdr:to>
      <xdr:col>12</xdr:col>
      <xdr:colOff>85725</xdr:colOff>
      <xdr:row>96</xdr:row>
      <xdr:rowOff>171450</xdr:rowOff>
    </xdr:to>
    <xdr:sp macro="" textlink="">
      <xdr:nvSpPr>
        <xdr:cNvPr id="10" name="Oval 9"/>
        <xdr:cNvSpPr>
          <a:spLocks noChangeArrowheads="1"/>
        </xdr:cNvSpPr>
      </xdr:nvSpPr>
      <xdr:spPr bwMode="auto">
        <a:xfrm>
          <a:off x="1428750" y="19764375"/>
          <a:ext cx="942975" cy="3619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40</xdr:row>
      <xdr:rowOff>0</xdr:rowOff>
    </xdr:from>
    <xdr:to>
      <xdr:col>11</xdr:col>
      <xdr:colOff>0</xdr:colOff>
      <xdr:row>40</xdr:row>
      <xdr:rowOff>266700</xdr:rowOff>
    </xdr:to>
    <xdr:sp macro="" textlink="">
      <xdr:nvSpPr>
        <xdr:cNvPr id="11" name="Oval 10"/>
        <xdr:cNvSpPr>
          <a:spLocks noChangeArrowheads="1"/>
        </xdr:cNvSpPr>
      </xdr:nvSpPr>
      <xdr:spPr bwMode="auto">
        <a:xfrm>
          <a:off x="1333500" y="8162925"/>
          <a:ext cx="762000" cy="2667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14</xdr:col>
      <xdr:colOff>15316</xdr:colOff>
      <xdr:row>18</xdr:row>
      <xdr:rowOff>9528</xdr:rowOff>
    </xdr:from>
    <xdr:to>
      <xdr:col>15</xdr:col>
      <xdr:colOff>110566</xdr:colOff>
      <xdr:row>18</xdr:row>
      <xdr:rowOff>180978</xdr:rowOff>
    </xdr:to>
    <xdr:sp macro="" textlink="">
      <xdr:nvSpPr>
        <xdr:cNvPr id="12" name="Oval 10"/>
        <xdr:cNvSpPr>
          <a:spLocks noChangeArrowheads="1"/>
        </xdr:cNvSpPr>
      </xdr:nvSpPr>
      <xdr:spPr bwMode="auto">
        <a:xfrm>
          <a:off x="2682316" y="3962403"/>
          <a:ext cx="285750" cy="1714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6.bin"/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5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4.bin"/><Relationship Id="rId9" Type="http://schemas.openxmlformats.org/officeDocument/2006/relationships/image" Target="../media/image3.emf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9.bin"/><Relationship Id="rId3" Type="http://schemas.openxmlformats.org/officeDocument/2006/relationships/vmlDrawing" Target="../drawings/vmlDrawing3.vml"/><Relationship Id="rId7" Type="http://schemas.openxmlformats.org/officeDocument/2006/relationships/image" Target="../media/image2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8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7.bin"/><Relationship Id="rId9" Type="http://schemas.openxmlformats.org/officeDocument/2006/relationships/image" Target="../media/image3.emf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2.bin"/><Relationship Id="rId3" Type="http://schemas.openxmlformats.org/officeDocument/2006/relationships/vmlDrawing" Target="../drawings/vmlDrawing4.vml"/><Relationship Id="rId7" Type="http://schemas.openxmlformats.org/officeDocument/2006/relationships/image" Target="../media/image2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1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0.bin"/><Relationship Id="rId9" Type="http://schemas.openxmlformats.org/officeDocument/2006/relationships/image" Target="../media/image3.emf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5.bin"/><Relationship Id="rId3" Type="http://schemas.openxmlformats.org/officeDocument/2006/relationships/vmlDrawing" Target="../drawings/vmlDrawing5.vml"/><Relationship Id="rId7" Type="http://schemas.openxmlformats.org/officeDocument/2006/relationships/image" Target="../media/image2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oleObject" Target="../embeddings/oleObject1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3.bin"/><Relationship Id="rId9" Type="http://schemas.openxmlformats.org/officeDocument/2006/relationships/image" Target="../media/image3.emf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8.bin"/><Relationship Id="rId3" Type="http://schemas.openxmlformats.org/officeDocument/2006/relationships/vmlDrawing" Target="../drawings/vmlDrawing6.vml"/><Relationship Id="rId7" Type="http://schemas.openxmlformats.org/officeDocument/2006/relationships/image" Target="../media/image2.emf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oleObject" Target="../embeddings/oleObject17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6.bin"/><Relationship Id="rId9" Type="http://schemas.openxmlformats.org/officeDocument/2006/relationships/image" Target="../media/image3.emf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21.bin"/><Relationship Id="rId3" Type="http://schemas.openxmlformats.org/officeDocument/2006/relationships/vmlDrawing" Target="../drawings/vmlDrawing7.vml"/><Relationship Id="rId7" Type="http://schemas.openxmlformats.org/officeDocument/2006/relationships/image" Target="../media/image2.emf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6" Type="http://schemas.openxmlformats.org/officeDocument/2006/relationships/oleObject" Target="../embeddings/oleObject20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9.bin"/><Relationship Id="rId9" Type="http://schemas.openxmlformats.org/officeDocument/2006/relationships/image" Target="../media/image3.emf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24.bin"/><Relationship Id="rId3" Type="http://schemas.openxmlformats.org/officeDocument/2006/relationships/vmlDrawing" Target="../drawings/vmlDrawing8.vml"/><Relationship Id="rId7" Type="http://schemas.openxmlformats.org/officeDocument/2006/relationships/image" Target="../media/image2.emf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6" Type="http://schemas.openxmlformats.org/officeDocument/2006/relationships/oleObject" Target="../embeddings/oleObject23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22.bin"/><Relationship Id="rId9" Type="http://schemas.openxmlformats.org/officeDocument/2006/relationships/image" Target="../media/image3.emf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27.bin"/><Relationship Id="rId3" Type="http://schemas.openxmlformats.org/officeDocument/2006/relationships/vmlDrawing" Target="../drawings/vmlDrawing9.vml"/><Relationship Id="rId7" Type="http://schemas.openxmlformats.org/officeDocument/2006/relationships/image" Target="../media/image2.emf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6" Type="http://schemas.openxmlformats.org/officeDocument/2006/relationships/oleObject" Target="../embeddings/oleObject26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25.bin"/><Relationship Id="rId9" Type="http://schemas.openxmlformats.org/officeDocument/2006/relationships/image" Target="../media/image3.emf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0.bin"/><Relationship Id="rId3" Type="http://schemas.openxmlformats.org/officeDocument/2006/relationships/vmlDrawing" Target="../drawings/vmlDrawing10.vml"/><Relationship Id="rId7" Type="http://schemas.openxmlformats.org/officeDocument/2006/relationships/image" Target="../media/image2.emf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6" Type="http://schemas.openxmlformats.org/officeDocument/2006/relationships/oleObject" Target="../embeddings/oleObject29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28.bin"/><Relationship Id="rId9" Type="http://schemas.openxmlformats.org/officeDocument/2006/relationships/image" Target="../media/image3.emf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3.bin"/><Relationship Id="rId3" Type="http://schemas.openxmlformats.org/officeDocument/2006/relationships/vmlDrawing" Target="../drawings/vmlDrawing11.vml"/><Relationship Id="rId7" Type="http://schemas.openxmlformats.org/officeDocument/2006/relationships/image" Target="../media/image2.emf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6" Type="http://schemas.openxmlformats.org/officeDocument/2006/relationships/oleObject" Target="../embeddings/oleObject3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1.bin"/><Relationship Id="rId9" Type="http://schemas.openxmlformats.org/officeDocument/2006/relationships/image" Target="../media/image3.emf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6.bin"/><Relationship Id="rId3" Type="http://schemas.openxmlformats.org/officeDocument/2006/relationships/vmlDrawing" Target="../drawings/vmlDrawing12.vml"/><Relationship Id="rId7" Type="http://schemas.openxmlformats.org/officeDocument/2006/relationships/image" Target="../media/image2.emf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6" Type="http://schemas.openxmlformats.org/officeDocument/2006/relationships/oleObject" Target="../embeddings/oleObject35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4.bin"/><Relationship Id="rId9" Type="http://schemas.openxmlformats.org/officeDocument/2006/relationships/image" Target="../media/image3.emf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9.bin"/><Relationship Id="rId3" Type="http://schemas.openxmlformats.org/officeDocument/2006/relationships/vmlDrawing" Target="../drawings/vmlDrawing13.vml"/><Relationship Id="rId7" Type="http://schemas.openxmlformats.org/officeDocument/2006/relationships/image" Target="../media/image2.emf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6" Type="http://schemas.openxmlformats.org/officeDocument/2006/relationships/oleObject" Target="../embeddings/oleObject38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7.bin"/><Relationship Id="rId9" Type="http://schemas.openxmlformats.org/officeDocument/2006/relationships/image" Target="../media/image3.emf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2.bin"/><Relationship Id="rId3" Type="http://schemas.openxmlformats.org/officeDocument/2006/relationships/vmlDrawing" Target="../drawings/vmlDrawing14.vml"/><Relationship Id="rId7" Type="http://schemas.openxmlformats.org/officeDocument/2006/relationships/image" Target="../media/image2.emf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6" Type="http://schemas.openxmlformats.org/officeDocument/2006/relationships/oleObject" Target="../embeddings/oleObject4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40.bin"/><Relationship Id="rId9" Type="http://schemas.openxmlformats.org/officeDocument/2006/relationships/image" Target="../media/image3.emf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5.bin"/><Relationship Id="rId3" Type="http://schemas.openxmlformats.org/officeDocument/2006/relationships/vmlDrawing" Target="../drawings/vmlDrawing15.vml"/><Relationship Id="rId7" Type="http://schemas.openxmlformats.org/officeDocument/2006/relationships/image" Target="../media/image2.emf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6" Type="http://schemas.openxmlformats.org/officeDocument/2006/relationships/oleObject" Target="../embeddings/oleObject4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43.bin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101"/>
  <sheetViews>
    <sheetView topLeftCell="A19" zoomScale="130" zoomScaleNormal="130" workbookViewId="0">
      <selection activeCell="Q31" sqref="Q31:U31"/>
    </sheetView>
  </sheetViews>
  <sheetFormatPr defaultColWidth="2.5" defaultRowHeight="15"/>
  <cols>
    <col min="1" max="16384" width="2.5" style="1"/>
  </cols>
  <sheetData>
    <row r="1" spans="1:34" ht="27" customHeight="1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7"/>
      <c r="AD1" s="48" t="s">
        <v>1</v>
      </c>
      <c r="AE1" s="49"/>
      <c r="AF1" s="49"/>
      <c r="AG1" s="50" t="s">
        <v>2</v>
      </c>
      <c r="AH1" s="51"/>
    </row>
    <row r="2" spans="1:34" ht="19.5" customHeight="1">
      <c r="A2" s="52" t="s">
        <v>3</v>
      </c>
      <c r="B2" s="53"/>
      <c r="C2" s="53"/>
      <c r="D2" s="53"/>
      <c r="E2" s="53"/>
      <c r="F2" s="53"/>
      <c r="G2" s="54" t="s">
        <v>85</v>
      </c>
      <c r="H2" s="55"/>
      <c r="I2" s="55"/>
      <c r="J2" s="55"/>
      <c r="K2" s="55"/>
      <c r="L2" s="55"/>
      <c r="M2" s="55"/>
      <c r="N2" s="55"/>
      <c r="O2" s="55"/>
      <c r="P2" s="55"/>
      <c r="Q2" s="56"/>
      <c r="R2" s="28" t="s">
        <v>4</v>
      </c>
      <c r="S2" s="29"/>
      <c r="T2" s="29"/>
      <c r="U2" s="29"/>
      <c r="V2" s="29"/>
      <c r="W2" s="30"/>
      <c r="X2" s="31">
        <v>42886</v>
      </c>
      <c r="Y2" s="32"/>
      <c r="Z2" s="32"/>
      <c r="AA2" s="32"/>
      <c r="AB2" s="32"/>
      <c r="AC2" s="32"/>
      <c r="AD2" s="32"/>
      <c r="AE2" s="32"/>
      <c r="AF2" s="32"/>
      <c r="AG2" s="32"/>
      <c r="AH2" s="33"/>
    </row>
    <row r="3" spans="1:34" ht="19.5" customHeight="1">
      <c r="A3" s="23" t="s">
        <v>5</v>
      </c>
      <c r="B3" s="24"/>
      <c r="C3" s="24"/>
      <c r="D3" s="24"/>
      <c r="E3" s="24"/>
      <c r="F3" s="24"/>
      <c r="G3" s="25" t="s">
        <v>83</v>
      </c>
      <c r="H3" s="26"/>
      <c r="I3" s="26"/>
      <c r="J3" s="26"/>
      <c r="K3" s="26"/>
      <c r="L3" s="26"/>
      <c r="M3" s="26"/>
      <c r="N3" s="26"/>
      <c r="O3" s="26"/>
      <c r="P3" s="26"/>
      <c r="Q3" s="27"/>
      <c r="R3" s="28" t="s">
        <v>6</v>
      </c>
      <c r="S3" s="29"/>
      <c r="T3" s="29"/>
      <c r="U3" s="29"/>
      <c r="V3" s="29"/>
      <c r="W3" s="30"/>
      <c r="X3" s="31">
        <v>43251</v>
      </c>
      <c r="Y3" s="32"/>
      <c r="Z3" s="32"/>
      <c r="AA3" s="32"/>
      <c r="AB3" s="32"/>
      <c r="AC3" s="32"/>
      <c r="AD3" s="32"/>
      <c r="AE3" s="32"/>
      <c r="AF3" s="32"/>
      <c r="AG3" s="32"/>
      <c r="AH3" s="33"/>
    </row>
    <row r="4" spans="1:34" ht="19.5" customHeight="1">
      <c r="A4" s="34" t="s">
        <v>7</v>
      </c>
      <c r="B4" s="35"/>
      <c r="C4" s="35"/>
      <c r="D4" s="35"/>
      <c r="E4" s="35"/>
      <c r="F4" s="35"/>
      <c r="G4" s="36" t="s">
        <v>84</v>
      </c>
      <c r="H4" s="37"/>
      <c r="I4" s="37"/>
      <c r="J4" s="37"/>
      <c r="K4" s="37"/>
      <c r="L4" s="37"/>
      <c r="M4" s="37"/>
      <c r="N4" s="37"/>
      <c r="O4" s="37"/>
      <c r="P4" s="37"/>
      <c r="Q4" s="38"/>
      <c r="R4" s="39" t="s">
        <v>8</v>
      </c>
      <c r="S4" s="40"/>
      <c r="T4" s="40"/>
      <c r="U4" s="40"/>
      <c r="V4" s="40"/>
      <c r="W4" s="41"/>
      <c r="X4" s="42" t="s">
        <v>9</v>
      </c>
      <c r="Y4" s="43"/>
      <c r="Z4" s="43"/>
      <c r="AA4" s="43"/>
      <c r="AB4" s="43"/>
      <c r="AC4" s="43"/>
      <c r="AD4" s="43"/>
      <c r="AE4" s="43"/>
      <c r="AF4" s="43"/>
      <c r="AG4" s="43"/>
      <c r="AH4" s="44"/>
    </row>
    <row r="5" spans="1:34" ht="19.5" customHeight="1">
      <c r="A5" s="65" t="s">
        <v>10</v>
      </c>
      <c r="B5" s="66"/>
      <c r="C5" s="66"/>
      <c r="D5" s="66"/>
      <c r="E5" s="66"/>
      <c r="F5" s="67"/>
      <c r="G5" s="68" t="s">
        <v>80</v>
      </c>
      <c r="H5" s="68"/>
      <c r="I5" s="68"/>
      <c r="J5" s="68"/>
      <c r="K5" s="68"/>
      <c r="L5" s="68"/>
      <c r="M5" s="68"/>
      <c r="N5" s="68"/>
      <c r="O5" s="68"/>
      <c r="P5" s="68"/>
      <c r="Q5" s="68"/>
      <c r="R5" s="69" t="s">
        <v>11</v>
      </c>
      <c r="S5" s="69"/>
      <c r="T5" s="69"/>
      <c r="U5" s="69"/>
      <c r="V5" s="69"/>
      <c r="W5" s="69"/>
      <c r="X5" s="70" t="s">
        <v>104</v>
      </c>
      <c r="Y5" s="71"/>
      <c r="Z5" s="72">
        <v>10</v>
      </c>
      <c r="AA5" s="73"/>
      <c r="AB5" s="73"/>
      <c r="AC5" s="73"/>
      <c r="AD5" s="74" t="s">
        <v>32</v>
      </c>
      <c r="AE5" s="74"/>
      <c r="AF5" s="74"/>
      <c r="AG5" s="74"/>
      <c r="AH5" s="75"/>
    </row>
    <row r="6" spans="1:34" ht="15.75" thickBo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4"/>
    </row>
    <row r="7" spans="1:34" ht="15" customHeight="1">
      <c r="A7" s="2"/>
      <c r="B7" s="57" t="s">
        <v>14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9"/>
      <c r="AH7" s="4"/>
    </row>
    <row r="8" spans="1:34" ht="15" customHeight="1">
      <c r="A8" s="2"/>
      <c r="B8" s="60" t="s">
        <v>15</v>
      </c>
      <c r="C8" s="61"/>
      <c r="D8" s="61"/>
      <c r="E8" s="61"/>
      <c r="F8" s="61"/>
      <c r="G8" s="61"/>
      <c r="H8" s="61"/>
      <c r="I8" s="62" t="s">
        <v>3</v>
      </c>
      <c r="J8" s="62"/>
      <c r="K8" s="62"/>
      <c r="L8" s="62"/>
      <c r="M8" s="62"/>
      <c r="N8" s="62"/>
      <c r="O8" s="61" t="s">
        <v>16</v>
      </c>
      <c r="P8" s="61"/>
      <c r="Q8" s="61"/>
      <c r="R8" s="61"/>
      <c r="S8" s="61"/>
      <c r="T8" s="61"/>
      <c r="U8" s="61"/>
      <c r="V8" s="63" t="s">
        <v>17</v>
      </c>
      <c r="W8" s="63"/>
      <c r="X8" s="63"/>
      <c r="Y8" s="63"/>
      <c r="Z8" s="63"/>
      <c r="AA8" s="63"/>
      <c r="AB8" s="63" t="s">
        <v>18</v>
      </c>
      <c r="AC8" s="63"/>
      <c r="AD8" s="63"/>
      <c r="AE8" s="63"/>
      <c r="AF8" s="63"/>
      <c r="AG8" s="64"/>
      <c r="AH8" s="4"/>
    </row>
    <row r="9" spans="1:34" ht="19.5" customHeight="1">
      <c r="A9" s="2"/>
      <c r="B9" s="76" t="s">
        <v>19</v>
      </c>
      <c r="C9" s="77"/>
      <c r="D9" s="77"/>
      <c r="E9" s="77"/>
      <c r="F9" s="77"/>
      <c r="G9" s="77"/>
      <c r="H9" s="77"/>
      <c r="I9" s="78" t="s">
        <v>109</v>
      </c>
      <c r="J9" s="78"/>
      <c r="K9" s="78"/>
      <c r="L9" s="78"/>
      <c r="M9" s="78"/>
      <c r="N9" s="78"/>
      <c r="O9" s="78" t="s">
        <v>74</v>
      </c>
      <c r="P9" s="78"/>
      <c r="Q9" s="78"/>
      <c r="R9" s="78"/>
      <c r="S9" s="78"/>
      <c r="T9" s="78"/>
      <c r="U9" s="78"/>
      <c r="V9" s="78" t="s">
        <v>113</v>
      </c>
      <c r="W9" s="78"/>
      <c r="X9" s="78"/>
      <c r="Y9" s="78"/>
      <c r="Z9" s="78"/>
      <c r="AA9" s="78"/>
      <c r="AB9" s="314">
        <v>0</v>
      </c>
      <c r="AC9" s="314"/>
      <c r="AD9" s="314"/>
      <c r="AE9" s="314"/>
      <c r="AF9" s="314"/>
      <c r="AG9" s="315"/>
      <c r="AH9" s="4"/>
    </row>
    <row r="10" spans="1:34" ht="19.5" customHeight="1">
      <c r="A10" s="2"/>
      <c r="B10" s="81" t="s">
        <v>108</v>
      </c>
      <c r="C10" s="82"/>
      <c r="D10" s="82"/>
      <c r="E10" s="82"/>
      <c r="F10" s="82"/>
      <c r="G10" s="82"/>
      <c r="H10" s="82"/>
      <c r="I10" s="78" t="s">
        <v>110</v>
      </c>
      <c r="J10" s="78"/>
      <c r="K10" s="78"/>
      <c r="L10" s="78"/>
      <c r="M10" s="78"/>
      <c r="N10" s="78"/>
      <c r="O10" s="78" t="s">
        <v>74</v>
      </c>
      <c r="P10" s="78"/>
      <c r="Q10" s="78"/>
      <c r="R10" s="78"/>
      <c r="S10" s="78"/>
      <c r="T10" s="78"/>
      <c r="U10" s="78"/>
      <c r="V10" s="78" t="s">
        <v>116</v>
      </c>
      <c r="W10" s="78"/>
      <c r="X10" s="78"/>
      <c r="Y10" s="78"/>
      <c r="Z10" s="78"/>
      <c r="AA10" s="78"/>
      <c r="AB10" s="83">
        <v>9.1509999999999994E-2</v>
      </c>
      <c r="AC10" s="83"/>
      <c r="AD10" s="83"/>
      <c r="AE10" s="83"/>
      <c r="AF10" s="83"/>
      <c r="AG10" s="84"/>
      <c r="AH10" s="4"/>
    </row>
    <row r="11" spans="1:34" ht="19.5" customHeight="1" thickBot="1">
      <c r="A11" s="2"/>
      <c r="B11" s="94" t="s">
        <v>21</v>
      </c>
      <c r="C11" s="95"/>
      <c r="D11" s="95"/>
      <c r="E11" s="95"/>
      <c r="F11" s="95"/>
      <c r="G11" s="95"/>
      <c r="H11" s="95"/>
      <c r="I11" s="96" t="s">
        <v>110</v>
      </c>
      <c r="J11" s="96"/>
      <c r="K11" s="96"/>
      <c r="L11" s="96"/>
      <c r="M11" s="96"/>
      <c r="N11" s="96"/>
      <c r="O11" s="96" t="s">
        <v>74</v>
      </c>
      <c r="P11" s="96"/>
      <c r="Q11" s="96"/>
      <c r="R11" s="96"/>
      <c r="S11" s="96"/>
      <c r="T11" s="96"/>
      <c r="U11" s="96"/>
      <c r="V11" s="97" t="s">
        <v>116</v>
      </c>
      <c r="W11" s="98"/>
      <c r="X11" s="98"/>
      <c r="Y11" s="98"/>
      <c r="Z11" s="98"/>
      <c r="AA11" s="99"/>
      <c r="AB11" s="100">
        <v>9.1509999999999994E-2</v>
      </c>
      <c r="AC11" s="101"/>
      <c r="AD11" s="101"/>
      <c r="AE11" s="101"/>
      <c r="AF11" s="101"/>
      <c r="AG11" s="102"/>
      <c r="AH11" s="4"/>
    </row>
    <row r="12" spans="1:34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4"/>
    </row>
    <row r="13" spans="1:34" ht="21" customHeight="1">
      <c r="A13" s="2"/>
      <c r="B13" s="89" t="s">
        <v>22</v>
      </c>
      <c r="C13" s="89"/>
      <c r="D13" s="89"/>
      <c r="E13" s="89"/>
      <c r="F13" s="103" t="s">
        <v>3</v>
      </c>
      <c r="G13" s="89"/>
      <c r="H13" s="89"/>
      <c r="I13" s="89"/>
      <c r="J13" s="89"/>
      <c r="K13" s="89"/>
      <c r="L13" s="78" t="s">
        <v>112</v>
      </c>
      <c r="M13" s="78"/>
      <c r="N13" s="78"/>
      <c r="O13" s="78"/>
      <c r="P13" s="78"/>
      <c r="Q13" s="78"/>
      <c r="R13" s="78"/>
      <c r="S13" s="78"/>
      <c r="T13" s="89" t="s">
        <v>7</v>
      </c>
      <c r="U13" s="89"/>
      <c r="V13" s="89"/>
      <c r="W13" s="89"/>
      <c r="X13" s="89"/>
      <c r="Y13" s="89"/>
      <c r="Z13" s="78">
        <v>93310021</v>
      </c>
      <c r="AA13" s="78"/>
      <c r="AB13" s="78"/>
      <c r="AC13" s="78"/>
      <c r="AD13" s="78"/>
      <c r="AE13" s="78"/>
      <c r="AF13" s="78"/>
      <c r="AG13" s="78"/>
      <c r="AH13" s="4"/>
    </row>
    <row r="14" spans="1:34" ht="21" customHeight="1">
      <c r="A14" s="2"/>
      <c r="B14" s="89"/>
      <c r="C14" s="89"/>
      <c r="D14" s="89"/>
      <c r="E14" s="89"/>
      <c r="F14" s="85" t="s">
        <v>5</v>
      </c>
      <c r="G14" s="85"/>
      <c r="H14" s="85"/>
      <c r="I14" s="85"/>
      <c r="J14" s="85"/>
      <c r="K14" s="85"/>
      <c r="L14" s="86" t="s">
        <v>75</v>
      </c>
      <c r="M14" s="87"/>
      <c r="N14" s="87"/>
      <c r="O14" s="87"/>
      <c r="P14" s="87"/>
      <c r="Q14" s="87"/>
      <c r="R14" s="87"/>
      <c r="S14" s="88"/>
      <c r="T14" s="89" t="s">
        <v>6</v>
      </c>
      <c r="U14" s="89"/>
      <c r="V14" s="89"/>
      <c r="W14" s="89"/>
      <c r="X14" s="89"/>
      <c r="Y14" s="89"/>
      <c r="Z14" s="90">
        <v>43008</v>
      </c>
      <c r="AA14" s="90"/>
      <c r="AB14" s="90"/>
      <c r="AC14" s="90"/>
      <c r="AD14" s="90"/>
      <c r="AE14" s="90"/>
      <c r="AF14" s="90"/>
      <c r="AG14" s="90"/>
      <c r="AH14" s="4"/>
    </row>
    <row r="15" spans="1:34" ht="17.25" customHeight="1">
      <c r="A15" s="2"/>
      <c r="B15" s="89" t="s">
        <v>23</v>
      </c>
      <c r="C15" s="89"/>
      <c r="D15" s="89"/>
      <c r="E15" s="89"/>
      <c r="F15" s="89"/>
      <c r="G15" s="89"/>
      <c r="H15" s="89"/>
      <c r="I15" s="89"/>
      <c r="J15" s="89"/>
      <c r="K15" s="89"/>
      <c r="L15" s="91">
        <v>15170</v>
      </c>
      <c r="M15" s="92"/>
      <c r="N15" s="92"/>
      <c r="O15" s="92"/>
      <c r="P15" s="92"/>
      <c r="Q15" s="92"/>
      <c r="R15" s="92"/>
      <c r="S15" s="93"/>
      <c r="T15" s="5"/>
      <c r="U15" s="5"/>
      <c r="V15" s="5"/>
      <c r="W15" s="5"/>
      <c r="X15" s="5"/>
      <c r="Y15" s="5"/>
      <c r="Z15" s="6"/>
      <c r="AA15" s="6"/>
      <c r="AB15" s="6"/>
      <c r="AC15" s="6"/>
      <c r="AD15" s="6"/>
      <c r="AE15" s="6"/>
      <c r="AF15" s="6"/>
      <c r="AG15" s="6"/>
      <c r="AH15" s="4"/>
    </row>
    <row r="16" spans="1:34" ht="5.25" customHeight="1">
      <c r="A16" s="2"/>
      <c r="B16" s="5"/>
      <c r="C16" s="5"/>
      <c r="D16" s="5"/>
      <c r="E16" s="5"/>
      <c r="F16" s="5"/>
      <c r="G16" s="5"/>
      <c r="H16" s="5"/>
      <c r="I16" s="5"/>
      <c r="J16" s="5"/>
      <c r="K16" s="5"/>
      <c r="L16" s="3"/>
      <c r="M16" s="3"/>
      <c r="N16" s="3"/>
      <c r="O16" s="3"/>
      <c r="P16" s="3"/>
      <c r="Q16" s="3"/>
      <c r="R16" s="3"/>
      <c r="S16" s="3"/>
      <c r="T16" s="5"/>
      <c r="U16" s="5"/>
      <c r="V16" s="5"/>
      <c r="W16" s="5"/>
      <c r="X16" s="5"/>
      <c r="Y16" s="5"/>
      <c r="Z16" s="3"/>
      <c r="AA16" s="3"/>
      <c r="AB16" s="3"/>
      <c r="AC16" s="3"/>
      <c r="AD16" s="3"/>
      <c r="AE16" s="3"/>
      <c r="AF16" s="3"/>
      <c r="AG16" s="3"/>
      <c r="AH16" s="4"/>
    </row>
    <row r="17" spans="1:34">
      <c r="A17" s="2"/>
      <c r="B17" s="7" t="s">
        <v>24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4"/>
    </row>
    <row r="18" spans="1:34" ht="7.5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4"/>
    </row>
    <row r="19" spans="1:34" ht="15" customHeight="1">
      <c r="A19" s="2"/>
      <c r="B19" s="118" t="s">
        <v>10</v>
      </c>
      <c r="C19" s="119"/>
      <c r="D19" s="119"/>
      <c r="E19" s="119"/>
      <c r="F19" s="119"/>
      <c r="G19" s="119"/>
      <c r="H19" s="119"/>
      <c r="I19" s="119"/>
      <c r="J19" s="119"/>
      <c r="K19" s="120"/>
      <c r="L19" s="89" t="s">
        <v>90</v>
      </c>
      <c r="M19" s="89"/>
      <c r="N19" s="89"/>
      <c r="O19" s="89"/>
      <c r="P19" s="89"/>
      <c r="Q19" s="89"/>
      <c r="R19" s="89"/>
      <c r="S19" s="89"/>
      <c r="T19" s="89"/>
      <c r="U19" s="89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4"/>
    </row>
    <row r="20" spans="1:34" ht="15" customHeight="1">
      <c r="A20" s="2"/>
      <c r="B20" s="121" t="s">
        <v>25</v>
      </c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3"/>
      <c r="V20" s="124" t="s">
        <v>26</v>
      </c>
      <c r="W20" s="125"/>
      <c r="X20" s="125"/>
      <c r="Y20" s="125"/>
      <c r="Z20" s="125"/>
      <c r="AA20" s="125"/>
      <c r="AB20" s="125"/>
      <c r="AC20" s="125"/>
      <c r="AD20" s="125"/>
      <c r="AE20" s="126"/>
      <c r="AF20" s="3"/>
      <c r="AG20" s="3"/>
      <c r="AH20" s="4"/>
    </row>
    <row r="21" spans="1:34" ht="15" customHeight="1">
      <c r="A21" s="2"/>
      <c r="B21" s="130" t="s">
        <v>27</v>
      </c>
      <c r="C21" s="131"/>
      <c r="D21" s="131"/>
      <c r="E21" s="131"/>
      <c r="F21" s="131"/>
      <c r="G21" s="131"/>
      <c r="H21" s="131"/>
      <c r="I21" s="131"/>
      <c r="J21" s="131"/>
      <c r="K21" s="131"/>
      <c r="L21" s="131" t="s">
        <v>28</v>
      </c>
      <c r="M21" s="131"/>
      <c r="N21" s="131"/>
      <c r="O21" s="131"/>
      <c r="P21" s="131"/>
      <c r="Q21" s="131"/>
      <c r="R21" s="131"/>
      <c r="S21" s="131"/>
      <c r="T21" s="131"/>
      <c r="U21" s="132"/>
      <c r="V21" s="127"/>
      <c r="W21" s="128"/>
      <c r="X21" s="128"/>
      <c r="Y21" s="128"/>
      <c r="Z21" s="128"/>
      <c r="AA21" s="128"/>
      <c r="AB21" s="128"/>
      <c r="AC21" s="128"/>
      <c r="AD21" s="128"/>
      <c r="AE21" s="129"/>
      <c r="AF21" s="3"/>
      <c r="AG21" s="3"/>
      <c r="AH21" s="4"/>
    </row>
    <row r="22" spans="1:34">
      <c r="A22" s="2"/>
      <c r="B22" s="104" t="s">
        <v>29</v>
      </c>
      <c r="C22" s="105"/>
      <c r="D22" s="105"/>
      <c r="E22" s="105"/>
      <c r="F22" s="105"/>
      <c r="G22" s="105"/>
      <c r="H22" s="105"/>
      <c r="I22" s="105"/>
      <c r="J22" s="105"/>
      <c r="K22" s="105"/>
      <c r="L22" s="105" t="s">
        <v>30</v>
      </c>
      <c r="M22" s="105"/>
      <c r="N22" s="105"/>
      <c r="O22" s="105"/>
      <c r="P22" s="105"/>
      <c r="Q22" s="105"/>
      <c r="R22" s="105"/>
      <c r="S22" s="105"/>
      <c r="T22" s="105"/>
      <c r="U22" s="106"/>
      <c r="V22" s="107" t="s">
        <v>31</v>
      </c>
      <c r="W22" s="108"/>
      <c r="X22" s="108"/>
      <c r="Y22" s="108"/>
      <c r="Z22" s="108"/>
      <c r="AA22" s="108"/>
      <c r="AB22" s="108"/>
      <c r="AC22" s="108"/>
      <c r="AD22" s="108"/>
      <c r="AE22" s="109"/>
      <c r="AF22" s="3"/>
      <c r="AG22" s="3"/>
      <c r="AH22" s="4"/>
    </row>
    <row r="23" spans="1:34" ht="21" customHeight="1">
      <c r="A23" s="2"/>
      <c r="B23" s="110">
        <v>9.18</v>
      </c>
      <c r="C23" s="111"/>
      <c r="D23" s="111"/>
      <c r="E23" s="111"/>
      <c r="F23" s="111"/>
      <c r="G23" s="111"/>
      <c r="H23" s="111"/>
      <c r="I23" s="111"/>
      <c r="J23" s="111"/>
      <c r="K23" s="111"/>
      <c r="L23" s="112">
        <v>9.16</v>
      </c>
      <c r="M23" s="112"/>
      <c r="N23" s="112"/>
      <c r="O23" s="112"/>
      <c r="P23" s="112"/>
      <c r="Q23" s="112"/>
      <c r="R23" s="112"/>
      <c r="S23" s="112"/>
      <c r="T23" s="112"/>
      <c r="U23" s="113"/>
      <c r="V23" s="114">
        <f>B23/L23*100</f>
        <v>100.21834061135371</v>
      </c>
      <c r="W23" s="115"/>
      <c r="X23" s="115"/>
      <c r="Y23" s="115"/>
      <c r="Z23" s="115"/>
      <c r="AA23" s="115"/>
      <c r="AB23" s="115"/>
      <c r="AC23" s="115"/>
      <c r="AD23" s="116" t="s">
        <v>32</v>
      </c>
      <c r="AE23" s="117"/>
      <c r="AF23" s="3"/>
      <c r="AG23" s="3"/>
      <c r="AH23" s="4"/>
    </row>
    <row r="24" spans="1:34" ht="7.5" customHeight="1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4"/>
    </row>
    <row r="25" spans="1:34" ht="15" customHeight="1">
      <c r="A25" s="2"/>
      <c r="B25" s="118" t="s">
        <v>10</v>
      </c>
      <c r="C25" s="119"/>
      <c r="D25" s="119"/>
      <c r="E25" s="119"/>
      <c r="F25" s="119"/>
      <c r="G25" s="119"/>
      <c r="H25" s="119"/>
      <c r="I25" s="119"/>
      <c r="J25" s="119"/>
      <c r="K25" s="120"/>
      <c r="L25" s="89" t="s">
        <v>82</v>
      </c>
      <c r="M25" s="89"/>
      <c r="N25" s="89"/>
      <c r="O25" s="89"/>
      <c r="P25" s="89"/>
      <c r="Q25" s="89"/>
      <c r="R25" s="89"/>
      <c r="S25" s="89"/>
      <c r="T25" s="89"/>
      <c r="U25" s="89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4"/>
    </row>
    <row r="26" spans="1:34" ht="15" customHeight="1">
      <c r="A26" s="2"/>
      <c r="B26" s="138" t="s">
        <v>25</v>
      </c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3"/>
      <c r="V26" s="124" t="s">
        <v>26</v>
      </c>
      <c r="W26" s="125"/>
      <c r="X26" s="125"/>
      <c r="Y26" s="125"/>
      <c r="Z26" s="125"/>
      <c r="AA26" s="125"/>
      <c r="AB26" s="125"/>
      <c r="AC26" s="125"/>
      <c r="AD26" s="125"/>
      <c r="AE26" s="126"/>
      <c r="AF26" s="3"/>
      <c r="AG26" s="3"/>
      <c r="AH26" s="4"/>
    </row>
    <row r="27" spans="1:34" ht="15" customHeight="1">
      <c r="A27" s="2"/>
      <c r="B27" s="130" t="s">
        <v>34</v>
      </c>
      <c r="C27" s="131"/>
      <c r="D27" s="131"/>
      <c r="E27" s="131"/>
      <c r="F27" s="131"/>
      <c r="G27" s="131"/>
      <c r="H27" s="131"/>
      <c r="I27" s="131"/>
      <c r="J27" s="131"/>
      <c r="K27" s="131"/>
      <c r="L27" s="131" t="s">
        <v>35</v>
      </c>
      <c r="M27" s="131"/>
      <c r="N27" s="131"/>
      <c r="O27" s="131"/>
      <c r="P27" s="131"/>
      <c r="Q27" s="131"/>
      <c r="R27" s="131"/>
      <c r="S27" s="131"/>
      <c r="T27" s="131"/>
      <c r="U27" s="132"/>
      <c r="V27" s="127"/>
      <c r="W27" s="128"/>
      <c r="X27" s="128"/>
      <c r="Y27" s="128"/>
      <c r="Z27" s="128"/>
      <c r="AA27" s="128"/>
      <c r="AB27" s="128"/>
      <c r="AC27" s="128"/>
      <c r="AD27" s="128"/>
      <c r="AE27" s="129"/>
      <c r="AF27" s="3"/>
      <c r="AG27" s="3"/>
      <c r="AH27" s="4"/>
    </row>
    <row r="28" spans="1:34" ht="15" customHeight="1">
      <c r="A28" s="2"/>
      <c r="B28" s="104" t="s">
        <v>29</v>
      </c>
      <c r="C28" s="105"/>
      <c r="D28" s="105"/>
      <c r="E28" s="105"/>
      <c r="F28" s="105"/>
      <c r="G28" s="105"/>
      <c r="H28" s="105"/>
      <c r="I28" s="105"/>
      <c r="J28" s="105"/>
      <c r="K28" s="105"/>
      <c r="L28" s="105" t="s">
        <v>30</v>
      </c>
      <c r="M28" s="105"/>
      <c r="N28" s="105"/>
      <c r="O28" s="105"/>
      <c r="P28" s="105"/>
      <c r="Q28" s="105"/>
      <c r="R28" s="105"/>
      <c r="S28" s="105"/>
      <c r="T28" s="105"/>
      <c r="U28" s="106"/>
      <c r="V28" s="107" t="s">
        <v>31</v>
      </c>
      <c r="W28" s="108"/>
      <c r="X28" s="108"/>
      <c r="Y28" s="108"/>
      <c r="Z28" s="108"/>
      <c r="AA28" s="108"/>
      <c r="AB28" s="108"/>
      <c r="AC28" s="108"/>
      <c r="AD28" s="108"/>
      <c r="AE28" s="109"/>
      <c r="AF28" s="3"/>
      <c r="AG28" s="3"/>
      <c r="AH28" s="4"/>
    </row>
    <row r="29" spans="1:34" ht="21" customHeight="1">
      <c r="A29" s="2"/>
      <c r="B29" s="133"/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5"/>
      <c r="V29" s="136"/>
      <c r="W29" s="137"/>
      <c r="X29" s="137"/>
      <c r="Y29" s="137"/>
      <c r="Z29" s="137"/>
      <c r="AA29" s="137"/>
      <c r="AB29" s="137"/>
      <c r="AC29" s="137"/>
      <c r="AD29" s="137" t="s">
        <v>32</v>
      </c>
      <c r="AE29" s="103"/>
      <c r="AF29" s="3"/>
      <c r="AG29" s="3"/>
      <c r="AH29" s="4"/>
    </row>
    <row r="30" spans="1:34" ht="7.5" customHeight="1">
      <c r="A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4"/>
    </row>
    <row r="31" spans="1:34" ht="21" customHeight="1">
      <c r="A31" s="2"/>
      <c r="B31" s="136" t="s">
        <v>36</v>
      </c>
      <c r="C31" s="137"/>
      <c r="D31" s="137"/>
      <c r="E31" s="137"/>
      <c r="F31" s="103"/>
      <c r="G31" s="8"/>
      <c r="H31" s="137" t="s">
        <v>37</v>
      </c>
      <c r="I31" s="137"/>
      <c r="J31" s="137"/>
      <c r="K31" s="137"/>
      <c r="L31" s="137" t="s">
        <v>38</v>
      </c>
      <c r="M31" s="137"/>
      <c r="N31" s="137"/>
      <c r="O31" s="137"/>
      <c r="P31" s="9"/>
      <c r="Q31" s="118" t="s">
        <v>39</v>
      </c>
      <c r="R31" s="119"/>
      <c r="S31" s="119"/>
      <c r="T31" s="119"/>
      <c r="U31" s="120"/>
      <c r="V31" s="136" t="s">
        <v>40</v>
      </c>
      <c r="W31" s="137"/>
      <c r="X31" s="137"/>
      <c r="Y31" s="137"/>
      <c r="Z31" s="137"/>
      <c r="AA31" s="137"/>
      <c r="AB31" s="137"/>
      <c r="AC31" s="137"/>
      <c r="AD31" s="137"/>
      <c r="AE31" s="103"/>
      <c r="AF31" s="3"/>
      <c r="AG31" s="3"/>
      <c r="AH31" s="4"/>
    </row>
    <row r="32" spans="1:34">
      <c r="A32" s="2"/>
      <c r="C32" s="148" t="s">
        <v>41</v>
      </c>
      <c r="D32" s="148"/>
      <c r="E32" s="148"/>
      <c r="F32" s="148"/>
      <c r="G32" s="10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4"/>
    </row>
    <row r="33" spans="1:34">
      <c r="A33" s="2"/>
      <c r="C33" s="149"/>
      <c r="D33" s="149"/>
      <c r="E33" s="149"/>
      <c r="F33" s="149"/>
      <c r="G33" s="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4"/>
    </row>
    <row r="34" spans="1:34">
      <c r="A34" s="2"/>
      <c r="B34" s="3"/>
      <c r="C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4"/>
    </row>
    <row r="35" spans="1:34">
      <c r="A35" s="2"/>
      <c r="B35" s="11" t="s">
        <v>42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4"/>
    </row>
    <row r="36" spans="1:34" ht="7.5" customHeight="1">
      <c r="A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4"/>
    </row>
    <row r="37" spans="1:34" ht="15" customHeight="1">
      <c r="A37" s="2"/>
      <c r="B37" s="138" t="s">
        <v>43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3"/>
      <c r="V37" s="139" t="s">
        <v>44</v>
      </c>
      <c r="W37" s="140"/>
      <c r="X37" s="140"/>
      <c r="Y37" s="140"/>
      <c r="Z37" s="140"/>
      <c r="AA37" s="140"/>
      <c r="AB37" s="140"/>
      <c r="AC37" s="140"/>
      <c r="AD37" s="140"/>
      <c r="AE37" s="141"/>
      <c r="AF37" s="3"/>
      <c r="AG37" s="3"/>
      <c r="AH37" s="4"/>
    </row>
    <row r="38" spans="1:34" ht="15" customHeight="1">
      <c r="A38" s="2"/>
      <c r="B38" s="130" t="s">
        <v>18</v>
      </c>
      <c r="C38" s="131"/>
      <c r="D38" s="131"/>
      <c r="E38" s="131"/>
      <c r="F38" s="131"/>
      <c r="G38" s="131"/>
      <c r="H38" s="131"/>
      <c r="I38" s="131"/>
      <c r="J38" s="131"/>
      <c r="K38" s="131"/>
      <c r="L38" s="131" t="s">
        <v>45</v>
      </c>
      <c r="M38" s="131"/>
      <c r="N38" s="131"/>
      <c r="O38" s="131"/>
      <c r="P38" s="131"/>
      <c r="Q38" s="131"/>
      <c r="R38" s="131"/>
      <c r="S38" s="131"/>
      <c r="T38" s="131"/>
      <c r="U38" s="132"/>
      <c r="V38" s="142"/>
      <c r="W38" s="143"/>
      <c r="X38" s="143"/>
      <c r="Y38" s="143"/>
      <c r="Z38" s="143"/>
      <c r="AA38" s="143"/>
      <c r="AB38" s="143"/>
      <c r="AC38" s="143"/>
      <c r="AD38" s="143"/>
      <c r="AE38" s="144"/>
      <c r="AF38" s="3"/>
      <c r="AG38" s="3"/>
      <c r="AH38" s="4"/>
    </row>
    <row r="39" spans="1:34" ht="15" customHeight="1">
      <c r="A39" s="2"/>
      <c r="B39" s="145" t="s">
        <v>46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 t="s">
        <v>47</v>
      </c>
      <c r="M39" s="146"/>
      <c r="N39" s="146"/>
      <c r="O39" s="146"/>
      <c r="P39" s="146"/>
      <c r="Q39" s="146"/>
      <c r="R39" s="146"/>
      <c r="S39" s="146"/>
      <c r="T39" s="146"/>
      <c r="U39" s="147"/>
      <c r="V39" s="145" t="s">
        <v>31</v>
      </c>
      <c r="W39" s="146"/>
      <c r="X39" s="146"/>
      <c r="Y39" s="146"/>
      <c r="Z39" s="146"/>
      <c r="AA39" s="146"/>
      <c r="AB39" s="146"/>
      <c r="AC39" s="146"/>
      <c r="AD39" s="146"/>
      <c r="AE39" s="147"/>
      <c r="AF39" s="3"/>
      <c r="AG39" s="3"/>
      <c r="AH39" s="4"/>
    </row>
    <row r="40" spans="1:34" ht="21" customHeight="1">
      <c r="A40" s="2"/>
      <c r="B40" s="110">
        <v>9.15</v>
      </c>
      <c r="C40" s="111"/>
      <c r="D40" s="111"/>
      <c r="E40" s="111"/>
      <c r="F40" s="111"/>
      <c r="G40" s="111"/>
      <c r="H40" s="111"/>
      <c r="I40" s="111"/>
      <c r="J40" s="111"/>
      <c r="K40" s="111"/>
      <c r="L40" s="111">
        <v>9.14</v>
      </c>
      <c r="M40" s="111"/>
      <c r="N40" s="111"/>
      <c r="O40" s="111"/>
      <c r="P40" s="111"/>
      <c r="Q40" s="111"/>
      <c r="R40" s="111"/>
      <c r="S40" s="111"/>
      <c r="T40" s="111"/>
      <c r="U40" s="191"/>
      <c r="V40" s="192">
        <f>100*(L40-B40)/Z5</f>
        <v>-9.9999999999997868E-2</v>
      </c>
      <c r="W40" s="193"/>
      <c r="X40" s="193"/>
      <c r="Y40" s="193"/>
      <c r="Z40" s="193"/>
      <c r="AA40" s="193"/>
      <c r="AB40" s="193"/>
      <c r="AC40" s="194"/>
      <c r="AD40" s="195" t="s">
        <v>32</v>
      </c>
      <c r="AE40" s="196"/>
      <c r="AF40" s="3"/>
      <c r="AG40" s="3"/>
      <c r="AH40" s="4"/>
    </row>
    <row r="41" spans="1:34" ht="21" customHeight="1">
      <c r="A41" s="2"/>
      <c r="B41" s="136" t="s">
        <v>36</v>
      </c>
      <c r="C41" s="137"/>
      <c r="D41" s="137"/>
      <c r="E41" s="137"/>
      <c r="F41" s="103"/>
      <c r="G41" s="8"/>
      <c r="H41" s="137" t="s">
        <v>37</v>
      </c>
      <c r="I41" s="137"/>
      <c r="J41" s="137"/>
      <c r="K41" s="137"/>
      <c r="L41" s="137" t="s">
        <v>38</v>
      </c>
      <c r="M41" s="137"/>
      <c r="N41" s="137"/>
      <c r="O41" s="137"/>
      <c r="P41" s="9"/>
      <c r="Q41" s="118" t="s">
        <v>39</v>
      </c>
      <c r="R41" s="119"/>
      <c r="S41" s="119"/>
      <c r="T41" s="119"/>
      <c r="U41" s="120"/>
      <c r="V41" s="136" t="s">
        <v>48</v>
      </c>
      <c r="W41" s="137"/>
      <c r="X41" s="137"/>
      <c r="Y41" s="137"/>
      <c r="Z41" s="137"/>
      <c r="AA41" s="137"/>
      <c r="AB41" s="137"/>
      <c r="AC41" s="137"/>
      <c r="AD41" s="137"/>
      <c r="AE41" s="103"/>
      <c r="AF41" s="3"/>
      <c r="AG41" s="3"/>
      <c r="AH41" s="4"/>
    </row>
    <row r="42" spans="1:34">
      <c r="A42" s="2"/>
      <c r="B42" s="150" t="s">
        <v>41</v>
      </c>
      <c r="C42" s="150"/>
      <c r="D42" s="150"/>
      <c r="E42" s="150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4"/>
    </row>
    <row r="43" spans="1:34" ht="15.75" thickBot="1">
      <c r="A43" s="2"/>
      <c r="B43" s="150"/>
      <c r="C43" s="150"/>
      <c r="D43" s="150"/>
      <c r="E43" s="150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4"/>
    </row>
    <row r="44" spans="1:34" ht="10.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151" t="s">
        <v>49</v>
      </c>
      <c r="Z44" s="152"/>
      <c r="AA44" s="152"/>
      <c r="AB44" s="152"/>
      <c r="AC44" s="153"/>
      <c r="AD44" s="157" t="s">
        <v>50</v>
      </c>
      <c r="AE44" s="157"/>
      <c r="AF44" s="157"/>
      <c r="AG44" s="157"/>
      <c r="AH44" s="158"/>
    </row>
    <row r="45" spans="1:34" ht="15.75" thickBot="1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154"/>
      <c r="Z45" s="155"/>
      <c r="AA45" s="155"/>
      <c r="AB45" s="155"/>
      <c r="AC45" s="156"/>
      <c r="AD45" s="159"/>
      <c r="AE45" s="159"/>
      <c r="AF45" s="159"/>
      <c r="AG45" s="159"/>
      <c r="AH45" s="160"/>
    </row>
    <row r="46" spans="1:34" ht="15" customHeight="1">
      <c r="A46" s="2"/>
      <c r="B46" s="161" t="s">
        <v>51</v>
      </c>
      <c r="C46" s="162"/>
      <c r="D46" s="162"/>
      <c r="E46" s="162"/>
      <c r="F46" s="162"/>
      <c r="G46" s="163"/>
      <c r="H46" s="170" t="s">
        <v>37</v>
      </c>
      <c r="I46" s="171"/>
      <c r="J46" s="171"/>
      <c r="K46" s="171"/>
      <c r="L46" s="171"/>
      <c r="M46" s="172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176"/>
      <c r="Z46" s="177"/>
      <c r="AA46" s="177"/>
      <c r="AB46" s="177"/>
      <c r="AC46" s="178"/>
      <c r="AD46" s="183"/>
      <c r="AE46" s="184"/>
      <c r="AF46" s="184"/>
      <c r="AG46" s="184"/>
      <c r="AH46" s="185"/>
    </row>
    <row r="47" spans="1:34" ht="15" customHeight="1">
      <c r="A47" s="2"/>
      <c r="B47" s="164"/>
      <c r="C47" s="165"/>
      <c r="D47" s="165"/>
      <c r="E47" s="165"/>
      <c r="F47" s="165"/>
      <c r="G47" s="166"/>
      <c r="H47" s="173"/>
      <c r="I47" s="174"/>
      <c r="J47" s="174"/>
      <c r="K47" s="174"/>
      <c r="L47" s="174"/>
      <c r="M47" s="175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179"/>
      <c r="Z47" s="177"/>
      <c r="AA47" s="177"/>
      <c r="AB47" s="177"/>
      <c r="AC47" s="178"/>
      <c r="AD47" s="184"/>
      <c r="AE47" s="184"/>
      <c r="AF47" s="184"/>
      <c r="AG47" s="184"/>
      <c r="AH47" s="185"/>
    </row>
    <row r="48" spans="1:34" ht="15" customHeight="1">
      <c r="A48" s="2"/>
      <c r="B48" s="164"/>
      <c r="C48" s="165"/>
      <c r="D48" s="165"/>
      <c r="E48" s="165"/>
      <c r="F48" s="165"/>
      <c r="G48" s="166"/>
      <c r="H48" s="173" t="s">
        <v>38</v>
      </c>
      <c r="I48" s="174"/>
      <c r="J48" s="174"/>
      <c r="K48" s="174"/>
      <c r="L48" s="174"/>
      <c r="M48" s="175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179"/>
      <c r="Z48" s="177"/>
      <c r="AA48" s="177"/>
      <c r="AB48" s="177"/>
      <c r="AC48" s="178"/>
      <c r="AD48" s="184"/>
      <c r="AE48" s="184"/>
      <c r="AF48" s="184"/>
      <c r="AG48" s="184"/>
      <c r="AH48" s="185"/>
    </row>
    <row r="49" spans="1:34" ht="15" customHeight="1" thickBot="1">
      <c r="A49" s="2"/>
      <c r="B49" s="167"/>
      <c r="C49" s="168"/>
      <c r="D49" s="168"/>
      <c r="E49" s="168"/>
      <c r="F49" s="168"/>
      <c r="G49" s="169"/>
      <c r="H49" s="188"/>
      <c r="I49" s="189"/>
      <c r="J49" s="189"/>
      <c r="K49" s="189"/>
      <c r="L49" s="189"/>
      <c r="M49" s="190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179"/>
      <c r="Z49" s="177"/>
      <c r="AA49" s="177"/>
      <c r="AB49" s="177"/>
      <c r="AC49" s="178"/>
      <c r="AD49" s="184"/>
      <c r="AE49" s="184"/>
      <c r="AF49" s="184"/>
      <c r="AG49" s="184"/>
      <c r="AH49" s="185"/>
    </row>
    <row r="50" spans="1:34" ht="10.5" customHeight="1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180"/>
      <c r="Z50" s="181"/>
      <c r="AA50" s="181"/>
      <c r="AB50" s="181"/>
      <c r="AC50" s="182"/>
      <c r="AD50" s="186"/>
      <c r="AE50" s="186"/>
      <c r="AF50" s="186"/>
      <c r="AG50" s="186"/>
      <c r="AH50" s="187"/>
    </row>
    <row r="51" spans="1:34" s="13" customFormat="1" ht="22.5" customHeight="1" thickBot="1">
      <c r="A51" s="199" t="s">
        <v>76</v>
      </c>
      <c r="B51" s="200"/>
      <c r="C51" s="200"/>
      <c r="D51" s="200"/>
      <c r="E51" s="200" t="s">
        <v>52</v>
      </c>
      <c r="F51" s="200"/>
      <c r="G51" s="200"/>
      <c r="H51" s="200"/>
      <c r="I51" s="201"/>
      <c r="J51" s="202" t="s">
        <v>77</v>
      </c>
      <c r="K51" s="200"/>
      <c r="L51" s="200"/>
      <c r="M51" s="200"/>
      <c r="N51" s="200" t="s">
        <v>78</v>
      </c>
      <c r="O51" s="200"/>
      <c r="P51" s="200"/>
      <c r="Q51" s="201"/>
      <c r="R51" s="203"/>
      <c r="S51" s="204"/>
      <c r="T51" s="204"/>
      <c r="U51" s="204"/>
      <c r="V51" s="204"/>
      <c r="W51" s="204"/>
      <c r="X51" s="205"/>
      <c r="Y51" s="202" t="s">
        <v>79</v>
      </c>
      <c r="Z51" s="200"/>
      <c r="AA51" s="200"/>
      <c r="AB51" s="200"/>
      <c r="AC51" s="200"/>
      <c r="AD51" s="197">
        <v>41883</v>
      </c>
      <c r="AE51" s="197"/>
      <c r="AF51" s="197"/>
      <c r="AG51" s="197"/>
      <c r="AH51" s="198"/>
    </row>
    <row r="53" spans="1:34" ht="15.75" thickBot="1"/>
    <row r="54" spans="1:34" ht="27" customHeight="1">
      <c r="A54" s="45" t="s">
        <v>53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7"/>
      <c r="AD54" s="48" t="s">
        <v>54</v>
      </c>
      <c r="AE54" s="49"/>
      <c r="AF54" s="49"/>
      <c r="AG54" s="50" t="s">
        <v>2</v>
      </c>
      <c r="AH54" s="51"/>
    </row>
    <row r="55" spans="1:34" ht="19.5" customHeight="1">
      <c r="A55" s="52" t="s">
        <v>3</v>
      </c>
      <c r="B55" s="53"/>
      <c r="C55" s="53"/>
      <c r="D55" s="53"/>
      <c r="E55" s="53"/>
      <c r="F55" s="53"/>
      <c r="G55" s="54" t="s">
        <v>85</v>
      </c>
      <c r="H55" s="55"/>
      <c r="I55" s="55"/>
      <c r="J55" s="55"/>
      <c r="K55" s="55"/>
      <c r="L55" s="55"/>
      <c r="M55" s="55"/>
      <c r="N55" s="55"/>
      <c r="O55" s="55"/>
      <c r="P55" s="55"/>
      <c r="Q55" s="56"/>
      <c r="R55" s="28" t="s">
        <v>4</v>
      </c>
      <c r="S55" s="29"/>
      <c r="T55" s="29"/>
      <c r="U55" s="29"/>
      <c r="V55" s="29"/>
      <c r="W55" s="30"/>
      <c r="X55" s="31">
        <f>X2</f>
        <v>42886</v>
      </c>
      <c r="Y55" s="32"/>
      <c r="Z55" s="32"/>
      <c r="AA55" s="32"/>
      <c r="AB55" s="32"/>
      <c r="AC55" s="32"/>
      <c r="AD55" s="32"/>
      <c r="AE55" s="32"/>
      <c r="AF55" s="32"/>
      <c r="AG55" s="32"/>
      <c r="AH55" s="33"/>
    </row>
    <row r="56" spans="1:34" ht="19.5" customHeight="1">
      <c r="A56" s="34" t="s">
        <v>55</v>
      </c>
      <c r="B56" s="35"/>
      <c r="C56" s="35"/>
      <c r="D56" s="35"/>
      <c r="E56" s="35"/>
      <c r="F56" s="35"/>
      <c r="G56" s="25" t="s">
        <v>83</v>
      </c>
      <c r="H56" s="26"/>
      <c r="I56" s="26"/>
      <c r="J56" s="26"/>
      <c r="K56" s="26"/>
      <c r="L56" s="26"/>
      <c r="M56" s="26"/>
      <c r="N56" s="26"/>
      <c r="O56" s="26"/>
      <c r="P56" s="26"/>
      <c r="Q56" s="27"/>
      <c r="R56" s="28" t="s">
        <v>6</v>
      </c>
      <c r="S56" s="29"/>
      <c r="T56" s="29"/>
      <c r="U56" s="29"/>
      <c r="V56" s="29"/>
      <c r="W56" s="30"/>
      <c r="X56" s="31">
        <f>X3</f>
        <v>43251</v>
      </c>
      <c r="Y56" s="32"/>
      <c r="Z56" s="32"/>
      <c r="AA56" s="32"/>
      <c r="AB56" s="32"/>
      <c r="AC56" s="32"/>
      <c r="AD56" s="32"/>
      <c r="AE56" s="32"/>
      <c r="AF56" s="32"/>
      <c r="AG56" s="32"/>
      <c r="AH56" s="33"/>
    </row>
    <row r="57" spans="1:34" ht="19.5" customHeight="1">
      <c r="A57" s="34" t="s">
        <v>7</v>
      </c>
      <c r="B57" s="35"/>
      <c r="C57" s="35"/>
      <c r="D57" s="35"/>
      <c r="E57" s="35"/>
      <c r="F57" s="35"/>
      <c r="G57" s="36" t="s">
        <v>84</v>
      </c>
      <c r="H57" s="37"/>
      <c r="I57" s="37"/>
      <c r="J57" s="37"/>
      <c r="K57" s="37"/>
      <c r="L57" s="37"/>
      <c r="M57" s="37"/>
      <c r="N57" s="37"/>
      <c r="O57" s="37"/>
      <c r="P57" s="37"/>
      <c r="Q57" s="38"/>
      <c r="R57" s="39" t="s">
        <v>8</v>
      </c>
      <c r="S57" s="40"/>
      <c r="T57" s="40"/>
      <c r="U57" s="40"/>
      <c r="V57" s="40"/>
      <c r="W57" s="41"/>
      <c r="X57" s="42" t="s">
        <v>9</v>
      </c>
      <c r="Y57" s="43"/>
      <c r="Z57" s="43"/>
      <c r="AA57" s="43"/>
      <c r="AB57" s="43"/>
      <c r="AC57" s="43"/>
      <c r="AD57" s="43"/>
      <c r="AE57" s="43"/>
      <c r="AF57" s="43"/>
      <c r="AG57" s="43"/>
      <c r="AH57" s="44"/>
    </row>
    <row r="58" spans="1:34" ht="19.5" customHeight="1">
      <c r="A58" s="65" t="s">
        <v>10</v>
      </c>
      <c r="B58" s="66"/>
      <c r="C58" s="66"/>
      <c r="D58" s="66"/>
      <c r="E58" s="66"/>
      <c r="F58" s="67"/>
      <c r="G58" s="68" t="s">
        <v>80</v>
      </c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9" t="s">
        <v>11</v>
      </c>
      <c r="S58" s="69"/>
      <c r="T58" s="69"/>
      <c r="U58" s="69"/>
      <c r="V58" s="69"/>
      <c r="W58" s="69"/>
      <c r="X58" s="70" t="s">
        <v>12</v>
      </c>
      <c r="Y58" s="71"/>
      <c r="Z58" s="72">
        <f>Z5</f>
        <v>10</v>
      </c>
      <c r="AA58" s="73"/>
      <c r="AB58" s="73"/>
      <c r="AC58" s="73"/>
      <c r="AD58" s="74" t="s">
        <v>32</v>
      </c>
      <c r="AE58" s="74"/>
      <c r="AF58" s="74"/>
      <c r="AG58" s="74"/>
      <c r="AH58" s="75"/>
    </row>
    <row r="59" spans="1:34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4"/>
    </row>
    <row r="60" spans="1:34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4"/>
    </row>
    <row r="61" spans="1:34">
      <c r="A61" s="2"/>
      <c r="B61" s="7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4"/>
    </row>
    <row r="62" spans="1:34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4"/>
    </row>
    <row r="63" spans="1:34" ht="15" customHeight="1">
      <c r="A63" s="2"/>
      <c r="B63" s="213"/>
      <c r="C63" s="214"/>
      <c r="D63" s="214"/>
      <c r="E63" s="215"/>
      <c r="F63" s="138" t="s">
        <v>58</v>
      </c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3"/>
      <c r="T63" s="138" t="s">
        <v>20</v>
      </c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3"/>
      <c r="AH63" s="4"/>
    </row>
    <row r="64" spans="1:34" ht="39.75" customHeight="1">
      <c r="A64" s="2"/>
      <c r="B64" s="216"/>
      <c r="C64" s="217"/>
      <c r="D64" s="217"/>
      <c r="E64" s="218"/>
      <c r="F64" s="130" t="s">
        <v>45</v>
      </c>
      <c r="G64" s="131"/>
      <c r="H64" s="131"/>
      <c r="I64" s="131"/>
      <c r="J64" s="131"/>
      <c r="K64" s="219" t="s">
        <v>59</v>
      </c>
      <c r="L64" s="220"/>
      <c r="M64" s="220"/>
      <c r="N64" s="220"/>
      <c r="O64" s="221" t="s">
        <v>60</v>
      </c>
      <c r="P64" s="131"/>
      <c r="Q64" s="131"/>
      <c r="R64" s="131"/>
      <c r="S64" s="132"/>
      <c r="T64" s="130" t="s">
        <v>45</v>
      </c>
      <c r="U64" s="131"/>
      <c r="V64" s="131"/>
      <c r="W64" s="131"/>
      <c r="X64" s="131"/>
      <c r="Y64" s="219" t="s">
        <v>59</v>
      </c>
      <c r="Z64" s="220"/>
      <c r="AA64" s="220"/>
      <c r="AB64" s="220"/>
      <c r="AC64" s="221" t="s">
        <v>60</v>
      </c>
      <c r="AD64" s="131"/>
      <c r="AE64" s="131"/>
      <c r="AF64" s="131"/>
      <c r="AG64" s="132"/>
      <c r="AH64" s="4"/>
    </row>
    <row r="65" spans="1:34" ht="15" customHeight="1">
      <c r="A65" s="2"/>
      <c r="B65" s="216"/>
      <c r="C65" s="217"/>
      <c r="D65" s="217"/>
      <c r="E65" s="218"/>
      <c r="F65" s="130" t="s">
        <v>61</v>
      </c>
      <c r="G65" s="131"/>
      <c r="H65" s="131"/>
      <c r="I65" s="131"/>
      <c r="J65" s="131"/>
      <c r="K65" s="131" t="s">
        <v>62</v>
      </c>
      <c r="L65" s="131"/>
      <c r="M65" s="131"/>
      <c r="N65" s="131"/>
      <c r="O65" s="131" t="s">
        <v>63</v>
      </c>
      <c r="P65" s="131"/>
      <c r="Q65" s="131"/>
      <c r="R65" s="131"/>
      <c r="S65" s="132"/>
      <c r="T65" s="130" t="s">
        <v>64</v>
      </c>
      <c r="U65" s="131"/>
      <c r="V65" s="131"/>
      <c r="W65" s="131"/>
      <c r="X65" s="131"/>
      <c r="Y65" s="131" t="s">
        <v>65</v>
      </c>
      <c r="Z65" s="131"/>
      <c r="AA65" s="131"/>
      <c r="AB65" s="131"/>
      <c r="AC65" s="131" t="s">
        <v>66</v>
      </c>
      <c r="AD65" s="131"/>
      <c r="AE65" s="131"/>
      <c r="AF65" s="131"/>
      <c r="AG65" s="132"/>
      <c r="AH65" s="4"/>
    </row>
    <row r="66" spans="1:34" ht="15" customHeight="1">
      <c r="A66" s="2"/>
      <c r="B66" s="206"/>
      <c r="C66" s="207"/>
      <c r="D66" s="208" t="s">
        <v>67</v>
      </c>
      <c r="E66" s="209"/>
      <c r="F66" s="210"/>
      <c r="G66" s="211"/>
      <c r="H66" s="211"/>
      <c r="I66" s="211"/>
      <c r="J66" s="211"/>
      <c r="K66" s="211"/>
      <c r="L66" s="211"/>
      <c r="M66" s="211"/>
      <c r="N66" s="211"/>
      <c r="O66" s="211" t="s">
        <v>32</v>
      </c>
      <c r="P66" s="211"/>
      <c r="Q66" s="211"/>
      <c r="R66" s="211"/>
      <c r="S66" s="212"/>
      <c r="T66" s="210"/>
      <c r="U66" s="211"/>
      <c r="V66" s="211"/>
      <c r="W66" s="211"/>
      <c r="X66" s="211"/>
      <c r="Y66" s="211"/>
      <c r="Z66" s="211"/>
      <c r="AA66" s="211"/>
      <c r="AB66" s="211"/>
      <c r="AC66" s="211" t="s">
        <v>32</v>
      </c>
      <c r="AD66" s="211"/>
      <c r="AE66" s="211"/>
      <c r="AF66" s="211"/>
      <c r="AG66" s="212"/>
      <c r="AH66" s="4"/>
    </row>
    <row r="67" spans="1:34" ht="21" customHeight="1">
      <c r="A67" s="2"/>
      <c r="B67" s="124" t="s">
        <v>68</v>
      </c>
      <c r="C67" s="125"/>
      <c r="D67" s="125"/>
      <c r="E67" s="126"/>
      <c r="F67" s="222">
        <v>0</v>
      </c>
      <c r="G67" s="223"/>
      <c r="H67" s="223"/>
      <c r="I67" s="223"/>
      <c r="J67" s="224"/>
      <c r="K67" s="225">
        <f>F67-$F$70</f>
        <v>0</v>
      </c>
      <c r="L67" s="225"/>
      <c r="M67" s="225"/>
      <c r="N67" s="226"/>
      <c r="O67" s="225">
        <f>K67/$Z$58*100</f>
        <v>0</v>
      </c>
      <c r="P67" s="225"/>
      <c r="Q67" s="225"/>
      <c r="R67" s="225"/>
      <c r="S67" s="227"/>
      <c r="T67" s="228">
        <v>9.14</v>
      </c>
      <c r="U67" s="229"/>
      <c r="V67" s="229"/>
      <c r="W67" s="229"/>
      <c r="X67" s="230"/>
      <c r="Y67" s="229">
        <f>T67-$T$70</f>
        <v>0</v>
      </c>
      <c r="Z67" s="229"/>
      <c r="AA67" s="229"/>
      <c r="AB67" s="229"/>
      <c r="AC67" s="231">
        <f>Y67/$Z$58*100</f>
        <v>0</v>
      </c>
      <c r="AD67" s="231"/>
      <c r="AE67" s="231"/>
      <c r="AF67" s="231"/>
      <c r="AG67" s="232"/>
      <c r="AH67" s="4"/>
    </row>
    <row r="68" spans="1:34" ht="21" customHeight="1">
      <c r="A68" s="2"/>
      <c r="B68" s="124" t="s">
        <v>69</v>
      </c>
      <c r="C68" s="125"/>
      <c r="D68" s="125"/>
      <c r="E68" s="126"/>
      <c r="F68" s="241">
        <v>0</v>
      </c>
      <c r="G68" s="242"/>
      <c r="H68" s="242"/>
      <c r="I68" s="242"/>
      <c r="J68" s="243"/>
      <c r="K68" s="231">
        <f>F68-$F$70</f>
        <v>0</v>
      </c>
      <c r="L68" s="231"/>
      <c r="M68" s="231"/>
      <c r="N68" s="231"/>
      <c r="O68" s="231">
        <f>K68/$Z$58*100</f>
        <v>0</v>
      </c>
      <c r="P68" s="231"/>
      <c r="Q68" s="231"/>
      <c r="R68" s="231"/>
      <c r="S68" s="232"/>
      <c r="T68" s="244">
        <v>9.14</v>
      </c>
      <c r="U68" s="231"/>
      <c r="V68" s="231"/>
      <c r="W68" s="231"/>
      <c r="X68" s="245"/>
      <c r="Y68" s="231">
        <f>T68-$T$70</f>
        <v>0</v>
      </c>
      <c r="Z68" s="231"/>
      <c r="AA68" s="231"/>
      <c r="AB68" s="231"/>
      <c r="AC68" s="231">
        <f>Y68/$Z$58*100</f>
        <v>0</v>
      </c>
      <c r="AD68" s="231"/>
      <c r="AE68" s="231"/>
      <c r="AF68" s="231"/>
      <c r="AG68" s="232"/>
      <c r="AH68" s="4"/>
    </row>
    <row r="69" spans="1:34" ht="21" customHeight="1">
      <c r="A69" s="2"/>
      <c r="B69" s="124" t="s">
        <v>70</v>
      </c>
      <c r="C69" s="125"/>
      <c r="D69" s="125"/>
      <c r="E69" s="126"/>
      <c r="F69" s="233">
        <v>0</v>
      </c>
      <c r="G69" s="234"/>
      <c r="H69" s="234"/>
      <c r="I69" s="234"/>
      <c r="J69" s="235"/>
      <c r="K69" s="236">
        <f>F69-$F$70</f>
        <v>0</v>
      </c>
      <c r="L69" s="236"/>
      <c r="M69" s="236"/>
      <c r="N69" s="237"/>
      <c r="O69" s="238">
        <f>K69/$Z$58*100</f>
        <v>0</v>
      </c>
      <c r="P69" s="238"/>
      <c r="Q69" s="238"/>
      <c r="R69" s="238"/>
      <c r="S69" s="239"/>
      <c r="T69" s="233">
        <v>9.14</v>
      </c>
      <c r="U69" s="234"/>
      <c r="V69" s="234"/>
      <c r="W69" s="234"/>
      <c r="X69" s="234"/>
      <c r="Y69" s="240">
        <f>T69-$T$70</f>
        <v>0</v>
      </c>
      <c r="Z69" s="240"/>
      <c r="AA69" s="240"/>
      <c r="AB69" s="240"/>
      <c r="AC69" s="231">
        <f>Y69/$Z$58*100</f>
        <v>0</v>
      </c>
      <c r="AD69" s="231"/>
      <c r="AE69" s="231"/>
      <c r="AF69" s="231"/>
      <c r="AG69" s="232"/>
      <c r="AH69" s="4"/>
    </row>
    <row r="70" spans="1:34" ht="21" customHeight="1">
      <c r="A70" s="2"/>
      <c r="B70" s="249" t="s">
        <v>71</v>
      </c>
      <c r="C70" s="137"/>
      <c r="D70" s="137"/>
      <c r="E70" s="103"/>
      <c r="F70" s="222">
        <f>ROUND(AVERAGE(F67:J69),2)</f>
        <v>0</v>
      </c>
      <c r="G70" s="223"/>
      <c r="H70" s="223"/>
      <c r="I70" s="223"/>
      <c r="J70" s="224"/>
      <c r="K70" s="250" t="s">
        <v>72</v>
      </c>
      <c r="L70" s="251"/>
      <c r="M70" s="251"/>
      <c r="N70" s="252"/>
      <c r="O70" s="253">
        <f>ROUND(AVERAGE(O67:S69),2)</f>
        <v>0</v>
      </c>
      <c r="P70" s="254"/>
      <c r="Q70" s="254"/>
      <c r="R70" s="254"/>
      <c r="S70" s="255"/>
      <c r="T70" s="256">
        <f>ROUND(AVERAGE(T67:X69),2)</f>
        <v>9.14</v>
      </c>
      <c r="U70" s="112"/>
      <c r="V70" s="112"/>
      <c r="W70" s="112"/>
      <c r="X70" s="112"/>
      <c r="Y70" s="250" t="s">
        <v>72</v>
      </c>
      <c r="Z70" s="251"/>
      <c r="AA70" s="251"/>
      <c r="AB70" s="252"/>
      <c r="AC70" s="112">
        <f>ROUND(AVERAGE(AC67:AG69),2)</f>
        <v>0</v>
      </c>
      <c r="AD70" s="112"/>
      <c r="AE70" s="112"/>
      <c r="AF70" s="112"/>
      <c r="AG70" s="113"/>
      <c r="AH70" s="4"/>
    </row>
    <row r="71" spans="1:34" ht="27" customHeight="1">
      <c r="A71" s="2"/>
      <c r="B71" s="136" t="s">
        <v>36</v>
      </c>
      <c r="C71" s="137"/>
      <c r="D71" s="137"/>
      <c r="E71" s="103"/>
      <c r="F71" s="12"/>
      <c r="G71" s="137" t="s">
        <v>37</v>
      </c>
      <c r="H71" s="137"/>
      <c r="I71" s="137"/>
      <c r="J71" s="137"/>
      <c r="K71" s="137" t="s">
        <v>38</v>
      </c>
      <c r="L71" s="137"/>
      <c r="M71" s="137"/>
      <c r="N71" s="137"/>
      <c r="O71" s="246" t="s">
        <v>39</v>
      </c>
      <c r="P71" s="247"/>
      <c r="Q71" s="247"/>
      <c r="R71" s="247"/>
      <c r="S71" s="248"/>
      <c r="T71" s="89" t="s">
        <v>73</v>
      </c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4"/>
    </row>
    <row r="72" spans="1:34">
      <c r="A72" s="2"/>
      <c r="B72" s="150" t="s">
        <v>41</v>
      </c>
      <c r="C72" s="150"/>
      <c r="D72" s="150"/>
      <c r="E72" s="15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4"/>
    </row>
    <row r="73" spans="1:34">
      <c r="A73" s="2"/>
      <c r="B73" s="150"/>
      <c r="C73" s="150"/>
      <c r="D73" s="150"/>
      <c r="E73" s="15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4"/>
    </row>
    <row r="74" spans="1:34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4"/>
    </row>
    <row r="75" spans="1:34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4"/>
    </row>
    <row r="76" spans="1:34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4"/>
    </row>
    <row r="77" spans="1:34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4"/>
    </row>
    <row r="78" spans="1:34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4"/>
    </row>
    <row r="79" spans="1:34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4"/>
    </row>
    <row r="80" spans="1:34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4"/>
    </row>
    <row r="81" spans="1:34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4"/>
    </row>
    <row r="82" spans="1:34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4"/>
    </row>
    <row r="83" spans="1:34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4"/>
    </row>
    <row r="84" spans="1:34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4"/>
    </row>
    <row r="85" spans="1:34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4"/>
    </row>
    <row r="86" spans="1:34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4"/>
    </row>
    <row r="87" spans="1:34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4"/>
    </row>
    <row r="88" spans="1:34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4"/>
    </row>
    <row r="89" spans="1:34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4"/>
    </row>
    <row r="90" spans="1:34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4"/>
    </row>
    <row r="91" spans="1:34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4"/>
    </row>
    <row r="92" spans="1:34" ht="4.5" customHeight="1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4"/>
    </row>
    <row r="93" spans="1:34" ht="15.75" thickBot="1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4"/>
    </row>
    <row r="94" spans="1:34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151" t="s">
        <v>49</v>
      </c>
      <c r="Z94" s="152"/>
      <c r="AA94" s="152"/>
      <c r="AB94" s="152"/>
      <c r="AC94" s="153"/>
      <c r="AD94" s="157" t="s">
        <v>50</v>
      </c>
      <c r="AE94" s="157"/>
      <c r="AF94" s="157"/>
      <c r="AG94" s="157"/>
      <c r="AH94" s="158"/>
    </row>
    <row r="95" spans="1:34" ht="15.75" thickBot="1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154"/>
      <c r="Z95" s="155"/>
      <c r="AA95" s="155"/>
      <c r="AB95" s="155"/>
      <c r="AC95" s="156"/>
      <c r="AD95" s="159"/>
      <c r="AE95" s="159"/>
      <c r="AF95" s="159"/>
      <c r="AG95" s="159"/>
      <c r="AH95" s="160"/>
    </row>
    <row r="96" spans="1:34" ht="15" customHeight="1">
      <c r="A96" s="2"/>
      <c r="B96" s="161" t="s">
        <v>51</v>
      </c>
      <c r="C96" s="171"/>
      <c r="D96" s="171"/>
      <c r="E96" s="171"/>
      <c r="F96" s="171"/>
      <c r="G96" s="171"/>
      <c r="H96" s="170" t="s">
        <v>37</v>
      </c>
      <c r="I96" s="171"/>
      <c r="J96" s="171"/>
      <c r="K96" s="171"/>
      <c r="L96" s="171"/>
      <c r="M96" s="172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176"/>
      <c r="Z96" s="177"/>
      <c r="AA96" s="177"/>
      <c r="AB96" s="177"/>
      <c r="AC96" s="178"/>
      <c r="AD96" s="183"/>
      <c r="AE96" s="184"/>
      <c r="AF96" s="184"/>
      <c r="AG96" s="184"/>
      <c r="AH96" s="185"/>
    </row>
    <row r="97" spans="1:34" ht="15" customHeight="1">
      <c r="A97" s="2"/>
      <c r="B97" s="173"/>
      <c r="C97" s="174"/>
      <c r="D97" s="174"/>
      <c r="E97" s="174"/>
      <c r="F97" s="174"/>
      <c r="G97" s="174"/>
      <c r="H97" s="173"/>
      <c r="I97" s="174"/>
      <c r="J97" s="174"/>
      <c r="K97" s="174"/>
      <c r="L97" s="174"/>
      <c r="M97" s="175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179"/>
      <c r="Z97" s="177"/>
      <c r="AA97" s="177"/>
      <c r="AB97" s="177"/>
      <c r="AC97" s="178"/>
      <c r="AD97" s="184"/>
      <c r="AE97" s="184"/>
      <c r="AF97" s="184"/>
      <c r="AG97" s="184"/>
      <c r="AH97" s="185"/>
    </row>
    <row r="98" spans="1:34" ht="15" customHeight="1">
      <c r="A98" s="2"/>
      <c r="B98" s="173"/>
      <c r="C98" s="174"/>
      <c r="D98" s="174"/>
      <c r="E98" s="174"/>
      <c r="F98" s="174"/>
      <c r="G98" s="174"/>
      <c r="H98" s="173" t="s">
        <v>38</v>
      </c>
      <c r="I98" s="174"/>
      <c r="J98" s="174"/>
      <c r="K98" s="174"/>
      <c r="L98" s="174"/>
      <c r="M98" s="175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179"/>
      <c r="Z98" s="177"/>
      <c r="AA98" s="177"/>
      <c r="AB98" s="177"/>
      <c r="AC98" s="178"/>
      <c r="AD98" s="184"/>
      <c r="AE98" s="184"/>
      <c r="AF98" s="184"/>
      <c r="AG98" s="184"/>
      <c r="AH98" s="185"/>
    </row>
    <row r="99" spans="1:34" ht="15.75" customHeight="1" thickBot="1">
      <c r="A99" s="2"/>
      <c r="B99" s="188"/>
      <c r="C99" s="189"/>
      <c r="D99" s="189"/>
      <c r="E99" s="189"/>
      <c r="F99" s="189"/>
      <c r="G99" s="189"/>
      <c r="H99" s="188"/>
      <c r="I99" s="189"/>
      <c r="J99" s="189"/>
      <c r="K99" s="189"/>
      <c r="L99" s="189"/>
      <c r="M99" s="190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179"/>
      <c r="Z99" s="177"/>
      <c r="AA99" s="177"/>
      <c r="AB99" s="177"/>
      <c r="AC99" s="178"/>
      <c r="AD99" s="184"/>
      <c r="AE99" s="184"/>
      <c r="AF99" s="184"/>
      <c r="AG99" s="184"/>
      <c r="AH99" s="185"/>
    </row>
    <row r="100" spans="1:34" ht="9" customHeight="1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180"/>
      <c r="Z100" s="181"/>
      <c r="AA100" s="181"/>
      <c r="AB100" s="181"/>
      <c r="AC100" s="182"/>
      <c r="AD100" s="186"/>
      <c r="AE100" s="186"/>
      <c r="AF100" s="186"/>
      <c r="AG100" s="186"/>
      <c r="AH100" s="187"/>
    </row>
    <row r="101" spans="1:34" s="13" customFormat="1" ht="22.5" customHeight="1" thickBot="1">
      <c r="A101" s="199" t="s">
        <v>76</v>
      </c>
      <c r="B101" s="200"/>
      <c r="C101" s="200"/>
      <c r="D101" s="200"/>
      <c r="E101" s="200" t="s">
        <v>52</v>
      </c>
      <c r="F101" s="200"/>
      <c r="G101" s="200"/>
      <c r="H101" s="200"/>
      <c r="I101" s="201"/>
      <c r="J101" s="202" t="s">
        <v>77</v>
      </c>
      <c r="K101" s="200"/>
      <c r="L101" s="200"/>
      <c r="M101" s="200"/>
      <c r="N101" s="200" t="s">
        <v>78</v>
      </c>
      <c r="O101" s="200"/>
      <c r="P101" s="200"/>
      <c r="Q101" s="201"/>
      <c r="R101" s="203"/>
      <c r="S101" s="204"/>
      <c r="T101" s="204"/>
      <c r="U101" s="204"/>
      <c r="V101" s="204"/>
      <c r="W101" s="204"/>
      <c r="X101" s="205"/>
      <c r="Y101" s="202" t="s">
        <v>79</v>
      </c>
      <c r="Z101" s="200"/>
      <c r="AA101" s="200"/>
      <c r="AB101" s="200"/>
      <c r="AC101" s="200"/>
      <c r="AD101" s="197">
        <v>41883</v>
      </c>
      <c r="AE101" s="197"/>
      <c r="AF101" s="197"/>
      <c r="AG101" s="197"/>
      <c r="AH101" s="198"/>
    </row>
  </sheetData>
  <mergeCells count="208">
    <mergeCell ref="AD101:AH101"/>
    <mergeCell ref="A101:D101"/>
    <mergeCell ref="E101:I101"/>
    <mergeCell ref="J101:M101"/>
    <mergeCell ref="N101:Q101"/>
    <mergeCell ref="R101:X101"/>
    <mergeCell ref="Y101:AC101"/>
    <mergeCell ref="B72:E73"/>
    <mergeCell ref="Y94:AC95"/>
    <mergeCell ref="AD94:AH95"/>
    <mergeCell ref="B96:G99"/>
    <mergeCell ref="H96:M97"/>
    <mergeCell ref="Y96:AC100"/>
    <mergeCell ref="AD96:AH100"/>
    <mergeCell ref="H98:M99"/>
    <mergeCell ref="AC70:AG70"/>
    <mergeCell ref="B71:E71"/>
    <mergeCell ref="G71:J71"/>
    <mergeCell ref="K71:N71"/>
    <mergeCell ref="O71:S71"/>
    <mergeCell ref="T71:AG71"/>
    <mergeCell ref="B70:E70"/>
    <mergeCell ref="F70:J70"/>
    <mergeCell ref="K70:N70"/>
    <mergeCell ref="O70:S70"/>
    <mergeCell ref="T70:X70"/>
    <mergeCell ref="Y70:AB70"/>
    <mergeCell ref="B67:E67"/>
    <mergeCell ref="F67:J67"/>
    <mergeCell ref="K67:N67"/>
    <mergeCell ref="O67:S67"/>
    <mergeCell ref="T67:X67"/>
    <mergeCell ref="Y67:AB67"/>
    <mergeCell ref="AC67:AG67"/>
    <mergeCell ref="AC68:AG68"/>
    <mergeCell ref="B69:E69"/>
    <mergeCell ref="F69:J69"/>
    <mergeCell ref="K69:N69"/>
    <mergeCell ref="O69:S69"/>
    <mergeCell ref="T69:X69"/>
    <mergeCell ref="Y69:AB69"/>
    <mergeCell ref="AC69:AG69"/>
    <mergeCell ref="B68:E68"/>
    <mergeCell ref="F68:J68"/>
    <mergeCell ref="K68:N68"/>
    <mergeCell ref="O68:S68"/>
    <mergeCell ref="T68:X68"/>
    <mergeCell ref="Y68:AB68"/>
    <mergeCell ref="K65:N65"/>
    <mergeCell ref="O65:S65"/>
    <mergeCell ref="T65:X65"/>
    <mergeCell ref="Y65:AB65"/>
    <mergeCell ref="AC65:AG65"/>
    <mergeCell ref="B66:C66"/>
    <mergeCell ref="D66:E66"/>
    <mergeCell ref="F66:J66"/>
    <mergeCell ref="K66:N66"/>
    <mergeCell ref="O66:S66"/>
    <mergeCell ref="B63:E65"/>
    <mergeCell ref="F63:S63"/>
    <mergeCell ref="T63:AG63"/>
    <mergeCell ref="F64:J64"/>
    <mergeCell ref="K64:N64"/>
    <mergeCell ref="O64:S64"/>
    <mergeCell ref="T64:X64"/>
    <mergeCell ref="Y64:AB64"/>
    <mergeCell ref="AC64:AG64"/>
    <mergeCell ref="F65:J65"/>
    <mergeCell ref="T66:X66"/>
    <mergeCell ref="Y66:AB66"/>
    <mergeCell ref="AC66:AG66"/>
    <mergeCell ref="A58:F58"/>
    <mergeCell ref="G58:Q58"/>
    <mergeCell ref="R58:W58"/>
    <mergeCell ref="X58:Y58"/>
    <mergeCell ref="Z58:AC58"/>
    <mergeCell ref="AD58:AH58"/>
    <mergeCell ref="A56:F56"/>
    <mergeCell ref="G56:Q56"/>
    <mergeCell ref="R56:W56"/>
    <mergeCell ref="X56:AH56"/>
    <mergeCell ref="A57:F57"/>
    <mergeCell ref="G57:Q57"/>
    <mergeCell ref="R57:W57"/>
    <mergeCell ref="X57:AH57"/>
    <mergeCell ref="AD51:AH51"/>
    <mergeCell ref="A54:AC54"/>
    <mergeCell ref="AD54:AF54"/>
    <mergeCell ref="AG54:AH54"/>
    <mergeCell ref="A55:F55"/>
    <mergeCell ref="G55:Q55"/>
    <mergeCell ref="R55:W55"/>
    <mergeCell ref="X55:AH55"/>
    <mergeCell ref="A51:D51"/>
    <mergeCell ref="E51:I51"/>
    <mergeCell ref="J51:M51"/>
    <mergeCell ref="N51:Q51"/>
    <mergeCell ref="R51:X51"/>
    <mergeCell ref="Y51:AC51"/>
    <mergeCell ref="B42:E43"/>
    <mergeCell ref="Y44:AC45"/>
    <mergeCell ref="AD44:AH45"/>
    <mergeCell ref="B46:G49"/>
    <mergeCell ref="H46:M47"/>
    <mergeCell ref="Y46:AC50"/>
    <mergeCell ref="AD46:AH50"/>
    <mergeCell ref="H48:M49"/>
    <mergeCell ref="B40:K40"/>
    <mergeCell ref="L40:U40"/>
    <mergeCell ref="V40:AC40"/>
    <mergeCell ref="AD40:AE40"/>
    <mergeCell ref="B41:F41"/>
    <mergeCell ref="H41:K41"/>
    <mergeCell ref="L41:O41"/>
    <mergeCell ref="Q41:U41"/>
    <mergeCell ref="V41:AE41"/>
    <mergeCell ref="B37:U37"/>
    <mergeCell ref="V37:AE38"/>
    <mergeCell ref="B38:K38"/>
    <mergeCell ref="L38:U38"/>
    <mergeCell ref="B39:K39"/>
    <mergeCell ref="L39:U39"/>
    <mergeCell ref="V39:AE39"/>
    <mergeCell ref="B31:F31"/>
    <mergeCell ref="H31:K31"/>
    <mergeCell ref="L31:O31"/>
    <mergeCell ref="Q31:U31"/>
    <mergeCell ref="V31:AE31"/>
    <mergeCell ref="C32:F33"/>
    <mergeCell ref="B28:K28"/>
    <mergeCell ref="L28:U28"/>
    <mergeCell ref="V28:AE28"/>
    <mergeCell ref="B29:K29"/>
    <mergeCell ref="L29:U29"/>
    <mergeCell ref="V29:AC29"/>
    <mergeCell ref="AD29:AE29"/>
    <mergeCell ref="B25:K25"/>
    <mergeCell ref="L25:U25"/>
    <mergeCell ref="B26:U26"/>
    <mergeCell ref="V26:AE27"/>
    <mergeCell ref="B27:K27"/>
    <mergeCell ref="L27:U27"/>
    <mergeCell ref="B22:K22"/>
    <mergeCell ref="L22:U22"/>
    <mergeCell ref="V22:AE22"/>
    <mergeCell ref="B23:K23"/>
    <mergeCell ref="L23:U23"/>
    <mergeCell ref="V23:AC23"/>
    <mergeCell ref="AD23:AE23"/>
    <mergeCell ref="B19:K19"/>
    <mergeCell ref="L19:U19"/>
    <mergeCell ref="B20:U20"/>
    <mergeCell ref="V20:AE21"/>
    <mergeCell ref="B21:K21"/>
    <mergeCell ref="L21:U21"/>
    <mergeCell ref="F14:K14"/>
    <mergeCell ref="L14:S14"/>
    <mergeCell ref="T14:Y14"/>
    <mergeCell ref="Z14:AG14"/>
    <mergeCell ref="B15:K15"/>
    <mergeCell ref="L15:S15"/>
    <mergeCell ref="B11:H11"/>
    <mergeCell ref="I11:N11"/>
    <mergeCell ref="O11:U11"/>
    <mergeCell ref="V11:AA11"/>
    <mergeCell ref="AB11:AG11"/>
    <mergeCell ref="B13:E14"/>
    <mergeCell ref="F13:K13"/>
    <mergeCell ref="L13:S13"/>
    <mergeCell ref="T13:Y13"/>
    <mergeCell ref="Z13:AG13"/>
    <mergeCell ref="B9:H9"/>
    <mergeCell ref="I9:N9"/>
    <mergeCell ref="O9:U9"/>
    <mergeCell ref="V9:AA9"/>
    <mergeCell ref="AB9:AG9"/>
    <mergeCell ref="B10:H10"/>
    <mergeCell ref="I10:N10"/>
    <mergeCell ref="O10:U10"/>
    <mergeCell ref="V10:AA10"/>
    <mergeCell ref="AB10:AG10"/>
    <mergeCell ref="B7:AG7"/>
    <mergeCell ref="B8:H8"/>
    <mergeCell ref="I8:N8"/>
    <mergeCell ref="O8:U8"/>
    <mergeCell ref="V8:AA8"/>
    <mergeCell ref="AB8:AG8"/>
    <mergeCell ref="A5:F5"/>
    <mergeCell ref="G5:Q5"/>
    <mergeCell ref="R5:W5"/>
    <mergeCell ref="X5:Y5"/>
    <mergeCell ref="Z5:AC5"/>
    <mergeCell ref="AD5:AH5"/>
    <mergeCell ref="A3:F3"/>
    <mergeCell ref="G3:Q3"/>
    <mergeCell ref="R3:W3"/>
    <mergeCell ref="X3:AH3"/>
    <mergeCell ref="A4:F4"/>
    <mergeCell ref="G4:Q4"/>
    <mergeCell ref="R4:W4"/>
    <mergeCell ref="X4:AH4"/>
    <mergeCell ref="A1:AC1"/>
    <mergeCell ref="AD1:AF1"/>
    <mergeCell ref="AG1:AH1"/>
    <mergeCell ref="A2:F2"/>
    <mergeCell ref="G2:Q2"/>
    <mergeCell ref="R2:W2"/>
    <mergeCell ref="X2:AH2"/>
  </mergeCells>
  <pageMargins left="0.47244094488188981" right="0.34" top="0.41" bottom="0.19685039370078741" header="0.28000000000000003" footer="0.11811023622047245"/>
  <pageSetup paperSize="9" scale="94" firstPageNumber="4294963191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5121" r:id="rId4">
          <objectPr defaultSize="0" autoPict="0" r:id="rId5">
            <anchor moveWithCells="1">
              <from>
                <xdr:col>6</xdr:col>
                <xdr:colOff>142875</xdr:colOff>
                <xdr:row>31</xdr:row>
                <xdr:rowOff>38100</xdr:rowOff>
              </from>
              <to>
                <xdr:col>9</xdr:col>
                <xdr:colOff>19050</xdr:colOff>
                <xdr:row>32</xdr:row>
                <xdr:rowOff>152400</xdr:rowOff>
              </to>
            </anchor>
          </objectPr>
        </oleObject>
      </mc:Choice>
      <mc:Fallback>
        <oleObject progId="Equation.3" shapeId="5121" r:id="rId4"/>
      </mc:Fallback>
    </mc:AlternateContent>
    <mc:AlternateContent xmlns:mc="http://schemas.openxmlformats.org/markup-compatibility/2006">
      <mc:Choice Requires="x14">
        <oleObject progId="Equation.3" shapeId="5122" r:id="rId6">
          <objectPr defaultSize="0" autoPict="0" r:id="rId7">
            <anchor moveWithCells="1">
              <from>
                <xdr:col>6</xdr:col>
                <xdr:colOff>95250</xdr:colOff>
                <xdr:row>41</xdr:row>
                <xdr:rowOff>180975</xdr:rowOff>
              </from>
              <to>
                <xdr:col>9</xdr:col>
                <xdr:colOff>123825</xdr:colOff>
                <xdr:row>43</xdr:row>
                <xdr:rowOff>104775</xdr:rowOff>
              </to>
            </anchor>
          </objectPr>
        </oleObject>
      </mc:Choice>
      <mc:Fallback>
        <oleObject progId="Equation.3" shapeId="5122" r:id="rId6"/>
      </mc:Fallback>
    </mc:AlternateContent>
    <mc:AlternateContent xmlns:mc="http://schemas.openxmlformats.org/markup-compatibility/2006">
      <mc:Choice Requires="x14">
        <oleObject progId="Equation.3" shapeId="5123" r:id="rId8">
          <objectPr defaultSize="0" autoPict="0" r:id="rId9">
            <anchor moveWithCells="1">
              <from>
                <xdr:col>5</xdr:col>
                <xdr:colOff>0</xdr:colOff>
                <xdr:row>72</xdr:row>
                <xdr:rowOff>85725</xdr:rowOff>
              </from>
              <to>
                <xdr:col>7</xdr:col>
                <xdr:colOff>114300</xdr:colOff>
                <xdr:row>74</xdr:row>
                <xdr:rowOff>19050</xdr:rowOff>
              </to>
            </anchor>
          </objectPr>
        </oleObject>
      </mc:Choice>
      <mc:Fallback>
        <oleObject progId="Equation.3" shapeId="5123" r:id="rId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01"/>
  <sheetViews>
    <sheetView topLeftCell="A19" zoomScale="130" zoomScaleNormal="130" workbookViewId="0">
      <selection activeCell="AL10" sqref="AL10"/>
    </sheetView>
  </sheetViews>
  <sheetFormatPr defaultColWidth="2.5" defaultRowHeight="15"/>
  <cols>
    <col min="1" max="16384" width="2.5" style="1"/>
  </cols>
  <sheetData>
    <row r="1" spans="1:60" ht="27" customHeight="1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7"/>
      <c r="AD1" s="48" t="s">
        <v>1</v>
      </c>
      <c r="AE1" s="49"/>
      <c r="AF1" s="49"/>
      <c r="AG1" s="50" t="s">
        <v>2</v>
      </c>
      <c r="AH1" s="51"/>
    </row>
    <row r="2" spans="1:60" ht="19.5" customHeight="1">
      <c r="A2" s="52" t="s">
        <v>3</v>
      </c>
      <c r="B2" s="53"/>
      <c r="C2" s="53"/>
      <c r="D2" s="53"/>
      <c r="E2" s="53"/>
      <c r="F2" s="53"/>
      <c r="G2" s="54" t="s">
        <v>85</v>
      </c>
      <c r="H2" s="55"/>
      <c r="I2" s="55"/>
      <c r="J2" s="55"/>
      <c r="K2" s="55"/>
      <c r="L2" s="55"/>
      <c r="M2" s="55"/>
      <c r="N2" s="55"/>
      <c r="O2" s="55"/>
      <c r="P2" s="55"/>
      <c r="Q2" s="56"/>
      <c r="R2" s="28" t="s">
        <v>4</v>
      </c>
      <c r="S2" s="29"/>
      <c r="T2" s="29"/>
      <c r="U2" s="29"/>
      <c r="V2" s="29"/>
      <c r="W2" s="30"/>
      <c r="X2" s="31">
        <v>42886</v>
      </c>
      <c r="Y2" s="32"/>
      <c r="Z2" s="32"/>
      <c r="AA2" s="32"/>
      <c r="AB2" s="32"/>
      <c r="AC2" s="32"/>
      <c r="AD2" s="32"/>
      <c r="AE2" s="32"/>
      <c r="AF2" s="32"/>
      <c r="AG2" s="32"/>
      <c r="AH2" s="33"/>
    </row>
    <row r="3" spans="1:60" ht="19.5" customHeight="1">
      <c r="A3" s="23" t="s">
        <v>5</v>
      </c>
      <c r="B3" s="24"/>
      <c r="C3" s="24"/>
      <c r="D3" s="24"/>
      <c r="E3" s="24"/>
      <c r="F3" s="24"/>
      <c r="G3" s="25" t="s">
        <v>83</v>
      </c>
      <c r="H3" s="26"/>
      <c r="I3" s="26"/>
      <c r="J3" s="26"/>
      <c r="K3" s="26"/>
      <c r="L3" s="26"/>
      <c r="M3" s="26"/>
      <c r="N3" s="26"/>
      <c r="O3" s="26"/>
      <c r="P3" s="26"/>
      <c r="Q3" s="27"/>
      <c r="R3" s="28" t="s">
        <v>6</v>
      </c>
      <c r="S3" s="29"/>
      <c r="T3" s="29"/>
      <c r="U3" s="29"/>
      <c r="V3" s="29"/>
      <c r="W3" s="30"/>
      <c r="X3" s="31">
        <v>43251</v>
      </c>
      <c r="Y3" s="32"/>
      <c r="Z3" s="32"/>
      <c r="AA3" s="32"/>
      <c r="AB3" s="32"/>
      <c r="AC3" s="32"/>
      <c r="AD3" s="32"/>
      <c r="AE3" s="32"/>
      <c r="AF3" s="32"/>
      <c r="AG3" s="32"/>
      <c r="AH3" s="33"/>
    </row>
    <row r="4" spans="1:60" ht="19.5" customHeight="1">
      <c r="A4" s="34" t="s">
        <v>7</v>
      </c>
      <c r="B4" s="35"/>
      <c r="C4" s="35"/>
      <c r="D4" s="35"/>
      <c r="E4" s="35"/>
      <c r="F4" s="35"/>
      <c r="G4" s="36" t="s">
        <v>84</v>
      </c>
      <c r="H4" s="37"/>
      <c r="I4" s="37"/>
      <c r="J4" s="37"/>
      <c r="K4" s="37"/>
      <c r="L4" s="37"/>
      <c r="M4" s="37"/>
      <c r="N4" s="37"/>
      <c r="O4" s="37"/>
      <c r="P4" s="37"/>
      <c r="Q4" s="38"/>
      <c r="R4" s="39" t="s">
        <v>8</v>
      </c>
      <c r="S4" s="40"/>
      <c r="T4" s="40"/>
      <c r="U4" s="40"/>
      <c r="V4" s="40"/>
      <c r="W4" s="41"/>
      <c r="X4" s="42" t="s">
        <v>9</v>
      </c>
      <c r="Y4" s="43"/>
      <c r="Z4" s="43"/>
      <c r="AA4" s="43"/>
      <c r="AB4" s="43"/>
      <c r="AC4" s="43"/>
      <c r="AD4" s="43"/>
      <c r="AE4" s="43"/>
      <c r="AF4" s="43"/>
      <c r="AG4" s="43"/>
      <c r="AH4" s="44"/>
    </row>
    <row r="5" spans="1:60" ht="19.5" customHeight="1">
      <c r="A5" s="65" t="s">
        <v>10</v>
      </c>
      <c r="B5" s="66"/>
      <c r="C5" s="66"/>
      <c r="D5" s="66"/>
      <c r="E5" s="66"/>
      <c r="F5" s="67"/>
      <c r="G5" s="68" t="s">
        <v>80</v>
      </c>
      <c r="H5" s="68"/>
      <c r="I5" s="68"/>
      <c r="J5" s="68"/>
      <c r="K5" s="68"/>
      <c r="L5" s="68"/>
      <c r="M5" s="68"/>
      <c r="N5" s="68"/>
      <c r="O5" s="68"/>
      <c r="P5" s="68"/>
      <c r="Q5" s="68"/>
      <c r="R5" s="69" t="s">
        <v>11</v>
      </c>
      <c r="S5" s="69"/>
      <c r="T5" s="69"/>
      <c r="U5" s="69"/>
      <c r="V5" s="69"/>
      <c r="W5" s="69"/>
      <c r="X5" s="70" t="s">
        <v>12</v>
      </c>
      <c r="Y5" s="71"/>
      <c r="Z5" s="72">
        <v>25</v>
      </c>
      <c r="AA5" s="73"/>
      <c r="AB5" s="73"/>
      <c r="AC5" s="73"/>
      <c r="AD5" s="74" t="s">
        <v>32</v>
      </c>
      <c r="AE5" s="74"/>
      <c r="AF5" s="74"/>
      <c r="AG5" s="74"/>
      <c r="AH5" s="75"/>
    </row>
    <row r="6" spans="1:60" ht="15.75" thickBo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4"/>
    </row>
    <row r="7" spans="1:60" ht="15" customHeight="1">
      <c r="A7" s="2"/>
      <c r="B7" s="57" t="s">
        <v>14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9"/>
      <c r="AH7" s="4"/>
    </row>
    <row r="8" spans="1:60" ht="15" customHeight="1">
      <c r="A8" s="2"/>
      <c r="B8" s="60" t="s">
        <v>15</v>
      </c>
      <c r="C8" s="61"/>
      <c r="D8" s="61"/>
      <c r="E8" s="61"/>
      <c r="F8" s="61"/>
      <c r="G8" s="61"/>
      <c r="H8" s="61"/>
      <c r="I8" s="62" t="s">
        <v>3</v>
      </c>
      <c r="J8" s="62"/>
      <c r="K8" s="62"/>
      <c r="L8" s="62"/>
      <c r="M8" s="62"/>
      <c r="N8" s="62"/>
      <c r="O8" s="61" t="s">
        <v>16</v>
      </c>
      <c r="P8" s="61"/>
      <c r="Q8" s="61"/>
      <c r="R8" s="61"/>
      <c r="S8" s="61"/>
      <c r="T8" s="61"/>
      <c r="U8" s="61"/>
      <c r="V8" s="63" t="s">
        <v>17</v>
      </c>
      <c r="W8" s="63"/>
      <c r="X8" s="63"/>
      <c r="Y8" s="63"/>
      <c r="Z8" s="63"/>
      <c r="AA8" s="63"/>
      <c r="AB8" s="63" t="s">
        <v>18</v>
      </c>
      <c r="AC8" s="63"/>
      <c r="AD8" s="63"/>
      <c r="AE8" s="63"/>
      <c r="AF8" s="63"/>
      <c r="AG8" s="64"/>
      <c r="AH8" s="4"/>
    </row>
    <row r="9" spans="1:60" ht="19.5" customHeight="1">
      <c r="A9" s="2"/>
      <c r="B9" s="76" t="s">
        <v>19</v>
      </c>
      <c r="C9" s="77"/>
      <c r="D9" s="77"/>
      <c r="E9" s="77"/>
      <c r="F9" s="77"/>
      <c r="G9" s="77"/>
      <c r="H9" s="77"/>
      <c r="I9" s="78" t="s">
        <v>109</v>
      </c>
      <c r="J9" s="78"/>
      <c r="K9" s="78"/>
      <c r="L9" s="78"/>
      <c r="M9" s="78"/>
      <c r="N9" s="78"/>
      <c r="O9" s="78" t="s">
        <v>74</v>
      </c>
      <c r="P9" s="78"/>
      <c r="Q9" s="78"/>
      <c r="R9" s="78"/>
      <c r="S9" s="78"/>
      <c r="T9" s="78"/>
      <c r="U9" s="78"/>
      <c r="V9" s="78" t="s">
        <v>113</v>
      </c>
      <c r="W9" s="78"/>
      <c r="X9" s="78"/>
      <c r="Y9" s="78"/>
      <c r="Z9" s="78"/>
      <c r="AA9" s="78"/>
      <c r="AB9" s="314">
        <v>0</v>
      </c>
      <c r="AC9" s="314"/>
      <c r="AD9" s="314"/>
      <c r="AE9" s="314"/>
      <c r="AF9" s="314"/>
      <c r="AG9" s="315"/>
      <c r="AH9" s="4"/>
    </row>
    <row r="10" spans="1:60" ht="19.5" customHeight="1">
      <c r="A10" s="2"/>
      <c r="B10" s="81" t="s">
        <v>108</v>
      </c>
      <c r="C10" s="82"/>
      <c r="D10" s="82"/>
      <c r="E10" s="82"/>
      <c r="F10" s="82"/>
      <c r="G10" s="82"/>
      <c r="H10" s="82"/>
      <c r="I10" s="78" t="s">
        <v>110</v>
      </c>
      <c r="J10" s="78"/>
      <c r="K10" s="78"/>
      <c r="L10" s="78"/>
      <c r="M10" s="78"/>
      <c r="N10" s="78"/>
      <c r="O10" s="78" t="s">
        <v>74</v>
      </c>
      <c r="P10" s="78"/>
      <c r="Q10" s="78"/>
      <c r="R10" s="78"/>
      <c r="S10" s="78"/>
      <c r="T10" s="78"/>
      <c r="U10" s="78"/>
      <c r="V10" s="257" t="s">
        <v>116</v>
      </c>
      <c r="W10" s="258"/>
      <c r="X10" s="258"/>
      <c r="Y10" s="258"/>
      <c r="Z10" s="258"/>
      <c r="AA10" s="259"/>
      <c r="AB10" s="260">
        <v>9.1509999999999994E-2</v>
      </c>
      <c r="AC10" s="261"/>
      <c r="AD10" s="261"/>
      <c r="AE10" s="261"/>
      <c r="AF10" s="261"/>
      <c r="AG10" s="262"/>
      <c r="AH10" s="4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2"/>
      <c r="BD10" s="22"/>
      <c r="BE10" s="22"/>
      <c r="BF10" s="22"/>
      <c r="BG10" s="22"/>
      <c r="BH10" s="22"/>
    </row>
    <row r="11" spans="1:60" ht="19.5" customHeight="1" thickBot="1">
      <c r="A11" s="2"/>
      <c r="B11" s="94" t="s">
        <v>21</v>
      </c>
      <c r="C11" s="95"/>
      <c r="D11" s="95"/>
      <c r="E11" s="95"/>
      <c r="F11" s="95"/>
      <c r="G11" s="95"/>
      <c r="H11" s="95"/>
      <c r="I11" s="96" t="s">
        <v>111</v>
      </c>
      <c r="J11" s="96"/>
      <c r="K11" s="96"/>
      <c r="L11" s="96"/>
      <c r="M11" s="96"/>
      <c r="N11" s="96"/>
      <c r="O11" s="96" t="s">
        <v>74</v>
      </c>
      <c r="P11" s="96"/>
      <c r="Q11" s="96"/>
      <c r="R11" s="96"/>
      <c r="S11" s="96"/>
      <c r="T11" s="96"/>
      <c r="U11" s="96"/>
      <c r="V11" s="96" t="s">
        <v>115</v>
      </c>
      <c r="W11" s="96"/>
      <c r="X11" s="96"/>
      <c r="Y11" s="96"/>
      <c r="Z11" s="96"/>
      <c r="AA11" s="96"/>
      <c r="AB11" s="263">
        <v>0.23069999999999999</v>
      </c>
      <c r="AC11" s="263"/>
      <c r="AD11" s="263"/>
      <c r="AE11" s="263"/>
      <c r="AF11" s="263"/>
      <c r="AG11" s="264"/>
      <c r="AH11" s="4"/>
    </row>
    <row r="12" spans="1:60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4"/>
    </row>
    <row r="13" spans="1:60" ht="21" customHeight="1">
      <c r="A13" s="2"/>
      <c r="B13" s="89" t="s">
        <v>22</v>
      </c>
      <c r="C13" s="89"/>
      <c r="D13" s="89"/>
      <c r="E13" s="89"/>
      <c r="F13" s="103" t="s">
        <v>3</v>
      </c>
      <c r="G13" s="89"/>
      <c r="H13" s="89"/>
      <c r="I13" s="89"/>
      <c r="J13" s="89"/>
      <c r="K13" s="89"/>
      <c r="L13" s="78" t="s">
        <v>112</v>
      </c>
      <c r="M13" s="78"/>
      <c r="N13" s="78"/>
      <c r="O13" s="78"/>
      <c r="P13" s="78"/>
      <c r="Q13" s="78"/>
      <c r="R13" s="78"/>
      <c r="S13" s="78"/>
      <c r="T13" s="89" t="s">
        <v>7</v>
      </c>
      <c r="U13" s="89"/>
      <c r="V13" s="89"/>
      <c r="W13" s="89"/>
      <c r="X13" s="89"/>
      <c r="Y13" s="89"/>
      <c r="Z13" s="78">
        <v>93310021</v>
      </c>
      <c r="AA13" s="78"/>
      <c r="AB13" s="78"/>
      <c r="AC13" s="78"/>
      <c r="AD13" s="78"/>
      <c r="AE13" s="78"/>
      <c r="AF13" s="78"/>
      <c r="AG13" s="78"/>
      <c r="AH13" s="4"/>
    </row>
    <row r="14" spans="1:60" ht="21" customHeight="1">
      <c r="A14" s="2"/>
      <c r="B14" s="89"/>
      <c r="C14" s="89"/>
      <c r="D14" s="89"/>
      <c r="E14" s="89"/>
      <c r="F14" s="85" t="s">
        <v>5</v>
      </c>
      <c r="G14" s="85"/>
      <c r="H14" s="85"/>
      <c r="I14" s="85"/>
      <c r="J14" s="85"/>
      <c r="K14" s="85"/>
      <c r="L14" s="86" t="s">
        <v>75</v>
      </c>
      <c r="M14" s="87"/>
      <c r="N14" s="87"/>
      <c r="O14" s="87"/>
      <c r="P14" s="87"/>
      <c r="Q14" s="87"/>
      <c r="R14" s="87"/>
      <c r="S14" s="88"/>
      <c r="T14" s="89" t="s">
        <v>6</v>
      </c>
      <c r="U14" s="89"/>
      <c r="V14" s="89"/>
      <c r="W14" s="89"/>
      <c r="X14" s="89"/>
      <c r="Y14" s="89"/>
      <c r="Z14" s="90">
        <v>43008</v>
      </c>
      <c r="AA14" s="90"/>
      <c r="AB14" s="90"/>
      <c r="AC14" s="90"/>
      <c r="AD14" s="90"/>
      <c r="AE14" s="90"/>
      <c r="AF14" s="90"/>
      <c r="AG14" s="90"/>
      <c r="AH14" s="4"/>
    </row>
    <row r="15" spans="1:60" ht="17.25" customHeight="1">
      <c r="A15" s="2"/>
      <c r="B15" s="89" t="s">
        <v>23</v>
      </c>
      <c r="C15" s="89"/>
      <c r="D15" s="89"/>
      <c r="E15" s="89"/>
      <c r="F15" s="89"/>
      <c r="G15" s="89"/>
      <c r="H15" s="89"/>
      <c r="I15" s="89"/>
      <c r="J15" s="89"/>
      <c r="K15" s="89"/>
      <c r="L15" s="91">
        <v>15170</v>
      </c>
      <c r="M15" s="92"/>
      <c r="N15" s="92"/>
      <c r="O15" s="92"/>
      <c r="P15" s="92"/>
      <c r="Q15" s="92"/>
      <c r="R15" s="92"/>
      <c r="S15" s="93"/>
      <c r="T15" s="5"/>
      <c r="U15" s="5"/>
      <c r="V15" s="5"/>
      <c r="W15" s="5"/>
      <c r="X15" s="5"/>
      <c r="Y15" s="5"/>
      <c r="Z15" s="6"/>
      <c r="AA15" s="6"/>
      <c r="AB15" s="6"/>
      <c r="AC15" s="6"/>
      <c r="AD15" s="6"/>
      <c r="AE15" s="6"/>
      <c r="AF15" s="6"/>
      <c r="AG15" s="6"/>
      <c r="AH15" s="4"/>
    </row>
    <row r="16" spans="1:60" ht="5.25" customHeight="1">
      <c r="A16" s="2"/>
      <c r="B16" s="5"/>
      <c r="C16" s="5"/>
      <c r="D16" s="5"/>
      <c r="E16" s="5"/>
      <c r="F16" s="5"/>
      <c r="G16" s="5"/>
      <c r="H16" s="5"/>
      <c r="I16" s="5"/>
      <c r="J16" s="5"/>
      <c r="K16" s="5"/>
      <c r="L16" s="3"/>
      <c r="M16" s="3"/>
      <c r="N16" s="3"/>
      <c r="O16" s="3"/>
      <c r="P16" s="3"/>
      <c r="Q16" s="3"/>
      <c r="R16" s="3"/>
      <c r="S16" s="3"/>
      <c r="T16" s="5"/>
      <c r="U16" s="5"/>
      <c r="V16" s="5"/>
      <c r="W16" s="5"/>
      <c r="X16" s="5"/>
      <c r="Y16" s="5"/>
      <c r="Z16" s="3"/>
      <c r="AA16" s="3"/>
      <c r="AB16" s="3"/>
      <c r="AC16" s="3"/>
      <c r="AD16" s="3"/>
      <c r="AE16" s="3"/>
      <c r="AF16" s="3"/>
      <c r="AG16" s="3"/>
      <c r="AH16" s="4"/>
    </row>
    <row r="17" spans="1:34">
      <c r="A17" s="2"/>
      <c r="B17" s="7" t="s">
        <v>24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4"/>
    </row>
    <row r="18" spans="1:34" ht="7.5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4"/>
    </row>
    <row r="19" spans="1:34" ht="15" customHeight="1">
      <c r="A19" s="2"/>
      <c r="B19" s="118" t="s">
        <v>10</v>
      </c>
      <c r="C19" s="119"/>
      <c r="D19" s="119"/>
      <c r="E19" s="119"/>
      <c r="F19" s="119"/>
      <c r="G19" s="119"/>
      <c r="H19" s="119"/>
      <c r="I19" s="119"/>
      <c r="J19" s="119"/>
      <c r="K19" s="120"/>
      <c r="L19" s="89" t="s">
        <v>90</v>
      </c>
      <c r="M19" s="89"/>
      <c r="N19" s="89"/>
      <c r="O19" s="89"/>
      <c r="P19" s="89"/>
      <c r="Q19" s="89"/>
      <c r="R19" s="89"/>
      <c r="S19" s="89"/>
      <c r="T19" s="89"/>
      <c r="U19" s="89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4"/>
    </row>
    <row r="20" spans="1:34" ht="15" customHeight="1">
      <c r="A20" s="2"/>
      <c r="B20" s="121" t="s">
        <v>25</v>
      </c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3"/>
      <c r="V20" s="124" t="s">
        <v>26</v>
      </c>
      <c r="W20" s="125"/>
      <c r="X20" s="125"/>
      <c r="Y20" s="125"/>
      <c r="Z20" s="125"/>
      <c r="AA20" s="125"/>
      <c r="AB20" s="125"/>
      <c r="AC20" s="125"/>
      <c r="AD20" s="125"/>
      <c r="AE20" s="126"/>
      <c r="AF20" s="3"/>
      <c r="AG20" s="3"/>
      <c r="AH20" s="4"/>
    </row>
    <row r="21" spans="1:34" ht="15" customHeight="1">
      <c r="A21" s="2"/>
      <c r="B21" s="130" t="s">
        <v>27</v>
      </c>
      <c r="C21" s="131"/>
      <c r="D21" s="131"/>
      <c r="E21" s="131"/>
      <c r="F21" s="131"/>
      <c r="G21" s="131"/>
      <c r="H21" s="131"/>
      <c r="I21" s="131"/>
      <c r="J21" s="131"/>
      <c r="K21" s="131"/>
      <c r="L21" s="131" t="s">
        <v>28</v>
      </c>
      <c r="M21" s="131"/>
      <c r="N21" s="131"/>
      <c r="O21" s="131"/>
      <c r="P21" s="131"/>
      <c r="Q21" s="131"/>
      <c r="R21" s="131"/>
      <c r="S21" s="131"/>
      <c r="T21" s="131"/>
      <c r="U21" s="132"/>
      <c r="V21" s="127"/>
      <c r="W21" s="128"/>
      <c r="X21" s="128"/>
      <c r="Y21" s="128"/>
      <c r="Z21" s="128"/>
      <c r="AA21" s="128"/>
      <c r="AB21" s="128"/>
      <c r="AC21" s="128"/>
      <c r="AD21" s="128"/>
      <c r="AE21" s="129"/>
      <c r="AF21" s="3"/>
      <c r="AG21" s="3"/>
      <c r="AH21" s="4"/>
    </row>
    <row r="22" spans="1:34">
      <c r="A22" s="2"/>
      <c r="B22" s="104" t="s">
        <v>29</v>
      </c>
      <c r="C22" s="105"/>
      <c r="D22" s="105"/>
      <c r="E22" s="105"/>
      <c r="F22" s="105"/>
      <c r="G22" s="105"/>
      <c r="H22" s="105"/>
      <c r="I22" s="105"/>
      <c r="J22" s="105"/>
      <c r="K22" s="105"/>
      <c r="L22" s="105" t="s">
        <v>30</v>
      </c>
      <c r="M22" s="105"/>
      <c r="N22" s="105"/>
      <c r="O22" s="105"/>
      <c r="P22" s="105"/>
      <c r="Q22" s="105"/>
      <c r="R22" s="105"/>
      <c r="S22" s="105"/>
      <c r="T22" s="105"/>
      <c r="U22" s="106"/>
      <c r="V22" s="107" t="s">
        <v>31</v>
      </c>
      <c r="W22" s="108"/>
      <c r="X22" s="108"/>
      <c r="Y22" s="108"/>
      <c r="Z22" s="108"/>
      <c r="AA22" s="108"/>
      <c r="AB22" s="108"/>
      <c r="AC22" s="108"/>
      <c r="AD22" s="108"/>
      <c r="AE22" s="109"/>
      <c r="AF22" s="3"/>
      <c r="AG22" s="3"/>
      <c r="AH22" s="4"/>
    </row>
    <row r="23" spans="1:34" ht="21" customHeight="1">
      <c r="A23" s="2"/>
      <c r="B23" s="192">
        <v>18.7</v>
      </c>
      <c r="C23" s="193"/>
      <c r="D23" s="193"/>
      <c r="E23" s="193"/>
      <c r="F23" s="193"/>
      <c r="G23" s="193"/>
      <c r="H23" s="193"/>
      <c r="I23" s="193"/>
      <c r="J23" s="193"/>
      <c r="K23" s="193"/>
      <c r="L23" s="112">
        <v>18.72</v>
      </c>
      <c r="M23" s="112"/>
      <c r="N23" s="112"/>
      <c r="O23" s="112"/>
      <c r="P23" s="112"/>
      <c r="Q23" s="112"/>
      <c r="R23" s="112"/>
      <c r="S23" s="112"/>
      <c r="T23" s="112"/>
      <c r="U23" s="113"/>
      <c r="V23" s="114">
        <f>B23/L23*100</f>
        <v>99.893162393162399</v>
      </c>
      <c r="W23" s="115"/>
      <c r="X23" s="115"/>
      <c r="Y23" s="115"/>
      <c r="Z23" s="115"/>
      <c r="AA23" s="115"/>
      <c r="AB23" s="115"/>
      <c r="AC23" s="115"/>
      <c r="AD23" s="116" t="s">
        <v>32</v>
      </c>
      <c r="AE23" s="117"/>
      <c r="AF23" s="3"/>
      <c r="AG23" s="3"/>
      <c r="AH23" s="4"/>
    </row>
    <row r="24" spans="1:34" ht="7.5" customHeight="1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4"/>
    </row>
    <row r="25" spans="1:34" ht="15" customHeight="1">
      <c r="A25" s="2"/>
      <c r="B25" s="118" t="s">
        <v>10</v>
      </c>
      <c r="C25" s="119"/>
      <c r="D25" s="119"/>
      <c r="E25" s="119"/>
      <c r="F25" s="119"/>
      <c r="G25" s="119"/>
      <c r="H25" s="119"/>
      <c r="I25" s="119"/>
      <c r="J25" s="119"/>
      <c r="K25" s="120"/>
      <c r="L25" s="89" t="s">
        <v>33</v>
      </c>
      <c r="M25" s="89"/>
      <c r="N25" s="89"/>
      <c r="O25" s="89"/>
      <c r="P25" s="89"/>
      <c r="Q25" s="89"/>
      <c r="R25" s="89"/>
      <c r="S25" s="89"/>
      <c r="T25" s="89"/>
      <c r="U25" s="89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4"/>
    </row>
    <row r="26" spans="1:34" ht="15" customHeight="1">
      <c r="A26" s="2"/>
      <c r="B26" s="138" t="s">
        <v>25</v>
      </c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3"/>
      <c r="V26" s="124" t="s">
        <v>26</v>
      </c>
      <c r="W26" s="125"/>
      <c r="X26" s="125"/>
      <c r="Y26" s="125"/>
      <c r="Z26" s="125"/>
      <c r="AA26" s="125"/>
      <c r="AB26" s="125"/>
      <c r="AC26" s="125"/>
      <c r="AD26" s="125"/>
      <c r="AE26" s="126"/>
      <c r="AF26" s="3"/>
      <c r="AG26" s="3"/>
      <c r="AH26" s="4"/>
    </row>
    <row r="27" spans="1:34" ht="15" customHeight="1">
      <c r="A27" s="2"/>
      <c r="B27" s="130" t="s">
        <v>34</v>
      </c>
      <c r="C27" s="131"/>
      <c r="D27" s="131"/>
      <c r="E27" s="131"/>
      <c r="F27" s="131"/>
      <c r="G27" s="131"/>
      <c r="H27" s="131"/>
      <c r="I27" s="131"/>
      <c r="J27" s="131"/>
      <c r="K27" s="131"/>
      <c r="L27" s="131" t="s">
        <v>35</v>
      </c>
      <c r="M27" s="131"/>
      <c r="N27" s="131"/>
      <c r="O27" s="131"/>
      <c r="P27" s="131"/>
      <c r="Q27" s="131"/>
      <c r="R27" s="131"/>
      <c r="S27" s="131"/>
      <c r="T27" s="131"/>
      <c r="U27" s="132"/>
      <c r="V27" s="127"/>
      <c r="W27" s="128"/>
      <c r="X27" s="128"/>
      <c r="Y27" s="128"/>
      <c r="Z27" s="128"/>
      <c r="AA27" s="128"/>
      <c r="AB27" s="128"/>
      <c r="AC27" s="128"/>
      <c r="AD27" s="128"/>
      <c r="AE27" s="129"/>
      <c r="AF27" s="3"/>
      <c r="AG27" s="3"/>
      <c r="AH27" s="4"/>
    </row>
    <row r="28" spans="1:34" ht="15" customHeight="1">
      <c r="A28" s="2"/>
      <c r="B28" s="104" t="s">
        <v>29</v>
      </c>
      <c r="C28" s="105"/>
      <c r="D28" s="105"/>
      <c r="E28" s="105"/>
      <c r="F28" s="105"/>
      <c r="G28" s="105"/>
      <c r="H28" s="105"/>
      <c r="I28" s="105"/>
      <c r="J28" s="105"/>
      <c r="K28" s="105"/>
      <c r="L28" s="105" t="s">
        <v>30</v>
      </c>
      <c r="M28" s="105"/>
      <c r="N28" s="105"/>
      <c r="O28" s="105"/>
      <c r="P28" s="105"/>
      <c r="Q28" s="105"/>
      <c r="R28" s="105"/>
      <c r="S28" s="105"/>
      <c r="T28" s="105"/>
      <c r="U28" s="106"/>
      <c r="V28" s="107" t="s">
        <v>31</v>
      </c>
      <c r="W28" s="108"/>
      <c r="X28" s="108"/>
      <c r="Y28" s="108"/>
      <c r="Z28" s="108"/>
      <c r="AA28" s="108"/>
      <c r="AB28" s="108"/>
      <c r="AC28" s="108"/>
      <c r="AD28" s="108"/>
      <c r="AE28" s="109"/>
      <c r="AF28" s="3"/>
      <c r="AG28" s="3"/>
      <c r="AH28" s="4"/>
    </row>
    <row r="29" spans="1:34" ht="21" customHeight="1">
      <c r="A29" s="2"/>
      <c r="B29" s="133"/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5"/>
      <c r="V29" s="136"/>
      <c r="W29" s="137"/>
      <c r="X29" s="137"/>
      <c r="Y29" s="137"/>
      <c r="Z29" s="137"/>
      <c r="AA29" s="137"/>
      <c r="AB29" s="137"/>
      <c r="AC29" s="137"/>
      <c r="AD29" s="137" t="s">
        <v>32</v>
      </c>
      <c r="AE29" s="103"/>
      <c r="AF29" s="3"/>
      <c r="AG29" s="3"/>
      <c r="AH29" s="4"/>
    </row>
    <row r="30" spans="1:34" ht="7.5" customHeight="1">
      <c r="A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4"/>
    </row>
    <row r="31" spans="1:34" ht="21" customHeight="1">
      <c r="A31" s="2"/>
      <c r="B31" s="136" t="s">
        <v>36</v>
      </c>
      <c r="C31" s="137"/>
      <c r="D31" s="137"/>
      <c r="E31" s="137"/>
      <c r="F31" s="103"/>
      <c r="G31" s="8"/>
      <c r="H31" s="137" t="s">
        <v>37</v>
      </c>
      <c r="I31" s="137"/>
      <c r="J31" s="137"/>
      <c r="K31" s="137"/>
      <c r="L31" s="137" t="s">
        <v>38</v>
      </c>
      <c r="M31" s="137"/>
      <c r="N31" s="137"/>
      <c r="O31" s="137"/>
      <c r="P31" s="9"/>
      <c r="Q31" s="118" t="s">
        <v>39</v>
      </c>
      <c r="R31" s="119"/>
      <c r="S31" s="119"/>
      <c r="T31" s="119"/>
      <c r="U31" s="120"/>
      <c r="V31" s="136" t="s">
        <v>40</v>
      </c>
      <c r="W31" s="137"/>
      <c r="X31" s="137"/>
      <c r="Y31" s="137"/>
      <c r="Z31" s="137"/>
      <c r="AA31" s="137"/>
      <c r="AB31" s="137"/>
      <c r="AC31" s="137"/>
      <c r="AD31" s="137"/>
      <c r="AE31" s="103"/>
      <c r="AF31" s="3"/>
      <c r="AG31" s="3"/>
      <c r="AH31" s="4"/>
    </row>
    <row r="32" spans="1:34">
      <c r="A32" s="2"/>
      <c r="C32" s="148" t="s">
        <v>41</v>
      </c>
      <c r="D32" s="148"/>
      <c r="E32" s="148"/>
      <c r="F32" s="148"/>
      <c r="G32" s="10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4"/>
    </row>
    <row r="33" spans="1:34">
      <c r="A33" s="2"/>
      <c r="C33" s="149"/>
      <c r="D33" s="149"/>
      <c r="E33" s="149"/>
      <c r="F33" s="149"/>
      <c r="G33" s="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4"/>
    </row>
    <row r="34" spans="1:34">
      <c r="A34" s="2"/>
      <c r="B34" s="3"/>
      <c r="C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4"/>
    </row>
    <row r="35" spans="1:34">
      <c r="A35" s="2"/>
      <c r="B35" s="11" t="s">
        <v>42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4"/>
    </row>
    <row r="36" spans="1:34" ht="7.5" customHeight="1">
      <c r="A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4"/>
    </row>
    <row r="37" spans="1:34" ht="15" customHeight="1">
      <c r="A37" s="2"/>
      <c r="B37" s="138" t="s">
        <v>43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3"/>
      <c r="V37" s="139" t="s">
        <v>44</v>
      </c>
      <c r="W37" s="140"/>
      <c r="X37" s="140"/>
      <c r="Y37" s="140"/>
      <c r="Z37" s="140"/>
      <c r="AA37" s="140"/>
      <c r="AB37" s="140"/>
      <c r="AC37" s="140"/>
      <c r="AD37" s="140"/>
      <c r="AE37" s="141"/>
      <c r="AF37" s="3"/>
      <c r="AG37" s="3"/>
      <c r="AH37" s="4"/>
    </row>
    <row r="38" spans="1:34" ht="15" customHeight="1">
      <c r="A38" s="2"/>
      <c r="B38" s="130" t="s">
        <v>18</v>
      </c>
      <c r="C38" s="131"/>
      <c r="D38" s="131"/>
      <c r="E38" s="131"/>
      <c r="F38" s="131"/>
      <c r="G38" s="131"/>
      <c r="H38" s="131"/>
      <c r="I38" s="131"/>
      <c r="J38" s="131"/>
      <c r="K38" s="131"/>
      <c r="L38" s="131" t="s">
        <v>45</v>
      </c>
      <c r="M38" s="131"/>
      <c r="N38" s="131"/>
      <c r="O38" s="131"/>
      <c r="P38" s="131"/>
      <c r="Q38" s="131"/>
      <c r="R38" s="131"/>
      <c r="S38" s="131"/>
      <c r="T38" s="131"/>
      <c r="U38" s="132"/>
      <c r="V38" s="142"/>
      <c r="W38" s="143"/>
      <c r="X38" s="143"/>
      <c r="Y38" s="143"/>
      <c r="Z38" s="143"/>
      <c r="AA38" s="143"/>
      <c r="AB38" s="143"/>
      <c r="AC38" s="143"/>
      <c r="AD38" s="143"/>
      <c r="AE38" s="144"/>
      <c r="AF38" s="3"/>
      <c r="AG38" s="3"/>
      <c r="AH38" s="4"/>
    </row>
    <row r="39" spans="1:34" ht="15" customHeight="1">
      <c r="A39" s="2"/>
      <c r="B39" s="145" t="s">
        <v>46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 t="s">
        <v>47</v>
      </c>
      <c r="M39" s="146"/>
      <c r="N39" s="146"/>
      <c r="O39" s="146"/>
      <c r="P39" s="146"/>
      <c r="Q39" s="146"/>
      <c r="R39" s="146"/>
      <c r="S39" s="146"/>
      <c r="T39" s="146"/>
      <c r="U39" s="147"/>
      <c r="V39" s="145" t="s">
        <v>31</v>
      </c>
      <c r="W39" s="146"/>
      <c r="X39" s="146"/>
      <c r="Y39" s="146"/>
      <c r="Z39" s="146"/>
      <c r="AA39" s="146"/>
      <c r="AB39" s="146"/>
      <c r="AC39" s="146"/>
      <c r="AD39" s="146"/>
      <c r="AE39" s="147"/>
      <c r="AF39" s="3"/>
      <c r="AG39" s="3"/>
      <c r="AH39" s="4"/>
    </row>
    <row r="40" spans="1:34" ht="21" customHeight="1">
      <c r="A40" s="2"/>
      <c r="B40" s="110">
        <v>9.15</v>
      </c>
      <c r="C40" s="111"/>
      <c r="D40" s="111"/>
      <c r="E40" s="111"/>
      <c r="F40" s="111"/>
      <c r="G40" s="111"/>
      <c r="H40" s="111"/>
      <c r="I40" s="111"/>
      <c r="J40" s="111"/>
      <c r="K40" s="111"/>
      <c r="L40" s="193">
        <v>9.14</v>
      </c>
      <c r="M40" s="193"/>
      <c r="N40" s="193"/>
      <c r="O40" s="193"/>
      <c r="P40" s="193"/>
      <c r="Q40" s="193"/>
      <c r="R40" s="193"/>
      <c r="S40" s="193"/>
      <c r="T40" s="193"/>
      <c r="U40" s="265"/>
      <c r="V40" s="192">
        <f>100*(L40-B40)/Z5</f>
        <v>-3.9999999999999147E-2</v>
      </c>
      <c r="W40" s="193"/>
      <c r="X40" s="193"/>
      <c r="Y40" s="193"/>
      <c r="Z40" s="193"/>
      <c r="AA40" s="193"/>
      <c r="AB40" s="193"/>
      <c r="AC40" s="194"/>
      <c r="AD40" s="195" t="s">
        <v>32</v>
      </c>
      <c r="AE40" s="196"/>
      <c r="AF40" s="3"/>
      <c r="AG40" s="3"/>
      <c r="AH40" s="4"/>
    </row>
    <row r="41" spans="1:34" ht="21" customHeight="1">
      <c r="A41" s="2"/>
      <c r="B41" s="136" t="s">
        <v>36</v>
      </c>
      <c r="C41" s="137"/>
      <c r="D41" s="137"/>
      <c r="E41" s="137"/>
      <c r="F41" s="103"/>
      <c r="G41" s="8"/>
      <c r="H41" s="137" t="s">
        <v>37</v>
      </c>
      <c r="I41" s="137"/>
      <c r="J41" s="137"/>
      <c r="K41" s="137"/>
      <c r="L41" s="137" t="s">
        <v>38</v>
      </c>
      <c r="M41" s="137"/>
      <c r="N41" s="137"/>
      <c r="O41" s="137"/>
      <c r="P41" s="9"/>
      <c r="Q41" s="118" t="s">
        <v>39</v>
      </c>
      <c r="R41" s="119"/>
      <c r="S41" s="119"/>
      <c r="T41" s="119"/>
      <c r="U41" s="120"/>
      <c r="V41" s="136" t="s">
        <v>48</v>
      </c>
      <c r="W41" s="137"/>
      <c r="X41" s="137"/>
      <c r="Y41" s="137"/>
      <c r="Z41" s="137"/>
      <c r="AA41" s="137"/>
      <c r="AB41" s="137"/>
      <c r="AC41" s="137"/>
      <c r="AD41" s="137"/>
      <c r="AE41" s="103"/>
      <c r="AF41" s="3"/>
      <c r="AG41" s="3"/>
      <c r="AH41" s="4"/>
    </row>
    <row r="42" spans="1:34">
      <c r="A42" s="2"/>
      <c r="B42" s="150" t="s">
        <v>41</v>
      </c>
      <c r="C42" s="150"/>
      <c r="D42" s="150"/>
      <c r="E42" s="150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4"/>
    </row>
    <row r="43" spans="1:34" ht="15.75" thickBot="1">
      <c r="A43" s="2"/>
      <c r="B43" s="150"/>
      <c r="C43" s="150"/>
      <c r="D43" s="150"/>
      <c r="E43" s="150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4"/>
    </row>
    <row r="44" spans="1:34" ht="10.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151" t="s">
        <v>49</v>
      </c>
      <c r="Z44" s="152"/>
      <c r="AA44" s="152"/>
      <c r="AB44" s="152"/>
      <c r="AC44" s="153"/>
      <c r="AD44" s="157" t="s">
        <v>50</v>
      </c>
      <c r="AE44" s="157"/>
      <c r="AF44" s="157"/>
      <c r="AG44" s="157"/>
      <c r="AH44" s="158"/>
    </row>
    <row r="45" spans="1:34" ht="15.75" thickBot="1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154"/>
      <c r="Z45" s="155"/>
      <c r="AA45" s="155"/>
      <c r="AB45" s="155"/>
      <c r="AC45" s="156"/>
      <c r="AD45" s="159"/>
      <c r="AE45" s="159"/>
      <c r="AF45" s="159"/>
      <c r="AG45" s="159"/>
      <c r="AH45" s="160"/>
    </row>
    <row r="46" spans="1:34" ht="15" customHeight="1">
      <c r="A46" s="2"/>
      <c r="B46" s="161" t="s">
        <v>51</v>
      </c>
      <c r="C46" s="162"/>
      <c r="D46" s="162"/>
      <c r="E46" s="162"/>
      <c r="F46" s="162"/>
      <c r="G46" s="163"/>
      <c r="H46" s="170" t="s">
        <v>37</v>
      </c>
      <c r="I46" s="171"/>
      <c r="J46" s="171"/>
      <c r="K46" s="171"/>
      <c r="L46" s="171"/>
      <c r="M46" s="172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176"/>
      <c r="Z46" s="177"/>
      <c r="AA46" s="177"/>
      <c r="AB46" s="177"/>
      <c r="AC46" s="178"/>
      <c r="AD46" s="183"/>
      <c r="AE46" s="184"/>
      <c r="AF46" s="184"/>
      <c r="AG46" s="184"/>
      <c r="AH46" s="185"/>
    </row>
    <row r="47" spans="1:34" ht="15" customHeight="1">
      <c r="A47" s="2"/>
      <c r="B47" s="164"/>
      <c r="C47" s="165"/>
      <c r="D47" s="165"/>
      <c r="E47" s="165"/>
      <c r="F47" s="165"/>
      <c r="G47" s="166"/>
      <c r="H47" s="173"/>
      <c r="I47" s="174"/>
      <c r="J47" s="174"/>
      <c r="K47" s="174"/>
      <c r="L47" s="174"/>
      <c r="M47" s="175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179"/>
      <c r="Z47" s="177"/>
      <c r="AA47" s="177"/>
      <c r="AB47" s="177"/>
      <c r="AC47" s="178"/>
      <c r="AD47" s="184"/>
      <c r="AE47" s="184"/>
      <c r="AF47" s="184"/>
      <c r="AG47" s="184"/>
      <c r="AH47" s="185"/>
    </row>
    <row r="48" spans="1:34" ht="15" customHeight="1">
      <c r="A48" s="2"/>
      <c r="B48" s="164"/>
      <c r="C48" s="165"/>
      <c r="D48" s="165"/>
      <c r="E48" s="165"/>
      <c r="F48" s="165"/>
      <c r="G48" s="166"/>
      <c r="H48" s="173" t="s">
        <v>38</v>
      </c>
      <c r="I48" s="174"/>
      <c r="J48" s="174"/>
      <c r="K48" s="174"/>
      <c r="L48" s="174"/>
      <c r="M48" s="175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179"/>
      <c r="Z48" s="177"/>
      <c r="AA48" s="177"/>
      <c r="AB48" s="177"/>
      <c r="AC48" s="178"/>
      <c r="AD48" s="184"/>
      <c r="AE48" s="184"/>
      <c r="AF48" s="184"/>
      <c r="AG48" s="184"/>
      <c r="AH48" s="185"/>
    </row>
    <row r="49" spans="1:34" ht="15" customHeight="1" thickBot="1">
      <c r="A49" s="2"/>
      <c r="B49" s="167"/>
      <c r="C49" s="168"/>
      <c r="D49" s="168"/>
      <c r="E49" s="168"/>
      <c r="F49" s="168"/>
      <c r="G49" s="169"/>
      <c r="H49" s="188"/>
      <c r="I49" s="189"/>
      <c r="J49" s="189"/>
      <c r="K49" s="189"/>
      <c r="L49" s="189"/>
      <c r="M49" s="190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179"/>
      <c r="Z49" s="177"/>
      <c r="AA49" s="177"/>
      <c r="AB49" s="177"/>
      <c r="AC49" s="178"/>
      <c r="AD49" s="184"/>
      <c r="AE49" s="184"/>
      <c r="AF49" s="184"/>
      <c r="AG49" s="184"/>
      <c r="AH49" s="185"/>
    </row>
    <row r="50" spans="1:34" ht="10.5" customHeight="1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180"/>
      <c r="Z50" s="181"/>
      <c r="AA50" s="181"/>
      <c r="AB50" s="181"/>
      <c r="AC50" s="182"/>
      <c r="AD50" s="186"/>
      <c r="AE50" s="186"/>
      <c r="AF50" s="186"/>
      <c r="AG50" s="186"/>
      <c r="AH50" s="187"/>
    </row>
    <row r="51" spans="1:34" s="13" customFormat="1" ht="22.5" customHeight="1" thickBot="1">
      <c r="A51" s="199" t="s">
        <v>76</v>
      </c>
      <c r="B51" s="200"/>
      <c r="C51" s="200"/>
      <c r="D51" s="200"/>
      <c r="E51" s="200" t="s">
        <v>52</v>
      </c>
      <c r="F51" s="200"/>
      <c r="G51" s="200"/>
      <c r="H51" s="200"/>
      <c r="I51" s="201"/>
      <c r="J51" s="202" t="s">
        <v>77</v>
      </c>
      <c r="K51" s="200"/>
      <c r="L51" s="200"/>
      <c r="M51" s="200"/>
      <c r="N51" s="200" t="s">
        <v>78</v>
      </c>
      <c r="O51" s="200"/>
      <c r="P51" s="200"/>
      <c r="Q51" s="201"/>
      <c r="R51" s="203"/>
      <c r="S51" s="204"/>
      <c r="T51" s="204"/>
      <c r="U51" s="204"/>
      <c r="V51" s="204"/>
      <c r="W51" s="204"/>
      <c r="X51" s="205"/>
      <c r="Y51" s="202" t="s">
        <v>79</v>
      </c>
      <c r="Z51" s="200"/>
      <c r="AA51" s="200"/>
      <c r="AB51" s="200"/>
      <c r="AC51" s="200"/>
      <c r="AD51" s="197">
        <v>41883</v>
      </c>
      <c r="AE51" s="197"/>
      <c r="AF51" s="197"/>
      <c r="AG51" s="197"/>
      <c r="AH51" s="198"/>
    </row>
    <row r="53" spans="1:34" ht="15.75" thickBot="1"/>
    <row r="54" spans="1:34" ht="27" customHeight="1">
      <c r="A54" s="45" t="s">
        <v>53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7"/>
      <c r="AD54" s="48" t="s">
        <v>54</v>
      </c>
      <c r="AE54" s="49"/>
      <c r="AF54" s="49"/>
      <c r="AG54" s="50" t="s">
        <v>2</v>
      </c>
      <c r="AH54" s="51"/>
    </row>
    <row r="55" spans="1:34" ht="19.5" customHeight="1">
      <c r="A55" s="52" t="s">
        <v>3</v>
      </c>
      <c r="B55" s="53"/>
      <c r="C55" s="53"/>
      <c r="D55" s="53"/>
      <c r="E55" s="53"/>
      <c r="F55" s="53"/>
      <c r="G55" s="54" t="s">
        <v>85</v>
      </c>
      <c r="H55" s="55"/>
      <c r="I55" s="55"/>
      <c r="J55" s="55"/>
      <c r="K55" s="55"/>
      <c r="L55" s="55"/>
      <c r="M55" s="55"/>
      <c r="N55" s="55"/>
      <c r="O55" s="55"/>
      <c r="P55" s="55"/>
      <c r="Q55" s="56"/>
      <c r="R55" s="28" t="s">
        <v>4</v>
      </c>
      <c r="S55" s="29"/>
      <c r="T55" s="29"/>
      <c r="U55" s="29"/>
      <c r="V55" s="29"/>
      <c r="W55" s="30"/>
      <c r="X55" s="31">
        <f>X2</f>
        <v>42886</v>
      </c>
      <c r="Y55" s="32"/>
      <c r="Z55" s="32"/>
      <c r="AA55" s="32"/>
      <c r="AB55" s="32"/>
      <c r="AC55" s="32"/>
      <c r="AD55" s="32"/>
      <c r="AE55" s="32"/>
      <c r="AF55" s="32"/>
      <c r="AG55" s="32"/>
      <c r="AH55" s="33"/>
    </row>
    <row r="56" spans="1:34" ht="19.5" customHeight="1">
      <c r="A56" s="34" t="s">
        <v>55</v>
      </c>
      <c r="B56" s="35"/>
      <c r="C56" s="35"/>
      <c r="D56" s="35"/>
      <c r="E56" s="35"/>
      <c r="F56" s="35"/>
      <c r="G56" s="25" t="s">
        <v>83</v>
      </c>
      <c r="H56" s="26"/>
      <c r="I56" s="26"/>
      <c r="J56" s="26"/>
      <c r="K56" s="26"/>
      <c r="L56" s="26"/>
      <c r="M56" s="26"/>
      <c r="N56" s="26"/>
      <c r="O56" s="26"/>
      <c r="P56" s="26"/>
      <c r="Q56" s="27"/>
      <c r="R56" s="28" t="s">
        <v>6</v>
      </c>
      <c r="S56" s="29"/>
      <c r="T56" s="29"/>
      <c r="U56" s="29"/>
      <c r="V56" s="29"/>
      <c r="W56" s="30"/>
      <c r="X56" s="31">
        <f>X3</f>
        <v>43251</v>
      </c>
      <c r="Y56" s="32"/>
      <c r="Z56" s="32"/>
      <c r="AA56" s="32"/>
      <c r="AB56" s="32"/>
      <c r="AC56" s="32"/>
      <c r="AD56" s="32"/>
      <c r="AE56" s="32"/>
      <c r="AF56" s="32"/>
      <c r="AG56" s="32"/>
      <c r="AH56" s="33"/>
    </row>
    <row r="57" spans="1:34" ht="19.5" customHeight="1">
      <c r="A57" s="34" t="s">
        <v>7</v>
      </c>
      <c r="B57" s="35"/>
      <c r="C57" s="35"/>
      <c r="D57" s="35"/>
      <c r="E57" s="35"/>
      <c r="F57" s="35"/>
      <c r="G57" s="36" t="s">
        <v>84</v>
      </c>
      <c r="H57" s="37"/>
      <c r="I57" s="37"/>
      <c r="J57" s="37"/>
      <c r="K57" s="37"/>
      <c r="L57" s="37"/>
      <c r="M57" s="37"/>
      <c r="N57" s="37"/>
      <c r="O57" s="37"/>
      <c r="P57" s="37"/>
      <c r="Q57" s="38"/>
      <c r="R57" s="39" t="s">
        <v>8</v>
      </c>
      <c r="S57" s="40"/>
      <c r="T57" s="40"/>
      <c r="U57" s="40"/>
      <c r="V57" s="40"/>
      <c r="W57" s="41"/>
      <c r="X57" s="42" t="s">
        <v>9</v>
      </c>
      <c r="Y57" s="43"/>
      <c r="Z57" s="43"/>
      <c r="AA57" s="43"/>
      <c r="AB57" s="43"/>
      <c r="AC57" s="43"/>
      <c r="AD57" s="43"/>
      <c r="AE57" s="43"/>
      <c r="AF57" s="43"/>
      <c r="AG57" s="43"/>
      <c r="AH57" s="44"/>
    </row>
    <row r="58" spans="1:34" ht="19.5" customHeight="1">
      <c r="A58" s="65" t="s">
        <v>10</v>
      </c>
      <c r="B58" s="66"/>
      <c r="C58" s="66"/>
      <c r="D58" s="66"/>
      <c r="E58" s="66"/>
      <c r="F58" s="67"/>
      <c r="G58" s="68" t="s">
        <v>80</v>
      </c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9" t="s">
        <v>11</v>
      </c>
      <c r="S58" s="69"/>
      <c r="T58" s="69"/>
      <c r="U58" s="69"/>
      <c r="V58" s="69"/>
      <c r="W58" s="69"/>
      <c r="X58" s="70" t="s">
        <v>12</v>
      </c>
      <c r="Y58" s="71"/>
      <c r="Z58" s="72">
        <f>Z5</f>
        <v>25</v>
      </c>
      <c r="AA58" s="73"/>
      <c r="AB58" s="73"/>
      <c r="AC58" s="73"/>
      <c r="AD58" s="74" t="s">
        <v>32</v>
      </c>
      <c r="AE58" s="74"/>
      <c r="AF58" s="74"/>
      <c r="AG58" s="74"/>
      <c r="AH58" s="75"/>
    </row>
    <row r="59" spans="1:34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4"/>
    </row>
    <row r="60" spans="1:34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4"/>
    </row>
    <row r="61" spans="1:34">
      <c r="A61" s="2"/>
      <c r="B61" s="7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4"/>
    </row>
    <row r="62" spans="1:34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4"/>
    </row>
    <row r="63" spans="1:34" ht="15" customHeight="1">
      <c r="A63" s="2"/>
      <c r="B63" s="213"/>
      <c r="C63" s="214"/>
      <c r="D63" s="214"/>
      <c r="E63" s="215"/>
      <c r="F63" s="138" t="s">
        <v>58</v>
      </c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3"/>
      <c r="T63" s="138" t="s">
        <v>20</v>
      </c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3"/>
      <c r="AH63" s="4"/>
    </row>
    <row r="64" spans="1:34" ht="39.75" customHeight="1">
      <c r="A64" s="2"/>
      <c r="B64" s="216"/>
      <c r="C64" s="217"/>
      <c r="D64" s="217"/>
      <c r="E64" s="218"/>
      <c r="F64" s="130" t="s">
        <v>45</v>
      </c>
      <c r="G64" s="131"/>
      <c r="H64" s="131"/>
      <c r="I64" s="131"/>
      <c r="J64" s="131"/>
      <c r="K64" s="219" t="s">
        <v>59</v>
      </c>
      <c r="L64" s="220"/>
      <c r="M64" s="220"/>
      <c r="N64" s="220"/>
      <c r="O64" s="221" t="s">
        <v>60</v>
      </c>
      <c r="P64" s="131"/>
      <c r="Q64" s="131"/>
      <c r="R64" s="131"/>
      <c r="S64" s="132"/>
      <c r="T64" s="130" t="s">
        <v>45</v>
      </c>
      <c r="U64" s="131"/>
      <c r="V64" s="131"/>
      <c r="W64" s="131"/>
      <c r="X64" s="131"/>
      <c r="Y64" s="219" t="s">
        <v>59</v>
      </c>
      <c r="Z64" s="220"/>
      <c r="AA64" s="220"/>
      <c r="AB64" s="220"/>
      <c r="AC64" s="221" t="s">
        <v>60</v>
      </c>
      <c r="AD64" s="131"/>
      <c r="AE64" s="131"/>
      <c r="AF64" s="131"/>
      <c r="AG64" s="132"/>
      <c r="AH64" s="4"/>
    </row>
    <row r="65" spans="1:34" ht="15" customHeight="1">
      <c r="A65" s="2"/>
      <c r="B65" s="216"/>
      <c r="C65" s="217"/>
      <c r="D65" s="217"/>
      <c r="E65" s="218"/>
      <c r="F65" s="130" t="s">
        <v>61</v>
      </c>
      <c r="G65" s="131"/>
      <c r="H65" s="131"/>
      <c r="I65" s="131"/>
      <c r="J65" s="131"/>
      <c r="K65" s="131" t="s">
        <v>62</v>
      </c>
      <c r="L65" s="131"/>
      <c r="M65" s="131"/>
      <c r="N65" s="131"/>
      <c r="O65" s="131" t="s">
        <v>63</v>
      </c>
      <c r="P65" s="131"/>
      <c r="Q65" s="131"/>
      <c r="R65" s="131"/>
      <c r="S65" s="132"/>
      <c r="T65" s="130" t="s">
        <v>64</v>
      </c>
      <c r="U65" s="131"/>
      <c r="V65" s="131"/>
      <c r="W65" s="131"/>
      <c r="X65" s="131"/>
      <c r="Y65" s="131" t="s">
        <v>65</v>
      </c>
      <c r="Z65" s="131"/>
      <c r="AA65" s="131"/>
      <c r="AB65" s="131"/>
      <c r="AC65" s="131" t="s">
        <v>66</v>
      </c>
      <c r="AD65" s="131"/>
      <c r="AE65" s="131"/>
      <c r="AF65" s="131"/>
      <c r="AG65" s="132"/>
      <c r="AH65" s="4"/>
    </row>
    <row r="66" spans="1:34" ht="15" customHeight="1">
      <c r="A66" s="2"/>
      <c r="B66" s="206"/>
      <c r="C66" s="207"/>
      <c r="D66" s="208" t="s">
        <v>67</v>
      </c>
      <c r="E66" s="209"/>
      <c r="F66" s="210"/>
      <c r="G66" s="211"/>
      <c r="H66" s="211"/>
      <c r="I66" s="211"/>
      <c r="J66" s="211"/>
      <c r="K66" s="211"/>
      <c r="L66" s="211"/>
      <c r="M66" s="211"/>
      <c r="N66" s="211"/>
      <c r="O66" s="211" t="s">
        <v>32</v>
      </c>
      <c r="P66" s="211"/>
      <c r="Q66" s="211"/>
      <c r="R66" s="211"/>
      <c r="S66" s="212"/>
      <c r="T66" s="210"/>
      <c r="U66" s="211"/>
      <c r="V66" s="211"/>
      <c r="W66" s="211"/>
      <c r="X66" s="211"/>
      <c r="Y66" s="211"/>
      <c r="Z66" s="211"/>
      <c r="AA66" s="211"/>
      <c r="AB66" s="211"/>
      <c r="AC66" s="211" t="s">
        <v>32</v>
      </c>
      <c r="AD66" s="211"/>
      <c r="AE66" s="211"/>
      <c r="AF66" s="211"/>
      <c r="AG66" s="212"/>
      <c r="AH66" s="4"/>
    </row>
    <row r="67" spans="1:34" ht="21" customHeight="1">
      <c r="A67" s="2"/>
      <c r="B67" s="124" t="s">
        <v>68</v>
      </c>
      <c r="C67" s="125"/>
      <c r="D67" s="125"/>
      <c r="E67" s="126"/>
      <c r="F67" s="222">
        <v>0.03</v>
      </c>
      <c r="G67" s="223"/>
      <c r="H67" s="223"/>
      <c r="I67" s="223"/>
      <c r="J67" s="224"/>
      <c r="K67" s="225">
        <f>F67-$F$70</f>
        <v>0</v>
      </c>
      <c r="L67" s="225"/>
      <c r="M67" s="225"/>
      <c r="N67" s="226"/>
      <c r="O67" s="225">
        <f>K67/$Z$58*100</f>
        <v>0</v>
      </c>
      <c r="P67" s="225"/>
      <c r="Q67" s="225"/>
      <c r="R67" s="225"/>
      <c r="S67" s="227"/>
      <c r="T67" s="228">
        <v>23.07</v>
      </c>
      <c r="U67" s="229"/>
      <c r="V67" s="229"/>
      <c r="W67" s="229"/>
      <c r="X67" s="230"/>
      <c r="Y67" s="225">
        <f>T67-$T$70</f>
        <v>0</v>
      </c>
      <c r="Z67" s="225"/>
      <c r="AA67" s="225"/>
      <c r="AB67" s="226"/>
      <c r="AC67" s="231">
        <f>Y67/$Z$58*100</f>
        <v>0</v>
      </c>
      <c r="AD67" s="231"/>
      <c r="AE67" s="231"/>
      <c r="AF67" s="231"/>
      <c r="AG67" s="232"/>
      <c r="AH67" s="4"/>
    </row>
    <row r="68" spans="1:34" ht="21" customHeight="1">
      <c r="A68" s="2"/>
      <c r="B68" s="124" t="s">
        <v>69</v>
      </c>
      <c r="C68" s="125"/>
      <c r="D68" s="125"/>
      <c r="E68" s="126"/>
      <c r="F68" s="241">
        <v>0.02</v>
      </c>
      <c r="G68" s="242"/>
      <c r="H68" s="242"/>
      <c r="I68" s="242"/>
      <c r="J68" s="243"/>
      <c r="K68" s="231">
        <f t="shared" ref="K68:K69" si="0">F68-$F$70</f>
        <v>-9.9999999999999985E-3</v>
      </c>
      <c r="L68" s="231"/>
      <c r="M68" s="231"/>
      <c r="N68" s="231"/>
      <c r="O68" s="231">
        <f>K68/$Z$58*100</f>
        <v>-3.9999999999999994E-2</v>
      </c>
      <c r="P68" s="231"/>
      <c r="Q68" s="231"/>
      <c r="R68" s="231"/>
      <c r="S68" s="232"/>
      <c r="T68" s="244">
        <v>23.07</v>
      </c>
      <c r="U68" s="231"/>
      <c r="V68" s="231"/>
      <c r="W68" s="231"/>
      <c r="X68" s="245"/>
      <c r="Y68" s="231">
        <f t="shared" ref="Y68:Y69" si="1">T68-$T$70</f>
        <v>0</v>
      </c>
      <c r="Z68" s="231"/>
      <c r="AA68" s="231"/>
      <c r="AB68" s="231"/>
      <c r="AC68" s="231">
        <f>Y68/$Z$58*100</f>
        <v>0</v>
      </c>
      <c r="AD68" s="231"/>
      <c r="AE68" s="231"/>
      <c r="AF68" s="231"/>
      <c r="AG68" s="232"/>
      <c r="AH68" s="4"/>
    </row>
    <row r="69" spans="1:34" ht="21" customHeight="1">
      <c r="A69" s="2"/>
      <c r="B69" s="124" t="s">
        <v>70</v>
      </c>
      <c r="C69" s="125"/>
      <c r="D69" s="125"/>
      <c r="E69" s="126"/>
      <c r="F69" s="233">
        <v>0.03</v>
      </c>
      <c r="G69" s="234"/>
      <c r="H69" s="234"/>
      <c r="I69" s="234"/>
      <c r="J69" s="235"/>
      <c r="K69" s="236">
        <f t="shared" si="0"/>
        <v>0</v>
      </c>
      <c r="L69" s="236"/>
      <c r="M69" s="236"/>
      <c r="N69" s="237"/>
      <c r="O69" s="238">
        <f>K69/$Z$58*100</f>
        <v>0</v>
      </c>
      <c r="P69" s="238"/>
      <c r="Q69" s="238"/>
      <c r="R69" s="238"/>
      <c r="S69" s="239"/>
      <c r="T69" s="233">
        <v>23.08</v>
      </c>
      <c r="U69" s="234"/>
      <c r="V69" s="234"/>
      <c r="W69" s="234"/>
      <c r="X69" s="234"/>
      <c r="Y69" s="236">
        <f t="shared" si="1"/>
        <v>9.9999999999980105E-3</v>
      </c>
      <c r="Z69" s="236"/>
      <c r="AA69" s="236"/>
      <c r="AB69" s="237"/>
      <c r="AC69" s="231">
        <f>Y69/$Z$58*100</f>
        <v>3.9999999999992042E-2</v>
      </c>
      <c r="AD69" s="231"/>
      <c r="AE69" s="231"/>
      <c r="AF69" s="231"/>
      <c r="AG69" s="232"/>
      <c r="AH69" s="4"/>
    </row>
    <row r="70" spans="1:34" ht="21" customHeight="1">
      <c r="A70" s="2"/>
      <c r="B70" s="249" t="s">
        <v>71</v>
      </c>
      <c r="C70" s="137"/>
      <c r="D70" s="137"/>
      <c r="E70" s="103"/>
      <c r="F70" s="222">
        <f>ROUND(AVERAGE(F67:J69),2)</f>
        <v>0.03</v>
      </c>
      <c r="G70" s="223"/>
      <c r="H70" s="223"/>
      <c r="I70" s="223"/>
      <c r="J70" s="224"/>
      <c r="K70" s="250" t="s">
        <v>72</v>
      </c>
      <c r="L70" s="251"/>
      <c r="M70" s="251"/>
      <c r="N70" s="252"/>
      <c r="O70" s="253">
        <f>ROUND(AVERAGE(O67:S69),2)</f>
        <v>-0.01</v>
      </c>
      <c r="P70" s="254"/>
      <c r="Q70" s="254"/>
      <c r="R70" s="254"/>
      <c r="S70" s="255"/>
      <c r="T70" s="256">
        <f>ROUND(AVERAGE(T67:X69),2)</f>
        <v>23.07</v>
      </c>
      <c r="U70" s="112"/>
      <c r="V70" s="112"/>
      <c r="W70" s="112"/>
      <c r="X70" s="112"/>
      <c r="Y70" s="250" t="s">
        <v>72</v>
      </c>
      <c r="Z70" s="251"/>
      <c r="AA70" s="251"/>
      <c r="AB70" s="252"/>
      <c r="AC70" s="112">
        <f>ROUND(AVERAGE(AC67:AG69),2)</f>
        <v>0.01</v>
      </c>
      <c r="AD70" s="112"/>
      <c r="AE70" s="112"/>
      <c r="AF70" s="112"/>
      <c r="AG70" s="113"/>
      <c r="AH70" s="4"/>
    </row>
    <row r="71" spans="1:34" ht="27" customHeight="1">
      <c r="A71" s="2"/>
      <c r="B71" s="136" t="s">
        <v>36</v>
      </c>
      <c r="C71" s="137"/>
      <c r="D71" s="137"/>
      <c r="E71" s="103"/>
      <c r="F71" s="12"/>
      <c r="G71" s="137" t="s">
        <v>37</v>
      </c>
      <c r="H71" s="137"/>
      <c r="I71" s="137"/>
      <c r="J71" s="137"/>
      <c r="K71" s="137" t="s">
        <v>38</v>
      </c>
      <c r="L71" s="137"/>
      <c r="M71" s="137"/>
      <c r="N71" s="137"/>
      <c r="O71" s="246" t="s">
        <v>39</v>
      </c>
      <c r="P71" s="247"/>
      <c r="Q71" s="247"/>
      <c r="R71" s="247"/>
      <c r="S71" s="248"/>
      <c r="T71" s="89" t="s">
        <v>73</v>
      </c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4"/>
    </row>
    <row r="72" spans="1:34">
      <c r="A72" s="2"/>
      <c r="B72" s="150" t="s">
        <v>41</v>
      </c>
      <c r="C72" s="150"/>
      <c r="D72" s="150"/>
      <c r="E72" s="15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4"/>
    </row>
    <row r="73" spans="1:34">
      <c r="A73" s="2"/>
      <c r="B73" s="150"/>
      <c r="C73" s="150"/>
      <c r="D73" s="150"/>
      <c r="E73" s="15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4"/>
    </row>
    <row r="74" spans="1:34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4"/>
    </row>
    <row r="75" spans="1:34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4"/>
    </row>
    <row r="76" spans="1:34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4"/>
    </row>
    <row r="77" spans="1:34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4"/>
    </row>
    <row r="78" spans="1:34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4"/>
    </row>
    <row r="79" spans="1:34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4"/>
    </row>
    <row r="80" spans="1:34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4"/>
    </row>
    <row r="81" spans="1:34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4"/>
    </row>
    <row r="82" spans="1:34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4"/>
    </row>
    <row r="83" spans="1:34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4"/>
    </row>
    <row r="84" spans="1:34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4"/>
    </row>
    <row r="85" spans="1:34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4"/>
    </row>
    <row r="86" spans="1:34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4"/>
    </row>
    <row r="87" spans="1:34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4"/>
    </row>
    <row r="88" spans="1:34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4"/>
    </row>
    <row r="89" spans="1:34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4"/>
    </row>
    <row r="90" spans="1:34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4"/>
    </row>
    <row r="91" spans="1:34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4"/>
    </row>
    <row r="92" spans="1:34" ht="4.5" customHeight="1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4"/>
    </row>
    <row r="93" spans="1:34" ht="15.75" thickBot="1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4"/>
    </row>
    <row r="94" spans="1:34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151" t="s">
        <v>49</v>
      </c>
      <c r="Z94" s="152"/>
      <c r="AA94" s="152"/>
      <c r="AB94" s="152"/>
      <c r="AC94" s="153"/>
      <c r="AD94" s="157" t="s">
        <v>50</v>
      </c>
      <c r="AE94" s="157"/>
      <c r="AF94" s="157"/>
      <c r="AG94" s="157"/>
      <c r="AH94" s="158"/>
    </row>
    <row r="95" spans="1:34" ht="15.75" thickBot="1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154"/>
      <c r="Z95" s="155"/>
      <c r="AA95" s="155"/>
      <c r="AB95" s="155"/>
      <c r="AC95" s="156"/>
      <c r="AD95" s="159"/>
      <c r="AE95" s="159"/>
      <c r="AF95" s="159"/>
      <c r="AG95" s="159"/>
      <c r="AH95" s="160"/>
    </row>
    <row r="96" spans="1:34" ht="15" customHeight="1">
      <c r="A96" s="2"/>
      <c r="B96" s="161" t="s">
        <v>51</v>
      </c>
      <c r="C96" s="171"/>
      <c r="D96" s="171"/>
      <c r="E96" s="171"/>
      <c r="F96" s="171"/>
      <c r="G96" s="171"/>
      <c r="H96" s="170" t="s">
        <v>37</v>
      </c>
      <c r="I96" s="171"/>
      <c r="J96" s="171"/>
      <c r="K96" s="171"/>
      <c r="L96" s="171"/>
      <c r="M96" s="172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176"/>
      <c r="Z96" s="177"/>
      <c r="AA96" s="177"/>
      <c r="AB96" s="177"/>
      <c r="AC96" s="178"/>
      <c r="AD96" s="183"/>
      <c r="AE96" s="184"/>
      <c r="AF96" s="184"/>
      <c r="AG96" s="184"/>
      <c r="AH96" s="185"/>
    </row>
    <row r="97" spans="1:34" ht="15" customHeight="1">
      <c r="A97" s="2"/>
      <c r="B97" s="173"/>
      <c r="C97" s="174"/>
      <c r="D97" s="174"/>
      <c r="E97" s="174"/>
      <c r="F97" s="174"/>
      <c r="G97" s="174"/>
      <c r="H97" s="173"/>
      <c r="I97" s="174"/>
      <c r="J97" s="174"/>
      <c r="K97" s="174"/>
      <c r="L97" s="174"/>
      <c r="M97" s="175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179"/>
      <c r="Z97" s="177"/>
      <c r="AA97" s="177"/>
      <c r="AB97" s="177"/>
      <c r="AC97" s="178"/>
      <c r="AD97" s="184"/>
      <c r="AE97" s="184"/>
      <c r="AF97" s="184"/>
      <c r="AG97" s="184"/>
      <c r="AH97" s="185"/>
    </row>
    <row r="98" spans="1:34" ht="15" customHeight="1">
      <c r="A98" s="2"/>
      <c r="B98" s="173"/>
      <c r="C98" s="174"/>
      <c r="D98" s="174"/>
      <c r="E98" s="174"/>
      <c r="F98" s="174"/>
      <c r="G98" s="174"/>
      <c r="H98" s="173" t="s">
        <v>38</v>
      </c>
      <c r="I98" s="174"/>
      <c r="J98" s="174"/>
      <c r="K98" s="174"/>
      <c r="L98" s="174"/>
      <c r="M98" s="175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179"/>
      <c r="Z98" s="177"/>
      <c r="AA98" s="177"/>
      <c r="AB98" s="177"/>
      <c r="AC98" s="178"/>
      <c r="AD98" s="184"/>
      <c r="AE98" s="184"/>
      <c r="AF98" s="184"/>
      <c r="AG98" s="184"/>
      <c r="AH98" s="185"/>
    </row>
    <row r="99" spans="1:34" ht="15.75" customHeight="1" thickBot="1">
      <c r="A99" s="2"/>
      <c r="B99" s="188"/>
      <c r="C99" s="189"/>
      <c r="D99" s="189"/>
      <c r="E99" s="189"/>
      <c r="F99" s="189"/>
      <c r="G99" s="189"/>
      <c r="H99" s="188"/>
      <c r="I99" s="189"/>
      <c r="J99" s="189"/>
      <c r="K99" s="189"/>
      <c r="L99" s="189"/>
      <c r="M99" s="190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179"/>
      <c r="Z99" s="177"/>
      <c r="AA99" s="177"/>
      <c r="AB99" s="177"/>
      <c r="AC99" s="178"/>
      <c r="AD99" s="184"/>
      <c r="AE99" s="184"/>
      <c r="AF99" s="184"/>
      <c r="AG99" s="184"/>
      <c r="AH99" s="185"/>
    </row>
    <row r="100" spans="1:34" ht="9" customHeight="1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180"/>
      <c r="Z100" s="181"/>
      <c r="AA100" s="181"/>
      <c r="AB100" s="181"/>
      <c r="AC100" s="182"/>
      <c r="AD100" s="186"/>
      <c r="AE100" s="186"/>
      <c r="AF100" s="186"/>
      <c r="AG100" s="186"/>
      <c r="AH100" s="187"/>
    </row>
    <row r="101" spans="1:34" s="13" customFormat="1" ht="22.5" customHeight="1" thickBot="1">
      <c r="A101" s="199" t="s">
        <v>76</v>
      </c>
      <c r="B101" s="200"/>
      <c r="C101" s="200"/>
      <c r="D101" s="200"/>
      <c r="E101" s="200" t="s">
        <v>52</v>
      </c>
      <c r="F101" s="200"/>
      <c r="G101" s="200"/>
      <c r="H101" s="200"/>
      <c r="I101" s="201"/>
      <c r="J101" s="202" t="s">
        <v>77</v>
      </c>
      <c r="K101" s="200"/>
      <c r="L101" s="200"/>
      <c r="M101" s="200"/>
      <c r="N101" s="200" t="s">
        <v>78</v>
      </c>
      <c r="O101" s="200"/>
      <c r="P101" s="200"/>
      <c r="Q101" s="201"/>
      <c r="R101" s="203"/>
      <c r="S101" s="204"/>
      <c r="T101" s="204"/>
      <c r="U101" s="204"/>
      <c r="V101" s="204"/>
      <c r="W101" s="204"/>
      <c r="X101" s="205"/>
      <c r="Y101" s="202" t="s">
        <v>79</v>
      </c>
      <c r="Z101" s="200"/>
      <c r="AA101" s="200"/>
      <c r="AB101" s="200"/>
      <c r="AC101" s="200"/>
      <c r="AD101" s="197">
        <v>41883</v>
      </c>
      <c r="AE101" s="197"/>
      <c r="AF101" s="197"/>
      <c r="AG101" s="197"/>
      <c r="AH101" s="198"/>
    </row>
  </sheetData>
  <mergeCells count="208">
    <mergeCell ref="AD101:AH101"/>
    <mergeCell ref="A101:D101"/>
    <mergeCell ref="E101:I101"/>
    <mergeCell ref="J101:M101"/>
    <mergeCell ref="N101:Q101"/>
    <mergeCell ref="R101:X101"/>
    <mergeCell ref="Y101:AC101"/>
    <mergeCell ref="B72:E73"/>
    <mergeCell ref="Y94:AC95"/>
    <mergeCell ref="AD94:AH95"/>
    <mergeCell ref="B96:G99"/>
    <mergeCell ref="H96:M97"/>
    <mergeCell ref="Y96:AC100"/>
    <mergeCell ref="AD96:AH100"/>
    <mergeCell ref="H98:M99"/>
    <mergeCell ref="AC70:AG70"/>
    <mergeCell ref="B71:E71"/>
    <mergeCell ref="G71:J71"/>
    <mergeCell ref="K71:N71"/>
    <mergeCell ref="O71:S71"/>
    <mergeCell ref="T71:AG71"/>
    <mergeCell ref="B70:E70"/>
    <mergeCell ref="F70:J70"/>
    <mergeCell ref="K70:N70"/>
    <mergeCell ref="O70:S70"/>
    <mergeCell ref="T70:X70"/>
    <mergeCell ref="Y70:AB70"/>
    <mergeCell ref="B67:E67"/>
    <mergeCell ref="F67:J67"/>
    <mergeCell ref="K67:N67"/>
    <mergeCell ref="O67:S67"/>
    <mergeCell ref="T67:X67"/>
    <mergeCell ref="Y67:AB67"/>
    <mergeCell ref="AC67:AG67"/>
    <mergeCell ref="AC68:AG68"/>
    <mergeCell ref="B69:E69"/>
    <mergeCell ref="F69:J69"/>
    <mergeCell ref="K69:N69"/>
    <mergeCell ref="O69:S69"/>
    <mergeCell ref="T69:X69"/>
    <mergeCell ref="Y69:AB69"/>
    <mergeCell ref="AC69:AG69"/>
    <mergeCell ref="B68:E68"/>
    <mergeCell ref="F68:J68"/>
    <mergeCell ref="K68:N68"/>
    <mergeCell ref="O68:S68"/>
    <mergeCell ref="T68:X68"/>
    <mergeCell ref="Y68:AB68"/>
    <mergeCell ref="K65:N65"/>
    <mergeCell ref="O65:S65"/>
    <mergeCell ref="T65:X65"/>
    <mergeCell ref="Y65:AB65"/>
    <mergeCell ref="AC65:AG65"/>
    <mergeCell ref="B66:C66"/>
    <mergeCell ref="D66:E66"/>
    <mergeCell ref="F66:J66"/>
    <mergeCell ref="K66:N66"/>
    <mergeCell ref="O66:S66"/>
    <mergeCell ref="B63:E65"/>
    <mergeCell ref="F63:S63"/>
    <mergeCell ref="T63:AG63"/>
    <mergeCell ref="F64:J64"/>
    <mergeCell ref="K64:N64"/>
    <mergeCell ref="O64:S64"/>
    <mergeCell ref="T64:X64"/>
    <mergeCell ref="Y64:AB64"/>
    <mergeCell ref="AC64:AG64"/>
    <mergeCell ref="F65:J65"/>
    <mergeCell ref="T66:X66"/>
    <mergeCell ref="Y66:AB66"/>
    <mergeCell ref="AC66:AG66"/>
    <mergeCell ref="A58:F58"/>
    <mergeCell ref="G58:Q58"/>
    <mergeCell ref="R58:W58"/>
    <mergeCell ref="X58:Y58"/>
    <mergeCell ref="Z58:AC58"/>
    <mergeCell ref="AD58:AH58"/>
    <mergeCell ref="A56:F56"/>
    <mergeCell ref="G56:Q56"/>
    <mergeCell ref="R56:W56"/>
    <mergeCell ref="X56:AH56"/>
    <mergeCell ref="A57:F57"/>
    <mergeCell ref="G57:Q57"/>
    <mergeCell ref="R57:W57"/>
    <mergeCell ref="X57:AH57"/>
    <mergeCell ref="AD51:AH51"/>
    <mergeCell ref="A54:AC54"/>
    <mergeCell ref="AD54:AF54"/>
    <mergeCell ref="AG54:AH54"/>
    <mergeCell ref="A55:F55"/>
    <mergeCell ref="G55:Q55"/>
    <mergeCell ref="R55:W55"/>
    <mergeCell ref="X55:AH55"/>
    <mergeCell ref="A51:D51"/>
    <mergeCell ref="E51:I51"/>
    <mergeCell ref="J51:M51"/>
    <mergeCell ref="N51:Q51"/>
    <mergeCell ref="R51:X51"/>
    <mergeCell ref="Y51:AC51"/>
    <mergeCell ref="B42:E43"/>
    <mergeCell ref="Y44:AC45"/>
    <mergeCell ref="AD44:AH45"/>
    <mergeCell ref="B46:G49"/>
    <mergeCell ref="H46:M47"/>
    <mergeCell ref="Y46:AC50"/>
    <mergeCell ref="AD46:AH50"/>
    <mergeCell ref="H48:M49"/>
    <mergeCell ref="B40:K40"/>
    <mergeCell ref="L40:U40"/>
    <mergeCell ref="V40:AC40"/>
    <mergeCell ref="AD40:AE40"/>
    <mergeCell ref="B41:F41"/>
    <mergeCell ref="H41:K41"/>
    <mergeCell ref="L41:O41"/>
    <mergeCell ref="Q41:U41"/>
    <mergeCell ref="V41:AE41"/>
    <mergeCell ref="B37:U37"/>
    <mergeCell ref="V37:AE38"/>
    <mergeCell ref="B38:K38"/>
    <mergeCell ref="L38:U38"/>
    <mergeCell ref="B39:K39"/>
    <mergeCell ref="L39:U39"/>
    <mergeCell ref="V39:AE39"/>
    <mergeCell ref="B31:F31"/>
    <mergeCell ref="H31:K31"/>
    <mergeCell ref="L31:O31"/>
    <mergeCell ref="Q31:U31"/>
    <mergeCell ref="V31:AE31"/>
    <mergeCell ref="C32:F33"/>
    <mergeCell ref="B28:K28"/>
    <mergeCell ref="L28:U28"/>
    <mergeCell ref="V28:AE28"/>
    <mergeCell ref="B29:K29"/>
    <mergeCell ref="L29:U29"/>
    <mergeCell ref="V29:AC29"/>
    <mergeCell ref="AD29:AE29"/>
    <mergeCell ref="B25:K25"/>
    <mergeCell ref="L25:U25"/>
    <mergeCell ref="B26:U26"/>
    <mergeCell ref="V26:AE27"/>
    <mergeCell ref="B27:K27"/>
    <mergeCell ref="L27:U27"/>
    <mergeCell ref="B22:K22"/>
    <mergeCell ref="L22:U22"/>
    <mergeCell ref="V22:AE22"/>
    <mergeCell ref="B23:K23"/>
    <mergeCell ref="L23:U23"/>
    <mergeCell ref="V23:AC23"/>
    <mergeCell ref="AD23:AE23"/>
    <mergeCell ref="B19:K19"/>
    <mergeCell ref="L19:U19"/>
    <mergeCell ref="B20:U20"/>
    <mergeCell ref="V20:AE21"/>
    <mergeCell ref="B21:K21"/>
    <mergeCell ref="L21:U21"/>
    <mergeCell ref="F14:K14"/>
    <mergeCell ref="L14:S14"/>
    <mergeCell ref="T14:Y14"/>
    <mergeCell ref="Z14:AG14"/>
    <mergeCell ref="B15:K15"/>
    <mergeCell ref="L15:S15"/>
    <mergeCell ref="B11:H11"/>
    <mergeCell ref="I11:N11"/>
    <mergeCell ref="O11:U11"/>
    <mergeCell ref="V11:AA11"/>
    <mergeCell ref="AB11:AG11"/>
    <mergeCell ref="B13:E14"/>
    <mergeCell ref="F13:K13"/>
    <mergeCell ref="L13:S13"/>
    <mergeCell ref="T13:Y13"/>
    <mergeCell ref="Z13:AG13"/>
    <mergeCell ref="B9:H9"/>
    <mergeCell ref="I9:N9"/>
    <mergeCell ref="O9:U9"/>
    <mergeCell ref="V9:AA9"/>
    <mergeCell ref="AB9:AG9"/>
    <mergeCell ref="B10:H10"/>
    <mergeCell ref="I10:N10"/>
    <mergeCell ref="O10:U10"/>
    <mergeCell ref="V10:AA10"/>
    <mergeCell ref="AB10:AG10"/>
    <mergeCell ref="B7:AG7"/>
    <mergeCell ref="B8:H8"/>
    <mergeCell ref="I8:N8"/>
    <mergeCell ref="O8:U8"/>
    <mergeCell ref="V8:AA8"/>
    <mergeCell ref="AB8:AG8"/>
    <mergeCell ref="A5:F5"/>
    <mergeCell ref="G5:Q5"/>
    <mergeCell ref="R5:W5"/>
    <mergeCell ref="X5:Y5"/>
    <mergeCell ref="Z5:AC5"/>
    <mergeCell ref="AD5:AH5"/>
    <mergeCell ref="A3:F3"/>
    <mergeCell ref="G3:Q3"/>
    <mergeCell ref="R3:W3"/>
    <mergeCell ref="X3:AH3"/>
    <mergeCell ref="A4:F4"/>
    <mergeCell ref="G4:Q4"/>
    <mergeCell ref="R4:W4"/>
    <mergeCell ref="X4:AH4"/>
    <mergeCell ref="A1:AC1"/>
    <mergeCell ref="AD1:AF1"/>
    <mergeCell ref="AG1:AH1"/>
    <mergeCell ref="A2:F2"/>
    <mergeCell ref="G2:Q2"/>
    <mergeCell ref="R2:W2"/>
    <mergeCell ref="X2:AH2"/>
  </mergeCells>
  <pageMargins left="0.47244094488188981" right="0.3" top="0.37" bottom="0.19685039370078741" header="0.31" footer="0.11811023622047245"/>
  <pageSetup paperSize="9" scale="94" firstPageNumber="4294963191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6145" r:id="rId4">
          <objectPr defaultSize="0" autoPict="0" r:id="rId5">
            <anchor moveWithCells="1">
              <from>
                <xdr:col>6</xdr:col>
                <xdr:colOff>142875</xdr:colOff>
                <xdr:row>31</xdr:row>
                <xdr:rowOff>38100</xdr:rowOff>
              </from>
              <to>
                <xdr:col>9</xdr:col>
                <xdr:colOff>19050</xdr:colOff>
                <xdr:row>32</xdr:row>
                <xdr:rowOff>152400</xdr:rowOff>
              </to>
            </anchor>
          </objectPr>
        </oleObject>
      </mc:Choice>
      <mc:Fallback>
        <oleObject progId="Equation.3" shapeId="6145" r:id="rId4"/>
      </mc:Fallback>
    </mc:AlternateContent>
    <mc:AlternateContent xmlns:mc="http://schemas.openxmlformats.org/markup-compatibility/2006">
      <mc:Choice Requires="x14">
        <oleObject progId="Equation.3" shapeId="6146" r:id="rId6">
          <objectPr defaultSize="0" autoPict="0" r:id="rId7">
            <anchor moveWithCells="1">
              <from>
                <xdr:col>6</xdr:col>
                <xdr:colOff>95250</xdr:colOff>
                <xdr:row>41</xdr:row>
                <xdr:rowOff>180975</xdr:rowOff>
              </from>
              <to>
                <xdr:col>9</xdr:col>
                <xdr:colOff>123825</xdr:colOff>
                <xdr:row>43</xdr:row>
                <xdr:rowOff>104775</xdr:rowOff>
              </to>
            </anchor>
          </objectPr>
        </oleObject>
      </mc:Choice>
      <mc:Fallback>
        <oleObject progId="Equation.3" shapeId="6146" r:id="rId6"/>
      </mc:Fallback>
    </mc:AlternateContent>
    <mc:AlternateContent xmlns:mc="http://schemas.openxmlformats.org/markup-compatibility/2006">
      <mc:Choice Requires="x14">
        <oleObject progId="Equation.3" shapeId="6147" r:id="rId8">
          <objectPr defaultSize="0" autoPict="0" r:id="rId9">
            <anchor moveWithCells="1">
              <from>
                <xdr:col>5</xdr:col>
                <xdr:colOff>0</xdr:colOff>
                <xdr:row>72</xdr:row>
                <xdr:rowOff>85725</xdr:rowOff>
              </from>
              <to>
                <xdr:col>7</xdr:col>
                <xdr:colOff>114300</xdr:colOff>
                <xdr:row>74</xdr:row>
                <xdr:rowOff>19050</xdr:rowOff>
              </to>
            </anchor>
          </objectPr>
        </oleObject>
      </mc:Choice>
      <mc:Fallback>
        <oleObject progId="Equation.3" shapeId="6147" r:id="rId8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100"/>
  <sheetViews>
    <sheetView topLeftCell="A18" zoomScale="130" zoomScaleNormal="130" workbookViewId="0">
      <selection activeCell="V28" sqref="V28:AE28"/>
    </sheetView>
  </sheetViews>
  <sheetFormatPr defaultColWidth="2.5" defaultRowHeight="15"/>
  <cols>
    <col min="1" max="16384" width="2.5" style="1"/>
  </cols>
  <sheetData>
    <row r="1" spans="1:34" ht="27" customHeight="1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7"/>
      <c r="AD1" s="48" t="s">
        <v>1</v>
      </c>
      <c r="AE1" s="49"/>
      <c r="AF1" s="49"/>
      <c r="AG1" s="50" t="s">
        <v>2</v>
      </c>
      <c r="AH1" s="51"/>
    </row>
    <row r="2" spans="1:34" ht="19.5" customHeight="1">
      <c r="A2" s="52" t="s">
        <v>3</v>
      </c>
      <c r="B2" s="53"/>
      <c r="C2" s="53"/>
      <c r="D2" s="53"/>
      <c r="E2" s="53"/>
      <c r="F2" s="53"/>
      <c r="G2" s="54" t="s">
        <v>85</v>
      </c>
      <c r="H2" s="55"/>
      <c r="I2" s="55"/>
      <c r="J2" s="55"/>
      <c r="K2" s="55"/>
      <c r="L2" s="55"/>
      <c r="M2" s="55"/>
      <c r="N2" s="55"/>
      <c r="O2" s="55"/>
      <c r="P2" s="55"/>
      <c r="Q2" s="56"/>
      <c r="R2" s="28" t="s">
        <v>4</v>
      </c>
      <c r="S2" s="29"/>
      <c r="T2" s="29"/>
      <c r="U2" s="29"/>
      <c r="V2" s="29"/>
      <c r="W2" s="30"/>
      <c r="X2" s="31">
        <v>42886</v>
      </c>
      <c r="Y2" s="32"/>
      <c r="Z2" s="32"/>
      <c r="AA2" s="32"/>
      <c r="AB2" s="32"/>
      <c r="AC2" s="32"/>
      <c r="AD2" s="32"/>
      <c r="AE2" s="32"/>
      <c r="AF2" s="32"/>
      <c r="AG2" s="32"/>
      <c r="AH2" s="33"/>
    </row>
    <row r="3" spans="1:34" ht="19.5" customHeight="1">
      <c r="A3" s="23" t="s">
        <v>5</v>
      </c>
      <c r="B3" s="24"/>
      <c r="C3" s="24"/>
      <c r="D3" s="24"/>
      <c r="E3" s="24"/>
      <c r="F3" s="24"/>
      <c r="G3" s="25" t="s">
        <v>83</v>
      </c>
      <c r="H3" s="26"/>
      <c r="I3" s="26"/>
      <c r="J3" s="26"/>
      <c r="K3" s="26"/>
      <c r="L3" s="26"/>
      <c r="M3" s="26"/>
      <c r="N3" s="26"/>
      <c r="O3" s="26"/>
      <c r="P3" s="26"/>
      <c r="Q3" s="27"/>
      <c r="R3" s="28" t="s">
        <v>6</v>
      </c>
      <c r="S3" s="29"/>
      <c r="T3" s="29"/>
      <c r="U3" s="29"/>
      <c r="V3" s="29"/>
      <c r="W3" s="30"/>
      <c r="X3" s="31">
        <v>43251</v>
      </c>
      <c r="Y3" s="32"/>
      <c r="Z3" s="32"/>
      <c r="AA3" s="32"/>
      <c r="AB3" s="32"/>
      <c r="AC3" s="32"/>
      <c r="AD3" s="32"/>
      <c r="AE3" s="32"/>
      <c r="AF3" s="32"/>
      <c r="AG3" s="32"/>
      <c r="AH3" s="33"/>
    </row>
    <row r="4" spans="1:34" ht="19.5" customHeight="1">
      <c r="A4" s="34" t="s">
        <v>7</v>
      </c>
      <c r="B4" s="35"/>
      <c r="C4" s="35"/>
      <c r="D4" s="35"/>
      <c r="E4" s="35"/>
      <c r="F4" s="35"/>
      <c r="G4" s="36" t="s">
        <v>84</v>
      </c>
      <c r="H4" s="37"/>
      <c r="I4" s="37"/>
      <c r="J4" s="37"/>
      <c r="K4" s="37"/>
      <c r="L4" s="37"/>
      <c r="M4" s="37"/>
      <c r="N4" s="37"/>
      <c r="O4" s="37"/>
      <c r="P4" s="37"/>
      <c r="Q4" s="38"/>
      <c r="R4" s="39" t="s">
        <v>8</v>
      </c>
      <c r="S4" s="40"/>
      <c r="T4" s="40"/>
      <c r="U4" s="40"/>
      <c r="V4" s="40"/>
      <c r="W4" s="41"/>
      <c r="X4" s="42" t="s">
        <v>9</v>
      </c>
      <c r="Y4" s="43"/>
      <c r="Z4" s="43"/>
      <c r="AA4" s="43"/>
      <c r="AB4" s="43"/>
      <c r="AC4" s="43"/>
      <c r="AD4" s="43"/>
      <c r="AE4" s="43"/>
      <c r="AF4" s="43"/>
      <c r="AG4" s="43"/>
      <c r="AH4" s="44"/>
    </row>
    <row r="5" spans="1:34" ht="19.5" customHeight="1">
      <c r="A5" s="65" t="s">
        <v>10</v>
      </c>
      <c r="B5" s="66"/>
      <c r="C5" s="66"/>
      <c r="D5" s="66"/>
      <c r="E5" s="66"/>
      <c r="F5" s="67"/>
      <c r="G5" s="68" t="s">
        <v>86</v>
      </c>
      <c r="H5" s="68"/>
      <c r="I5" s="68"/>
      <c r="J5" s="68"/>
      <c r="K5" s="68"/>
      <c r="L5" s="68"/>
      <c r="M5" s="68"/>
      <c r="N5" s="68"/>
      <c r="O5" s="68"/>
      <c r="P5" s="68"/>
      <c r="Q5" s="68"/>
      <c r="R5" s="69" t="s">
        <v>11</v>
      </c>
      <c r="S5" s="69"/>
      <c r="T5" s="69"/>
      <c r="U5" s="69"/>
      <c r="V5" s="69"/>
      <c r="W5" s="69"/>
      <c r="X5" s="70" t="s">
        <v>12</v>
      </c>
      <c r="Y5" s="71"/>
      <c r="Z5" s="72">
        <v>200</v>
      </c>
      <c r="AA5" s="73"/>
      <c r="AB5" s="73"/>
      <c r="AC5" s="73"/>
      <c r="AD5" s="74" t="s">
        <v>13</v>
      </c>
      <c r="AE5" s="74"/>
      <c r="AF5" s="74"/>
      <c r="AG5" s="74"/>
      <c r="AH5" s="75"/>
    </row>
    <row r="6" spans="1:34" ht="15.75" thickBo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4"/>
    </row>
    <row r="7" spans="1:34" ht="15" customHeight="1">
      <c r="A7" s="2"/>
      <c r="B7" s="57" t="s">
        <v>14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9"/>
      <c r="AH7" s="4"/>
    </row>
    <row r="8" spans="1:34" ht="15" customHeight="1">
      <c r="A8" s="2"/>
      <c r="B8" s="60" t="s">
        <v>15</v>
      </c>
      <c r="C8" s="61"/>
      <c r="D8" s="61"/>
      <c r="E8" s="61"/>
      <c r="F8" s="61"/>
      <c r="G8" s="61"/>
      <c r="H8" s="61"/>
      <c r="I8" s="62" t="s">
        <v>3</v>
      </c>
      <c r="J8" s="62"/>
      <c r="K8" s="62"/>
      <c r="L8" s="62"/>
      <c r="M8" s="62"/>
      <c r="N8" s="62"/>
      <c r="O8" s="61" t="s">
        <v>16</v>
      </c>
      <c r="P8" s="61"/>
      <c r="Q8" s="61"/>
      <c r="R8" s="61"/>
      <c r="S8" s="61"/>
      <c r="T8" s="61"/>
      <c r="U8" s="61"/>
      <c r="V8" s="63" t="s">
        <v>17</v>
      </c>
      <c r="W8" s="63"/>
      <c r="X8" s="63"/>
      <c r="Y8" s="63"/>
      <c r="Z8" s="63"/>
      <c r="AA8" s="63"/>
      <c r="AB8" s="63" t="s">
        <v>18</v>
      </c>
      <c r="AC8" s="63"/>
      <c r="AD8" s="63"/>
      <c r="AE8" s="63"/>
      <c r="AF8" s="63"/>
      <c r="AG8" s="64"/>
      <c r="AH8" s="4"/>
    </row>
    <row r="9" spans="1:34" ht="19.5" customHeight="1">
      <c r="A9" s="2"/>
      <c r="B9" s="76" t="s">
        <v>19</v>
      </c>
      <c r="C9" s="77"/>
      <c r="D9" s="77"/>
      <c r="E9" s="77"/>
      <c r="F9" s="77"/>
      <c r="G9" s="77"/>
      <c r="H9" s="77"/>
      <c r="I9" s="78" t="s">
        <v>109</v>
      </c>
      <c r="J9" s="78"/>
      <c r="K9" s="78"/>
      <c r="L9" s="78"/>
      <c r="M9" s="78"/>
      <c r="N9" s="78"/>
      <c r="O9" s="78" t="s">
        <v>74</v>
      </c>
      <c r="P9" s="78"/>
      <c r="Q9" s="78"/>
      <c r="R9" s="78"/>
      <c r="S9" s="78"/>
      <c r="T9" s="78"/>
      <c r="U9" s="78"/>
      <c r="V9" s="78" t="s">
        <v>113</v>
      </c>
      <c r="W9" s="78"/>
      <c r="X9" s="78"/>
      <c r="Y9" s="78"/>
      <c r="Z9" s="78"/>
      <c r="AA9" s="78"/>
      <c r="AB9" s="79" t="s">
        <v>121</v>
      </c>
      <c r="AC9" s="79"/>
      <c r="AD9" s="79"/>
      <c r="AE9" s="79"/>
      <c r="AF9" s="79"/>
      <c r="AG9" s="80"/>
      <c r="AH9" s="4"/>
    </row>
    <row r="10" spans="1:34" ht="19.5" customHeight="1">
      <c r="A10" s="2"/>
      <c r="B10" s="81" t="s">
        <v>108</v>
      </c>
      <c r="C10" s="82"/>
      <c r="D10" s="82"/>
      <c r="E10" s="82"/>
      <c r="F10" s="82"/>
      <c r="G10" s="82"/>
      <c r="H10" s="82"/>
      <c r="I10" s="78" t="s">
        <v>87</v>
      </c>
      <c r="J10" s="78"/>
      <c r="K10" s="78"/>
      <c r="L10" s="78"/>
      <c r="M10" s="78"/>
      <c r="N10" s="78"/>
      <c r="O10" s="78" t="s">
        <v>74</v>
      </c>
      <c r="P10" s="78"/>
      <c r="Q10" s="78"/>
      <c r="R10" s="78"/>
      <c r="S10" s="78"/>
      <c r="T10" s="78"/>
      <c r="U10" s="78"/>
      <c r="V10" s="78" t="s">
        <v>114</v>
      </c>
      <c r="W10" s="78"/>
      <c r="X10" s="78"/>
      <c r="Y10" s="78"/>
      <c r="Z10" s="78"/>
      <c r="AA10" s="78"/>
      <c r="AB10" s="266" t="s">
        <v>88</v>
      </c>
      <c r="AC10" s="266"/>
      <c r="AD10" s="266"/>
      <c r="AE10" s="266"/>
      <c r="AF10" s="266"/>
      <c r="AG10" s="267"/>
      <c r="AH10" s="4"/>
    </row>
    <row r="11" spans="1:34" ht="19.5" customHeight="1" thickBot="1">
      <c r="A11" s="2"/>
      <c r="B11" s="94" t="s">
        <v>21</v>
      </c>
      <c r="C11" s="95"/>
      <c r="D11" s="95"/>
      <c r="E11" s="95"/>
      <c r="F11" s="95"/>
      <c r="G11" s="95"/>
      <c r="H11" s="95"/>
      <c r="I11" s="96" t="s">
        <v>87</v>
      </c>
      <c r="J11" s="96"/>
      <c r="K11" s="96"/>
      <c r="L11" s="96"/>
      <c r="M11" s="96"/>
      <c r="N11" s="96"/>
      <c r="O11" s="96" t="s">
        <v>74</v>
      </c>
      <c r="P11" s="96"/>
      <c r="Q11" s="96"/>
      <c r="R11" s="96"/>
      <c r="S11" s="96"/>
      <c r="T11" s="96"/>
      <c r="U11" s="96"/>
      <c r="V11" s="96" t="s">
        <v>114</v>
      </c>
      <c r="W11" s="96"/>
      <c r="X11" s="96"/>
      <c r="Y11" s="96"/>
      <c r="Z11" s="96"/>
      <c r="AA11" s="96"/>
      <c r="AB11" s="268" t="s">
        <v>88</v>
      </c>
      <c r="AC11" s="268"/>
      <c r="AD11" s="268"/>
      <c r="AE11" s="268"/>
      <c r="AF11" s="268"/>
      <c r="AG11" s="269"/>
      <c r="AH11" s="4"/>
    </row>
    <row r="12" spans="1:34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4"/>
    </row>
    <row r="13" spans="1:34" ht="21" customHeight="1">
      <c r="A13" s="2"/>
      <c r="B13" s="89" t="s">
        <v>22</v>
      </c>
      <c r="C13" s="89"/>
      <c r="D13" s="89"/>
      <c r="E13" s="89"/>
      <c r="F13" s="103" t="s">
        <v>3</v>
      </c>
      <c r="G13" s="89"/>
      <c r="H13" s="89"/>
      <c r="I13" s="89"/>
      <c r="J13" s="89"/>
      <c r="K13" s="89"/>
      <c r="L13" s="78" t="s">
        <v>112</v>
      </c>
      <c r="M13" s="78"/>
      <c r="N13" s="78"/>
      <c r="O13" s="78"/>
      <c r="P13" s="78"/>
      <c r="Q13" s="78"/>
      <c r="R13" s="78"/>
      <c r="S13" s="78"/>
      <c r="T13" s="89" t="s">
        <v>7</v>
      </c>
      <c r="U13" s="89"/>
      <c r="V13" s="89"/>
      <c r="W13" s="89"/>
      <c r="X13" s="89"/>
      <c r="Y13" s="89"/>
      <c r="Z13" s="78">
        <v>93310021</v>
      </c>
      <c r="AA13" s="78"/>
      <c r="AB13" s="78"/>
      <c r="AC13" s="78"/>
      <c r="AD13" s="78"/>
      <c r="AE13" s="78"/>
      <c r="AF13" s="78"/>
      <c r="AG13" s="78"/>
      <c r="AH13" s="4"/>
    </row>
    <row r="14" spans="1:34" ht="21" customHeight="1">
      <c r="A14" s="2"/>
      <c r="B14" s="89"/>
      <c r="C14" s="89"/>
      <c r="D14" s="89"/>
      <c r="E14" s="89"/>
      <c r="F14" s="85" t="s">
        <v>5</v>
      </c>
      <c r="G14" s="85"/>
      <c r="H14" s="85"/>
      <c r="I14" s="85"/>
      <c r="J14" s="85"/>
      <c r="K14" s="85"/>
      <c r="L14" s="86" t="s">
        <v>75</v>
      </c>
      <c r="M14" s="87"/>
      <c r="N14" s="87"/>
      <c r="O14" s="87"/>
      <c r="P14" s="87"/>
      <c r="Q14" s="87"/>
      <c r="R14" s="87"/>
      <c r="S14" s="88"/>
      <c r="T14" s="89" t="s">
        <v>6</v>
      </c>
      <c r="U14" s="89"/>
      <c r="V14" s="89"/>
      <c r="W14" s="89"/>
      <c r="X14" s="89"/>
      <c r="Y14" s="89"/>
      <c r="Z14" s="90">
        <v>43008</v>
      </c>
      <c r="AA14" s="90"/>
      <c r="AB14" s="90"/>
      <c r="AC14" s="90"/>
      <c r="AD14" s="90"/>
      <c r="AE14" s="90"/>
      <c r="AF14" s="90"/>
      <c r="AG14" s="90"/>
      <c r="AH14" s="4"/>
    </row>
    <row r="15" spans="1:34" ht="17.25" customHeight="1">
      <c r="A15" s="2"/>
      <c r="B15" s="89" t="s">
        <v>23</v>
      </c>
      <c r="C15" s="89"/>
      <c r="D15" s="89"/>
      <c r="E15" s="89"/>
      <c r="F15" s="89"/>
      <c r="G15" s="89"/>
      <c r="H15" s="89"/>
      <c r="I15" s="89"/>
      <c r="J15" s="89"/>
      <c r="K15" s="89"/>
      <c r="L15" s="91">
        <v>15170</v>
      </c>
      <c r="M15" s="92"/>
      <c r="N15" s="92"/>
      <c r="O15" s="92"/>
      <c r="P15" s="92"/>
      <c r="Q15" s="92"/>
      <c r="R15" s="92"/>
      <c r="S15" s="93"/>
      <c r="T15" s="5"/>
      <c r="U15" s="5"/>
      <c r="V15" s="5"/>
      <c r="W15" s="5"/>
      <c r="X15" s="5"/>
      <c r="Y15" s="5"/>
      <c r="Z15" s="6"/>
      <c r="AA15" s="6"/>
      <c r="AB15" s="6"/>
      <c r="AC15" s="6"/>
      <c r="AD15" s="6"/>
      <c r="AE15" s="6"/>
      <c r="AF15" s="6"/>
      <c r="AG15" s="6"/>
      <c r="AH15" s="4"/>
    </row>
    <row r="16" spans="1:34" ht="5.25" customHeight="1">
      <c r="A16" s="2"/>
      <c r="B16" s="5"/>
      <c r="C16" s="5"/>
      <c r="D16" s="5"/>
      <c r="E16" s="5"/>
      <c r="F16" s="5"/>
      <c r="G16" s="5"/>
      <c r="H16" s="5"/>
      <c r="I16" s="5"/>
      <c r="J16" s="5"/>
      <c r="K16" s="5"/>
      <c r="L16" s="3"/>
      <c r="M16" s="3"/>
      <c r="N16" s="3"/>
      <c r="O16" s="3"/>
      <c r="P16" s="3"/>
      <c r="Q16" s="3"/>
      <c r="R16" s="3"/>
      <c r="S16" s="3"/>
      <c r="T16" s="5"/>
      <c r="U16" s="5"/>
      <c r="V16" s="5"/>
      <c r="W16" s="5"/>
      <c r="X16" s="5"/>
      <c r="Y16" s="5"/>
      <c r="Z16" s="3"/>
      <c r="AA16" s="3"/>
      <c r="AB16" s="3"/>
      <c r="AC16" s="3"/>
      <c r="AD16" s="3"/>
      <c r="AE16" s="3"/>
      <c r="AF16" s="3"/>
      <c r="AG16" s="3"/>
      <c r="AH16" s="4"/>
    </row>
    <row r="17" spans="1:34">
      <c r="A17" s="2"/>
      <c r="B17" s="7" t="s">
        <v>24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4"/>
    </row>
    <row r="18" spans="1:34" ht="7.5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4"/>
    </row>
    <row r="19" spans="1:34" ht="15" customHeight="1">
      <c r="A19" s="2"/>
      <c r="B19" s="118" t="s">
        <v>10</v>
      </c>
      <c r="C19" s="119"/>
      <c r="D19" s="119"/>
      <c r="E19" s="119"/>
      <c r="F19" s="119"/>
      <c r="G19" s="119"/>
      <c r="H19" s="119"/>
      <c r="I19" s="119"/>
      <c r="J19" s="119"/>
      <c r="K19" s="120"/>
      <c r="L19" s="89" t="s">
        <v>89</v>
      </c>
      <c r="M19" s="89"/>
      <c r="N19" s="89"/>
      <c r="O19" s="89"/>
      <c r="P19" s="89"/>
      <c r="Q19" s="89"/>
      <c r="R19" s="89"/>
      <c r="S19" s="89"/>
      <c r="T19" s="89"/>
      <c r="U19" s="89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4"/>
    </row>
    <row r="20" spans="1:34" ht="15" customHeight="1">
      <c r="A20" s="2"/>
      <c r="B20" s="121" t="s">
        <v>25</v>
      </c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3"/>
      <c r="V20" s="124" t="s">
        <v>26</v>
      </c>
      <c r="W20" s="125"/>
      <c r="X20" s="125"/>
      <c r="Y20" s="125"/>
      <c r="Z20" s="125"/>
      <c r="AA20" s="125"/>
      <c r="AB20" s="125"/>
      <c r="AC20" s="125"/>
      <c r="AD20" s="125"/>
      <c r="AE20" s="126"/>
      <c r="AF20" s="3"/>
      <c r="AG20" s="3"/>
      <c r="AH20" s="4"/>
    </row>
    <row r="21" spans="1:34" ht="15" customHeight="1">
      <c r="A21" s="2"/>
      <c r="B21" s="130" t="s">
        <v>27</v>
      </c>
      <c r="C21" s="131"/>
      <c r="D21" s="131"/>
      <c r="E21" s="131"/>
      <c r="F21" s="131"/>
      <c r="G21" s="131"/>
      <c r="H21" s="131"/>
      <c r="I21" s="131"/>
      <c r="J21" s="131"/>
      <c r="K21" s="131"/>
      <c r="L21" s="131" t="s">
        <v>28</v>
      </c>
      <c r="M21" s="131"/>
      <c r="N21" s="131"/>
      <c r="O21" s="131"/>
      <c r="P21" s="131"/>
      <c r="Q21" s="131"/>
      <c r="R21" s="131"/>
      <c r="S21" s="131"/>
      <c r="T21" s="131"/>
      <c r="U21" s="132"/>
      <c r="V21" s="127"/>
      <c r="W21" s="128"/>
      <c r="X21" s="128"/>
      <c r="Y21" s="128"/>
      <c r="Z21" s="128"/>
      <c r="AA21" s="128"/>
      <c r="AB21" s="128"/>
      <c r="AC21" s="128"/>
      <c r="AD21" s="128"/>
      <c r="AE21" s="129"/>
      <c r="AF21" s="3"/>
      <c r="AG21" s="3"/>
      <c r="AH21" s="4"/>
    </row>
    <row r="22" spans="1:34">
      <c r="A22" s="2"/>
      <c r="B22" s="104" t="s">
        <v>29</v>
      </c>
      <c r="C22" s="105"/>
      <c r="D22" s="105"/>
      <c r="E22" s="105"/>
      <c r="F22" s="105"/>
      <c r="G22" s="105"/>
      <c r="H22" s="105"/>
      <c r="I22" s="105"/>
      <c r="J22" s="105"/>
      <c r="K22" s="105"/>
      <c r="L22" s="105" t="s">
        <v>30</v>
      </c>
      <c r="M22" s="105"/>
      <c r="N22" s="105"/>
      <c r="O22" s="105"/>
      <c r="P22" s="105"/>
      <c r="Q22" s="105"/>
      <c r="R22" s="105"/>
      <c r="S22" s="105"/>
      <c r="T22" s="105"/>
      <c r="U22" s="106"/>
      <c r="V22" s="107" t="s">
        <v>31</v>
      </c>
      <c r="W22" s="108"/>
      <c r="X22" s="108"/>
      <c r="Y22" s="108"/>
      <c r="Z22" s="108"/>
      <c r="AA22" s="108"/>
      <c r="AB22" s="108"/>
      <c r="AC22" s="108"/>
      <c r="AD22" s="108"/>
      <c r="AE22" s="109"/>
      <c r="AF22" s="3"/>
      <c r="AG22" s="3"/>
      <c r="AH22" s="4"/>
    </row>
    <row r="23" spans="1:34" ht="21" customHeight="1">
      <c r="A23" s="2"/>
      <c r="B23" s="192">
        <v>90.1</v>
      </c>
      <c r="C23" s="193"/>
      <c r="D23" s="193"/>
      <c r="E23" s="193"/>
      <c r="F23" s="193"/>
      <c r="G23" s="193"/>
      <c r="H23" s="193"/>
      <c r="I23" s="193"/>
      <c r="J23" s="193"/>
      <c r="K23" s="193"/>
      <c r="L23" s="112">
        <v>90.2</v>
      </c>
      <c r="M23" s="112"/>
      <c r="N23" s="112"/>
      <c r="O23" s="112"/>
      <c r="P23" s="112"/>
      <c r="Q23" s="112"/>
      <c r="R23" s="112"/>
      <c r="S23" s="112"/>
      <c r="T23" s="112"/>
      <c r="U23" s="113"/>
      <c r="V23" s="114">
        <f>B23/L23*100</f>
        <v>99.889135254988901</v>
      </c>
      <c r="W23" s="115"/>
      <c r="X23" s="115"/>
      <c r="Y23" s="115"/>
      <c r="Z23" s="115"/>
      <c r="AA23" s="115"/>
      <c r="AB23" s="115"/>
      <c r="AC23" s="115"/>
      <c r="AD23" s="116" t="s">
        <v>32</v>
      </c>
      <c r="AE23" s="117"/>
      <c r="AF23" s="3"/>
      <c r="AG23" s="3"/>
      <c r="AH23" s="4"/>
    </row>
    <row r="24" spans="1:34" ht="7.5" customHeight="1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4"/>
    </row>
    <row r="25" spans="1:34" ht="15" customHeight="1">
      <c r="A25" s="2"/>
      <c r="B25" s="118" t="s">
        <v>10</v>
      </c>
      <c r="C25" s="119"/>
      <c r="D25" s="119"/>
      <c r="E25" s="119"/>
      <c r="F25" s="119"/>
      <c r="G25" s="119"/>
      <c r="H25" s="119"/>
      <c r="I25" s="119"/>
      <c r="J25" s="119"/>
      <c r="K25" s="120"/>
      <c r="L25" s="89" t="s">
        <v>81</v>
      </c>
      <c r="M25" s="89"/>
      <c r="N25" s="89"/>
      <c r="O25" s="89"/>
      <c r="P25" s="89"/>
      <c r="Q25" s="89"/>
      <c r="R25" s="89"/>
      <c r="S25" s="89"/>
      <c r="T25" s="89"/>
      <c r="U25" s="89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4"/>
    </row>
    <row r="26" spans="1:34" ht="15" customHeight="1">
      <c r="A26" s="2"/>
      <c r="B26" s="138" t="s">
        <v>25</v>
      </c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3"/>
      <c r="V26" s="124" t="s">
        <v>26</v>
      </c>
      <c r="W26" s="125"/>
      <c r="X26" s="125"/>
      <c r="Y26" s="125"/>
      <c r="Z26" s="125"/>
      <c r="AA26" s="125"/>
      <c r="AB26" s="125"/>
      <c r="AC26" s="125"/>
      <c r="AD26" s="125"/>
      <c r="AE26" s="126"/>
      <c r="AF26" s="3"/>
      <c r="AG26" s="3"/>
      <c r="AH26" s="4"/>
    </row>
    <row r="27" spans="1:34" ht="15" customHeight="1">
      <c r="A27" s="2"/>
      <c r="B27" s="130" t="s">
        <v>34</v>
      </c>
      <c r="C27" s="131"/>
      <c r="D27" s="131"/>
      <c r="E27" s="131"/>
      <c r="F27" s="131"/>
      <c r="G27" s="131"/>
      <c r="H27" s="131"/>
      <c r="I27" s="131"/>
      <c r="J27" s="131"/>
      <c r="K27" s="131"/>
      <c r="L27" s="131" t="s">
        <v>35</v>
      </c>
      <c r="M27" s="131"/>
      <c r="N27" s="131"/>
      <c r="O27" s="131"/>
      <c r="P27" s="131"/>
      <c r="Q27" s="131"/>
      <c r="R27" s="131"/>
      <c r="S27" s="131"/>
      <c r="T27" s="131"/>
      <c r="U27" s="132"/>
      <c r="V27" s="127"/>
      <c r="W27" s="128"/>
      <c r="X27" s="128"/>
      <c r="Y27" s="128"/>
      <c r="Z27" s="128"/>
      <c r="AA27" s="128"/>
      <c r="AB27" s="128"/>
      <c r="AC27" s="128"/>
      <c r="AD27" s="128"/>
      <c r="AE27" s="129"/>
      <c r="AF27" s="3"/>
      <c r="AG27" s="3"/>
      <c r="AH27" s="4"/>
    </row>
    <row r="28" spans="1:34" ht="15" customHeight="1">
      <c r="A28" s="2"/>
      <c r="B28" s="104" t="s">
        <v>29</v>
      </c>
      <c r="C28" s="105"/>
      <c r="D28" s="105"/>
      <c r="E28" s="105"/>
      <c r="F28" s="105"/>
      <c r="G28" s="105"/>
      <c r="H28" s="105"/>
      <c r="I28" s="105"/>
      <c r="J28" s="105"/>
      <c r="K28" s="105"/>
      <c r="L28" s="105" t="s">
        <v>30</v>
      </c>
      <c r="M28" s="105"/>
      <c r="N28" s="105"/>
      <c r="O28" s="105"/>
      <c r="P28" s="105"/>
      <c r="Q28" s="105"/>
      <c r="R28" s="105"/>
      <c r="S28" s="105"/>
      <c r="T28" s="105"/>
      <c r="U28" s="106"/>
      <c r="V28" s="107" t="s">
        <v>31</v>
      </c>
      <c r="W28" s="108"/>
      <c r="X28" s="108"/>
      <c r="Y28" s="108"/>
      <c r="Z28" s="108"/>
      <c r="AA28" s="108"/>
      <c r="AB28" s="108"/>
      <c r="AC28" s="108"/>
      <c r="AD28" s="108"/>
      <c r="AE28" s="109"/>
      <c r="AF28" s="3"/>
      <c r="AG28" s="3"/>
      <c r="AH28" s="4"/>
    </row>
    <row r="29" spans="1:34" ht="21" customHeight="1">
      <c r="A29" s="2"/>
      <c r="B29" s="192"/>
      <c r="C29" s="193"/>
      <c r="D29" s="193"/>
      <c r="E29" s="193"/>
      <c r="F29" s="193"/>
      <c r="G29" s="193"/>
      <c r="H29" s="193"/>
      <c r="I29" s="193"/>
      <c r="J29" s="193"/>
      <c r="K29" s="193"/>
      <c r="L29" s="112"/>
      <c r="M29" s="112"/>
      <c r="N29" s="112"/>
      <c r="O29" s="112"/>
      <c r="P29" s="112"/>
      <c r="Q29" s="112"/>
      <c r="R29" s="112"/>
      <c r="S29" s="112"/>
      <c r="T29" s="112"/>
      <c r="U29" s="113"/>
      <c r="V29" s="114"/>
      <c r="W29" s="115"/>
      <c r="X29" s="115"/>
      <c r="Y29" s="115"/>
      <c r="Z29" s="115"/>
      <c r="AA29" s="115"/>
      <c r="AB29" s="115"/>
      <c r="AC29" s="115"/>
      <c r="AD29" s="116"/>
      <c r="AE29" s="117"/>
      <c r="AF29" s="3"/>
      <c r="AG29" s="3"/>
      <c r="AH29" s="4"/>
    </row>
    <row r="30" spans="1:34" ht="7.5" customHeight="1">
      <c r="A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4"/>
    </row>
    <row r="31" spans="1:34" ht="21" customHeight="1">
      <c r="A31" s="2"/>
      <c r="B31" s="136" t="s">
        <v>36</v>
      </c>
      <c r="C31" s="137"/>
      <c r="D31" s="137"/>
      <c r="E31" s="137"/>
      <c r="F31" s="103"/>
      <c r="G31" s="8"/>
      <c r="H31" s="137" t="s">
        <v>37</v>
      </c>
      <c r="I31" s="137"/>
      <c r="J31" s="137"/>
      <c r="K31" s="137"/>
      <c r="L31" s="137" t="s">
        <v>38</v>
      </c>
      <c r="M31" s="137"/>
      <c r="N31" s="137"/>
      <c r="O31" s="137"/>
      <c r="P31" s="9"/>
      <c r="Q31" s="118" t="s">
        <v>39</v>
      </c>
      <c r="R31" s="119"/>
      <c r="S31" s="119"/>
      <c r="T31" s="119"/>
      <c r="U31" s="120"/>
      <c r="V31" s="136" t="s">
        <v>40</v>
      </c>
      <c r="W31" s="137"/>
      <c r="X31" s="137"/>
      <c r="Y31" s="137"/>
      <c r="Z31" s="137"/>
      <c r="AA31" s="137"/>
      <c r="AB31" s="137"/>
      <c r="AC31" s="137"/>
      <c r="AD31" s="137"/>
      <c r="AE31" s="103"/>
      <c r="AF31" s="3"/>
      <c r="AG31" s="3"/>
      <c r="AH31" s="4"/>
    </row>
    <row r="32" spans="1:34">
      <c r="A32" s="2"/>
      <c r="C32" s="148" t="s">
        <v>41</v>
      </c>
      <c r="D32" s="148"/>
      <c r="E32" s="148"/>
      <c r="F32" s="148"/>
      <c r="G32" s="14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4"/>
    </row>
    <row r="33" spans="1:34">
      <c r="A33" s="2"/>
      <c r="C33" s="149"/>
      <c r="D33" s="149"/>
      <c r="E33" s="149"/>
      <c r="F33" s="149"/>
      <c r="G33" s="1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4"/>
    </row>
    <row r="34" spans="1:34" ht="11.25" customHeight="1">
      <c r="A34" s="2"/>
      <c r="B34" s="3"/>
      <c r="C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4"/>
    </row>
    <row r="35" spans="1:34">
      <c r="A35" s="2"/>
      <c r="B35" s="11" t="s">
        <v>42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4"/>
    </row>
    <row r="36" spans="1:34" ht="7.5" customHeight="1">
      <c r="A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4"/>
    </row>
    <row r="37" spans="1:34" ht="15" customHeight="1">
      <c r="A37" s="2"/>
      <c r="B37" s="138" t="s">
        <v>43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3"/>
      <c r="V37" s="139" t="s">
        <v>44</v>
      </c>
      <c r="W37" s="140"/>
      <c r="X37" s="140"/>
      <c r="Y37" s="140"/>
      <c r="Z37" s="140"/>
      <c r="AA37" s="140"/>
      <c r="AB37" s="140"/>
      <c r="AC37" s="140"/>
      <c r="AD37" s="140"/>
      <c r="AE37" s="141"/>
      <c r="AF37" s="3"/>
      <c r="AG37" s="3"/>
      <c r="AH37" s="4"/>
    </row>
    <row r="38" spans="1:34" ht="15" customHeight="1">
      <c r="A38" s="2"/>
      <c r="B38" s="130" t="s">
        <v>18</v>
      </c>
      <c r="C38" s="131"/>
      <c r="D38" s="131"/>
      <c r="E38" s="131"/>
      <c r="F38" s="131"/>
      <c r="G38" s="131"/>
      <c r="H38" s="131"/>
      <c r="I38" s="131"/>
      <c r="J38" s="131"/>
      <c r="K38" s="131"/>
      <c r="L38" s="131" t="s">
        <v>45</v>
      </c>
      <c r="M38" s="131"/>
      <c r="N38" s="131"/>
      <c r="O38" s="131"/>
      <c r="P38" s="131"/>
      <c r="Q38" s="131"/>
      <c r="R38" s="131"/>
      <c r="S38" s="131"/>
      <c r="T38" s="131"/>
      <c r="U38" s="132"/>
      <c r="V38" s="142"/>
      <c r="W38" s="143"/>
      <c r="X38" s="143"/>
      <c r="Y38" s="143"/>
      <c r="Z38" s="143"/>
      <c r="AA38" s="143"/>
      <c r="AB38" s="143"/>
      <c r="AC38" s="143"/>
      <c r="AD38" s="143"/>
      <c r="AE38" s="144"/>
      <c r="AF38" s="3"/>
      <c r="AG38" s="3"/>
      <c r="AH38" s="4"/>
    </row>
    <row r="39" spans="1:34" ht="15" customHeight="1">
      <c r="A39" s="2"/>
      <c r="B39" s="145" t="s">
        <v>46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 t="s">
        <v>47</v>
      </c>
      <c r="M39" s="146"/>
      <c r="N39" s="146"/>
      <c r="O39" s="146"/>
      <c r="P39" s="146"/>
      <c r="Q39" s="146"/>
      <c r="R39" s="146"/>
      <c r="S39" s="146"/>
      <c r="T39" s="146"/>
      <c r="U39" s="147"/>
      <c r="V39" s="145" t="s">
        <v>31</v>
      </c>
      <c r="W39" s="146"/>
      <c r="X39" s="146"/>
      <c r="Y39" s="146"/>
      <c r="Z39" s="146"/>
      <c r="AA39" s="146"/>
      <c r="AB39" s="146"/>
      <c r="AC39" s="146"/>
      <c r="AD39" s="146"/>
      <c r="AE39" s="147"/>
      <c r="AF39" s="3"/>
      <c r="AG39" s="3"/>
      <c r="AH39" s="4"/>
    </row>
    <row r="40" spans="1:34" ht="21" customHeight="1">
      <c r="A40" s="2"/>
      <c r="B40" s="110">
        <v>90.02</v>
      </c>
      <c r="C40" s="111"/>
      <c r="D40" s="111"/>
      <c r="E40" s="111"/>
      <c r="F40" s="111"/>
      <c r="G40" s="111"/>
      <c r="H40" s="111"/>
      <c r="I40" s="111"/>
      <c r="J40" s="111"/>
      <c r="K40" s="111"/>
      <c r="L40" s="193">
        <v>89.92</v>
      </c>
      <c r="M40" s="193"/>
      <c r="N40" s="193"/>
      <c r="O40" s="193"/>
      <c r="P40" s="193"/>
      <c r="Q40" s="193"/>
      <c r="R40" s="193"/>
      <c r="S40" s="193"/>
      <c r="T40" s="193"/>
      <c r="U40" s="265"/>
      <c r="V40" s="192">
        <f>100*(L40-B40)/Z5</f>
        <v>-4.9999999999997158E-2</v>
      </c>
      <c r="W40" s="193"/>
      <c r="X40" s="193"/>
      <c r="Y40" s="193"/>
      <c r="Z40" s="193"/>
      <c r="AA40" s="193"/>
      <c r="AB40" s="193"/>
      <c r="AC40" s="194"/>
      <c r="AD40" s="195" t="s">
        <v>32</v>
      </c>
      <c r="AE40" s="196"/>
      <c r="AF40" s="3"/>
      <c r="AG40" s="3"/>
      <c r="AH40" s="4"/>
    </row>
    <row r="41" spans="1:34" ht="21" customHeight="1">
      <c r="A41" s="2"/>
      <c r="B41" s="136" t="s">
        <v>36</v>
      </c>
      <c r="C41" s="137"/>
      <c r="D41" s="137"/>
      <c r="E41" s="137"/>
      <c r="F41" s="103"/>
      <c r="G41" s="8"/>
      <c r="H41" s="137" t="s">
        <v>37</v>
      </c>
      <c r="I41" s="137"/>
      <c r="J41" s="137"/>
      <c r="K41" s="137"/>
      <c r="L41" s="137" t="s">
        <v>38</v>
      </c>
      <c r="M41" s="137"/>
      <c r="N41" s="137"/>
      <c r="O41" s="137"/>
      <c r="P41" s="9"/>
      <c r="Q41" s="118" t="s">
        <v>39</v>
      </c>
      <c r="R41" s="119"/>
      <c r="S41" s="119"/>
      <c r="T41" s="119"/>
      <c r="U41" s="120"/>
      <c r="V41" s="136" t="s">
        <v>48</v>
      </c>
      <c r="W41" s="137"/>
      <c r="X41" s="137"/>
      <c r="Y41" s="137"/>
      <c r="Z41" s="137"/>
      <c r="AA41" s="137"/>
      <c r="AB41" s="137"/>
      <c r="AC41" s="137"/>
      <c r="AD41" s="137"/>
      <c r="AE41" s="103"/>
      <c r="AF41" s="3"/>
      <c r="AG41" s="3"/>
      <c r="AH41" s="4"/>
    </row>
    <row r="42" spans="1:34">
      <c r="A42" s="2"/>
      <c r="B42" s="150" t="s">
        <v>41</v>
      </c>
      <c r="C42" s="150"/>
      <c r="D42" s="150"/>
      <c r="E42" s="150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4"/>
    </row>
    <row r="43" spans="1:34" ht="15.75" thickBot="1">
      <c r="A43" s="2"/>
      <c r="B43" s="150"/>
      <c r="C43" s="150"/>
      <c r="D43" s="150"/>
      <c r="E43" s="150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4"/>
    </row>
    <row r="44" spans="1:34" ht="10.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151" t="s">
        <v>49</v>
      </c>
      <c r="Z44" s="152"/>
      <c r="AA44" s="152"/>
      <c r="AB44" s="152"/>
      <c r="AC44" s="153"/>
      <c r="AD44" s="157" t="s">
        <v>50</v>
      </c>
      <c r="AE44" s="157"/>
      <c r="AF44" s="157"/>
      <c r="AG44" s="157"/>
      <c r="AH44" s="158"/>
    </row>
    <row r="45" spans="1:34" ht="15.75" thickBot="1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154"/>
      <c r="Z45" s="155"/>
      <c r="AA45" s="155"/>
      <c r="AB45" s="155"/>
      <c r="AC45" s="156"/>
      <c r="AD45" s="159"/>
      <c r="AE45" s="159"/>
      <c r="AF45" s="159"/>
      <c r="AG45" s="159"/>
      <c r="AH45" s="160"/>
    </row>
    <row r="46" spans="1:34" ht="15" customHeight="1">
      <c r="A46" s="2"/>
      <c r="B46" s="161" t="s">
        <v>51</v>
      </c>
      <c r="C46" s="162"/>
      <c r="D46" s="162"/>
      <c r="E46" s="162"/>
      <c r="F46" s="162"/>
      <c r="G46" s="163"/>
      <c r="H46" s="170" t="s">
        <v>37</v>
      </c>
      <c r="I46" s="171"/>
      <c r="J46" s="171"/>
      <c r="K46" s="171"/>
      <c r="L46" s="171"/>
      <c r="M46" s="172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176"/>
      <c r="Z46" s="177"/>
      <c r="AA46" s="177"/>
      <c r="AB46" s="177"/>
      <c r="AC46" s="178"/>
      <c r="AD46" s="183"/>
      <c r="AE46" s="184"/>
      <c r="AF46" s="184"/>
      <c r="AG46" s="184"/>
      <c r="AH46" s="185"/>
    </row>
    <row r="47" spans="1:34" ht="15" customHeight="1">
      <c r="A47" s="2"/>
      <c r="B47" s="164"/>
      <c r="C47" s="165"/>
      <c r="D47" s="165"/>
      <c r="E47" s="165"/>
      <c r="F47" s="165"/>
      <c r="G47" s="166"/>
      <c r="H47" s="173"/>
      <c r="I47" s="174"/>
      <c r="J47" s="174"/>
      <c r="K47" s="174"/>
      <c r="L47" s="174"/>
      <c r="M47" s="175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179"/>
      <c r="Z47" s="177"/>
      <c r="AA47" s="177"/>
      <c r="AB47" s="177"/>
      <c r="AC47" s="178"/>
      <c r="AD47" s="184"/>
      <c r="AE47" s="184"/>
      <c r="AF47" s="184"/>
      <c r="AG47" s="184"/>
      <c r="AH47" s="185"/>
    </row>
    <row r="48" spans="1:34" ht="15" customHeight="1">
      <c r="A48" s="2"/>
      <c r="B48" s="164"/>
      <c r="C48" s="165"/>
      <c r="D48" s="165"/>
      <c r="E48" s="165"/>
      <c r="F48" s="165"/>
      <c r="G48" s="166"/>
      <c r="H48" s="173" t="s">
        <v>38</v>
      </c>
      <c r="I48" s="174"/>
      <c r="J48" s="174"/>
      <c r="K48" s="174"/>
      <c r="L48" s="174"/>
      <c r="M48" s="175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179"/>
      <c r="Z48" s="177"/>
      <c r="AA48" s="177"/>
      <c r="AB48" s="177"/>
      <c r="AC48" s="178"/>
      <c r="AD48" s="184"/>
      <c r="AE48" s="184"/>
      <c r="AF48" s="184"/>
      <c r="AG48" s="184"/>
      <c r="AH48" s="185"/>
    </row>
    <row r="49" spans="1:34" ht="15" customHeight="1" thickBot="1">
      <c r="A49" s="2"/>
      <c r="B49" s="167"/>
      <c r="C49" s="168"/>
      <c r="D49" s="168"/>
      <c r="E49" s="168"/>
      <c r="F49" s="168"/>
      <c r="G49" s="169"/>
      <c r="H49" s="188"/>
      <c r="I49" s="189"/>
      <c r="J49" s="189"/>
      <c r="K49" s="189"/>
      <c r="L49" s="189"/>
      <c r="M49" s="190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179"/>
      <c r="Z49" s="177"/>
      <c r="AA49" s="177"/>
      <c r="AB49" s="177"/>
      <c r="AC49" s="178"/>
      <c r="AD49" s="184"/>
      <c r="AE49" s="184"/>
      <c r="AF49" s="184"/>
      <c r="AG49" s="184"/>
      <c r="AH49" s="185"/>
    </row>
    <row r="50" spans="1:34" ht="10.5" customHeight="1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180"/>
      <c r="Z50" s="181"/>
      <c r="AA50" s="181"/>
      <c r="AB50" s="181"/>
      <c r="AC50" s="182"/>
      <c r="AD50" s="186"/>
      <c r="AE50" s="186"/>
      <c r="AF50" s="186"/>
      <c r="AG50" s="186"/>
      <c r="AH50" s="187"/>
    </row>
    <row r="51" spans="1:34" s="13" customFormat="1" ht="22.5" customHeight="1" thickBot="1">
      <c r="A51" s="199" t="s">
        <v>76</v>
      </c>
      <c r="B51" s="200"/>
      <c r="C51" s="200"/>
      <c r="D51" s="200"/>
      <c r="E51" s="200" t="s">
        <v>52</v>
      </c>
      <c r="F51" s="200"/>
      <c r="G51" s="200"/>
      <c r="H51" s="200"/>
      <c r="I51" s="201"/>
      <c r="J51" s="202" t="s">
        <v>77</v>
      </c>
      <c r="K51" s="200"/>
      <c r="L51" s="200"/>
      <c r="M51" s="200"/>
      <c r="N51" s="200" t="s">
        <v>78</v>
      </c>
      <c r="O51" s="200"/>
      <c r="P51" s="200"/>
      <c r="Q51" s="201"/>
      <c r="R51" s="203"/>
      <c r="S51" s="204"/>
      <c r="T51" s="204"/>
      <c r="U51" s="204"/>
      <c r="V51" s="204"/>
      <c r="W51" s="204"/>
      <c r="X51" s="205"/>
      <c r="Y51" s="202" t="s">
        <v>79</v>
      </c>
      <c r="Z51" s="200"/>
      <c r="AA51" s="200"/>
      <c r="AB51" s="200"/>
      <c r="AC51" s="200"/>
      <c r="AD51" s="197">
        <v>41883</v>
      </c>
      <c r="AE51" s="197"/>
      <c r="AF51" s="197"/>
      <c r="AG51" s="197"/>
      <c r="AH51" s="198"/>
    </row>
    <row r="53" spans="1:34" ht="15.75" thickBot="1"/>
    <row r="54" spans="1:34" ht="27" customHeight="1">
      <c r="A54" s="45" t="s">
        <v>53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7"/>
      <c r="AD54" s="48" t="s">
        <v>54</v>
      </c>
      <c r="AE54" s="49"/>
      <c r="AF54" s="49"/>
      <c r="AG54" s="50" t="s">
        <v>2</v>
      </c>
      <c r="AH54" s="51"/>
    </row>
    <row r="55" spans="1:34" ht="19.5" customHeight="1">
      <c r="A55" s="52" t="s">
        <v>3</v>
      </c>
      <c r="B55" s="53"/>
      <c r="C55" s="53"/>
      <c r="D55" s="53"/>
      <c r="E55" s="53"/>
      <c r="F55" s="53"/>
      <c r="G55" s="54" t="s">
        <v>85</v>
      </c>
      <c r="H55" s="55"/>
      <c r="I55" s="55"/>
      <c r="J55" s="55"/>
      <c r="K55" s="55"/>
      <c r="L55" s="55"/>
      <c r="M55" s="55"/>
      <c r="N55" s="55"/>
      <c r="O55" s="55"/>
      <c r="P55" s="55"/>
      <c r="Q55" s="56"/>
      <c r="R55" s="28" t="s">
        <v>4</v>
      </c>
      <c r="S55" s="29"/>
      <c r="T55" s="29"/>
      <c r="U55" s="29"/>
      <c r="V55" s="29"/>
      <c r="W55" s="30"/>
      <c r="X55" s="31">
        <v>42886</v>
      </c>
      <c r="Y55" s="32"/>
      <c r="Z55" s="32"/>
      <c r="AA55" s="32"/>
      <c r="AB55" s="32"/>
      <c r="AC55" s="32"/>
      <c r="AD55" s="32"/>
      <c r="AE55" s="32"/>
      <c r="AF55" s="32"/>
      <c r="AG55" s="32"/>
      <c r="AH55" s="33"/>
    </row>
    <row r="56" spans="1:34" ht="19.5" customHeight="1">
      <c r="A56" s="34" t="s">
        <v>55</v>
      </c>
      <c r="B56" s="35"/>
      <c r="C56" s="35"/>
      <c r="D56" s="35"/>
      <c r="E56" s="35"/>
      <c r="F56" s="35"/>
      <c r="G56" s="25" t="s">
        <v>83</v>
      </c>
      <c r="H56" s="26"/>
      <c r="I56" s="26"/>
      <c r="J56" s="26"/>
      <c r="K56" s="26"/>
      <c r="L56" s="26"/>
      <c r="M56" s="26"/>
      <c r="N56" s="26"/>
      <c r="O56" s="26"/>
      <c r="P56" s="26"/>
      <c r="Q56" s="27"/>
      <c r="R56" s="28" t="s">
        <v>6</v>
      </c>
      <c r="S56" s="29"/>
      <c r="T56" s="29"/>
      <c r="U56" s="29"/>
      <c r="V56" s="29"/>
      <c r="W56" s="30"/>
      <c r="X56" s="31">
        <v>43251</v>
      </c>
      <c r="Y56" s="32"/>
      <c r="Z56" s="32"/>
      <c r="AA56" s="32"/>
      <c r="AB56" s="32"/>
      <c r="AC56" s="32"/>
      <c r="AD56" s="32"/>
      <c r="AE56" s="32"/>
      <c r="AF56" s="32"/>
      <c r="AG56" s="32"/>
      <c r="AH56" s="33"/>
    </row>
    <row r="57" spans="1:34" ht="19.5" customHeight="1">
      <c r="A57" s="34" t="s">
        <v>7</v>
      </c>
      <c r="B57" s="35"/>
      <c r="C57" s="35"/>
      <c r="D57" s="35"/>
      <c r="E57" s="35"/>
      <c r="F57" s="35"/>
      <c r="G57" s="36" t="s">
        <v>84</v>
      </c>
      <c r="H57" s="37"/>
      <c r="I57" s="37"/>
      <c r="J57" s="37"/>
      <c r="K57" s="37"/>
      <c r="L57" s="37"/>
      <c r="M57" s="37"/>
      <c r="N57" s="37"/>
      <c r="O57" s="37"/>
      <c r="P57" s="37"/>
      <c r="Q57" s="38"/>
      <c r="R57" s="39" t="s">
        <v>8</v>
      </c>
      <c r="S57" s="40"/>
      <c r="T57" s="40"/>
      <c r="U57" s="40"/>
      <c r="V57" s="40"/>
      <c r="W57" s="41"/>
      <c r="X57" s="42" t="s">
        <v>9</v>
      </c>
      <c r="Y57" s="43"/>
      <c r="Z57" s="43"/>
      <c r="AA57" s="43"/>
      <c r="AB57" s="43"/>
      <c r="AC57" s="43"/>
      <c r="AD57" s="43"/>
      <c r="AE57" s="43"/>
      <c r="AF57" s="43"/>
      <c r="AG57" s="43"/>
      <c r="AH57" s="44"/>
    </row>
    <row r="58" spans="1:34" ht="19.5" customHeight="1">
      <c r="A58" s="65" t="s">
        <v>10</v>
      </c>
      <c r="B58" s="66"/>
      <c r="C58" s="66"/>
      <c r="D58" s="66"/>
      <c r="E58" s="66"/>
      <c r="F58" s="67"/>
      <c r="G58" s="68" t="s">
        <v>86</v>
      </c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9" t="s">
        <v>11</v>
      </c>
      <c r="S58" s="69"/>
      <c r="T58" s="69"/>
      <c r="U58" s="69"/>
      <c r="V58" s="69"/>
      <c r="W58" s="69"/>
      <c r="X58" s="70" t="s">
        <v>12</v>
      </c>
      <c r="Y58" s="71"/>
      <c r="Z58" s="72">
        <f>Z5</f>
        <v>200</v>
      </c>
      <c r="AA58" s="73"/>
      <c r="AB58" s="73"/>
      <c r="AC58" s="73"/>
      <c r="AD58" s="74" t="s">
        <v>56</v>
      </c>
      <c r="AE58" s="74"/>
      <c r="AF58" s="74"/>
      <c r="AG58" s="74"/>
      <c r="AH58" s="75"/>
    </row>
    <row r="59" spans="1:34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4"/>
    </row>
    <row r="60" spans="1:34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4"/>
    </row>
    <row r="61" spans="1:34">
      <c r="A61" s="2"/>
      <c r="B61" s="7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4"/>
    </row>
    <row r="62" spans="1:34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4"/>
    </row>
    <row r="63" spans="1:34" ht="15" customHeight="1">
      <c r="A63" s="2"/>
      <c r="B63" s="213"/>
      <c r="C63" s="214"/>
      <c r="D63" s="214"/>
      <c r="E63" s="215"/>
      <c r="F63" s="138" t="s">
        <v>58</v>
      </c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3"/>
      <c r="T63" s="138" t="s">
        <v>20</v>
      </c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3"/>
      <c r="AH63" s="4"/>
    </row>
    <row r="64" spans="1:34" ht="39.75" customHeight="1">
      <c r="A64" s="2"/>
      <c r="B64" s="216"/>
      <c r="C64" s="217"/>
      <c r="D64" s="217"/>
      <c r="E64" s="218"/>
      <c r="F64" s="130" t="s">
        <v>45</v>
      </c>
      <c r="G64" s="131"/>
      <c r="H64" s="131"/>
      <c r="I64" s="131"/>
      <c r="J64" s="131"/>
      <c r="K64" s="219" t="s">
        <v>59</v>
      </c>
      <c r="L64" s="220"/>
      <c r="M64" s="220"/>
      <c r="N64" s="220"/>
      <c r="O64" s="221" t="s">
        <v>60</v>
      </c>
      <c r="P64" s="131"/>
      <c r="Q64" s="131"/>
      <c r="R64" s="131"/>
      <c r="S64" s="132"/>
      <c r="T64" s="130" t="s">
        <v>45</v>
      </c>
      <c r="U64" s="131"/>
      <c r="V64" s="131"/>
      <c r="W64" s="131"/>
      <c r="X64" s="131"/>
      <c r="Y64" s="219" t="s">
        <v>59</v>
      </c>
      <c r="Z64" s="220"/>
      <c r="AA64" s="220"/>
      <c r="AB64" s="220"/>
      <c r="AC64" s="221" t="s">
        <v>60</v>
      </c>
      <c r="AD64" s="131"/>
      <c r="AE64" s="131"/>
      <c r="AF64" s="131"/>
      <c r="AG64" s="132"/>
      <c r="AH64" s="4"/>
    </row>
    <row r="65" spans="1:34" ht="15" customHeight="1">
      <c r="A65" s="2"/>
      <c r="B65" s="216"/>
      <c r="C65" s="217"/>
      <c r="D65" s="217"/>
      <c r="E65" s="218"/>
      <c r="F65" s="130" t="s">
        <v>61</v>
      </c>
      <c r="G65" s="131"/>
      <c r="H65" s="131"/>
      <c r="I65" s="131"/>
      <c r="J65" s="131"/>
      <c r="K65" s="131" t="s">
        <v>62</v>
      </c>
      <c r="L65" s="131"/>
      <c r="M65" s="131"/>
      <c r="N65" s="131"/>
      <c r="O65" s="131" t="s">
        <v>63</v>
      </c>
      <c r="P65" s="131"/>
      <c r="Q65" s="131"/>
      <c r="R65" s="131"/>
      <c r="S65" s="132"/>
      <c r="T65" s="130" t="s">
        <v>64</v>
      </c>
      <c r="U65" s="131"/>
      <c r="V65" s="131"/>
      <c r="W65" s="131"/>
      <c r="X65" s="131"/>
      <c r="Y65" s="131" t="s">
        <v>65</v>
      </c>
      <c r="Z65" s="131"/>
      <c r="AA65" s="131"/>
      <c r="AB65" s="131"/>
      <c r="AC65" s="131" t="s">
        <v>66</v>
      </c>
      <c r="AD65" s="131"/>
      <c r="AE65" s="131"/>
      <c r="AF65" s="131"/>
      <c r="AG65" s="132"/>
      <c r="AH65" s="4"/>
    </row>
    <row r="66" spans="1:34" ht="15" customHeight="1">
      <c r="A66" s="2"/>
      <c r="B66" s="206"/>
      <c r="C66" s="207"/>
      <c r="D66" s="208" t="s">
        <v>67</v>
      </c>
      <c r="E66" s="209"/>
      <c r="F66" s="210"/>
      <c r="G66" s="211"/>
      <c r="H66" s="211"/>
      <c r="I66" s="211"/>
      <c r="J66" s="211"/>
      <c r="K66" s="211"/>
      <c r="L66" s="211"/>
      <c r="M66" s="211"/>
      <c r="N66" s="211"/>
      <c r="O66" s="211" t="s">
        <v>32</v>
      </c>
      <c r="P66" s="211"/>
      <c r="Q66" s="211"/>
      <c r="R66" s="211"/>
      <c r="S66" s="212"/>
      <c r="T66" s="210"/>
      <c r="U66" s="211"/>
      <c r="V66" s="211"/>
      <c r="W66" s="211"/>
      <c r="X66" s="211"/>
      <c r="Y66" s="211"/>
      <c r="Z66" s="211"/>
      <c r="AA66" s="211"/>
      <c r="AB66" s="211"/>
      <c r="AC66" s="211" t="s">
        <v>32</v>
      </c>
      <c r="AD66" s="211"/>
      <c r="AE66" s="211"/>
      <c r="AF66" s="211"/>
      <c r="AG66" s="212"/>
      <c r="AH66" s="4"/>
    </row>
    <row r="67" spans="1:34" ht="21" customHeight="1">
      <c r="A67" s="2"/>
      <c r="B67" s="124" t="s">
        <v>68</v>
      </c>
      <c r="C67" s="125"/>
      <c r="D67" s="125"/>
      <c r="E67" s="126"/>
      <c r="F67" s="222">
        <v>-0.02</v>
      </c>
      <c r="G67" s="223"/>
      <c r="H67" s="223"/>
      <c r="I67" s="223"/>
      <c r="J67" s="224"/>
      <c r="K67" s="225">
        <f>F67-$F$70</f>
        <v>0.19</v>
      </c>
      <c r="L67" s="225"/>
      <c r="M67" s="225"/>
      <c r="N67" s="226"/>
      <c r="O67" s="225">
        <f>K67/$Z$58*100</f>
        <v>9.5000000000000001E-2</v>
      </c>
      <c r="P67" s="225"/>
      <c r="Q67" s="225"/>
      <c r="R67" s="225"/>
      <c r="S67" s="227"/>
      <c r="T67" s="228">
        <v>89.58</v>
      </c>
      <c r="U67" s="229"/>
      <c r="V67" s="229"/>
      <c r="W67" s="229"/>
      <c r="X67" s="230"/>
      <c r="Y67" s="229">
        <f>T67-$T$70</f>
        <v>0.17000000000000171</v>
      </c>
      <c r="Z67" s="229"/>
      <c r="AA67" s="229"/>
      <c r="AB67" s="229"/>
      <c r="AC67" s="231">
        <f>Y67/$Z$58*100</f>
        <v>8.5000000000000853E-2</v>
      </c>
      <c r="AD67" s="231"/>
      <c r="AE67" s="231"/>
      <c r="AF67" s="231"/>
      <c r="AG67" s="232"/>
      <c r="AH67" s="4"/>
    </row>
    <row r="68" spans="1:34" ht="21" customHeight="1">
      <c r="A68" s="2"/>
      <c r="B68" s="124" t="s">
        <v>69</v>
      </c>
      <c r="C68" s="125"/>
      <c r="D68" s="125"/>
      <c r="E68" s="126"/>
      <c r="F68" s="241">
        <v>-0.3</v>
      </c>
      <c r="G68" s="242"/>
      <c r="H68" s="242"/>
      <c r="I68" s="242"/>
      <c r="J68" s="243"/>
      <c r="K68" s="231">
        <f>F68-$F$70</f>
        <v>-0.09</v>
      </c>
      <c r="L68" s="231"/>
      <c r="M68" s="231"/>
      <c r="N68" s="231"/>
      <c r="O68" s="231">
        <f>K68/$Z$58*100</f>
        <v>-4.4999999999999998E-2</v>
      </c>
      <c r="P68" s="231"/>
      <c r="Q68" s="231"/>
      <c r="R68" s="231"/>
      <c r="S68" s="232"/>
      <c r="T68" s="244">
        <v>89.4</v>
      </c>
      <c r="U68" s="231"/>
      <c r="V68" s="231"/>
      <c r="W68" s="231"/>
      <c r="X68" s="245"/>
      <c r="Y68" s="231">
        <f>T68-$T$70</f>
        <v>-9.9999999999909051E-3</v>
      </c>
      <c r="Z68" s="231"/>
      <c r="AA68" s="231"/>
      <c r="AB68" s="231"/>
      <c r="AC68" s="231">
        <f>Y68/$Z$58*100</f>
        <v>-4.9999999999954525E-3</v>
      </c>
      <c r="AD68" s="231"/>
      <c r="AE68" s="231"/>
      <c r="AF68" s="231"/>
      <c r="AG68" s="232"/>
      <c r="AH68" s="4"/>
    </row>
    <row r="69" spans="1:34" ht="21" customHeight="1">
      <c r="A69" s="2"/>
      <c r="B69" s="124" t="s">
        <v>70</v>
      </c>
      <c r="C69" s="125"/>
      <c r="D69" s="125"/>
      <c r="E69" s="126"/>
      <c r="F69" s="233">
        <v>-0.32</v>
      </c>
      <c r="G69" s="234"/>
      <c r="H69" s="234"/>
      <c r="I69" s="234"/>
      <c r="J69" s="235"/>
      <c r="K69" s="236">
        <f>F69-$F$70</f>
        <v>-0.11000000000000001</v>
      </c>
      <c r="L69" s="236"/>
      <c r="M69" s="236"/>
      <c r="N69" s="237"/>
      <c r="O69" s="238">
        <f>K69/$Z$58*100</f>
        <v>-5.5E-2</v>
      </c>
      <c r="P69" s="238"/>
      <c r="Q69" s="238"/>
      <c r="R69" s="238"/>
      <c r="S69" s="239"/>
      <c r="T69" s="233">
        <v>89.26</v>
      </c>
      <c r="U69" s="234"/>
      <c r="V69" s="234"/>
      <c r="W69" s="234"/>
      <c r="X69" s="234"/>
      <c r="Y69" s="240">
        <f>T69-$T$70</f>
        <v>-0.14999999999999147</v>
      </c>
      <c r="Z69" s="240"/>
      <c r="AA69" s="240"/>
      <c r="AB69" s="240"/>
      <c r="AC69" s="231">
        <f>Y69/$Z$58*100</f>
        <v>-7.4999999999995737E-2</v>
      </c>
      <c r="AD69" s="231"/>
      <c r="AE69" s="231"/>
      <c r="AF69" s="231"/>
      <c r="AG69" s="232"/>
      <c r="AH69" s="4"/>
    </row>
    <row r="70" spans="1:34" ht="21" customHeight="1">
      <c r="A70" s="2"/>
      <c r="B70" s="249" t="s">
        <v>71</v>
      </c>
      <c r="C70" s="137"/>
      <c r="D70" s="137"/>
      <c r="E70" s="103"/>
      <c r="F70" s="222">
        <f>ROUND(AVERAGE(F67:J69),2)</f>
        <v>-0.21</v>
      </c>
      <c r="G70" s="223"/>
      <c r="H70" s="223"/>
      <c r="I70" s="223"/>
      <c r="J70" s="224"/>
      <c r="K70" s="250" t="s">
        <v>72</v>
      </c>
      <c r="L70" s="251"/>
      <c r="M70" s="251"/>
      <c r="N70" s="252"/>
      <c r="O70" s="253">
        <f>ROUND(AVERAGE(O67:S69),2)</f>
        <v>0</v>
      </c>
      <c r="P70" s="254"/>
      <c r="Q70" s="254"/>
      <c r="R70" s="254"/>
      <c r="S70" s="255"/>
      <c r="T70" s="256">
        <f>ROUND(AVERAGE(T67:X69),2)</f>
        <v>89.41</v>
      </c>
      <c r="U70" s="112"/>
      <c r="V70" s="112"/>
      <c r="W70" s="112"/>
      <c r="X70" s="112"/>
      <c r="Y70" s="250" t="s">
        <v>72</v>
      </c>
      <c r="Z70" s="251"/>
      <c r="AA70" s="251"/>
      <c r="AB70" s="252"/>
      <c r="AC70" s="112">
        <f>ROUND(AVERAGE(AC67:AG69),2)</f>
        <v>0</v>
      </c>
      <c r="AD70" s="112"/>
      <c r="AE70" s="112"/>
      <c r="AF70" s="112"/>
      <c r="AG70" s="113"/>
      <c r="AH70" s="4"/>
    </row>
    <row r="71" spans="1:34" ht="27" customHeight="1">
      <c r="A71" s="2"/>
      <c r="B71" s="136" t="s">
        <v>36</v>
      </c>
      <c r="C71" s="137"/>
      <c r="D71" s="137"/>
      <c r="E71" s="103"/>
      <c r="F71" s="12"/>
      <c r="G71" s="137" t="s">
        <v>37</v>
      </c>
      <c r="H71" s="137"/>
      <c r="I71" s="137"/>
      <c r="J71" s="137"/>
      <c r="K71" s="137" t="s">
        <v>38</v>
      </c>
      <c r="L71" s="137"/>
      <c r="M71" s="137"/>
      <c r="N71" s="137"/>
      <c r="O71" s="246" t="s">
        <v>39</v>
      </c>
      <c r="P71" s="247"/>
      <c r="Q71" s="247"/>
      <c r="R71" s="247"/>
      <c r="S71" s="248"/>
      <c r="T71" s="89" t="s">
        <v>73</v>
      </c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4"/>
    </row>
    <row r="72" spans="1:34">
      <c r="A72" s="2"/>
      <c r="B72" s="150" t="s">
        <v>41</v>
      </c>
      <c r="C72" s="150"/>
      <c r="D72" s="150"/>
      <c r="E72" s="15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4"/>
    </row>
    <row r="73" spans="1:34">
      <c r="A73" s="2"/>
      <c r="B73" s="150"/>
      <c r="C73" s="150"/>
      <c r="D73" s="150"/>
      <c r="E73" s="15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4"/>
    </row>
    <row r="74" spans="1:34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4"/>
    </row>
    <row r="75" spans="1:34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4"/>
    </row>
    <row r="76" spans="1:34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4"/>
    </row>
    <row r="77" spans="1:34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4"/>
    </row>
    <row r="78" spans="1:34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4"/>
    </row>
    <row r="79" spans="1:34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4"/>
    </row>
    <row r="80" spans="1:34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4"/>
    </row>
    <row r="81" spans="1:34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4"/>
    </row>
    <row r="82" spans="1:34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4"/>
    </row>
    <row r="83" spans="1:34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4"/>
    </row>
    <row r="84" spans="1:34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4"/>
    </row>
    <row r="85" spans="1:34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4"/>
    </row>
    <row r="86" spans="1:34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4"/>
    </row>
    <row r="87" spans="1:34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4"/>
    </row>
    <row r="88" spans="1:34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4"/>
    </row>
    <row r="89" spans="1:34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4"/>
    </row>
    <row r="90" spans="1:34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4"/>
    </row>
    <row r="91" spans="1:34" ht="4.5" customHeight="1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4"/>
    </row>
    <row r="92" spans="1:34" ht="15.75" thickBot="1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4"/>
    </row>
    <row r="93" spans="1:34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151" t="s">
        <v>49</v>
      </c>
      <c r="Z93" s="152"/>
      <c r="AA93" s="152"/>
      <c r="AB93" s="152"/>
      <c r="AC93" s="153"/>
      <c r="AD93" s="157" t="s">
        <v>50</v>
      </c>
      <c r="AE93" s="157"/>
      <c r="AF93" s="157"/>
      <c r="AG93" s="157"/>
      <c r="AH93" s="158"/>
    </row>
    <row r="94" spans="1:34" ht="15.75" thickBot="1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154"/>
      <c r="Z94" s="155"/>
      <c r="AA94" s="155"/>
      <c r="AB94" s="155"/>
      <c r="AC94" s="156"/>
      <c r="AD94" s="159"/>
      <c r="AE94" s="159"/>
      <c r="AF94" s="159"/>
      <c r="AG94" s="159"/>
      <c r="AH94" s="160"/>
    </row>
    <row r="95" spans="1:34" ht="15" customHeight="1">
      <c r="A95" s="2"/>
      <c r="B95" s="161" t="s">
        <v>51</v>
      </c>
      <c r="C95" s="171"/>
      <c r="D95" s="171"/>
      <c r="E95" s="171"/>
      <c r="F95" s="171"/>
      <c r="G95" s="171"/>
      <c r="H95" s="170" t="s">
        <v>37</v>
      </c>
      <c r="I95" s="171"/>
      <c r="J95" s="171"/>
      <c r="K95" s="171"/>
      <c r="L95" s="171"/>
      <c r="M95" s="172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176"/>
      <c r="Z95" s="177"/>
      <c r="AA95" s="177"/>
      <c r="AB95" s="177"/>
      <c r="AC95" s="178"/>
      <c r="AD95" s="183"/>
      <c r="AE95" s="184"/>
      <c r="AF95" s="184"/>
      <c r="AG95" s="184"/>
      <c r="AH95" s="185"/>
    </row>
    <row r="96" spans="1:34" ht="15" customHeight="1">
      <c r="A96" s="2"/>
      <c r="B96" s="173"/>
      <c r="C96" s="174"/>
      <c r="D96" s="174"/>
      <c r="E96" s="174"/>
      <c r="F96" s="174"/>
      <c r="G96" s="174"/>
      <c r="H96" s="173"/>
      <c r="I96" s="174"/>
      <c r="J96" s="174"/>
      <c r="K96" s="174"/>
      <c r="L96" s="174"/>
      <c r="M96" s="175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179"/>
      <c r="Z96" s="177"/>
      <c r="AA96" s="177"/>
      <c r="AB96" s="177"/>
      <c r="AC96" s="178"/>
      <c r="AD96" s="184"/>
      <c r="AE96" s="184"/>
      <c r="AF96" s="184"/>
      <c r="AG96" s="184"/>
      <c r="AH96" s="185"/>
    </row>
    <row r="97" spans="1:34" ht="15" customHeight="1">
      <c r="A97" s="2"/>
      <c r="B97" s="173"/>
      <c r="C97" s="174"/>
      <c r="D97" s="174"/>
      <c r="E97" s="174"/>
      <c r="F97" s="174"/>
      <c r="G97" s="174"/>
      <c r="H97" s="173" t="s">
        <v>38</v>
      </c>
      <c r="I97" s="174"/>
      <c r="J97" s="174"/>
      <c r="K97" s="174"/>
      <c r="L97" s="174"/>
      <c r="M97" s="175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179"/>
      <c r="Z97" s="177"/>
      <c r="AA97" s="177"/>
      <c r="AB97" s="177"/>
      <c r="AC97" s="178"/>
      <c r="AD97" s="184"/>
      <c r="AE97" s="184"/>
      <c r="AF97" s="184"/>
      <c r="AG97" s="184"/>
      <c r="AH97" s="185"/>
    </row>
    <row r="98" spans="1:34" ht="15.75" customHeight="1" thickBot="1">
      <c r="A98" s="2"/>
      <c r="B98" s="188"/>
      <c r="C98" s="189"/>
      <c r="D98" s="189"/>
      <c r="E98" s="189"/>
      <c r="F98" s="189"/>
      <c r="G98" s="189"/>
      <c r="H98" s="188"/>
      <c r="I98" s="189"/>
      <c r="J98" s="189"/>
      <c r="K98" s="189"/>
      <c r="L98" s="189"/>
      <c r="M98" s="190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179"/>
      <c r="Z98" s="177"/>
      <c r="AA98" s="177"/>
      <c r="AB98" s="177"/>
      <c r="AC98" s="178"/>
      <c r="AD98" s="184"/>
      <c r="AE98" s="184"/>
      <c r="AF98" s="184"/>
      <c r="AG98" s="184"/>
      <c r="AH98" s="185"/>
    </row>
    <row r="99" spans="1:34" ht="9" customHeight="1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180"/>
      <c r="Z99" s="181"/>
      <c r="AA99" s="181"/>
      <c r="AB99" s="181"/>
      <c r="AC99" s="182"/>
      <c r="AD99" s="186"/>
      <c r="AE99" s="186"/>
      <c r="AF99" s="186"/>
      <c r="AG99" s="186"/>
      <c r="AH99" s="187"/>
    </row>
    <row r="100" spans="1:34" s="13" customFormat="1" ht="22.5" customHeight="1" thickBot="1">
      <c r="A100" s="199" t="s">
        <v>76</v>
      </c>
      <c r="B100" s="200"/>
      <c r="C100" s="200"/>
      <c r="D100" s="200"/>
      <c r="E100" s="200" t="s">
        <v>52</v>
      </c>
      <c r="F100" s="200"/>
      <c r="G100" s="200"/>
      <c r="H100" s="200"/>
      <c r="I100" s="201"/>
      <c r="J100" s="202" t="s">
        <v>77</v>
      </c>
      <c r="K100" s="200"/>
      <c r="L100" s="200"/>
      <c r="M100" s="200"/>
      <c r="N100" s="200" t="s">
        <v>78</v>
      </c>
      <c r="O100" s="200"/>
      <c r="P100" s="200"/>
      <c r="Q100" s="201"/>
      <c r="R100" s="203"/>
      <c r="S100" s="204"/>
      <c r="T100" s="204"/>
      <c r="U100" s="204"/>
      <c r="V100" s="204"/>
      <c r="W100" s="204"/>
      <c r="X100" s="205"/>
      <c r="Y100" s="202" t="s">
        <v>79</v>
      </c>
      <c r="Z100" s="200"/>
      <c r="AA100" s="200"/>
      <c r="AB100" s="200"/>
      <c r="AC100" s="200"/>
      <c r="AD100" s="197">
        <v>41883</v>
      </c>
      <c r="AE100" s="197"/>
      <c r="AF100" s="197"/>
      <c r="AG100" s="197"/>
      <c r="AH100" s="198"/>
    </row>
  </sheetData>
  <mergeCells count="208">
    <mergeCell ref="AD100:AH100"/>
    <mergeCell ref="A100:D100"/>
    <mergeCell ref="E100:I100"/>
    <mergeCell ref="J100:M100"/>
    <mergeCell ref="N100:Q100"/>
    <mergeCell ref="R100:X100"/>
    <mergeCell ref="Y100:AC100"/>
    <mergeCell ref="B72:E73"/>
    <mergeCell ref="Y93:AC94"/>
    <mergeCell ref="AD93:AH94"/>
    <mergeCell ref="B95:G98"/>
    <mergeCell ref="H95:M96"/>
    <mergeCell ref="Y95:AC99"/>
    <mergeCell ref="AD95:AH99"/>
    <mergeCell ref="H97:M98"/>
    <mergeCell ref="AC70:AG70"/>
    <mergeCell ref="B71:E71"/>
    <mergeCell ref="G71:J71"/>
    <mergeCell ref="K71:N71"/>
    <mergeCell ref="O71:S71"/>
    <mergeCell ref="T71:AG71"/>
    <mergeCell ref="B70:E70"/>
    <mergeCell ref="F70:J70"/>
    <mergeCell ref="K70:N70"/>
    <mergeCell ref="O70:S70"/>
    <mergeCell ref="T70:X70"/>
    <mergeCell ref="Y70:AB70"/>
    <mergeCell ref="B67:E67"/>
    <mergeCell ref="F67:J67"/>
    <mergeCell ref="K67:N67"/>
    <mergeCell ref="O67:S67"/>
    <mergeCell ref="T67:X67"/>
    <mergeCell ref="Y67:AB67"/>
    <mergeCell ref="AC67:AG67"/>
    <mergeCell ref="AC68:AG68"/>
    <mergeCell ref="B69:E69"/>
    <mergeCell ref="F69:J69"/>
    <mergeCell ref="K69:N69"/>
    <mergeCell ref="O69:S69"/>
    <mergeCell ref="T69:X69"/>
    <mergeCell ref="Y69:AB69"/>
    <mergeCell ref="AC69:AG69"/>
    <mergeCell ref="B68:E68"/>
    <mergeCell ref="F68:J68"/>
    <mergeCell ref="K68:N68"/>
    <mergeCell ref="O68:S68"/>
    <mergeCell ref="T68:X68"/>
    <mergeCell ref="Y68:AB68"/>
    <mergeCell ref="K65:N65"/>
    <mergeCell ref="O65:S65"/>
    <mergeCell ref="T65:X65"/>
    <mergeCell ref="Y65:AB65"/>
    <mergeCell ref="AC65:AG65"/>
    <mergeCell ref="B66:C66"/>
    <mergeCell ref="D66:E66"/>
    <mergeCell ref="F66:J66"/>
    <mergeCell ref="K66:N66"/>
    <mergeCell ref="O66:S66"/>
    <mergeCell ref="B63:E65"/>
    <mergeCell ref="F63:S63"/>
    <mergeCell ref="T63:AG63"/>
    <mergeCell ref="F64:J64"/>
    <mergeCell ref="K64:N64"/>
    <mergeCell ref="O64:S64"/>
    <mergeCell ref="T64:X64"/>
    <mergeCell ref="Y64:AB64"/>
    <mergeCell ref="AC64:AG64"/>
    <mergeCell ref="F65:J65"/>
    <mergeCell ref="T66:X66"/>
    <mergeCell ref="Y66:AB66"/>
    <mergeCell ref="AC66:AG66"/>
    <mergeCell ref="A58:F58"/>
    <mergeCell ref="G58:Q58"/>
    <mergeCell ref="R58:W58"/>
    <mergeCell ref="X58:Y58"/>
    <mergeCell ref="Z58:AC58"/>
    <mergeCell ref="AD58:AH58"/>
    <mergeCell ref="A56:F56"/>
    <mergeCell ref="G56:Q56"/>
    <mergeCell ref="R56:W56"/>
    <mergeCell ref="X56:AH56"/>
    <mergeCell ref="A57:F57"/>
    <mergeCell ref="G57:Q57"/>
    <mergeCell ref="R57:W57"/>
    <mergeCell ref="X57:AH57"/>
    <mergeCell ref="AD51:AH51"/>
    <mergeCell ref="A54:AC54"/>
    <mergeCell ref="AD54:AF54"/>
    <mergeCell ref="AG54:AH54"/>
    <mergeCell ref="A55:F55"/>
    <mergeCell ref="G55:Q55"/>
    <mergeCell ref="R55:W55"/>
    <mergeCell ref="X55:AH55"/>
    <mergeCell ref="A51:D51"/>
    <mergeCell ref="E51:I51"/>
    <mergeCell ref="J51:M51"/>
    <mergeCell ref="N51:Q51"/>
    <mergeCell ref="R51:X51"/>
    <mergeCell ref="Y51:AC51"/>
    <mergeCell ref="B42:E43"/>
    <mergeCell ref="Y44:AC45"/>
    <mergeCell ref="AD44:AH45"/>
    <mergeCell ref="B46:G49"/>
    <mergeCell ref="H46:M47"/>
    <mergeCell ref="Y46:AC50"/>
    <mergeCell ref="AD46:AH50"/>
    <mergeCell ref="H48:M49"/>
    <mergeCell ref="B40:K40"/>
    <mergeCell ref="L40:U40"/>
    <mergeCell ref="V40:AC40"/>
    <mergeCell ref="AD40:AE40"/>
    <mergeCell ref="B41:F41"/>
    <mergeCell ref="H41:K41"/>
    <mergeCell ref="L41:O41"/>
    <mergeCell ref="Q41:U41"/>
    <mergeCell ref="V41:AE41"/>
    <mergeCell ref="B37:U37"/>
    <mergeCell ref="V37:AE38"/>
    <mergeCell ref="B38:K38"/>
    <mergeCell ref="L38:U38"/>
    <mergeCell ref="B39:K39"/>
    <mergeCell ref="L39:U39"/>
    <mergeCell ref="V39:AE39"/>
    <mergeCell ref="B31:F31"/>
    <mergeCell ref="H31:K31"/>
    <mergeCell ref="L31:O31"/>
    <mergeCell ref="Q31:U31"/>
    <mergeCell ref="V31:AE31"/>
    <mergeCell ref="C32:F33"/>
    <mergeCell ref="B28:K28"/>
    <mergeCell ref="L28:U28"/>
    <mergeCell ref="V28:AE28"/>
    <mergeCell ref="B29:K29"/>
    <mergeCell ref="L29:U29"/>
    <mergeCell ref="V29:AC29"/>
    <mergeCell ref="AD29:AE29"/>
    <mergeCell ref="B25:K25"/>
    <mergeCell ref="L25:U25"/>
    <mergeCell ref="B26:U26"/>
    <mergeCell ref="V26:AE27"/>
    <mergeCell ref="B27:K27"/>
    <mergeCell ref="L27:U27"/>
    <mergeCell ref="B22:K22"/>
    <mergeCell ref="L22:U22"/>
    <mergeCell ref="V22:AE22"/>
    <mergeCell ref="B23:K23"/>
    <mergeCell ref="L23:U23"/>
    <mergeCell ref="V23:AC23"/>
    <mergeCell ref="AD23:AE23"/>
    <mergeCell ref="B19:K19"/>
    <mergeCell ref="L19:U19"/>
    <mergeCell ref="B20:U20"/>
    <mergeCell ref="V20:AE21"/>
    <mergeCell ref="B21:K21"/>
    <mergeCell ref="L21:U21"/>
    <mergeCell ref="F14:K14"/>
    <mergeCell ref="L14:S14"/>
    <mergeCell ref="T14:Y14"/>
    <mergeCell ref="Z14:AG14"/>
    <mergeCell ref="B15:K15"/>
    <mergeCell ref="L15:S15"/>
    <mergeCell ref="B11:H11"/>
    <mergeCell ref="I11:N11"/>
    <mergeCell ref="O11:U11"/>
    <mergeCell ref="V11:AA11"/>
    <mergeCell ref="AB11:AG11"/>
    <mergeCell ref="B13:E14"/>
    <mergeCell ref="F13:K13"/>
    <mergeCell ref="L13:S13"/>
    <mergeCell ref="T13:Y13"/>
    <mergeCell ref="Z13:AG13"/>
    <mergeCell ref="B9:H9"/>
    <mergeCell ref="I9:N9"/>
    <mergeCell ref="O9:U9"/>
    <mergeCell ref="V9:AA9"/>
    <mergeCell ref="AB9:AG9"/>
    <mergeCell ref="B10:H10"/>
    <mergeCell ref="I10:N10"/>
    <mergeCell ref="O10:U10"/>
    <mergeCell ref="V10:AA10"/>
    <mergeCell ref="AB10:AG10"/>
    <mergeCell ref="B7:AG7"/>
    <mergeCell ref="B8:H8"/>
    <mergeCell ref="I8:N8"/>
    <mergeCell ref="O8:U8"/>
    <mergeCell ref="V8:AA8"/>
    <mergeCell ref="AB8:AG8"/>
    <mergeCell ref="A5:F5"/>
    <mergeCell ref="G5:Q5"/>
    <mergeCell ref="R5:W5"/>
    <mergeCell ref="X5:Y5"/>
    <mergeCell ref="Z5:AC5"/>
    <mergeCell ref="AD5:AH5"/>
    <mergeCell ref="A3:F3"/>
    <mergeCell ref="G3:Q3"/>
    <mergeCell ref="R3:W3"/>
    <mergeCell ref="X3:AH3"/>
    <mergeCell ref="A4:F4"/>
    <mergeCell ref="G4:Q4"/>
    <mergeCell ref="R4:W4"/>
    <mergeCell ref="X4:AH4"/>
    <mergeCell ref="A1:AC1"/>
    <mergeCell ref="AD1:AF1"/>
    <mergeCell ref="AG1:AH1"/>
    <mergeCell ref="A2:F2"/>
    <mergeCell ref="G2:Q2"/>
    <mergeCell ref="R2:W2"/>
    <mergeCell ref="X2:AH2"/>
  </mergeCells>
  <pageMargins left="0.47244094488188981" right="0.31" top="0.43307086614173229" bottom="0.19685039370078741" header="0.35433070866141736" footer="0.11811023622047245"/>
  <pageSetup paperSize="9" scale="94" firstPageNumber="4294963191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11265" r:id="rId4">
          <objectPr defaultSize="0" autoPict="0" r:id="rId5">
            <anchor moveWithCells="1">
              <from>
                <xdr:col>6</xdr:col>
                <xdr:colOff>142875</xdr:colOff>
                <xdr:row>31</xdr:row>
                <xdr:rowOff>38100</xdr:rowOff>
              </from>
              <to>
                <xdr:col>9</xdr:col>
                <xdr:colOff>19050</xdr:colOff>
                <xdr:row>32</xdr:row>
                <xdr:rowOff>152400</xdr:rowOff>
              </to>
            </anchor>
          </objectPr>
        </oleObject>
      </mc:Choice>
      <mc:Fallback>
        <oleObject progId="Equation.3" shapeId="11265" r:id="rId4"/>
      </mc:Fallback>
    </mc:AlternateContent>
    <mc:AlternateContent xmlns:mc="http://schemas.openxmlformats.org/markup-compatibility/2006">
      <mc:Choice Requires="x14">
        <oleObject progId="Equation.3" shapeId="11266" r:id="rId6">
          <objectPr defaultSize="0" autoPict="0" r:id="rId7">
            <anchor moveWithCells="1">
              <from>
                <xdr:col>6</xdr:col>
                <xdr:colOff>95250</xdr:colOff>
                <xdr:row>41</xdr:row>
                <xdr:rowOff>180975</xdr:rowOff>
              </from>
              <to>
                <xdr:col>9</xdr:col>
                <xdr:colOff>123825</xdr:colOff>
                <xdr:row>43</xdr:row>
                <xdr:rowOff>104775</xdr:rowOff>
              </to>
            </anchor>
          </objectPr>
        </oleObject>
      </mc:Choice>
      <mc:Fallback>
        <oleObject progId="Equation.3" shapeId="11266" r:id="rId6"/>
      </mc:Fallback>
    </mc:AlternateContent>
    <mc:AlternateContent xmlns:mc="http://schemas.openxmlformats.org/markup-compatibility/2006">
      <mc:Choice Requires="x14">
        <oleObject progId="Equation.3" shapeId="11267" r:id="rId8">
          <objectPr defaultSize="0" autoPict="0" r:id="rId9">
            <anchor moveWithCells="1">
              <from>
                <xdr:col>5</xdr:col>
                <xdr:colOff>0</xdr:colOff>
                <xdr:row>72</xdr:row>
                <xdr:rowOff>85725</xdr:rowOff>
              </from>
              <to>
                <xdr:col>7</xdr:col>
                <xdr:colOff>114300</xdr:colOff>
                <xdr:row>74</xdr:row>
                <xdr:rowOff>19050</xdr:rowOff>
              </to>
            </anchor>
          </objectPr>
        </oleObject>
      </mc:Choice>
      <mc:Fallback>
        <oleObject progId="Equation.3" shapeId="11267" r:id="rId8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101"/>
  <sheetViews>
    <sheetView topLeftCell="A13" zoomScale="130" zoomScaleNormal="130" workbookViewId="0">
      <selection activeCell="AI27" sqref="AI27"/>
    </sheetView>
  </sheetViews>
  <sheetFormatPr defaultColWidth="2.5" defaultRowHeight="15"/>
  <cols>
    <col min="1" max="16384" width="2.5" style="1"/>
  </cols>
  <sheetData>
    <row r="1" spans="1:34" ht="27" customHeight="1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7"/>
      <c r="AD1" s="48" t="s">
        <v>1</v>
      </c>
      <c r="AE1" s="49"/>
      <c r="AF1" s="49"/>
      <c r="AG1" s="50" t="s">
        <v>2</v>
      </c>
      <c r="AH1" s="51"/>
    </row>
    <row r="2" spans="1:34" ht="19.5" customHeight="1">
      <c r="A2" s="52" t="s">
        <v>3</v>
      </c>
      <c r="B2" s="53"/>
      <c r="C2" s="53"/>
      <c r="D2" s="53"/>
      <c r="E2" s="53"/>
      <c r="F2" s="53"/>
      <c r="G2" s="54" t="s">
        <v>85</v>
      </c>
      <c r="H2" s="55"/>
      <c r="I2" s="55"/>
      <c r="J2" s="55"/>
      <c r="K2" s="55"/>
      <c r="L2" s="55"/>
      <c r="M2" s="55"/>
      <c r="N2" s="55"/>
      <c r="O2" s="55"/>
      <c r="P2" s="55"/>
      <c r="Q2" s="56"/>
      <c r="R2" s="28" t="s">
        <v>4</v>
      </c>
      <c r="S2" s="29"/>
      <c r="T2" s="29"/>
      <c r="U2" s="29"/>
      <c r="V2" s="29"/>
      <c r="W2" s="30"/>
      <c r="X2" s="31">
        <v>42886</v>
      </c>
      <c r="Y2" s="32"/>
      <c r="Z2" s="32"/>
      <c r="AA2" s="32"/>
      <c r="AB2" s="32"/>
      <c r="AC2" s="32"/>
      <c r="AD2" s="32"/>
      <c r="AE2" s="32"/>
      <c r="AF2" s="32"/>
      <c r="AG2" s="32"/>
      <c r="AH2" s="33"/>
    </row>
    <row r="3" spans="1:34" ht="19.5" customHeight="1">
      <c r="A3" s="23" t="s">
        <v>5</v>
      </c>
      <c r="B3" s="24"/>
      <c r="C3" s="24"/>
      <c r="D3" s="24"/>
      <c r="E3" s="24"/>
      <c r="F3" s="24"/>
      <c r="G3" s="25" t="s">
        <v>83</v>
      </c>
      <c r="H3" s="26"/>
      <c r="I3" s="26"/>
      <c r="J3" s="26"/>
      <c r="K3" s="26"/>
      <c r="L3" s="26"/>
      <c r="M3" s="26"/>
      <c r="N3" s="26"/>
      <c r="O3" s="26"/>
      <c r="P3" s="26"/>
      <c r="Q3" s="27"/>
      <c r="R3" s="28" t="s">
        <v>6</v>
      </c>
      <c r="S3" s="29"/>
      <c r="T3" s="29"/>
      <c r="U3" s="29"/>
      <c r="V3" s="29"/>
      <c r="W3" s="30"/>
      <c r="X3" s="31">
        <v>43251</v>
      </c>
      <c r="Y3" s="32"/>
      <c r="Z3" s="32"/>
      <c r="AA3" s="32"/>
      <c r="AB3" s="32"/>
      <c r="AC3" s="32"/>
      <c r="AD3" s="32"/>
      <c r="AE3" s="32"/>
      <c r="AF3" s="32"/>
      <c r="AG3" s="32"/>
      <c r="AH3" s="33"/>
    </row>
    <row r="4" spans="1:34" ht="19.5" customHeight="1">
      <c r="A4" s="34" t="s">
        <v>7</v>
      </c>
      <c r="B4" s="35"/>
      <c r="C4" s="35"/>
      <c r="D4" s="35"/>
      <c r="E4" s="35"/>
      <c r="F4" s="35"/>
      <c r="G4" s="36" t="s">
        <v>84</v>
      </c>
      <c r="H4" s="37"/>
      <c r="I4" s="37"/>
      <c r="J4" s="37"/>
      <c r="K4" s="37"/>
      <c r="L4" s="37"/>
      <c r="M4" s="37"/>
      <c r="N4" s="37"/>
      <c r="O4" s="37"/>
      <c r="P4" s="37"/>
      <c r="Q4" s="38"/>
      <c r="R4" s="39" t="s">
        <v>8</v>
      </c>
      <c r="S4" s="40"/>
      <c r="T4" s="40"/>
      <c r="U4" s="40"/>
      <c r="V4" s="40"/>
      <c r="W4" s="41"/>
      <c r="X4" s="42" t="s">
        <v>9</v>
      </c>
      <c r="Y4" s="43"/>
      <c r="Z4" s="43"/>
      <c r="AA4" s="43"/>
      <c r="AB4" s="43"/>
      <c r="AC4" s="43"/>
      <c r="AD4" s="43"/>
      <c r="AE4" s="43"/>
      <c r="AF4" s="43"/>
      <c r="AG4" s="43"/>
      <c r="AH4" s="44"/>
    </row>
    <row r="5" spans="1:34" ht="19.5" customHeight="1">
      <c r="A5" s="65" t="s">
        <v>10</v>
      </c>
      <c r="B5" s="66"/>
      <c r="C5" s="66"/>
      <c r="D5" s="66"/>
      <c r="E5" s="66"/>
      <c r="F5" s="67"/>
      <c r="G5" s="68" t="s">
        <v>86</v>
      </c>
      <c r="H5" s="68"/>
      <c r="I5" s="68"/>
      <c r="J5" s="68"/>
      <c r="K5" s="68"/>
      <c r="L5" s="68"/>
      <c r="M5" s="68"/>
      <c r="N5" s="68"/>
      <c r="O5" s="68"/>
      <c r="P5" s="68"/>
      <c r="Q5" s="68"/>
      <c r="R5" s="69" t="s">
        <v>11</v>
      </c>
      <c r="S5" s="69"/>
      <c r="T5" s="69"/>
      <c r="U5" s="69"/>
      <c r="V5" s="69"/>
      <c r="W5" s="69"/>
      <c r="X5" s="70" t="s">
        <v>12</v>
      </c>
      <c r="Y5" s="71"/>
      <c r="Z5" s="72">
        <v>500</v>
      </c>
      <c r="AA5" s="73"/>
      <c r="AB5" s="73"/>
      <c r="AC5" s="73"/>
      <c r="AD5" s="74" t="s">
        <v>13</v>
      </c>
      <c r="AE5" s="74"/>
      <c r="AF5" s="74"/>
      <c r="AG5" s="74"/>
      <c r="AH5" s="75"/>
    </row>
    <row r="6" spans="1:34" ht="15.75" thickBo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4"/>
    </row>
    <row r="7" spans="1:34" ht="15" customHeight="1">
      <c r="A7" s="2"/>
      <c r="B7" s="57" t="s">
        <v>14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9"/>
      <c r="AH7" s="4"/>
    </row>
    <row r="8" spans="1:34" ht="15" customHeight="1">
      <c r="A8" s="2"/>
      <c r="B8" s="60" t="s">
        <v>15</v>
      </c>
      <c r="C8" s="61"/>
      <c r="D8" s="61"/>
      <c r="E8" s="61"/>
      <c r="F8" s="61"/>
      <c r="G8" s="61"/>
      <c r="H8" s="61"/>
      <c r="I8" s="62" t="s">
        <v>3</v>
      </c>
      <c r="J8" s="62"/>
      <c r="K8" s="62"/>
      <c r="L8" s="62"/>
      <c r="M8" s="62"/>
      <c r="N8" s="62"/>
      <c r="O8" s="61" t="s">
        <v>16</v>
      </c>
      <c r="P8" s="61"/>
      <c r="Q8" s="61"/>
      <c r="R8" s="61"/>
      <c r="S8" s="61"/>
      <c r="T8" s="61"/>
      <c r="U8" s="61"/>
      <c r="V8" s="63" t="s">
        <v>17</v>
      </c>
      <c r="W8" s="63"/>
      <c r="X8" s="63"/>
      <c r="Y8" s="63"/>
      <c r="Z8" s="63"/>
      <c r="AA8" s="63"/>
      <c r="AB8" s="63" t="s">
        <v>18</v>
      </c>
      <c r="AC8" s="63"/>
      <c r="AD8" s="63"/>
      <c r="AE8" s="63"/>
      <c r="AF8" s="63"/>
      <c r="AG8" s="64"/>
      <c r="AH8" s="4"/>
    </row>
    <row r="9" spans="1:34" ht="19.5" customHeight="1">
      <c r="A9" s="2"/>
      <c r="B9" s="76" t="s">
        <v>19</v>
      </c>
      <c r="C9" s="77"/>
      <c r="D9" s="77"/>
      <c r="E9" s="77"/>
      <c r="F9" s="77"/>
      <c r="G9" s="77"/>
      <c r="H9" s="77"/>
      <c r="I9" s="78" t="s">
        <v>109</v>
      </c>
      <c r="J9" s="78"/>
      <c r="K9" s="78"/>
      <c r="L9" s="78"/>
      <c r="M9" s="78"/>
      <c r="N9" s="78"/>
      <c r="O9" s="78" t="s">
        <v>74</v>
      </c>
      <c r="P9" s="78"/>
      <c r="Q9" s="78"/>
      <c r="R9" s="78"/>
      <c r="S9" s="78"/>
      <c r="T9" s="78"/>
      <c r="U9" s="78"/>
      <c r="V9" s="78" t="s">
        <v>113</v>
      </c>
      <c r="W9" s="78"/>
      <c r="X9" s="78"/>
      <c r="Y9" s="78"/>
      <c r="Z9" s="78"/>
      <c r="AA9" s="78"/>
      <c r="AB9" s="79">
        <v>0.99999950000000004</v>
      </c>
      <c r="AC9" s="79"/>
      <c r="AD9" s="79"/>
      <c r="AE9" s="79"/>
      <c r="AF9" s="79"/>
      <c r="AG9" s="80"/>
      <c r="AH9" s="4"/>
    </row>
    <row r="10" spans="1:34" ht="19.5" customHeight="1">
      <c r="A10" s="2"/>
      <c r="B10" s="81" t="s">
        <v>108</v>
      </c>
      <c r="C10" s="82"/>
      <c r="D10" s="82"/>
      <c r="E10" s="82"/>
      <c r="F10" s="82"/>
      <c r="G10" s="82"/>
      <c r="H10" s="82"/>
      <c r="I10" s="78" t="s">
        <v>87</v>
      </c>
      <c r="J10" s="78"/>
      <c r="K10" s="78"/>
      <c r="L10" s="78"/>
      <c r="M10" s="78"/>
      <c r="N10" s="78"/>
      <c r="O10" s="78" t="s">
        <v>74</v>
      </c>
      <c r="P10" s="78"/>
      <c r="Q10" s="78"/>
      <c r="R10" s="78"/>
      <c r="S10" s="78"/>
      <c r="T10" s="78"/>
      <c r="U10" s="78"/>
      <c r="V10" s="78" t="s">
        <v>114</v>
      </c>
      <c r="W10" s="78"/>
      <c r="X10" s="78"/>
      <c r="Y10" s="78"/>
      <c r="Z10" s="78"/>
      <c r="AA10" s="78"/>
      <c r="AB10" s="266" t="s">
        <v>88</v>
      </c>
      <c r="AC10" s="266"/>
      <c r="AD10" s="266"/>
      <c r="AE10" s="266"/>
      <c r="AF10" s="266"/>
      <c r="AG10" s="267"/>
      <c r="AH10" s="4"/>
    </row>
    <row r="11" spans="1:34" ht="19.5" customHeight="1" thickBot="1">
      <c r="A11" s="2"/>
      <c r="B11" s="94" t="s">
        <v>21</v>
      </c>
      <c r="C11" s="95"/>
      <c r="D11" s="95"/>
      <c r="E11" s="95"/>
      <c r="F11" s="95"/>
      <c r="G11" s="95"/>
      <c r="H11" s="95"/>
      <c r="I11" s="96" t="s">
        <v>87</v>
      </c>
      <c r="J11" s="96"/>
      <c r="K11" s="96"/>
      <c r="L11" s="96"/>
      <c r="M11" s="96"/>
      <c r="N11" s="96"/>
      <c r="O11" s="96" t="s">
        <v>74</v>
      </c>
      <c r="P11" s="96"/>
      <c r="Q11" s="96"/>
      <c r="R11" s="96"/>
      <c r="S11" s="96"/>
      <c r="T11" s="96"/>
      <c r="U11" s="96"/>
      <c r="V11" s="96" t="s">
        <v>114</v>
      </c>
      <c r="W11" s="96"/>
      <c r="X11" s="96"/>
      <c r="Y11" s="96"/>
      <c r="Z11" s="96"/>
      <c r="AA11" s="96"/>
      <c r="AB11" s="268" t="s">
        <v>88</v>
      </c>
      <c r="AC11" s="268"/>
      <c r="AD11" s="268"/>
      <c r="AE11" s="268"/>
      <c r="AF11" s="268"/>
      <c r="AG11" s="269"/>
      <c r="AH11" s="4"/>
    </row>
    <row r="12" spans="1:34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4"/>
    </row>
    <row r="13" spans="1:34" ht="21" customHeight="1">
      <c r="A13" s="2"/>
      <c r="B13" s="89" t="s">
        <v>22</v>
      </c>
      <c r="C13" s="89"/>
      <c r="D13" s="89"/>
      <c r="E13" s="89"/>
      <c r="F13" s="103" t="s">
        <v>3</v>
      </c>
      <c r="G13" s="89"/>
      <c r="H13" s="89"/>
      <c r="I13" s="89"/>
      <c r="J13" s="89"/>
      <c r="K13" s="89"/>
      <c r="L13" s="78" t="s">
        <v>112</v>
      </c>
      <c r="M13" s="78"/>
      <c r="N13" s="78"/>
      <c r="O13" s="78"/>
      <c r="P13" s="78"/>
      <c r="Q13" s="78"/>
      <c r="R13" s="78"/>
      <c r="S13" s="78"/>
      <c r="T13" s="89" t="s">
        <v>7</v>
      </c>
      <c r="U13" s="89"/>
      <c r="V13" s="89"/>
      <c r="W13" s="89"/>
      <c r="X13" s="89"/>
      <c r="Y13" s="89"/>
      <c r="Z13" s="78">
        <v>93310021</v>
      </c>
      <c r="AA13" s="78"/>
      <c r="AB13" s="78"/>
      <c r="AC13" s="78"/>
      <c r="AD13" s="78"/>
      <c r="AE13" s="78"/>
      <c r="AF13" s="78"/>
      <c r="AG13" s="78"/>
      <c r="AH13" s="4"/>
    </row>
    <row r="14" spans="1:34" ht="21" customHeight="1">
      <c r="A14" s="2"/>
      <c r="B14" s="89"/>
      <c r="C14" s="89"/>
      <c r="D14" s="89"/>
      <c r="E14" s="89"/>
      <c r="F14" s="85" t="s">
        <v>5</v>
      </c>
      <c r="G14" s="85"/>
      <c r="H14" s="85"/>
      <c r="I14" s="85"/>
      <c r="J14" s="85"/>
      <c r="K14" s="85"/>
      <c r="L14" s="86" t="s">
        <v>75</v>
      </c>
      <c r="M14" s="87"/>
      <c r="N14" s="87"/>
      <c r="O14" s="87"/>
      <c r="P14" s="87"/>
      <c r="Q14" s="87"/>
      <c r="R14" s="87"/>
      <c r="S14" s="88"/>
      <c r="T14" s="89" t="s">
        <v>6</v>
      </c>
      <c r="U14" s="89"/>
      <c r="V14" s="89"/>
      <c r="W14" s="89"/>
      <c r="X14" s="89"/>
      <c r="Y14" s="89"/>
      <c r="Z14" s="90">
        <v>43008</v>
      </c>
      <c r="AA14" s="90"/>
      <c r="AB14" s="90"/>
      <c r="AC14" s="90"/>
      <c r="AD14" s="90"/>
      <c r="AE14" s="90"/>
      <c r="AF14" s="90"/>
      <c r="AG14" s="90"/>
      <c r="AH14" s="4"/>
    </row>
    <row r="15" spans="1:34" ht="17.25" customHeight="1">
      <c r="A15" s="2"/>
      <c r="B15" s="89" t="s">
        <v>23</v>
      </c>
      <c r="C15" s="89"/>
      <c r="D15" s="89"/>
      <c r="E15" s="89"/>
      <c r="F15" s="89"/>
      <c r="G15" s="89"/>
      <c r="H15" s="89"/>
      <c r="I15" s="89"/>
      <c r="J15" s="89"/>
      <c r="K15" s="89"/>
      <c r="L15" s="91">
        <v>15170</v>
      </c>
      <c r="M15" s="92"/>
      <c r="N15" s="92"/>
      <c r="O15" s="92"/>
      <c r="P15" s="92"/>
      <c r="Q15" s="92"/>
      <c r="R15" s="92"/>
      <c r="S15" s="93"/>
      <c r="T15" s="5"/>
      <c r="U15" s="5"/>
      <c r="V15" s="5"/>
      <c r="W15" s="5"/>
      <c r="X15" s="5"/>
      <c r="Y15" s="5"/>
      <c r="Z15" s="6"/>
      <c r="AA15" s="6"/>
      <c r="AB15" s="6"/>
      <c r="AC15" s="6"/>
      <c r="AD15" s="6"/>
      <c r="AE15" s="6"/>
      <c r="AF15" s="6"/>
      <c r="AG15" s="6"/>
      <c r="AH15" s="4"/>
    </row>
    <row r="16" spans="1:34" ht="5.25" customHeight="1">
      <c r="A16" s="2"/>
      <c r="B16" s="5"/>
      <c r="C16" s="5"/>
      <c r="D16" s="5"/>
      <c r="E16" s="5"/>
      <c r="F16" s="5"/>
      <c r="G16" s="5"/>
      <c r="H16" s="5"/>
      <c r="I16" s="5"/>
      <c r="J16" s="5"/>
      <c r="K16" s="5"/>
      <c r="L16" s="3"/>
      <c r="M16" s="3"/>
      <c r="N16" s="3"/>
      <c r="O16" s="3"/>
      <c r="P16" s="3"/>
      <c r="Q16" s="3"/>
      <c r="R16" s="3"/>
      <c r="S16" s="3"/>
      <c r="T16" s="5"/>
      <c r="U16" s="5"/>
      <c r="V16" s="5"/>
      <c r="W16" s="5"/>
      <c r="X16" s="5"/>
      <c r="Y16" s="5"/>
      <c r="Z16" s="3"/>
      <c r="AA16" s="3"/>
      <c r="AB16" s="3"/>
      <c r="AC16" s="3"/>
      <c r="AD16" s="3"/>
      <c r="AE16" s="3"/>
      <c r="AF16" s="3"/>
      <c r="AG16" s="3"/>
      <c r="AH16" s="4"/>
    </row>
    <row r="17" spans="1:34">
      <c r="A17" s="2"/>
      <c r="B17" s="7" t="s">
        <v>24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4"/>
    </row>
    <row r="18" spans="1:34" ht="7.5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4"/>
    </row>
    <row r="19" spans="1:34" ht="15" customHeight="1">
      <c r="A19" s="2"/>
      <c r="B19" s="118" t="s">
        <v>10</v>
      </c>
      <c r="C19" s="119"/>
      <c r="D19" s="119"/>
      <c r="E19" s="119"/>
      <c r="F19" s="119"/>
      <c r="G19" s="119"/>
      <c r="H19" s="119"/>
      <c r="I19" s="119"/>
      <c r="J19" s="119"/>
      <c r="K19" s="120"/>
      <c r="L19" s="89" t="s">
        <v>89</v>
      </c>
      <c r="M19" s="89"/>
      <c r="N19" s="89"/>
      <c r="O19" s="89"/>
      <c r="P19" s="89"/>
      <c r="Q19" s="89"/>
      <c r="R19" s="89"/>
      <c r="S19" s="89"/>
      <c r="T19" s="89"/>
      <c r="U19" s="89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4"/>
    </row>
    <row r="20" spans="1:34" ht="15" customHeight="1">
      <c r="A20" s="2"/>
      <c r="B20" s="121" t="s">
        <v>25</v>
      </c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3"/>
      <c r="V20" s="124" t="s">
        <v>26</v>
      </c>
      <c r="W20" s="125"/>
      <c r="X20" s="125"/>
      <c r="Y20" s="125"/>
      <c r="Z20" s="125"/>
      <c r="AA20" s="125"/>
      <c r="AB20" s="125"/>
      <c r="AC20" s="125"/>
      <c r="AD20" s="125"/>
      <c r="AE20" s="126"/>
      <c r="AF20" s="3"/>
      <c r="AG20" s="3"/>
      <c r="AH20" s="4"/>
    </row>
    <row r="21" spans="1:34" ht="15" customHeight="1">
      <c r="A21" s="2"/>
      <c r="B21" s="130" t="s">
        <v>27</v>
      </c>
      <c r="C21" s="131"/>
      <c r="D21" s="131"/>
      <c r="E21" s="131"/>
      <c r="F21" s="131"/>
      <c r="G21" s="131"/>
      <c r="H21" s="131"/>
      <c r="I21" s="131"/>
      <c r="J21" s="131"/>
      <c r="K21" s="131"/>
      <c r="L21" s="131" t="s">
        <v>28</v>
      </c>
      <c r="M21" s="131"/>
      <c r="N21" s="131"/>
      <c r="O21" s="131"/>
      <c r="P21" s="131"/>
      <c r="Q21" s="131"/>
      <c r="R21" s="131"/>
      <c r="S21" s="131"/>
      <c r="T21" s="131"/>
      <c r="U21" s="132"/>
      <c r="V21" s="127"/>
      <c r="W21" s="128"/>
      <c r="X21" s="128"/>
      <c r="Y21" s="128"/>
      <c r="Z21" s="128"/>
      <c r="AA21" s="128"/>
      <c r="AB21" s="128"/>
      <c r="AC21" s="128"/>
      <c r="AD21" s="128"/>
      <c r="AE21" s="129"/>
      <c r="AF21" s="3"/>
      <c r="AG21" s="3"/>
      <c r="AH21" s="4"/>
    </row>
    <row r="22" spans="1:34">
      <c r="A22" s="2"/>
      <c r="B22" s="104" t="s">
        <v>29</v>
      </c>
      <c r="C22" s="105"/>
      <c r="D22" s="105"/>
      <c r="E22" s="105"/>
      <c r="F22" s="105"/>
      <c r="G22" s="105"/>
      <c r="H22" s="105"/>
      <c r="I22" s="105"/>
      <c r="J22" s="105"/>
      <c r="K22" s="105"/>
      <c r="L22" s="105" t="s">
        <v>30</v>
      </c>
      <c r="M22" s="105"/>
      <c r="N22" s="105"/>
      <c r="O22" s="105"/>
      <c r="P22" s="105"/>
      <c r="Q22" s="105"/>
      <c r="R22" s="105"/>
      <c r="S22" s="105"/>
      <c r="T22" s="105"/>
      <c r="U22" s="106"/>
      <c r="V22" s="107" t="s">
        <v>31</v>
      </c>
      <c r="W22" s="108"/>
      <c r="X22" s="108"/>
      <c r="Y22" s="108"/>
      <c r="Z22" s="108"/>
      <c r="AA22" s="108"/>
      <c r="AB22" s="108"/>
      <c r="AC22" s="108"/>
      <c r="AD22" s="108"/>
      <c r="AE22" s="109"/>
      <c r="AF22" s="3"/>
      <c r="AG22" s="3"/>
      <c r="AH22" s="4"/>
    </row>
    <row r="23" spans="1:34" ht="21" customHeight="1">
      <c r="A23" s="2"/>
      <c r="B23" s="192">
        <v>89.45</v>
      </c>
      <c r="C23" s="193"/>
      <c r="D23" s="193"/>
      <c r="E23" s="193"/>
      <c r="F23" s="193"/>
      <c r="G23" s="193"/>
      <c r="H23" s="193"/>
      <c r="I23" s="193"/>
      <c r="J23" s="193"/>
      <c r="K23" s="193"/>
      <c r="L23" s="112">
        <v>89.45</v>
      </c>
      <c r="M23" s="112"/>
      <c r="N23" s="112"/>
      <c r="O23" s="112"/>
      <c r="P23" s="112"/>
      <c r="Q23" s="112"/>
      <c r="R23" s="112"/>
      <c r="S23" s="112"/>
      <c r="T23" s="112"/>
      <c r="U23" s="113"/>
      <c r="V23" s="114">
        <f>B23/L23*100</f>
        <v>100</v>
      </c>
      <c r="W23" s="115"/>
      <c r="X23" s="115"/>
      <c r="Y23" s="115"/>
      <c r="Z23" s="115"/>
      <c r="AA23" s="115"/>
      <c r="AB23" s="115"/>
      <c r="AC23" s="115"/>
      <c r="AD23" s="116" t="s">
        <v>32</v>
      </c>
      <c r="AE23" s="117"/>
      <c r="AF23" s="3"/>
      <c r="AG23" s="3"/>
      <c r="AH23" s="4"/>
    </row>
    <row r="24" spans="1:34" ht="7.5" customHeight="1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4"/>
    </row>
    <row r="25" spans="1:34" ht="15" customHeight="1">
      <c r="A25" s="2"/>
      <c r="B25" s="118" t="s">
        <v>10</v>
      </c>
      <c r="C25" s="119"/>
      <c r="D25" s="119"/>
      <c r="E25" s="119"/>
      <c r="F25" s="119"/>
      <c r="G25" s="119"/>
      <c r="H25" s="119"/>
      <c r="I25" s="119"/>
      <c r="J25" s="119"/>
      <c r="K25" s="120"/>
      <c r="L25" s="89" t="s">
        <v>81</v>
      </c>
      <c r="M25" s="89"/>
      <c r="N25" s="89"/>
      <c r="O25" s="89"/>
      <c r="P25" s="89"/>
      <c r="Q25" s="89"/>
      <c r="R25" s="89"/>
      <c r="S25" s="89"/>
      <c r="T25" s="89"/>
      <c r="U25" s="89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4"/>
    </row>
    <row r="26" spans="1:34" ht="15" customHeight="1">
      <c r="A26" s="2"/>
      <c r="B26" s="138" t="s">
        <v>25</v>
      </c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3"/>
      <c r="V26" s="124" t="s">
        <v>26</v>
      </c>
      <c r="W26" s="125"/>
      <c r="X26" s="125"/>
      <c r="Y26" s="125"/>
      <c r="Z26" s="125"/>
      <c r="AA26" s="125"/>
      <c r="AB26" s="125"/>
      <c r="AC26" s="125"/>
      <c r="AD26" s="125"/>
      <c r="AE26" s="126"/>
      <c r="AF26" s="3"/>
      <c r="AG26" s="3"/>
      <c r="AH26" s="4"/>
    </row>
    <row r="27" spans="1:34" ht="15" customHeight="1">
      <c r="A27" s="2"/>
      <c r="B27" s="130" t="s">
        <v>34</v>
      </c>
      <c r="C27" s="131"/>
      <c r="D27" s="131"/>
      <c r="E27" s="131"/>
      <c r="F27" s="131"/>
      <c r="G27" s="131"/>
      <c r="H27" s="131"/>
      <c r="I27" s="131"/>
      <c r="J27" s="131"/>
      <c r="K27" s="131"/>
      <c r="L27" s="131" t="s">
        <v>35</v>
      </c>
      <c r="M27" s="131"/>
      <c r="N27" s="131"/>
      <c r="O27" s="131"/>
      <c r="P27" s="131"/>
      <c r="Q27" s="131"/>
      <c r="R27" s="131"/>
      <c r="S27" s="131"/>
      <c r="T27" s="131"/>
      <c r="U27" s="132"/>
      <c r="V27" s="127"/>
      <c r="W27" s="128"/>
      <c r="X27" s="128"/>
      <c r="Y27" s="128"/>
      <c r="Z27" s="128"/>
      <c r="AA27" s="128"/>
      <c r="AB27" s="128"/>
      <c r="AC27" s="128"/>
      <c r="AD27" s="128"/>
      <c r="AE27" s="129"/>
      <c r="AF27" s="3"/>
      <c r="AG27" s="3"/>
      <c r="AH27" s="4"/>
    </row>
    <row r="28" spans="1:34" ht="15" customHeight="1">
      <c r="A28" s="2"/>
      <c r="B28" s="104" t="s">
        <v>29</v>
      </c>
      <c r="C28" s="105"/>
      <c r="D28" s="105"/>
      <c r="E28" s="105"/>
      <c r="F28" s="105"/>
      <c r="G28" s="105"/>
      <c r="H28" s="105"/>
      <c r="I28" s="105"/>
      <c r="J28" s="105"/>
      <c r="K28" s="105"/>
      <c r="L28" s="105" t="s">
        <v>30</v>
      </c>
      <c r="M28" s="105"/>
      <c r="N28" s="105"/>
      <c r="O28" s="105"/>
      <c r="P28" s="105"/>
      <c r="Q28" s="105"/>
      <c r="R28" s="105"/>
      <c r="S28" s="105"/>
      <c r="T28" s="105"/>
      <c r="U28" s="106"/>
      <c r="V28" s="107" t="s">
        <v>31</v>
      </c>
      <c r="W28" s="108"/>
      <c r="X28" s="108"/>
      <c r="Y28" s="108"/>
      <c r="Z28" s="108"/>
      <c r="AA28" s="108"/>
      <c r="AB28" s="108"/>
      <c r="AC28" s="108"/>
      <c r="AD28" s="108"/>
      <c r="AE28" s="109"/>
      <c r="AF28" s="3"/>
      <c r="AG28" s="3"/>
      <c r="AH28" s="4"/>
    </row>
    <row r="29" spans="1:34" ht="21" customHeight="1">
      <c r="A29" s="2"/>
      <c r="B29" s="192"/>
      <c r="C29" s="193"/>
      <c r="D29" s="193"/>
      <c r="E29" s="193"/>
      <c r="F29" s="193"/>
      <c r="G29" s="193"/>
      <c r="H29" s="193"/>
      <c r="I29" s="193"/>
      <c r="J29" s="193"/>
      <c r="K29" s="193"/>
      <c r="L29" s="112"/>
      <c r="M29" s="112"/>
      <c r="N29" s="112"/>
      <c r="O29" s="112"/>
      <c r="P29" s="112"/>
      <c r="Q29" s="112"/>
      <c r="R29" s="112"/>
      <c r="S29" s="112"/>
      <c r="T29" s="112"/>
      <c r="U29" s="113"/>
      <c r="V29" s="114"/>
      <c r="W29" s="115"/>
      <c r="X29" s="115"/>
      <c r="Y29" s="115"/>
      <c r="Z29" s="115"/>
      <c r="AA29" s="115"/>
      <c r="AB29" s="115"/>
      <c r="AC29" s="115"/>
      <c r="AD29" s="116"/>
      <c r="AE29" s="117"/>
      <c r="AF29" s="3"/>
      <c r="AG29" s="3"/>
      <c r="AH29" s="4"/>
    </row>
    <row r="30" spans="1:34" ht="7.5" customHeight="1">
      <c r="A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4"/>
    </row>
    <row r="31" spans="1:34" ht="21" customHeight="1">
      <c r="A31" s="2"/>
      <c r="B31" s="136" t="s">
        <v>36</v>
      </c>
      <c r="C31" s="137"/>
      <c r="D31" s="137"/>
      <c r="E31" s="137"/>
      <c r="F31" s="103"/>
      <c r="G31" s="8"/>
      <c r="H31" s="137" t="s">
        <v>37</v>
      </c>
      <c r="I31" s="137"/>
      <c r="J31" s="137"/>
      <c r="K31" s="137"/>
      <c r="L31" s="137" t="s">
        <v>38</v>
      </c>
      <c r="M31" s="137"/>
      <c r="N31" s="137"/>
      <c r="O31" s="137"/>
      <c r="P31" s="9"/>
      <c r="Q31" s="118" t="s">
        <v>39</v>
      </c>
      <c r="R31" s="119"/>
      <c r="S31" s="119"/>
      <c r="T31" s="119"/>
      <c r="U31" s="120"/>
      <c r="V31" s="136" t="s">
        <v>40</v>
      </c>
      <c r="W31" s="137"/>
      <c r="X31" s="137"/>
      <c r="Y31" s="137"/>
      <c r="Z31" s="137"/>
      <c r="AA31" s="137"/>
      <c r="AB31" s="137"/>
      <c r="AC31" s="137"/>
      <c r="AD31" s="137"/>
      <c r="AE31" s="103"/>
      <c r="AF31" s="3"/>
      <c r="AG31" s="3"/>
      <c r="AH31" s="4"/>
    </row>
    <row r="32" spans="1:34">
      <c r="A32" s="2"/>
      <c r="C32" s="148" t="s">
        <v>41</v>
      </c>
      <c r="D32" s="148"/>
      <c r="E32" s="148"/>
      <c r="F32" s="148"/>
      <c r="G32" s="17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4"/>
    </row>
    <row r="33" spans="1:34">
      <c r="A33" s="2"/>
      <c r="C33" s="149"/>
      <c r="D33" s="149"/>
      <c r="E33" s="149"/>
      <c r="F33" s="149"/>
      <c r="G33" s="17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4"/>
    </row>
    <row r="34" spans="1:34" ht="11.25" customHeight="1">
      <c r="A34" s="2"/>
      <c r="B34" s="3"/>
      <c r="C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4"/>
    </row>
    <row r="35" spans="1:34">
      <c r="A35" s="2"/>
      <c r="B35" s="11" t="s">
        <v>42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4"/>
    </row>
    <row r="36" spans="1:34" ht="7.5" customHeight="1">
      <c r="A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4"/>
    </row>
    <row r="37" spans="1:34" ht="15" customHeight="1">
      <c r="A37" s="2"/>
      <c r="B37" s="138" t="s">
        <v>43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3"/>
      <c r="V37" s="139" t="s">
        <v>44</v>
      </c>
      <c r="W37" s="140"/>
      <c r="X37" s="140"/>
      <c r="Y37" s="140"/>
      <c r="Z37" s="140"/>
      <c r="AA37" s="140"/>
      <c r="AB37" s="140"/>
      <c r="AC37" s="140"/>
      <c r="AD37" s="140"/>
      <c r="AE37" s="141"/>
      <c r="AF37" s="3"/>
      <c r="AG37" s="3"/>
      <c r="AH37" s="4"/>
    </row>
    <row r="38" spans="1:34" ht="15" customHeight="1">
      <c r="A38" s="2"/>
      <c r="B38" s="130" t="s">
        <v>18</v>
      </c>
      <c r="C38" s="131"/>
      <c r="D38" s="131"/>
      <c r="E38" s="131"/>
      <c r="F38" s="131"/>
      <c r="G38" s="131"/>
      <c r="H38" s="131"/>
      <c r="I38" s="131"/>
      <c r="J38" s="131"/>
      <c r="K38" s="131"/>
      <c r="L38" s="131" t="s">
        <v>45</v>
      </c>
      <c r="M38" s="131"/>
      <c r="N38" s="131"/>
      <c r="O38" s="131"/>
      <c r="P38" s="131"/>
      <c r="Q38" s="131"/>
      <c r="R38" s="131"/>
      <c r="S38" s="131"/>
      <c r="T38" s="131"/>
      <c r="U38" s="132"/>
      <c r="V38" s="142"/>
      <c r="W38" s="143"/>
      <c r="X38" s="143"/>
      <c r="Y38" s="143"/>
      <c r="Z38" s="143"/>
      <c r="AA38" s="143"/>
      <c r="AB38" s="143"/>
      <c r="AC38" s="143"/>
      <c r="AD38" s="143"/>
      <c r="AE38" s="144"/>
      <c r="AF38" s="3"/>
      <c r="AG38" s="3"/>
      <c r="AH38" s="4"/>
    </row>
    <row r="39" spans="1:34" ht="15" customHeight="1">
      <c r="A39" s="2"/>
      <c r="B39" s="145" t="s">
        <v>46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 t="s">
        <v>47</v>
      </c>
      <c r="M39" s="146"/>
      <c r="N39" s="146"/>
      <c r="O39" s="146"/>
      <c r="P39" s="146"/>
      <c r="Q39" s="146"/>
      <c r="R39" s="146"/>
      <c r="S39" s="146"/>
      <c r="T39" s="146"/>
      <c r="U39" s="147"/>
      <c r="V39" s="145" t="s">
        <v>31</v>
      </c>
      <c r="W39" s="146"/>
      <c r="X39" s="146"/>
      <c r="Y39" s="146"/>
      <c r="Z39" s="146"/>
      <c r="AA39" s="146"/>
      <c r="AB39" s="146"/>
      <c r="AC39" s="146"/>
      <c r="AD39" s="146"/>
      <c r="AE39" s="147"/>
      <c r="AF39" s="3"/>
      <c r="AG39" s="3"/>
      <c r="AH39" s="4"/>
    </row>
    <row r="40" spans="1:34" ht="21" customHeight="1">
      <c r="A40" s="2"/>
      <c r="B40" s="110">
        <v>90.02</v>
      </c>
      <c r="C40" s="111"/>
      <c r="D40" s="111"/>
      <c r="E40" s="111"/>
      <c r="F40" s="111"/>
      <c r="G40" s="111"/>
      <c r="H40" s="111"/>
      <c r="I40" s="111"/>
      <c r="J40" s="111"/>
      <c r="K40" s="111"/>
      <c r="L40" s="193">
        <v>90</v>
      </c>
      <c r="M40" s="193"/>
      <c r="N40" s="193"/>
      <c r="O40" s="193"/>
      <c r="P40" s="193"/>
      <c r="Q40" s="193"/>
      <c r="R40" s="193"/>
      <c r="S40" s="193"/>
      <c r="T40" s="193"/>
      <c r="U40" s="265"/>
      <c r="V40" s="192">
        <f>100*(L40-B40)/Z5</f>
        <v>-3.9999999999992038E-3</v>
      </c>
      <c r="W40" s="193"/>
      <c r="X40" s="193"/>
      <c r="Y40" s="193"/>
      <c r="Z40" s="193"/>
      <c r="AA40" s="193"/>
      <c r="AB40" s="193"/>
      <c r="AC40" s="194"/>
      <c r="AD40" s="195" t="s">
        <v>32</v>
      </c>
      <c r="AE40" s="196"/>
      <c r="AF40" s="3"/>
      <c r="AG40" s="3"/>
      <c r="AH40" s="4"/>
    </row>
    <row r="41" spans="1:34" ht="21" customHeight="1">
      <c r="A41" s="2"/>
      <c r="B41" s="136" t="s">
        <v>36</v>
      </c>
      <c r="C41" s="137"/>
      <c r="D41" s="137"/>
      <c r="E41" s="137"/>
      <c r="F41" s="103"/>
      <c r="G41" s="8"/>
      <c r="H41" s="137" t="s">
        <v>37</v>
      </c>
      <c r="I41" s="137"/>
      <c r="J41" s="137"/>
      <c r="K41" s="137"/>
      <c r="L41" s="137" t="s">
        <v>38</v>
      </c>
      <c r="M41" s="137"/>
      <c r="N41" s="137"/>
      <c r="O41" s="137"/>
      <c r="P41" s="9"/>
      <c r="Q41" s="118" t="s">
        <v>39</v>
      </c>
      <c r="R41" s="119"/>
      <c r="S41" s="119"/>
      <c r="T41" s="119"/>
      <c r="U41" s="120"/>
      <c r="V41" s="136" t="s">
        <v>48</v>
      </c>
      <c r="W41" s="137"/>
      <c r="X41" s="137"/>
      <c r="Y41" s="137"/>
      <c r="Z41" s="137"/>
      <c r="AA41" s="137"/>
      <c r="AB41" s="137"/>
      <c r="AC41" s="137"/>
      <c r="AD41" s="137"/>
      <c r="AE41" s="103"/>
      <c r="AF41" s="3"/>
      <c r="AG41" s="3"/>
      <c r="AH41" s="4"/>
    </row>
    <row r="42" spans="1:34">
      <c r="A42" s="2"/>
      <c r="B42" s="150" t="s">
        <v>41</v>
      </c>
      <c r="C42" s="150"/>
      <c r="D42" s="150"/>
      <c r="E42" s="150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4"/>
    </row>
    <row r="43" spans="1:34" ht="15.75" thickBot="1">
      <c r="A43" s="2"/>
      <c r="B43" s="150"/>
      <c r="C43" s="150"/>
      <c r="D43" s="150"/>
      <c r="E43" s="150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4"/>
    </row>
    <row r="44" spans="1:34" ht="10.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151" t="s">
        <v>49</v>
      </c>
      <c r="Z44" s="152"/>
      <c r="AA44" s="152"/>
      <c r="AB44" s="152"/>
      <c r="AC44" s="153"/>
      <c r="AD44" s="157" t="s">
        <v>50</v>
      </c>
      <c r="AE44" s="157"/>
      <c r="AF44" s="157"/>
      <c r="AG44" s="157"/>
      <c r="AH44" s="158"/>
    </row>
    <row r="45" spans="1:34" ht="15.75" thickBot="1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154"/>
      <c r="Z45" s="155"/>
      <c r="AA45" s="155"/>
      <c r="AB45" s="155"/>
      <c r="AC45" s="156"/>
      <c r="AD45" s="159"/>
      <c r="AE45" s="159"/>
      <c r="AF45" s="159"/>
      <c r="AG45" s="159"/>
      <c r="AH45" s="160"/>
    </row>
    <row r="46" spans="1:34" ht="15" customHeight="1">
      <c r="A46" s="2"/>
      <c r="B46" s="161" t="s">
        <v>51</v>
      </c>
      <c r="C46" s="162"/>
      <c r="D46" s="162"/>
      <c r="E46" s="162"/>
      <c r="F46" s="162"/>
      <c r="G46" s="163"/>
      <c r="H46" s="170" t="s">
        <v>37</v>
      </c>
      <c r="I46" s="171"/>
      <c r="J46" s="171"/>
      <c r="K46" s="171"/>
      <c r="L46" s="171"/>
      <c r="M46" s="172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176"/>
      <c r="Z46" s="177"/>
      <c r="AA46" s="177"/>
      <c r="AB46" s="177"/>
      <c r="AC46" s="178"/>
      <c r="AD46" s="183"/>
      <c r="AE46" s="184"/>
      <c r="AF46" s="184"/>
      <c r="AG46" s="184"/>
      <c r="AH46" s="185"/>
    </row>
    <row r="47" spans="1:34" ht="15" customHeight="1">
      <c r="A47" s="2"/>
      <c r="B47" s="164"/>
      <c r="C47" s="165"/>
      <c r="D47" s="165"/>
      <c r="E47" s="165"/>
      <c r="F47" s="165"/>
      <c r="G47" s="166"/>
      <c r="H47" s="173"/>
      <c r="I47" s="174"/>
      <c r="J47" s="174"/>
      <c r="K47" s="174"/>
      <c r="L47" s="174"/>
      <c r="M47" s="175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179"/>
      <c r="Z47" s="177"/>
      <c r="AA47" s="177"/>
      <c r="AB47" s="177"/>
      <c r="AC47" s="178"/>
      <c r="AD47" s="184"/>
      <c r="AE47" s="184"/>
      <c r="AF47" s="184"/>
      <c r="AG47" s="184"/>
      <c r="AH47" s="185"/>
    </row>
    <row r="48" spans="1:34" ht="15" customHeight="1">
      <c r="A48" s="2"/>
      <c r="B48" s="164"/>
      <c r="C48" s="165"/>
      <c r="D48" s="165"/>
      <c r="E48" s="165"/>
      <c r="F48" s="165"/>
      <c r="G48" s="166"/>
      <c r="H48" s="173" t="s">
        <v>38</v>
      </c>
      <c r="I48" s="174"/>
      <c r="J48" s="174"/>
      <c r="K48" s="174"/>
      <c r="L48" s="174"/>
      <c r="M48" s="175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179"/>
      <c r="Z48" s="177"/>
      <c r="AA48" s="177"/>
      <c r="AB48" s="177"/>
      <c r="AC48" s="178"/>
      <c r="AD48" s="184"/>
      <c r="AE48" s="184"/>
      <c r="AF48" s="184"/>
      <c r="AG48" s="184"/>
      <c r="AH48" s="185"/>
    </row>
    <row r="49" spans="1:34" ht="15" customHeight="1" thickBot="1">
      <c r="A49" s="2"/>
      <c r="B49" s="167"/>
      <c r="C49" s="168"/>
      <c r="D49" s="168"/>
      <c r="E49" s="168"/>
      <c r="F49" s="168"/>
      <c r="G49" s="169"/>
      <c r="H49" s="188"/>
      <c r="I49" s="189"/>
      <c r="J49" s="189"/>
      <c r="K49" s="189"/>
      <c r="L49" s="189"/>
      <c r="M49" s="190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179"/>
      <c r="Z49" s="177"/>
      <c r="AA49" s="177"/>
      <c r="AB49" s="177"/>
      <c r="AC49" s="178"/>
      <c r="AD49" s="184"/>
      <c r="AE49" s="184"/>
      <c r="AF49" s="184"/>
      <c r="AG49" s="184"/>
      <c r="AH49" s="185"/>
    </row>
    <row r="50" spans="1:34" ht="10.5" customHeight="1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180"/>
      <c r="Z50" s="181"/>
      <c r="AA50" s="181"/>
      <c r="AB50" s="181"/>
      <c r="AC50" s="182"/>
      <c r="AD50" s="186"/>
      <c r="AE50" s="186"/>
      <c r="AF50" s="186"/>
      <c r="AG50" s="186"/>
      <c r="AH50" s="187"/>
    </row>
    <row r="51" spans="1:34" s="13" customFormat="1" ht="22.5" customHeight="1" thickBot="1">
      <c r="A51" s="199" t="s">
        <v>76</v>
      </c>
      <c r="B51" s="200"/>
      <c r="C51" s="200"/>
      <c r="D51" s="200"/>
      <c r="E51" s="200" t="s">
        <v>52</v>
      </c>
      <c r="F51" s="200"/>
      <c r="G51" s="200"/>
      <c r="H51" s="200"/>
      <c r="I51" s="201"/>
      <c r="J51" s="202" t="s">
        <v>77</v>
      </c>
      <c r="K51" s="200"/>
      <c r="L51" s="200"/>
      <c r="M51" s="200"/>
      <c r="N51" s="200" t="s">
        <v>78</v>
      </c>
      <c r="O51" s="200"/>
      <c r="P51" s="200"/>
      <c r="Q51" s="201"/>
      <c r="R51" s="203"/>
      <c r="S51" s="204"/>
      <c r="T51" s="204"/>
      <c r="U51" s="204"/>
      <c r="V51" s="204"/>
      <c r="W51" s="204"/>
      <c r="X51" s="205"/>
      <c r="Y51" s="202" t="s">
        <v>79</v>
      </c>
      <c r="Z51" s="200"/>
      <c r="AA51" s="200"/>
      <c r="AB51" s="200"/>
      <c r="AC51" s="200"/>
      <c r="AD51" s="197">
        <v>41883</v>
      </c>
      <c r="AE51" s="197"/>
      <c r="AF51" s="197"/>
      <c r="AG51" s="197"/>
      <c r="AH51" s="198"/>
    </row>
    <row r="53" spans="1:34" ht="15.75" thickBot="1"/>
    <row r="54" spans="1:34" ht="27" customHeight="1">
      <c r="A54" s="45" t="s">
        <v>53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7"/>
      <c r="AD54" s="48" t="s">
        <v>54</v>
      </c>
      <c r="AE54" s="49"/>
      <c r="AF54" s="49"/>
      <c r="AG54" s="50" t="s">
        <v>2</v>
      </c>
      <c r="AH54" s="51"/>
    </row>
    <row r="55" spans="1:34" ht="19.5" customHeight="1">
      <c r="A55" s="52" t="s">
        <v>3</v>
      </c>
      <c r="B55" s="53"/>
      <c r="C55" s="53"/>
      <c r="D55" s="53"/>
      <c r="E55" s="53"/>
      <c r="F55" s="53"/>
      <c r="G55" s="54" t="s">
        <v>85</v>
      </c>
      <c r="H55" s="55"/>
      <c r="I55" s="55"/>
      <c r="J55" s="55"/>
      <c r="K55" s="55"/>
      <c r="L55" s="55"/>
      <c r="M55" s="55"/>
      <c r="N55" s="55"/>
      <c r="O55" s="55"/>
      <c r="P55" s="55"/>
      <c r="Q55" s="56"/>
      <c r="R55" s="28" t="s">
        <v>4</v>
      </c>
      <c r="S55" s="29"/>
      <c r="T55" s="29"/>
      <c r="U55" s="29"/>
      <c r="V55" s="29"/>
      <c r="W55" s="30"/>
      <c r="X55" s="31">
        <f>X2</f>
        <v>42886</v>
      </c>
      <c r="Y55" s="32"/>
      <c r="Z55" s="32"/>
      <c r="AA55" s="32"/>
      <c r="AB55" s="32"/>
      <c r="AC55" s="32"/>
      <c r="AD55" s="32"/>
      <c r="AE55" s="32"/>
      <c r="AF55" s="32"/>
      <c r="AG55" s="32"/>
      <c r="AH55" s="33"/>
    </row>
    <row r="56" spans="1:34" ht="19.5" customHeight="1">
      <c r="A56" s="34" t="s">
        <v>55</v>
      </c>
      <c r="B56" s="35"/>
      <c r="C56" s="35"/>
      <c r="D56" s="35"/>
      <c r="E56" s="35"/>
      <c r="F56" s="35"/>
      <c r="G56" s="25" t="s">
        <v>83</v>
      </c>
      <c r="H56" s="26"/>
      <c r="I56" s="26"/>
      <c r="J56" s="26"/>
      <c r="K56" s="26"/>
      <c r="L56" s="26"/>
      <c r="M56" s="26"/>
      <c r="N56" s="26"/>
      <c r="O56" s="26"/>
      <c r="P56" s="26"/>
      <c r="Q56" s="27"/>
      <c r="R56" s="28" t="s">
        <v>6</v>
      </c>
      <c r="S56" s="29"/>
      <c r="T56" s="29"/>
      <c r="U56" s="29"/>
      <c r="V56" s="29"/>
      <c r="W56" s="30"/>
      <c r="X56" s="31">
        <f>X3</f>
        <v>43251</v>
      </c>
      <c r="Y56" s="32"/>
      <c r="Z56" s="32"/>
      <c r="AA56" s="32"/>
      <c r="AB56" s="32"/>
      <c r="AC56" s="32"/>
      <c r="AD56" s="32"/>
      <c r="AE56" s="32"/>
      <c r="AF56" s="32"/>
      <c r="AG56" s="32"/>
      <c r="AH56" s="33"/>
    </row>
    <row r="57" spans="1:34" ht="19.5" customHeight="1">
      <c r="A57" s="34" t="s">
        <v>7</v>
      </c>
      <c r="B57" s="35"/>
      <c r="C57" s="35"/>
      <c r="D57" s="35"/>
      <c r="E57" s="35"/>
      <c r="F57" s="35"/>
      <c r="G57" s="36" t="s">
        <v>84</v>
      </c>
      <c r="H57" s="37"/>
      <c r="I57" s="37"/>
      <c r="J57" s="37"/>
      <c r="K57" s="37"/>
      <c r="L57" s="37"/>
      <c r="M57" s="37"/>
      <c r="N57" s="37"/>
      <c r="O57" s="37"/>
      <c r="P57" s="37"/>
      <c r="Q57" s="38"/>
      <c r="R57" s="39" t="s">
        <v>8</v>
      </c>
      <c r="S57" s="40"/>
      <c r="T57" s="40"/>
      <c r="U57" s="40"/>
      <c r="V57" s="40"/>
      <c r="W57" s="41"/>
      <c r="X57" s="42" t="s">
        <v>9</v>
      </c>
      <c r="Y57" s="43"/>
      <c r="Z57" s="43"/>
      <c r="AA57" s="43"/>
      <c r="AB57" s="43"/>
      <c r="AC57" s="43"/>
      <c r="AD57" s="43"/>
      <c r="AE57" s="43"/>
      <c r="AF57" s="43"/>
      <c r="AG57" s="43"/>
      <c r="AH57" s="44"/>
    </row>
    <row r="58" spans="1:34" ht="19.5" customHeight="1">
      <c r="A58" s="65" t="s">
        <v>10</v>
      </c>
      <c r="B58" s="66"/>
      <c r="C58" s="66"/>
      <c r="D58" s="66"/>
      <c r="E58" s="66"/>
      <c r="F58" s="67"/>
      <c r="G58" s="68" t="s">
        <v>86</v>
      </c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9" t="s">
        <v>11</v>
      </c>
      <c r="S58" s="69"/>
      <c r="T58" s="69"/>
      <c r="U58" s="69"/>
      <c r="V58" s="69"/>
      <c r="W58" s="69"/>
      <c r="X58" s="70" t="s">
        <v>12</v>
      </c>
      <c r="Y58" s="71"/>
      <c r="Z58" s="72">
        <f>Z5</f>
        <v>500</v>
      </c>
      <c r="AA58" s="73"/>
      <c r="AB58" s="73"/>
      <c r="AC58" s="73"/>
      <c r="AD58" s="74" t="s">
        <v>56</v>
      </c>
      <c r="AE58" s="74"/>
      <c r="AF58" s="74"/>
      <c r="AG58" s="74"/>
      <c r="AH58" s="75"/>
    </row>
    <row r="59" spans="1:34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4"/>
    </row>
    <row r="60" spans="1:34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4"/>
    </row>
    <row r="61" spans="1:34">
      <c r="A61" s="2"/>
      <c r="B61" s="7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4"/>
    </row>
    <row r="62" spans="1:34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4"/>
    </row>
    <row r="63" spans="1:34" ht="15" customHeight="1">
      <c r="A63" s="2"/>
      <c r="B63" s="213"/>
      <c r="C63" s="214"/>
      <c r="D63" s="214"/>
      <c r="E63" s="215"/>
      <c r="F63" s="138" t="s">
        <v>58</v>
      </c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3"/>
      <c r="T63" s="138" t="s">
        <v>20</v>
      </c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3"/>
      <c r="AH63" s="4"/>
    </row>
    <row r="64" spans="1:34" ht="39.75" customHeight="1">
      <c r="A64" s="2"/>
      <c r="B64" s="216"/>
      <c r="C64" s="217"/>
      <c r="D64" s="217"/>
      <c r="E64" s="218"/>
      <c r="F64" s="130" t="s">
        <v>45</v>
      </c>
      <c r="G64" s="131"/>
      <c r="H64" s="131"/>
      <c r="I64" s="131"/>
      <c r="J64" s="131"/>
      <c r="K64" s="219" t="s">
        <v>59</v>
      </c>
      <c r="L64" s="220"/>
      <c r="M64" s="220"/>
      <c r="N64" s="220"/>
      <c r="O64" s="221" t="s">
        <v>60</v>
      </c>
      <c r="P64" s="131"/>
      <c r="Q64" s="131"/>
      <c r="R64" s="131"/>
      <c r="S64" s="132"/>
      <c r="T64" s="130" t="s">
        <v>45</v>
      </c>
      <c r="U64" s="131"/>
      <c r="V64" s="131"/>
      <c r="W64" s="131"/>
      <c r="X64" s="131"/>
      <c r="Y64" s="219" t="s">
        <v>59</v>
      </c>
      <c r="Z64" s="220"/>
      <c r="AA64" s="220"/>
      <c r="AB64" s="220"/>
      <c r="AC64" s="221" t="s">
        <v>60</v>
      </c>
      <c r="AD64" s="131"/>
      <c r="AE64" s="131"/>
      <c r="AF64" s="131"/>
      <c r="AG64" s="132"/>
      <c r="AH64" s="4"/>
    </row>
    <row r="65" spans="1:34" ht="15" customHeight="1">
      <c r="A65" s="2"/>
      <c r="B65" s="216"/>
      <c r="C65" s="217"/>
      <c r="D65" s="217"/>
      <c r="E65" s="218"/>
      <c r="F65" s="130" t="s">
        <v>61</v>
      </c>
      <c r="G65" s="131"/>
      <c r="H65" s="131"/>
      <c r="I65" s="131"/>
      <c r="J65" s="131"/>
      <c r="K65" s="131" t="s">
        <v>62</v>
      </c>
      <c r="L65" s="131"/>
      <c r="M65" s="131"/>
      <c r="N65" s="131"/>
      <c r="O65" s="131" t="s">
        <v>63</v>
      </c>
      <c r="P65" s="131"/>
      <c r="Q65" s="131"/>
      <c r="R65" s="131"/>
      <c r="S65" s="132"/>
      <c r="T65" s="130" t="s">
        <v>64</v>
      </c>
      <c r="U65" s="131"/>
      <c r="V65" s="131"/>
      <c r="W65" s="131"/>
      <c r="X65" s="131"/>
      <c r="Y65" s="131" t="s">
        <v>65</v>
      </c>
      <c r="Z65" s="131"/>
      <c r="AA65" s="131"/>
      <c r="AB65" s="131"/>
      <c r="AC65" s="131" t="s">
        <v>66</v>
      </c>
      <c r="AD65" s="131"/>
      <c r="AE65" s="131"/>
      <c r="AF65" s="131"/>
      <c r="AG65" s="132"/>
      <c r="AH65" s="4"/>
    </row>
    <row r="66" spans="1:34" ht="15" customHeight="1">
      <c r="A66" s="2"/>
      <c r="B66" s="206"/>
      <c r="C66" s="207"/>
      <c r="D66" s="208" t="s">
        <v>67</v>
      </c>
      <c r="E66" s="209"/>
      <c r="F66" s="210"/>
      <c r="G66" s="211"/>
      <c r="H66" s="211"/>
      <c r="I66" s="211"/>
      <c r="J66" s="211"/>
      <c r="K66" s="211"/>
      <c r="L66" s="211"/>
      <c r="M66" s="211"/>
      <c r="N66" s="211"/>
      <c r="O66" s="211" t="s">
        <v>32</v>
      </c>
      <c r="P66" s="211"/>
      <c r="Q66" s="211"/>
      <c r="R66" s="211"/>
      <c r="S66" s="212"/>
      <c r="T66" s="210"/>
      <c r="U66" s="211"/>
      <c r="V66" s="211"/>
      <c r="W66" s="211"/>
      <c r="X66" s="211"/>
      <c r="Y66" s="211"/>
      <c r="Z66" s="211"/>
      <c r="AA66" s="211"/>
      <c r="AB66" s="211"/>
      <c r="AC66" s="211" t="s">
        <v>32</v>
      </c>
      <c r="AD66" s="211"/>
      <c r="AE66" s="211"/>
      <c r="AF66" s="211"/>
      <c r="AG66" s="212"/>
      <c r="AH66" s="4"/>
    </row>
    <row r="67" spans="1:34" ht="21" customHeight="1">
      <c r="A67" s="2"/>
      <c r="B67" s="124" t="s">
        <v>68</v>
      </c>
      <c r="C67" s="125"/>
      <c r="D67" s="125"/>
      <c r="E67" s="126"/>
      <c r="F67" s="222">
        <v>-0.65</v>
      </c>
      <c r="G67" s="223"/>
      <c r="H67" s="223"/>
      <c r="I67" s="223"/>
      <c r="J67" s="224"/>
      <c r="K67" s="225">
        <f>F67-$F$70</f>
        <v>0.12</v>
      </c>
      <c r="L67" s="225"/>
      <c r="M67" s="225"/>
      <c r="N67" s="226"/>
      <c r="O67" s="225">
        <f>K67/$Z$58*100</f>
        <v>2.3999999999999997E-2</v>
      </c>
      <c r="P67" s="225"/>
      <c r="Q67" s="225"/>
      <c r="R67" s="225"/>
      <c r="S67" s="227"/>
      <c r="T67" s="228">
        <v>89.45</v>
      </c>
      <c r="U67" s="229"/>
      <c r="V67" s="229"/>
      <c r="W67" s="229"/>
      <c r="X67" s="230"/>
      <c r="Y67" s="229">
        <f>T67-$T$70</f>
        <v>3.0000000000001137E-2</v>
      </c>
      <c r="Z67" s="229"/>
      <c r="AA67" s="229"/>
      <c r="AB67" s="229"/>
      <c r="AC67" s="231">
        <f>Y67/$Z$58*100</f>
        <v>6.0000000000002274E-3</v>
      </c>
      <c r="AD67" s="231"/>
      <c r="AE67" s="231"/>
      <c r="AF67" s="231"/>
      <c r="AG67" s="232"/>
      <c r="AH67" s="4"/>
    </row>
    <row r="68" spans="1:34" ht="21" customHeight="1">
      <c r="A68" s="2"/>
      <c r="B68" s="124" t="s">
        <v>69</v>
      </c>
      <c r="C68" s="125"/>
      <c r="D68" s="125"/>
      <c r="E68" s="126"/>
      <c r="F68" s="241">
        <v>-0.8</v>
      </c>
      <c r="G68" s="242"/>
      <c r="H68" s="242"/>
      <c r="I68" s="242"/>
      <c r="J68" s="243"/>
      <c r="K68" s="231">
        <f>F68-$F$70</f>
        <v>-3.0000000000000027E-2</v>
      </c>
      <c r="L68" s="231"/>
      <c r="M68" s="231"/>
      <c r="N68" s="231"/>
      <c r="O68" s="231">
        <f>K68/$Z$58*100</f>
        <v>-6.0000000000000053E-3</v>
      </c>
      <c r="P68" s="231"/>
      <c r="Q68" s="231"/>
      <c r="R68" s="231"/>
      <c r="S68" s="232"/>
      <c r="T68" s="244">
        <v>89.45</v>
      </c>
      <c r="U68" s="231"/>
      <c r="V68" s="231"/>
      <c r="W68" s="231"/>
      <c r="X68" s="245"/>
      <c r="Y68" s="231">
        <f>T68-$T$70</f>
        <v>3.0000000000001137E-2</v>
      </c>
      <c r="Z68" s="231"/>
      <c r="AA68" s="231"/>
      <c r="AB68" s="231"/>
      <c r="AC68" s="231">
        <f>Y68/$Z$58*100</f>
        <v>6.0000000000002274E-3</v>
      </c>
      <c r="AD68" s="231"/>
      <c r="AE68" s="231"/>
      <c r="AF68" s="231"/>
      <c r="AG68" s="232"/>
      <c r="AH68" s="4"/>
    </row>
    <row r="69" spans="1:34" ht="21" customHeight="1">
      <c r="A69" s="2"/>
      <c r="B69" s="124" t="s">
        <v>70</v>
      </c>
      <c r="C69" s="125"/>
      <c r="D69" s="125"/>
      <c r="E69" s="126"/>
      <c r="F69" s="233">
        <v>-0.85</v>
      </c>
      <c r="G69" s="234"/>
      <c r="H69" s="234"/>
      <c r="I69" s="234"/>
      <c r="J69" s="235"/>
      <c r="K69" s="236">
        <f>F69-$F$70</f>
        <v>-7.999999999999996E-2</v>
      </c>
      <c r="L69" s="236"/>
      <c r="M69" s="236"/>
      <c r="N69" s="237"/>
      <c r="O69" s="238">
        <f>K69/$Z$58*100</f>
        <v>-1.5999999999999993E-2</v>
      </c>
      <c r="P69" s="238"/>
      <c r="Q69" s="238"/>
      <c r="R69" s="238"/>
      <c r="S69" s="239"/>
      <c r="T69" s="233">
        <v>89.35</v>
      </c>
      <c r="U69" s="234"/>
      <c r="V69" s="234"/>
      <c r="W69" s="234"/>
      <c r="X69" s="234"/>
      <c r="Y69" s="240">
        <f>T69-$T$70</f>
        <v>-7.000000000000739E-2</v>
      </c>
      <c r="Z69" s="240"/>
      <c r="AA69" s="240"/>
      <c r="AB69" s="240"/>
      <c r="AC69" s="231">
        <f>Y69/$Z$58*100</f>
        <v>-1.4000000000001478E-2</v>
      </c>
      <c r="AD69" s="231"/>
      <c r="AE69" s="231"/>
      <c r="AF69" s="231"/>
      <c r="AG69" s="232"/>
      <c r="AH69" s="4"/>
    </row>
    <row r="70" spans="1:34" ht="21" customHeight="1">
      <c r="A70" s="2"/>
      <c r="B70" s="249" t="s">
        <v>71</v>
      </c>
      <c r="C70" s="137"/>
      <c r="D70" s="137"/>
      <c r="E70" s="103"/>
      <c r="F70" s="222">
        <f>ROUND(AVERAGE(F67:J69),2)</f>
        <v>-0.77</v>
      </c>
      <c r="G70" s="223"/>
      <c r="H70" s="223"/>
      <c r="I70" s="223"/>
      <c r="J70" s="224"/>
      <c r="K70" s="250" t="s">
        <v>72</v>
      </c>
      <c r="L70" s="251"/>
      <c r="M70" s="251"/>
      <c r="N70" s="252"/>
      <c r="O70" s="253">
        <f>ROUND(AVERAGE(O67:S69),2)</f>
        <v>0</v>
      </c>
      <c r="P70" s="254"/>
      <c r="Q70" s="254"/>
      <c r="R70" s="254"/>
      <c r="S70" s="255"/>
      <c r="T70" s="256">
        <f>ROUND(AVERAGE(T67:X69),2)</f>
        <v>89.42</v>
      </c>
      <c r="U70" s="112"/>
      <c r="V70" s="112"/>
      <c r="W70" s="112"/>
      <c r="X70" s="112"/>
      <c r="Y70" s="250" t="s">
        <v>72</v>
      </c>
      <c r="Z70" s="251"/>
      <c r="AA70" s="251"/>
      <c r="AB70" s="252"/>
      <c r="AC70" s="112">
        <f>ROUND(AVERAGE(AC67:AG69),2)</f>
        <v>0</v>
      </c>
      <c r="AD70" s="112"/>
      <c r="AE70" s="112"/>
      <c r="AF70" s="112"/>
      <c r="AG70" s="113"/>
      <c r="AH70" s="4"/>
    </row>
    <row r="71" spans="1:34" ht="27" customHeight="1">
      <c r="A71" s="2"/>
      <c r="B71" s="136" t="s">
        <v>36</v>
      </c>
      <c r="C71" s="137"/>
      <c r="D71" s="137"/>
      <c r="E71" s="103"/>
      <c r="F71" s="12"/>
      <c r="G71" s="137" t="s">
        <v>37</v>
      </c>
      <c r="H71" s="137"/>
      <c r="I71" s="137"/>
      <c r="J71" s="137"/>
      <c r="K71" s="137" t="s">
        <v>38</v>
      </c>
      <c r="L71" s="137"/>
      <c r="M71" s="137"/>
      <c r="N71" s="137"/>
      <c r="O71" s="246" t="s">
        <v>39</v>
      </c>
      <c r="P71" s="247"/>
      <c r="Q71" s="247"/>
      <c r="R71" s="247"/>
      <c r="S71" s="248"/>
      <c r="T71" s="89" t="s">
        <v>73</v>
      </c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4"/>
    </row>
    <row r="72" spans="1:34">
      <c r="A72" s="2"/>
      <c r="B72" s="150" t="s">
        <v>41</v>
      </c>
      <c r="C72" s="150"/>
      <c r="D72" s="150"/>
      <c r="E72" s="15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4"/>
    </row>
    <row r="73" spans="1:34">
      <c r="A73" s="2"/>
      <c r="B73" s="150"/>
      <c r="C73" s="150"/>
      <c r="D73" s="150"/>
      <c r="E73" s="15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4"/>
    </row>
    <row r="74" spans="1:34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4"/>
    </row>
    <row r="75" spans="1:34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4"/>
    </row>
    <row r="76" spans="1:34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4"/>
    </row>
    <row r="77" spans="1:34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4"/>
    </row>
    <row r="78" spans="1:34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4"/>
    </row>
    <row r="79" spans="1:34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4"/>
    </row>
    <row r="80" spans="1:34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4"/>
    </row>
    <row r="81" spans="1:34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4"/>
    </row>
    <row r="82" spans="1:34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4"/>
    </row>
    <row r="83" spans="1:34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4"/>
    </row>
    <row r="84" spans="1:34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4"/>
    </row>
    <row r="85" spans="1:34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4"/>
    </row>
    <row r="86" spans="1:34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4"/>
    </row>
    <row r="87" spans="1:34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4"/>
    </row>
    <row r="88" spans="1:34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4"/>
    </row>
    <row r="89" spans="1:34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4"/>
    </row>
    <row r="90" spans="1:34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4"/>
    </row>
    <row r="91" spans="1:34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4"/>
    </row>
    <row r="92" spans="1:34" ht="4.5" customHeight="1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4"/>
    </row>
    <row r="93" spans="1:34" ht="15.75" thickBot="1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4"/>
    </row>
    <row r="94" spans="1:34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151" t="s">
        <v>49</v>
      </c>
      <c r="Z94" s="152"/>
      <c r="AA94" s="152"/>
      <c r="AB94" s="152"/>
      <c r="AC94" s="153"/>
      <c r="AD94" s="157" t="s">
        <v>50</v>
      </c>
      <c r="AE94" s="157"/>
      <c r="AF94" s="157"/>
      <c r="AG94" s="157"/>
      <c r="AH94" s="158"/>
    </row>
    <row r="95" spans="1:34" ht="15.75" thickBot="1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154"/>
      <c r="Z95" s="155"/>
      <c r="AA95" s="155"/>
      <c r="AB95" s="155"/>
      <c r="AC95" s="156"/>
      <c r="AD95" s="159"/>
      <c r="AE95" s="159"/>
      <c r="AF95" s="159"/>
      <c r="AG95" s="159"/>
      <c r="AH95" s="160"/>
    </row>
    <row r="96" spans="1:34" ht="15" customHeight="1">
      <c r="A96" s="2"/>
      <c r="B96" s="161" t="s">
        <v>51</v>
      </c>
      <c r="C96" s="171"/>
      <c r="D96" s="171"/>
      <c r="E96" s="171"/>
      <c r="F96" s="171"/>
      <c r="G96" s="171"/>
      <c r="H96" s="170" t="s">
        <v>37</v>
      </c>
      <c r="I96" s="171"/>
      <c r="J96" s="171"/>
      <c r="K96" s="171"/>
      <c r="L96" s="171"/>
      <c r="M96" s="172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176"/>
      <c r="Z96" s="177"/>
      <c r="AA96" s="177"/>
      <c r="AB96" s="177"/>
      <c r="AC96" s="178"/>
      <c r="AD96" s="183"/>
      <c r="AE96" s="184"/>
      <c r="AF96" s="184"/>
      <c r="AG96" s="184"/>
      <c r="AH96" s="185"/>
    </row>
    <row r="97" spans="1:34" ht="15" customHeight="1">
      <c r="A97" s="2"/>
      <c r="B97" s="173"/>
      <c r="C97" s="174"/>
      <c r="D97" s="174"/>
      <c r="E97" s="174"/>
      <c r="F97" s="174"/>
      <c r="G97" s="174"/>
      <c r="H97" s="173"/>
      <c r="I97" s="174"/>
      <c r="J97" s="174"/>
      <c r="K97" s="174"/>
      <c r="L97" s="174"/>
      <c r="M97" s="175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179"/>
      <c r="Z97" s="177"/>
      <c r="AA97" s="177"/>
      <c r="AB97" s="177"/>
      <c r="AC97" s="178"/>
      <c r="AD97" s="184"/>
      <c r="AE97" s="184"/>
      <c r="AF97" s="184"/>
      <c r="AG97" s="184"/>
      <c r="AH97" s="185"/>
    </row>
    <row r="98" spans="1:34" ht="15" customHeight="1">
      <c r="A98" s="2"/>
      <c r="B98" s="173"/>
      <c r="C98" s="174"/>
      <c r="D98" s="174"/>
      <c r="E98" s="174"/>
      <c r="F98" s="174"/>
      <c r="G98" s="174"/>
      <c r="H98" s="173" t="s">
        <v>38</v>
      </c>
      <c r="I98" s="174"/>
      <c r="J98" s="174"/>
      <c r="K98" s="174"/>
      <c r="L98" s="174"/>
      <c r="M98" s="175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179"/>
      <c r="Z98" s="177"/>
      <c r="AA98" s="177"/>
      <c r="AB98" s="177"/>
      <c r="AC98" s="178"/>
      <c r="AD98" s="184"/>
      <c r="AE98" s="184"/>
      <c r="AF98" s="184"/>
      <c r="AG98" s="184"/>
      <c r="AH98" s="185"/>
    </row>
    <row r="99" spans="1:34" ht="15.75" customHeight="1" thickBot="1">
      <c r="A99" s="2"/>
      <c r="B99" s="188"/>
      <c r="C99" s="189"/>
      <c r="D99" s="189"/>
      <c r="E99" s="189"/>
      <c r="F99" s="189"/>
      <c r="G99" s="189"/>
      <c r="H99" s="188"/>
      <c r="I99" s="189"/>
      <c r="J99" s="189"/>
      <c r="K99" s="189"/>
      <c r="L99" s="189"/>
      <c r="M99" s="190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179"/>
      <c r="Z99" s="177"/>
      <c r="AA99" s="177"/>
      <c r="AB99" s="177"/>
      <c r="AC99" s="178"/>
      <c r="AD99" s="184"/>
      <c r="AE99" s="184"/>
      <c r="AF99" s="184"/>
      <c r="AG99" s="184"/>
      <c r="AH99" s="185"/>
    </row>
    <row r="100" spans="1:34" ht="9" customHeight="1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180"/>
      <c r="Z100" s="181"/>
      <c r="AA100" s="181"/>
      <c r="AB100" s="181"/>
      <c r="AC100" s="182"/>
      <c r="AD100" s="186"/>
      <c r="AE100" s="186"/>
      <c r="AF100" s="186"/>
      <c r="AG100" s="186"/>
      <c r="AH100" s="187"/>
    </row>
    <row r="101" spans="1:34" s="13" customFormat="1" ht="22.5" customHeight="1" thickBot="1">
      <c r="A101" s="199" t="s">
        <v>76</v>
      </c>
      <c r="B101" s="200"/>
      <c r="C101" s="200"/>
      <c r="D101" s="200"/>
      <c r="E101" s="200" t="s">
        <v>52</v>
      </c>
      <c r="F101" s="200"/>
      <c r="G101" s="200"/>
      <c r="H101" s="200"/>
      <c r="I101" s="201"/>
      <c r="J101" s="202" t="s">
        <v>77</v>
      </c>
      <c r="K101" s="200"/>
      <c r="L101" s="200"/>
      <c r="M101" s="200"/>
      <c r="N101" s="200" t="s">
        <v>78</v>
      </c>
      <c r="O101" s="200"/>
      <c r="P101" s="200"/>
      <c r="Q101" s="201"/>
      <c r="R101" s="203"/>
      <c r="S101" s="204"/>
      <c r="T101" s="204"/>
      <c r="U101" s="204"/>
      <c r="V101" s="204"/>
      <c r="W101" s="204"/>
      <c r="X101" s="205"/>
      <c r="Y101" s="202" t="s">
        <v>79</v>
      </c>
      <c r="Z101" s="200"/>
      <c r="AA101" s="200"/>
      <c r="AB101" s="200"/>
      <c r="AC101" s="200"/>
      <c r="AD101" s="197">
        <v>41883</v>
      </c>
      <c r="AE101" s="197"/>
      <c r="AF101" s="197"/>
      <c r="AG101" s="197"/>
      <c r="AH101" s="198"/>
    </row>
  </sheetData>
  <mergeCells count="208">
    <mergeCell ref="A3:F3"/>
    <mergeCell ref="G3:Q3"/>
    <mergeCell ref="R3:W3"/>
    <mergeCell ref="X3:AH3"/>
    <mergeCell ref="A4:F4"/>
    <mergeCell ref="G4:Q4"/>
    <mergeCell ref="R4:W4"/>
    <mergeCell ref="X4:AH4"/>
    <mergeCell ref="A1:AC1"/>
    <mergeCell ref="AD1:AF1"/>
    <mergeCell ref="AG1:AH1"/>
    <mergeCell ref="A2:F2"/>
    <mergeCell ref="G2:Q2"/>
    <mergeCell ref="R2:W2"/>
    <mergeCell ref="X2:AH2"/>
    <mergeCell ref="B7:AG7"/>
    <mergeCell ref="B8:H8"/>
    <mergeCell ref="I8:N8"/>
    <mergeCell ref="O8:U8"/>
    <mergeCell ref="V8:AA8"/>
    <mergeCell ref="AB8:AG8"/>
    <mergeCell ref="A5:F5"/>
    <mergeCell ref="G5:Q5"/>
    <mergeCell ref="R5:W5"/>
    <mergeCell ref="X5:Y5"/>
    <mergeCell ref="Z5:AC5"/>
    <mergeCell ref="AD5:AH5"/>
    <mergeCell ref="B9:H9"/>
    <mergeCell ref="I9:N9"/>
    <mergeCell ref="O9:U9"/>
    <mergeCell ref="V9:AA9"/>
    <mergeCell ref="AB9:AG9"/>
    <mergeCell ref="B10:H10"/>
    <mergeCell ref="I10:N10"/>
    <mergeCell ref="O10:U10"/>
    <mergeCell ref="V10:AA10"/>
    <mergeCell ref="AB10:AG10"/>
    <mergeCell ref="F14:K14"/>
    <mergeCell ref="L14:S14"/>
    <mergeCell ref="T14:Y14"/>
    <mergeCell ref="Z14:AG14"/>
    <mergeCell ref="B15:K15"/>
    <mergeCell ref="L15:S15"/>
    <mergeCell ref="B11:H11"/>
    <mergeCell ref="I11:N11"/>
    <mergeCell ref="O11:U11"/>
    <mergeCell ref="V11:AA11"/>
    <mergeCell ref="AB11:AG11"/>
    <mergeCell ref="B13:E14"/>
    <mergeCell ref="F13:K13"/>
    <mergeCell ref="L13:S13"/>
    <mergeCell ref="T13:Y13"/>
    <mergeCell ref="Z13:AG13"/>
    <mergeCell ref="B22:K22"/>
    <mergeCell ref="L22:U22"/>
    <mergeCell ref="V22:AE22"/>
    <mergeCell ref="B23:K23"/>
    <mergeCell ref="L23:U23"/>
    <mergeCell ref="V23:AC23"/>
    <mergeCell ref="AD23:AE23"/>
    <mergeCell ref="B19:K19"/>
    <mergeCell ref="L19:U19"/>
    <mergeCell ref="B20:U20"/>
    <mergeCell ref="V20:AE21"/>
    <mergeCell ref="B21:K21"/>
    <mergeCell ref="L21:U21"/>
    <mergeCell ref="B28:K28"/>
    <mergeCell ref="L28:U28"/>
    <mergeCell ref="V28:AE28"/>
    <mergeCell ref="B29:K29"/>
    <mergeCell ref="L29:U29"/>
    <mergeCell ref="V29:AC29"/>
    <mergeCell ref="AD29:AE29"/>
    <mergeCell ref="B25:K25"/>
    <mergeCell ref="L25:U25"/>
    <mergeCell ref="B26:U26"/>
    <mergeCell ref="V26:AE27"/>
    <mergeCell ref="B27:K27"/>
    <mergeCell ref="L27:U27"/>
    <mergeCell ref="B37:U37"/>
    <mergeCell ref="V37:AE38"/>
    <mergeCell ref="B38:K38"/>
    <mergeCell ref="L38:U38"/>
    <mergeCell ref="B39:K39"/>
    <mergeCell ref="L39:U39"/>
    <mergeCell ref="V39:AE39"/>
    <mergeCell ref="B31:F31"/>
    <mergeCell ref="H31:K31"/>
    <mergeCell ref="L31:O31"/>
    <mergeCell ref="Q31:U31"/>
    <mergeCell ref="V31:AE31"/>
    <mergeCell ref="C32:F33"/>
    <mergeCell ref="B42:E43"/>
    <mergeCell ref="Y44:AC45"/>
    <mergeCell ref="AD44:AH45"/>
    <mergeCell ref="B46:G49"/>
    <mergeCell ref="H46:M47"/>
    <mergeCell ref="Y46:AC50"/>
    <mergeCell ref="AD46:AH50"/>
    <mergeCell ref="H48:M49"/>
    <mergeCell ref="B40:K40"/>
    <mergeCell ref="L40:U40"/>
    <mergeCell ref="V40:AC40"/>
    <mergeCell ref="AD40:AE40"/>
    <mergeCell ref="B41:F41"/>
    <mergeCell ref="H41:K41"/>
    <mergeCell ref="L41:O41"/>
    <mergeCell ref="Q41:U41"/>
    <mergeCell ref="V41:AE41"/>
    <mergeCell ref="AD51:AH51"/>
    <mergeCell ref="A54:AC54"/>
    <mergeCell ref="AD54:AF54"/>
    <mergeCell ref="AG54:AH54"/>
    <mergeCell ref="A55:F55"/>
    <mergeCell ref="G55:Q55"/>
    <mergeCell ref="R55:W55"/>
    <mergeCell ref="X55:AH55"/>
    <mergeCell ref="A51:D51"/>
    <mergeCell ref="E51:I51"/>
    <mergeCell ref="J51:M51"/>
    <mergeCell ref="N51:Q51"/>
    <mergeCell ref="R51:X51"/>
    <mergeCell ref="Y51:AC51"/>
    <mergeCell ref="A58:F58"/>
    <mergeCell ref="G58:Q58"/>
    <mergeCell ref="R58:W58"/>
    <mergeCell ref="X58:Y58"/>
    <mergeCell ref="Z58:AC58"/>
    <mergeCell ref="AD58:AH58"/>
    <mergeCell ref="A56:F56"/>
    <mergeCell ref="G56:Q56"/>
    <mergeCell ref="R56:W56"/>
    <mergeCell ref="X56:AH56"/>
    <mergeCell ref="A57:F57"/>
    <mergeCell ref="G57:Q57"/>
    <mergeCell ref="R57:W57"/>
    <mergeCell ref="X57:AH57"/>
    <mergeCell ref="K65:N65"/>
    <mergeCell ref="O65:S65"/>
    <mergeCell ref="T65:X65"/>
    <mergeCell ref="Y65:AB65"/>
    <mergeCell ref="AC65:AG65"/>
    <mergeCell ref="B66:C66"/>
    <mergeCell ref="D66:E66"/>
    <mergeCell ref="F66:J66"/>
    <mergeCell ref="K66:N66"/>
    <mergeCell ref="O66:S66"/>
    <mergeCell ref="B63:E65"/>
    <mergeCell ref="F63:S63"/>
    <mergeCell ref="T63:AG63"/>
    <mergeCell ref="F64:J64"/>
    <mergeCell ref="K64:N64"/>
    <mergeCell ref="O64:S64"/>
    <mergeCell ref="T64:X64"/>
    <mergeCell ref="Y64:AB64"/>
    <mergeCell ref="AC64:AG64"/>
    <mergeCell ref="F65:J65"/>
    <mergeCell ref="T66:X66"/>
    <mergeCell ref="Y66:AB66"/>
    <mergeCell ref="AC66:AG66"/>
    <mergeCell ref="B67:E67"/>
    <mergeCell ref="F67:J67"/>
    <mergeCell ref="K67:N67"/>
    <mergeCell ref="O67:S67"/>
    <mergeCell ref="T67:X67"/>
    <mergeCell ref="Y67:AB67"/>
    <mergeCell ref="AC67:AG67"/>
    <mergeCell ref="AC68:AG68"/>
    <mergeCell ref="B69:E69"/>
    <mergeCell ref="F69:J69"/>
    <mergeCell ref="K69:N69"/>
    <mergeCell ref="O69:S69"/>
    <mergeCell ref="T69:X69"/>
    <mergeCell ref="Y69:AB69"/>
    <mergeCell ref="AC69:AG69"/>
    <mergeCell ref="B68:E68"/>
    <mergeCell ref="F68:J68"/>
    <mergeCell ref="K68:N68"/>
    <mergeCell ref="O68:S68"/>
    <mergeCell ref="T68:X68"/>
    <mergeCell ref="Y68:AB68"/>
    <mergeCell ref="AC70:AG70"/>
    <mergeCell ref="B71:E71"/>
    <mergeCell ref="G71:J71"/>
    <mergeCell ref="K71:N71"/>
    <mergeCell ref="O71:S71"/>
    <mergeCell ref="T71:AG71"/>
    <mergeCell ref="B70:E70"/>
    <mergeCell ref="F70:J70"/>
    <mergeCell ref="K70:N70"/>
    <mergeCell ref="O70:S70"/>
    <mergeCell ref="T70:X70"/>
    <mergeCell ref="Y70:AB70"/>
    <mergeCell ref="AD101:AH101"/>
    <mergeCell ref="A101:D101"/>
    <mergeCell ref="E101:I101"/>
    <mergeCell ref="J101:M101"/>
    <mergeCell ref="N101:Q101"/>
    <mergeCell ref="R101:X101"/>
    <mergeCell ref="Y101:AC101"/>
    <mergeCell ref="B72:E73"/>
    <mergeCell ref="Y94:AC95"/>
    <mergeCell ref="AD94:AH95"/>
    <mergeCell ref="B96:G99"/>
    <mergeCell ref="H96:M97"/>
    <mergeCell ref="Y96:AC100"/>
    <mergeCell ref="AD96:AH100"/>
    <mergeCell ref="H98:M99"/>
  </mergeCells>
  <pageMargins left="0.47244094488188981" right="0.28000000000000003" top="0.43307086614173229" bottom="0.19685039370078741" header="0.35433070866141736" footer="0.11811023622047245"/>
  <pageSetup paperSize="9" scale="94" firstPageNumber="4294963191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22529" r:id="rId4">
          <objectPr defaultSize="0" autoPict="0" r:id="rId5">
            <anchor moveWithCells="1">
              <from>
                <xdr:col>6</xdr:col>
                <xdr:colOff>142875</xdr:colOff>
                <xdr:row>31</xdr:row>
                <xdr:rowOff>38100</xdr:rowOff>
              </from>
              <to>
                <xdr:col>9</xdr:col>
                <xdr:colOff>19050</xdr:colOff>
                <xdr:row>32</xdr:row>
                <xdr:rowOff>152400</xdr:rowOff>
              </to>
            </anchor>
          </objectPr>
        </oleObject>
      </mc:Choice>
      <mc:Fallback>
        <oleObject progId="Equation.3" shapeId="22529" r:id="rId4"/>
      </mc:Fallback>
    </mc:AlternateContent>
    <mc:AlternateContent xmlns:mc="http://schemas.openxmlformats.org/markup-compatibility/2006">
      <mc:Choice Requires="x14">
        <oleObject progId="Equation.3" shapeId="22530" r:id="rId6">
          <objectPr defaultSize="0" autoPict="0" r:id="rId7">
            <anchor moveWithCells="1">
              <from>
                <xdr:col>6</xdr:col>
                <xdr:colOff>95250</xdr:colOff>
                <xdr:row>41</xdr:row>
                <xdr:rowOff>180975</xdr:rowOff>
              </from>
              <to>
                <xdr:col>9</xdr:col>
                <xdr:colOff>123825</xdr:colOff>
                <xdr:row>43</xdr:row>
                <xdr:rowOff>104775</xdr:rowOff>
              </to>
            </anchor>
          </objectPr>
        </oleObject>
      </mc:Choice>
      <mc:Fallback>
        <oleObject progId="Equation.3" shapeId="22530" r:id="rId6"/>
      </mc:Fallback>
    </mc:AlternateContent>
    <mc:AlternateContent xmlns:mc="http://schemas.openxmlformats.org/markup-compatibility/2006">
      <mc:Choice Requires="x14">
        <oleObject progId="Equation.3" shapeId="22531" r:id="rId8">
          <objectPr defaultSize="0" autoPict="0" r:id="rId9">
            <anchor moveWithCells="1">
              <from>
                <xdr:col>5</xdr:col>
                <xdr:colOff>0</xdr:colOff>
                <xdr:row>72</xdr:row>
                <xdr:rowOff>85725</xdr:rowOff>
              </from>
              <to>
                <xdr:col>7</xdr:col>
                <xdr:colOff>114300</xdr:colOff>
                <xdr:row>74</xdr:row>
                <xdr:rowOff>19050</xdr:rowOff>
              </to>
            </anchor>
          </objectPr>
        </oleObject>
      </mc:Choice>
      <mc:Fallback>
        <oleObject progId="Equation.3" shapeId="22531" r:id="rId8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101"/>
  <sheetViews>
    <sheetView zoomScale="130" zoomScaleNormal="130" workbookViewId="0">
      <selection activeCell="L29" sqref="L29:U29"/>
    </sheetView>
  </sheetViews>
  <sheetFormatPr defaultColWidth="2.5" defaultRowHeight="15"/>
  <cols>
    <col min="1" max="16384" width="2.5" style="1"/>
  </cols>
  <sheetData>
    <row r="1" spans="1:34" ht="27" customHeight="1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7"/>
      <c r="AD1" s="48" t="s">
        <v>1</v>
      </c>
      <c r="AE1" s="49"/>
      <c r="AF1" s="49"/>
      <c r="AG1" s="50" t="s">
        <v>2</v>
      </c>
      <c r="AH1" s="51"/>
    </row>
    <row r="2" spans="1:34" ht="19.5" customHeight="1">
      <c r="A2" s="52" t="s">
        <v>3</v>
      </c>
      <c r="B2" s="53"/>
      <c r="C2" s="53"/>
      <c r="D2" s="53"/>
      <c r="E2" s="53"/>
      <c r="F2" s="53"/>
      <c r="G2" s="54" t="s">
        <v>85</v>
      </c>
      <c r="H2" s="55"/>
      <c r="I2" s="55"/>
      <c r="J2" s="55"/>
      <c r="K2" s="55"/>
      <c r="L2" s="55"/>
      <c r="M2" s="55"/>
      <c r="N2" s="55"/>
      <c r="O2" s="55"/>
      <c r="P2" s="55"/>
      <c r="Q2" s="56"/>
      <c r="R2" s="28" t="s">
        <v>4</v>
      </c>
      <c r="S2" s="29"/>
      <c r="T2" s="29"/>
      <c r="U2" s="29"/>
      <c r="V2" s="29"/>
      <c r="W2" s="30"/>
      <c r="X2" s="31">
        <v>42886</v>
      </c>
      <c r="Y2" s="32"/>
      <c r="Z2" s="32"/>
      <c r="AA2" s="32"/>
      <c r="AB2" s="32"/>
      <c r="AC2" s="32"/>
      <c r="AD2" s="32"/>
      <c r="AE2" s="32"/>
      <c r="AF2" s="32"/>
      <c r="AG2" s="32"/>
      <c r="AH2" s="33"/>
    </row>
    <row r="3" spans="1:34" ht="19.5" customHeight="1">
      <c r="A3" s="23" t="s">
        <v>5</v>
      </c>
      <c r="B3" s="24"/>
      <c r="C3" s="24"/>
      <c r="D3" s="24"/>
      <c r="E3" s="24"/>
      <c r="F3" s="24"/>
      <c r="G3" s="25" t="s">
        <v>83</v>
      </c>
      <c r="H3" s="26"/>
      <c r="I3" s="26"/>
      <c r="J3" s="26"/>
      <c r="K3" s="26"/>
      <c r="L3" s="26"/>
      <c r="M3" s="26"/>
      <c r="N3" s="26"/>
      <c r="O3" s="26"/>
      <c r="P3" s="26"/>
      <c r="Q3" s="27"/>
      <c r="R3" s="28" t="s">
        <v>6</v>
      </c>
      <c r="S3" s="29"/>
      <c r="T3" s="29"/>
      <c r="U3" s="29"/>
      <c r="V3" s="29"/>
      <c r="W3" s="30"/>
      <c r="X3" s="31">
        <v>43251</v>
      </c>
      <c r="Y3" s="32"/>
      <c r="Z3" s="32"/>
      <c r="AA3" s="32"/>
      <c r="AB3" s="32"/>
      <c r="AC3" s="32"/>
      <c r="AD3" s="32"/>
      <c r="AE3" s="32"/>
      <c r="AF3" s="32"/>
      <c r="AG3" s="32"/>
      <c r="AH3" s="33"/>
    </row>
    <row r="4" spans="1:34" ht="19.5" customHeight="1">
      <c r="A4" s="34" t="s">
        <v>7</v>
      </c>
      <c r="B4" s="35"/>
      <c r="C4" s="35"/>
      <c r="D4" s="35"/>
      <c r="E4" s="35"/>
      <c r="F4" s="35"/>
      <c r="G4" s="36" t="s">
        <v>84</v>
      </c>
      <c r="H4" s="37"/>
      <c r="I4" s="37"/>
      <c r="J4" s="37"/>
      <c r="K4" s="37"/>
      <c r="L4" s="37"/>
      <c r="M4" s="37"/>
      <c r="N4" s="37"/>
      <c r="O4" s="37"/>
      <c r="P4" s="37"/>
      <c r="Q4" s="38"/>
      <c r="R4" s="39" t="s">
        <v>8</v>
      </c>
      <c r="S4" s="40"/>
      <c r="T4" s="40"/>
      <c r="U4" s="40"/>
      <c r="V4" s="40"/>
      <c r="W4" s="41"/>
      <c r="X4" s="42" t="s">
        <v>9</v>
      </c>
      <c r="Y4" s="43"/>
      <c r="Z4" s="43"/>
      <c r="AA4" s="43"/>
      <c r="AB4" s="43"/>
      <c r="AC4" s="43"/>
      <c r="AD4" s="43"/>
      <c r="AE4" s="43"/>
      <c r="AF4" s="43"/>
      <c r="AG4" s="43"/>
      <c r="AH4" s="44"/>
    </row>
    <row r="5" spans="1:34" ht="19.5" customHeight="1">
      <c r="A5" s="65" t="s">
        <v>10</v>
      </c>
      <c r="B5" s="66"/>
      <c r="C5" s="66"/>
      <c r="D5" s="66"/>
      <c r="E5" s="66"/>
      <c r="F5" s="67"/>
      <c r="G5" s="68" t="s">
        <v>86</v>
      </c>
      <c r="H5" s="68"/>
      <c r="I5" s="68"/>
      <c r="J5" s="68"/>
      <c r="K5" s="68"/>
      <c r="L5" s="68"/>
      <c r="M5" s="68"/>
      <c r="N5" s="68"/>
      <c r="O5" s="68"/>
      <c r="P5" s="68"/>
      <c r="Q5" s="68"/>
      <c r="R5" s="69" t="s">
        <v>11</v>
      </c>
      <c r="S5" s="69"/>
      <c r="T5" s="69"/>
      <c r="U5" s="69"/>
      <c r="V5" s="69"/>
      <c r="W5" s="69"/>
      <c r="X5" s="70" t="s">
        <v>12</v>
      </c>
      <c r="Y5" s="71"/>
      <c r="Z5" s="72">
        <v>1000</v>
      </c>
      <c r="AA5" s="73"/>
      <c r="AB5" s="73"/>
      <c r="AC5" s="73"/>
      <c r="AD5" s="74" t="s">
        <v>13</v>
      </c>
      <c r="AE5" s="74"/>
      <c r="AF5" s="74"/>
      <c r="AG5" s="74"/>
      <c r="AH5" s="75"/>
    </row>
    <row r="6" spans="1:34" ht="15.75" thickBo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4"/>
    </row>
    <row r="7" spans="1:34" ht="15" customHeight="1">
      <c r="A7" s="2"/>
      <c r="B7" s="57" t="s">
        <v>14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9"/>
      <c r="AH7" s="4"/>
    </row>
    <row r="8" spans="1:34" ht="15" customHeight="1">
      <c r="A8" s="2"/>
      <c r="B8" s="60" t="s">
        <v>15</v>
      </c>
      <c r="C8" s="61"/>
      <c r="D8" s="61"/>
      <c r="E8" s="61"/>
      <c r="F8" s="61"/>
      <c r="G8" s="61"/>
      <c r="H8" s="61"/>
      <c r="I8" s="62" t="s">
        <v>3</v>
      </c>
      <c r="J8" s="62"/>
      <c r="K8" s="62"/>
      <c r="L8" s="62"/>
      <c r="M8" s="62"/>
      <c r="N8" s="62"/>
      <c r="O8" s="61" t="s">
        <v>16</v>
      </c>
      <c r="P8" s="61"/>
      <c r="Q8" s="61"/>
      <c r="R8" s="61"/>
      <c r="S8" s="61"/>
      <c r="T8" s="61"/>
      <c r="U8" s="61"/>
      <c r="V8" s="63" t="s">
        <v>17</v>
      </c>
      <c r="W8" s="63"/>
      <c r="X8" s="63"/>
      <c r="Y8" s="63"/>
      <c r="Z8" s="63"/>
      <c r="AA8" s="63"/>
      <c r="AB8" s="63" t="s">
        <v>18</v>
      </c>
      <c r="AC8" s="63"/>
      <c r="AD8" s="63"/>
      <c r="AE8" s="63"/>
      <c r="AF8" s="63"/>
      <c r="AG8" s="64"/>
      <c r="AH8" s="4"/>
    </row>
    <row r="9" spans="1:34" ht="19.5" customHeight="1">
      <c r="A9" s="2"/>
      <c r="B9" s="76" t="s">
        <v>19</v>
      </c>
      <c r="C9" s="77"/>
      <c r="D9" s="77"/>
      <c r="E9" s="77"/>
      <c r="F9" s="77"/>
      <c r="G9" s="77"/>
      <c r="H9" s="77"/>
      <c r="I9" s="78" t="s">
        <v>109</v>
      </c>
      <c r="J9" s="78"/>
      <c r="K9" s="78"/>
      <c r="L9" s="78"/>
      <c r="M9" s="78"/>
      <c r="N9" s="78"/>
      <c r="O9" s="78" t="s">
        <v>74</v>
      </c>
      <c r="P9" s="78"/>
      <c r="Q9" s="78"/>
      <c r="R9" s="78"/>
      <c r="S9" s="78"/>
      <c r="T9" s="78"/>
      <c r="U9" s="78"/>
      <c r="V9" s="78" t="s">
        <v>113</v>
      </c>
      <c r="W9" s="78"/>
      <c r="X9" s="78"/>
      <c r="Y9" s="78"/>
      <c r="Z9" s="78"/>
      <c r="AA9" s="78"/>
      <c r="AB9" s="79" t="s">
        <v>122</v>
      </c>
      <c r="AC9" s="79"/>
      <c r="AD9" s="79"/>
      <c r="AE9" s="79"/>
      <c r="AF9" s="79"/>
      <c r="AG9" s="80"/>
      <c r="AH9" s="4"/>
    </row>
    <row r="10" spans="1:34" ht="19.5" customHeight="1">
      <c r="A10" s="2"/>
      <c r="B10" s="81" t="s">
        <v>108</v>
      </c>
      <c r="C10" s="82"/>
      <c r="D10" s="82"/>
      <c r="E10" s="82"/>
      <c r="F10" s="82"/>
      <c r="G10" s="82"/>
      <c r="H10" s="82"/>
      <c r="I10" s="78" t="s">
        <v>92</v>
      </c>
      <c r="J10" s="78"/>
      <c r="K10" s="78"/>
      <c r="L10" s="78"/>
      <c r="M10" s="78"/>
      <c r="N10" s="78"/>
      <c r="O10" s="78" t="s">
        <v>74</v>
      </c>
      <c r="P10" s="78"/>
      <c r="Q10" s="78"/>
      <c r="R10" s="78"/>
      <c r="S10" s="78"/>
      <c r="T10" s="78"/>
      <c r="U10" s="78"/>
      <c r="V10" s="78" t="s">
        <v>93</v>
      </c>
      <c r="W10" s="78"/>
      <c r="X10" s="78"/>
      <c r="Y10" s="78"/>
      <c r="Z10" s="78"/>
      <c r="AA10" s="78"/>
      <c r="AB10" s="266" t="s">
        <v>91</v>
      </c>
      <c r="AC10" s="266"/>
      <c r="AD10" s="266"/>
      <c r="AE10" s="266"/>
      <c r="AF10" s="266"/>
      <c r="AG10" s="267"/>
      <c r="AH10" s="4"/>
    </row>
    <row r="11" spans="1:34" ht="19.5" customHeight="1" thickBot="1">
      <c r="A11" s="2"/>
      <c r="B11" s="94" t="s">
        <v>21</v>
      </c>
      <c r="C11" s="95"/>
      <c r="D11" s="95"/>
      <c r="E11" s="95"/>
      <c r="F11" s="95"/>
      <c r="G11" s="95"/>
      <c r="H11" s="95"/>
      <c r="I11" s="96" t="s">
        <v>92</v>
      </c>
      <c r="J11" s="96"/>
      <c r="K11" s="96"/>
      <c r="L11" s="96"/>
      <c r="M11" s="96"/>
      <c r="N11" s="96"/>
      <c r="O11" s="96" t="s">
        <v>74</v>
      </c>
      <c r="P11" s="96"/>
      <c r="Q11" s="96"/>
      <c r="R11" s="96"/>
      <c r="S11" s="96"/>
      <c r="T11" s="96"/>
      <c r="U11" s="96"/>
      <c r="V11" s="96" t="s">
        <v>93</v>
      </c>
      <c r="W11" s="96"/>
      <c r="X11" s="96"/>
      <c r="Y11" s="96"/>
      <c r="Z11" s="96"/>
      <c r="AA11" s="96"/>
      <c r="AB11" s="268" t="s">
        <v>91</v>
      </c>
      <c r="AC11" s="268"/>
      <c r="AD11" s="268"/>
      <c r="AE11" s="268"/>
      <c r="AF11" s="268"/>
      <c r="AG11" s="269"/>
      <c r="AH11" s="4"/>
    </row>
    <row r="12" spans="1:34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4"/>
    </row>
    <row r="13" spans="1:34" ht="21" customHeight="1">
      <c r="A13" s="2"/>
      <c r="B13" s="89" t="s">
        <v>22</v>
      </c>
      <c r="C13" s="89"/>
      <c r="D13" s="89"/>
      <c r="E13" s="89"/>
      <c r="F13" s="103" t="s">
        <v>3</v>
      </c>
      <c r="G13" s="89"/>
      <c r="H13" s="89"/>
      <c r="I13" s="89"/>
      <c r="J13" s="89"/>
      <c r="K13" s="89"/>
      <c r="L13" s="78" t="s">
        <v>112</v>
      </c>
      <c r="M13" s="78"/>
      <c r="N13" s="78"/>
      <c r="O13" s="78"/>
      <c r="P13" s="78"/>
      <c r="Q13" s="78"/>
      <c r="R13" s="78"/>
      <c r="S13" s="78"/>
      <c r="T13" s="89" t="s">
        <v>7</v>
      </c>
      <c r="U13" s="89"/>
      <c r="V13" s="89"/>
      <c r="W13" s="89"/>
      <c r="X13" s="89"/>
      <c r="Y13" s="89"/>
      <c r="Z13" s="78">
        <v>93310021</v>
      </c>
      <c r="AA13" s="78"/>
      <c r="AB13" s="78"/>
      <c r="AC13" s="78"/>
      <c r="AD13" s="78"/>
      <c r="AE13" s="78"/>
      <c r="AF13" s="78"/>
      <c r="AG13" s="78"/>
      <c r="AH13" s="4"/>
    </row>
    <row r="14" spans="1:34" ht="21" customHeight="1">
      <c r="A14" s="2"/>
      <c r="B14" s="89"/>
      <c r="C14" s="89"/>
      <c r="D14" s="89"/>
      <c r="E14" s="89"/>
      <c r="F14" s="85" t="s">
        <v>5</v>
      </c>
      <c r="G14" s="85"/>
      <c r="H14" s="85"/>
      <c r="I14" s="85"/>
      <c r="J14" s="85"/>
      <c r="K14" s="85"/>
      <c r="L14" s="86" t="s">
        <v>75</v>
      </c>
      <c r="M14" s="87"/>
      <c r="N14" s="87"/>
      <c r="O14" s="87"/>
      <c r="P14" s="87"/>
      <c r="Q14" s="87"/>
      <c r="R14" s="87"/>
      <c r="S14" s="88"/>
      <c r="T14" s="89" t="s">
        <v>6</v>
      </c>
      <c r="U14" s="89"/>
      <c r="V14" s="89"/>
      <c r="W14" s="89"/>
      <c r="X14" s="89"/>
      <c r="Y14" s="89"/>
      <c r="Z14" s="90">
        <v>43008</v>
      </c>
      <c r="AA14" s="90"/>
      <c r="AB14" s="90"/>
      <c r="AC14" s="90"/>
      <c r="AD14" s="90"/>
      <c r="AE14" s="90"/>
      <c r="AF14" s="90"/>
      <c r="AG14" s="90"/>
      <c r="AH14" s="4"/>
    </row>
    <row r="15" spans="1:34" ht="17.25" customHeight="1">
      <c r="A15" s="2"/>
      <c r="B15" s="89" t="s">
        <v>23</v>
      </c>
      <c r="C15" s="89"/>
      <c r="D15" s="89"/>
      <c r="E15" s="89"/>
      <c r="F15" s="89"/>
      <c r="G15" s="89"/>
      <c r="H15" s="89"/>
      <c r="I15" s="89"/>
      <c r="J15" s="89"/>
      <c r="K15" s="89"/>
      <c r="L15" s="91">
        <v>15170</v>
      </c>
      <c r="M15" s="92"/>
      <c r="N15" s="92"/>
      <c r="O15" s="92"/>
      <c r="P15" s="92"/>
      <c r="Q15" s="92"/>
      <c r="R15" s="92"/>
      <c r="S15" s="93"/>
      <c r="T15" s="5"/>
      <c r="U15" s="5"/>
      <c r="V15" s="5"/>
      <c r="W15" s="5"/>
      <c r="X15" s="5"/>
      <c r="Y15" s="5"/>
      <c r="Z15" s="6"/>
      <c r="AA15" s="6"/>
      <c r="AB15" s="6"/>
      <c r="AC15" s="6"/>
      <c r="AD15" s="6"/>
      <c r="AE15" s="6"/>
      <c r="AF15" s="6"/>
      <c r="AG15" s="6"/>
      <c r="AH15" s="4"/>
    </row>
    <row r="16" spans="1:34" ht="5.25" customHeight="1">
      <c r="A16" s="2"/>
      <c r="B16" s="5"/>
      <c r="C16" s="5"/>
      <c r="D16" s="5"/>
      <c r="E16" s="5"/>
      <c r="F16" s="5"/>
      <c r="G16" s="5"/>
      <c r="H16" s="5"/>
      <c r="I16" s="5"/>
      <c r="J16" s="5"/>
      <c r="K16" s="5"/>
      <c r="L16" s="3"/>
      <c r="M16" s="3"/>
      <c r="N16" s="3"/>
      <c r="O16" s="3"/>
      <c r="P16" s="3"/>
      <c r="Q16" s="3"/>
      <c r="R16" s="3"/>
      <c r="S16" s="3"/>
      <c r="T16" s="5"/>
      <c r="U16" s="5"/>
      <c r="V16" s="5"/>
      <c r="W16" s="5"/>
      <c r="X16" s="5"/>
      <c r="Y16" s="5"/>
      <c r="Z16" s="3"/>
      <c r="AA16" s="3"/>
      <c r="AB16" s="3"/>
      <c r="AC16" s="3"/>
      <c r="AD16" s="3"/>
      <c r="AE16" s="3"/>
      <c r="AF16" s="3"/>
      <c r="AG16" s="3"/>
      <c r="AH16" s="4"/>
    </row>
    <row r="17" spans="1:34">
      <c r="A17" s="2"/>
      <c r="B17" s="7" t="s">
        <v>24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4"/>
    </row>
    <row r="18" spans="1:34" ht="7.5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4"/>
    </row>
    <row r="19" spans="1:34" ht="15" customHeight="1">
      <c r="A19" s="2"/>
      <c r="B19" s="118" t="s">
        <v>10</v>
      </c>
      <c r="C19" s="119"/>
      <c r="D19" s="119"/>
      <c r="E19" s="119"/>
      <c r="F19" s="119"/>
      <c r="G19" s="119"/>
      <c r="H19" s="119"/>
      <c r="I19" s="119"/>
      <c r="J19" s="119"/>
      <c r="K19" s="120"/>
      <c r="L19" s="89" t="s">
        <v>90</v>
      </c>
      <c r="M19" s="89"/>
      <c r="N19" s="89"/>
      <c r="O19" s="89"/>
      <c r="P19" s="89"/>
      <c r="Q19" s="89"/>
      <c r="R19" s="89"/>
      <c r="S19" s="89"/>
      <c r="T19" s="89"/>
      <c r="U19" s="89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4"/>
    </row>
    <row r="20" spans="1:34" ht="15" customHeight="1">
      <c r="A20" s="2"/>
      <c r="B20" s="121" t="s">
        <v>25</v>
      </c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3"/>
      <c r="V20" s="124" t="s">
        <v>26</v>
      </c>
      <c r="W20" s="125"/>
      <c r="X20" s="125"/>
      <c r="Y20" s="125"/>
      <c r="Z20" s="125"/>
      <c r="AA20" s="125"/>
      <c r="AB20" s="125"/>
      <c r="AC20" s="125"/>
      <c r="AD20" s="125"/>
      <c r="AE20" s="126"/>
      <c r="AF20" s="3"/>
      <c r="AG20" s="3"/>
      <c r="AH20" s="4"/>
    </row>
    <row r="21" spans="1:34" ht="15" customHeight="1">
      <c r="A21" s="2"/>
      <c r="B21" s="130" t="s">
        <v>27</v>
      </c>
      <c r="C21" s="131"/>
      <c r="D21" s="131"/>
      <c r="E21" s="131"/>
      <c r="F21" s="131"/>
      <c r="G21" s="131"/>
      <c r="H21" s="131"/>
      <c r="I21" s="131"/>
      <c r="J21" s="131"/>
      <c r="K21" s="131"/>
      <c r="L21" s="131" t="s">
        <v>28</v>
      </c>
      <c r="M21" s="131"/>
      <c r="N21" s="131"/>
      <c r="O21" s="131"/>
      <c r="P21" s="131"/>
      <c r="Q21" s="131"/>
      <c r="R21" s="131"/>
      <c r="S21" s="131"/>
      <c r="T21" s="131"/>
      <c r="U21" s="132"/>
      <c r="V21" s="127"/>
      <c r="W21" s="128"/>
      <c r="X21" s="128"/>
      <c r="Y21" s="128"/>
      <c r="Z21" s="128"/>
      <c r="AA21" s="128"/>
      <c r="AB21" s="128"/>
      <c r="AC21" s="128"/>
      <c r="AD21" s="128"/>
      <c r="AE21" s="129"/>
      <c r="AF21" s="3"/>
      <c r="AG21" s="3"/>
      <c r="AH21" s="4"/>
    </row>
    <row r="22" spans="1:34">
      <c r="A22" s="2"/>
      <c r="B22" s="104" t="s">
        <v>29</v>
      </c>
      <c r="C22" s="105"/>
      <c r="D22" s="105"/>
      <c r="E22" s="105"/>
      <c r="F22" s="105"/>
      <c r="G22" s="105"/>
      <c r="H22" s="105"/>
      <c r="I22" s="105"/>
      <c r="J22" s="105"/>
      <c r="K22" s="105"/>
      <c r="L22" s="105" t="s">
        <v>30</v>
      </c>
      <c r="M22" s="105"/>
      <c r="N22" s="105"/>
      <c r="O22" s="105"/>
      <c r="P22" s="105"/>
      <c r="Q22" s="105"/>
      <c r="R22" s="105"/>
      <c r="S22" s="105"/>
      <c r="T22" s="105"/>
      <c r="U22" s="106"/>
      <c r="V22" s="107" t="s">
        <v>31</v>
      </c>
      <c r="W22" s="108"/>
      <c r="X22" s="108"/>
      <c r="Y22" s="108"/>
      <c r="Z22" s="108"/>
      <c r="AA22" s="108"/>
      <c r="AB22" s="108"/>
      <c r="AC22" s="108"/>
      <c r="AD22" s="108"/>
      <c r="AE22" s="109"/>
      <c r="AF22" s="3"/>
      <c r="AG22" s="3"/>
      <c r="AH22" s="4"/>
    </row>
    <row r="23" spans="1:34" ht="21" customHeight="1">
      <c r="A23" s="2"/>
      <c r="B23" s="270">
        <v>1000</v>
      </c>
      <c r="C23" s="271"/>
      <c r="D23" s="271"/>
      <c r="E23" s="271"/>
      <c r="F23" s="271"/>
      <c r="G23" s="271"/>
      <c r="H23" s="271"/>
      <c r="I23" s="271"/>
      <c r="J23" s="271"/>
      <c r="K23" s="271"/>
      <c r="L23" s="271">
        <v>1001.3</v>
      </c>
      <c r="M23" s="271"/>
      <c r="N23" s="271"/>
      <c r="O23" s="271"/>
      <c r="P23" s="271"/>
      <c r="Q23" s="271"/>
      <c r="R23" s="271"/>
      <c r="S23" s="271"/>
      <c r="T23" s="271"/>
      <c r="U23" s="272"/>
      <c r="V23" s="114">
        <f>B23/L23*100</f>
        <v>99.870168780585246</v>
      </c>
      <c r="W23" s="115"/>
      <c r="X23" s="115"/>
      <c r="Y23" s="115"/>
      <c r="Z23" s="115"/>
      <c r="AA23" s="115"/>
      <c r="AB23" s="115"/>
      <c r="AC23" s="115"/>
      <c r="AD23" s="116" t="s">
        <v>32</v>
      </c>
      <c r="AE23" s="117"/>
      <c r="AF23" s="3"/>
      <c r="AG23" s="3"/>
      <c r="AH23" s="4"/>
    </row>
    <row r="24" spans="1:34" ht="7.5" customHeight="1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4"/>
    </row>
    <row r="25" spans="1:34" ht="15" customHeight="1">
      <c r="A25" s="2"/>
      <c r="B25" s="118" t="s">
        <v>10</v>
      </c>
      <c r="C25" s="119"/>
      <c r="D25" s="119"/>
      <c r="E25" s="119"/>
      <c r="F25" s="119"/>
      <c r="G25" s="119"/>
      <c r="H25" s="119"/>
      <c r="I25" s="119"/>
      <c r="J25" s="119"/>
      <c r="K25" s="120"/>
      <c r="L25" s="89" t="s">
        <v>81</v>
      </c>
      <c r="M25" s="89"/>
      <c r="N25" s="89"/>
      <c r="O25" s="89"/>
      <c r="P25" s="89"/>
      <c r="Q25" s="89"/>
      <c r="R25" s="89"/>
      <c r="S25" s="89"/>
      <c r="T25" s="89"/>
      <c r="U25" s="89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4"/>
    </row>
    <row r="26" spans="1:34" ht="15" customHeight="1">
      <c r="A26" s="2"/>
      <c r="B26" s="138" t="s">
        <v>25</v>
      </c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3"/>
      <c r="V26" s="124" t="s">
        <v>26</v>
      </c>
      <c r="W26" s="125"/>
      <c r="X26" s="125"/>
      <c r="Y26" s="125"/>
      <c r="Z26" s="125"/>
      <c r="AA26" s="125"/>
      <c r="AB26" s="125"/>
      <c r="AC26" s="125"/>
      <c r="AD26" s="125"/>
      <c r="AE26" s="126"/>
      <c r="AF26" s="3"/>
      <c r="AG26" s="3"/>
      <c r="AH26" s="4"/>
    </row>
    <row r="27" spans="1:34" ht="15" customHeight="1">
      <c r="A27" s="2"/>
      <c r="B27" s="130" t="s">
        <v>34</v>
      </c>
      <c r="C27" s="131"/>
      <c r="D27" s="131"/>
      <c r="E27" s="131"/>
      <c r="F27" s="131"/>
      <c r="G27" s="131"/>
      <c r="H27" s="131"/>
      <c r="I27" s="131"/>
      <c r="J27" s="131"/>
      <c r="K27" s="131"/>
      <c r="L27" s="131" t="s">
        <v>35</v>
      </c>
      <c r="M27" s="131"/>
      <c r="N27" s="131"/>
      <c r="O27" s="131"/>
      <c r="P27" s="131"/>
      <c r="Q27" s="131"/>
      <c r="R27" s="131"/>
      <c r="S27" s="131"/>
      <c r="T27" s="131"/>
      <c r="U27" s="132"/>
      <c r="V27" s="127"/>
      <c r="W27" s="128"/>
      <c r="X27" s="128"/>
      <c r="Y27" s="128"/>
      <c r="Z27" s="128"/>
      <c r="AA27" s="128"/>
      <c r="AB27" s="128"/>
      <c r="AC27" s="128"/>
      <c r="AD27" s="128"/>
      <c r="AE27" s="129"/>
      <c r="AF27" s="3"/>
      <c r="AG27" s="3"/>
      <c r="AH27" s="4"/>
    </row>
    <row r="28" spans="1:34" ht="15" customHeight="1">
      <c r="A28" s="2"/>
      <c r="B28" s="104" t="s">
        <v>29</v>
      </c>
      <c r="C28" s="105"/>
      <c r="D28" s="105"/>
      <c r="E28" s="105"/>
      <c r="F28" s="105"/>
      <c r="G28" s="105"/>
      <c r="H28" s="105"/>
      <c r="I28" s="105"/>
      <c r="J28" s="105"/>
      <c r="K28" s="105"/>
      <c r="L28" s="105" t="s">
        <v>30</v>
      </c>
      <c r="M28" s="105"/>
      <c r="N28" s="105"/>
      <c r="O28" s="105"/>
      <c r="P28" s="105"/>
      <c r="Q28" s="105"/>
      <c r="R28" s="105"/>
      <c r="S28" s="105"/>
      <c r="T28" s="105"/>
      <c r="U28" s="106"/>
      <c r="V28" s="107" t="s">
        <v>31</v>
      </c>
      <c r="W28" s="108"/>
      <c r="X28" s="108"/>
      <c r="Y28" s="108"/>
      <c r="Z28" s="108"/>
      <c r="AA28" s="108"/>
      <c r="AB28" s="108"/>
      <c r="AC28" s="108"/>
      <c r="AD28" s="108"/>
      <c r="AE28" s="109"/>
      <c r="AF28" s="3"/>
      <c r="AG28" s="3"/>
      <c r="AH28" s="4"/>
    </row>
    <row r="29" spans="1:34" ht="21" customHeight="1">
      <c r="A29" s="2"/>
      <c r="B29" s="192"/>
      <c r="C29" s="193"/>
      <c r="D29" s="193"/>
      <c r="E29" s="193"/>
      <c r="F29" s="193"/>
      <c r="G29" s="193"/>
      <c r="H29" s="193"/>
      <c r="I29" s="193"/>
      <c r="J29" s="193"/>
      <c r="K29" s="193"/>
      <c r="L29" s="112"/>
      <c r="M29" s="112"/>
      <c r="N29" s="112"/>
      <c r="O29" s="112"/>
      <c r="P29" s="112"/>
      <c r="Q29" s="112"/>
      <c r="R29" s="112"/>
      <c r="S29" s="112"/>
      <c r="T29" s="112"/>
      <c r="U29" s="113"/>
      <c r="V29" s="114"/>
      <c r="W29" s="115"/>
      <c r="X29" s="115"/>
      <c r="Y29" s="115"/>
      <c r="Z29" s="115"/>
      <c r="AA29" s="115"/>
      <c r="AB29" s="115"/>
      <c r="AC29" s="115"/>
      <c r="AD29" s="116"/>
      <c r="AE29" s="117"/>
      <c r="AF29" s="3"/>
      <c r="AG29" s="3"/>
      <c r="AH29" s="4"/>
    </row>
    <row r="30" spans="1:34" ht="7.5" customHeight="1">
      <c r="A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4"/>
    </row>
    <row r="31" spans="1:34" ht="21" customHeight="1">
      <c r="A31" s="2"/>
      <c r="B31" s="136" t="s">
        <v>36</v>
      </c>
      <c r="C31" s="137"/>
      <c r="D31" s="137"/>
      <c r="E31" s="137"/>
      <c r="F31" s="103"/>
      <c r="G31" s="8"/>
      <c r="H31" s="137" t="s">
        <v>37</v>
      </c>
      <c r="I31" s="137"/>
      <c r="J31" s="137"/>
      <c r="K31" s="137"/>
      <c r="L31" s="137" t="s">
        <v>38</v>
      </c>
      <c r="M31" s="137"/>
      <c r="N31" s="137"/>
      <c r="O31" s="137"/>
      <c r="P31" s="9"/>
      <c r="Q31" s="118" t="s">
        <v>39</v>
      </c>
      <c r="R31" s="119"/>
      <c r="S31" s="119"/>
      <c r="T31" s="119"/>
      <c r="U31" s="120"/>
      <c r="V31" s="136" t="s">
        <v>40</v>
      </c>
      <c r="W31" s="137"/>
      <c r="X31" s="137"/>
      <c r="Y31" s="137"/>
      <c r="Z31" s="137"/>
      <c r="AA31" s="137"/>
      <c r="AB31" s="137"/>
      <c r="AC31" s="137"/>
      <c r="AD31" s="137"/>
      <c r="AE31" s="103"/>
      <c r="AF31" s="3"/>
      <c r="AG31" s="3"/>
      <c r="AH31" s="4"/>
    </row>
    <row r="32" spans="1:34">
      <c r="A32" s="2"/>
      <c r="C32" s="148" t="s">
        <v>41</v>
      </c>
      <c r="D32" s="148"/>
      <c r="E32" s="148"/>
      <c r="F32" s="148"/>
      <c r="G32" s="10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4"/>
    </row>
    <row r="33" spans="1:34">
      <c r="A33" s="2"/>
      <c r="C33" s="149"/>
      <c r="D33" s="149"/>
      <c r="E33" s="149"/>
      <c r="F33" s="149"/>
      <c r="G33" s="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4"/>
    </row>
    <row r="34" spans="1:34" ht="11.25" customHeight="1">
      <c r="A34" s="2"/>
      <c r="B34" s="3"/>
      <c r="C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4"/>
    </row>
    <row r="35" spans="1:34">
      <c r="A35" s="2"/>
      <c r="B35" s="11" t="s">
        <v>42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4"/>
    </row>
    <row r="36" spans="1:34" ht="7.5" customHeight="1">
      <c r="A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4"/>
    </row>
    <row r="37" spans="1:34" ht="15" customHeight="1">
      <c r="A37" s="2"/>
      <c r="B37" s="138" t="s">
        <v>43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3"/>
      <c r="V37" s="139" t="s">
        <v>44</v>
      </c>
      <c r="W37" s="140"/>
      <c r="X37" s="140"/>
      <c r="Y37" s="140"/>
      <c r="Z37" s="140"/>
      <c r="AA37" s="140"/>
      <c r="AB37" s="140"/>
      <c r="AC37" s="140"/>
      <c r="AD37" s="140"/>
      <c r="AE37" s="141"/>
      <c r="AF37" s="3"/>
      <c r="AG37" s="3"/>
      <c r="AH37" s="4"/>
    </row>
    <row r="38" spans="1:34" ht="15" customHeight="1">
      <c r="A38" s="2"/>
      <c r="B38" s="130" t="s">
        <v>18</v>
      </c>
      <c r="C38" s="131"/>
      <c r="D38" s="131"/>
      <c r="E38" s="131"/>
      <c r="F38" s="131"/>
      <c r="G38" s="131"/>
      <c r="H38" s="131"/>
      <c r="I38" s="131"/>
      <c r="J38" s="131"/>
      <c r="K38" s="131"/>
      <c r="L38" s="131" t="s">
        <v>45</v>
      </c>
      <c r="M38" s="131"/>
      <c r="N38" s="131"/>
      <c r="O38" s="131"/>
      <c r="P38" s="131"/>
      <c r="Q38" s="131"/>
      <c r="R38" s="131"/>
      <c r="S38" s="131"/>
      <c r="T38" s="131"/>
      <c r="U38" s="132"/>
      <c r="V38" s="142"/>
      <c r="W38" s="143"/>
      <c r="X38" s="143"/>
      <c r="Y38" s="143"/>
      <c r="Z38" s="143"/>
      <c r="AA38" s="143"/>
      <c r="AB38" s="143"/>
      <c r="AC38" s="143"/>
      <c r="AD38" s="143"/>
      <c r="AE38" s="144"/>
      <c r="AF38" s="3"/>
      <c r="AG38" s="3"/>
      <c r="AH38" s="4"/>
    </row>
    <row r="39" spans="1:34" ht="15" customHeight="1">
      <c r="A39" s="2"/>
      <c r="B39" s="145" t="s">
        <v>46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 t="s">
        <v>47</v>
      </c>
      <c r="M39" s="146"/>
      <c r="N39" s="146"/>
      <c r="O39" s="146"/>
      <c r="P39" s="146"/>
      <c r="Q39" s="146"/>
      <c r="R39" s="146"/>
      <c r="S39" s="146"/>
      <c r="T39" s="146"/>
      <c r="U39" s="147"/>
      <c r="V39" s="145" t="s">
        <v>31</v>
      </c>
      <c r="W39" s="146"/>
      <c r="X39" s="146"/>
      <c r="Y39" s="146"/>
      <c r="Z39" s="146"/>
      <c r="AA39" s="146"/>
      <c r="AB39" s="146"/>
      <c r="AC39" s="146"/>
      <c r="AD39" s="146"/>
      <c r="AE39" s="147"/>
      <c r="AF39" s="3"/>
      <c r="AG39" s="3"/>
      <c r="AH39" s="4"/>
    </row>
    <row r="40" spans="1:34" ht="21" customHeight="1">
      <c r="A40" s="2"/>
      <c r="B40" s="110">
        <v>963.8</v>
      </c>
      <c r="C40" s="111"/>
      <c r="D40" s="111"/>
      <c r="E40" s="111"/>
      <c r="F40" s="111"/>
      <c r="G40" s="111"/>
      <c r="H40" s="111"/>
      <c r="I40" s="111"/>
      <c r="J40" s="111"/>
      <c r="K40" s="111"/>
      <c r="L40" s="273">
        <v>963</v>
      </c>
      <c r="M40" s="273"/>
      <c r="N40" s="273"/>
      <c r="O40" s="273"/>
      <c r="P40" s="273"/>
      <c r="Q40" s="273"/>
      <c r="R40" s="273"/>
      <c r="S40" s="273"/>
      <c r="T40" s="273"/>
      <c r="U40" s="274"/>
      <c r="V40" s="192">
        <f>100*(L40-B40)/Z5</f>
        <v>-7.999999999999545E-2</v>
      </c>
      <c r="W40" s="193"/>
      <c r="X40" s="193"/>
      <c r="Y40" s="193"/>
      <c r="Z40" s="193"/>
      <c r="AA40" s="193"/>
      <c r="AB40" s="193"/>
      <c r="AC40" s="194"/>
      <c r="AD40" s="195" t="s">
        <v>32</v>
      </c>
      <c r="AE40" s="196"/>
      <c r="AF40" s="3"/>
      <c r="AG40" s="3"/>
      <c r="AH40" s="4"/>
    </row>
    <row r="41" spans="1:34" ht="21" customHeight="1">
      <c r="A41" s="2"/>
      <c r="B41" s="136" t="s">
        <v>36</v>
      </c>
      <c r="C41" s="137"/>
      <c r="D41" s="137"/>
      <c r="E41" s="137"/>
      <c r="F41" s="103"/>
      <c r="G41" s="8"/>
      <c r="H41" s="137" t="s">
        <v>37</v>
      </c>
      <c r="I41" s="137"/>
      <c r="J41" s="137"/>
      <c r="K41" s="137"/>
      <c r="L41" s="137" t="s">
        <v>38</v>
      </c>
      <c r="M41" s="137"/>
      <c r="N41" s="137"/>
      <c r="O41" s="137"/>
      <c r="P41" s="9"/>
      <c r="Q41" s="118" t="s">
        <v>39</v>
      </c>
      <c r="R41" s="119"/>
      <c r="S41" s="119"/>
      <c r="T41" s="119"/>
      <c r="U41" s="120"/>
      <c r="V41" s="136" t="s">
        <v>48</v>
      </c>
      <c r="W41" s="137"/>
      <c r="X41" s="137"/>
      <c r="Y41" s="137"/>
      <c r="Z41" s="137"/>
      <c r="AA41" s="137"/>
      <c r="AB41" s="137"/>
      <c r="AC41" s="137"/>
      <c r="AD41" s="137"/>
      <c r="AE41" s="103"/>
      <c r="AF41" s="3"/>
      <c r="AG41" s="3"/>
      <c r="AH41" s="4"/>
    </row>
    <row r="42" spans="1:34">
      <c r="A42" s="2"/>
      <c r="B42" s="150" t="s">
        <v>41</v>
      </c>
      <c r="C42" s="150"/>
      <c r="D42" s="150"/>
      <c r="E42" s="150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4"/>
    </row>
    <row r="43" spans="1:34" ht="15.75" thickBot="1">
      <c r="A43" s="2"/>
      <c r="B43" s="150"/>
      <c r="C43" s="150"/>
      <c r="D43" s="150"/>
      <c r="E43" s="150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4"/>
    </row>
    <row r="44" spans="1:34" ht="10.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151" t="s">
        <v>49</v>
      </c>
      <c r="Z44" s="152"/>
      <c r="AA44" s="152"/>
      <c r="AB44" s="152"/>
      <c r="AC44" s="153"/>
      <c r="AD44" s="157" t="s">
        <v>50</v>
      </c>
      <c r="AE44" s="157"/>
      <c r="AF44" s="157"/>
      <c r="AG44" s="157"/>
      <c r="AH44" s="158"/>
    </row>
    <row r="45" spans="1:34" ht="15.75" thickBot="1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154"/>
      <c r="Z45" s="155"/>
      <c r="AA45" s="155"/>
      <c r="AB45" s="155"/>
      <c r="AC45" s="156"/>
      <c r="AD45" s="159"/>
      <c r="AE45" s="159"/>
      <c r="AF45" s="159"/>
      <c r="AG45" s="159"/>
      <c r="AH45" s="160"/>
    </row>
    <row r="46" spans="1:34" ht="15" customHeight="1">
      <c r="A46" s="2"/>
      <c r="B46" s="161" t="s">
        <v>51</v>
      </c>
      <c r="C46" s="162"/>
      <c r="D46" s="162"/>
      <c r="E46" s="162"/>
      <c r="F46" s="162"/>
      <c r="G46" s="163"/>
      <c r="H46" s="170" t="s">
        <v>37</v>
      </c>
      <c r="I46" s="171"/>
      <c r="J46" s="171"/>
      <c r="K46" s="171"/>
      <c r="L46" s="171"/>
      <c r="M46" s="172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176"/>
      <c r="Z46" s="177"/>
      <c r="AA46" s="177"/>
      <c r="AB46" s="177"/>
      <c r="AC46" s="178"/>
      <c r="AD46" s="183"/>
      <c r="AE46" s="184"/>
      <c r="AF46" s="184"/>
      <c r="AG46" s="184"/>
      <c r="AH46" s="185"/>
    </row>
    <row r="47" spans="1:34" ht="15" customHeight="1">
      <c r="A47" s="2"/>
      <c r="B47" s="164"/>
      <c r="C47" s="165"/>
      <c r="D47" s="165"/>
      <c r="E47" s="165"/>
      <c r="F47" s="165"/>
      <c r="G47" s="166"/>
      <c r="H47" s="173"/>
      <c r="I47" s="174"/>
      <c r="J47" s="174"/>
      <c r="K47" s="174"/>
      <c r="L47" s="174"/>
      <c r="M47" s="175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179"/>
      <c r="Z47" s="177"/>
      <c r="AA47" s="177"/>
      <c r="AB47" s="177"/>
      <c r="AC47" s="178"/>
      <c r="AD47" s="184"/>
      <c r="AE47" s="184"/>
      <c r="AF47" s="184"/>
      <c r="AG47" s="184"/>
      <c r="AH47" s="185"/>
    </row>
    <row r="48" spans="1:34" ht="15" customHeight="1">
      <c r="A48" s="2"/>
      <c r="B48" s="164"/>
      <c r="C48" s="165"/>
      <c r="D48" s="165"/>
      <c r="E48" s="165"/>
      <c r="F48" s="165"/>
      <c r="G48" s="166"/>
      <c r="H48" s="173" t="s">
        <v>38</v>
      </c>
      <c r="I48" s="174"/>
      <c r="J48" s="174"/>
      <c r="K48" s="174"/>
      <c r="L48" s="174"/>
      <c r="M48" s="175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179"/>
      <c r="Z48" s="177"/>
      <c r="AA48" s="177"/>
      <c r="AB48" s="177"/>
      <c r="AC48" s="178"/>
      <c r="AD48" s="184"/>
      <c r="AE48" s="184"/>
      <c r="AF48" s="184"/>
      <c r="AG48" s="184"/>
      <c r="AH48" s="185"/>
    </row>
    <row r="49" spans="1:34" ht="15" customHeight="1" thickBot="1">
      <c r="A49" s="2"/>
      <c r="B49" s="167"/>
      <c r="C49" s="168"/>
      <c r="D49" s="168"/>
      <c r="E49" s="168"/>
      <c r="F49" s="168"/>
      <c r="G49" s="169"/>
      <c r="H49" s="188"/>
      <c r="I49" s="189"/>
      <c r="J49" s="189"/>
      <c r="K49" s="189"/>
      <c r="L49" s="189"/>
      <c r="M49" s="190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179"/>
      <c r="Z49" s="177"/>
      <c r="AA49" s="177"/>
      <c r="AB49" s="177"/>
      <c r="AC49" s="178"/>
      <c r="AD49" s="184"/>
      <c r="AE49" s="184"/>
      <c r="AF49" s="184"/>
      <c r="AG49" s="184"/>
      <c r="AH49" s="185"/>
    </row>
    <row r="50" spans="1:34" ht="10.5" customHeight="1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180"/>
      <c r="Z50" s="181"/>
      <c r="AA50" s="181"/>
      <c r="AB50" s="181"/>
      <c r="AC50" s="182"/>
      <c r="AD50" s="186"/>
      <c r="AE50" s="186"/>
      <c r="AF50" s="186"/>
      <c r="AG50" s="186"/>
      <c r="AH50" s="187"/>
    </row>
    <row r="51" spans="1:34" s="13" customFormat="1" ht="22.5" customHeight="1" thickBot="1">
      <c r="A51" s="199" t="s">
        <v>76</v>
      </c>
      <c r="B51" s="200"/>
      <c r="C51" s="200"/>
      <c r="D51" s="200"/>
      <c r="E51" s="200" t="s">
        <v>52</v>
      </c>
      <c r="F51" s="200"/>
      <c r="G51" s="200"/>
      <c r="H51" s="200"/>
      <c r="I51" s="201"/>
      <c r="J51" s="202" t="s">
        <v>77</v>
      </c>
      <c r="K51" s="200"/>
      <c r="L51" s="200"/>
      <c r="M51" s="200"/>
      <c r="N51" s="200" t="s">
        <v>78</v>
      </c>
      <c r="O51" s="200"/>
      <c r="P51" s="200"/>
      <c r="Q51" s="201"/>
      <c r="R51" s="203"/>
      <c r="S51" s="204"/>
      <c r="T51" s="204"/>
      <c r="U51" s="204"/>
      <c r="V51" s="204"/>
      <c r="W51" s="204"/>
      <c r="X51" s="205"/>
      <c r="Y51" s="202" t="s">
        <v>79</v>
      </c>
      <c r="Z51" s="200"/>
      <c r="AA51" s="200"/>
      <c r="AB51" s="200"/>
      <c r="AC51" s="200"/>
      <c r="AD51" s="197">
        <v>41883</v>
      </c>
      <c r="AE51" s="197"/>
      <c r="AF51" s="197"/>
      <c r="AG51" s="197"/>
      <c r="AH51" s="198"/>
    </row>
    <row r="53" spans="1:34" ht="15.75" thickBot="1"/>
    <row r="54" spans="1:34" ht="27" customHeight="1">
      <c r="A54" s="45" t="s">
        <v>53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7"/>
      <c r="AD54" s="48" t="s">
        <v>54</v>
      </c>
      <c r="AE54" s="49"/>
      <c r="AF54" s="49"/>
      <c r="AG54" s="50" t="s">
        <v>2</v>
      </c>
      <c r="AH54" s="51"/>
    </row>
    <row r="55" spans="1:34" ht="19.5" customHeight="1">
      <c r="A55" s="52" t="s">
        <v>3</v>
      </c>
      <c r="B55" s="53"/>
      <c r="C55" s="53"/>
      <c r="D55" s="53"/>
      <c r="E55" s="53"/>
      <c r="F55" s="53"/>
      <c r="G55" s="54" t="s">
        <v>85</v>
      </c>
      <c r="H55" s="55"/>
      <c r="I55" s="55"/>
      <c r="J55" s="55"/>
      <c r="K55" s="55"/>
      <c r="L55" s="55"/>
      <c r="M55" s="55"/>
      <c r="N55" s="55"/>
      <c r="O55" s="55"/>
      <c r="P55" s="55"/>
      <c r="Q55" s="56"/>
      <c r="R55" s="28" t="s">
        <v>4</v>
      </c>
      <c r="S55" s="29"/>
      <c r="T55" s="29"/>
      <c r="U55" s="29"/>
      <c r="V55" s="29"/>
      <c r="W55" s="30"/>
      <c r="X55" s="31">
        <f>X2</f>
        <v>42886</v>
      </c>
      <c r="Y55" s="32"/>
      <c r="Z55" s="32"/>
      <c r="AA55" s="32"/>
      <c r="AB55" s="32"/>
      <c r="AC55" s="32"/>
      <c r="AD55" s="32"/>
      <c r="AE55" s="32"/>
      <c r="AF55" s="32"/>
      <c r="AG55" s="32"/>
      <c r="AH55" s="33"/>
    </row>
    <row r="56" spans="1:34" ht="19.5" customHeight="1">
      <c r="A56" s="34" t="s">
        <v>55</v>
      </c>
      <c r="B56" s="35"/>
      <c r="C56" s="35"/>
      <c r="D56" s="35"/>
      <c r="E56" s="35"/>
      <c r="F56" s="35"/>
      <c r="G56" s="25" t="s">
        <v>83</v>
      </c>
      <c r="H56" s="26"/>
      <c r="I56" s="26"/>
      <c r="J56" s="26"/>
      <c r="K56" s="26"/>
      <c r="L56" s="26"/>
      <c r="M56" s="26"/>
      <c r="N56" s="26"/>
      <c r="O56" s="26"/>
      <c r="P56" s="26"/>
      <c r="Q56" s="27"/>
      <c r="R56" s="28" t="s">
        <v>6</v>
      </c>
      <c r="S56" s="29"/>
      <c r="T56" s="29"/>
      <c r="U56" s="29"/>
      <c r="V56" s="29"/>
      <c r="W56" s="30"/>
      <c r="X56" s="31">
        <f>X3</f>
        <v>43251</v>
      </c>
      <c r="Y56" s="32"/>
      <c r="Z56" s="32"/>
      <c r="AA56" s="32"/>
      <c r="AB56" s="32"/>
      <c r="AC56" s="32"/>
      <c r="AD56" s="32"/>
      <c r="AE56" s="32"/>
      <c r="AF56" s="32"/>
      <c r="AG56" s="32"/>
      <c r="AH56" s="33"/>
    </row>
    <row r="57" spans="1:34" ht="19.5" customHeight="1">
      <c r="A57" s="34" t="s">
        <v>7</v>
      </c>
      <c r="B57" s="35"/>
      <c r="C57" s="35"/>
      <c r="D57" s="35"/>
      <c r="E57" s="35"/>
      <c r="F57" s="35"/>
      <c r="G57" s="36" t="s">
        <v>84</v>
      </c>
      <c r="H57" s="37"/>
      <c r="I57" s="37"/>
      <c r="J57" s="37"/>
      <c r="K57" s="37"/>
      <c r="L57" s="37"/>
      <c r="M57" s="37"/>
      <c r="N57" s="37"/>
      <c r="O57" s="37"/>
      <c r="P57" s="37"/>
      <c r="Q57" s="38"/>
      <c r="R57" s="39" t="s">
        <v>8</v>
      </c>
      <c r="S57" s="40"/>
      <c r="T57" s="40"/>
      <c r="U57" s="40"/>
      <c r="V57" s="40"/>
      <c r="W57" s="41"/>
      <c r="X57" s="42" t="s">
        <v>9</v>
      </c>
      <c r="Y57" s="43"/>
      <c r="Z57" s="43"/>
      <c r="AA57" s="43"/>
      <c r="AB57" s="43"/>
      <c r="AC57" s="43"/>
      <c r="AD57" s="43"/>
      <c r="AE57" s="43"/>
      <c r="AF57" s="43"/>
      <c r="AG57" s="43"/>
      <c r="AH57" s="44"/>
    </row>
    <row r="58" spans="1:34" ht="19.5" customHeight="1">
      <c r="A58" s="65" t="s">
        <v>10</v>
      </c>
      <c r="B58" s="66"/>
      <c r="C58" s="66"/>
      <c r="D58" s="66"/>
      <c r="E58" s="66"/>
      <c r="F58" s="67"/>
      <c r="G58" s="68" t="s">
        <v>86</v>
      </c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9" t="s">
        <v>11</v>
      </c>
      <c r="S58" s="69"/>
      <c r="T58" s="69"/>
      <c r="U58" s="69"/>
      <c r="V58" s="69"/>
      <c r="W58" s="69"/>
      <c r="X58" s="70" t="s">
        <v>12</v>
      </c>
      <c r="Y58" s="71"/>
      <c r="Z58" s="72">
        <f>Z5</f>
        <v>1000</v>
      </c>
      <c r="AA58" s="73"/>
      <c r="AB58" s="73"/>
      <c r="AC58" s="73"/>
      <c r="AD58" s="74" t="s">
        <v>56</v>
      </c>
      <c r="AE58" s="74"/>
      <c r="AF58" s="74"/>
      <c r="AG58" s="74"/>
      <c r="AH58" s="75"/>
    </row>
    <row r="59" spans="1:34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4"/>
    </row>
    <row r="60" spans="1:34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4"/>
    </row>
    <row r="61" spans="1:34">
      <c r="A61" s="2"/>
      <c r="B61" s="7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4"/>
    </row>
    <row r="62" spans="1:34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4"/>
    </row>
    <row r="63" spans="1:34" ht="15" customHeight="1">
      <c r="A63" s="2"/>
      <c r="B63" s="213"/>
      <c r="C63" s="214"/>
      <c r="D63" s="214"/>
      <c r="E63" s="215"/>
      <c r="F63" s="138" t="s">
        <v>58</v>
      </c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3"/>
      <c r="T63" s="138" t="s">
        <v>20</v>
      </c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3"/>
      <c r="AH63" s="4"/>
    </row>
    <row r="64" spans="1:34" ht="39.75" customHeight="1">
      <c r="A64" s="2"/>
      <c r="B64" s="216"/>
      <c r="C64" s="217"/>
      <c r="D64" s="217"/>
      <c r="E64" s="218"/>
      <c r="F64" s="130" t="s">
        <v>45</v>
      </c>
      <c r="G64" s="131"/>
      <c r="H64" s="131"/>
      <c r="I64" s="131"/>
      <c r="J64" s="131"/>
      <c r="K64" s="219" t="s">
        <v>59</v>
      </c>
      <c r="L64" s="220"/>
      <c r="M64" s="220"/>
      <c r="N64" s="220"/>
      <c r="O64" s="221" t="s">
        <v>60</v>
      </c>
      <c r="P64" s="131"/>
      <c r="Q64" s="131"/>
      <c r="R64" s="131"/>
      <c r="S64" s="132"/>
      <c r="T64" s="130" t="s">
        <v>45</v>
      </c>
      <c r="U64" s="131"/>
      <c r="V64" s="131"/>
      <c r="W64" s="131"/>
      <c r="X64" s="131"/>
      <c r="Y64" s="219" t="s">
        <v>59</v>
      </c>
      <c r="Z64" s="220"/>
      <c r="AA64" s="220"/>
      <c r="AB64" s="220"/>
      <c r="AC64" s="221" t="s">
        <v>60</v>
      </c>
      <c r="AD64" s="131"/>
      <c r="AE64" s="131"/>
      <c r="AF64" s="131"/>
      <c r="AG64" s="132"/>
      <c r="AH64" s="4"/>
    </row>
    <row r="65" spans="1:34" ht="15" customHeight="1">
      <c r="A65" s="2"/>
      <c r="B65" s="216"/>
      <c r="C65" s="217"/>
      <c r="D65" s="217"/>
      <c r="E65" s="218"/>
      <c r="F65" s="130" t="s">
        <v>61</v>
      </c>
      <c r="G65" s="131"/>
      <c r="H65" s="131"/>
      <c r="I65" s="131"/>
      <c r="J65" s="131"/>
      <c r="K65" s="131" t="s">
        <v>62</v>
      </c>
      <c r="L65" s="131"/>
      <c r="M65" s="131"/>
      <c r="N65" s="131"/>
      <c r="O65" s="131" t="s">
        <v>63</v>
      </c>
      <c r="P65" s="131"/>
      <c r="Q65" s="131"/>
      <c r="R65" s="131"/>
      <c r="S65" s="132"/>
      <c r="T65" s="130" t="s">
        <v>64</v>
      </c>
      <c r="U65" s="131"/>
      <c r="V65" s="131"/>
      <c r="W65" s="131"/>
      <c r="X65" s="131"/>
      <c r="Y65" s="131" t="s">
        <v>65</v>
      </c>
      <c r="Z65" s="131"/>
      <c r="AA65" s="131"/>
      <c r="AB65" s="131"/>
      <c r="AC65" s="131" t="s">
        <v>66</v>
      </c>
      <c r="AD65" s="131"/>
      <c r="AE65" s="131"/>
      <c r="AF65" s="131"/>
      <c r="AG65" s="132"/>
      <c r="AH65" s="4"/>
    </row>
    <row r="66" spans="1:34" ht="15" customHeight="1">
      <c r="A66" s="2"/>
      <c r="B66" s="206"/>
      <c r="C66" s="207"/>
      <c r="D66" s="208" t="s">
        <v>67</v>
      </c>
      <c r="E66" s="209"/>
      <c r="F66" s="210"/>
      <c r="G66" s="211"/>
      <c r="H66" s="211"/>
      <c r="I66" s="211"/>
      <c r="J66" s="211"/>
      <c r="K66" s="211"/>
      <c r="L66" s="211"/>
      <c r="M66" s="211"/>
      <c r="N66" s="211"/>
      <c r="O66" s="211" t="s">
        <v>32</v>
      </c>
      <c r="P66" s="211"/>
      <c r="Q66" s="211"/>
      <c r="R66" s="211"/>
      <c r="S66" s="212"/>
      <c r="T66" s="210"/>
      <c r="U66" s="211"/>
      <c r="V66" s="211"/>
      <c r="W66" s="211"/>
      <c r="X66" s="211"/>
      <c r="Y66" s="211"/>
      <c r="Z66" s="211"/>
      <c r="AA66" s="211"/>
      <c r="AB66" s="211"/>
      <c r="AC66" s="211" t="s">
        <v>32</v>
      </c>
      <c r="AD66" s="211"/>
      <c r="AE66" s="211"/>
      <c r="AF66" s="211"/>
      <c r="AG66" s="212"/>
      <c r="AH66" s="4"/>
    </row>
    <row r="67" spans="1:34" ht="21" customHeight="1">
      <c r="A67" s="2"/>
      <c r="B67" s="124" t="s">
        <v>68</v>
      </c>
      <c r="C67" s="125"/>
      <c r="D67" s="125"/>
      <c r="E67" s="126"/>
      <c r="F67" s="275">
        <v>0.4</v>
      </c>
      <c r="G67" s="276"/>
      <c r="H67" s="276"/>
      <c r="I67" s="276"/>
      <c r="J67" s="277"/>
      <c r="K67" s="316">
        <f>F67-$F$70</f>
        <v>-0.13</v>
      </c>
      <c r="L67" s="316"/>
      <c r="M67" s="316"/>
      <c r="N67" s="317"/>
      <c r="O67" s="225">
        <f>K67/$Z$58*100</f>
        <v>-1.3000000000000001E-2</v>
      </c>
      <c r="P67" s="225"/>
      <c r="Q67" s="225"/>
      <c r="R67" s="225"/>
      <c r="S67" s="227"/>
      <c r="T67" s="278">
        <v>961.4</v>
      </c>
      <c r="U67" s="279"/>
      <c r="V67" s="279"/>
      <c r="W67" s="279"/>
      <c r="X67" s="280"/>
      <c r="Y67" s="279">
        <f>T67-$T$70</f>
        <v>1.3999999999999773</v>
      </c>
      <c r="Z67" s="279"/>
      <c r="AA67" s="279"/>
      <c r="AB67" s="279"/>
      <c r="AC67" s="231">
        <f>Y67/$Z$58*100</f>
        <v>0.13999999999999771</v>
      </c>
      <c r="AD67" s="231"/>
      <c r="AE67" s="231"/>
      <c r="AF67" s="231"/>
      <c r="AG67" s="232"/>
      <c r="AH67" s="4"/>
    </row>
    <row r="68" spans="1:34" ht="21" customHeight="1">
      <c r="A68" s="2"/>
      <c r="B68" s="124" t="s">
        <v>69</v>
      </c>
      <c r="C68" s="125"/>
      <c r="D68" s="125"/>
      <c r="E68" s="126"/>
      <c r="F68" s="284">
        <v>1.2</v>
      </c>
      <c r="G68" s="285"/>
      <c r="H68" s="285"/>
      <c r="I68" s="285"/>
      <c r="J68" s="286"/>
      <c r="K68" s="288">
        <f>F68-$F$70</f>
        <v>0.66999999999999993</v>
      </c>
      <c r="L68" s="288"/>
      <c r="M68" s="288"/>
      <c r="N68" s="288"/>
      <c r="O68" s="231">
        <f>K68/$Z$58*100</f>
        <v>6.699999999999999E-2</v>
      </c>
      <c r="P68" s="231"/>
      <c r="Q68" s="231"/>
      <c r="R68" s="231"/>
      <c r="S68" s="232"/>
      <c r="T68" s="287">
        <v>960.1</v>
      </c>
      <c r="U68" s="288"/>
      <c r="V68" s="288"/>
      <c r="W68" s="288"/>
      <c r="X68" s="289"/>
      <c r="Y68" s="288">
        <f>T68-$T$70</f>
        <v>0.10000000000002274</v>
      </c>
      <c r="Z68" s="288"/>
      <c r="AA68" s="288"/>
      <c r="AB68" s="288"/>
      <c r="AC68" s="231">
        <f>Y68/$Z$58*100</f>
        <v>1.0000000000002273E-2</v>
      </c>
      <c r="AD68" s="231"/>
      <c r="AE68" s="231"/>
      <c r="AF68" s="231"/>
      <c r="AG68" s="232"/>
      <c r="AH68" s="4"/>
    </row>
    <row r="69" spans="1:34" ht="21" customHeight="1">
      <c r="A69" s="2"/>
      <c r="B69" s="124" t="s">
        <v>70</v>
      </c>
      <c r="C69" s="125"/>
      <c r="D69" s="125"/>
      <c r="E69" s="126"/>
      <c r="F69" s="281">
        <v>0</v>
      </c>
      <c r="G69" s="282"/>
      <c r="H69" s="282"/>
      <c r="I69" s="282"/>
      <c r="J69" s="283"/>
      <c r="K69" s="318">
        <f>F69-$F$70</f>
        <v>-0.53</v>
      </c>
      <c r="L69" s="318"/>
      <c r="M69" s="318"/>
      <c r="N69" s="319"/>
      <c r="O69" s="238">
        <f>K69/$Z$58*100</f>
        <v>-5.2999999999999999E-2</v>
      </c>
      <c r="P69" s="238"/>
      <c r="Q69" s="238"/>
      <c r="R69" s="238"/>
      <c r="S69" s="239"/>
      <c r="T69" s="281">
        <v>958.5</v>
      </c>
      <c r="U69" s="282"/>
      <c r="V69" s="282"/>
      <c r="W69" s="282"/>
      <c r="X69" s="282"/>
      <c r="Y69" s="320">
        <f>T69-$T$70</f>
        <v>-1.5</v>
      </c>
      <c r="Z69" s="320"/>
      <c r="AA69" s="320"/>
      <c r="AB69" s="320"/>
      <c r="AC69" s="231">
        <f>Y69/$Z$58*100</f>
        <v>-0.15</v>
      </c>
      <c r="AD69" s="231"/>
      <c r="AE69" s="231"/>
      <c r="AF69" s="231"/>
      <c r="AG69" s="232"/>
      <c r="AH69" s="4"/>
    </row>
    <row r="70" spans="1:34" ht="21" customHeight="1">
      <c r="A70" s="2"/>
      <c r="B70" s="249" t="s">
        <v>71</v>
      </c>
      <c r="C70" s="137"/>
      <c r="D70" s="137"/>
      <c r="E70" s="103"/>
      <c r="F70" s="275">
        <f>ROUND(AVERAGE(F67:J69),2)</f>
        <v>0.53</v>
      </c>
      <c r="G70" s="276"/>
      <c r="H70" s="276"/>
      <c r="I70" s="276"/>
      <c r="J70" s="277"/>
      <c r="K70" s="250" t="s">
        <v>72</v>
      </c>
      <c r="L70" s="251"/>
      <c r="M70" s="251"/>
      <c r="N70" s="252"/>
      <c r="O70" s="253">
        <f>ROUND(AVERAGE(O67:S69),2)</f>
        <v>0</v>
      </c>
      <c r="P70" s="254"/>
      <c r="Q70" s="254"/>
      <c r="R70" s="254"/>
      <c r="S70" s="255"/>
      <c r="T70" s="270">
        <f>ROUND(AVERAGE(T67:X69),2)</f>
        <v>960</v>
      </c>
      <c r="U70" s="271"/>
      <c r="V70" s="271"/>
      <c r="W70" s="271"/>
      <c r="X70" s="271"/>
      <c r="Y70" s="250" t="s">
        <v>72</v>
      </c>
      <c r="Z70" s="251"/>
      <c r="AA70" s="251"/>
      <c r="AB70" s="252"/>
      <c r="AC70" s="112">
        <f>ROUND(AVERAGE(AC67:AG69),2)</f>
        <v>0</v>
      </c>
      <c r="AD70" s="112"/>
      <c r="AE70" s="112"/>
      <c r="AF70" s="112"/>
      <c r="AG70" s="113"/>
      <c r="AH70" s="4"/>
    </row>
    <row r="71" spans="1:34" ht="27" customHeight="1">
      <c r="A71" s="2"/>
      <c r="B71" s="136" t="s">
        <v>36</v>
      </c>
      <c r="C71" s="137"/>
      <c r="D71" s="137"/>
      <c r="E71" s="103"/>
      <c r="F71" s="12"/>
      <c r="G71" s="137" t="s">
        <v>37</v>
      </c>
      <c r="H71" s="137"/>
      <c r="I71" s="137"/>
      <c r="J71" s="137"/>
      <c r="K71" s="137" t="s">
        <v>38</v>
      </c>
      <c r="L71" s="137"/>
      <c r="M71" s="137"/>
      <c r="N71" s="137"/>
      <c r="O71" s="246" t="s">
        <v>39</v>
      </c>
      <c r="P71" s="247"/>
      <c r="Q71" s="247"/>
      <c r="R71" s="247"/>
      <c r="S71" s="248"/>
      <c r="T71" s="89" t="s">
        <v>73</v>
      </c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4"/>
    </row>
    <row r="72" spans="1:34">
      <c r="A72" s="2"/>
      <c r="B72" s="150" t="s">
        <v>41</v>
      </c>
      <c r="C72" s="150"/>
      <c r="D72" s="150"/>
      <c r="E72" s="15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4"/>
    </row>
    <row r="73" spans="1:34">
      <c r="A73" s="2"/>
      <c r="B73" s="150"/>
      <c r="C73" s="150"/>
      <c r="D73" s="150"/>
      <c r="E73" s="15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4"/>
    </row>
    <row r="74" spans="1:34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4"/>
    </row>
    <row r="75" spans="1:34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4"/>
    </row>
    <row r="76" spans="1:34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4"/>
    </row>
    <row r="77" spans="1:34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4"/>
    </row>
    <row r="78" spans="1:34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4"/>
    </row>
    <row r="79" spans="1:34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4"/>
    </row>
    <row r="80" spans="1:34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4"/>
    </row>
    <row r="81" spans="1:34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4"/>
    </row>
    <row r="82" spans="1:34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4"/>
    </row>
    <row r="83" spans="1:34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4"/>
    </row>
    <row r="84" spans="1:34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4"/>
    </row>
    <row r="85" spans="1:34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4"/>
    </row>
    <row r="86" spans="1:34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4"/>
    </row>
    <row r="87" spans="1:34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4"/>
    </row>
    <row r="88" spans="1:34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4"/>
    </row>
    <row r="89" spans="1:34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4"/>
    </row>
    <row r="90" spans="1:34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4"/>
    </row>
    <row r="91" spans="1:34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4"/>
    </row>
    <row r="92" spans="1:34" ht="4.5" customHeight="1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4"/>
    </row>
    <row r="93" spans="1:34" ht="15.75" thickBot="1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4"/>
    </row>
    <row r="94" spans="1:34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151" t="s">
        <v>49</v>
      </c>
      <c r="Z94" s="152"/>
      <c r="AA94" s="152"/>
      <c r="AB94" s="152"/>
      <c r="AC94" s="153"/>
      <c r="AD94" s="157" t="s">
        <v>50</v>
      </c>
      <c r="AE94" s="157"/>
      <c r="AF94" s="157"/>
      <c r="AG94" s="157"/>
      <c r="AH94" s="158"/>
    </row>
    <row r="95" spans="1:34" ht="15.75" thickBot="1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154"/>
      <c r="Z95" s="155"/>
      <c r="AA95" s="155"/>
      <c r="AB95" s="155"/>
      <c r="AC95" s="156"/>
      <c r="AD95" s="159"/>
      <c r="AE95" s="159"/>
      <c r="AF95" s="159"/>
      <c r="AG95" s="159"/>
      <c r="AH95" s="160"/>
    </row>
    <row r="96" spans="1:34" ht="15" customHeight="1">
      <c r="A96" s="2"/>
      <c r="B96" s="161" t="s">
        <v>51</v>
      </c>
      <c r="C96" s="171"/>
      <c r="D96" s="171"/>
      <c r="E96" s="171"/>
      <c r="F96" s="171"/>
      <c r="G96" s="171"/>
      <c r="H96" s="170" t="s">
        <v>37</v>
      </c>
      <c r="I96" s="171"/>
      <c r="J96" s="171"/>
      <c r="K96" s="171"/>
      <c r="L96" s="171"/>
      <c r="M96" s="172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176"/>
      <c r="Z96" s="177"/>
      <c r="AA96" s="177"/>
      <c r="AB96" s="177"/>
      <c r="AC96" s="178"/>
      <c r="AD96" s="183"/>
      <c r="AE96" s="184"/>
      <c r="AF96" s="184"/>
      <c r="AG96" s="184"/>
      <c r="AH96" s="185"/>
    </row>
    <row r="97" spans="1:34" ht="15" customHeight="1">
      <c r="A97" s="2"/>
      <c r="B97" s="173"/>
      <c r="C97" s="174"/>
      <c r="D97" s="174"/>
      <c r="E97" s="174"/>
      <c r="F97" s="174"/>
      <c r="G97" s="174"/>
      <c r="H97" s="173"/>
      <c r="I97" s="174"/>
      <c r="J97" s="174"/>
      <c r="K97" s="174"/>
      <c r="L97" s="174"/>
      <c r="M97" s="175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179"/>
      <c r="Z97" s="177"/>
      <c r="AA97" s="177"/>
      <c r="AB97" s="177"/>
      <c r="AC97" s="178"/>
      <c r="AD97" s="184"/>
      <c r="AE97" s="184"/>
      <c r="AF97" s="184"/>
      <c r="AG97" s="184"/>
      <c r="AH97" s="185"/>
    </row>
    <row r="98" spans="1:34" ht="15" customHeight="1">
      <c r="A98" s="2"/>
      <c r="B98" s="173"/>
      <c r="C98" s="174"/>
      <c r="D98" s="174"/>
      <c r="E98" s="174"/>
      <c r="F98" s="174"/>
      <c r="G98" s="174"/>
      <c r="H98" s="173" t="s">
        <v>38</v>
      </c>
      <c r="I98" s="174"/>
      <c r="J98" s="174"/>
      <c r="K98" s="174"/>
      <c r="L98" s="174"/>
      <c r="M98" s="175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179"/>
      <c r="Z98" s="177"/>
      <c r="AA98" s="177"/>
      <c r="AB98" s="177"/>
      <c r="AC98" s="178"/>
      <c r="AD98" s="184"/>
      <c r="AE98" s="184"/>
      <c r="AF98" s="184"/>
      <c r="AG98" s="184"/>
      <c r="AH98" s="185"/>
    </row>
    <row r="99" spans="1:34" ht="15.75" customHeight="1" thickBot="1">
      <c r="A99" s="2"/>
      <c r="B99" s="188"/>
      <c r="C99" s="189"/>
      <c r="D99" s="189"/>
      <c r="E99" s="189"/>
      <c r="F99" s="189"/>
      <c r="G99" s="189"/>
      <c r="H99" s="188"/>
      <c r="I99" s="189"/>
      <c r="J99" s="189"/>
      <c r="K99" s="189"/>
      <c r="L99" s="189"/>
      <c r="M99" s="190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179"/>
      <c r="Z99" s="177"/>
      <c r="AA99" s="177"/>
      <c r="AB99" s="177"/>
      <c r="AC99" s="178"/>
      <c r="AD99" s="184"/>
      <c r="AE99" s="184"/>
      <c r="AF99" s="184"/>
      <c r="AG99" s="184"/>
      <c r="AH99" s="185"/>
    </row>
    <row r="100" spans="1:34" ht="9" customHeight="1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180"/>
      <c r="Z100" s="181"/>
      <c r="AA100" s="181"/>
      <c r="AB100" s="181"/>
      <c r="AC100" s="182"/>
      <c r="AD100" s="186"/>
      <c r="AE100" s="186"/>
      <c r="AF100" s="186"/>
      <c r="AG100" s="186"/>
      <c r="AH100" s="187"/>
    </row>
    <row r="101" spans="1:34" s="13" customFormat="1" ht="22.5" customHeight="1" thickBot="1">
      <c r="A101" s="199" t="s">
        <v>76</v>
      </c>
      <c r="B101" s="200"/>
      <c r="C101" s="200"/>
      <c r="D101" s="200"/>
      <c r="E101" s="200" t="s">
        <v>52</v>
      </c>
      <c r="F101" s="200"/>
      <c r="G101" s="200"/>
      <c r="H101" s="200"/>
      <c r="I101" s="201"/>
      <c r="J101" s="202" t="s">
        <v>77</v>
      </c>
      <c r="K101" s="200"/>
      <c r="L101" s="200"/>
      <c r="M101" s="200"/>
      <c r="N101" s="200" t="s">
        <v>78</v>
      </c>
      <c r="O101" s="200"/>
      <c r="P101" s="200"/>
      <c r="Q101" s="201"/>
      <c r="R101" s="203"/>
      <c r="S101" s="204"/>
      <c r="T101" s="204"/>
      <c r="U101" s="204"/>
      <c r="V101" s="204"/>
      <c r="W101" s="204"/>
      <c r="X101" s="205"/>
      <c r="Y101" s="202" t="s">
        <v>79</v>
      </c>
      <c r="Z101" s="200"/>
      <c r="AA101" s="200"/>
      <c r="AB101" s="200"/>
      <c r="AC101" s="200"/>
      <c r="AD101" s="197">
        <v>41883</v>
      </c>
      <c r="AE101" s="197"/>
      <c r="AF101" s="197"/>
      <c r="AG101" s="197"/>
      <c r="AH101" s="198"/>
    </row>
  </sheetData>
  <mergeCells count="208">
    <mergeCell ref="AD101:AH101"/>
    <mergeCell ref="A101:D101"/>
    <mergeCell ref="E101:I101"/>
    <mergeCell ref="J101:M101"/>
    <mergeCell ref="N101:Q101"/>
    <mergeCell ref="R101:X101"/>
    <mergeCell ref="Y101:AC101"/>
    <mergeCell ref="B72:E73"/>
    <mergeCell ref="Y94:AC95"/>
    <mergeCell ref="AD94:AH95"/>
    <mergeCell ref="B96:G99"/>
    <mergeCell ref="H96:M97"/>
    <mergeCell ref="Y96:AC100"/>
    <mergeCell ref="AD96:AH100"/>
    <mergeCell ref="H98:M99"/>
    <mergeCell ref="AC70:AG70"/>
    <mergeCell ref="B71:E71"/>
    <mergeCell ref="G71:J71"/>
    <mergeCell ref="K71:N71"/>
    <mergeCell ref="O71:S71"/>
    <mergeCell ref="T71:AG71"/>
    <mergeCell ref="B70:E70"/>
    <mergeCell ref="F70:J70"/>
    <mergeCell ref="K70:N70"/>
    <mergeCell ref="O70:S70"/>
    <mergeCell ref="T70:X70"/>
    <mergeCell ref="Y70:AB70"/>
    <mergeCell ref="B67:E67"/>
    <mergeCell ref="F67:J67"/>
    <mergeCell ref="K67:N67"/>
    <mergeCell ref="O67:S67"/>
    <mergeCell ref="T67:X67"/>
    <mergeCell ref="Y67:AB67"/>
    <mergeCell ref="AC67:AG67"/>
    <mergeCell ref="AC68:AG68"/>
    <mergeCell ref="B69:E69"/>
    <mergeCell ref="F69:J69"/>
    <mergeCell ref="K69:N69"/>
    <mergeCell ref="O69:S69"/>
    <mergeCell ref="T69:X69"/>
    <mergeCell ref="Y69:AB69"/>
    <mergeCell ref="AC69:AG69"/>
    <mergeCell ref="B68:E68"/>
    <mergeCell ref="F68:J68"/>
    <mergeCell ref="K68:N68"/>
    <mergeCell ref="O68:S68"/>
    <mergeCell ref="T68:X68"/>
    <mergeCell ref="Y68:AB68"/>
    <mergeCell ref="K65:N65"/>
    <mergeCell ref="O65:S65"/>
    <mergeCell ref="T65:X65"/>
    <mergeCell ref="Y65:AB65"/>
    <mergeCell ref="AC65:AG65"/>
    <mergeCell ref="B66:C66"/>
    <mergeCell ref="D66:E66"/>
    <mergeCell ref="F66:J66"/>
    <mergeCell ref="K66:N66"/>
    <mergeCell ref="O66:S66"/>
    <mergeCell ref="B63:E65"/>
    <mergeCell ref="F63:S63"/>
    <mergeCell ref="T63:AG63"/>
    <mergeCell ref="F64:J64"/>
    <mergeCell ref="K64:N64"/>
    <mergeCell ref="O64:S64"/>
    <mergeCell ref="T64:X64"/>
    <mergeCell ref="Y64:AB64"/>
    <mergeCell ref="AC64:AG64"/>
    <mergeCell ref="F65:J65"/>
    <mergeCell ref="T66:X66"/>
    <mergeCell ref="Y66:AB66"/>
    <mergeCell ref="AC66:AG66"/>
    <mergeCell ref="A58:F58"/>
    <mergeCell ref="G58:Q58"/>
    <mergeCell ref="R58:W58"/>
    <mergeCell ref="X58:Y58"/>
    <mergeCell ref="Z58:AC58"/>
    <mergeCell ref="AD58:AH58"/>
    <mergeCell ref="A56:F56"/>
    <mergeCell ref="G56:Q56"/>
    <mergeCell ref="R56:W56"/>
    <mergeCell ref="X56:AH56"/>
    <mergeCell ref="A57:F57"/>
    <mergeCell ref="G57:Q57"/>
    <mergeCell ref="R57:W57"/>
    <mergeCell ref="X57:AH57"/>
    <mergeCell ref="AD51:AH51"/>
    <mergeCell ref="A54:AC54"/>
    <mergeCell ref="AD54:AF54"/>
    <mergeCell ref="AG54:AH54"/>
    <mergeCell ref="A55:F55"/>
    <mergeCell ref="G55:Q55"/>
    <mergeCell ref="R55:W55"/>
    <mergeCell ref="X55:AH55"/>
    <mergeCell ref="A51:D51"/>
    <mergeCell ref="E51:I51"/>
    <mergeCell ref="J51:M51"/>
    <mergeCell ref="N51:Q51"/>
    <mergeCell ref="R51:X51"/>
    <mergeCell ref="Y51:AC51"/>
    <mergeCell ref="B42:E43"/>
    <mergeCell ref="Y44:AC45"/>
    <mergeCell ref="AD44:AH45"/>
    <mergeCell ref="B46:G49"/>
    <mergeCell ref="H46:M47"/>
    <mergeCell ref="Y46:AC50"/>
    <mergeCell ref="AD46:AH50"/>
    <mergeCell ref="H48:M49"/>
    <mergeCell ref="B40:K40"/>
    <mergeCell ref="L40:U40"/>
    <mergeCell ref="V40:AC40"/>
    <mergeCell ref="AD40:AE40"/>
    <mergeCell ref="B41:F41"/>
    <mergeCell ref="H41:K41"/>
    <mergeCell ref="L41:O41"/>
    <mergeCell ref="Q41:U41"/>
    <mergeCell ref="V41:AE41"/>
    <mergeCell ref="B37:U37"/>
    <mergeCell ref="V37:AE38"/>
    <mergeCell ref="B38:K38"/>
    <mergeCell ref="L38:U38"/>
    <mergeCell ref="B39:K39"/>
    <mergeCell ref="L39:U39"/>
    <mergeCell ref="V39:AE39"/>
    <mergeCell ref="B31:F31"/>
    <mergeCell ref="H31:K31"/>
    <mergeCell ref="L31:O31"/>
    <mergeCell ref="Q31:U31"/>
    <mergeCell ref="V31:AE31"/>
    <mergeCell ref="C32:F33"/>
    <mergeCell ref="B28:K28"/>
    <mergeCell ref="L28:U28"/>
    <mergeCell ref="V28:AE28"/>
    <mergeCell ref="B29:K29"/>
    <mergeCell ref="L29:U29"/>
    <mergeCell ref="V29:AC29"/>
    <mergeCell ref="AD29:AE29"/>
    <mergeCell ref="B25:K25"/>
    <mergeCell ref="L25:U25"/>
    <mergeCell ref="B26:U26"/>
    <mergeCell ref="V26:AE27"/>
    <mergeCell ref="B27:K27"/>
    <mergeCell ref="L27:U27"/>
    <mergeCell ref="B22:K22"/>
    <mergeCell ref="L22:U22"/>
    <mergeCell ref="V22:AE22"/>
    <mergeCell ref="B23:K23"/>
    <mergeCell ref="L23:U23"/>
    <mergeCell ref="V23:AC23"/>
    <mergeCell ref="AD23:AE23"/>
    <mergeCell ref="B19:K19"/>
    <mergeCell ref="L19:U19"/>
    <mergeCell ref="B20:U20"/>
    <mergeCell ref="V20:AE21"/>
    <mergeCell ref="B21:K21"/>
    <mergeCell ref="L21:U21"/>
    <mergeCell ref="F14:K14"/>
    <mergeCell ref="L14:S14"/>
    <mergeCell ref="T14:Y14"/>
    <mergeCell ref="Z14:AG14"/>
    <mergeCell ref="B15:K15"/>
    <mergeCell ref="L15:S15"/>
    <mergeCell ref="B11:H11"/>
    <mergeCell ref="I11:N11"/>
    <mergeCell ref="O11:U11"/>
    <mergeCell ref="V11:AA11"/>
    <mergeCell ref="AB11:AG11"/>
    <mergeCell ref="B13:E14"/>
    <mergeCell ref="F13:K13"/>
    <mergeCell ref="L13:S13"/>
    <mergeCell ref="T13:Y13"/>
    <mergeCell ref="Z13:AG13"/>
    <mergeCell ref="B9:H9"/>
    <mergeCell ref="I9:N9"/>
    <mergeCell ref="O9:U9"/>
    <mergeCell ref="V9:AA9"/>
    <mergeCell ref="AB9:AG9"/>
    <mergeCell ref="B10:H10"/>
    <mergeCell ref="I10:N10"/>
    <mergeCell ref="O10:U10"/>
    <mergeCell ref="V10:AA10"/>
    <mergeCell ref="AB10:AG10"/>
    <mergeCell ref="B7:AG7"/>
    <mergeCell ref="B8:H8"/>
    <mergeCell ref="I8:N8"/>
    <mergeCell ref="O8:U8"/>
    <mergeCell ref="V8:AA8"/>
    <mergeCell ref="AB8:AG8"/>
    <mergeCell ref="A5:F5"/>
    <mergeCell ref="G5:Q5"/>
    <mergeCell ref="R5:W5"/>
    <mergeCell ref="X5:Y5"/>
    <mergeCell ref="Z5:AC5"/>
    <mergeCell ref="AD5:AH5"/>
    <mergeCell ref="A3:F3"/>
    <mergeCell ref="G3:Q3"/>
    <mergeCell ref="R3:W3"/>
    <mergeCell ref="X3:AH3"/>
    <mergeCell ref="A4:F4"/>
    <mergeCell ref="G4:Q4"/>
    <mergeCell ref="R4:W4"/>
    <mergeCell ref="X4:AH4"/>
    <mergeCell ref="A1:AC1"/>
    <mergeCell ref="AD1:AF1"/>
    <mergeCell ref="AG1:AH1"/>
    <mergeCell ref="A2:F2"/>
    <mergeCell ref="G2:Q2"/>
    <mergeCell ref="R2:W2"/>
    <mergeCell ref="X2:AH2"/>
  </mergeCells>
  <pageMargins left="0.47244094488188981" right="0.26" top="0.43307086614173229" bottom="0.19685039370078741" header="0.35433070866141736" footer="0.11811023622047245"/>
  <pageSetup paperSize="9" scale="94" firstPageNumber="4294963191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2049" r:id="rId4">
          <objectPr defaultSize="0" autoPict="0" r:id="rId5">
            <anchor moveWithCells="1">
              <from>
                <xdr:col>6</xdr:col>
                <xdr:colOff>142875</xdr:colOff>
                <xdr:row>31</xdr:row>
                <xdr:rowOff>38100</xdr:rowOff>
              </from>
              <to>
                <xdr:col>9</xdr:col>
                <xdr:colOff>19050</xdr:colOff>
                <xdr:row>32</xdr:row>
                <xdr:rowOff>152400</xdr:rowOff>
              </to>
            </anchor>
          </objectPr>
        </oleObject>
      </mc:Choice>
      <mc:Fallback>
        <oleObject progId="Equation.3" shapeId="2049" r:id="rId4"/>
      </mc:Fallback>
    </mc:AlternateContent>
    <mc:AlternateContent xmlns:mc="http://schemas.openxmlformats.org/markup-compatibility/2006">
      <mc:Choice Requires="x14">
        <oleObject progId="Equation.3" shapeId="2050" r:id="rId6">
          <objectPr defaultSize="0" autoPict="0" r:id="rId7">
            <anchor moveWithCells="1">
              <from>
                <xdr:col>6</xdr:col>
                <xdr:colOff>95250</xdr:colOff>
                <xdr:row>41</xdr:row>
                <xdr:rowOff>180975</xdr:rowOff>
              </from>
              <to>
                <xdr:col>9</xdr:col>
                <xdr:colOff>123825</xdr:colOff>
                <xdr:row>43</xdr:row>
                <xdr:rowOff>104775</xdr:rowOff>
              </to>
            </anchor>
          </objectPr>
        </oleObject>
      </mc:Choice>
      <mc:Fallback>
        <oleObject progId="Equation.3" shapeId="2050" r:id="rId6"/>
      </mc:Fallback>
    </mc:AlternateContent>
    <mc:AlternateContent xmlns:mc="http://schemas.openxmlformats.org/markup-compatibility/2006">
      <mc:Choice Requires="x14">
        <oleObject progId="Equation.3" shapeId="2051" r:id="rId8">
          <objectPr defaultSize="0" autoPict="0" r:id="rId9">
            <anchor moveWithCells="1">
              <from>
                <xdr:col>5</xdr:col>
                <xdr:colOff>0</xdr:colOff>
                <xdr:row>72</xdr:row>
                <xdr:rowOff>85725</xdr:rowOff>
              </from>
              <to>
                <xdr:col>7</xdr:col>
                <xdr:colOff>114300</xdr:colOff>
                <xdr:row>74</xdr:row>
                <xdr:rowOff>19050</xdr:rowOff>
              </to>
            </anchor>
          </objectPr>
        </oleObject>
      </mc:Choice>
      <mc:Fallback>
        <oleObject progId="Equation.3" shapeId="2051" r:id="rId8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101"/>
  <sheetViews>
    <sheetView topLeftCell="A19" zoomScale="130" zoomScaleNormal="130" workbookViewId="0">
      <selection activeCell="AG26" sqref="AG26"/>
    </sheetView>
  </sheetViews>
  <sheetFormatPr defaultColWidth="2.5" defaultRowHeight="15"/>
  <cols>
    <col min="1" max="16384" width="2.5" style="1"/>
  </cols>
  <sheetData>
    <row r="1" spans="1:34" ht="27" customHeight="1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7"/>
      <c r="AD1" s="48" t="s">
        <v>1</v>
      </c>
      <c r="AE1" s="49"/>
      <c r="AF1" s="49"/>
      <c r="AG1" s="50" t="s">
        <v>2</v>
      </c>
      <c r="AH1" s="51"/>
    </row>
    <row r="2" spans="1:34" ht="19.5" customHeight="1">
      <c r="A2" s="52" t="s">
        <v>3</v>
      </c>
      <c r="B2" s="53"/>
      <c r="C2" s="53"/>
      <c r="D2" s="53"/>
      <c r="E2" s="53"/>
      <c r="F2" s="53"/>
      <c r="G2" s="54" t="s">
        <v>85</v>
      </c>
      <c r="H2" s="55"/>
      <c r="I2" s="55"/>
      <c r="J2" s="55"/>
      <c r="K2" s="55"/>
      <c r="L2" s="55"/>
      <c r="M2" s="55"/>
      <c r="N2" s="55"/>
      <c r="O2" s="55"/>
      <c r="P2" s="55"/>
      <c r="Q2" s="56"/>
      <c r="R2" s="28" t="s">
        <v>4</v>
      </c>
      <c r="S2" s="29"/>
      <c r="T2" s="29"/>
      <c r="U2" s="29"/>
      <c r="V2" s="29"/>
      <c r="W2" s="30"/>
      <c r="X2" s="31">
        <v>42886</v>
      </c>
      <c r="Y2" s="32"/>
      <c r="Z2" s="32"/>
      <c r="AA2" s="32"/>
      <c r="AB2" s="32"/>
      <c r="AC2" s="32"/>
      <c r="AD2" s="32"/>
      <c r="AE2" s="32"/>
      <c r="AF2" s="32"/>
      <c r="AG2" s="32"/>
      <c r="AH2" s="33"/>
    </row>
    <row r="3" spans="1:34" ht="19.5" customHeight="1">
      <c r="A3" s="23" t="s">
        <v>5</v>
      </c>
      <c r="B3" s="24"/>
      <c r="C3" s="24"/>
      <c r="D3" s="24"/>
      <c r="E3" s="24"/>
      <c r="F3" s="24"/>
      <c r="G3" s="25" t="s">
        <v>83</v>
      </c>
      <c r="H3" s="26"/>
      <c r="I3" s="26"/>
      <c r="J3" s="26"/>
      <c r="K3" s="26"/>
      <c r="L3" s="26"/>
      <c r="M3" s="26"/>
      <c r="N3" s="26"/>
      <c r="O3" s="26"/>
      <c r="P3" s="26"/>
      <c r="Q3" s="27"/>
      <c r="R3" s="28" t="s">
        <v>6</v>
      </c>
      <c r="S3" s="29"/>
      <c r="T3" s="29"/>
      <c r="U3" s="29"/>
      <c r="V3" s="29"/>
      <c r="W3" s="30"/>
      <c r="X3" s="31">
        <v>43251</v>
      </c>
      <c r="Y3" s="32"/>
      <c r="Z3" s="32"/>
      <c r="AA3" s="32"/>
      <c r="AB3" s="32"/>
      <c r="AC3" s="32"/>
      <c r="AD3" s="32"/>
      <c r="AE3" s="32"/>
      <c r="AF3" s="32"/>
      <c r="AG3" s="32"/>
      <c r="AH3" s="33"/>
    </row>
    <row r="4" spans="1:34" ht="19.5" customHeight="1">
      <c r="A4" s="34" t="s">
        <v>7</v>
      </c>
      <c r="B4" s="35"/>
      <c r="C4" s="35"/>
      <c r="D4" s="35"/>
      <c r="E4" s="35"/>
      <c r="F4" s="35"/>
      <c r="G4" s="36" t="s">
        <v>84</v>
      </c>
      <c r="H4" s="37"/>
      <c r="I4" s="37"/>
      <c r="J4" s="37"/>
      <c r="K4" s="37"/>
      <c r="L4" s="37"/>
      <c r="M4" s="37"/>
      <c r="N4" s="37"/>
      <c r="O4" s="37"/>
      <c r="P4" s="37"/>
      <c r="Q4" s="38"/>
      <c r="R4" s="39" t="s">
        <v>8</v>
      </c>
      <c r="S4" s="40"/>
      <c r="T4" s="40"/>
      <c r="U4" s="40"/>
      <c r="V4" s="40"/>
      <c r="W4" s="41"/>
      <c r="X4" s="42" t="s">
        <v>9</v>
      </c>
      <c r="Y4" s="43"/>
      <c r="Z4" s="43"/>
      <c r="AA4" s="43"/>
      <c r="AB4" s="43"/>
      <c r="AC4" s="43"/>
      <c r="AD4" s="43"/>
      <c r="AE4" s="43"/>
      <c r="AF4" s="43"/>
      <c r="AG4" s="43"/>
      <c r="AH4" s="44"/>
    </row>
    <row r="5" spans="1:34" ht="19.5" customHeight="1">
      <c r="A5" s="65" t="s">
        <v>10</v>
      </c>
      <c r="B5" s="66"/>
      <c r="C5" s="66"/>
      <c r="D5" s="66"/>
      <c r="E5" s="66"/>
      <c r="F5" s="67"/>
      <c r="G5" s="68" t="s">
        <v>94</v>
      </c>
      <c r="H5" s="68"/>
      <c r="I5" s="68"/>
      <c r="J5" s="68"/>
      <c r="K5" s="68"/>
      <c r="L5" s="68"/>
      <c r="M5" s="68"/>
      <c r="N5" s="68"/>
      <c r="O5" s="68"/>
      <c r="P5" s="68"/>
      <c r="Q5" s="68"/>
      <c r="R5" s="69" t="s">
        <v>11</v>
      </c>
      <c r="S5" s="69"/>
      <c r="T5" s="69"/>
      <c r="U5" s="69"/>
      <c r="V5" s="69"/>
      <c r="W5" s="69"/>
      <c r="X5" s="70" t="s">
        <v>12</v>
      </c>
      <c r="Y5" s="71"/>
      <c r="Z5" s="72">
        <v>50</v>
      </c>
      <c r="AA5" s="73"/>
      <c r="AB5" s="73"/>
      <c r="AC5" s="73"/>
      <c r="AD5" s="74" t="s">
        <v>13</v>
      </c>
      <c r="AE5" s="74"/>
      <c r="AF5" s="74"/>
      <c r="AG5" s="74"/>
      <c r="AH5" s="75"/>
    </row>
    <row r="6" spans="1:34" ht="15.75" thickBo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4"/>
    </row>
    <row r="7" spans="1:34" ht="15" customHeight="1">
      <c r="A7" s="2"/>
      <c r="B7" s="57" t="s">
        <v>14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9"/>
      <c r="AH7" s="4"/>
    </row>
    <row r="8" spans="1:34" ht="15" customHeight="1">
      <c r="A8" s="2"/>
      <c r="B8" s="60" t="s">
        <v>15</v>
      </c>
      <c r="C8" s="61"/>
      <c r="D8" s="61"/>
      <c r="E8" s="61"/>
      <c r="F8" s="61"/>
      <c r="G8" s="61"/>
      <c r="H8" s="61"/>
      <c r="I8" s="62" t="s">
        <v>3</v>
      </c>
      <c r="J8" s="62"/>
      <c r="K8" s="62"/>
      <c r="L8" s="62"/>
      <c r="M8" s="62"/>
      <c r="N8" s="62"/>
      <c r="O8" s="61" t="s">
        <v>16</v>
      </c>
      <c r="P8" s="61"/>
      <c r="Q8" s="61"/>
      <c r="R8" s="61"/>
      <c r="S8" s="61"/>
      <c r="T8" s="61"/>
      <c r="U8" s="61"/>
      <c r="V8" s="63" t="s">
        <v>17</v>
      </c>
      <c r="W8" s="63"/>
      <c r="X8" s="63"/>
      <c r="Y8" s="63"/>
      <c r="Z8" s="63"/>
      <c r="AA8" s="63"/>
      <c r="AB8" s="63" t="s">
        <v>18</v>
      </c>
      <c r="AC8" s="63"/>
      <c r="AD8" s="63"/>
      <c r="AE8" s="63"/>
      <c r="AF8" s="63"/>
      <c r="AG8" s="64"/>
      <c r="AH8" s="4"/>
    </row>
    <row r="9" spans="1:34" ht="19.5" customHeight="1">
      <c r="A9" s="2"/>
      <c r="B9" s="76" t="s">
        <v>19</v>
      </c>
      <c r="C9" s="77"/>
      <c r="D9" s="77"/>
      <c r="E9" s="77"/>
      <c r="F9" s="77"/>
      <c r="G9" s="77"/>
      <c r="H9" s="77"/>
      <c r="I9" s="78" t="s">
        <v>109</v>
      </c>
      <c r="J9" s="78"/>
      <c r="K9" s="78"/>
      <c r="L9" s="78"/>
      <c r="M9" s="78"/>
      <c r="N9" s="78"/>
      <c r="O9" s="78" t="s">
        <v>74</v>
      </c>
      <c r="P9" s="78"/>
      <c r="Q9" s="78"/>
      <c r="R9" s="78"/>
      <c r="S9" s="78"/>
      <c r="T9" s="78"/>
      <c r="U9" s="78"/>
      <c r="V9" s="78" t="s">
        <v>113</v>
      </c>
      <c r="W9" s="78"/>
      <c r="X9" s="78"/>
      <c r="Y9" s="78"/>
      <c r="Z9" s="78"/>
      <c r="AA9" s="78"/>
      <c r="AB9" s="79" t="s">
        <v>121</v>
      </c>
      <c r="AC9" s="79"/>
      <c r="AD9" s="79"/>
      <c r="AE9" s="79"/>
      <c r="AF9" s="79"/>
      <c r="AG9" s="80"/>
      <c r="AH9" s="4"/>
    </row>
    <row r="10" spans="1:34" ht="19.5" customHeight="1">
      <c r="A10" s="2"/>
      <c r="B10" s="81" t="s">
        <v>108</v>
      </c>
      <c r="C10" s="82"/>
      <c r="D10" s="82"/>
      <c r="E10" s="82"/>
      <c r="F10" s="82"/>
      <c r="G10" s="82"/>
      <c r="H10" s="82"/>
      <c r="I10" s="78" t="s">
        <v>105</v>
      </c>
      <c r="J10" s="78"/>
      <c r="K10" s="78"/>
      <c r="L10" s="78"/>
      <c r="M10" s="78"/>
      <c r="N10" s="78"/>
      <c r="O10" s="78" t="s">
        <v>74</v>
      </c>
      <c r="P10" s="78"/>
      <c r="Q10" s="78"/>
      <c r="R10" s="78"/>
      <c r="S10" s="78"/>
      <c r="T10" s="78"/>
      <c r="U10" s="78"/>
      <c r="V10" s="78" t="s">
        <v>106</v>
      </c>
      <c r="W10" s="78"/>
      <c r="X10" s="78"/>
      <c r="Y10" s="78"/>
      <c r="Z10" s="78"/>
      <c r="AA10" s="78"/>
      <c r="AB10" s="266" t="s">
        <v>107</v>
      </c>
      <c r="AC10" s="266"/>
      <c r="AD10" s="266"/>
      <c r="AE10" s="266"/>
      <c r="AF10" s="266"/>
      <c r="AG10" s="267"/>
      <c r="AH10" s="4"/>
    </row>
    <row r="11" spans="1:34" ht="19.5" customHeight="1" thickBot="1">
      <c r="A11" s="2"/>
      <c r="B11" s="94" t="s">
        <v>21</v>
      </c>
      <c r="C11" s="95"/>
      <c r="D11" s="95"/>
      <c r="E11" s="95"/>
      <c r="F11" s="95"/>
      <c r="G11" s="95"/>
      <c r="H11" s="95"/>
      <c r="I11" s="96" t="s">
        <v>105</v>
      </c>
      <c r="J11" s="96"/>
      <c r="K11" s="96"/>
      <c r="L11" s="96"/>
      <c r="M11" s="96"/>
      <c r="N11" s="96"/>
      <c r="O11" s="96" t="s">
        <v>74</v>
      </c>
      <c r="P11" s="96"/>
      <c r="Q11" s="96"/>
      <c r="R11" s="96"/>
      <c r="S11" s="96"/>
      <c r="T11" s="96"/>
      <c r="U11" s="96"/>
      <c r="V11" s="96" t="s">
        <v>106</v>
      </c>
      <c r="W11" s="96"/>
      <c r="X11" s="96"/>
      <c r="Y11" s="96"/>
      <c r="Z11" s="96"/>
      <c r="AA11" s="96"/>
      <c r="AB11" s="268" t="s">
        <v>107</v>
      </c>
      <c r="AC11" s="268"/>
      <c r="AD11" s="268"/>
      <c r="AE11" s="268"/>
      <c r="AF11" s="268"/>
      <c r="AG11" s="269"/>
      <c r="AH11" s="4"/>
    </row>
    <row r="12" spans="1:34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4"/>
    </row>
    <row r="13" spans="1:34" ht="21" customHeight="1">
      <c r="A13" s="2"/>
      <c r="B13" s="89" t="s">
        <v>22</v>
      </c>
      <c r="C13" s="89"/>
      <c r="D13" s="89"/>
      <c r="E13" s="89"/>
      <c r="F13" s="103" t="s">
        <v>3</v>
      </c>
      <c r="G13" s="89"/>
      <c r="H13" s="89"/>
      <c r="I13" s="89"/>
      <c r="J13" s="89"/>
      <c r="K13" s="89"/>
      <c r="L13" s="78" t="s">
        <v>112</v>
      </c>
      <c r="M13" s="78"/>
      <c r="N13" s="78"/>
      <c r="O13" s="78"/>
      <c r="P13" s="78"/>
      <c r="Q13" s="78"/>
      <c r="R13" s="78"/>
      <c r="S13" s="78"/>
      <c r="T13" s="89" t="s">
        <v>7</v>
      </c>
      <c r="U13" s="89"/>
      <c r="V13" s="89"/>
      <c r="W13" s="89"/>
      <c r="X13" s="89"/>
      <c r="Y13" s="89"/>
      <c r="Z13" s="78">
        <v>93310021</v>
      </c>
      <c r="AA13" s="78"/>
      <c r="AB13" s="78"/>
      <c r="AC13" s="78"/>
      <c r="AD13" s="78"/>
      <c r="AE13" s="78"/>
      <c r="AF13" s="78"/>
      <c r="AG13" s="78"/>
      <c r="AH13" s="4"/>
    </row>
    <row r="14" spans="1:34" ht="21" customHeight="1">
      <c r="A14" s="2"/>
      <c r="B14" s="89"/>
      <c r="C14" s="89"/>
      <c r="D14" s="89"/>
      <c r="E14" s="89"/>
      <c r="F14" s="85" t="s">
        <v>5</v>
      </c>
      <c r="G14" s="85"/>
      <c r="H14" s="85"/>
      <c r="I14" s="85"/>
      <c r="J14" s="85"/>
      <c r="K14" s="85"/>
      <c r="L14" s="86" t="s">
        <v>75</v>
      </c>
      <c r="M14" s="87"/>
      <c r="N14" s="87"/>
      <c r="O14" s="87"/>
      <c r="P14" s="87"/>
      <c r="Q14" s="87"/>
      <c r="R14" s="87"/>
      <c r="S14" s="88"/>
      <c r="T14" s="89" t="s">
        <v>6</v>
      </c>
      <c r="U14" s="89"/>
      <c r="V14" s="89"/>
      <c r="W14" s="89"/>
      <c r="X14" s="89"/>
      <c r="Y14" s="89"/>
      <c r="Z14" s="90">
        <v>43008</v>
      </c>
      <c r="AA14" s="90"/>
      <c r="AB14" s="90"/>
      <c r="AC14" s="90"/>
      <c r="AD14" s="90"/>
      <c r="AE14" s="90"/>
      <c r="AF14" s="90"/>
      <c r="AG14" s="90"/>
      <c r="AH14" s="4"/>
    </row>
    <row r="15" spans="1:34" ht="17.25" customHeight="1">
      <c r="A15" s="2"/>
      <c r="B15" s="89" t="s">
        <v>23</v>
      </c>
      <c r="C15" s="89"/>
      <c r="D15" s="89"/>
      <c r="E15" s="89"/>
      <c r="F15" s="89"/>
      <c r="G15" s="89"/>
      <c r="H15" s="89"/>
      <c r="I15" s="89"/>
      <c r="J15" s="89"/>
      <c r="K15" s="89"/>
      <c r="L15" s="91">
        <v>15170</v>
      </c>
      <c r="M15" s="92"/>
      <c r="N15" s="92"/>
      <c r="O15" s="92"/>
      <c r="P15" s="92"/>
      <c r="Q15" s="92"/>
      <c r="R15" s="92"/>
      <c r="S15" s="93"/>
      <c r="T15" s="5"/>
      <c r="U15" s="5"/>
      <c r="V15" s="5"/>
      <c r="W15" s="5"/>
      <c r="X15" s="5"/>
      <c r="Y15" s="5"/>
      <c r="Z15" s="6"/>
      <c r="AA15" s="6"/>
      <c r="AB15" s="6"/>
      <c r="AC15" s="6"/>
      <c r="AD15" s="6"/>
      <c r="AE15" s="6"/>
      <c r="AF15" s="6"/>
      <c r="AG15" s="6"/>
      <c r="AH15" s="4"/>
    </row>
    <row r="16" spans="1:34" ht="5.25" customHeight="1">
      <c r="A16" s="2"/>
      <c r="B16" s="5"/>
      <c r="C16" s="5"/>
      <c r="D16" s="5"/>
      <c r="E16" s="5"/>
      <c r="F16" s="5"/>
      <c r="G16" s="5"/>
      <c r="H16" s="5"/>
      <c r="I16" s="5"/>
      <c r="J16" s="5"/>
      <c r="K16" s="5"/>
      <c r="L16" s="3"/>
      <c r="M16" s="3"/>
      <c r="N16" s="3"/>
      <c r="O16" s="3"/>
      <c r="P16" s="3"/>
      <c r="Q16" s="3"/>
      <c r="R16" s="3"/>
      <c r="S16" s="3"/>
      <c r="T16" s="5"/>
      <c r="U16" s="5"/>
      <c r="V16" s="5"/>
      <c r="W16" s="5"/>
      <c r="X16" s="5"/>
      <c r="Y16" s="5"/>
      <c r="Z16" s="3"/>
      <c r="AA16" s="3"/>
      <c r="AB16" s="3"/>
      <c r="AC16" s="3"/>
      <c r="AD16" s="3"/>
      <c r="AE16" s="3"/>
      <c r="AF16" s="3"/>
      <c r="AG16" s="3"/>
      <c r="AH16" s="4"/>
    </row>
    <row r="17" spans="1:34">
      <c r="A17" s="2"/>
      <c r="B17" s="7" t="s">
        <v>24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4"/>
    </row>
    <row r="18" spans="1:34" ht="7.5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4"/>
    </row>
    <row r="19" spans="1:34" ht="15" customHeight="1">
      <c r="A19" s="2"/>
      <c r="B19" s="118" t="s">
        <v>10</v>
      </c>
      <c r="C19" s="119"/>
      <c r="D19" s="119"/>
      <c r="E19" s="119"/>
      <c r="F19" s="119"/>
      <c r="G19" s="119"/>
      <c r="H19" s="119"/>
      <c r="I19" s="119"/>
      <c r="J19" s="119"/>
      <c r="K19" s="120"/>
      <c r="L19" s="89" t="s">
        <v>90</v>
      </c>
      <c r="M19" s="89"/>
      <c r="N19" s="89"/>
      <c r="O19" s="89"/>
      <c r="P19" s="89"/>
      <c r="Q19" s="89"/>
      <c r="R19" s="89"/>
      <c r="S19" s="89"/>
      <c r="T19" s="89"/>
      <c r="U19" s="89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4"/>
    </row>
    <row r="20" spans="1:34" ht="15" customHeight="1">
      <c r="A20" s="2"/>
      <c r="B20" s="121" t="s">
        <v>25</v>
      </c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3"/>
      <c r="V20" s="124" t="s">
        <v>26</v>
      </c>
      <c r="W20" s="125"/>
      <c r="X20" s="125"/>
      <c r="Y20" s="125"/>
      <c r="Z20" s="125"/>
      <c r="AA20" s="125"/>
      <c r="AB20" s="125"/>
      <c r="AC20" s="125"/>
      <c r="AD20" s="125"/>
      <c r="AE20" s="126"/>
      <c r="AF20" s="3"/>
      <c r="AG20" s="3"/>
      <c r="AH20" s="4"/>
    </row>
    <row r="21" spans="1:34" ht="15" customHeight="1">
      <c r="A21" s="2"/>
      <c r="B21" s="130" t="s">
        <v>27</v>
      </c>
      <c r="C21" s="131"/>
      <c r="D21" s="131"/>
      <c r="E21" s="131"/>
      <c r="F21" s="131"/>
      <c r="G21" s="131"/>
      <c r="H21" s="131"/>
      <c r="I21" s="131"/>
      <c r="J21" s="131"/>
      <c r="K21" s="131"/>
      <c r="L21" s="131" t="s">
        <v>28</v>
      </c>
      <c r="M21" s="131"/>
      <c r="N21" s="131"/>
      <c r="O21" s="131"/>
      <c r="P21" s="131"/>
      <c r="Q21" s="131"/>
      <c r="R21" s="131"/>
      <c r="S21" s="131"/>
      <c r="T21" s="131"/>
      <c r="U21" s="132"/>
      <c r="V21" s="127"/>
      <c r="W21" s="128"/>
      <c r="X21" s="128"/>
      <c r="Y21" s="128"/>
      <c r="Z21" s="128"/>
      <c r="AA21" s="128"/>
      <c r="AB21" s="128"/>
      <c r="AC21" s="128"/>
      <c r="AD21" s="128"/>
      <c r="AE21" s="129"/>
      <c r="AF21" s="3"/>
      <c r="AG21" s="3"/>
      <c r="AH21" s="4"/>
    </row>
    <row r="22" spans="1:34">
      <c r="A22" s="2"/>
      <c r="B22" s="104" t="s">
        <v>29</v>
      </c>
      <c r="C22" s="105"/>
      <c r="D22" s="105"/>
      <c r="E22" s="105"/>
      <c r="F22" s="105"/>
      <c r="G22" s="105"/>
      <c r="H22" s="105"/>
      <c r="I22" s="105"/>
      <c r="J22" s="105"/>
      <c r="K22" s="105"/>
      <c r="L22" s="105" t="s">
        <v>30</v>
      </c>
      <c r="M22" s="105"/>
      <c r="N22" s="105"/>
      <c r="O22" s="105"/>
      <c r="P22" s="105"/>
      <c r="Q22" s="105"/>
      <c r="R22" s="105"/>
      <c r="S22" s="105"/>
      <c r="T22" s="105"/>
      <c r="U22" s="106"/>
      <c r="V22" s="107" t="s">
        <v>31</v>
      </c>
      <c r="W22" s="108"/>
      <c r="X22" s="108"/>
      <c r="Y22" s="108"/>
      <c r="Z22" s="108"/>
      <c r="AA22" s="108"/>
      <c r="AB22" s="108"/>
      <c r="AC22" s="108"/>
      <c r="AD22" s="108"/>
      <c r="AE22" s="109"/>
      <c r="AF22" s="3"/>
      <c r="AG22" s="3"/>
      <c r="AH22" s="4"/>
    </row>
    <row r="23" spans="1:34" ht="21" customHeight="1">
      <c r="A23" s="2"/>
      <c r="B23" s="192">
        <v>44.02</v>
      </c>
      <c r="C23" s="193"/>
      <c r="D23" s="193"/>
      <c r="E23" s="193"/>
      <c r="F23" s="193"/>
      <c r="G23" s="193"/>
      <c r="H23" s="193"/>
      <c r="I23" s="193"/>
      <c r="J23" s="193"/>
      <c r="K23" s="193"/>
      <c r="L23" s="112">
        <v>44.12</v>
      </c>
      <c r="M23" s="112"/>
      <c r="N23" s="112"/>
      <c r="O23" s="112"/>
      <c r="P23" s="112"/>
      <c r="Q23" s="112"/>
      <c r="R23" s="112"/>
      <c r="S23" s="112"/>
      <c r="T23" s="112"/>
      <c r="U23" s="113"/>
      <c r="V23" s="114">
        <f>B23/L23*100</f>
        <v>99.773345421577531</v>
      </c>
      <c r="W23" s="115"/>
      <c r="X23" s="115"/>
      <c r="Y23" s="115"/>
      <c r="Z23" s="115"/>
      <c r="AA23" s="115"/>
      <c r="AB23" s="115"/>
      <c r="AC23" s="115"/>
      <c r="AD23" s="116" t="s">
        <v>32</v>
      </c>
      <c r="AE23" s="117"/>
      <c r="AF23" s="3"/>
      <c r="AG23" s="3"/>
      <c r="AH23" s="4"/>
    </row>
    <row r="24" spans="1:34" ht="7.5" customHeight="1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4"/>
    </row>
    <row r="25" spans="1:34" ht="15" customHeight="1">
      <c r="A25" s="2"/>
      <c r="B25" s="118" t="s">
        <v>10</v>
      </c>
      <c r="C25" s="119"/>
      <c r="D25" s="119"/>
      <c r="E25" s="119"/>
      <c r="F25" s="119"/>
      <c r="G25" s="119"/>
      <c r="H25" s="119"/>
      <c r="I25" s="119"/>
      <c r="J25" s="119"/>
      <c r="K25" s="120"/>
      <c r="L25" s="89" t="s">
        <v>81</v>
      </c>
      <c r="M25" s="89"/>
      <c r="N25" s="89"/>
      <c r="O25" s="89"/>
      <c r="P25" s="89"/>
      <c r="Q25" s="89"/>
      <c r="R25" s="89"/>
      <c r="S25" s="89"/>
      <c r="T25" s="89"/>
      <c r="U25" s="89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4"/>
    </row>
    <row r="26" spans="1:34" ht="15" customHeight="1">
      <c r="A26" s="2"/>
      <c r="B26" s="138" t="s">
        <v>25</v>
      </c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3"/>
      <c r="V26" s="124" t="s">
        <v>26</v>
      </c>
      <c r="W26" s="125"/>
      <c r="X26" s="125"/>
      <c r="Y26" s="125"/>
      <c r="Z26" s="125"/>
      <c r="AA26" s="125"/>
      <c r="AB26" s="125"/>
      <c r="AC26" s="125"/>
      <c r="AD26" s="125"/>
      <c r="AE26" s="126"/>
      <c r="AF26" s="3"/>
      <c r="AG26" s="3"/>
      <c r="AH26" s="4"/>
    </row>
    <row r="27" spans="1:34" ht="15" customHeight="1">
      <c r="A27" s="2"/>
      <c r="B27" s="130" t="s">
        <v>34</v>
      </c>
      <c r="C27" s="131"/>
      <c r="D27" s="131"/>
      <c r="E27" s="131"/>
      <c r="F27" s="131"/>
      <c r="G27" s="131"/>
      <c r="H27" s="131"/>
      <c r="I27" s="131"/>
      <c r="J27" s="131"/>
      <c r="K27" s="131"/>
      <c r="L27" s="131" t="s">
        <v>35</v>
      </c>
      <c r="M27" s="131"/>
      <c r="N27" s="131"/>
      <c r="O27" s="131"/>
      <c r="P27" s="131"/>
      <c r="Q27" s="131"/>
      <c r="R27" s="131"/>
      <c r="S27" s="131"/>
      <c r="T27" s="131"/>
      <c r="U27" s="132"/>
      <c r="V27" s="127"/>
      <c r="W27" s="128"/>
      <c r="X27" s="128"/>
      <c r="Y27" s="128"/>
      <c r="Z27" s="128"/>
      <c r="AA27" s="128"/>
      <c r="AB27" s="128"/>
      <c r="AC27" s="128"/>
      <c r="AD27" s="128"/>
      <c r="AE27" s="129"/>
      <c r="AF27" s="3"/>
      <c r="AG27" s="3"/>
      <c r="AH27" s="4"/>
    </row>
    <row r="28" spans="1:34" ht="15" customHeight="1">
      <c r="A28" s="2"/>
      <c r="B28" s="104" t="s">
        <v>29</v>
      </c>
      <c r="C28" s="105"/>
      <c r="D28" s="105"/>
      <c r="E28" s="105"/>
      <c r="F28" s="105"/>
      <c r="G28" s="105"/>
      <c r="H28" s="105"/>
      <c r="I28" s="105"/>
      <c r="J28" s="105"/>
      <c r="K28" s="105"/>
      <c r="L28" s="105" t="s">
        <v>30</v>
      </c>
      <c r="M28" s="105"/>
      <c r="N28" s="105"/>
      <c r="O28" s="105"/>
      <c r="P28" s="105"/>
      <c r="Q28" s="105"/>
      <c r="R28" s="105"/>
      <c r="S28" s="105"/>
      <c r="T28" s="105"/>
      <c r="U28" s="106"/>
      <c r="V28" s="107" t="s">
        <v>31</v>
      </c>
      <c r="W28" s="108"/>
      <c r="X28" s="108"/>
      <c r="Y28" s="108"/>
      <c r="Z28" s="108"/>
      <c r="AA28" s="108"/>
      <c r="AB28" s="108"/>
      <c r="AC28" s="108"/>
      <c r="AD28" s="108"/>
      <c r="AE28" s="109"/>
      <c r="AF28" s="3"/>
      <c r="AG28" s="3"/>
      <c r="AH28" s="4"/>
    </row>
    <row r="29" spans="1:34" ht="21" customHeight="1">
      <c r="A29" s="2"/>
      <c r="B29" s="192"/>
      <c r="C29" s="193"/>
      <c r="D29" s="193"/>
      <c r="E29" s="193"/>
      <c r="F29" s="193"/>
      <c r="G29" s="193"/>
      <c r="H29" s="193"/>
      <c r="I29" s="193"/>
      <c r="J29" s="193"/>
      <c r="K29" s="193"/>
      <c r="L29" s="112"/>
      <c r="M29" s="112"/>
      <c r="N29" s="112"/>
      <c r="O29" s="112"/>
      <c r="P29" s="112"/>
      <c r="Q29" s="112"/>
      <c r="R29" s="112"/>
      <c r="S29" s="112"/>
      <c r="T29" s="112"/>
      <c r="U29" s="113"/>
      <c r="V29" s="114"/>
      <c r="W29" s="115"/>
      <c r="X29" s="115"/>
      <c r="Y29" s="115"/>
      <c r="Z29" s="115"/>
      <c r="AA29" s="115"/>
      <c r="AB29" s="115"/>
      <c r="AC29" s="115"/>
      <c r="AD29" s="116"/>
      <c r="AE29" s="117"/>
      <c r="AF29" s="3"/>
      <c r="AG29" s="3"/>
      <c r="AH29" s="4"/>
    </row>
    <row r="30" spans="1:34" ht="7.5" customHeight="1">
      <c r="A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4"/>
    </row>
    <row r="31" spans="1:34" ht="21" customHeight="1">
      <c r="A31" s="2"/>
      <c r="B31" s="136" t="s">
        <v>36</v>
      </c>
      <c r="C31" s="137"/>
      <c r="D31" s="137"/>
      <c r="E31" s="137"/>
      <c r="F31" s="103"/>
      <c r="G31" s="8"/>
      <c r="H31" s="137" t="s">
        <v>37</v>
      </c>
      <c r="I31" s="137"/>
      <c r="J31" s="137"/>
      <c r="K31" s="137"/>
      <c r="L31" s="137" t="s">
        <v>38</v>
      </c>
      <c r="M31" s="137"/>
      <c r="N31" s="137"/>
      <c r="O31" s="137"/>
      <c r="P31" s="9"/>
      <c r="Q31" s="118" t="s">
        <v>39</v>
      </c>
      <c r="R31" s="119"/>
      <c r="S31" s="119"/>
      <c r="T31" s="119"/>
      <c r="U31" s="120"/>
      <c r="V31" s="136" t="s">
        <v>40</v>
      </c>
      <c r="W31" s="137"/>
      <c r="X31" s="137"/>
      <c r="Y31" s="137"/>
      <c r="Z31" s="137"/>
      <c r="AA31" s="137"/>
      <c r="AB31" s="137"/>
      <c r="AC31" s="137"/>
      <c r="AD31" s="137"/>
      <c r="AE31" s="103"/>
      <c r="AF31" s="3"/>
      <c r="AG31" s="3"/>
      <c r="AH31" s="4"/>
    </row>
    <row r="32" spans="1:34">
      <c r="A32" s="2"/>
      <c r="C32" s="148" t="s">
        <v>41</v>
      </c>
      <c r="D32" s="148"/>
      <c r="E32" s="148"/>
      <c r="F32" s="148"/>
      <c r="G32" s="16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4"/>
    </row>
    <row r="33" spans="1:34">
      <c r="A33" s="2"/>
      <c r="C33" s="149"/>
      <c r="D33" s="149"/>
      <c r="E33" s="149"/>
      <c r="F33" s="149"/>
      <c r="G33" s="16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4"/>
    </row>
    <row r="34" spans="1:34">
      <c r="A34" s="2"/>
      <c r="B34" s="3"/>
      <c r="C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4"/>
    </row>
    <row r="35" spans="1:34">
      <c r="A35" s="2"/>
      <c r="B35" s="11" t="s">
        <v>42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4"/>
    </row>
    <row r="36" spans="1:34" ht="7.5" customHeight="1">
      <c r="A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4"/>
    </row>
    <row r="37" spans="1:34" ht="15" customHeight="1">
      <c r="A37" s="2"/>
      <c r="B37" s="138" t="s">
        <v>43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3"/>
      <c r="V37" s="139" t="s">
        <v>44</v>
      </c>
      <c r="W37" s="140"/>
      <c r="X37" s="140"/>
      <c r="Y37" s="140"/>
      <c r="Z37" s="140"/>
      <c r="AA37" s="140"/>
      <c r="AB37" s="140"/>
      <c r="AC37" s="140"/>
      <c r="AD37" s="140"/>
      <c r="AE37" s="141"/>
      <c r="AF37" s="3"/>
      <c r="AG37" s="3"/>
      <c r="AH37" s="4"/>
    </row>
    <row r="38" spans="1:34" ht="15" customHeight="1">
      <c r="A38" s="2"/>
      <c r="B38" s="130" t="s">
        <v>18</v>
      </c>
      <c r="C38" s="131"/>
      <c r="D38" s="131"/>
      <c r="E38" s="131"/>
      <c r="F38" s="131"/>
      <c r="G38" s="131"/>
      <c r="H38" s="131"/>
      <c r="I38" s="131"/>
      <c r="J38" s="131"/>
      <c r="K38" s="131"/>
      <c r="L38" s="131" t="s">
        <v>45</v>
      </c>
      <c r="M38" s="131"/>
      <c r="N38" s="131"/>
      <c r="O38" s="131"/>
      <c r="P38" s="131"/>
      <c r="Q38" s="131"/>
      <c r="R38" s="131"/>
      <c r="S38" s="131"/>
      <c r="T38" s="131"/>
      <c r="U38" s="132"/>
      <c r="V38" s="142"/>
      <c r="W38" s="143"/>
      <c r="X38" s="143"/>
      <c r="Y38" s="143"/>
      <c r="Z38" s="143"/>
      <c r="AA38" s="143"/>
      <c r="AB38" s="143"/>
      <c r="AC38" s="143"/>
      <c r="AD38" s="143"/>
      <c r="AE38" s="144"/>
      <c r="AF38" s="3"/>
      <c r="AG38" s="3"/>
      <c r="AH38" s="4"/>
    </row>
    <row r="39" spans="1:34" ht="15" customHeight="1">
      <c r="A39" s="2"/>
      <c r="B39" s="145" t="s">
        <v>46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 t="s">
        <v>47</v>
      </c>
      <c r="M39" s="146"/>
      <c r="N39" s="146"/>
      <c r="O39" s="146"/>
      <c r="P39" s="146"/>
      <c r="Q39" s="146"/>
      <c r="R39" s="146"/>
      <c r="S39" s="146"/>
      <c r="T39" s="146"/>
      <c r="U39" s="147"/>
      <c r="V39" s="145" t="s">
        <v>31</v>
      </c>
      <c r="W39" s="146"/>
      <c r="X39" s="146"/>
      <c r="Y39" s="146"/>
      <c r="Z39" s="146"/>
      <c r="AA39" s="146"/>
      <c r="AB39" s="146"/>
      <c r="AC39" s="146"/>
      <c r="AD39" s="146"/>
      <c r="AE39" s="147"/>
      <c r="AF39" s="3"/>
      <c r="AG39" s="3"/>
      <c r="AH39" s="4"/>
    </row>
    <row r="40" spans="1:34" ht="21" customHeight="1">
      <c r="A40" s="2"/>
      <c r="B40" s="110">
        <v>45.17</v>
      </c>
      <c r="C40" s="111"/>
      <c r="D40" s="111"/>
      <c r="E40" s="111"/>
      <c r="F40" s="111"/>
      <c r="G40" s="111"/>
      <c r="H40" s="111"/>
      <c r="I40" s="111"/>
      <c r="J40" s="111"/>
      <c r="K40" s="111"/>
      <c r="L40" s="193">
        <v>45.2</v>
      </c>
      <c r="M40" s="193"/>
      <c r="N40" s="193"/>
      <c r="O40" s="193"/>
      <c r="P40" s="193"/>
      <c r="Q40" s="193"/>
      <c r="R40" s="193"/>
      <c r="S40" s="193"/>
      <c r="T40" s="193"/>
      <c r="U40" s="265"/>
      <c r="V40" s="192">
        <f>100*(L40-B40)/Z5</f>
        <v>6.0000000000002274E-2</v>
      </c>
      <c r="W40" s="193"/>
      <c r="X40" s="193"/>
      <c r="Y40" s="193"/>
      <c r="Z40" s="193"/>
      <c r="AA40" s="193"/>
      <c r="AB40" s="193"/>
      <c r="AC40" s="194"/>
      <c r="AD40" s="195" t="s">
        <v>32</v>
      </c>
      <c r="AE40" s="196"/>
      <c r="AF40" s="3"/>
      <c r="AG40" s="3"/>
      <c r="AH40" s="4"/>
    </row>
    <row r="41" spans="1:34" ht="21" customHeight="1">
      <c r="A41" s="2"/>
      <c r="B41" s="136" t="s">
        <v>36</v>
      </c>
      <c r="C41" s="137"/>
      <c r="D41" s="137"/>
      <c r="E41" s="137"/>
      <c r="F41" s="103"/>
      <c r="G41" s="8"/>
      <c r="H41" s="137" t="s">
        <v>37</v>
      </c>
      <c r="I41" s="137"/>
      <c r="J41" s="137"/>
      <c r="K41" s="137"/>
      <c r="L41" s="137" t="s">
        <v>38</v>
      </c>
      <c r="M41" s="137"/>
      <c r="N41" s="137"/>
      <c r="O41" s="137"/>
      <c r="P41" s="9"/>
      <c r="Q41" s="118" t="s">
        <v>39</v>
      </c>
      <c r="R41" s="119"/>
      <c r="S41" s="119"/>
      <c r="T41" s="119"/>
      <c r="U41" s="120"/>
      <c r="V41" s="136" t="s">
        <v>48</v>
      </c>
      <c r="W41" s="137"/>
      <c r="X41" s="137"/>
      <c r="Y41" s="137"/>
      <c r="Z41" s="137"/>
      <c r="AA41" s="137"/>
      <c r="AB41" s="137"/>
      <c r="AC41" s="137"/>
      <c r="AD41" s="137"/>
      <c r="AE41" s="103"/>
      <c r="AF41" s="3"/>
      <c r="AG41" s="3"/>
      <c r="AH41" s="4"/>
    </row>
    <row r="42" spans="1:34">
      <c r="A42" s="2"/>
      <c r="B42" s="150" t="s">
        <v>41</v>
      </c>
      <c r="C42" s="150"/>
      <c r="D42" s="150"/>
      <c r="E42" s="150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4"/>
    </row>
    <row r="43" spans="1:34" ht="15.75" thickBot="1">
      <c r="A43" s="2"/>
      <c r="B43" s="150"/>
      <c r="C43" s="150"/>
      <c r="D43" s="150"/>
      <c r="E43" s="150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4"/>
    </row>
    <row r="44" spans="1:34" ht="10.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151" t="s">
        <v>49</v>
      </c>
      <c r="Z44" s="152"/>
      <c r="AA44" s="152"/>
      <c r="AB44" s="152"/>
      <c r="AC44" s="153"/>
      <c r="AD44" s="157" t="s">
        <v>50</v>
      </c>
      <c r="AE44" s="157"/>
      <c r="AF44" s="157"/>
      <c r="AG44" s="157"/>
      <c r="AH44" s="158"/>
    </row>
    <row r="45" spans="1:34" ht="15.75" thickBot="1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154"/>
      <c r="Z45" s="155"/>
      <c r="AA45" s="155"/>
      <c r="AB45" s="155"/>
      <c r="AC45" s="156"/>
      <c r="AD45" s="159"/>
      <c r="AE45" s="159"/>
      <c r="AF45" s="159"/>
      <c r="AG45" s="159"/>
      <c r="AH45" s="160"/>
    </row>
    <row r="46" spans="1:34" ht="15" customHeight="1">
      <c r="A46" s="2"/>
      <c r="B46" s="161" t="s">
        <v>51</v>
      </c>
      <c r="C46" s="162"/>
      <c r="D46" s="162"/>
      <c r="E46" s="162"/>
      <c r="F46" s="162"/>
      <c r="G46" s="163"/>
      <c r="H46" s="170" t="s">
        <v>37</v>
      </c>
      <c r="I46" s="171"/>
      <c r="J46" s="171"/>
      <c r="K46" s="171"/>
      <c r="L46" s="171"/>
      <c r="M46" s="172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176"/>
      <c r="Z46" s="177"/>
      <c r="AA46" s="177"/>
      <c r="AB46" s="177"/>
      <c r="AC46" s="178"/>
      <c r="AD46" s="183"/>
      <c r="AE46" s="184"/>
      <c r="AF46" s="184"/>
      <c r="AG46" s="184"/>
      <c r="AH46" s="185"/>
    </row>
    <row r="47" spans="1:34" ht="15" customHeight="1">
      <c r="A47" s="2"/>
      <c r="B47" s="164"/>
      <c r="C47" s="165"/>
      <c r="D47" s="165"/>
      <c r="E47" s="165"/>
      <c r="F47" s="165"/>
      <c r="G47" s="166"/>
      <c r="H47" s="173"/>
      <c r="I47" s="174"/>
      <c r="J47" s="174"/>
      <c r="K47" s="174"/>
      <c r="L47" s="174"/>
      <c r="M47" s="175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179"/>
      <c r="Z47" s="177"/>
      <c r="AA47" s="177"/>
      <c r="AB47" s="177"/>
      <c r="AC47" s="178"/>
      <c r="AD47" s="184"/>
      <c r="AE47" s="184"/>
      <c r="AF47" s="184"/>
      <c r="AG47" s="184"/>
      <c r="AH47" s="185"/>
    </row>
    <row r="48" spans="1:34" ht="15" customHeight="1">
      <c r="A48" s="2"/>
      <c r="B48" s="164"/>
      <c r="C48" s="165"/>
      <c r="D48" s="165"/>
      <c r="E48" s="165"/>
      <c r="F48" s="165"/>
      <c r="G48" s="166"/>
      <c r="H48" s="173" t="s">
        <v>38</v>
      </c>
      <c r="I48" s="174"/>
      <c r="J48" s="174"/>
      <c r="K48" s="174"/>
      <c r="L48" s="174"/>
      <c r="M48" s="175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179"/>
      <c r="Z48" s="177"/>
      <c r="AA48" s="177"/>
      <c r="AB48" s="177"/>
      <c r="AC48" s="178"/>
      <c r="AD48" s="184"/>
      <c r="AE48" s="184"/>
      <c r="AF48" s="184"/>
      <c r="AG48" s="184"/>
      <c r="AH48" s="185"/>
    </row>
    <row r="49" spans="1:34" ht="15" customHeight="1" thickBot="1">
      <c r="A49" s="2"/>
      <c r="B49" s="167"/>
      <c r="C49" s="168"/>
      <c r="D49" s="168"/>
      <c r="E49" s="168"/>
      <c r="F49" s="168"/>
      <c r="G49" s="169"/>
      <c r="H49" s="188"/>
      <c r="I49" s="189"/>
      <c r="J49" s="189"/>
      <c r="K49" s="189"/>
      <c r="L49" s="189"/>
      <c r="M49" s="190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179"/>
      <c r="Z49" s="177"/>
      <c r="AA49" s="177"/>
      <c r="AB49" s="177"/>
      <c r="AC49" s="178"/>
      <c r="AD49" s="184"/>
      <c r="AE49" s="184"/>
      <c r="AF49" s="184"/>
      <c r="AG49" s="184"/>
      <c r="AH49" s="185"/>
    </row>
    <row r="50" spans="1:34" ht="10.5" customHeight="1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180"/>
      <c r="Z50" s="181"/>
      <c r="AA50" s="181"/>
      <c r="AB50" s="181"/>
      <c r="AC50" s="182"/>
      <c r="AD50" s="186"/>
      <c r="AE50" s="186"/>
      <c r="AF50" s="186"/>
      <c r="AG50" s="186"/>
      <c r="AH50" s="187"/>
    </row>
    <row r="51" spans="1:34" s="13" customFormat="1" ht="22.5" customHeight="1" thickBot="1">
      <c r="A51" s="199" t="s">
        <v>76</v>
      </c>
      <c r="B51" s="200"/>
      <c r="C51" s="200"/>
      <c r="D51" s="200"/>
      <c r="E51" s="200" t="s">
        <v>52</v>
      </c>
      <c r="F51" s="200"/>
      <c r="G51" s="200"/>
      <c r="H51" s="200"/>
      <c r="I51" s="201"/>
      <c r="J51" s="202" t="s">
        <v>77</v>
      </c>
      <c r="K51" s="200"/>
      <c r="L51" s="200"/>
      <c r="M51" s="200"/>
      <c r="N51" s="200" t="s">
        <v>78</v>
      </c>
      <c r="O51" s="200"/>
      <c r="P51" s="200"/>
      <c r="Q51" s="201"/>
      <c r="R51" s="203"/>
      <c r="S51" s="204"/>
      <c r="T51" s="204"/>
      <c r="U51" s="204"/>
      <c r="V51" s="204"/>
      <c r="W51" s="204"/>
      <c r="X51" s="205"/>
      <c r="Y51" s="202" t="s">
        <v>79</v>
      </c>
      <c r="Z51" s="200"/>
      <c r="AA51" s="200"/>
      <c r="AB51" s="200"/>
      <c r="AC51" s="200"/>
      <c r="AD51" s="197">
        <v>41883</v>
      </c>
      <c r="AE51" s="197"/>
      <c r="AF51" s="197"/>
      <c r="AG51" s="197"/>
      <c r="AH51" s="198"/>
    </row>
    <row r="53" spans="1:34" ht="15.75" thickBot="1"/>
    <row r="54" spans="1:34" ht="27" customHeight="1">
      <c r="A54" s="45" t="s">
        <v>53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7"/>
      <c r="AD54" s="48" t="s">
        <v>54</v>
      </c>
      <c r="AE54" s="49"/>
      <c r="AF54" s="49"/>
      <c r="AG54" s="50" t="s">
        <v>2</v>
      </c>
      <c r="AH54" s="51"/>
    </row>
    <row r="55" spans="1:34" ht="19.5" customHeight="1">
      <c r="A55" s="52" t="s">
        <v>3</v>
      </c>
      <c r="B55" s="53"/>
      <c r="C55" s="53"/>
      <c r="D55" s="53"/>
      <c r="E55" s="53"/>
      <c r="F55" s="53"/>
      <c r="G55" s="54" t="s">
        <v>85</v>
      </c>
      <c r="H55" s="55"/>
      <c r="I55" s="55"/>
      <c r="J55" s="55"/>
      <c r="K55" s="55"/>
      <c r="L55" s="55"/>
      <c r="M55" s="55"/>
      <c r="N55" s="55"/>
      <c r="O55" s="55"/>
      <c r="P55" s="55"/>
      <c r="Q55" s="56"/>
      <c r="R55" s="28" t="s">
        <v>4</v>
      </c>
      <c r="S55" s="29"/>
      <c r="T55" s="29"/>
      <c r="U55" s="29"/>
      <c r="V55" s="29"/>
      <c r="W55" s="30"/>
      <c r="X55" s="31">
        <f>X2</f>
        <v>42886</v>
      </c>
      <c r="Y55" s="32"/>
      <c r="Z55" s="32"/>
      <c r="AA55" s="32"/>
      <c r="AB55" s="32"/>
      <c r="AC55" s="32"/>
      <c r="AD55" s="32"/>
      <c r="AE55" s="32"/>
      <c r="AF55" s="32"/>
      <c r="AG55" s="32"/>
      <c r="AH55" s="33"/>
    </row>
    <row r="56" spans="1:34" ht="19.5" customHeight="1">
      <c r="A56" s="34" t="s">
        <v>55</v>
      </c>
      <c r="B56" s="35"/>
      <c r="C56" s="35"/>
      <c r="D56" s="35"/>
      <c r="E56" s="35"/>
      <c r="F56" s="35"/>
      <c r="G56" s="25" t="s">
        <v>83</v>
      </c>
      <c r="H56" s="26"/>
      <c r="I56" s="26"/>
      <c r="J56" s="26"/>
      <c r="K56" s="26"/>
      <c r="L56" s="26"/>
      <c r="M56" s="26"/>
      <c r="N56" s="26"/>
      <c r="O56" s="26"/>
      <c r="P56" s="26"/>
      <c r="Q56" s="27"/>
      <c r="R56" s="28" t="s">
        <v>6</v>
      </c>
      <c r="S56" s="29"/>
      <c r="T56" s="29"/>
      <c r="U56" s="29"/>
      <c r="V56" s="29"/>
      <c r="W56" s="30"/>
      <c r="X56" s="31">
        <f>X3</f>
        <v>43251</v>
      </c>
      <c r="Y56" s="32"/>
      <c r="Z56" s="32"/>
      <c r="AA56" s="32"/>
      <c r="AB56" s="32"/>
      <c r="AC56" s="32"/>
      <c r="AD56" s="32"/>
      <c r="AE56" s="32"/>
      <c r="AF56" s="32"/>
      <c r="AG56" s="32"/>
      <c r="AH56" s="33"/>
    </row>
    <row r="57" spans="1:34" ht="19.5" customHeight="1">
      <c r="A57" s="34" t="s">
        <v>7</v>
      </c>
      <c r="B57" s="35"/>
      <c r="C57" s="35"/>
      <c r="D57" s="35"/>
      <c r="E57" s="35"/>
      <c r="F57" s="35"/>
      <c r="G57" s="36" t="s">
        <v>84</v>
      </c>
      <c r="H57" s="37"/>
      <c r="I57" s="37"/>
      <c r="J57" s="37"/>
      <c r="K57" s="37"/>
      <c r="L57" s="37"/>
      <c r="M57" s="37"/>
      <c r="N57" s="37"/>
      <c r="O57" s="37"/>
      <c r="P57" s="37"/>
      <c r="Q57" s="38"/>
      <c r="R57" s="39" t="s">
        <v>8</v>
      </c>
      <c r="S57" s="40"/>
      <c r="T57" s="40"/>
      <c r="U57" s="40"/>
      <c r="V57" s="40"/>
      <c r="W57" s="41"/>
      <c r="X57" s="42" t="s">
        <v>9</v>
      </c>
      <c r="Y57" s="43"/>
      <c r="Z57" s="43"/>
      <c r="AA57" s="43"/>
      <c r="AB57" s="43"/>
      <c r="AC57" s="43"/>
      <c r="AD57" s="43"/>
      <c r="AE57" s="43"/>
      <c r="AF57" s="43"/>
      <c r="AG57" s="43"/>
      <c r="AH57" s="44"/>
    </row>
    <row r="58" spans="1:34" ht="19.5" customHeight="1">
      <c r="A58" s="65" t="s">
        <v>10</v>
      </c>
      <c r="B58" s="66"/>
      <c r="C58" s="66"/>
      <c r="D58" s="66"/>
      <c r="E58" s="66"/>
      <c r="F58" s="67"/>
      <c r="G58" s="68" t="s">
        <v>94</v>
      </c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9" t="s">
        <v>11</v>
      </c>
      <c r="S58" s="69"/>
      <c r="T58" s="69"/>
      <c r="U58" s="69"/>
      <c r="V58" s="69"/>
      <c r="W58" s="69"/>
      <c r="X58" s="70" t="s">
        <v>12</v>
      </c>
      <c r="Y58" s="71"/>
      <c r="Z58" s="72">
        <f>Z5</f>
        <v>50</v>
      </c>
      <c r="AA58" s="73"/>
      <c r="AB58" s="73"/>
      <c r="AC58" s="73"/>
      <c r="AD58" s="74" t="s">
        <v>56</v>
      </c>
      <c r="AE58" s="74"/>
      <c r="AF58" s="74"/>
      <c r="AG58" s="74"/>
      <c r="AH58" s="75"/>
    </row>
    <row r="59" spans="1:34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4"/>
    </row>
    <row r="60" spans="1:34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4"/>
    </row>
    <row r="61" spans="1:34">
      <c r="A61" s="2"/>
      <c r="B61" s="7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4"/>
    </row>
    <row r="62" spans="1:34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4"/>
    </row>
    <row r="63" spans="1:34" ht="15" customHeight="1">
      <c r="A63" s="2"/>
      <c r="B63" s="213"/>
      <c r="C63" s="214"/>
      <c r="D63" s="214"/>
      <c r="E63" s="215"/>
      <c r="F63" s="138" t="s">
        <v>58</v>
      </c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3"/>
      <c r="T63" s="138" t="s">
        <v>20</v>
      </c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3"/>
      <c r="AH63" s="4"/>
    </row>
    <row r="64" spans="1:34" ht="39.75" customHeight="1">
      <c r="A64" s="2"/>
      <c r="B64" s="216"/>
      <c r="C64" s="217"/>
      <c r="D64" s="217"/>
      <c r="E64" s="218"/>
      <c r="F64" s="130" t="s">
        <v>45</v>
      </c>
      <c r="G64" s="131"/>
      <c r="H64" s="131"/>
      <c r="I64" s="131"/>
      <c r="J64" s="131"/>
      <c r="K64" s="219" t="s">
        <v>59</v>
      </c>
      <c r="L64" s="220"/>
      <c r="M64" s="220"/>
      <c r="N64" s="220"/>
      <c r="O64" s="221" t="s">
        <v>60</v>
      </c>
      <c r="P64" s="131"/>
      <c r="Q64" s="131"/>
      <c r="R64" s="131"/>
      <c r="S64" s="132"/>
      <c r="T64" s="130" t="s">
        <v>45</v>
      </c>
      <c r="U64" s="131"/>
      <c r="V64" s="131"/>
      <c r="W64" s="131"/>
      <c r="X64" s="131"/>
      <c r="Y64" s="219" t="s">
        <v>59</v>
      </c>
      <c r="Z64" s="220"/>
      <c r="AA64" s="220"/>
      <c r="AB64" s="220"/>
      <c r="AC64" s="221" t="s">
        <v>60</v>
      </c>
      <c r="AD64" s="131"/>
      <c r="AE64" s="131"/>
      <c r="AF64" s="131"/>
      <c r="AG64" s="132"/>
      <c r="AH64" s="4"/>
    </row>
    <row r="65" spans="1:34" ht="15" customHeight="1">
      <c r="A65" s="2"/>
      <c r="B65" s="216"/>
      <c r="C65" s="217"/>
      <c r="D65" s="217"/>
      <c r="E65" s="218"/>
      <c r="F65" s="130" t="s">
        <v>61</v>
      </c>
      <c r="G65" s="131"/>
      <c r="H65" s="131"/>
      <c r="I65" s="131"/>
      <c r="J65" s="131"/>
      <c r="K65" s="131" t="s">
        <v>62</v>
      </c>
      <c r="L65" s="131"/>
      <c r="M65" s="131"/>
      <c r="N65" s="131"/>
      <c r="O65" s="131" t="s">
        <v>63</v>
      </c>
      <c r="P65" s="131"/>
      <c r="Q65" s="131"/>
      <c r="R65" s="131"/>
      <c r="S65" s="132"/>
      <c r="T65" s="130" t="s">
        <v>64</v>
      </c>
      <c r="U65" s="131"/>
      <c r="V65" s="131"/>
      <c r="W65" s="131"/>
      <c r="X65" s="131"/>
      <c r="Y65" s="131" t="s">
        <v>65</v>
      </c>
      <c r="Z65" s="131"/>
      <c r="AA65" s="131"/>
      <c r="AB65" s="131"/>
      <c r="AC65" s="131" t="s">
        <v>66</v>
      </c>
      <c r="AD65" s="131"/>
      <c r="AE65" s="131"/>
      <c r="AF65" s="131"/>
      <c r="AG65" s="132"/>
      <c r="AH65" s="4"/>
    </row>
    <row r="66" spans="1:34" ht="15" customHeight="1">
      <c r="A66" s="2"/>
      <c r="B66" s="206"/>
      <c r="C66" s="207"/>
      <c r="D66" s="208" t="s">
        <v>67</v>
      </c>
      <c r="E66" s="209"/>
      <c r="F66" s="210"/>
      <c r="G66" s="211"/>
      <c r="H66" s="211"/>
      <c r="I66" s="211"/>
      <c r="J66" s="211"/>
      <c r="K66" s="211"/>
      <c r="L66" s="211"/>
      <c r="M66" s="211"/>
      <c r="N66" s="211"/>
      <c r="O66" s="211" t="s">
        <v>32</v>
      </c>
      <c r="P66" s="211"/>
      <c r="Q66" s="211"/>
      <c r="R66" s="211"/>
      <c r="S66" s="212"/>
      <c r="T66" s="210"/>
      <c r="U66" s="211"/>
      <c r="V66" s="211"/>
      <c r="W66" s="211"/>
      <c r="X66" s="211"/>
      <c r="Y66" s="211"/>
      <c r="Z66" s="211"/>
      <c r="AA66" s="211"/>
      <c r="AB66" s="211"/>
      <c r="AC66" s="211" t="s">
        <v>32</v>
      </c>
      <c r="AD66" s="211"/>
      <c r="AE66" s="211"/>
      <c r="AF66" s="211"/>
      <c r="AG66" s="212"/>
      <c r="AH66" s="4"/>
    </row>
    <row r="67" spans="1:34" ht="21" customHeight="1">
      <c r="A67" s="2"/>
      <c r="B67" s="124" t="s">
        <v>68</v>
      </c>
      <c r="C67" s="125"/>
      <c r="D67" s="125"/>
      <c r="E67" s="126"/>
      <c r="F67" s="222">
        <v>-0.02</v>
      </c>
      <c r="G67" s="223"/>
      <c r="H67" s="223"/>
      <c r="I67" s="223"/>
      <c r="J67" s="224"/>
      <c r="K67" s="225">
        <f>F67-$F$70</f>
        <v>0</v>
      </c>
      <c r="L67" s="225"/>
      <c r="M67" s="225"/>
      <c r="N67" s="226"/>
      <c r="O67" s="225">
        <f>K67/$Z$58*100</f>
        <v>0</v>
      </c>
      <c r="P67" s="225"/>
      <c r="Q67" s="225"/>
      <c r="R67" s="225"/>
      <c r="S67" s="227"/>
      <c r="T67" s="228">
        <v>45.19</v>
      </c>
      <c r="U67" s="229"/>
      <c r="V67" s="229"/>
      <c r="W67" s="229"/>
      <c r="X67" s="230"/>
      <c r="Y67" s="229">
        <f>T67-$T$70</f>
        <v>4.9999999999997158E-2</v>
      </c>
      <c r="Z67" s="229"/>
      <c r="AA67" s="229"/>
      <c r="AB67" s="229"/>
      <c r="AC67" s="231">
        <f>Y67/$Z$58*100</f>
        <v>9.9999999999994316E-2</v>
      </c>
      <c r="AD67" s="231"/>
      <c r="AE67" s="231"/>
      <c r="AF67" s="231"/>
      <c r="AG67" s="232"/>
      <c r="AH67" s="4"/>
    </row>
    <row r="68" spans="1:34" ht="21" customHeight="1">
      <c r="A68" s="2"/>
      <c r="B68" s="124" t="s">
        <v>69</v>
      </c>
      <c r="C68" s="125"/>
      <c r="D68" s="125"/>
      <c r="E68" s="126"/>
      <c r="F68" s="241">
        <v>-0.03</v>
      </c>
      <c r="G68" s="242"/>
      <c r="H68" s="242"/>
      <c r="I68" s="242"/>
      <c r="J68" s="243"/>
      <c r="K68" s="231">
        <f>F68-$F$70</f>
        <v>-9.9999999999999985E-3</v>
      </c>
      <c r="L68" s="231"/>
      <c r="M68" s="231"/>
      <c r="N68" s="231"/>
      <c r="O68" s="231">
        <f>K68/$Z$58*100</f>
        <v>-1.9999999999999997E-2</v>
      </c>
      <c r="P68" s="231"/>
      <c r="Q68" s="231"/>
      <c r="R68" s="231"/>
      <c r="S68" s="232"/>
      <c r="T68" s="244">
        <v>45.13</v>
      </c>
      <c r="U68" s="231"/>
      <c r="V68" s="231"/>
      <c r="W68" s="231"/>
      <c r="X68" s="245"/>
      <c r="Y68" s="231">
        <f>T68-$T$70</f>
        <v>-9.9999999999980105E-3</v>
      </c>
      <c r="Z68" s="231"/>
      <c r="AA68" s="231"/>
      <c r="AB68" s="231"/>
      <c r="AC68" s="231">
        <f>Y68/$Z$58*100</f>
        <v>-1.9999999999996021E-2</v>
      </c>
      <c r="AD68" s="231"/>
      <c r="AE68" s="231"/>
      <c r="AF68" s="231"/>
      <c r="AG68" s="232"/>
      <c r="AH68" s="4"/>
    </row>
    <row r="69" spans="1:34" ht="21" customHeight="1">
      <c r="A69" s="2"/>
      <c r="B69" s="124" t="s">
        <v>70</v>
      </c>
      <c r="C69" s="125"/>
      <c r="D69" s="125"/>
      <c r="E69" s="126"/>
      <c r="F69" s="233">
        <v>-0.02</v>
      </c>
      <c r="G69" s="234"/>
      <c r="H69" s="234"/>
      <c r="I69" s="234"/>
      <c r="J69" s="235"/>
      <c r="K69" s="236">
        <f>F69-$F$70</f>
        <v>0</v>
      </c>
      <c r="L69" s="236"/>
      <c r="M69" s="236"/>
      <c r="N69" s="237"/>
      <c r="O69" s="238">
        <f>K69/$Z$58*100</f>
        <v>0</v>
      </c>
      <c r="P69" s="238"/>
      <c r="Q69" s="238"/>
      <c r="R69" s="238"/>
      <c r="S69" s="239"/>
      <c r="T69" s="233">
        <v>45.09</v>
      </c>
      <c r="U69" s="234"/>
      <c r="V69" s="234"/>
      <c r="W69" s="234"/>
      <c r="X69" s="234"/>
      <c r="Y69" s="240">
        <f>T69-$T$70</f>
        <v>-4.9999999999997158E-2</v>
      </c>
      <c r="Z69" s="240"/>
      <c r="AA69" s="240"/>
      <c r="AB69" s="240"/>
      <c r="AC69" s="231">
        <f>Y69/$Z$58*100</f>
        <v>-9.9999999999994316E-2</v>
      </c>
      <c r="AD69" s="231"/>
      <c r="AE69" s="231"/>
      <c r="AF69" s="231"/>
      <c r="AG69" s="232"/>
      <c r="AH69" s="4"/>
    </row>
    <row r="70" spans="1:34" ht="21" customHeight="1">
      <c r="A70" s="2"/>
      <c r="B70" s="249" t="s">
        <v>71</v>
      </c>
      <c r="C70" s="137"/>
      <c r="D70" s="137"/>
      <c r="E70" s="103"/>
      <c r="F70" s="222">
        <f>ROUND(AVERAGE(F67:J69),2)</f>
        <v>-0.02</v>
      </c>
      <c r="G70" s="223"/>
      <c r="H70" s="223"/>
      <c r="I70" s="223"/>
      <c r="J70" s="224"/>
      <c r="K70" s="250" t="s">
        <v>72</v>
      </c>
      <c r="L70" s="251"/>
      <c r="M70" s="251"/>
      <c r="N70" s="252"/>
      <c r="O70" s="253">
        <f>ROUND(AVERAGE(O67:S69),2)</f>
        <v>-0.01</v>
      </c>
      <c r="P70" s="254"/>
      <c r="Q70" s="254"/>
      <c r="R70" s="254"/>
      <c r="S70" s="255"/>
      <c r="T70" s="256">
        <f>ROUND(AVERAGE(T67:X69),2)</f>
        <v>45.14</v>
      </c>
      <c r="U70" s="112"/>
      <c r="V70" s="112"/>
      <c r="W70" s="112"/>
      <c r="X70" s="112"/>
      <c r="Y70" s="250" t="s">
        <v>72</v>
      </c>
      <c r="Z70" s="251"/>
      <c r="AA70" s="251"/>
      <c r="AB70" s="252"/>
      <c r="AC70" s="112">
        <f>ROUND(AVERAGE(AC67:AG69),2)</f>
        <v>-0.01</v>
      </c>
      <c r="AD70" s="112"/>
      <c r="AE70" s="112"/>
      <c r="AF70" s="112"/>
      <c r="AG70" s="113"/>
      <c r="AH70" s="4"/>
    </row>
    <row r="71" spans="1:34" ht="27" customHeight="1">
      <c r="A71" s="2"/>
      <c r="B71" s="136" t="s">
        <v>36</v>
      </c>
      <c r="C71" s="137"/>
      <c r="D71" s="137"/>
      <c r="E71" s="103"/>
      <c r="F71" s="12"/>
      <c r="G71" s="137" t="s">
        <v>37</v>
      </c>
      <c r="H71" s="137"/>
      <c r="I71" s="137"/>
      <c r="J71" s="137"/>
      <c r="K71" s="137" t="s">
        <v>38</v>
      </c>
      <c r="L71" s="137"/>
      <c r="M71" s="137"/>
      <c r="N71" s="137"/>
      <c r="O71" s="246" t="s">
        <v>39</v>
      </c>
      <c r="P71" s="247"/>
      <c r="Q71" s="247"/>
      <c r="R71" s="247"/>
      <c r="S71" s="248"/>
      <c r="T71" s="89" t="s">
        <v>73</v>
      </c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4"/>
    </row>
    <row r="72" spans="1:34">
      <c r="A72" s="2"/>
      <c r="B72" s="150" t="s">
        <v>41</v>
      </c>
      <c r="C72" s="150"/>
      <c r="D72" s="150"/>
      <c r="E72" s="15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4"/>
    </row>
    <row r="73" spans="1:34">
      <c r="A73" s="2"/>
      <c r="B73" s="150"/>
      <c r="C73" s="150"/>
      <c r="D73" s="150"/>
      <c r="E73" s="15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4"/>
    </row>
    <row r="74" spans="1:34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4"/>
    </row>
    <row r="75" spans="1:34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4"/>
    </row>
    <row r="76" spans="1:34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4"/>
    </row>
    <row r="77" spans="1:34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4"/>
    </row>
    <row r="78" spans="1:34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4"/>
    </row>
    <row r="79" spans="1:34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4"/>
    </row>
    <row r="80" spans="1:34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4"/>
    </row>
    <row r="81" spans="1:34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4"/>
    </row>
    <row r="82" spans="1:34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4"/>
    </row>
    <row r="83" spans="1:34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4"/>
    </row>
    <row r="84" spans="1:34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4"/>
    </row>
    <row r="85" spans="1:34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4"/>
    </row>
    <row r="86" spans="1:34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4"/>
    </row>
    <row r="87" spans="1:34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4"/>
    </row>
    <row r="88" spans="1:34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4"/>
    </row>
    <row r="89" spans="1:34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4"/>
    </row>
    <row r="90" spans="1:34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4"/>
    </row>
    <row r="91" spans="1:34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4"/>
    </row>
    <row r="92" spans="1:34" ht="4.5" customHeight="1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4"/>
    </row>
    <row r="93" spans="1:34" ht="15.75" thickBot="1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4"/>
    </row>
    <row r="94" spans="1:34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151" t="s">
        <v>49</v>
      </c>
      <c r="Z94" s="152"/>
      <c r="AA94" s="152"/>
      <c r="AB94" s="152"/>
      <c r="AC94" s="153"/>
      <c r="AD94" s="157" t="s">
        <v>50</v>
      </c>
      <c r="AE94" s="157"/>
      <c r="AF94" s="157"/>
      <c r="AG94" s="157"/>
      <c r="AH94" s="158"/>
    </row>
    <row r="95" spans="1:34" ht="15.75" thickBot="1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154"/>
      <c r="Z95" s="155"/>
      <c r="AA95" s="155"/>
      <c r="AB95" s="155"/>
      <c r="AC95" s="156"/>
      <c r="AD95" s="159"/>
      <c r="AE95" s="159"/>
      <c r="AF95" s="159"/>
      <c r="AG95" s="159"/>
      <c r="AH95" s="160"/>
    </row>
    <row r="96" spans="1:34" ht="15" customHeight="1">
      <c r="A96" s="2"/>
      <c r="B96" s="161" t="s">
        <v>51</v>
      </c>
      <c r="C96" s="171"/>
      <c r="D96" s="171"/>
      <c r="E96" s="171"/>
      <c r="F96" s="171"/>
      <c r="G96" s="171"/>
      <c r="H96" s="170" t="s">
        <v>37</v>
      </c>
      <c r="I96" s="171"/>
      <c r="J96" s="171"/>
      <c r="K96" s="171"/>
      <c r="L96" s="171"/>
      <c r="M96" s="172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176"/>
      <c r="Z96" s="177"/>
      <c r="AA96" s="177"/>
      <c r="AB96" s="177"/>
      <c r="AC96" s="178"/>
      <c r="AD96" s="183"/>
      <c r="AE96" s="184"/>
      <c r="AF96" s="184"/>
      <c r="AG96" s="184"/>
      <c r="AH96" s="185"/>
    </row>
    <row r="97" spans="1:34" ht="15" customHeight="1">
      <c r="A97" s="2"/>
      <c r="B97" s="173"/>
      <c r="C97" s="174"/>
      <c r="D97" s="174"/>
      <c r="E97" s="174"/>
      <c r="F97" s="174"/>
      <c r="G97" s="174"/>
      <c r="H97" s="173"/>
      <c r="I97" s="174"/>
      <c r="J97" s="174"/>
      <c r="K97" s="174"/>
      <c r="L97" s="174"/>
      <c r="M97" s="175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179"/>
      <c r="Z97" s="177"/>
      <c r="AA97" s="177"/>
      <c r="AB97" s="177"/>
      <c r="AC97" s="178"/>
      <c r="AD97" s="184"/>
      <c r="AE97" s="184"/>
      <c r="AF97" s="184"/>
      <c r="AG97" s="184"/>
      <c r="AH97" s="185"/>
    </row>
    <row r="98" spans="1:34" ht="15" customHeight="1">
      <c r="A98" s="2"/>
      <c r="B98" s="173"/>
      <c r="C98" s="174"/>
      <c r="D98" s="174"/>
      <c r="E98" s="174"/>
      <c r="F98" s="174"/>
      <c r="G98" s="174"/>
      <c r="H98" s="173" t="s">
        <v>38</v>
      </c>
      <c r="I98" s="174"/>
      <c r="J98" s="174"/>
      <c r="K98" s="174"/>
      <c r="L98" s="174"/>
      <c r="M98" s="175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179"/>
      <c r="Z98" s="177"/>
      <c r="AA98" s="177"/>
      <c r="AB98" s="177"/>
      <c r="AC98" s="178"/>
      <c r="AD98" s="184"/>
      <c r="AE98" s="184"/>
      <c r="AF98" s="184"/>
      <c r="AG98" s="184"/>
      <c r="AH98" s="185"/>
    </row>
    <row r="99" spans="1:34" ht="15.75" customHeight="1" thickBot="1">
      <c r="A99" s="2"/>
      <c r="B99" s="188"/>
      <c r="C99" s="189"/>
      <c r="D99" s="189"/>
      <c r="E99" s="189"/>
      <c r="F99" s="189"/>
      <c r="G99" s="189"/>
      <c r="H99" s="188"/>
      <c r="I99" s="189"/>
      <c r="J99" s="189"/>
      <c r="K99" s="189"/>
      <c r="L99" s="189"/>
      <c r="M99" s="190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179"/>
      <c r="Z99" s="177"/>
      <c r="AA99" s="177"/>
      <c r="AB99" s="177"/>
      <c r="AC99" s="178"/>
      <c r="AD99" s="184"/>
      <c r="AE99" s="184"/>
      <c r="AF99" s="184"/>
      <c r="AG99" s="184"/>
      <c r="AH99" s="185"/>
    </row>
    <row r="100" spans="1:34" ht="9" customHeight="1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180"/>
      <c r="Z100" s="181"/>
      <c r="AA100" s="181"/>
      <c r="AB100" s="181"/>
      <c r="AC100" s="182"/>
      <c r="AD100" s="186"/>
      <c r="AE100" s="186"/>
      <c r="AF100" s="186"/>
      <c r="AG100" s="186"/>
      <c r="AH100" s="187"/>
    </row>
    <row r="101" spans="1:34" s="13" customFormat="1" ht="22.5" customHeight="1" thickBot="1">
      <c r="A101" s="199" t="s">
        <v>76</v>
      </c>
      <c r="B101" s="200"/>
      <c r="C101" s="200"/>
      <c r="D101" s="200"/>
      <c r="E101" s="200" t="s">
        <v>52</v>
      </c>
      <c r="F101" s="200"/>
      <c r="G101" s="200"/>
      <c r="H101" s="200"/>
      <c r="I101" s="201"/>
      <c r="J101" s="202" t="s">
        <v>77</v>
      </c>
      <c r="K101" s="200"/>
      <c r="L101" s="200"/>
      <c r="M101" s="200"/>
      <c r="N101" s="200" t="s">
        <v>78</v>
      </c>
      <c r="O101" s="200"/>
      <c r="P101" s="200"/>
      <c r="Q101" s="201"/>
      <c r="R101" s="203"/>
      <c r="S101" s="204"/>
      <c r="T101" s="204"/>
      <c r="U101" s="204"/>
      <c r="V101" s="204"/>
      <c r="W101" s="204"/>
      <c r="X101" s="205"/>
      <c r="Y101" s="202" t="s">
        <v>79</v>
      </c>
      <c r="Z101" s="200"/>
      <c r="AA101" s="200"/>
      <c r="AB101" s="200"/>
      <c r="AC101" s="200"/>
      <c r="AD101" s="197">
        <v>41883</v>
      </c>
      <c r="AE101" s="197"/>
      <c r="AF101" s="197"/>
      <c r="AG101" s="197"/>
      <c r="AH101" s="198"/>
    </row>
  </sheetData>
  <mergeCells count="208">
    <mergeCell ref="AD101:AH101"/>
    <mergeCell ref="A101:D101"/>
    <mergeCell ref="E101:I101"/>
    <mergeCell ref="J101:M101"/>
    <mergeCell ref="N101:Q101"/>
    <mergeCell ref="R101:X101"/>
    <mergeCell ref="Y101:AC101"/>
    <mergeCell ref="B72:E73"/>
    <mergeCell ref="Y94:AC95"/>
    <mergeCell ref="AD94:AH95"/>
    <mergeCell ref="B96:G99"/>
    <mergeCell ref="H96:M97"/>
    <mergeCell ref="Y96:AC100"/>
    <mergeCell ref="AD96:AH100"/>
    <mergeCell ref="H98:M99"/>
    <mergeCell ref="AC70:AG70"/>
    <mergeCell ref="B71:E71"/>
    <mergeCell ref="G71:J71"/>
    <mergeCell ref="K71:N71"/>
    <mergeCell ref="O71:S71"/>
    <mergeCell ref="T71:AG71"/>
    <mergeCell ref="B70:E70"/>
    <mergeCell ref="F70:J70"/>
    <mergeCell ref="K70:N70"/>
    <mergeCell ref="O70:S70"/>
    <mergeCell ref="T70:X70"/>
    <mergeCell ref="Y70:AB70"/>
    <mergeCell ref="B67:E67"/>
    <mergeCell ref="F67:J67"/>
    <mergeCell ref="K67:N67"/>
    <mergeCell ref="O67:S67"/>
    <mergeCell ref="T67:X67"/>
    <mergeCell ref="Y67:AB67"/>
    <mergeCell ref="AC67:AG67"/>
    <mergeCell ref="AC68:AG68"/>
    <mergeCell ref="B69:E69"/>
    <mergeCell ref="F69:J69"/>
    <mergeCell ref="K69:N69"/>
    <mergeCell ref="O69:S69"/>
    <mergeCell ref="T69:X69"/>
    <mergeCell ref="Y69:AB69"/>
    <mergeCell ref="AC69:AG69"/>
    <mergeCell ref="B68:E68"/>
    <mergeCell ref="F68:J68"/>
    <mergeCell ref="K68:N68"/>
    <mergeCell ref="O68:S68"/>
    <mergeCell ref="T68:X68"/>
    <mergeCell ref="Y68:AB68"/>
    <mergeCell ref="K65:N65"/>
    <mergeCell ref="O65:S65"/>
    <mergeCell ref="T65:X65"/>
    <mergeCell ref="Y65:AB65"/>
    <mergeCell ref="AC65:AG65"/>
    <mergeCell ref="B66:C66"/>
    <mergeCell ref="D66:E66"/>
    <mergeCell ref="F66:J66"/>
    <mergeCell ref="K66:N66"/>
    <mergeCell ref="O66:S66"/>
    <mergeCell ref="B63:E65"/>
    <mergeCell ref="F63:S63"/>
    <mergeCell ref="T63:AG63"/>
    <mergeCell ref="F64:J64"/>
    <mergeCell ref="K64:N64"/>
    <mergeCell ref="O64:S64"/>
    <mergeCell ref="T64:X64"/>
    <mergeCell ref="Y64:AB64"/>
    <mergeCell ref="AC64:AG64"/>
    <mergeCell ref="F65:J65"/>
    <mergeCell ref="T66:X66"/>
    <mergeCell ref="Y66:AB66"/>
    <mergeCell ref="AC66:AG66"/>
    <mergeCell ref="A58:F58"/>
    <mergeCell ref="G58:Q58"/>
    <mergeCell ref="R58:W58"/>
    <mergeCell ref="X58:Y58"/>
    <mergeCell ref="Z58:AC58"/>
    <mergeCell ref="AD58:AH58"/>
    <mergeCell ref="A56:F56"/>
    <mergeCell ref="G56:Q56"/>
    <mergeCell ref="R56:W56"/>
    <mergeCell ref="X56:AH56"/>
    <mergeCell ref="A57:F57"/>
    <mergeCell ref="G57:Q57"/>
    <mergeCell ref="R57:W57"/>
    <mergeCell ref="X57:AH57"/>
    <mergeCell ref="AD51:AH51"/>
    <mergeCell ref="A54:AC54"/>
    <mergeCell ref="AD54:AF54"/>
    <mergeCell ref="AG54:AH54"/>
    <mergeCell ref="A55:F55"/>
    <mergeCell ref="G55:Q55"/>
    <mergeCell ref="R55:W55"/>
    <mergeCell ref="X55:AH55"/>
    <mergeCell ref="A51:D51"/>
    <mergeCell ref="E51:I51"/>
    <mergeCell ref="J51:M51"/>
    <mergeCell ref="N51:Q51"/>
    <mergeCell ref="R51:X51"/>
    <mergeCell ref="Y51:AC51"/>
    <mergeCell ref="B42:E43"/>
    <mergeCell ref="Y44:AC45"/>
    <mergeCell ref="AD44:AH45"/>
    <mergeCell ref="B46:G49"/>
    <mergeCell ref="H46:M47"/>
    <mergeCell ref="Y46:AC50"/>
    <mergeCell ref="AD46:AH50"/>
    <mergeCell ref="H48:M49"/>
    <mergeCell ref="B40:K40"/>
    <mergeCell ref="L40:U40"/>
    <mergeCell ref="V40:AC40"/>
    <mergeCell ref="AD40:AE40"/>
    <mergeCell ref="B41:F41"/>
    <mergeCell ref="H41:K41"/>
    <mergeCell ref="L41:O41"/>
    <mergeCell ref="Q41:U41"/>
    <mergeCell ref="V41:AE41"/>
    <mergeCell ref="B37:U37"/>
    <mergeCell ref="V37:AE38"/>
    <mergeCell ref="B38:K38"/>
    <mergeCell ref="L38:U38"/>
    <mergeCell ref="B39:K39"/>
    <mergeCell ref="L39:U39"/>
    <mergeCell ref="V39:AE39"/>
    <mergeCell ref="B31:F31"/>
    <mergeCell ref="H31:K31"/>
    <mergeCell ref="L31:O31"/>
    <mergeCell ref="Q31:U31"/>
    <mergeCell ref="V31:AE31"/>
    <mergeCell ref="C32:F33"/>
    <mergeCell ref="B28:K28"/>
    <mergeCell ref="L28:U28"/>
    <mergeCell ref="V28:AE28"/>
    <mergeCell ref="B29:K29"/>
    <mergeCell ref="L29:U29"/>
    <mergeCell ref="V29:AC29"/>
    <mergeCell ref="AD29:AE29"/>
    <mergeCell ref="B25:K25"/>
    <mergeCell ref="L25:U25"/>
    <mergeCell ref="B26:U26"/>
    <mergeCell ref="V26:AE27"/>
    <mergeCell ref="B27:K27"/>
    <mergeCell ref="L27:U27"/>
    <mergeCell ref="B22:K22"/>
    <mergeCell ref="L22:U22"/>
    <mergeCell ref="V22:AE22"/>
    <mergeCell ref="B23:K23"/>
    <mergeCell ref="L23:U23"/>
    <mergeCell ref="V23:AC23"/>
    <mergeCell ref="AD23:AE23"/>
    <mergeCell ref="B19:K19"/>
    <mergeCell ref="L19:U19"/>
    <mergeCell ref="B20:U20"/>
    <mergeCell ref="V20:AE21"/>
    <mergeCell ref="B21:K21"/>
    <mergeCell ref="L21:U21"/>
    <mergeCell ref="F14:K14"/>
    <mergeCell ref="L14:S14"/>
    <mergeCell ref="T14:Y14"/>
    <mergeCell ref="Z14:AG14"/>
    <mergeCell ref="B15:K15"/>
    <mergeCell ref="L15:S15"/>
    <mergeCell ref="B11:H11"/>
    <mergeCell ref="I11:N11"/>
    <mergeCell ref="O11:U11"/>
    <mergeCell ref="V11:AA11"/>
    <mergeCell ref="AB11:AG11"/>
    <mergeCell ref="B13:E14"/>
    <mergeCell ref="F13:K13"/>
    <mergeCell ref="L13:S13"/>
    <mergeCell ref="T13:Y13"/>
    <mergeCell ref="Z13:AG13"/>
    <mergeCell ref="B9:H9"/>
    <mergeCell ref="I9:N9"/>
    <mergeCell ref="O9:U9"/>
    <mergeCell ref="V9:AA9"/>
    <mergeCell ref="AB9:AG9"/>
    <mergeCell ref="B10:H10"/>
    <mergeCell ref="I10:N10"/>
    <mergeCell ref="O10:U10"/>
    <mergeCell ref="V10:AA10"/>
    <mergeCell ref="AB10:AG10"/>
    <mergeCell ref="B7:AG7"/>
    <mergeCell ref="B8:H8"/>
    <mergeCell ref="I8:N8"/>
    <mergeCell ref="O8:U8"/>
    <mergeCell ref="V8:AA8"/>
    <mergeCell ref="AB8:AG8"/>
    <mergeCell ref="A5:F5"/>
    <mergeCell ref="G5:Q5"/>
    <mergeCell ref="R5:W5"/>
    <mergeCell ref="X5:Y5"/>
    <mergeCell ref="Z5:AC5"/>
    <mergeCell ref="AD5:AH5"/>
    <mergeCell ref="A3:F3"/>
    <mergeCell ref="G3:Q3"/>
    <mergeCell ref="R3:W3"/>
    <mergeCell ref="X3:AH3"/>
    <mergeCell ref="A4:F4"/>
    <mergeCell ref="G4:Q4"/>
    <mergeCell ref="R4:W4"/>
    <mergeCell ref="X4:AH4"/>
    <mergeCell ref="A1:AC1"/>
    <mergeCell ref="AD1:AF1"/>
    <mergeCell ref="AG1:AH1"/>
    <mergeCell ref="A2:F2"/>
    <mergeCell ref="G2:Q2"/>
    <mergeCell ref="R2:W2"/>
    <mergeCell ref="X2:AH2"/>
  </mergeCells>
  <pageMargins left="0.47244094488188981" right="0.31" top="0.38" bottom="0.19685039370078741" header="0.32" footer="0.11811023622047245"/>
  <pageSetup paperSize="9" scale="94" firstPageNumber="4294963191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17409" r:id="rId4">
          <objectPr defaultSize="0" autoPict="0" r:id="rId5">
            <anchor moveWithCells="1">
              <from>
                <xdr:col>6</xdr:col>
                <xdr:colOff>142875</xdr:colOff>
                <xdr:row>31</xdr:row>
                <xdr:rowOff>38100</xdr:rowOff>
              </from>
              <to>
                <xdr:col>9</xdr:col>
                <xdr:colOff>19050</xdr:colOff>
                <xdr:row>32</xdr:row>
                <xdr:rowOff>152400</xdr:rowOff>
              </to>
            </anchor>
          </objectPr>
        </oleObject>
      </mc:Choice>
      <mc:Fallback>
        <oleObject progId="Equation.3" shapeId="17409" r:id="rId4"/>
      </mc:Fallback>
    </mc:AlternateContent>
    <mc:AlternateContent xmlns:mc="http://schemas.openxmlformats.org/markup-compatibility/2006">
      <mc:Choice Requires="x14">
        <oleObject progId="Equation.3" shapeId="17410" r:id="rId6">
          <objectPr defaultSize="0" autoPict="0" r:id="rId7">
            <anchor moveWithCells="1">
              <from>
                <xdr:col>6</xdr:col>
                <xdr:colOff>95250</xdr:colOff>
                <xdr:row>41</xdr:row>
                <xdr:rowOff>180975</xdr:rowOff>
              </from>
              <to>
                <xdr:col>9</xdr:col>
                <xdr:colOff>123825</xdr:colOff>
                <xdr:row>43</xdr:row>
                <xdr:rowOff>104775</xdr:rowOff>
              </to>
            </anchor>
          </objectPr>
        </oleObject>
      </mc:Choice>
      <mc:Fallback>
        <oleObject progId="Equation.3" shapeId="17410" r:id="rId6"/>
      </mc:Fallback>
    </mc:AlternateContent>
    <mc:AlternateContent xmlns:mc="http://schemas.openxmlformats.org/markup-compatibility/2006">
      <mc:Choice Requires="x14">
        <oleObject progId="Equation.3" shapeId="17411" r:id="rId8">
          <objectPr defaultSize="0" autoPict="0" r:id="rId9">
            <anchor moveWithCells="1">
              <from>
                <xdr:col>5</xdr:col>
                <xdr:colOff>0</xdr:colOff>
                <xdr:row>72</xdr:row>
                <xdr:rowOff>85725</xdr:rowOff>
              </from>
              <to>
                <xdr:col>7</xdr:col>
                <xdr:colOff>114300</xdr:colOff>
                <xdr:row>74</xdr:row>
                <xdr:rowOff>19050</xdr:rowOff>
              </to>
            </anchor>
          </objectPr>
        </oleObject>
      </mc:Choice>
      <mc:Fallback>
        <oleObject progId="Equation.3" shapeId="17411" r:id="rId8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101"/>
  <sheetViews>
    <sheetView zoomScale="130" zoomScaleNormal="130" workbookViewId="0">
      <selection activeCell="AB10" sqref="AB10:AG10"/>
    </sheetView>
  </sheetViews>
  <sheetFormatPr defaultColWidth="2.5" defaultRowHeight="15"/>
  <cols>
    <col min="1" max="16384" width="2.5" style="1"/>
  </cols>
  <sheetData>
    <row r="1" spans="1:34" ht="27" customHeight="1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7"/>
      <c r="AD1" s="48" t="s">
        <v>1</v>
      </c>
      <c r="AE1" s="49"/>
      <c r="AF1" s="49"/>
      <c r="AG1" s="50" t="s">
        <v>2</v>
      </c>
      <c r="AH1" s="51"/>
    </row>
    <row r="2" spans="1:34" ht="19.5" customHeight="1">
      <c r="A2" s="52" t="s">
        <v>3</v>
      </c>
      <c r="B2" s="53"/>
      <c r="C2" s="53"/>
      <c r="D2" s="53"/>
      <c r="E2" s="53"/>
      <c r="F2" s="53"/>
      <c r="G2" s="54" t="s">
        <v>85</v>
      </c>
      <c r="H2" s="55"/>
      <c r="I2" s="55"/>
      <c r="J2" s="55"/>
      <c r="K2" s="55"/>
      <c r="L2" s="55"/>
      <c r="M2" s="55"/>
      <c r="N2" s="55"/>
      <c r="O2" s="55"/>
      <c r="P2" s="55"/>
      <c r="Q2" s="56"/>
      <c r="R2" s="28" t="s">
        <v>4</v>
      </c>
      <c r="S2" s="29"/>
      <c r="T2" s="29"/>
      <c r="U2" s="29"/>
      <c r="V2" s="29"/>
      <c r="W2" s="30"/>
      <c r="X2" s="31">
        <v>42886</v>
      </c>
      <c r="Y2" s="32"/>
      <c r="Z2" s="32"/>
      <c r="AA2" s="32"/>
      <c r="AB2" s="32"/>
      <c r="AC2" s="32"/>
      <c r="AD2" s="32"/>
      <c r="AE2" s="32"/>
      <c r="AF2" s="32"/>
      <c r="AG2" s="32"/>
      <c r="AH2" s="33"/>
    </row>
    <row r="3" spans="1:34" ht="19.5" customHeight="1">
      <c r="A3" s="23" t="s">
        <v>5</v>
      </c>
      <c r="B3" s="24"/>
      <c r="C3" s="24"/>
      <c r="D3" s="24"/>
      <c r="E3" s="24"/>
      <c r="F3" s="24"/>
      <c r="G3" s="25" t="s">
        <v>83</v>
      </c>
      <c r="H3" s="26"/>
      <c r="I3" s="26"/>
      <c r="J3" s="26"/>
      <c r="K3" s="26"/>
      <c r="L3" s="26"/>
      <c r="M3" s="26"/>
      <c r="N3" s="26"/>
      <c r="O3" s="26"/>
      <c r="P3" s="26"/>
      <c r="Q3" s="27"/>
      <c r="R3" s="28" t="s">
        <v>6</v>
      </c>
      <c r="S3" s="29"/>
      <c r="T3" s="29"/>
      <c r="U3" s="29"/>
      <c r="V3" s="29"/>
      <c r="W3" s="30"/>
      <c r="X3" s="31">
        <v>43251</v>
      </c>
      <c r="Y3" s="32"/>
      <c r="Z3" s="32"/>
      <c r="AA3" s="32"/>
      <c r="AB3" s="32"/>
      <c r="AC3" s="32"/>
      <c r="AD3" s="32"/>
      <c r="AE3" s="32"/>
      <c r="AF3" s="32"/>
      <c r="AG3" s="32"/>
      <c r="AH3" s="33"/>
    </row>
    <row r="4" spans="1:34" ht="19.5" customHeight="1">
      <c r="A4" s="34" t="s">
        <v>7</v>
      </c>
      <c r="B4" s="35"/>
      <c r="C4" s="35"/>
      <c r="D4" s="35"/>
      <c r="E4" s="35"/>
      <c r="F4" s="35"/>
      <c r="G4" s="36" t="s">
        <v>84</v>
      </c>
      <c r="H4" s="37"/>
      <c r="I4" s="37"/>
      <c r="J4" s="37"/>
      <c r="K4" s="37"/>
      <c r="L4" s="37"/>
      <c r="M4" s="37"/>
      <c r="N4" s="37"/>
      <c r="O4" s="37"/>
      <c r="P4" s="37"/>
      <c r="Q4" s="38"/>
      <c r="R4" s="39" t="s">
        <v>8</v>
      </c>
      <c r="S4" s="40"/>
      <c r="T4" s="40"/>
      <c r="U4" s="40"/>
      <c r="V4" s="40"/>
      <c r="W4" s="41"/>
      <c r="X4" s="42" t="s">
        <v>9</v>
      </c>
      <c r="Y4" s="43"/>
      <c r="Z4" s="43"/>
      <c r="AA4" s="43"/>
      <c r="AB4" s="43"/>
      <c r="AC4" s="43"/>
      <c r="AD4" s="43"/>
      <c r="AE4" s="43"/>
      <c r="AF4" s="43"/>
      <c r="AG4" s="43"/>
      <c r="AH4" s="44"/>
    </row>
    <row r="5" spans="1:34" ht="19.5" customHeight="1">
      <c r="A5" s="65" t="s">
        <v>10</v>
      </c>
      <c r="B5" s="66"/>
      <c r="C5" s="66"/>
      <c r="D5" s="66"/>
      <c r="E5" s="66"/>
      <c r="F5" s="67"/>
      <c r="G5" s="68" t="s">
        <v>94</v>
      </c>
      <c r="H5" s="68"/>
      <c r="I5" s="68"/>
      <c r="J5" s="68"/>
      <c r="K5" s="68"/>
      <c r="L5" s="68"/>
      <c r="M5" s="68"/>
      <c r="N5" s="68"/>
      <c r="O5" s="68"/>
      <c r="P5" s="68"/>
      <c r="Q5" s="68"/>
      <c r="R5" s="69" t="s">
        <v>11</v>
      </c>
      <c r="S5" s="69"/>
      <c r="T5" s="69"/>
      <c r="U5" s="69"/>
      <c r="V5" s="69"/>
      <c r="W5" s="69"/>
      <c r="X5" s="70" t="s">
        <v>12</v>
      </c>
      <c r="Y5" s="71"/>
      <c r="Z5" s="72">
        <v>100</v>
      </c>
      <c r="AA5" s="73"/>
      <c r="AB5" s="73"/>
      <c r="AC5" s="73"/>
      <c r="AD5" s="74" t="s">
        <v>13</v>
      </c>
      <c r="AE5" s="74"/>
      <c r="AF5" s="74"/>
      <c r="AG5" s="74"/>
      <c r="AH5" s="75"/>
    </row>
    <row r="6" spans="1:34" ht="15.75" thickBo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4"/>
    </row>
    <row r="7" spans="1:34" ht="15" customHeight="1">
      <c r="A7" s="2"/>
      <c r="B7" s="57" t="s">
        <v>14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9"/>
      <c r="AH7" s="4"/>
    </row>
    <row r="8" spans="1:34" ht="15" customHeight="1">
      <c r="A8" s="2"/>
      <c r="B8" s="60" t="s">
        <v>15</v>
      </c>
      <c r="C8" s="61"/>
      <c r="D8" s="61"/>
      <c r="E8" s="61"/>
      <c r="F8" s="61"/>
      <c r="G8" s="61"/>
      <c r="H8" s="61"/>
      <c r="I8" s="62" t="s">
        <v>3</v>
      </c>
      <c r="J8" s="62"/>
      <c r="K8" s="62"/>
      <c r="L8" s="62"/>
      <c r="M8" s="62"/>
      <c r="N8" s="62"/>
      <c r="O8" s="61" t="s">
        <v>16</v>
      </c>
      <c r="P8" s="61"/>
      <c r="Q8" s="61"/>
      <c r="R8" s="61"/>
      <c r="S8" s="61"/>
      <c r="T8" s="61"/>
      <c r="U8" s="61"/>
      <c r="V8" s="63" t="s">
        <v>17</v>
      </c>
      <c r="W8" s="63"/>
      <c r="X8" s="63"/>
      <c r="Y8" s="63"/>
      <c r="Z8" s="63"/>
      <c r="AA8" s="63"/>
      <c r="AB8" s="63" t="s">
        <v>18</v>
      </c>
      <c r="AC8" s="63"/>
      <c r="AD8" s="63"/>
      <c r="AE8" s="63"/>
      <c r="AF8" s="63"/>
      <c r="AG8" s="64"/>
      <c r="AH8" s="4"/>
    </row>
    <row r="9" spans="1:34" ht="19.5" customHeight="1">
      <c r="A9" s="2"/>
      <c r="B9" s="76" t="s">
        <v>19</v>
      </c>
      <c r="C9" s="77"/>
      <c r="D9" s="77"/>
      <c r="E9" s="77"/>
      <c r="F9" s="77"/>
      <c r="G9" s="77"/>
      <c r="H9" s="77"/>
      <c r="I9" s="78" t="s">
        <v>109</v>
      </c>
      <c r="J9" s="78"/>
      <c r="K9" s="78"/>
      <c r="L9" s="78"/>
      <c r="M9" s="78"/>
      <c r="N9" s="78"/>
      <c r="O9" s="78" t="s">
        <v>74</v>
      </c>
      <c r="P9" s="78"/>
      <c r="Q9" s="78"/>
      <c r="R9" s="78"/>
      <c r="S9" s="78"/>
      <c r="T9" s="78"/>
      <c r="U9" s="78"/>
      <c r="V9" s="78" t="s">
        <v>113</v>
      </c>
      <c r="W9" s="78"/>
      <c r="X9" s="78"/>
      <c r="Y9" s="78"/>
      <c r="Z9" s="78"/>
      <c r="AA9" s="78"/>
      <c r="AB9" s="79" t="s">
        <v>121</v>
      </c>
      <c r="AC9" s="79"/>
      <c r="AD9" s="79"/>
      <c r="AE9" s="79"/>
      <c r="AF9" s="79"/>
      <c r="AG9" s="80"/>
      <c r="AH9" s="4"/>
    </row>
    <row r="10" spans="1:34" ht="19.5" customHeight="1">
      <c r="A10" s="2"/>
      <c r="B10" s="81" t="s">
        <v>108</v>
      </c>
      <c r="C10" s="82"/>
      <c r="D10" s="82"/>
      <c r="E10" s="82"/>
      <c r="F10" s="82"/>
      <c r="G10" s="82"/>
      <c r="H10" s="82"/>
      <c r="I10" s="78" t="s">
        <v>118</v>
      </c>
      <c r="J10" s="78"/>
      <c r="K10" s="78"/>
      <c r="L10" s="78"/>
      <c r="M10" s="78"/>
      <c r="N10" s="78"/>
      <c r="O10" s="78" t="s">
        <v>74</v>
      </c>
      <c r="P10" s="78"/>
      <c r="Q10" s="78"/>
      <c r="R10" s="78"/>
      <c r="S10" s="78"/>
      <c r="T10" s="78"/>
      <c r="U10" s="78"/>
      <c r="V10" s="78" t="s">
        <v>119</v>
      </c>
      <c r="W10" s="78"/>
      <c r="X10" s="78"/>
      <c r="Y10" s="78"/>
      <c r="Z10" s="78"/>
      <c r="AA10" s="78"/>
      <c r="AB10" s="266" t="s">
        <v>117</v>
      </c>
      <c r="AC10" s="266"/>
      <c r="AD10" s="266"/>
      <c r="AE10" s="266"/>
      <c r="AF10" s="266"/>
      <c r="AG10" s="267"/>
      <c r="AH10" s="4"/>
    </row>
    <row r="11" spans="1:34" ht="19.5" customHeight="1" thickBot="1">
      <c r="A11" s="2"/>
      <c r="B11" s="94" t="s">
        <v>21</v>
      </c>
      <c r="C11" s="95"/>
      <c r="D11" s="95"/>
      <c r="E11" s="95"/>
      <c r="F11" s="95"/>
      <c r="G11" s="95"/>
      <c r="H11" s="95"/>
      <c r="I11" s="290" t="s">
        <v>118</v>
      </c>
      <c r="J11" s="290"/>
      <c r="K11" s="290"/>
      <c r="L11" s="290"/>
      <c r="M11" s="290"/>
      <c r="N11" s="290"/>
      <c r="O11" s="290" t="s">
        <v>74</v>
      </c>
      <c r="P11" s="290"/>
      <c r="Q11" s="290"/>
      <c r="R11" s="290"/>
      <c r="S11" s="290"/>
      <c r="T11" s="290"/>
      <c r="U11" s="290"/>
      <c r="V11" s="290" t="s">
        <v>119</v>
      </c>
      <c r="W11" s="290"/>
      <c r="X11" s="290"/>
      <c r="Y11" s="290"/>
      <c r="Z11" s="290"/>
      <c r="AA11" s="290"/>
      <c r="AB11" s="291" t="s">
        <v>117</v>
      </c>
      <c r="AC11" s="291"/>
      <c r="AD11" s="291"/>
      <c r="AE11" s="291"/>
      <c r="AF11" s="291"/>
      <c r="AG11" s="292"/>
      <c r="AH11" s="4"/>
    </row>
    <row r="12" spans="1:34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4"/>
    </row>
    <row r="13" spans="1:34" ht="21" customHeight="1">
      <c r="A13" s="2"/>
      <c r="B13" s="89" t="s">
        <v>22</v>
      </c>
      <c r="C13" s="89"/>
      <c r="D13" s="89"/>
      <c r="E13" s="89"/>
      <c r="F13" s="103" t="s">
        <v>3</v>
      </c>
      <c r="G13" s="89"/>
      <c r="H13" s="89"/>
      <c r="I13" s="89"/>
      <c r="J13" s="89"/>
      <c r="K13" s="89"/>
      <c r="L13" s="78" t="s">
        <v>112</v>
      </c>
      <c r="M13" s="78"/>
      <c r="N13" s="78"/>
      <c r="O13" s="78"/>
      <c r="P13" s="78"/>
      <c r="Q13" s="78"/>
      <c r="R13" s="78"/>
      <c r="S13" s="78"/>
      <c r="T13" s="89" t="s">
        <v>7</v>
      </c>
      <c r="U13" s="89"/>
      <c r="V13" s="89"/>
      <c r="W13" s="89"/>
      <c r="X13" s="89"/>
      <c r="Y13" s="89"/>
      <c r="Z13" s="78">
        <v>93310021</v>
      </c>
      <c r="AA13" s="78"/>
      <c r="AB13" s="78"/>
      <c r="AC13" s="78"/>
      <c r="AD13" s="78"/>
      <c r="AE13" s="78"/>
      <c r="AF13" s="78"/>
      <c r="AG13" s="78"/>
      <c r="AH13" s="4"/>
    </row>
    <row r="14" spans="1:34" ht="21" customHeight="1">
      <c r="A14" s="2"/>
      <c r="B14" s="89"/>
      <c r="C14" s="89"/>
      <c r="D14" s="89"/>
      <c r="E14" s="89"/>
      <c r="F14" s="85" t="s">
        <v>5</v>
      </c>
      <c r="G14" s="85"/>
      <c r="H14" s="85"/>
      <c r="I14" s="85"/>
      <c r="J14" s="85"/>
      <c r="K14" s="85"/>
      <c r="L14" s="86" t="s">
        <v>75</v>
      </c>
      <c r="M14" s="87"/>
      <c r="N14" s="87"/>
      <c r="O14" s="87"/>
      <c r="P14" s="87"/>
      <c r="Q14" s="87"/>
      <c r="R14" s="87"/>
      <c r="S14" s="88"/>
      <c r="T14" s="89" t="s">
        <v>6</v>
      </c>
      <c r="U14" s="89"/>
      <c r="V14" s="89"/>
      <c r="W14" s="89"/>
      <c r="X14" s="89"/>
      <c r="Y14" s="89"/>
      <c r="Z14" s="90">
        <v>43008</v>
      </c>
      <c r="AA14" s="90"/>
      <c r="AB14" s="90"/>
      <c r="AC14" s="90"/>
      <c r="AD14" s="90"/>
      <c r="AE14" s="90"/>
      <c r="AF14" s="90"/>
      <c r="AG14" s="90"/>
      <c r="AH14" s="4"/>
    </row>
    <row r="15" spans="1:34" ht="17.25" customHeight="1">
      <c r="A15" s="2"/>
      <c r="B15" s="89" t="s">
        <v>23</v>
      </c>
      <c r="C15" s="89"/>
      <c r="D15" s="89"/>
      <c r="E15" s="89"/>
      <c r="F15" s="89"/>
      <c r="G15" s="89"/>
      <c r="H15" s="89"/>
      <c r="I15" s="89"/>
      <c r="J15" s="89"/>
      <c r="K15" s="89"/>
      <c r="L15" s="91">
        <v>15170</v>
      </c>
      <c r="M15" s="92"/>
      <c r="N15" s="92"/>
      <c r="O15" s="92"/>
      <c r="P15" s="92"/>
      <c r="Q15" s="92"/>
      <c r="R15" s="92"/>
      <c r="S15" s="93"/>
      <c r="T15" s="5"/>
      <c r="U15" s="5"/>
      <c r="V15" s="5"/>
      <c r="W15" s="5"/>
      <c r="X15" s="5"/>
      <c r="Y15" s="5"/>
      <c r="Z15" s="6"/>
      <c r="AA15" s="6"/>
      <c r="AB15" s="6"/>
      <c r="AC15" s="6"/>
      <c r="AD15" s="6"/>
      <c r="AE15" s="6"/>
      <c r="AF15" s="6"/>
      <c r="AG15" s="6"/>
      <c r="AH15" s="4"/>
    </row>
    <row r="16" spans="1:34" ht="5.25" customHeight="1">
      <c r="A16" s="2"/>
      <c r="B16" s="5"/>
      <c r="C16" s="5"/>
      <c r="D16" s="5"/>
      <c r="E16" s="5"/>
      <c r="F16" s="5"/>
      <c r="G16" s="5"/>
      <c r="H16" s="5"/>
      <c r="I16" s="5"/>
      <c r="J16" s="5"/>
      <c r="K16" s="5"/>
      <c r="L16" s="3"/>
      <c r="M16" s="3"/>
      <c r="N16" s="3"/>
      <c r="O16" s="3"/>
      <c r="P16" s="3"/>
      <c r="Q16" s="3"/>
      <c r="R16" s="3"/>
      <c r="S16" s="3"/>
      <c r="T16" s="5"/>
      <c r="U16" s="5"/>
      <c r="V16" s="5"/>
      <c r="W16" s="5"/>
      <c r="X16" s="5"/>
      <c r="Y16" s="5"/>
      <c r="Z16" s="3"/>
      <c r="AA16" s="3"/>
      <c r="AB16" s="3"/>
      <c r="AC16" s="3"/>
      <c r="AD16" s="3"/>
      <c r="AE16" s="3"/>
      <c r="AF16" s="3"/>
      <c r="AG16" s="3"/>
      <c r="AH16" s="4"/>
    </row>
    <row r="17" spans="1:34">
      <c r="A17" s="2"/>
      <c r="B17" s="7" t="s">
        <v>24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4"/>
    </row>
    <row r="18" spans="1:34" ht="7.5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4"/>
    </row>
    <row r="19" spans="1:34" ht="15" customHeight="1">
      <c r="A19" s="2"/>
      <c r="B19" s="118" t="s">
        <v>10</v>
      </c>
      <c r="C19" s="119"/>
      <c r="D19" s="119"/>
      <c r="E19" s="119"/>
      <c r="F19" s="119"/>
      <c r="G19" s="119"/>
      <c r="H19" s="119"/>
      <c r="I19" s="119"/>
      <c r="J19" s="119"/>
      <c r="K19" s="120"/>
      <c r="L19" s="89" t="s">
        <v>90</v>
      </c>
      <c r="M19" s="89"/>
      <c r="N19" s="89"/>
      <c r="O19" s="89"/>
      <c r="P19" s="89"/>
      <c r="Q19" s="89"/>
      <c r="R19" s="89"/>
      <c r="S19" s="89"/>
      <c r="T19" s="89"/>
      <c r="U19" s="89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4"/>
    </row>
    <row r="20" spans="1:34" ht="15" customHeight="1">
      <c r="A20" s="2"/>
      <c r="B20" s="121" t="s">
        <v>25</v>
      </c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3"/>
      <c r="V20" s="124" t="s">
        <v>26</v>
      </c>
      <c r="W20" s="125"/>
      <c r="X20" s="125"/>
      <c r="Y20" s="125"/>
      <c r="Z20" s="125"/>
      <c r="AA20" s="125"/>
      <c r="AB20" s="125"/>
      <c r="AC20" s="125"/>
      <c r="AD20" s="125"/>
      <c r="AE20" s="126"/>
      <c r="AF20" s="3"/>
      <c r="AG20" s="3"/>
      <c r="AH20" s="4"/>
    </row>
    <row r="21" spans="1:34" ht="15" customHeight="1">
      <c r="A21" s="2"/>
      <c r="B21" s="130" t="s">
        <v>27</v>
      </c>
      <c r="C21" s="131"/>
      <c r="D21" s="131"/>
      <c r="E21" s="131"/>
      <c r="F21" s="131"/>
      <c r="G21" s="131"/>
      <c r="H21" s="131"/>
      <c r="I21" s="131"/>
      <c r="J21" s="131"/>
      <c r="K21" s="131"/>
      <c r="L21" s="131" t="s">
        <v>28</v>
      </c>
      <c r="M21" s="131"/>
      <c r="N21" s="131"/>
      <c r="O21" s="131"/>
      <c r="P21" s="131"/>
      <c r="Q21" s="131"/>
      <c r="R21" s="131"/>
      <c r="S21" s="131"/>
      <c r="T21" s="131"/>
      <c r="U21" s="132"/>
      <c r="V21" s="127"/>
      <c r="W21" s="128"/>
      <c r="X21" s="128"/>
      <c r="Y21" s="128"/>
      <c r="Z21" s="128"/>
      <c r="AA21" s="128"/>
      <c r="AB21" s="128"/>
      <c r="AC21" s="128"/>
      <c r="AD21" s="128"/>
      <c r="AE21" s="129"/>
      <c r="AF21" s="3"/>
      <c r="AG21" s="3"/>
      <c r="AH21" s="4"/>
    </row>
    <row r="22" spans="1:34">
      <c r="A22" s="2"/>
      <c r="B22" s="104" t="s">
        <v>29</v>
      </c>
      <c r="C22" s="105"/>
      <c r="D22" s="105"/>
      <c r="E22" s="105"/>
      <c r="F22" s="105"/>
      <c r="G22" s="105"/>
      <c r="H22" s="105"/>
      <c r="I22" s="105"/>
      <c r="J22" s="105"/>
      <c r="K22" s="105"/>
      <c r="L22" s="105" t="s">
        <v>30</v>
      </c>
      <c r="M22" s="105"/>
      <c r="N22" s="105"/>
      <c r="O22" s="105"/>
      <c r="P22" s="105"/>
      <c r="Q22" s="105"/>
      <c r="R22" s="105"/>
      <c r="S22" s="105"/>
      <c r="T22" s="105"/>
      <c r="U22" s="106"/>
      <c r="V22" s="107" t="s">
        <v>31</v>
      </c>
      <c r="W22" s="108"/>
      <c r="X22" s="108"/>
      <c r="Y22" s="108"/>
      <c r="Z22" s="108"/>
      <c r="AA22" s="108"/>
      <c r="AB22" s="108"/>
      <c r="AC22" s="108"/>
      <c r="AD22" s="108"/>
      <c r="AE22" s="109"/>
      <c r="AF22" s="3"/>
      <c r="AG22" s="3"/>
      <c r="AH22" s="4"/>
    </row>
    <row r="23" spans="1:34" ht="21" customHeight="1">
      <c r="A23" s="2"/>
      <c r="B23" s="192">
        <v>87.63</v>
      </c>
      <c r="C23" s="193"/>
      <c r="D23" s="193"/>
      <c r="E23" s="193"/>
      <c r="F23" s="193"/>
      <c r="G23" s="193"/>
      <c r="H23" s="193"/>
      <c r="I23" s="193"/>
      <c r="J23" s="193"/>
      <c r="K23" s="193"/>
      <c r="L23" s="112">
        <v>88.01</v>
      </c>
      <c r="M23" s="112"/>
      <c r="N23" s="112"/>
      <c r="O23" s="112"/>
      <c r="P23" s="112"/>
      <c r="Q23" s="112"/>
      <c r="R23" s="112"/>
      <c r="S23" s="112"/>
      <c r="T23" s="112"/>
      <c r="U23" s="113"/>
      <c r="V23" s="114">
        <f>B23/L23*100</f>
        <v>99.568230882854209</v>
      </c>
      <c r="W23" s="115"/>
      <c r="X23" s="115"/>
      <c r="Y23" s="115"/>
      <c r="Z23" s="115"/>
      <c r="AA23" s="115"/>
      <c r="AB23" s="115"/>
      <c r="AC23" s="115"/>
      <c r="AD23" s="116" t="s">
        <v>32</v>
      </c>
      <c r="AE23" s="117"/>
      <c r="AF23" s="3"/>
      <c r="AG23" s="3"/>
      <c r="AH23" s="4"/>
    </row>
    <row r="24" spans="1:34" ht="7.5" customHeight="1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4"/>
    </row>
    <row r="25" spans="1:34" ht="15" customHeight="1">
      <c r="A25" s="2"/>
      <c r="B25" s="118" t="s">
        <v>10</v>
      </c>
      <c r="C25" s="119"/>
      <c r="D25" s="119"/>
      <c r="E25" s="119"/>
      <c r="F25" s="119"/>
      <c r="G25" s="119"/>
      <c r="H25" s="119"/>
      <c r="I25" s="119"/>
      <c r="J25" s="119"/>
      <c r="K25" s="120"/>
      <c r="L25" s="89" t="s">
        <v>81</v>
      </c>
      <c r="M25" s="89"/>
      <c r="N25" s="89"/>
      <c r="O25" s="89"/>
      <c r="P25" s="89"/>
      <c r="Q25" s="89"/>
      <c r="R25" s="89"/>
      <c r="S25" s="89"/>
      <c r="T25" s="89"/>
      <c r="U25" s="89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4"/>
    </row>
    <row r="26" spans="1:34" ht="15" customHeight="1">
      <c r="A26" s="2"/>
      <c r="B26" s="138" t="s">
        <v>25</v>
      </c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3"/>
      <c r="V26" s="124" t="s">
        <v>26</v>
      </c>
      <c r="W26" s="125"/>
      <c r="X26" s="125"/>
      <c r="Y26" s="125"/>
      <c r="Z26" s="125"/>
      <c r="AA26" s="125"/>
      <c r="AB26" s="125"/>
      <c r="AC26" s="125"/>
      <c r="AD26" s="125"/>
      <c r="AE26" s="126"/>
      <c r="AF26" s="3"/>
      <c r="AG26" s="3"/>
      <c r="AH26" s="4"/>
    </row>
    <row r="27" spans="1:34" ht="15" customHeight="1">
      <c r="A27" s="2"/>
      <c r="B27" s="130" t="s">
        <v>34</v>
      </c>
      <c r="C27" s="131"/>
      <c r="D27" s="131"/>
      <c r="E27" s="131"/>
      <c r="F27" s="131"/>
      <c r="G27" s="131"/>
      <c r="H27" s="131"/>
      <c r="I27" s="131"/>
      <c r="J27" s="131"/>
      <c r="K27" s="131"/>
      <c r="L27" s="131" t="s">
        <v>35</v>
      </c>
      <c r="M27" s="131"/>
      <c r="N27" s="131"/>
      <c r="O27" s="131"/>
      <c r="P27" s="131"/>
      <c r="Q27" s="131"/>
      <c r="R27" s="131"/>
      <c r="S27" s="131"/>
      <c r="T27" s="131"/>
      <c r="U27" s="132"/>
      <c r="V27" s="127"/>
      <c r="W27" s="128"/>
      <c r="X27" s="128"/>
      <c r="Y27" s="128"/>
      <c r="Z27" s="128"/>
      <c r="AA27" s="128"/>
      <c r="AB27" s="128"/>
      <c r="AC27" s="128"/>
      <c r="AD27" s="128"/>
      <c r="AE27" s="129"/>
      <c r="AF27" s="3"/>
      <c r="AG27" s="3"/>
      <c r="AH27" s="4"/>
    </row>
    <row r="28" spans="1:34" ht="15" customHeight="1">
      <c r="A28" s="2"/>
      <c r="B28" s="104" t="s">
        <v>29</v>
      </c>
      <c r="C28" s="105"/>
      <c r="D28" s="105"/>
      <c r="E28" s="105"/>
      <c r="F28" s="105"/>
      <c r="G28" s="105"/>
      <c r="H28" s="105"/>
      <c r="I28" s="105"/>
      <c r="J28" s="105"/>
      <c r="K28" s="105"/>
      <c r="L28" s="105" t="s">
        <v>30</v>
      </c>
      <c r="M28" s="105"/>
      <c r="N28" s="105"/>
      <c r="O28" s="105"/>
      <c r="P28" s="105"/>
      <c r="Q28" s="105"/>
      <c r="R28" s="105"/>
      <c r="S28" s="105"/>
      <c r="T28" s="105"/>
      <c r="U28" s="106"/>
      <c r="V28" s="107" t="s">
        <v>31</v>
      </c>
      <c r="W28" s="108"/>
      <c r="X28" s="108"/>
      <c r="Y28" s="108"/>
      <c r="Z28" s="108"/>
      <c r="AA28" s="108"/>
      <c r="AB28" s="108"/>
      <c r="AC28" s="108"/>
      <c r="AD28" s="108"/>
      <c r="AE28" s="109"/>
      <c r="AF28" s="3"/>
      <c r="AG28" s="3"/>
      <c r="AH28" s="4"/>
    </row>
    <row r="29" spans="1:34" ht="21" customHeight="1">
      <c r="A29" s="2"/>
      <c r="B29" s="192"/>
      <c r="C29" s="193"/>
      <c r="D29" s="193"/>
      <c r="E29" s="193"/>
      <c r="F29" s="193"/>
      <c r="G29" s="193"/>
      <c r="H29" s="193"/>
      <c r="I29" s="193"/>
      <c r="J29" s="193"/>
      <c r="K29" s="193"/>
      <c r="L29" s="112"/>
      <c r="M29" s="112"/>
      <c r="N29" s="112"/>
      <c r="O29" s="112"/>
      <c r="P29" s="112"/>
      <c r="Q29" s="112"/>
      <c r="R29" s="112"/>
      <c r="S29" s="112"/>
      <c r="T29" s="112"/>
      <c r="U29" s="113"/>
      <c r="V29" s="114"/>
      <c r="W29" s="115"/>
      <c r="X29" s="115"/>
      <c r="Y29" s="115"/>
      <c r="Z29" s="115"/>
      <c r="AA29" s="115"/>
      <c r="AB29" s="115"/>
      <c r="AC29" s="115"/>
      <c r="AD29" s="116"/>
      <c r="AE29" s="117"/>
      <c r="AF29" s="3"/>
      <c r="AG29" s="3"/>
      <c r="AH29" s="4"/>
    </row>
    <row r="30" spans="1:34" ht="7.5" customHeight="1">
      <c r="A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4"/>
    </row>
    <row r="31" spans="1:34" ht="21" customHeight="1">
      <c r="A31" s="2"/>
      <c r="B31" s="136" t="s">
        <v>36</v>
      </c>
      <c r="C31" s="137"/>
      <c r="D31" s="137"/>
      <c r="E31" s="137"/>
      <c r="F31" s="103"/>
      <c r="G31" s="8"/>
      <c r="H31" s="137" t="s">
        <v>37</v>
      </c>
      <c r="I31" s="137"/>
      <c r="J31" s="137"/>
      <c r="K31" s="137"/>
      <c r="L31" s="137" t="s">
        <v>38</v>
      </c>
      <c r="M31" s="137"/>
      <c r="N31" s="137"/>
      <c r="O31" s="137"/>
      <c r="P31" s="9"/>
      <c r="Q31" s="118" t="s">
        <v>39</v>
      </c>
      <c r="R31" s="119"/>
      <c r="S31" s="119"/>
      <c r="T31" s="119"/>
      <c r="U31" s="120"/>
      <c r="V31" s="136" t="s">
        <v>40</v>
      </c>
      <c r="W31" s="137"/>
      <c r="X31" s="137"/>
      <c r="Y31" s="137"/>
      <c r="Z31" s="137"/>
      <c r="AA31" s="137"/>
      <c r="AB31" s="137"/>
      <c r="AC31" s="137"/>
      <c r="AD31" s="137"/>
      <c r="AE31" s="103"/>
      <c r="AF31" s="3"/>
      <c r="AG31" s="3"/>
      <c r="AH31" s="4"/>
    </row>
    <row r="32" spans="1:34">
      <c r="A32" s="2"/>
      <c r="C32" s="148" t="s">
        <v>41</v>
      </c>
      <c r="D32" s="148"/>
      <c r="E32" s="148"/>
      <c r="F32" s="148"/>
      <c r="G32" s="15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4"/>
    </row>
    <row r="33" spans="1:34">
      <c r="A33" s="2"/>
      <c r="C33" s="149"/>
      <c r="D33" s="149"/>
      <c r="E33" s="149"/>
      <c r="F33" s="149"/>
      <c r="G33" s="15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4"/>
    </row>
    <row r="34" spans="1:34">
      <c r="A34" s="2"/>
      <c r="B34" s="3"/>
      <c r="C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4"/>
    </row>
    <row r="35" spans="1:34">
      <c r="A35" s="2"/>
      <c r="B35" s="11" t="s">
        <v>42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4"/>
    </row>
    <row r="36" spans="1:34" ht="7.5" customHeight="1">
      <c r="A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4"/>
    </row>
    <row r="37" spans="1:34" ht="15" customHeight="1">
      <c r="A37" s="2"/>
      <c r="B37" s="138" t="s">
        <v>43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3"/>
      <c r="V37" s="139" t="s">
        <v>44</v>
      </c>
      <c r="W37" s="140"/>
      <c r="X37" s="140"/>
      <c r="Y37" s="140"/>
      <c r="Z37" s="140"/>
      <c r="AA37" s="140"/>
      <c r="AB37" s="140"/>
      <c r="AC37" s="140"/>
      <c r="AD37" s="140"/>
      <c r="AE37" s="141"/>
      <c r="AF37" s="3"/>
      <c r="AG37" s="3"/>
      <c r="AH37" s="4"/>
    </row>
    <row r="38" spans="1:34" ht="15" customHeight="1">
      <c r="A38" s="2"/>
      <c r="B38" s="130" t="s">
        <v>18</v>
      </c>
      <c r="C38" s="131"/>
      <c r="D38" s="131"/>
      <c r="E38" s="131"/>
      <c r="F38" s="131"/>
      <c r="G38" s="131"/>
      <c r="H38" s="131"/>
      <c r="I38" s="131"/>
      <c r="J38" s="131"/>
      <c r="K38" s="131"/>
      <c r="L38" s="131" t="s">
        <v>45</v>
      </c>
      <c r="M38" s="131"/>
      <c r="N38" s="131"/>
      <c r="O38" s="131"/>
      <c r="P38" s="131"/>
      <c r="Q38" s="131"/>
      <c r="R38" s="131"/>
      <c r="S38" s="131"/>
      <c r="T38" s="131"/>
      <c r="U38" s="132"/>
      <c r="V38" s="142"/>
      <c r="W38" s="143"/>
      <c r="X38" s="143"/>
      <c r="Y38" s="143"/>
      <c r="Z38" s="143"/>
      <c r="AA38" s="143"/>
      <c r="AB38" s="143"/>
      <c r="AC38" s="143"/>
      <c r="AD38" s="143"/>
      <c r="AE38" s="144"/>
      <c r="AF38" s="3"/>
      <c r="AG38" s="3"/>
      <c r="AH38" s="4"/>
    </row>
    <row r="39" spans="1:34" ht="15" customHeight="1">
      <c r="A39" s="2"/>
      <c r="B39" s="145" t="s">
        <v>46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 t="s">
        <v>47</v>
      </c>
      <c r="M39" s="146"/>
      <c r="N39" s="146"/>
      <c r="O39" s="146"/>
      <c r="P39" s="146"/>
      <c r="Q39" s="146"/>
      <c r="R39" s="146"/>
      <c r="S39" s="146"/>
      <c r="T39" s="146"/>
      <c r="U39" s="147"/>
      <c r="V39" s="145" t="s">
        <v>31</v>
      </c>
      <c r="W39" s="146"/>
      <c r="X39" s="146"/>
      <c r="Y39" s="146"/>
      <c r="Z39" s="146"/>
      <c r="AA39" s="146"/>
      <c r="AB39" s="146"/>
      <c r="AC39" s="146"/>
      <c r="AD39" s="146"/>
      <c r="AE39" s="147"/>
      <c r="AF39" s="3"/>
      <c r="AG39" s="3"/>
      <c r="AH39" s="4"/>
    </row>
    <row r="40" spans="1:34" ht="21" customHeight="1">
      <c r="A40" s="2"/>
      <c r="B40" s="110">
        <v>89.73</v>
      </c>
      <c r="C40" s="111"/>
      <c r="D40" s="111"/>
      <c r="E40" s="111"/>
      <c r="F40" s="111"/>
      <c r="G40" s="111"/>
      <c r="H40" s="111"/>
      <c r="I40" s="111"/>
      <c r="J40" s="111"/>
      <c r="K40" s="111"/>
      <c r="L40" s="193">
        <v>89.83</v>
      </c>
      <c r="M40" s="193"/>
      <c r="N40" s="193"/>
      <c r="O40" s="193"/>
      <c r="P40" s="193"/>
      <c r="Q40" s="193"/>
      <c r="R40" s="193"/>
      <c r="S40" s="193"/>
      <c r="T40" s="193"/>
      <c r="U40" s="265"/>
      <c r="V40" s="192">
        <f>100*(L40-B40)/Z5</f>
        <v>9.9999999999994316E-2</v>
      </c>
      <c r="W40" s="193"/>
      <c r="X40" s="193"/>
      <c r="Y40" s="193"/>
      <c r="Z40" s="193"/>
      <c r="AA40" s="193"/>
      <c r="AB40" s="193"/>
      <c r="AC40" s="194"/>
      <c r="AD40" s="195" t="s">
        <v>32</v>
      </c>
      <c r="AE40" s="196"/>
      <c r="AF40" s="3"/>
      <c r="AG40" s="3"/>
      <c r="AH40" s="4"/>
    </row>
    <row r="41" spans="1:34" ht="21" customHeight="1">
      <c r="A41" s="2"/>
      <c r="B41" s="136" t="s">
        <v>36</v>
      </c>
      <c r="C41" s="137"/>
      <c r="D41" s="137"/>
      <c r="E41" s="137"/>
      <c r="F41" s="103"/>
      <c r="G41" s="8"/>
      <c r="H41" s="137" t="s">
        <v>37</v>
      </c>
      <c r="I41" s="137"/>
      <c r="J41" s="137"/>
      <c r="K41" s="137"/>
      <c r="L41" s="137" t="s">
        <v>38</v>
      </c>
      <c r="M41" s="137"/>
      <c r="N41" s="137"/>
      <c r="O41" s="137"/>
      <c r="P41" s="9"/>
      <c r="Q41" s="118" t="s">
        <v>39</v>
      </c>
      <c r="R41" s="119"/>
      <c r="S41" s="119"/>
      <c r="T41" s="119"/>
      <c r="U41" s="120"/>
      <c r="V41" s="136" t="s">
        <v>48</v>
      </c>
      <c r="W41" s="137"/>
      <c r="X41" s="137"/>
      <c r="Y41" s="137"/>
      <c r="Z41" s="137"/>
      <c r="AA41" s="137"/>
      <c r="AB41" s="137"/>
      <c r="AC41" s="137"/>
      <c r="AD41" s="137"/>
      <c r="AE41" s="103"/>
      <c r="AF41" s="3"/>
      <c r="AG41" s="3"/>
      <c r="AH41" s="4"/>
    </row>
    <row r="42" spans="1:34">
      <c r="A42" s="2"/>
      <c r="B42" s="150" t="s">
        <v>41</v>
      </c>
      <c r="C42" s="150"/>
      <c r="D42" s="150"/>
      <c r="E42" s="150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4"/>
    </row>
    <row r="43" spans="1:34" ht="15.75" thickBot="1">
      <c r="A43" s="2"/>
      <c r="B43" s="150"/>
      <c r="C43" s="150"/>
      <c r="D43" s="150"/>
      <c r="E43" s="150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4"/>
    </row>
    <row r="44" spans="1:34" ht="10.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151" t="s">
        <v>49</v>
      </c>
      <c r="Z44" s="152"/>
      <c r="AA44" s="152"/>
      <c r="AB44" s="152"/>
      <c r="AC44" s="153"/>
      <c r="AD44" s="157" t="s">
        <v>50</v>
      </c>
      <c r="AE44" s="157"/>
      <c r="AF44" s="157"/>
      <c r="AG44" s="157"/>
      <c r="AH44" s="158"/>
    </row>
    <row r="45" spans="1:34" ht="15.75" thickBot="1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154"/>
      <c r="Z45" s="155"/>
      <c r="AA45" s="155"/>
      <c r="AB45" s="155"/>
      <c r="AC45" s="156"/>
      <c r="AD45" s="159"/>
      <c r="AE45" s="159"/>
      <c r="AF45" s="159"/>
      <c r="AG45" s="159"/>
      <c r="AH45" s="160"/>
    </row>
    <row r="46" spans="1:34" ht="15" customHeight="1">
      <c r="A46" s="2"/>
      <c r="B46" s="161" t="s">
        <v>51</v>
      </c>
      <c r="C46" s="162"/>
      <c r="D46" s="162"/>
      <c r="E46" s="162"/>
      <c r="F46" s="162"/>
      <c r="G46" s="163"/>
      <c r="H46" s="170" t="s">
        <v>37</v>
      </c>
      <c r="I46" s="171"/>
      <c r="J46" s="171"/>
      <c r="K46" s="171"/>
      <c r="L46" s="171"/>
      <c r="M46" s="172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176"/>
      <c r="Z46" s="177"/>
      <c r="AA46" s="177"/>
      <c r="AB46" s="177"/>
      <c r="AC46" s="178"/>
      <c r="AD46" s="183"/>
      <c r="AE46" s="184"/>
      <c r="AF46" s="184"/>
      <c r="AG46" s="184"/>
      <c r="AH46" s="185"/>
    </row>
    <row r="47" spans="1:34" ht="15" customHeight="1">
      <c r="A47" s="2"/>
      <c r="B47" s="164"/>
      <c r="C47" s="165"/>
      <c r="D47" s="165"/>
      <c r="E47" s="165"/>
      <c r="F47" s="165"/>
      <c r="G47" s="166"/>
      <c r="H47" s="173"/>
      <c r="I47" s="174"/>
      <c r="J47" s="174"/>
      <c r="K47" s="174"/>
      <c r="L47" s="174"/>
      <c r="M47" s="175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179"/>
      <c r="Z47" s="177"/>
      <c r="AA47" s="177"/>
      <c r="AB47" s="177"/>
      <c r="AC47" s="178"/>
      <c r="AD47" s="184"/>
      <c r="AE47" s="184"/>
      <c r="AF47" s="184"/>
      <c r="AG47" s="184"/>
      <c r="AH47" s="185"/>
    </row>
    <row r="48" spans="1:34" ht="15" customHeight="1">
      <c r="A48" s="2"/>
      <c r="B48" s="164"/>
      <c r="C48" s="165"/>
      <c r="D48" s="165"/>
      <c r="E48" s="165"/>
      <c r="F48" s="165"/>
      <c r="G48" s="166"/>
      <c r="H48" s="173" t="s">
        <v>38</v>
      </c>
      <c r="I48" s="174"/>
      <c r="J48" s="174"/>
      <c r="K48" s="174"/>
      <c r="L48" s="174"/>
      <c r="M48" s="175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179"/>
      <c r="Z48" s="177"/>
      <c r="AA48" s="177"/>
      <c r="AB48" s="177"/>
      <c r="AC48" s="178"/>
      <c r="AD48" s="184"/>
      <c r="AE48" s="184"/>
      <c r="AF48" s="184"/>
      <c r="AG48" s="184"/>
      <c r="AH48" s="185"/>
    </row>
    <row r="49" spans="1:34" ht="15" customHeight="1" thickBot="1">
      <c r="A49" s="2"/>
      <c r="B49" s="167"/>
      <c r="C49" s="168"/>
      <c r="D49" s="168"/>
      <c r="E49" s="168"/>
      <c r="F49" s="168"/>
      <c r="G49" s="169"/>
      <c r="H49" s="188"/>
      <c r="I49" s="189"/>
      <c r="J49" s="189"/>
      <c r="K49" s="189"/>
      <c r="L49" s="189"/>
      <c r="M49" s="190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179"/>
      <c r="Z49" s="177"/>
      <c r="AA49" s="177"/>
      <c r="AB49" s="177"/>
      <c r="AC49" s="178"/>
      <c r="AD49" s="184"/>
      <c r="AE49" s="184"/>
      <c r="AF49" s="184"/>
      <c r="AG49" s="184"/>
      <c r="AH49" s="185"/>
    </row>
    <row r="50" spans="1:34" ht="10.5" customHeight="1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180"/>
      <c r="Z50" s="181"/>
      <c r="AA50" s="181"/>
      <c r="AB50" s="181"/>
      <c r="AC50" s="182"/>
      <c r="AD50" s="186"/>
      <c r="AE50" s="186"/>
      <c r="AF50" s="186"/>
      <c r="AG50" s="186"/>
      <c r="AH50" s="187"/>
    </row>
    <row r="51" spans="1:34" s="13" customFormat="1" ht="22.5" customHeight="1" thickBot="1">
      <c r="A51" s="199" t="s">
        <v>76</v>
      </c>
      <c r="B51" s="200"/>
      <c r="C51" s="200"/>
      <c r="D51" s="200"/>
      <c r="E51" s="200" t="s">
        <v>52</v>
      </c>
      <c r="F51" s="200"/>
      <c r="G51" s="200"/>
      <c r="H51" s="200"/>
      <c r="I51" s="201"/>
      <c r="J51" s="202" t="s">
        <v>77</v>
      </c>
      <c r="K51" s="200"/>
      <c r="L51" s="200"/>
      <c r="M51" s="200"/>
      <c r="N51" s="200" t="s">
        <v>78</v>
      </c>
      <c r="O51" s="200"/>
      <c r="P51" s="200"/>
      <c r="Q51" s="201"/>
      <c r="R51" s="203"/>
      <c r="S51" s="204"/>
      <c r="T51" s="204"/>
      <c r="U51" s="204"/>
      <c r="V51" s="204"/>
      <c r="W51" s="204"/>
      <c r="X51" s="205"/>
      <c r="Y51" s="202" t="s">
        <v>79</v>
      </c>
      <c r="Z51" s="200"/>
      <c r="AA51" s="200"/>
      <c r="AB51" s="200"/>
      <c r="AC51" s="200"/>
      <c r="AD51" s="197">
        <v>41883</v>
      </c>
      <c r="AE51" s="197"/>
      <c r="AF51" s="197"/>
      <c r="AG51" s="197"/>
      <c r="AH51" s="198"/>
    </row>
    <row r="53" spans="1:34" ht="15.75" thickBot="1"/>
    <row r="54" spans="1:34" ht="27" customHeight="1">
      <c r="A54" s="45" t="s">
        <v>53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7"/>
      <c r="AD54" s="48" t="s">
        <v>54</v>
      </c>
      <c r="AE54" s="49"/>
      <c r="AF54" s="49"/>
      <c r="AG54" s="50" t="s">
        <v>2</v>
      </c>
      <c r="AH54" s="51"/>
    </row>
    <row r="55" spans="1:34" ht="19.5" customHeight="1">
      <c r="A55" s="52" t="s">
        <v>3</v>
      </c>
      <c r="B55" s="53"/>
      <c r="C55" s="53"/>
      <c r="D55" s="53"/>
      <c r="E55" s="53"/>
      <c r="F55" s="53"/>
      <c r="G55" s="54" t="s">
        <v>85</v>
      </c>
      <c r="H55" s="55"/>
      <c r="I55" s="55"/>
      <c r="J55" s="55"/>
      <c r="K55" s="55"/>
      <c r="L55" s="55"/>
      <c r="M55" s="55"/>
      <c r="N55" s="55"/>
      <c r="O55" s="55"/>
      <c r="P55" s="55"/>
      <c r="Q55" s="56"/>
      <c r="R55" s="28" t="s">
        <v>4</v>
      </c>
      <c r="S55" s="29"/>
      <c r="T55" s="29"/>
      <c r="U55" s="29"/>
      <c r="V55" s="29"/>
      <c r="W55" s="30"/>
      <c r="X55" s="31">
        <f>X2</f>
        <v>42886</v>
      </c>
      <c r="Y55" s="32"/>
      <c r="Z55" s="32"/>
      <c r="AA55" s="32"/>
      <c r="AB55" s="32"/>
      <c r="AC55" s="32"/>
      <c r="AD55" s="32"/>
      <c r="AE55" s="32"/>
      <c r="AF55" s="32"/>
      <c r="AG55" s="32"/>
      <c r="AH55" s="33"/>
    </row>
    <row r="56" spans="1:34" ht="19.5" customHeight="1">
      <c r="A56" s="34" t="s">
        <v>55</v>
      </c>
      <c r="B56" s="35"/>
      <c r="C56" s="35"/>
      <c r="D56" s="35"/>
      <c r="E56" s="35"/>
      <c r="F56" s="35"/>
      <c r="G56" s="25" t="s">
        <v>83</v>
      </c>
      <c r="H56" s="26"/>
      <c r="I56" s="26"/>
      <c r="J56" s="26"/>
      <c r="K56" s="26"/>
      <c r="L56" s="26"/>
      <c r="M56" s="26"/>
      <c r="N56" s="26"/>
      <c r="O56" s="26"/>
      <c r="P56" s="26"/>
      <c r="Q56" s="27"/>
      <c r="R56" s="28" t="s">
        <v>6</v>
      </c>
      <c r="S56" s="29"/>
      <c r="T56" s="29"/>
      <c r="U56" s="29"/>
      <c r="V56" s="29"/>
      <c r="W56" s="30"/>
      <c r="X56" s="31">
        <f>X3</f>
        <v>43251</v>
      </c>
      <c r="Y56" s="32"/>
      <c r="Z56" s="32"/>
      <c r="AA56" s="32"/>
      <c r="AB56" s="32"/>
      <c r="AC56" s="32"/>
      <c r="AD56" s="32"/>
      <c r="AE56" s="32"/>
      <c r="AF56" s="32"/>
      <c r="AG56" s="32"/>
      <c r="AH56" s="33"/>
    </row>
    <row r="57" spans="1:34" ht="19.5" customHeight="1">
      <c r="A57" s="34" t="s">
        <v>7</v>
      </c>
      <c r="B57" s="35"/>
      <c r="C57" s="35"/>
      <c r="D57" s="35"/>
      <c r="E57" s="35"/>
      <c r="F57" s="35"/>
      <c r="G57" s="36" t="s">
        <v>84</v>
      </c>
      <c r="H57" s="37"/>
      <c r="I57" s="37"/>
      <c r="J57" s="37"/>
      <c r="K57" s="37"/>
      <c r="L57" s="37"/>
      <c r="M57" s="37"/>
      <c r="N57" s="37"/>
      <c r="O57" s="37"/>
      <c r="P57" s="37"/>
      <c r="Q57" s="38"/>
      <c r="R57" s="39" t="s">
        <v>8</v>
      </c>
      <c r="S57" s="40"/>
      <c r="T57" s="40"/>
      <c r="U57" s="40"/>
      <c r="V57" s="40"/>
      <c r="W57" s="41"/>
      <c r="X57" s="42" t="s">
        <v>9</v>
      </c>
      <c r="Y57" s="43"/>
      <c r="Z57" s="43"/>
      <c r="AA57" s="43"/>
      <c r="AB57" s="43"/>
      <c r="AC57" s="43"/>
      <c r="AD57" s="43"/>
      <c r="AE57" s="43"/>
      <c r="AF57" s="43"/>
      <c r="AG57" s="43"/>
      <c r="AH57" s="44"/>
    </row>
    <row r="58" spans="1:34" ht="19.5" customHeight="1">
      <c r="A58" s="65" t="s">
        <v>10</v>
      </c>
      <c r="B58" s="66"/>
      <c r="C58" s="66"/>
      <c r="D58" s="66"/>
      <c r="E58" s="66"/>
      <c r="F58" s="67"/>
      <c r="G58" s="68" t="s">
        <v>94</v>
      </c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9" t="s">
        <v>11</v>
      </c>
      <c r="S58" s="69"/>
      <c r="T58" s="69"/>
      <c r="U58" s="69"/>
      <c r="V58" s="69"/>
      <c r="W58" s="69"/>
      <c r="X58" s="70" t="s">
        <v>12</v>
      </c>
      <c r="Y58" s="71"/>
      <c r="Z58" s="72">
        <f>Z5</f>
        <v>100</v>
      </c>
      <c r="AA58" s="73"/>
      <c r="AB58" s="73"/>
      <c r="AC58" s="73"/>
      <c r="AD58" s="74" t="s">
        <v>56</v>
      </c>
      <c r="AE58" s="74"/>
      <c r="AF58" s="74"/>
      <c r="AG58" s="74"/>
      <c r="AH58" s="75"/>
    </row>
    <row r="59" spans="1:34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4"/>
    </row>
    <row r="60" spans="1:34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4"/>
    </row>
    <row r="61" spans="1:34">
      <c r="A61" s="2"/>
      <c r="B61" s="7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4"/>
    </row>
    <row r="62" spans="1:34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4"/>
    </row>
    <row r="63" spans="1:34" ht="15" customHeight="1">
      <c r="A63" s="2"/>
      <c r="B63" s="213"/>
      <c r="C63" s="214"/>
      <c r="D63" s="214"/>
      <c r="E63" s="215"/>
      <c r="F63" s="138" t="s">
        <v>58</v>
      </c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3"/>
      <c r="T63" s="138" t="s">
        <v>20</v>
      </c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3"/>
      <c r="AH63" s="4"/>
    </row>
    <row r="64" spans="1:34" ht="39.75" customHeight="1">
      <c r="A64" s="2"/>
      <c r="B64" s="216"/>
      <c r="C64" s="217"/>
      <c r="D64" s="217"/>
      <c r="E64" s="218"/>
      <c r="F64" s="130" t="s">
        <v>45</v>
      </c>
      <c r="G64" s="131"/>
      <c r="H64" s="131"/>
      <c r="I64" s="131"/>
      <c r="J64" s="131"/>
      <c r="K64" s="219" t="s">
        <v>59</v>
      </c>
      <c r="L64" s="220"/>
      <c r="M64" s="220"/>
      <c r="N64" s="220"/>
      <c r="O64" s="221" t="s">
        <v>60</v>
      </c>
      <c r="P64" s="131"/>
      <c r="Q64" s="131"/>
      <c r="R64" s="131"/>
      <c r="S64" s="132"/>
      <c r="T64" s="130" t="s">
        <v>45</v>
      </c>
      <c r="U64" s="131"/>
      <c r="V64" s="131"/>
      <c r="W64" s="131"/>
      <c r="X64" s="131"/>
      <c r="Y64" s="219" t="s">
        <v>59</v>
      </c>
      <c r="Z64" s="220"/>
      <c r="AA64" s="220"/>
      <c r="AB64" s="220"/>
      <c r="AC64" s="221" t="s">
        <v>60</v>
      </c>
      <c r="AD64" s="131"/>
      <c r="AE64" s="131"/>
      <c r="AF64" s="131"/>
      <c r="AG64" s="132"/>
      <c r="AH64" s="4"/>
    </row>
    <row r="65" spans="1:34" ht="15" customHeight="1">
      <c r="A65" s="2"/>
      <c r="B65" s="216"/>
      <c r="C65" s="217"/>
      <c r="D65" s="217"/>
      <c r="E65" s="218"/>
      <c r="F65" s="130" t="s">
        <v>61</v>
      </c>
      <c r="G65" s="131"/>
      <c r="H65" s="131"/>
      <c r="I65" s="131"/>
      <c r="J65" s="131"/>
      <c r="K65" s="131" t="s">
        <v>62</v>
      </c>
      <c r="L65" s="131"/>
      <c r="M65" s="131"/>
      <c r="N65" s="131"/>
      <c r="O65" s="131" t="s">
        <v>63</v>
      </c>
      <c r="P65" s="131"/>
      <c r="Q65" s="131"/>
      <c r="R65" s="131"/>
      <c r="S65" s="132"/>
      <c r="T65" s="130" t="s">
        <v>64</v>
      </c>
      <c r="U65" s="131"/>
      <c r="V65" s="131"/>
      <c r="W65" s="131"/>
      <c r="X65" s="131"/>
      <c r="Y65" s="131" t="s">
        <v>65</v>
      </c>
      <c r="Z65" s="131"/>
      <c r="AA65" s="131"/>
      <c r="AB65" s="131"/>
      <c r="AC65" s="131" t="s">
        <v>66</v>
      </c>
      <c r="AD65" s="131"/>
      <c r="AE65" s="131"/>
      <c r="AF65" s="131"/>
      <c r="AG65" s="132"/>
      <c r="AH65" s="4"/>
    </row>
    <row r="66" spans="1:34" ht="15" customHeight="1">
      <c r="A66" s="2"/>
      <c r="B66" s="206"/>
      <c r="C66" s="207"/>
      <c r="D66" s="208" t="s">
        <v>67</v>
      </c>
      <c r="E66" s="209"/>
      <c r="F66" s="210"/>
      <c r="G66" s="211"/>
      <c r="H66" s="211"/>
      <c r="I66" s="211"/>
      <c r="J66" s="211"/>
      <c r="K66" s="211"/>
      <c r="L66" s="211"/>
      <c r="M66" s="211"/>
      <c r="N66" s="211"/>
      <c r="O66" s="211" t="s">
        <v>32</v>
      </c>
      <c r="P66" s="211"/>
      <c r="Q66" s="211"/>
      <c r="R66" s="211"/>
      <c r="S66" s="212"/>
      <c r="T66" s="210"/>
      <c r="U66" s="211"/>
      <c r="V66" s="211"/>
      <c r="W66" s="211"/>
      <c r="X66" s="211"/>
      <c r="Y66" s="211"/>
      <c r="Z66" s="211"/>
      <c r="AA66" s="211"/>
      <c r="AB66" s="211"/>
      <c r="AC66" s="211" t="s">
        <v>32</v>
      </c>
      <c r="AD66" s="211"/>
      <c r="AE66" s="211"/>
      <c r="AF66" s="211"/>
      <c r="AG66" s="212"/>
      <c r="AH66" s="4"/>
    </row>
    <row r="67" spans="1:34" ht="21" customHeight="1">
      <c r="A67" s="2"/>
      <c r="B67" s="124" t="s">
        <v>68</v>
      </c>
      <c r="C67" s="125"/>
      <c r="D67" s="125"/>
      <c r="E67" s="126"/>
      <c r="F67" s="222">
        <v>0.05</v>
      </c>
      <c r="G67" s="223"/>
      <c r="H67" s="223"/>
      <c r="I67" s="223"/>
      <c r="J67" s="224"/>
      <c r="K67" s="225">
        <f>F67-$F$70</f>
        <v>-9.999999999999995E-3</v>
      </c>
      <c r="L67" s="225"/>
      <c r="M67" s="225"/>
      <c r="N67" s="226"/>
      <c r="O67" s="225">
        <f>K67/$Z$58*100</f>
        <v>-9.999999999999995E-3</v>
      </c>
      <c r="P67" s="225"/>
      <c r="Q67" s="225"/>
      <c r="R67" s="225"/>
      <c r="S67" s="227"/>
      <c r="T67" s="228">
        <v>89.45</v>
      </c>
      <c r="U67" s="229"/>
      <c r="V67" s="229"/>
      <c r="W67" s="229"/>
      <c r="X67" s="230"/>
      <c r="Y67" s="229">
        <f>T67-$T$70</f>
        <v>1.9999999999996021E-2</v>
      </c>
      <c r="Z67" s="229"/>
      <c r="AA67" s="229"/>
      <c r="AB67" s="229"/>
      <c r="AC67" s="231">
        <f>Y67/$Z$58*100</f>
        <v>1.9999999999996021E-2</v>
      </c>
      <c r="AD67" s="231"/>
      <c r="AE67" s="231"/>
      <c r="AF67" s="231"/>
      <c r="AG67" s="232"/>
      <c r="AH67" s="4"/>
    </row>
    <row r="68" spans="1:34" ht="21" customHeight="1">
      <c r="A68" s="2"/>
      <c r="B68" s="124" t="s">
        <v>69</v>
      </c>
      <c r="C68" s="125"/>
      <c r="D68" s="125"/>
      <c r="E68" s="126"/>
      <c r="F68" s="241">
        <v>0.05</v>
      </c>
      <c r="G68" s="242"/>
      <c r="H68" s="242"/>
      <c r="I68" s="242"/>
      <c r="J68" s="243"/>
      <c r="K68" s="231">
        <f>F68-$F$70</f>
        <v>-9.999999999999995E-3</v>
      </c>
      <c r="L68" s="231"/>
      <c r="M68" s="231"/>
      <c r="N68" s="231"/>
      <c r="O68" s="231">
        <f>K68/$Z$58*100</f>
        <v>-9.999999999999995E-3</v>
      </c>
      <c r="P68" s="231"/>
      <c r="Q68" s="231"/>
      <c r="R68" s="231"/>
      <c r="S68" s="232"/>
      <c r="T68" s="244">
        <v>89.42</v>
      </c>
      <c r="U68" s="231"/>
      <c r="V68" s="231"/>
      <c r="W68" s="231"/>
      <c r="X68" s="245"/>
      <c r="Y68" s="231">
        <f>T68-$T$70</f>
        <v>-1.0000000000005116E-2</v>
      </c>
      <c r="Z68" s="231"/>
      <c r="AA68" s="231"/>
      <c r="AB68" s="231"/>
      <c r="AC68" s="231">
        <f>Y68/$Z$58*100</f>
        <v>-1.0000000000005116E-2</v>
      </c>
      <c r="AD68" s="231"/>
      <c r="AE68" s="231"/>
      <c r="AF68" s="231"/>
      <c r="AG68" s="232"/>
      <c r="AH68" s="4"/>
    </row>
    <row r="69" spans="1:34" ht="21" customHeight="1">
      <c r="A69" s="2"/>
      <c r="B69" s="124" t="s">
        <v>70</v>
      </c>
      <c r="C69" s="125"/>
      <c r="D69" s="125"/>
      <c r="E69" s="126"/>
      <c r="F69" s="233">
        <v>7.0000000000000007E-2</v>
      </c>
      <c r="G69" s="234"/>
      <c r="H69" s="234"/>
      <c r="I69" s="234"/>
      <c r="J69" s="235"/>
      <c r="K69" s="236">
        <f>F69-$F$70</f>
        <v>1.0000000000000009E-2</v>
      </c>
      <c r="L69" s="236"/>
      <c r="M69" s="236"/>
      <c r="N69" s="237"/>
      <c r="O69" s="238">
        <f>K69/$Z$58*100</f>
        <v>1.0000000000000009E-2</v>
      </c>
      <c r="P69" s="238"/>
      <c r="Q69" s="238"/>
      <c r="R69" s="238"/>
      <c r="S69" s="239"/>
      <c r="T69" s="233">
        <v>89.42</v>
      </c>
      <c r="U69" s="234"/>
      <c r="V69" s="234"/>
      <c r="W69" s="234"/>
      <c r="X69" s="234"/>
      <c r="Y69" s="240">
        <f>T69-$T$70</f>
        <v>-1.0000000000005116E-2</v>
      </c>
      <c r="Z69" s="240"/>
      <c r="AA69" s="240"/>
      <c r="AB69" s="240"/>
      <c r="AC69" s="231">
        <f>Y69/$Z$58*100</f>
        <v>-1.0000000000005116E-2</v>
      </c>
      <c r="AD69" s="231"/>
      <c r="AE69" s="231"/>
      <c r="AF69" s="231"/>
      <c r="AG69" s="232"/>
      <c r="AH69" s="4"/>
    </row>
    <row r="70" spans="1:34" ht="21" customHeight="1">
      <c r="A70" s="2"/>
      <c r="B70" s="249" t="s">
        <v>71</v>
      </c>
      <c r="C70" s="137"/>
      <c r="D70" s="137"/>
      <c r="E70" s="103"/>
      <c r="F70" s="222">
        <f>ROUND(AVERAGE(F67:J69),2)</f>
        <v>0.06</v>
      </c>
      <c r="G70" s="223"/>
      <c r="H70" s="223"/>
      <c r="I70" s="223"/>
      <c r="J70" s="224"/>
      <c r="K70" s="250" t="s">
        <v>72</v>
      </c>
      <c r="L70" s="251"/>
      <c r="M70" s="251"/>
      <c r="N70" s="252"/>
      <c r="O70" s="253">
        <f>ROUND(AVERAGE(O67:S69),2)</f>
        <v>0</v>
      </c>
      <c r="P70" s="254"/>
      <c r="Q70" s="254"/>
      <c r="R70" s="254"/>
      <c r="S70" s="255"/>
      <c r="T70" s="256">
        <f>ROUND(AVERAGE(T67:X69),2)</f>
        <v>89.43</v>
      </c>
      <c r="U70" s="112"/>
      <c r="V70" s="112"/>
      <c r="W70" s="112"/>
      <c r="X70" s="112"/>
      <c r="Y70" s="250" t="s">
        <v>72</v>
      </c>
      <c r="Z70" s="251"/>
      <c r="AA70" s="251"/>
      <c r="AB70" s="252"/>
      <c r="AC70" s="112">
        <f>ROUND(AVERAGE(AC67:AG69),2)</f>
        <v>0</v>
      </c>
      <c r="AD70" s="112"/>
      <c r="AE70" s="112"/>
      <c r="AF70" s="112"/>
      <c r="AG70" s="113"/>
      <c r="AH70" s="4"/>
    </row>
    <row r="71" spans="1:34" ht="27" customHeight="1">
      <c r="A71" s="2"/>
      <c r="B71" s="136" t="s">
        <v>36</v>
      </c>
      <c r="C71" s="137"/>
      <c r="D71" s="137"/>
      <c r="E71" s="103"/>
      <c r="F71" s="12"/>
      <c r="G71" s="137" t="s">
        <v>37</v>
      </c>
      <c r="H71" s="137"/>
      <c r="I71" s="137"/>
      <c r="J71" s="137"/>
      <c r="K71" s="137" t="s">
        <v>38</v>
      </c>
      <c r="L71" s="137"/>
      <c r="M71" s="137"/>
      <c r="N71" s="137"/>
      <c r="O71" s="246" t="s">
        <v>39</v>
      </c>
      <c r="P71" s="247"/>
      <c r="Q71" s="247"/>
      <c r="R71" s="247"/>
      <c r="S71" s="248"/>
      <c r="T71" s="89" t="s">
        <v>73</v>
      </c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4"/>
    </row>
    <row r="72" spans="1:34">
      <c r="A72" s="2"/>
      <c r="B72" s="150" t="s">
        <v>41</v>
      </c>
      <c r="C72" s="150"/>
      <c r="D72" s="150"/>
      <c r="E72" s="15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4"/>
    </row>
    <row r="73" spans="1:34">
      <c r="A73" s="2"/>
      <c r="B73" s="150"/>
      <c r="C73" s="150"/>
      <c r="D73" s="150"/>
      <c r="E73" s="15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4"/>
    </row>
    <row r="74" spans="1:34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4"/>
    </row>
    <row r="75" spans="1:34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4"/>
    </row>
    <row r="76" spans="1:34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4"/>
    </row>
    <row r="77" spans="1:34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4"/>
    </row>
    <row r="78" spans="1:34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4"/>
    </row>
    <row r="79" spans="1:34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4"/>
    </row>
    <row r="80" spans="1:34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4"/>
    </row>
    <row r="81" spans="1:34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4"/>
    </row>
    <row r="82" spans="1:34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4"/>
    </row>
    <row r="83" spans="1:34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4"/>
    </row>
    <row r="84" spans="1:34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4"/>
    </row>
    <row r="85" spans="1:34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4"/>
    </row>
    <row r="86" spans="1:34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4"/>
    </row>
    <row r="87" spans="1:34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4"/>
    </row>
    <row r="88" spans="1:34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4"/>
    </row>
    <row r="89" spans="1:34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4"/>
    </row>
    <row r="90" spans="1:34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4"/>
    </row>
    <row r="91" spans="1:34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4"/>
    </row>
    <row r="92" spans="1:34" ht="4.5" customHeight="1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4"/>
    </row>
    <row r="93" spans="1:34" ht="15.75" thickBot="1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4"/>
    </row>
    <row r="94" spans="1:34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151" t="s">
        <v>49</v>
      </c>
      <c r="Z94" s="152"/>
      <c r="AA94" s="152"/>
      <c r="AB94" s="152"/>
      <c r="AC94" s="153"/>
      <c r="AD94" s="157" t="s">
        <v>50</v>
      </c>
      <c r="AE94" s="157"/>
      <c r="AF94" s="157"/>
      <c r="AG94" s="157"/>
      <c r="AH94" s="158"/>
    </row>
    <row r="95" spans="1:34" ht="15.75" thickBot="1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154"/>
      <c r="Z95" s="155"/>
      <c r="AA95" s="155"/>
      <c r="AB95" s="155"/>
      <c r="AC95" s="156"/>
      <c r="AD95" s="159"/>
      <c r="AE95" s="159"/>
      <c r="AF95" s="159"/>
      <c r="AG95" s="159"/>
      <c r="AH95" s="160"/>
    </row>
    <row r="96" spans="1:34" ht="15" customHeight="1">
      <c r="A96" s="2"/>
      <c r="B96" s="161" t="s">
        <v>51</v>
      </c>
      <c r="C96" s="171"/>
      <c r="D96" s="171"/>
      <c r="E96" s="171"/>
      <c r="F96" s="171"/>
      <c r="G96" s="171"/>
      <c r="H96" s="170" t="s">
        <v>37</v>
      </c>
      <c r="I96" s="171"/>
      <c r="J96" s="171"/>
      <c r="K96" s="171"/>
      <c r="L96" s="171"/>
      <c r="M96" s="172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176"/>
      <c r="Z96" s="177"/>
      <c r="AA96" s="177"/>
      <c r="AB96" s="177"/>
      <c r="AC96" s="178"/>
      <c r="AD96" s="183"/>
      <c r="AE96" s="184"/>
      <c r="AF96" s="184"/>
      <c r="AG96" s="184"/>
      <c r="AH96" s="185"/>
    </row>
    <row r="97" spans="1:34" ht="15" customHeight="1">
      <c r="A97" s="2"/>
      <c r="B97" s="173"/>
      <c r="C97" s="174"/>
      <c r="D97" s="174"/>
      <c r="E97" s="174"/>
      <c r="F97" s="174"/>
      <c r="G97" s="174"/>
      <c r="H97" s="173"/>
      <c r="I97" s="174"/>
      <c r="J97" s="174"/>
      <c r="K97" s="174"/>
      <c r="L97" s="174"/>
      <c r="M97" s="175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179"/>
      <c r="Z97" s="177"/>
      <c r="AA97" s="177"/>
      <c r="AB97" s="177"/>
      <c r="AC97" s="178"/>
      <c r="AD97" s="184"/>
      <c r="AE97" s="184"/>
      <c r="AF97" s="184"/>
      <c r="AG97" s="184"/>
      <c r="AH97" s="185"/>
    </row>
    <row r="98" spans="1:34" ht="15" customHeight="1">
      <c r="A98" s="2"/>
      <c r="B98" s="173"/>
      <c r="C98" s="174"/>
      <c r="D98" s="174"/>
      <c r="E98" s="174"/>
      <c r="F98" s="174"/>
      <c r="G98" s="174"/>
      <c r="H98" s="173" t="s">
        <v>38</v>
      </c>
      <c r="I98" s="174"/>
      <c r="J98" s="174"/>
      <c r="K98" s="174"/>
      <c r="L98" s="174"/>
      <c r="M98" s="175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179"/>
      <c r="Z98" s="177"/>
      <c r="AA98" s="177"/>
      <c r="AB98" s="177"/>
      <c r="AC98" s="178"/>
      <c r="AD98" s="184"/>
      <c r="AE98" s="184"/>
      <c r="AF98" s="184"/>
      <c r="AG98" s="184"/>
      <c r="AH98" s="185"/>
    </row>
    <row r="99" spans="1:34" ht="15.75" customHeight="1" thickBot="1">
      <c r="A99" s="2"/>
      <c r="B99" s="188"/>
      <c r="C99" s="189"/>
      <c r="D99" s="189"/>
      <c r="E99" s="189"/>
      <c r="F99" s="189"/>
      <c r="G99" s="189"/>
      <c r="H99" s="188"/>
      <c r="I99" s="189"/>
      <c r="J99" s="189"/>
      <c r="K99" s="189"/>
      <c r="L99" s="189"/>
      <c r="M99" s="190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179"/>
      <c r="Z99" s="177"/>
      <c r="AA99" s="177"/>
      <c r="AB99" s="177"/>
      <c r="AC99" s="178"/>
      <c r="AD99" s="184"/>
      <c r="AE99" s="184"/>
      <c r="AF99" s="184"/>
      <c r="AG99" s="184"/>
      <c r="AH99" s="185"/>
    </row>
    <row r="100" spans="1:34" ht="9" customHeight="1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180"/>
      <c r="Z100" s="181"/>
      <c r="AA100" s="181"/>
      <c r="AB100" s="181"/>
      <c r="AC100" s="182"/>
      <c r="AD100" s="186"/>
      <c r="AE100" s="186"/>
      <c r="AF100" s="186"/>
      <c r="AG100" s="186"/>
      <c r="AH100" s="187"/>
    </row>
    <row r="101" spans="1:34" s="13" customFormat="1" ht="22.5" customHeight="1" thickBot="1">
      <c r="A101" s="199" t="s">
        <v>76</v>
      </c>
      <c r="B101" s="200"/>
      <c r="C101" s="200"/>
      <c r="D101" s="200"/>
      <c r="E101" s="200" t="s">
        <v>52</v>
      </c>
      <c r="F101" s="200"/>
      <c r="G101" s="200"/>
      <c r="H101" s="200"/>
      <c r="I101" s="201"/>
      <c r="J101" s="202" t="s">
        <v>77</v>
      </c>
      <c r="K101" s="200"/>
      <c r="L101" s="200"/>
      <c r="M101" s="200"/>
      <c r="N101" s="200" t="s">
        <v>78</v>
      </c>
      <c r="O101" s="200"/>
      <c r="P101" s="200"/>
      <c r="Q101" s="201"/>
      <c r="R101" s="203"/>
      <c r="S101" s="204"/>
      <c r="T101" s="204"/>
      <c r="U101" s="204"/>
      <c r="V101" s="204"/>
      <c r="W101" s="204"/>
      <c r="X101" s="205"/>
      <c r="Y101" s="202" t="s">
        <v>79</v>
      </c>
      <c r="Z101" s="200"/>
      <c r="AA101" s="200"/>
      <c r="AB101" s="200"/>
      <c r="AC101" s="200"/>
      <c r="AD101" s="197">
        <v>41883</v>
      </c>
      <c r="AE101" s="197"/>
      <c r="AF101" s="197"/>
      <c r="AG101" s="197"/>
      <c r="AH101" s="198"/>
    </row>
  </sheetData>
  <mergeCells count="208">
    <mergeCell ref="A3:F3"/>
    <mergeCell ref="G3:Q3"/>
    <mergeCell ref="R3:W3"/>
    <mergeCell ref="X3:AH3"/>
    <mergeCell ref="A4:F4"/>
    <mergeCell ref="G4:Q4"/>
    <mergeCell ref="R4:W4"/>
    <mergeCell ref="X4:AH4"/>
    <mergeCell ref="A1:AC1"/>
    <mergeCell ref="AD1:AF1"/>
    <mergeCell ref="AG1:AH1"/>
    <mergeCell ref="A2:F2"/>
    <mergeCell ref="G2:Q2"/>
    <mergeCell ref="R2:W2"/>
    <mergeCell ref="X2:AH2"/>
    <mergeCell ref="B7:AG7"/>
    <mergeCell ref="B8:H8"/>
    <mergeCell ref="I8:N8"/>
    <mergeCell ref="O8:U8"/>
    <mergeCell ref="V8:AA8"/>
    <mergeCell ref="AB8:AG8"/>
    <mergeCell ref="A5:F5"/>
    <mergeCell ref="G5:Q5"/>
    <mergeCell ref="R5:W5"/>
    <mergeCell ref="X5:Y5"/>
    <mergeCell ref="Z5:AC5"/>
    <mergeCell ref="AD5:AH5"/>
    <mergeCell ref="B9:H9"/>
    <mergeCell ref="I9:N9"/>
    <mergeCell ref="O9:U9"/>
    <mergeCell ref="V9:AA9"/>
    <mergeCell ref="AB9:AG9"/>
    <mergeCell ref="B10:H10"/>
    <mergeCell ref="I10:N10"/>
    <mergeCell ref="O10:U10"/>
    <mergeCell ref="V10:AA10"/>
    <mergeCell ref="AB10:AG10"/>
    <mergeCell ref="F14:K14"/>
    <mergeCell ref="L14:S14"/>
    <mergeCell ref="T14:Y14"/>
    <mergeCell ref="Z14:AG14"/>
    <mergeCell ref="B15:K15"/>
    <mergeCell ref="L15:S15"/>
    <mergeCell ref="B11:H11"/>
    <mergeCell ref="I11:N11"/>
    <mergeCell ref="O11:U11"/>
    <mergeCell ref="V11:AA11"/>
    <mergeCell ref="AB11:AG11"/>
    <mergeCell ref="B13:E14"/>
    <mergeCell ref="F13:K13"/>
    <mergeCell ref="L13:S13"/>
    <mergeCell ref="T13:Y13"/>
    <mergeCell ref="Z13:AG13"/>
    <mergeCell ref="B22:K22"/>
    <mergeCell ref="L22:U22"/>
    <mergeCell ref="V22:AE22"/>
    <mergeCell ref="B23:K23"/>
    <mergeCell ref="L23:U23"/>
    <mergeCell ref="V23:AC23"/>
    <mergeCell ref="AD23:AE23"/>
    <mergeCell ref="B19:K19"/>
    <mergeCell ref="L19:U19"/>
    <mergeCell ref="B20:U20"/>
    <mergeCell ref="V20:AE21"/>
    <mergeCell ref="B21:K21"/>
    <mergeCell ref="L21:U21"/>
    <mergeCell ref="B28:K28"/>
    <mergeCell ref="L28:U28"/>
    <mergeCell ref="V28:AE28"/>
    <mergeCell ref="B29:K29"/>
    <mergeCell ref="L29:U29"/>
    <mergeCell ref="V29:AC29"/>
    <mergeCell ref="AD29:AE29"/>
    <mergeCell ref="B25:K25"/>
    <mergeCell ref="L25:U25"/>
    <mergeCell ref="B26:U26"/>
    <mergeCell ref="V26:AE27"/>
    <mergeCell ref="B27:K27"/>
    <mergeCell ref="L27:U27"/>
    <mergeCell ref="B37:U37"/>
    <mergeCell ref="V37:AE38"/>
    <mergeCell ref="B38:K38"/>
    <mergeCell ref="L38:U38"/>
    <mergeCell ref="B39:K39"/>
    <mergeCell ref="L39:U39"/>
    <mergeCell ref="V39:AE39"/>
    <mergeCell ref="B31:F31"/>
    <mergeCell ref="H31:K31"/>
    <mergeCell ref="L31:O31"/>
    <mergeCell ref="Q31:U31"/>
    <mergeCell ref="V31:AE31"/>
    <mergeCell ref="C32:F33"/>
    <mergeCell ref="B42:E43"/>
    <mergeCell ref="Y44:AC45"/>
    <mergeCell ref="AD44:AH45"/>
    <mergeCell ref="B46:G49"/>
    <mergeCell ref="H46:M47"/>
    <mergeCell ref="Y46:AC50"/>
    <mergeCell ref="AD46:AH50"/>
    <mergeCell ref="H48:M49"/>
    <mergeCell ref="B40:K40"/>
    <mergeCell ref="L40:U40"/>
    <mergeCell ref="V40:AC40"/>
    <mergeCell ref="AD40:AE40"/>
    <mergeCell ref="B41:F41"/>
    <mergeCell ref="H41:K41"/>
    <mergeCell ref="L41:O41"/>
    <mergeCell ref="Q41:U41"/>
    <mergeCell ref="V41:AE41"/>
    <mergeCell ref="AD51:AH51"/>
    <mergeCell ref="A54:AC54"/>
    <mergeCell ref="AD54:AF54"/>
    <mergeCell ref="AG54:AH54"/>
    <mergeCell ref="A55:F55"/>
    <mergeCell ref="G55:Q55"/>
    <mergeCell ref="R55:W55"/>
    <mergeCell ref="X55:AH55"/>
    <mergeCell ref="A51:D51"/>
    <mergeCell ref="E51:I51"/>
    <mergeCell ref="J51:M51"/>
    <mergeCell ref="N51:Q51"/>
    <mergeCell ref="R51:X51"/>
    <mergeCell ref="Y51:AC51"/>
    <mergeCell ref="A58:F58"/>
    <mergeCell ref="G58:Q58"/>
    <mergeCell ref="R58:W58"/>
    <mergeCell ref="X58:Y58"/>
    <mergeCell ref="Z58:AC58"/>
    <mergeCell ref="AD58:AH58"/>
    <mergeCell ref="A56:F56"/>
    <mergeCell ref="G56:Q56"/>
    <mergeCell ref="R56:W56"/>
    <mergeCell ref="X56:AH56"/>
    <mergeCell ref="A57:F57"/>
    <mergeCell ref="G57:Q57"/>
    <mergeCell ref="R57:W57"/>
    <mergeCell ref="X57:AH57"/>
    <mergeCell ref="K65:N65"/>
    <mergeCell ref="O65:S65"/>
    <mergeCell ref="T65:X65"/>
    <mergeCell ref="Y65:AB65"/>
    <mergeCell ref="AC65:AG65"/>
    <mergeCell ref="B66:C66"/>
    <mergeCell ref="D66:E66"/>
    <mergeCell ref="F66:J66"/>
    <mergeCell ref="K66:N66"/>
    <mergeCell ref="O66:S66"/>
    <mergeCell ref="B63:E65"/>
    <mergeCell ref="F63:S63"/>
    <mergeCell ref="T63:AG63"/>
    <mergeCell ref="F64:J64"/>
    <mergeCell ref="K64:N64"/>
    <mergeCell ref="O64:S64"/>
    <mergeCell ref="T64:X64"/>
    <mergeCell ref="Y64:AB64"/>
    <mergeCell ref="AC64:AG64"/>
    <mergeCell ref="F65:J65"/>
    <mergeCell ref="T66:X66"/>
    <mergeCell ref="Y66:AB66"/>
    <mergeCell ref="AC66:AG66"/>
    <mergeCell ref="B67:E67"/>
    <mergeCell ref="F67:J67"/>
    <mergeCell ref="K67:N67"/>
    <mergeCell ref="O67:S67"/>
    <mergeCell ref="T67:X67"/>
    <mergeCell ref="Y67:AB67"/>
    <mergeCell ref="AC67:AG67"/>
    <mergeCell ref="AC68:AG68"/>
    <mergeCell ref="B69:E69"/>
    <mergeCell ref="F69:J69"/>
    <mergeCell ref="K69:N69"/>
    <mergeCell ref="O69:S69"/>
    <mergeCell ref="T69:X69"/>
    <mergeCell ref="Y69:AB69"/>
    <mergeCell ref="AC69:AG69"/>
    <mergeCell ref="B68:E68"/>
    <mergeCell ref="F68:J68"/>
    <mergeCell ref="K68:N68"/>
    <mergeCell ref="O68:S68"/>
    <mergeCell ref="T68:X68"/>
    <mergeCell ref="Y68:AB68"/>
    <mergeCell ref="AC70:AG70"/>
    <mergeCell ref="B71:E71"/>
    <mergeCell ref="G71:J71"/>
    <mergeCell ref="K71:N71"/>
    <mergeCell ref="O71:S71"/>
    <mergeCell ref="T71:AG71"/>
    <mergeCell ref="B70:E70"/>
    <mergeCell ref="F70:J70"/>
    <mergeCell ref="K70:N70"/>
    <mergeCell ref="O70:S70"/>
    <mergeCell ref="T70:X70"/>
    <mergeCell ref="Y70:AB70"/>
    <mergeCell ref="AD101:AH101"/>
    <mergeCell ref="A101:D101"/>
    <mergeCell ref="E101:I101"/>
    <mergeCell ref="J101:M101"/>
    <mergeCell ref="N101:Q101"/>
    <mergeCell ref="R101:X101"/>
    <mergeCell ref="Y101:AC101"/>
    <mergeCell ref="B72:E73"/>
    <mergeCell ref="Y94:AC95"/>
    <mergeCell ref="AD94:AH95"/>
    <mergeCell ref="B96:G99"/>
    <mergeCell ref="H96:M97"/>
    <mergeCell ref="Y96:AC100"/>
    <mergeCell ref="AD96:AH100"/>
    <mergeCell ref="H98:M99"/>
  </mergeCells>
  <pageMargins left="0.47244094488188981" right="0.27" top="0.4" bottom="0.19685039370078741" header="0.35433070866141736" footer="0.11811023622047245"/>
  <pageSetup paperSize="9" scale="94" firstPageNumber="4294963191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13313" r:id="rId4">
          <objectPr defaultSize="0" autoPict="0" r:id="rId5">
            <anchor moveWithCells="1">
              <from>
                <xdr:col>6</xdr:col>
                <xdr:colOff>142875</xdr:colOff>
                <xdr:row>31</xdr:row>
                <xdr:rowOff>38100</xdr:rowOff>
              </from>
              <to>
                <xdr:col>9</xdr:col>
                <xdr:colOff>19050</xdr:colOff>
                <xdr:row>32</xdr:row>
                <xdr:rowOff>152400</xdr:rowOff>
              </to>
            </anchor>
          </objectPr>
        </oleObject>
      </mc:Choice>
      <mc:Fallback>
        <oleObject progId="Equation.3" shapeId="13313" r:id="rId4"/>
      </mc:Fallback>
    </mc:AlternateContent>
    <mc:AlternateContent xmlns:mc="http://schemas.openxmlformats.org/markup-compatibility/2006">
      <mc:Choice Requires="x14">
        <oleObject progId="Equation.3" shapeId="13314" r:id="rId6">
          <objectPr defaultSize="0" autoPict="0" r:id="rId7">
            <anchor moveWithCells="1">
              <from>
                <xdr:col>6</xdr:col>
                <xdr:colOff>95250</xdr:colOff>
                <xdr:row>41</xdr:row>
                <xdr:rowOff>180975</xdr:rowOff>
              </from>
              <to>
                <xdr:col>9</xdr:col>
                <xdr:colOff>123825</xdr:colOff>
                <xdr:row>43</xdr:row>
                <xdr:rowOff>104775</xdr:rowOff>
              </to>
            </anchor>
          </objectPr>
        </oleObject>
      </mc:Choice>
      <mc:Fallback>
        <oleObject progId="Equation.3" shapeId="13314" r:id="rId6"/>
      </mc:Fallback>
    </mc:AlternateContent>
    <mc:AlternateContent xmlns:mc="http://schemas.openxmlformats.org/markup-compatibility/2006">
      <mc:Choice Requires="x14">
        <oleObject progId="Equation.3" shapeId="13315" r:id="rId8">
          <objectPr defaultSize="0" autoPict="0" r:id="rId9">
            <anchor moveWithCells="1">
              <from>
                <xdr:col>5</xdr:col>
                <xdr:colOff>0</xdr:colOff>
                <xdr:row>72</xdr:row>
                <xdr:rowOff>85725</xdr:rowOff>
              </from>
              <to>
                <xdr:col>7</xdr:col>
                <xdr:colOff>114300</xdr:colOff>
                <xdr:row>74</xdr:row>
                <xdr:rowOff>19050</xdr:rowOff>
              </to>
            </anchor>
          </objectPr>
        </oleObject>
      </mc:Choice>
      <mc:Fallback>
        <oleObject progId="Equation.3" shapeId="13315" r:id="rId8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101"/>
  <sheetViews>
    <sheetView zoomScale="130" zoomScaleNormal="130" workbookViewId="0">
      <selection activeCell="B40" sqref="B40:K40"/>
    </sheetView>
  </sheetViews>
  <sheetFormatPr defaultColWidth="2.5" defaultRowHeight="15"/>
  <cols>
    <col min="1" max="16384" width="2.5" style="1"/>
  </cols>
  <sheetData>
    <row r="1" spans="1:34" ht="27" customHeight="1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7"/>
      <c r="AD1" s="48" t="s">
        <v>1</v>
      </c>
      <c r="AE1" s="49"/>
      <c r="AF1" s="49"/>
      <c r="AG1" s="50" t="s">
        <v>2</v>
      </c>
      <c r="AH1" s="51"/>
    </row>
    <row r="2" spans="1:34" ht="19.5" customHeight="1">
      <c r="A2" s="52" t="s">
        <v>3</v>
      </c>
      <c r="B2" s="53"/>
      <c r="C2" s="53"/>
      <c r="D2" s="53"/>
      <c r="E2" s="53"/>
      <c r="F2" s="53"/>
      <c r="G2" s="54" t="s">
        <v>85</v>
      </c>
      <c r="H2" s="55"/>
      <c r="I2" s="55"/>
      <c r="J2" s="55"/>
      <c r="K2" s="55"/>
      <c r="L2" s="55"/>
      <c r="M2" s="55"/>
      <c r="N2" s="55"/>
      <c r="O2" s="55"/>
      <c r="P2" s="55"/>
      <c r="Q2" s="56"/>
      <c r="R2" s="28" t="s">
        <v>4</v>
      </c>
      <c r="S2" s="29"/>
      <c r="T2" s="29"/>
      <c r="U2" s="29"/>
      <c r="V2" s="29"/>
      <c r="W2" s="30"/>
      <c r="X2" s="31">
        <v>42886</v>
      </c>
      <c r="Y2" s="32"/>
      <c r="Z2" s="32"/>
      <c r="AA2" s="32"/>
      <c r="AB2" s="32"/>
      <c r="AC2" s="32"/>
      <c r="AD2" s="32"/>
      <c r="AE2" s="32"/>
      <c r="AF2" s="32"/>
      <c r="AG2" s="32"/>
      <c r="AH2" s="33"/>
    </row>
    <row r="3" spans="1:34" ht="19.5" customHeight="1">
      <c r="A3" s="23" t="s">
        <v>5</v>
      </c>
      <c r="B3" s="24"/>
      <c r="C3" s="24"/>
      <c r="D3" s="24"/>
      <c r="E3" s="24"/>
      <c r="F3" s="24"/>
      <c r="G3" s="25" t="s">
        <v>83</v>
      </c>
      <c r="H3" s="26"/>
      <c r="I3" s="26"/>
      <c r="J3" s="26"/>
      <c r="K3" s="26"/>
      <c r="L3" s="26"/>
      <c r="M3" s="26"/>
      <c r="N3" s="26"/>
      <c r="O3" s="26"/>
      <c r="P3" s="26"/>
      <c r="Q3" s="27"/>
      <c r="R3" s="28" t="s">
        <v>6</v>
      </c>
      <c r="S3" s="29"/>
      <c r="T3" s="29"/>
      <c r="U3" s="29"/>
      <c r="V3" s="29"/>
      <c r="W3" s="30"/>
      <c r="X3" s="31">
        <v>43251</v>
      </c>
      <c r="Y3" s="32"/>
      <c r="Z3" s="32"/>
      <c r="AA3" s="32"/>
      <c r="AB3" s="32"/>
      <c r="AC3" s="32"/>
      <c r="AD3" s="32"/>
      <c r="AE3" s="32"/>
      <c r="AF3" s="32"/>
      <c r="AG3" s="32"/>
      <c r="AH3" s="33"/>
    </row>
    <row r="4" spans="1:34" ht="19.5" customHeight="1">
      <c r="A4" s="34" t="s">
        <v>7</v>
      </c>
      <c r="B4" s="35"/>
      <c r="C4" s="35"/>
      <c r="D4" s="35"/>
      <c r="E4" s="35"/>
      <c r="F4" s="35"/>
      <c r="G4" s="36" t="s">
        <v>84</v>
      </c>
      <c r="H4" s="37"/>
      <c r="I4" s="37"/>
      <c r="J4" s="37"/>
      <c r="K4" s="37"/>
      <c r="L4" s="37"/>
      <c r="M4" s="37"/>
      <c r="N4" s="37"/>
      <c r="O4" s="37"/>
      <c r="P4" s="37"/>
      <c r="Q4" s="38"/>
      <c r="R4" s="39" t="s">
        <v>8</v>
      </c>
      <c r="S4" s="40"/>
      <c r="T4" s="40"/>
      <c r="U4" s="40"/>
      <c r="V4" s="40"/>
      <c r="W4" s="41"/>
      <c r="X4" s="42" t="s">
        <v>9</v>
      </c>
      <c r="Y4" s="43"/>
      <c r="Z4" s="43"/>
      <c r="AA4" s="43"/>
      <c r="AB4" s="43"/>
      <c r="AC4" s="43"/>
      <c r="AD4" s="43"/>
      <c r="AE4" s="43"/>
      <c r="AF4" s="43"/>
      <c r="AG4" s="43"/>
      <c r="AH4" s="44"/>
    </row>
    <row r="5" spans="1:34" ht="19.5" customHeight="1">
      <c r="A5" s="65" t="s">
        <v>10</v>
      </c>
      <c r="B5" s="66"/>
      <c r="C5" s="66"/>
      <c r="D5" s="66"/>
      <c r="E5" s="66"/>
      <c r="F5" s="67"/>
      <c r="G5" s="68" t="s">
        <v>94</v>
      </c>
      <c r="H5" s="68"/>
      <c r="I5" s="68"/>
      <c r="J5" s="68"/>
      <c r="K5" s="68"/>
      <c r="L5" s="68"/>
      <c r="M5" s="68"/>
      <c r="N5" s="68"/>
      <c r="O5" s="68"/>
      <c r="P5" s="68"/>
      <c r="Q5" s="68"/>
      <c r="R5" s="69" t="s">
        <v>11</v>
      </c>
      <c r="S5" s="69"/>
      <c r="T5" s="69"/>
      <c r="U5" s="69"/>
      <c r="V5" s="69"/>
      <c r="W5" s="69"/>
      <c r="X5" s="70" t="s">
        <v>12</v>
      </c>
      <c r="Y5" s="71"/>
      <c r="Z5" s="72">
        <v>250</v>
      </c>
      <c r="AA5" s="73"/>
      <c r="AB5" s="73"/>
      <c r="AC5" s="73"/>
      <c r="AD5" s="74" t="s">
        <v>13</v>
      </c>
      <c r="AE5" s="74"/>
      <c r="AF5" s="74"/>
      <c r="AG5" s="74"/>
      <c r="AH5" s="75"/>
    </row>
    <row r="6" spans="1:34" ht="15.75" thickBo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4"/>
    </row>
    <row r="7" spans="1:34" ht="15" customHeight="1">
      <c r="A7" s="2"/>
      <c r="B7" s="57" t="s">
        <v>14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9"/>
      <c r="AH7" s="4"/>
    </row>
    <row r="8" spans="1:34" ht="15" customHeight="1">
      <c r="A8" s="2"/>
      <c r="B8" s="60" t="s">
        <v>15</v>
      </c>
      <c r="C8" s="61"/>
      <c r="D8" s="61"/>
      <c r="E8" s="61"/>
      <c r="F8" s="61"/>
      <c r="G8" s="61"/>
      <c r="H8" s="61"/>
      <c r="I8" s="62" t="s">
        <v>3</v>
      </c>
      <c r="J8" s="62"/>
      <c r="K8" s="62"/>
      <c r="L8" s="62"/>
      <c r="M8" s="62"/>
      <c r="N8" s="62"/>
      <c r="O8" s="61" t="s">
        <v>16</v>
      </c>
      <c r="P8" s="61"/>
      <c r="Q8" s="61"/>
      <c r="R8" s="61"/>
      <c r="S8" s="61"/>
      <c r="T8" s="61"/>
      <c r="U8" s="61"/>
      <c r="V8" s="63" t="s">
        <v>17</v>
      </c>
      <c r="W8" s="63"/>
      <c r="X8" s="63"/>
      <c r="Y8" s="63"/>
      <c r="Z8" s="63"/>
      <c r="AA8" s="63"/>
      <c r="AB8" s="63" t="s">
        <v>18</v>
      </c>
      <c r="AC8" s="63"/>
      <c r="AD8" s="63"/>
      <c r="AE8" s="63"/>
      <c r="AF8" s="63"/>
      <c r="AG8" s="64"/>
      <c r="AH8" s="4"/>
    </row>
    <row r="9" spans="1:34" ht="19.5" customHeight="1">
      <c r="A9" s="2"/>
      <c r="B9" s="76" t="s">
        <v>19</v>
      </c>
      <c r="C9" s="77"/>
      <c r="D9" s="77"/>
      <c r="E9" s="77"/>
      <c r="F9" s="77"/>
      <c r="G9" s="77"/>
      <c r="H9" s="77"/>
      <c r="I9" s="78" t="s">
        <v>109</v>
      </c>
      <c r="J9" s="78"/>
      <c r="K9" s="78"/>
      <c r="L9" s="78"/>
      <c r="M9" s="78"/>
      <c r="N9" s="78"/>
      <c r="O9" s="78" t="s">
        <v>74</v>
      </c>
      <c r="P9" s="78"/>
      <c r="Q9" s="78"/>
      <c r="R9" s="78"/>
      <c r="S9" s="78"/>
      <c r="T9" s="78"/>
      <c r="U9" s="78"/>
      <c r="V9" s="78" t="s">
        <v>113</v>
      </c>
      <c r="W9" s="78"/>
      <c r="X9" s="78"/>
      <c r="Y9" s="78"/>
      <c r="Z9" s="78"/>
      <c r="AA9" s="78"/>
      <c r="AB9" s="79" t="s">
        <v>121</v>
      </c>
      <c r="AC9" s="79"/>
      <c r="AD9" s="79"/>
      <c r="AE9" s="79"/>
      <c r="AF9" s="79"/>
      <c r="AG9" s="80"/>
      <c r="AH9" s="4"/>
    </row>
    <row r="10" spans="1:34" ht="19.5" customHeight="1">
      <c r="A10" s="2"/>
      <c r="B10" s="81" t="s">
        <v>108</v>
      </c>
      <c r="C10" s="82"/>
      <c r="D10" s="82"/>
      <c r="E10" s="82"/>
      <c r="F10" s="82"/>
      <c r="G10" s="82"/>
      <c r="H10" s="82"/>
      <c r="I10" s="78" t="s">
        <v>118</v>
      </c>
      <c r="J10" s="78"/>
      <c r="K10" s="78"/>
      <c r="L10" s="78"/>
      <c r="M10" s="78"/>
      <c r="N10" s="78"/>
      <c r="O10" s="78" t="s">
        <v>74</v>
      </c>
      <c r="P10" s="78"/>
      <c r="Q10" s="78"/>
      <c r="R10" s="78"/>
      <c r="S10" s="78"/>
      <c r="T10" s="78"/>
      <c r="U10" s="78"/>
      <c r="V10" s="78" t="s">
        <v>119</v>
      </c>
      <c r="W10" s="78"/>
      <c r="X10" s="78"/>
      <c r="Y10" s="78"/>
      <c r="Z10" s="78"/>
      <c r="AA10" s="78"/>
      <c r="AB10" s="266" t="s">
        <v>117</v>
      </c>
      <c r="AC10" s="266"/>
      <c r="AD10" s="266"/>
      <c r="AE10" s="266"/>
      <c r="AF10" s="266"/>
      <c r="AG10" s="267"/>
      <c r="AH10" s="4"/>
    </row>
    <row r="11" spans="1:34" ht="19.5" customHeight="1" thickBot="1">
      <c r="A11" s="2"/>
      <c r="B11" s="94" t="s">
        <v>21</v>
      </c>
      <c r="C11" s="95"/>
      <c r="D11" s="95"/>
      <c r="E11" s="95"/>
      <c r="F11" s="95"/>
      <c r="G11" s="95"/>
      <c r="H11" s="95"/>
      <c r="I11" s="290" t="s">
        <v>95</v>
      </c>
      <c r="J11" s="290"/>
      <c r="K11" s="290"/>
      <c r="L11" s="290"/>
      <c r="M11" s="290"/>
      <c r="N11" s="290"/>
      <c r="O11" s="290" t="s">
        <v>74</v>
      </c>
      <c r="P11" s="290"/>
      <c r="Q11" s="290"/>
      <c r="R11" s="290"/>
      <c r="S11" s="290"/>
      <c r="T11" s="290"/>
      <c r="U11" s="290"/>
      <c r="V11" s="290" t="s">
        <v>96</v>
      </c>
      <c r="W11" s="290"/>
      <c r="X11" s="290"/>
      <c r="Y11" s="290"/>
      <c r="Z11" s="290"/>
      <c r="AA11" s="290"/>
      <c r="AB11" s="291" t="s">
        <v>97</v>
      </c>
      <c r="AC11" s="291"/>
      <c r="AD11" s="291"/>
      <c r="AE11" s="291"/>
      <c r="AF11" s="291"/>
      <c r="AG11" s="292"/>
      <c r="AH11" s="4"/>
    </row>
    <row r="12" spans="1:34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4"/>
    </row>
    <row r="13" spans="1:34" ht="21" customHeight="1">
      <c r="A13" s="2"/>
      <c r="B13" s="89" t="s">
        <v>22</v>
      </c>
      <c r="C13" s="89"/>
      <c r="D13" s="89"/>
      <c r="E13" s="89"/>
      <c r="F13" s="103" t="s">
        <v>3</v>
      </c>
      <c r="G13" s="89"/>
      <c r="H13" s="89"/>
      <c r="I13" s="89"/>
      <c r="J13" s="89"/>
      <c r="K13" s="89"/>
      <c r="L13" s="78" t="s">
        <v>112</v>
      </c>
      <c r="M13" s="78"/>
      <c r="N13" s="78"/>
      <c r="O13" s="78"/>
      <c r="P13" s="78"/>
      <c r="Q13" s="78"/>
      <c r="R13" s="78"/>
      <c r="S13" s="78"/>
      <c r="T13" s="89" t="s">
        <v>7</v>
      </c>
      <c r="U13" s="89"/>
      <c r="V13" s="89"/>
      <c r="W13" s="89"/>
      <c r="X13" s="89"/>
      <c r="Y13" s="89"/>
      <c r="Z13" s="78">
        <v>93310021</v>
      </c>
      <c r="AA13" s="78"/>
      <c r="AB13" s="78"/>
      <c r="AC13" s="78"/>
      <c r="AD13" s="78"/>
      <c r="AE13" s="78"/>
      <c r="AF13" s="78"/>
      <c r="AG13" s="78"/>
      <c r="AH13" s="4"/>
    </row>
    <row r="14" spans="1:34" ht="21" customHeight="1">
      <c r="A14" s="2"/>
      <c r="B14" s="89"/>
      <c r="C14" s="89"/>
      <c r="D14" s="89"/>
      <c r="E14" s="89"/>
      <c r="F14" s="85" t="s">
        <v>5</v>
      </c>
      <c r="G14" s="85"/>
      <c r="H14" s="85"/>
      <c r="I14" s="85"/>
      <c r="J14" s="85"/>
      <c r="K14" s="85"/>
      <c r="L14" s="86" t="s">
        <v>75</v>
      </c>
      <c r="M14" s="87"/>
      <c r="N14" s="87"/>
      <c r="O14" s="87"/>
      <c r="P14" s="87"/>
      <c r="Q14" s="87"/>
      <c r="R14" s="87"/>
      <c r="S14" s="88"/>
      <c r="T14" s="89" t="s">
        <v>6</v>
      </c>
      <c r="U14" s="89"/>
      <c r="V14" s="89"/>
      <c r="W14" s="89"/>
      <c r="X14" s="89"/>
      <c r="Y14" s="89"/>
      <c r="Z14" s="90">
        <v>43008</v>
      </c>
      <c r="AA14" s="90"/>
      <c r="AB14" s="90"/>
      <c r="AC14" s="90"/>
      <c r="AD14" s="90"/>
      <c r="AE14" s="90"/>
      <c r="AF14" s="90"/>
      <c r="AG14" s="90"/>
      <c r="AH14" s="4"/>
    </row>
    <row r="15" spans="1:34" ht="17.25" customHeight="1">
      <c r="A15" s="2"/>
      <c r="B15" s="89" t="s">
        <v>23</v>
      </c>
      <c r="C15" s="89"/>
      <c r="D15" s="89"/>
      <c r="E15" s="89"/>
      <c r="F15" s="89"/>
      <c r="G15" s="89"/>
      <c r="H15" s="89"/>
      <c r="I15" s="89"/>
      <c r="J15" s="89"/>
      <c r="K15" s="89"/>
      <c r="L15" s="91">
        <v>15170</v>
      </c>
      <c r="M15" s="92"/>
      <c r="N15" s="92"/>
      <c r="O15" s="92"/>
      <c r="P15" s="92"/>
      <c r="Q15" s="92"/>
      <c r="R15" s="92"/>
      <c r="S15" s="93"/>
      <c r="T15" s="5"/>
      <c r="U15" s="5"/>
      <c r="V15" s="5"/>
      <c r="W15" s="5"/>
      <c r="X15" s="5"/>
      <c r="Y15" s="5"/>
      <c r="Z15" s="6"/>
      <c r="AA15" s="6"/>
      <c r="AB15" s="6"/>
      <c r="AC15" s="6"/>
      <c r="AD15" s="6"/>
      <c r="AE15" s="6"/>
      <c r="AF15" s="6"/>
      <c r="AG15" s="6"/>
      <c r="AH15" s="4"/>
    </row>
    <row r="16" spans="1:34" ht="5.25" customHeight="1">
      <c r="A16" s="2"/>
      <c r="B16" s="5"/>
      <c r="C16" s="5"/>
      <c r="D16" s="5"/>
      <c r="E16" s="5"/>
      <c r="F16" s="5"/>
      <c r="G16" s="5"/>
      <c r="H16" s="5"/>
      <c r="I16" s="5"/>
      <c r="J16" s="5"/>
      <c r="K16" s="5"/>
      <c r="L16" s="3"/>
      <c r="M16" s="3"/>
      <c r="N16" s="3"/>
      <c r="O16" s="3"/>
      <c r="P16" s="3"/>
      <c r="Q16" s="3"/>
      <c r="R16" s="3"/>
      <c r="S16" s="3"/>
      <c r="T16" s="5"/>
      <c r="U16" s="5"/>
      <c r="V16" s="5"/>
      <c r="W16" s="5"/>
      <c r="X16" s="5"/>
      <c r="Y16" s="5"/>
      <c r="Z16" s="3"/>
      <c r="AA16" s="3"/>
      <c r="AB16" s="3"/>
      <c r="AC16" s="3"/>
      <c r="AD16" s="3"/>
      <c r="AE16" s="3"/>
      <c r="AF16" s="3"/>
      <c r="AG16" s="3"/>
      <c r="AH16" s="4"/>
    </row>
    <row r="17" spans="1:34">
      <c r="A17" s="2"/>
      <c r="B17" s="7" t="s">
        <v>24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4"/>
    </row>
    <row r="18" spans="1:34" ht="7.5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4"/>
    </row>
    <row r="19" spans="1:34" ht="15" customHeight="1">
      <c r="A19" s="2"/>
      <c r="B19" s="118" t="s">
        <v>10</v>
      </c>
      <c r="C19" s="119"/>
      <c r="D19" s="119"/>
      <c r="E19" s="119"/>
      <c r="F19" s="119"/>
      <c r="G19" s="119"/>
      <c r="H19" s="119"/>
      <c r="I19" s="119"/>
      <c r="J19" s="119"/>
      <c r="K19" s="120"/>
      <c r="L19" s="89" t="s">
        <v>90</v>
      </c>
      <c r="M19" s="89"/>
      <c r="N19" s="89"/>
      <c r="O19" s="89"/>
      <c r="P19" s="89"/>
      <c r="Q19" s="89"/>
      <c r="R19" s="89"/>
      <c r="S19" s="89"/>
      <c r="T19" s="89"/>
      <c r="U19" s="89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4"/>
    </row>
    <row r="20" spans="1:34" ht="15" customHeight="1">
      <c r="A20" s="2"/>
      <c r="B20" s="121" t="s">
        <v>25</v>
      </c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3"/>
      <c r="V20" s="124" t="s">
        <v>26</v>
      </c>
      <c r="W20" s="125"/>
      <c r="X20" s="125"/>
      <c r="Y20" s="125"/>
      <c r="Z20" s="125"/>
      <c r="AA20" s="125"/>
      <c r="AB20" s="125"/>
      <c r="AC20" s="125"/>
      <c r="AD20" s="125"/>
      <c r="AE20" s="126"/>
      <c r="AF20" s="3"/>
      <c r="AG20" s="3"/>
      <c r="AH20" s="4"/>
    </row>
    <row r="21" spans="1:34" ht="15" customHeight="1">
      <c r="A21" s="2"/>
      <c r="B21" s="130" t="s">
        <v>27</v>
      </c>
      <c r="C21" s="131"/>
      <c r="D21" s="131"/>
      <c r="E21" s="131"/>
      <c r="F21" s="131"/>
      <c r="G21" s="131"/>
      <c r="H21" s="131"/>
      <c r="I21" s="131"/>
      <c r="J21" s="131"/>
      <c r="K21" s="131"/>
      <c r="L21" s="131" t="s">
        <v>28</v>
      </c>
      <c r="M21" s="131"/>
      <c r="N21" s="131"/>
      <c r="O21" s="131"/>
      <c r="P21" s="131"/>
      <c r="Q21" s="131"/>
      <c r="R21" s="131"/>
      <c r="S21" s="131"/>
      <c r="T21" s="131"/>
      <c r="U21" s="132"/>
      <c r="V21" s="127"/>
      <c r="W21" s="128"/>
      <c r="X21" s="128"/>
      <c r="Y21" s="128"/>
      <c r="Z21" s="128"/>
      <c r="AA21" s="128"/>
      <c r="AB21" s="128"/>
      <c r="AC21" s="128"/>
      <c r="AD21" s="128"/>
      <c r="AE21" s="129"/>
      <c r="AF21" s="3"/>
      <c r="AG21" s="3"/>
      <c r="AH21" s="4"/>
    </row>
    <row r="22" spans="1:34">
      <c r="A22" s="2"/>
      <c r="B22" s="104" t="s">
        <v>29</v>
      </c>
      <c r="C22" s="105"/>
      <c r="D22" s="105"/>
      <c r="E22" s="105"/>
      <c r="F22" s="105"/>
      <c r="G22" s="105"/>
      <c r="H22" s="105"/>
      <c r="I22" s="105"/>
      <c r="J22" s="105"/>
      <c r="K22" s="105"/>
      <c r="L22" s="105" t="s">
        <v>30</v>
      </c>
      <c r="M22" s="105"/>
      <c r="N22" s="105"/>
      <c r="O22" s="105"/>
      <c r="P22" s="105"/>
      <c r="Q22" s="105"/>
      <c r="R22" s="105"/>
      <c r="S22" s="105"/>
      <c r="T22" s="105"/>
      <c r="U22" s="106"/>
      <c r="V22" s="107" t="s">
        <v>31</v>
      </c>
      <c r="W22" s="108"/>
      <c r="X22" s="108"/>
      <c r="Y22" s="108"/>
      <c r="Z22" s="108"/>
      <c r="AA22" s="108"/>
      <c r="AB22" s="108"/>
      <c r="AC22" s="108"/>
      <c r="AD22" s="108"/>
      <c r="AE22" s="109"/>
      <c r="AF22" s="3"/>
      <c r="AG22" s="3"/>
      <c r="AH22" s="4"/>
    </row>
    <row r="23" spans="1:34" ht="21" customHeight="1">
      <c r="A23" s="2"/>
      <c r="B23" s="192">
        <v>221.7</v>
      </c>
      <c r="C23" s="193"/>
      <c r="D23" s="193"/>
      <c r="E23" s="193"/>
      <c r="F23" s="193"/>
      <c r="G23" s="193"/>
      <c r="H23" s="193"/>
      <c r="I23" s="193"/>
      <c r="J23" s="193"/>
      <c r="K23" s="193"/>
      <c r="L23" s="193">
        <v>222.3</v>
      </c>
      <c r="M23" s="193"/>
      <c r="N23" s="193"/>
      <c r="O23" s="193"/>
      <c r="P23" s="193"/>
      <c r="Q23" s="193"/>
      <c r="R23" s="193"/>
      <c r="S23" s="193"/>
      <c r="T23" s="193"/>
      <c r="U23" s="265"/>
      <c r="V23" s="114">
        <f>B23/L23*100</f>
        <v>99.730094466936563</v>
      </c>
      <c r="W23" s="115"/>
      <c r="X23" s="115"/>
      <c r="Y23" s="115"/>
      <c r="Z23" s="115"/>
      <c r="AA23" s="115"/>
      <c r="AB23" s="115"/>
      <c r="AC23" s="115"/>
      <c r="AD23" s="116" t="s">
        <v>32</v>
      </c>
      <c r="AE23" s="117"/>
      <c r="AF23" s="3"/>
      <c r="AG23" s="3"/>
      <c r="AH23" s="4"/>
    </row>
    <row r="24" spans="1:34" ht="7.5" customHeight="1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4"/>
    </row>
    <row r="25" spans="1:34" ht="15" customHeight="1">
      <c r="A25" s="2"/>
      <c r="B25" s="118" t="s">
        <v>10</v>
      </c>
      <c r="C25" s="119"/>
      <c r="D25" s="119"/>
      <c r="E25" s="119"/>
      <c r="F25" s="119"/>
      <c r="G25" s="119"/>
      <c r="H25" s="119"/>
      <c r="I25" s="119"/>
      <c r="J25" s="119"/>
      <c r="K25" s="120"/>
      <c r="L25" s="89" t="s">
        <v>81</v>
      </c>
      <c r="M25" s="89"/>
      <c r="N25" s="89"/>
      <c r="O25" s="89"/>
      <c r="P25" s="89"/>
      <c r="Q25" s="89"/>
      <c r="R25" s="89"/>
      <c r="S25" s="89"/>
      <c r="T25" s="89"/>
      <c r="U25" s="89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4"/>
    </row>
    <row r="26" spans="1:34" ht="15" customHeight="1">
      <c r="A26" s="2"/>
      <c r="B26" s="138" t="s">
        <v>25</v>
      </c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3"/>
      <c r="V26" s="124" t="s">
        <v>26</v>
      </c>
      <c r="W26" s="125"/>
      <c r="X26" s="125"/>
      <c r="Y26" s="125"/>
      <c r="Z26" s="125"/>
      <c r="AA26" s="125"/>
      <c r="AB26" s="125"/>
      <c r="AC26" s="125"/>
      <c r="AD26" s="125"/>
      <c r="AE26" s="126"/>
      <c r="AF26" s="3"/>
      <c r="AG26" s="3"/>
      <c r="AH26" s="4"/>
    </row>
    <row r="27" spans="1:34" ht="15" customHeight="1">
      <c r="A27" s="2"/>
      <c r="B27" s="130" t="s">
        <v>34</v>
      </c>
      <c r="C27" s="131"/>
      <c r="D27" s="131"/>
      <c r="E27" s="131"/>
      <c r="F27" s="131"/>
      <c r="G27" s="131"/>
      <c r="H27" s="131"/>
      <c r="I27" s="131"/>
      <c r="J27" s="131"/>
      <c r="K27" s="131"/>
      <c r="L27" s="131" t="s">
        <v>35</v>
      </c>
      <c r="M27" s="131"/>
      <c r="N27" s="131"/>
      <c r="O27" s="131"/>
      <c r="P27" s="131"/>
      <c r="Q27" s="131"/>
      <c r="R27" s="131"/>
      <c r="S27" s="131"/>
      <c r="T27" s="131"/>
      <c r="U27" s="132"/>
      <c r="V27" s="127"/>
      <c r="W27" s="128"/>
      <c r="X27" s="128"/>
      <c r="Y27" s="128"/>
      <c r="Z27" s="128"/>
      <c r="AA27" s="128"/>
      <c r="AB27" s="128"/>
      <c r="AC27" s="128"/>
      <c r="AD27" s="128"/>
      <c r="AE27" s="129"/>
      <c r="AF27" s="3"/>
      <c r="AG27" s="3"/>
      <c r="AH27" s="4"/>
    </row>
    <row r="28" spans="1:34" ht="15" customHeight="1">
      <c r="A28" s="2"/>
      <c r="B28" s="104" t="s">
        <v>29</v>
      </c>
      <c r="C28" s="105"/>
      <c r="D28" s="105"/>
      <c r="E28" s="105"/>
      <c r="F28" s="105"/>
      <c r="G28" s="105"/>
      <c r="H28" s="105"/>
      <c r="I28" s="105"/>
      <c r="J28" s="105"/>
      <c r="K28" s="105"/>
      <c r="L28" s="105" t="s">
        <v>30</v>
      </c>
      <c r="M28" s="105"/>
      <c r="N28" s="105"/>
      <c r="O28" s="105"/>
      <c r="P28" s="105"/>
      <c r="Q28" s="105"/>
      <c r="R28" s="105"/>
      <c r="S28" s="105"/>
      <c r="T28" s="105"/>
      <c r="U28" s="106"/>
      <c r="V28" s="107" t="s">
        <v>31</v>
      </c>
      <c r="W28" s="108"/>
      <c r="X28" s="108"/>
      <c r="Y28" s="108"/>
      <c r="Z28" s="108"/>
      <c r="AA28" s="108"/>
      <c r="AB28" s="108"/>
      <c r="AC28" s="108"/>
      <c r="AD28" s="108"/>
      <c r="AE28" s="109"/>
      <c r="AF28" s="3"/>
      <c r="AG28" s="3"/>
      <c r="AH28" s="4"/>
    </row>
    <row r="29" spans="1:34" ht="21" customHeight="1">
      <c r="A29" s="2"/>
      <c r="B29" s="192"/>
      <c r="C29" s="193"/>
      <c r="D29" s="193"/>
      <c r="E29" s="193"/>
      <c r="F29" s="193"/>
      <c r="G29" s="193"/>
      <c r="H29" s="193"/>
      <c r="I29" s="193"/>
      <c r="J29" s="193"/>
      <c r="K29" s="193"/>
      <c r="L29" s="112"/>
      <c r="M29" s="112"/>
      <c r="N29" s="112"/>
      <c r="O29" s="112"/>
      <c r="P29" s="112"/>
      <c r="Q29" s="112"/>
      <c r="R29" s="112"/>
      <c r="S29" s="112"/>
      <c r="T29" s="112"/>
      <c r="U29" s="113"/>
      <c r="V29" s="114"/>
      <c r="W29" s="115"/>
      <c r="X29" s="115"/>
      <c r="Y29" s="115"/>
      <c r="Z29" s="115"/>
      <c r="AA29" s="115"/>
      <c r="AB29" s="115"/>
      <c r="AC29" s="115"/>
      <c r="AD29" s="116"/>
      <c r="AE29" s="117"/>
      <c r="AF29" s="3"/>
      <c r="AG29" s="3"/>
      <c r="AH29" s="4"/>
    </row>
    <row r="30" spans="1:34" ht="7.5" customHeight="1">
      <c r="A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4"/>
    </row>
    <row r="31" spans="1:34" ht="21" customHeight="1">
      <c r="A31" s="2"/>
      <c r="B31" s="136" t="s">
        <v>36</v>
      </c>
      <c r="C31" s="137"/>
      <c r="D31" s="137"/>
      <c r="E31" s="137"/>
      <c r="F31" s="103"/>
      <c r="G31" s="8"/>
      <c r="H31" s="137" t="s">
        <v>37</v>
      </c>
      <c r="I31" s="137"/>
      <c r="J31" s="137"/>
      <c r="K31" s="137"/>
      <c r="L31" s="137" t="s">
        <v>38</v>
      </c>
      <c r="M31" s="137"/>
      <c r="N31" s="137"/>
      <c r="O31" s="137"/>
      <c r="P31" s="9"/>
      <c r="Q31" s="118" t="s">
        <v>39</v>
      </c>
      <c r="R31" s="119"/>
      <c r="S31" s="119"/>
      <c r="T31" s="119"/>
      <c r="U31" s="120"/>
      <c r="V31" s="136" t="s">
        <v>40</v>
      </c>
      <c r="W31" s="137"/>
      <c r="X31" s="137"/>
      <c r="Y31" s="137"/>
      <c r="Z31" s="137"/>
      <c r="AA31" s="137"/>
      <c r="AB31" s="137"/>
      <c r="AC31" s="137"/>
      <c r="AD31" s="137"/>
      <c r="AE31" s="103"/>
      <c r="AF31" s="3"/>
      <c r="AG31" s="3"/>
      <c r="AH31" s="4"/>
    </row>
    <row r="32" spans="1:34">
      <c r="A32" s="2"/>
      <c r="C32" s="148" t="s">
        <v>41</v>
      </c>
      <c r="D32" s="148"/>
      <c r="E32" s="148"/>
      <c r="F32" s="148"/>
      <c r="G32" s="15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4"/>
    </row>
    <row r="33" spans="1:34">
      <c r="A33" s="2"/>
      <c r="C33" s="149"/>
      <c r="D33" s="149"/>
      <c r="E33" s="149"/>
      <c r="F33" s="149"/>
      <c r="G33" s="15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4"/>
    </row>
    <row r="34" spans="1:34">
      <c r="A34" s="2"/>
      <c r="B34" s="3"/>
      <c r="C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4"/>
    </row>
    <row r="35" spans="1:34">
      <c r="A35" s="2"/>
      <c r="B35" s="11" t="s">
        <v>42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4"/>
    </row>
    <row r="36" spans="1:34" ht="7.5" customHeight="1">
      <c r="A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4"/>
    </row>
    <row r="37" spans="1:34" ht="15" customHeight="1">
      <c r="A37" s="2"/>
      <c r="B37" s="138" t="s">
        <v>43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3"/>
      <c r="V37" s="139" t="s">
        <v>44</v>
      </c>
      <c r="W37" s="140"/>
      <c r="X37" s="140"/>
      <c r="Y37" s="140"/>
      <c r="Z37" s="140"/>
      <c r="AA37" s="140"/>
      <c r="AB37" s="140"/>
      <c r="AC37" s="140"/>
      <c r="AD37" s="140"/>
      <c r="AE37" s="141"/>
      <c r="AF37" s="3"/>
      <c r="AG37" s="3"/>
      <c r="AH37" s="4"/>
    </row>
    <row r="38" spans="1:34" ht="15" customHeight="1">
      <c r="A38" s="2"/>
      <c r="B38" s="130" t="s">
        <v>18</v>
      </c>
      <c r="C38" s="131"/>
      <c r="D38" s="131"/>
      <c r="E38" s="131"/>
      <c r="F38" s="131"/>
      <c r="G38" s="131"/>
      <c r="H38" s="131"/>
      <c r="I38" s="131"/>
      <c r="J38" s="131"/>
      <c r="K38" s="131"/>
      <c r="L38" s="131" t="s">
        <v>45</v>
      </c>
      <c r="M38" s="131"/>
      <c r="N38" s="131"/>
      <c r="O38" s="131"/>
      <c r="P38" s="131"/>
      <c r="Q38" s="131"/>
      <c r="R38" s="131"/>
      <c r="S38" s="131"/>
      <c r="T38" s="131"/>
      <c r="U38" s="132"/>
      <c r="V38" s="142"/>
      <c r="W38" s="143"/>
      <c r="X38" s="143"/>
      <c r="Y38" s="143"/>
      <c r="Z38" s="143"/>
      <c r="AA38" s="143"/>
      <c r="AB38" s="143"/>
      <c r="AC38" s="143"/>
      <c r="AD38" s="143"/>
      <c r="AE38" s="144"/>
      <c r="AF38" s="3"/>
      <c r="AG38" s="3"/>
      <c r="AH38" s="4"/>
    </row>
    <row r="39" spans="1:34" ht="15" customHeight="1">
      <c r="A39" s="2"/>
      <c r="B39" s="145" t="s">
        <v>46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 t="s">
        <v>47</v>
      </c>
      <c r="M39" s="146"/>
      <c r="N39" s="146"/>
      <c r="O39" s="146"/>
      <c r="P39" s="146"/>
      <c r="Q39" s="146"/>
      <c r="R39" s="146"/>
      <c r="S39" s="146"/>
      <c r="T39" s="146"/>
      <c r="U39" s="147"/>
      <c r="V39" s="145" t="s">
        <v>31</v>
      </c>
      <c r="W39" s="146"/>
      <c r="X39" s="146"/>
      <c r="Y39" s="146"/>
      <c r="Z39" s="146"/>
      <c r="AA39" s="146"/>
      <c r="AB39" s="146"/>
      <c r="AC39" s="146"/>
      <c r="AD39" s="146"/>
      <c r="AE39" s="147"/>
      <c r="AF39" s="3"/>
      <c r="AG39" s="3"/>
      <c r="AH39" s="4"/>
    </row>
    <row r="40" spans="1:34" ht="21" customHeight="1">
      <c r="A40" s="2"/>
      <c r="B40" s="110">
        <v>89.73</v>
      </c>
      <c r="C40" s="111"/>
      <c r="D40" s="111"/>
      <c r="E40" s="111"/>
      <c r="F40" s="111"/>
      <c r="G40" s="111"/>
      <c r="H40" s="111"/>
      <c r="I40" s="111"/>
      <c r="J40" s="111"/>
      <c r="K40" s="111"/>
      <c r="L40" s="193">
        <v>90.3</v>
      </c>
      <c r="M40" s="193"/>
      <c r="N40" s="193"/>
      <c r="O40" s="193"/>
      <c r="P40" s="193"/>
      <c r="Q40" s="193"/>
      <c r="R40" s="193"/>
      <c r="S40" s="193"/>
      <c r="T40" s="193"/>
      <c r="U40" s="265"/>
      <c r="V40" s="192">
        <f>100*(L40-B40)/Z5</f>
        <v>0.22799999999999726</v>
      </c>
      <c r="W40" s="193"/>
      <c r="X40" s="193"/>
      <c r="Y40" s="193"/>
      <c r="Z40" s="193"/>
      <c r="AA40" s="193"/>
      <c r="AB40" s="193"/>
      <c r="AC40" s="194"/>
      <c r="AD40" s="195" t="s">
        <v>32</v>
      </c>
      <c r="AE40" s="196"/>
      <c r="AF40" s="3"/>
      <c r="AG40" s="3"/>
      <c r="AH40" s="4"/>
    </row>
    <row r="41" spans="1:34" ht="21" customHeight="1">
      <c r="A41" s="2"/>
      <c r="B41" s="136" t="s">
        <v>36</v>
      </c>
      <c r="C41" s="137"/>
      <c r="D41" s="137"/>
      <c r="E41" s="137"/>
      <c r="F41" s="103"/>
      <c r="G41" s="8"/>
      <c r="H41" s="137" t="s">
        <v>37</v>
      </c>
      <c r="I41" s="137"/>
      <c r="J41" s="137"/>
      <c r="K41" s="137"/>
      <c r="L41" s="137" t="s">
        <v>38</v>
      </c>
      <c r="M41" s="137"/>
      <c r="N41" s="137"/>
      <c r="O41" s="137"/>
      <c r="P41" s="9"/>
      <c r="Q41" s="118" t="s">
        <v>39</v>
      </c>
      <c r="R41" s="119"/>
      <c r="S41" s="119"/>
      <c r="T41" s="119"/>
      <c r="U41" s="120"/>
      <c r="V41" s="136" t="s">
        <v>48</v>
      </c>
      <c r="W41" s="137"/>
      <c r="X41" s="137"/>
      <c r="Y41" s="137"/>
      <c r="Z41" s="137"/>
      <c r="AA41" s="137"/>
      <c r="AB41" s="137"/>
      <c r="AC41" s="137"/>
      <c r="AD41" s="137"/>
      <c r="AE41" s="103"/>
      <c r="AF41" s="3"/>
      <c r="AG41" s="3"/>
      <c r="AH41" s="4"/>
    </row>
    <row r="42" spans="1:34">
      <c r="A42" s="2"/>
      <c r="B42" s="150" t="s">
        <v>41</v>
      </c>
      <c r="C42" s="150"/>
      <c r="D42" s="150"/>
      <c r="E42" s="150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4"/>
    </row>
    <row r="43" spans="1:34" ht="15.75" thickBot="1">
      <c r="A43" s="2"/>
      <c r="B43" s="150"/>
      <c r="C43" s="150"/>
      <c r="D43" s="150"/>
      <c r="E43" s="150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4"/>
    </row>
    <row r="44" spans="1:34" ht="10.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151" t="s">
        <v>49</v>
      </c>
      <c r="Z44" s="152"/>
      <c r="AA44" s="152"/>
      <c r="AB44" s="152"/>
      <c r="AC44" s="153"/>
      <c r="AD44" s="157" t="s">
        <v>50</v>
      </c>
      <c r="AE44" s="157"/>
      <c r="AF44" s="157"/>
      <c r="AG44" s="157"/>
      <c r="AH44" s="158"/>
    </row>
    <row r="45" spans="1:34" ht="15.75" thickBot="1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154"/>
      <c r="Z45" s="155"/>
      <c r="AA45" s="155"/>
      <c r="AB45" s="155"/>
      <c r="AC45" s="156"/>
      <c r="AD45" s="159"/>
      <c r="AE45" s="159"/>
      <c r="AF45" s="159"/>
      <c r="AG45" s="159"/>
      <c r="AH45" s="160"/>
    </row>
    <row r="46" spans="1:34" ht="15" customHeight="1">
      <c r="A46" s="2"/>
      <c r="B46" s="161" t="s">
        <v>51</v>
      </c>
      <c r="C46" s="162"/>
      <c r="D46" s="162"/>
      <c r="E46" s="162"/>
      <c r="F46" s="162"/>
      <c r="G46" s="163"/>
      <c r="H46" s="170" t="s">
        <v>37</v>
      </c>
      <c r="I46" s="171"/>
      <c r="J46" s="171"/>
      <c r="K46" s="171"/>
      <c r="L46" s="171"/>
      <c r="M46" s="172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176"/>
      <c r="Z46" s="177"/>
      <c r="AA46" s="177"/>
      <c r="AB46" s="177"/>
      <c r="AC46" s="178"/>
      <c r="AD46" s="183"/>
      <c r="AE46" s="184"/>
      <c r="AF46" s="184"/>
      <c r="AG46" s="184"/>
      <c r="AH46" s="185"/>
    </row>
    <row r="47" spans="1:34" ht="15" customHeight="1">
      <c r="A47" s="2"/>
      <c r="B47" s="164"/>
      <c r="C47" s="165"/>
      <c r="D47" s="165"/>
      <c r="E47" s="165"/>
      <c r="F47" s="165"/>
      <c r="G47" s="166"/>
      <c r="H47" s="173"/>
      <c r="I47" s="174"/>
      <c r="J47" s="174"/>
      <c r="K47" s="174"/>
      <c r="L47" s="174"/>
      <c r="M47" s="175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179"/>
      <c r="Z47" s="177"/>
      <c r="AA47" s="177"/>
      <c r="AB47" s="177"/>
      <c r="AC47" s="178"/>
      <c r="AD47" s="184"/>
      <c r="AE47" s="184"/>
      <c r="AF47" s="184"/>
      <c r="AG47" s="184"/>
      <c r="AH47" s="185"/>
    </row>
    <row r="48" spans="1:34" ht="15" customHeight="1">
      <c r="A48" s="2"/>
      <c r="B48" s="164"/>
      <c r="C48" s="165"/>
      <c r="D48" s="165"/>
      <c r="E48" s="165"/>
      <c r="F48" s="165"/>
      <c r="G48" s="166"/>
      <c r="H48" s="173" t="s">
        <v>38</v>
      </c>
      <c r="I48" s="174"/>
      <c r="J48" s="174"/>
      <c r="K48" s="174"/>
      <c r="L48" s="174"/>
      <c r="M48" s="175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179"/>
      <c r="Z48" s="177"/>
      <c r="AA48" s="177"/>
      <c r="AB48" s="177"/>
      <c r="AC48" s="178"/>
      <c r="AD48" s="184"/>
      <c r="AE48" s="184"/>
      <c r="AF48" s="184"/>
      <c r="AG48" s="184"/>
      <c r="AH48" s="185"/>
    </row>
    <row r="49" spans="1:34" ht="15" customHeight="1" thickBot="1">
      <c r="A49" s="2"/>
      <c r="B49" s="167"/>
      <c r="C49" s="168"/>
      <c r="D49" s="168"/>
      <c r="E49" s="168"/>
      <c r="F49" s="168"/>
      <c r="G49" s="169"/>
      <c r="H49" s="188"/>
      <c r="I49" s="189"/>
      <c r="J49" s="189"/>
      <c r="K49" s="189"/>
      <c r="L49" s="189"/>
      <c r="M49" s="190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179"/>
      <c r="Z49" s="177"/>
      <c r="AA49" s="177"/>
      <c r="AB49" s="177"/>
      <c r="AC49" s="178"/>
      <c r="AD49" s="184"/>
      <c r="AE49" s="184"/>
      <c r="AF49" s="184"/>
      <c r="AG49" s="184"/>
      <c r="AH49" s="185"/>
    </row>
    <row r="50" spans="1:34" ht="10.5" customHeight="1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180"/>
      <c r="Z50" s="181"/>
      <c r="AA50" s="181"/>
      <c r="AB50" s="181"/>
      <c r="AC50" s="182"/>
      <c r="AD50" s="186"/>
      <c r="AE50" s="186"/>
      <c r="AF50" s="186"/>
      <c r="AG50" s="186"/>
      <c r="AH50" s="187"/>
    </row>
    <row r="51" spans="1:34" s="13" customFormat="1" ht="22.5" customHeight="1" thickBot="1">
      <c r="A51" s="199" t="s">
        <v>76</v>
      </c>
      <c r="B51" s="200"/>
      <c r="C51" s="200"/>
      <c r="D51" s="200"/>
      <c r="E51" s="200" t="s">
        <v>52</v>
      </c>
      <c r="F51" s="200"/>
      <c r="G51" s="200"/>
      <c r="H51" s="200"/>
      <c r="I51" s="201"/>
      <c r="J51" s="202" t="s">
        <v>77</v>
      </c>
      <c r="K51" s="200"/>
      <c r="L51" s="200"/>
      <c r="M51" s="200"/>
      <c r="N51" s="200" t="s">
        <v>78</v>
      </c>
      <c r="O51" s="200"/>
      <c r="P51" s="200"/>
      <c r="Q51" s="201"/>
      <c r="R51" s="203"/>
      <c r="S51" s="204"/>
      <c r="T51" s="204"/>
      <c r="U51" s="204"/>
      <c r="V51" s="204"/>
      <c r="W51" s="204"/>
      <c r="X51" s="205"/>
      <c r="Y51" s="202" t="s">
        <v>79</v>
      </c>
      <c r="Z51" s="200"/>
      <c r="AA51" s="200"/>
      <c r="AB51" s="200"/>
      <c r="AC51" s="200"/>
      <c r="AD51" s="197">
        <v>41883</v>
      </c>
      <c r="AE51" s="197"/>
      <c r="AF51" s="197"/>
      <c r="AG51" s="197"/>
      <c r="AH51" s="198"/>
    </row>
    <row r="53" spans="1:34" ht="15.75" thickBot="1"/>
    <row r="54" spans="1:34" ht="27" customHeight="1">
      <c r="A54" s="45" t="s">
        <v>53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7"/>
      <c r="AD54" s="48" t="s">
        <v>54</v>
      </c>
      <c r="AE54" s="49"/>
      <c r="AF54" s="49"/>
      <c r="AG54" s="50" t="s">
        <v>2</v>
      </c>
      <c r="AH54" s="51"/>
    </row>
    <row r="55" spans="1:34" ht="19.5" customHeight="1">
      <c r="A55" s="52" t="s">
        <v>3</v>
      </c>
      <c r="B55" s="53"/>
      <c r="C55" s="53"/>
      <c r="D55" s="53"/>
      <c r="E55" s="53"/>
      <c r="F55" s="53"/>
      <c r="G55" s="54" t="s">
        <v>85</v>
      </c>
      <c r="H55" s="55"/>
      <c r="I55" s="55"/>
      <c r="J55" s="55"/>
      <c r="K55" s="55"/>
      <c r="L55" s="55"/>
      <c r="M55" s="55"/>
      <c r="N55" s="55"/>
      <c r="O55" s="55"/>
      <c r="P55" s="55"/>
      <c r="Q55" s="56"/>
      <c r="R55" s="28" t="s">
        <v>4</v>
      </c>
      <c r="S55" s="29"/>
      <c r="T55" s="29"/>
      <c r="U55" s="29"/>
      <c r="V55" s="29"/>
      <c r="W55" s="30"/>
      <c r="X55" s="31">
        <f>X2</f>
        <v>42886</v>
      </c>
      <c r="Y55" s="32"/>
      <c r="Z55" s="32"/>
      <c r="AA55" s="32"/>
      <c r="AB55" s="32"/>
      <c r="AC55" s="32"/>
      <c r="AD55" s="32"/>
      <c r="AE55" s="32"/>
      <c r="AF55" s="32"/>
      <c r="AG55" s="32"/>
      <c r="AH55" s="33"/>
    </row>
    <row r="56" spans="1:34" ht="19.5" customHeight="1">
      <c r="A56" s="34" t="s">
        <v>55</v>
      </c>
      <c r="B56" s="35"/>
      <c r="C56" s="35"/>
      <c r="D56" s="35"/>
      <c r="E56" s="35"/>
      <c r="F56" s="35"/>
      <c r="G56" s="25" t="s">
        <v>83</v>
      </c>
      <c r="H56" s="26"/>
      <c r="I56" s="26"/>
      <c r="J56" s="26"/>
      <c r="K56" s="26"/>
      <c r="L56" s="26"/>
      <c r="M56" s="26"/>
      <c r="N56" s="26"/>
      <c r="O56" s="26"/>
      <c r="P56" s="26"/>
      <c r="Q56" s="27"/>
      <c r="R56" s="28" t="s">
        <v>6</v>
      </c>
      <c r="S56" s="29"/>
      <c r="T56" s="29"/>
      <c r="U56" s="29"/>
      <c r="V56" s="29"/>
      <c r="W56" s="30"/>
      <c r="X56" s="31">
        <f>X3</f>
        <v>43251</v>
      </c>
      <c r="Y56" s="32"/>
      <c r="Z56" s="32"/>
      <c r="AA56" s="32"/>
      <c r="AB56" s="32"/>
      <c r="AC56" s="32"/>
      <c r="AD56" s="32"/>
      <c r="AE56" s="32"/>
      <c r="AF56" s="32"/>
      <c r="AG56" s="32"/>
      <c r="AH56" s="33"/>
    </row>
    <row r="57" spans="1:34" ht="19.5" customHeight="1">
      <c r="A57" s="34" t="s">
        <v>7</v>
      </c>
      <c r="B57" s="35"/>
      <c r="C57" s="35"/>
      <c r="D57" s="35"/>
      <c r="E57" s="35"/>
      <c r="F57" s="35"/>
      <c r="G57" s="36" t="s">
        <v>84</v>
      </c>
      <c r="H57" s="37"/>
      <c r="I57" s="37"/>
      <c r="J57" s="37"/>
      <c r="K57" s="37"/>
      <c r="L57" s="37"/>
      <c r="M57" s="37"/>
      <c r="N57" s="37"/>
      <c r="O57" s="37"/>
      <c r="P57" s="37"/>
      <c r="Q57" s="38"/>
      <c r="R57" s="39" t="s">
        <v>8</v>
      </c>
      <c r="S57" s="40"/>
      <c r="T57" s="40"/>
      <c r="U57" s="40"/>
      <c r="V57" s="40"/>
      <c r="W57" s="41"/>
      <c r="X57" s="42" t="s">
        <v>9</v>
      </c>
      <c r="Y57" s="43"/>
      <c r="Z57" s="43"/>
      <c r="AA57" s="43"/>
      <c r="AB57" s="43"/>
      <c r="AC57" s="43"/>
      <c r="AD57" s="43"/>
      <c r="AE57" s="43"/>
      <c r="AF57" s="43"/>
      <c r="AG57" s="43"/>
      <c r="AH57" s="44"/>
    </row>
    <row r="58" spans="1:34" ht="19.5" customHeight="1">
      <c r="A58" s="65" t="s">
        <v>10</v>
      </c>
      <c r="B58" s="66"/>
      <c r="C58" s="66"/>
      <c r="D58" s="66"/>
      <c r="E58" s="66"/>
      <c r="F58" s="67"/>
      <c r="G58" s="68" t="s">
        <v>94</v>
      </c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9" t="s">
        <v>11</v>
      </c>
      <c r="S58" s="69"/>
      <c r="T58" s="69"/>
      <c r="U58" s="69"/>
      <c r="V58" s="69"/>
      <c r="W58" s="69"/>
      <c r="X58" s="70" t="s">
        <v>12</v>
      </c>
      <c r="Y58" s="71"/>
      <c r="Z58" s="72">
        <f>Z5</f>
        <v>250</v>
      </c>
      <c r="AA58" s="73"/>
      <c r="AB58" s="73"/>
      <c r="AC58" s="73"/>
      <c r="AD58" s="74" t="s">
        <v>56</v>
      </c>
      <c r="AE58" s="74"/>
      <c r="AF58" s="74"/>
      <c r="AG58" s="74"/>
      <c r="AH58" s="75"/>
    </row>
    <row r="59" spans="1:34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4"/>
    </row>
    <row r="60" spans="1:34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4"/>
    </row>
    <row r="61" spans="1:34">
      <c r="A61" s="2"/>
      <c r="B61" s="7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4"/>
    </row>
    <row r="62" spans="1:34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4"/>
    </row>
    <row r="63" spans="1:34" ht="15" customHeight="1">
      <c r="A63" s="2"/>
      <c r="B63" s="213"/>
      <c r="C63" s="214"/>
      <c r="D63" s="214"/>
      <c r="E63" s="215"/>
      <c r="F63" s="138" t="s">
        <v>58</v>
      </c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3"/>
      <c r="T63" s="138" t="s">
        <v>20</v>
      </c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3"/>
      <c r="AH63" s="4"/>
    </row>
    <row r="64" spans="1:34" ht="39.75" customHeight="1">
      <c r="A64" s="2"/>
      <c r="B64" s="216"/>
      <c r="C64" s="217"/>
      <c r="D64" s="217"/>
      <c r="E64" s="218"/>
      <c r="F64" s="130" t="s">
        <v>45</v>
      </c>
      <c r="G64" s="131"/>
      <c r="H64" s="131"/>
      <c r="I64" s="131"/>
      <c r="J64" s="131"/>
      <c r="K64" s="219" t="s">
        <v>59</v>
      </c>
      <c r="L64" s="220"/>
      <c r="M64" s="220"/>
      <c r="N64" s="220"/>
      <c r="O64" s="221" t="s">
        <v>60</v>
      </c>
      <c r="P64" s="131"/>
      <c r="Q64" s="131"/>
      <c r="R64" s="131"/>
      <c r="S64" s="132"/>
      <c r="T64" s="130" t="s">
        <v>45</v>
      </c>
      <c r="U64" s="131"/>
      <c r="V64" s="131"/>
      <c r="W64" s="131"/>
      <c r="X64" s="131"/>
      <c r="Y64" s="219" t="s">
        <v>59</v>
      </c>
      <c r="Z64" s="220"/>
      <c r="AA64" s="220"/>
      <c r="AB64" s="220"/>
      <c r="AC64" s="221" t="s">
        <v>60</v>
      </c>
      <c r="AD64" s="131"/>
      <c r="AE64" s="131"/>
      <c r="AF64" s="131"/>
      <c r="AG64" s="132"/>
      <c r="AH64" s="4"/>
    </row>
    <row r="65" spans="1:34" ht="15" customHeight="1">
      <c r="A65" s="2"/>
      <c r="B65" s="216"/>
      <c r="C65" s="217"/>
      <c r="D65" s="217"/>
      <c r="E65" s="218"/>
      <c r="F65" s="130" t="s">
        <v>61</v>
      </c>
      <c r="G65" s="131"/>
      <c r="H65" s="131"/>
      <c r="I65" s="131"/>
      <c r="J65" s="131"/>
      <c r="K65" s="131" t="s">
        <v>62</v>
      </c>
      <c r="L65" s="131"/>
      <c r="M65" s="131"/>
      <c r="N65" s="131"/>
      <c r="O65" s="131" t="s">
        <v>63</v>
      </c>
      <c r="P65" s="131"/>
      <c r="Q65" s="131"/>
      <c r="R65" s="131"/>
      <c r="S65" s="132"/>
      <c r="T65" s="130" t="s">
        <v>64</v>
      </c>
      <c r="U65" s="131"/>
      <c r="V65" s="131"/>
      <c r="W65" s="131"/>
      <c r="X65" s="131"/>
      <c r="Y65" s="131" t="s">
        <v>65</v>
      </c>
      <c r="Z65" s="131"/>
      <c r="AA65" s="131"/>
      <c r="AB65" s="131"/>
      <c r="AC65" s="131" t="s">
        <v>66</v>
      </c>
      <c r="AD65" s="131"/>
      <c r="AE65" s="131"/>
      <c r="AF65" s="131"/>
      <c r="AG65" s="132"/>
      <c r="AH65" s="4"/>
    </row>
    <row r="66" spans="1:34" ht="15" customHeight="1">
      <c r="A66" s="2"/>
      <c r="B66" s="206"/>
      <c r="C66" s="207"/>
      <c r="D66" s="208" t="s">
        <v>67</v>
      </c>
      <c r="E66" s="209"/>
      <c r="F66" s="210"/>
      <c r="G66" s="211"/>
      <c r="H66" s="211"/>
      <c r="I66" s="211"/>
      <c r="J66" s="211"/>
      <c r="K66" s="211"/>
      <c r="L66" s="211"/>
      <c r="M66" s="211"/>
      <c r="N66" s="211"/>
      <c r="O66" s="211" t="s">
        <v>32</v>
      </c>
      <c r="P66" s="211"/>
      <c r="Q66" s="211"/>
      <c r="R66" s="211"/>
      <c r="S66" s="212"/>
      <c r="T66" s="210"/>
      <c r="U66" s="211"/>
      <c r="V66" s="211"/>
      <c r="W66" s="211"/>
      <c r="X66" s="211"/>
      <c r="Y66" s="211"/>
      <c r="Z66" s="211"/>
      <c r="AA66" s="211"/>
      <c r="AB66" s="211"/>
      <c r="AC66" s="211" t="s">
        <v>32</v>
      </c>
      <c r="AD66" s="211"/>
      <c r="AE66" s="211"/>
      <c r="AF66" s="211"/>
      <c r="AG66" s="212"/>
      <c r="AH66" s="4"/>
    </row>
    <row r="67" spans="1:34" ht="21" customHeight="1">
      <c r="A67" s="2"/>
      <c r="B67" s="124" t="s">
        <v>68</v>
      </c>
      <c r="C67" s="125"/>
      <c r="D67" s="125"/>
      <c r="E67" s="126"/>
      <c r="F67" s="222">
        <v>0.35</v>
      </c>
      <c r="G67" s="223"/>
      <c r="H67" s="223"/>
      <c r="I67" s="223"/>
      <c r="J67" s="224"/>
      <c r="K67" s="225">
        <f>F67-$F$70</f>
        <v>3.999999999999998E-2</v>
      </c>
      <c r="L67" s="225"/>
      <c r="M67" s="225"/>
      <c r="N67" s="226"/>
      <c r="O67" s="225">
        <f>K67/$Z$58*100</f>
        <v>1.5999999999999993E-2</v>
      </c>
      <c r="P67" s="225"/>
      <c r="Q67" s="225"/>
      <c r="R67" s="225"/>
      <c r="S67" s="227"/>
      <c r="T67" s="228">
        <v>225.45</v>
      </c>
      <c r="U67" s="229"/>
      <c r="V67" s="229"/>
      <c r="W67" s="229"/>
      <c r="X67" s="230"/>
      <c r="Y67" s="229">
        <f>T67-$T$70</f>
        <v>6.9999999999993179E-2</v>
      </c>
      <c r="Z67" s="229"/>
      <c r="AA67" s="229"/>
      <c r="AB67" s="229"/>
      <c r="AC67" s="231">
        <f>Y67/$Z$58*100</f>
        <v>2.799999999999727E-2</v>
      </c>
      <c r="AD67" s="231"/>
      <c r="AE67" s="231"/>
      <c r="AF67" s="231"/>
      <c r="AG67" s="232"/>
      <c r="AH67" s="4"/>
    </row>
    <row r="68" spans="1:34" ht="21" customHeight="1">
      <c r="A68" s="2"/>
      <c r="B68" s="124" t="s">
        <v>69</v>
      </c>
      <c r="C68" s="125"/>
      <c r="D68" s="125"/>
      <c r="E68" s="126"/>
      <c r="F68" s="241">
        <v>0.22</v>
      </c>
      <c r="G68" s="242"/>
      <c r="H68" s="242"/>
      <c r="I68" s="242"/>
      <c r="J68" s="243"/>
      <c r="K68" s="231">
        <f>F68-$F$70</f>
        <v>-0.09</v>
      </c>
      <c r="L68" s="231"/>
      <c r="M68" s="231"/>
      <c r="N68" s="231"/>
      <c r="O68" s="231">
        <f>K68/$Z$58*100</f>
        <v>-3.5999999999999997E-2</v>
      </c>
      <c r="P68" s="231"/>
      <c r="Q68" s="231"/>
      <c r="R68" s="231"/>
      <c r="S68" s="232"/>
      <c r="T68" s="244">
        <v>225.3</v>
      </c>
      <c r="U68" s="231"/>
      <c r="V68" s="231"/>
      <c r="W68" s="231"/>
      <c r="X68" s="245"/>
      <c r="Y68" s="231">
        <f>T68-$T$70</f>
        <v>-7.9999999999984084E-2</v>
      </c>
      <c r="Z68" s="231"/>
      <c r="AA68" s="231"/>
      <c r="AB68" s="231"/>
      <c r="AC68" s="231">
        <f>Y68/$Z$58*100</f>
        <v>-3.1999999999993631E-2</v>
      </c>
      <c r="AD68" s="231"/>
      <c r="AE68" s="231"/>
      <c r="AF68" s="231"/>
      <c r="AG68" s="232"/>
      <c r="AH68" s="4"/>
    </row>
    <row r="69" spans="1:34" ht="21" customHeight="1">
      <c r="A69" s="2"/>
      <c r="B69" s="124" t="s">
        <v>70</v>
      </c>
      <c r="C69" s="125"/>
      <c r="D69" s="125"/>
      <c r="E69" s="126"/>
      <c r="F69" s="233">
        <v>0.35</v>
      </c>
      <c r="G69" s="234"/>
      <c r="H69" s="234"/>
      <c r="I69" s="234"/>
      <c r="J69" s="235"/>
      <c r="K69" s="236">
        <f>F69-$F$70</f>
        <v>3.999999999999998E-2</v>
      </c>
      <c r="L69" s="236"/>
      <c r="M69" s="236"/>
      <c r="N69" s="237"/>
      <c r="O69" s="238">
        <f>K69/$Z$58*100</f>
        <v>1.5999999999999993E-2</v>
      </c>
      <c r="P69" s="238"/>
      <c r="Q69" s="238"/>
      <c r="R69" s="238"/>
      <c r="S69" s="239"/>
      <c r="T69" s="233">
        <v>225.38</v>
      </c>
      <c r="U69" s="234"/>
      <c r="V69" s="234"/>
      <c r="W69" s="234"/>
      <c r="X69" s="234"/>
      <c r="Y69" s="240">
        <f>T69-$T$70</f>
        <v>0</v>
      </c>
      <c r="Z69" s="240"/>
      <c r="AA69" s="240"/>
      <c r="AB69" s="240"/>
      <c r="AC69" s="231">
        <f>Y69/$Z$58*100</f>
        <v>0</v>
      </c>
      <c r="AD69" s="231"/>
      <c r="AE69" s="231"/>
      <c r="AF69" s="231"/>
      <c r="AG69" s="232"/>
      <c r="AH69" s="4"/>
    </row>
    <row r="70" spans="1:34" ht="21" customHeight="1">
      <c r="A70" s="2"/>
      <c r="B70" s="249" t="s">
        <v>71</v>
      </c>
      <c r="C70" s="137"/>
      <c r="D70" s="137"/>
      <c r="E70" s="103"/>
      <c r="F70" s="222">
        <f>ROUND(AVERAGE(F67:J69),2)</f>
        <v>0.31</v>
      </c>
      <c r="G70" s="223"/>
      <c r="H70" s="223"/>
      <c r="I70" s="223"/>
      <c r="J70" s="224"/>
      <c r="K70" s="250" t="s">
        <v>72</v>
      </c>
      <c r="L70" s="251"/>
      <c r="M70" s="251"/>
      <c r="N70" s="252"/>
      <c r="O70" s="253">
        <f>ROUND(AVERAGE(O67:S69),2)</f>
        <v>0</v>
      </c>
      <c r="P70" s="254"/>
      <c r="Q70" s="254"/>
      <c r="R70" s="254"/>
      <c r="S70" s="255"/>
      <c r="T70" s="256">
        <f>ROUND(AVERAGE(T67:X69),2)</f>
        <v>225.38</v>
      </c>
      <c r="U70" s="112"/>
      <c r="V70" s="112"/>
      <c r="W70" s="112"/>
      <c r="X70" s="112"/>
      <c r="Y70" s="250" t="s">
        <v>72</v>
      </c>
      <c r="Z70" s="251"/>
      <c r="AA70" s="251"/>
      <c r="AB70" s="252"/>
      <c r="AC70" s="112">
        <f>ROUND(AVERAGE(AC67:AG69),2)</f>
        <v>0</v>
      </c>
      <c r="AD70" s="112"/>
      <c r="AE70" s="112"/>
      <c r="AF70" s="112"/>
      <c r="AG70" s="113"/>
      <c r="AH70" s="4"/>
    </row>
    <row r="71" spans="1:34" ht="27" customHeight="1">
      <c r="A71" s="2"/>
      <c r="B71" s="136" t="s">
        <v>36</v>
      </c>
      <c r="C71" s="137"/>
      <c r="D71" s="137"/>
      <c r="E71" s="103"/>
      <c r="F71" s="12"/>
      <c r="G71" s="137" t="s">
        <v>37</v>
      </c>
      <c r="H71" s="137"/>
      <c r="I71" s="137"/>
      <c r="J71" s="137"/>
      <c r="K71" s="137" t="s">
        <v>38</v>
      </c>
      <c r="L71" s="137"/>
      <c r="M71" s="137"/>
      <c r="N71" s="137"/>
      <c r="O71" s="246" t="s">
        <v>39</v>
      </c>
      <c r="P71" s="247"/>
      <c r="Q71" s="247"/>
      <c r="R71" s="247"/>
      <c r="S71" s="248"/>
      <c r="T71" s="89" t="s">
        <v>73</v>
      </c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4"/>
    </row>
    <row r="72" spans="1:34">
      <c r="A72" s="2"/>
      <c r="B72" s="150" t="s">
        <v>41</v>
      </c>
      <c r="C72" s="150"/>
      <c r="D72" s="150"/>
      <c r="E72" s="15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4"/>
    </row>
    <row r="73" spans="1:34">
      <c r="A73" s="2"/>
      <c r="B73" s="150"/>
      <c r="C73" s="150"/>
      <c r="D73" s="150"/>
      <c r="E73" s="15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4"/>
    </row>
    <row r="74" spans="1:34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4"/>
    </row>
    <row r="75" spans="1:34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4"/>
    </row>
    <row r="76" spans="1:34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4"/>
    </row>
    <row r="77" spans="1:34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4"/>
    </row>
    <row r="78" spans="1:34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4"/>
    </row>
    <row r="79" spans="1:34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4"/>
    </row>
    <row r="80" spans="1:34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4"/>
    </row>
    <row r="81" spans="1:34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4"/>
    </row>
    <row r="82" spans="1:34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4"/>
    </row>
    <row r="83" spans="1:34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4"/>
    </row>
    <row r="84" spans="1:34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4"/>
    </row>
    <row r="85" spans="1:34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4"/>
    </row>
    <row r="86" spans="1:34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4"/>
    </row>
    <row r="87" spans="1:34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4"/>
    </row>
    <row r="88" spans="1:34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4"/>
    </row>
    <row r="89" spans="1:34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4"/>
    </row>
    <row r="90" spans="1:34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4"/>
    </row>
    <row r="91" spans="1:34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4"/>
    </row>
    <row r="92" spans="1:34" ht="4.5" customHeight="1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4"/>
    </row>
    <row r="93" spans="1:34" ht="15.75" thickBot="1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4"/>
    </row>
    <row r="94" spans="1:34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151" t="s">
        <v>49</v>
      </c>
      <c r="Z94" s="152"/>
      <c r="AA94" s="152"/>
      <c r="AB94" s="152"/>
      <c r="AC94" s="153"/>
      <c r="AD94" s="157" t="s">
        <v>50</v>
      </c>
      <c r="AE94" s="157"/>
      <c r="AF94" s="157"/>
      <c r="AG94" s="157"/>
      <c r="AH94" s="158"/>
    </row>
    <row r="95" spans="1:34" ht="15.75" thickBot="1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154"/>
      <c r="Z95" s="155"/>
      <c r="AA95" s="155"/>
      <c r="AB95" s="155"/>
      <c r="AC95" s="156"/>
      <c r="AD95" s="159"/>
      <c r="AE95" s="159"/>
      <c r="AF95" s="159"/>
      <c r="AG95" s="159"/>
      <c r="AH95" s="160"/>
    </row>
    <row r="96" spans="1:34" ht="15" customHeight="1">
      <c r="A96" s="2"/>
      <c r="B96" s="161" t="s">
        <v>51</v>
      </c>
      <c r="C96" s="171"/>
      <c r="D96" s="171"/>
      <c r="E96" s="171"/>
      <c r="F96" s="171"/>
      <c r="G96" s="171"/>
      <c r="H96" s="170" t="s">
        <v>37</v>
      </c>
      <c r="I96" s="171"/>
      <c r="J96" s="171"/>
      <c r="K96" s="171"/>
      <c r="L96" s="171"/>
      <c r="M96" s="172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176"/>
      <c r="Z96" s="177"/>
      <c r="AA96" s="177"/>
      <c r="AB96" s="177"/>
      <c r="AC96" s="178"/>
      <c r="AD96" s="183"/>
      <c r="AE96" s="184"/>
      <c r="AF96" s="184"/>
      <c r="AG96" s="184"/>
      <c r="AH96" s="185"/>
    </row>
    <row r="97" spans="1:34" ht="15" customHeight="1">
      <c r="A97" s="2"/>
      <c r="B97" s="173"/>
      <c r="C97" s="174"/>
      <c r="D97" s="174"/>
      <c r="E97" s="174"/>
      <c r="F97" s="174"/>
      <c r="G97" s="174"/>
      <c r="H97" s="173"/>
      <c r="I97" s="174"/>
      <c r="J97" s="174"/>
      <c r="K97" s="174"/>
      <c r="L97" s="174"/>
      <c r="M97" s="175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179"/>
      <c r="Z97" s="177"/>
      <c r="AA97" s="177"/>
      <c r="AB97" s="177"/>
      <c r="AC97" s="178"/>
      <c r="AD97" s="184"/>
      <c r="AE97" s="184"/>
      <c r="AF97" s="184"/>
      <c r="AG97" s="184"/>
      <c r="AH97" s="185"/>
    </row>
    <row r="98" spans="1:34" ht="15" customHeight="1">
      <c r="A98" s="2"/>
      <c r="B98" s="173"/>
      <c r="C98" s="174"/>
      <c r="D98" s="174"/>
      <c r="E98" s="174"/>
      <c r="F98" s="174"/>
      <c r="G98" s="174"/>
      <c r="H98" s="173" t="s">
        <v>38</v>
      </c>
      <c r="I98" s="174"/>
      <c r="J98" s="174"/>
      <c r="K98" s="174"/>
      <c r="L98" s="174"/>
      <c r="M98" s="175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179"/>
      <c r="Z98" s="177"/>
      <c r="AA98" s="177"/>
      <c r="AB98" s="177"/>
      <c r="AC98" s="178"/>
      <c r="AD98" s="184"/>
      <c r="AE98" s="184"/>
      <c r="AF98" s="184"/>
      <c r="AG98" s="184"/>
      <c r="AH98" s="185"/>
    </row>
    <row r="99" spans="1:34" ht="15.75" customHeight="1" thickBot="1">
      <c r="A99" s="2"/>
      <c r="B99" s="188"/>
      <c r="C99" s="189"/>
      <c r="D99" s="189"/>
      <c r="E99" s="189"/>
      <c r="F99" s="189"/>
      <c r="G99" s="189"/>
      <c r="H99" s="188"/>
      <c r="I99" s="189"/>
      <c r="J99" s="189"/>
      <c r="K99" s="189"/>
      <c r="L99" s="189"/>
      <c r="M99" s="190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179"/>
      <c r="Z99" s="177"/>
      <c r="AA99" s="177"/>
      <c r="AB99" s="177"/>
      <c r="AC99" s="178"/>
      <c r="AD99" s="184"/>
      <c r="AE99" s="184"/>
      <c r="AF99" s="184"/>
      <c r="AG99" s="184"/>
      <c r="AH99" s="185"/>
    </row>
    <row r="100" spans="1:34" ht="9" customHeight="1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180"/>
      <c r="Z100" s="181"/>
      <c r="AA100" s="181"/>
      <c r="AB100" s="181"/>
      <c r="AC100" s="182"/>
      <c r="AD100" s="186"/>
      <c r="AE100" s="186"/>
      <c r="AF100" s="186"/>
      <c r="AG100" s="186"/>
      <c r="AH100" s="187"/>
    </row>
    <row r="101" spans="1:34" s="13" customFormat="1" ht="22.5" customHeight="1" thickBot="1">
      <c r="A101" s="199" t="s">
        <v>76</v>
      </c>
      <c r="B101" s="200"/>
      <c r="C101" s="200"/>
      <c r="D101" s="200"/>
      <c r="E101" s="200" t="s">
        <v>52</v>
      </c>
      <c r="F101" s="200"/>
      <c r="G101" s="200"/>
      <c r="H101" s="200"/>
      <c r="I101" s="201"/>
      <c r="J101" s="202" t="s">
        <v>77</v>
      </c>
      <c r="K101" s="200"/>
      <c r="L101" s="200"/>
      <c r="M101" s="200"/>
      <c r="N101" s="200" t="s">
        <v>78</v>
      </c>
      <c r="O101" s="200"/>
      <c r="P101" s="200"/>
      <c r="Q101" s="201"/>
      <c r="R101" s="203"/>
      <c r="S101" s="204"/>
      <c r="T101" s="204"/>
      <c r="U101" s="204"/>
      <c r="V101" s="204"/>
      <c r="W101" s="204"/>
      <c r="X101" s="205"/>
      <c r="Y101" s="202" t="s">
        <v>79</v>
      </c>
      <c r="Z101" s="200"/>
      <c r="AA101" s="200"/>
      <c r="AB101" s="200"/>
      <c r="AC101" s="200"/>
      <c r="AD101" s="197">
        <v>41883</v>
      </c>
      <c r="AE101" s="197"/>
      <c r="AF101" s="197"/>
      <c r="AG101" s="197"/>
      <c r="AH101" s="198"/>
    </row>
  </sheetData>
  <mergeCells count="208">
    <mergeCell ref="A3:F3"/>
    <mergeCell ref="G3:Q3"/>
    <mergeCell ref="R3:W3"/>
    <mergeCell ref="X3:AH3"/>
    <mergeCell ref="A4:F4"/>
    <mergeCell ref="G4:Q4"/>
    <mergeCell ref="R4:W4"/>
    <mergeCell ref="X4:AH4"/>
    <mergeCell ref="A1:AC1"/>
    <mergeCell ref="AD1:AF1"/>
    <mergeCell ref="AG1:AH1"/>
    <mergeCell ref="A2:F2"/>
    <mergeCell ref="G2:Q2"/>
    <mergeCell ref="R2:W2"/>
    <mergeCell ref="X2:AH2"/>
    <mergeCell ref="B7:AG7"/>
    <mergeCell ref="B8:H8"/>
    <mergeCell ref="I8:N8"/>
    <mergeCell ref="O8:U8"/>
    <mergeCell ref="V8:AA8"/>
    <mergeCell ref="AB8:AG8"/>
    <mergeCell ref="A5:F5"/>
    <mergeCell ref="G5:Q5"/>
    <mergeCell ref="R5:W5"/>
    <mergeCell ref="X5:Y5"/>
    <mergeCell ref="Z5:AC5"/>
    <mergeCell ref="AD5:AH5"/>
    <mergeCell ref="B9:H9"/>
    <mergeCell ref="I9:N9"/>
    <mergeCell ref="O9:U9"/>
    <mergeCell ref="V9:AA9"/>
    <mergeCell ref="AB9:AG9"/>
    <mergeCell ref="B10:H10"/>
    <mergeCell ref="I10:N10"/>
    <mergeCell ref="O10:U10"/>
    <mergeCell ref="V10:AA10"/>
    <mergeCell ref="AB10:AG10"/>
    <mergeCell ref="F14:K14"/>
    <mergeCell ref="L14:S14"/>
    <mergeCell ref="T14:Y14"/>
    <mergeCell ref="Z14:AG14"/>
    <mergeCell ref="B15:K15"/>
    <mergeCell ref="L15:S15"/>
    <mergeCell ref="B11:H11"/>
    <mergeCell ref="I11:N11"/>
    <mergeCell ref="O11:U11"/>
    <mergeCell ref="V11:AA11"/>
    <mergeCell ref="AB11:AG11"/>
    <mergeCell ref="B13:E14"/>
    <mergeCell ref="F13:K13"/>
    <mergeCell ref="L13:S13"/>
    <mergeCell ref="T13:Y13"/>
    <mergeCell ref="Z13:AG13"/>
    <mergeCell ref="B22:K22"/>
    <mergeCell ref="L22:U22"/>
    <mergeCell ref="V22:AE22"/>
    <mergeCell ref="B23:K23"/>
    <mergeCell ref="L23:U23"/>
    <mergeCell ref="V23:AC23"/>
    <mergeCell ref="AD23:AE23"/>
    <mergeCell ref="B19:K19"/>
    <mergeCell ref="L19:U19"/>
    <mergeCell ref="B20:U20"/>
    <mergeCell ref="V20:AE21"/>
    <mergeCell ref="B21:K21"/>
    <mergeCell ref="L21:U21"/>
    <mergeCell ref="B28:K28"/>
    <mergeCell ref="L28:U28"/>
    <mergeCell ref="V28:AE28"/>
    <mergeCell ref="B29:K29"/>
    <mergeCell ref="L29:U29"/>
    <mergeCell ref="V29:AC29"/>
    <mergeCell ref="AD29:AE29"/>
    <mergeCell ref="B25:K25"/>
    <mergeCell ref="L25:U25"/>
    <mergeCell ref="B26:U26"/>
    <mergeCell ref="V26:AE27"/>
    <mergeCell ref="B27:K27"/>
    <mergeCell ref="L27:U27"/>
    <mergeCell ref="B37:U37"/>
    <mergeCell ref="V37:AE38"/>
    <mergeCell ref="B38:K38"/>
    <mergeCell ref="L38:U38"/>
    <mergeCell ref="B39:K39"/>
    <mergeCell ref="L39:U39"/>
    <mergeCell ref="V39:AE39"/>
    <mergeCell ref="B31:F31"/>
    <mergeCell ref="H31:K31"/>
    <mergeCell ref="L31:O31"/>
    <mergeCell ref="Q31:U31"/>
    <mergeCell ref="V31:AE31"/>
    <mergeCell ref="C32:F33"/>
    <mergeCell ref="B42:E43"/>
    <mergeCell ref="Y44:AC45"/>
    <mergeCell ref="AD44:AH45"/>
    <mergeCell ref="B46:G49"/>
    <mergeCell ref="H46:M47"/>
    <mergeCell ref="Y46:AC50"/>
    <mergeCell ref="AD46:AH50"/>
    <mergeCell ref="H48:M49"/>
    <mergeCell ref="B40:K40"/>
    <mergeCell ref="L40:U40"/>
    <mergeCell ref="V40:AC40"/>
    <mergeCell ref="AD40:AE40"/>
    <mergeCell ref="B41:F41"/>
    <mergeCell ref="H41:K41"/>
    <mergeCell ref="L41:O41"/>
    <mergeCell ref="Q41:U41"/>
    <mergeCell ref="V41:AE41"/>
    <mergeCell ref="AD51:AH51"/>
    <mergeCell ref="A54:AC54"/>
    <mergeCell ref="AD54:AF54"/>
    <mergeCell ref="AG54:AH54"/>
    <mergeCell ref="A55:F55"/>
    <mergeCell ref="G55:Q55"/>
    <mergeCell ref="R55:W55"/>
    <mergeCell ref="X55:AH55"/>
    <mergeCell ref="A51:D51"/>
    <mergeCell ref="E51:I51"/>
    <mergeCell ref="J51:M51"/>
    <mergeCell ref="N51:Q51"/>
    <mergeCell ref="R51:X51"/>
    <mergeCell ref="Y51:AC51"/>
    <mergeCell ref="A58:F58"/>
    <mergeCell ref="G58:Q58"/>
    <mergeCell ref="R58:W58"/>
    <mergeCell ref="X58:Y58"/>
    <mergeCell ref="Z58:AC58"/>
    <mergeCell ref="AD58:AH58"/>
    <mergeCell ref="A56:F56"/>
    <mergeCell ref="G56:Q56"/>
    <mergeCell ref="R56:W56"/>
    <mergeCell ref="X56:AH56"/>
    <mergeCell ref="A57:F57"/>
    <mergeCell ref="G57:Q57"/>
    <mergeCell ref="R57:W57"/>
    <mergeCell ref="X57:AH57"/>
    <mergeCell ref="K65:N65"/>
    <mergeCell ref="O65:S65"/>
    <mergeCell ref="T65:X65"/>
    <mergeCell ref="Y65:AB65"/>
    <mergeCell ref="AC65:AG65"/>
    <mergeCell ref="B66:C66"/>
    <mergeCell ref="D66:E66"/>
    <mergeCell ref="F66:J66"/>
    <mergeCell ref="K66:N66"/>
    <mergeCell ref="O66:S66"/>
    <mergeCell ref="B63:E65"/>
    <mergeCell ref="F63:S63"/>
    <mergeCell ref="T63:AG63"/>
    <mergeCell ref="F64:J64"/>
    <mergeCell ref="K64:N64"/>
    <mergeCell ref="O64:S64"/>
    <mergeCell ref="T64:X64"/>
    <mergeCell ref="Y64:AB64"/>
    <mergeCell ref="AC64:AG64"/>
    <mergeCell ref="F65:J65"/>
    <mergeCell ref="T66:X66"/>
    <mergeCell ref="Y66:AB66"/>
    <mergeCell ref="AC66:AG66"/>
    <mergeCell ref="B67:E67"/>
    <mergeCell ref="F67:J67"/>
    <mergeCell ref="K67:N67"/>
    <mergeCell ref="O67:S67"/>
    <mergeCell ref="T67:X67"/>
    <mergeCell ref="Y67:AB67"/>
    <mergeCell ref="AC67:AG67"/>
    <mergeCell ref="AC68:AG68"/>
    <mergeCell ref="B69:E69"/>
    <mergeCell ref="F69:J69"/>
    <mergeCell ref="K69:N69"/>
    <mergeCell ref="O69:S69"/>
    <mergeCell ref="T69:X69"/>
    <mergeCell ref="Y69:AB69"/>
    <mergeCell ref="AC69:AG69"/>
    <mergeCell ref="B68:E68"/>
    <mergeCell ref="F68:J68"/>
    <mergeCell ref="K68:N68"/>
    <mergeCell ref="O68:S68"/>
    <mergeCell ref="T68:X68"/>
    <mergeCell ref="Y68:AB68"/>
    <mergeCell ref="AC70:AG70"/>
    <mergeCell ref="B71:E71"/>
    <mergeCell ref="G71:J71"/>
    <mergeCell ref="K71:N71"/>
    <mergeCell ref="O71:S71"/>
    <mergeCell ref="T71:AG71"/>
    <mergeCell ref="B70:E70"/>
    <mergeCell ref="F70:J70"/>
    <mergeCell ref="K70:N70"/>
    <mergeCell ref="O70:S70"/>
    <mergeCell ref="T70:X70"/>
    <mergeCell ref="Y70:AB70"/>
    <mergeCell ref="AD101:AH101"/>
    <mergeCell ref="A101:D101"/>
    <mergeCell ref="E101:I101"/>
    <mergeCell ref="J101:M101"/>
    <mergeCell ref="N101:Q101"/>
    <mergeCell ref="R101:X101"/>
    <mergeCell ref="Y101:AC101"/>
    <mergeCell ref="B72:E73"/>
    <mergeCell ref="Y94:AC95"/>
    <mergeCell ref="AD94:AH95"/>
    <mergeCell ref="B96:G99"/>
    <mergeCell ref="H96:M97"/>
    <mergeCell ref="Y96:AC100"/>
    <mergeCell ref="AD96:AH100"/>
    <mergeCell ref="H98:M99"/>
  </mergeCells>
  <pageMargins left="0.47244094488188981" right="0.37" top="0.4" bottom="0.19685039370078741" header="0.35433070866141736" footer="0.11811023622047245"/>
  <pageSetup paperSize="9" scale="94" firstPageNumber="4294963191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14337" r:id="rId4">
          <objectPr defaultSize="0" autoPict="0" r:id="rId5">
            <anchor moveWithCells="1">
              <from>
                <xdr:col>6</xdr:col>
                <xdr:colOff>142875</xdr:colOff>
                <xdr:row>31</xdr:row>
                <xdr:rowOff>38100</xdr:rowOff>
              </from>
              <to>
                <xdr:col>9</xdr:col>
                <xdr:colOff>19050</xdr:colOff>
                <xdr:row>32</xdr:row>
                <xdr:rowOff>152400</xdr:rowOff>
              </to>
            </anchor>
          </objectPr>
        </oleObject>
      </mc:Choice>
      <mc:Fallback>
        <oleObject progId="Equation.3" shapeId="14337" r:id="rId4"/>
      </mc:Fallback>
    </mc:AlternateContent>
    <mc:AlternateContent xmlns:mc="http://schemas.openxmlformats.org/markup-compatibility/2006">
      <mc:Choice Requires="x14">
        <oleObject progId="Equation.3" shapeId="14338" r:id="rId6">
          <objectPr defaultSize="0" autoPict="0" r:id="rId7">
            <anchor moveWithCells="1">
              <from>
                <xdr:col>6</xdr:col>
                <xdr:colOff>95250</xdr:colOff>
                <xdr:row>41</xdr:row>
                <xdr:rowOff>180975</xdr:rowOff>
              </from>
              <to>
                <xdr:col>9</xdr:col>
                <xdr:colOff>123825</xdr:colOff>
                <xdr:row>43</xdr:row>
                <xdr:rowOff>104775</xdr:rowOff>
              </to>
            </anchor>
          </objectPr>
        </oleObject>
      </mc:Choice>
      <mc:Fallback>
        <oleObject progId="Equation.3" shapeId="14338" r:id="rId6"/>
      </mc:Fallback>
    </mc:AlternateContent>
    <mc:AlternateContent xmlns:mc="http://schemas.openxmlformats.org/markup-compatibility/2006">
      <mc:Choice Requires="x14">
        <oleObject progId="Equation.3" shapeId="14339" r:id="rId8">
          <objectPr defaultSize="0" autoPict="0" r:id="rId9">
            <anchor moveWithCells="1">
              <from>
                <xdr:col>5</xdr:col>
                <xdr:colOff>0</xdr:colOff>
                <xdr:row>72</xdr:row>
                <xdr:rowOff>85725</xdr:rowOff>
              </from>
              <to>
                <xdr:col>7</xdr:col>
                <xdr:colOff>114300</xdr:colOff>
                <xdr:row>74</xdr:row>
                <xdr:rowOff>19050</xdr:rowOff>
              </to>
            </anchor>
          </objectPr>
        </oleObject>
      </mc:Choice>
      <mc:Fallback>
        <oleObject progId="Equation.3" shapeId="14339" r:id="rId8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101"/>
  <sheetViews>
    <sheetView zoomScale="130" zoomScaleNormal="130" workbookViewId="0">
      <selection activeCell="T68" sqref="T68:X68"/>
    </sheetView>
  </sheetViews>
  <sheetFormatPr defaultColWidth="2.5" defaultRowHeight="15"/>
  <cols>
    <col min="1" max="16384" width="2.5" style="1"/>
  </cols>
  <sheetData>
    <row r="1" spans="1:34" ht="27" customHeight="1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7"/>
      <c r="AD1" s="48" t="s">
        <v>1</v>
      </c>
      <c r="AE1" s="49"/>
      <c r="AF1" s="49"/>
      <c r="AG1" s="50" t="s">
        <v>2</v>
      </c>
      <c r="AH1" s="51"/>
    </row>
    <row r="2" spans="1:34" ht="19.5" customHeight="1">
      <c r="A2" s="52" t="s">
        <v>3</v>
      </c>
      <c r="B2" s="53"/>
      <c r="C2" s="53"/>
      <c r="D2" s="53"/>
      <c r="E2" s="53"/>
      <c r="F2" s="53"/>
      <c r="G2" s="54" t="s">
        <v>85</v>
      </c>
      <c r="H2" s="55"/>
      <c r="I2" s="55"/>
      <c r="J2" s="55"/>
      <c r="K2" s="55"/>
      <c r="L2" s="55"/>
      <c r="M2" s="55"/>
      <c r="N2" s="55"/>
      <c r="O2" s="55"/>
      <c r="P2" s="55"/>
      <c r="Q2" s="56"/>
      <c r="R2" s="28" t="s">
        <v>4</v>
      </c>
      <c r="S2" s="29"/>
      <c r="T2" s="29"/>
      <c r="U2" s="29"/>
      <c r="V2" s="29"/>
      <c r="W2" s="30"/>
      <c r="X2" s="31">
        <v>42886</v>
      </c>
      <c r="Y2" s="32"/>
      <c r="Z2" s="32"/>
      <c r="AA2" s="32"/>
      <c r="AB2" s="32"/>
      <c r="AC2" s="32"/>
      <c r="AD2" s="32"/>
      <c r="AE2" s="32"/>
      <c r="AF2" s="32"/>
      <c r="AG2" s="32"/>
      <c r="AH2" s="33"/>
    </row>
    <row r="3" spans="1:34" ht="19.5" customHeight="1">
      <c r="A3" s="23" t="s">
        <v>5</v>
      </c>
      <c r="B3" s="24"/>
      <c r="C3" s="24"/>
      <c r="D3" s="24"/>
      <c r="E3" s="24"/>
      <c r="F3" s="24"/>
      <c r="G3" s="25" t="s">
        <v>83</v>
      </c>
      <c r="H3" s="26"/>
      <c r="I3" s="26"/>
      <c r="J3" s="26"/>
      <c r="K3" s="26"/>
      <c r="L3" s="26"/>
      <c r="M3" s="26"/>
      <c r="N3" s="26"/>
      <c r="O3" s="26"/>
      <c r="P3" s="26"/>
      <c r="Q3" s="27"/>
      <c r="R3" s="28" t="s">
        <v>6</v>
      </c>
      <c r="S3" s="29"/>
      <c r="T3" s="29"/>
      <c r="U3" s="29"/>
      <c r="V3" s="29"/>
      <c r="W3" s="30"/>
      <c r="X3" s="31">
        <v>43251</v>
      </c>
      <c r="Y3" s="32"/>
      <c r="Z3" s="32"/>
      <c r="AA3" s="32"/>
      <c r="AB3" s="32"/>
      <c r="AC3" s="32"/>
      <c r="AD3" s="32"/>
      <c r="AE3" s="32"/>
      <c r="AF3" s="32"/>
      <c r="AG3" s="32"/>
      <c r="AH3" s="33"/>
    </row>
    <row r="4" spans="1:34" ht="19.5" customHeight="1">
      <c r="A4" s="34" t="s">
        <v>7</v>
      </c>
      <c r="B4" s="35"/>
      <c r="C4" s="35"/>
      <c r="D4" s="35"/>
      <c r="E4" s="35"/>
      <c r="F4" s="35"/>
      <c r="G4" s="36" t="s">
        <v>84</v>
      </c>
      <c r="H4" s="37"/>
      <c r="I4" s="37"/>
      <c r="J4" s="37"/>
      <c r="K4" s="37"/>
      <c r="L4" s="37"/>
      <c r="M4" s="37"/>
      <c r="N4" s="37"/>
      <c r="O4" s="37"/>
      <c r="P4" s="37"/>
      <c r="Q4" s="38"/>
      <c r="R4" s="39" t="s">
        <v>8</v>
      </c>
      <c r="S4" s="40"/>
      <c r="T4" s="40"/>
      <c r="U4" s="40"/>
      <c r="V4" s="40"/>
      <c r="W4" s="41"/>
      <c r="X4" s="42" t="s">
        <v>9</v>
      </c>
      <c r="Y4" s="43"/>
      <c r="Z4" s="43"/>
      <c r="AA4" s="43"/>
      <c r="AB4" s="43"/>
      <c r="AC4" s="43"/>
      <c r="AD4" s="43"/>
      <c r="AE4" s="43"/>
      <c r="AF4" s="43"/>
      <c r="AG4" s="43"/>
      <c r="AH4" s="44"/>
    </row>
    <row r="5" spans="1:34" ht="19.5" customHeight="1">
      <c r="A5" s="65" t="s">
        <v>10</v>
      </c>
      <c r="B5" s="66"/>
      <c r="C5" s="66"/>
      <c r="D5" s="66"/>
      <c r="E5" s="66"/>
      <c r="F5" s="67"/>
      <c r="G5" s="68" t="s">
        <v>94</v>
      </c>
      <c r="H5" s="68"/>
      <c r="I5" s="68"/>
      <c r="J5" s="68"/>
      <c r="K5" s="68"/>
      <c r="L5" s="68"/>
      <c r="M5" s="68"/>
      <c r="N5" s="68"/>
      <c r="O5" s="68"/>
      <c r="P5" s="68"/>
      <c r="Q5" s="68"/>
      <c r="R5" s="69" t="s">
        <v>11</v>
      </c>
      <c r="S5" s="69"/>
      <c r="T5" s="69"/>
      <c r="U5" s="69"/>
      <c r="V5" s="69"/>
      <c r="W5" s="69"/>
      <c r="X5" s="70" t="s">
        <v>12</v>
      </c>
      <c r="Y5" s="71"/>
      <c r="Z5" s="72">
        <v>500</v>
      </c>
      <c r="AA5" s="73"/>
      <c r="AB5" s="73"/>
      <c r="AC5" s="73"/>
      <c r="AD5" s="74" t="s">
        <v>13</v>
      </c>
      <c r="AE5" s="74"/>
      <c r="AF5" s="74"/>
      <c r="AG5" s="74"/>
      <c r="AH5" s="75"/>
    </row>
    <row r="6" spans="1:34" ht="15.75" thickBo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4"/>
    </row>
    <row r="7" spans="1:34" ht="15" customHeight="1">
      <c r="A7" s="2"/>
      <c r="B7" s="57" t="s">
        <v>14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9"/>
      <c r="AH7" s="4"/>
    </row>
    <row r="8" spans="1:34" ht="15" customHeight="1">
      <c r="A8" s="2"/>
      <c r="B8" s="60" t="s">
        <v>15</v>
      </c>
      <c r="C8" s="61"/>
      <c r="D8" s="61"/>
      <c r="E8" s="61"/>
      <c r="F8" s="61"/>
      <c r="G8" s="61"/>
      <c r="H8" s="61"/>
      <c r="I8" s="62" t="s">
        <v>3</v>
      </c>
      <c r="J8" s="62"/>
      <c r="K8" s="62"/>
      <c r="L8" s="62"/>
      <c r="M8" s="62"/>
      <c r="N8" s="62"/>
      <c r="O8" s="61" t="s">
        <v>16</v>
      </c>
      <c r="P8" s="61"/>
      <c r="Q8" s="61"/>
      <c r="R8" s="61"/>
      <c r="S8" s="61"/>
      <c r="T8" s="61"/>
      <c r="U8" s="61"/>
      <c r="V8" s="63" t="s">
        <v>17</v>
      </c>
      <c r="W8" s="63"/>
      <c r="X8" s="63"/>
      <c r="Y8" s="63"/>
      <c r="Z8" s="63"/>
      <c r="AA8" s="63"/>
      <c r="AB8" s="63" t="s">
        <v>18</v>
      </c>
      <c r="AC8" s="63"/>
      <c r="AD8" s="63"/>
      <c r="AE8" s="63"/>
      <c r="AF8" s="63"/>
      <c r="AG8" s="64"/>
      <c r="AH8" s="4"/>
    </row>
    <row r="9" spans="1:34" ht="19.5" customHeight="1">
      <c r="A9" s="2"/>
      <c r="B9" s="76" t="s">
        <v>19</v>
      </c>
      <c r="C9" s="77"/>
      <c r="D9" s="77"/>
      <c r="E9" s="77"/>
      <c r="F9" s="77"/>
      <c r="G9" s="77"/>
      <c r="H9" s="77"/>
      <c r="I9" s="78" t="s">
        <v>109</v>
      </c>
      <c r="J9" s="78"/>
      <c r="K9" s="78"/>
      <c r="L9" s="78"/>
      <c r="M9" s="78"/>
      <c r="N9" s="78"/>
      <c r="O9" s="78" t="s">
        <v>74</v>
      </c>
      <c r="P9" s="78"/>
      <c r="Q9" s="78"/>
      <c r="R9" s="78"/>
      <c r="S9" s="78"/>
      <c r="T9" s="78"/>
      <c r="U9" s="78"/>
      <c r="V9" s="78" t="s">
        <v>113</v>
      </c>
      <c r="W9" s="78"/>
      <c r="X9" s="78"/>
      <c r="Y9" s="78"/>
      <c r="Z9" s="78"/>
      <c r="AA9" s="78"/>
      <c r="AB9" s="79" t="s">
        <v>122</v>
      </c>
      <c r="AC9" s="79"/>
      <c r="AD9" s="79"/>
      <c r="AE9" s="79"/>
      <c r="AF9" s="79"/>
      <c r="AG9" s="80"/>
      <c r="AH9" s="4"/>
    </row>
    <row r="10" spans="1:34" ht="19.5" customHeight="1">
      <c r="A10" s="2"/>
      <c r="B10" s="81" t="s">
        <v>108</v>
      </c>
      <c r="C10" s="82"/>
      <c r="D10" s="82"/>
      <c r="E10" s="82"/>
      <c r="F10" s="82"/>
      <c r="G10" s="82"/>
      <c r="H10" s="82"/>
      <c r="I10" s="78" t="s">
        <v>95</v>
      </c>
      <c r="J10" s="78"/>
      <c r="K10" s="78"/>
      <c r="L10" s="78"/>
      <c r="M10" s="78"/>
      <c r="N10" s="78"/>
      <c r="O10" s="78" t="s">
        <v>74</v>
      </c>
      <c r="P10" s="78"/>
      <c r="Q10" s="78"/>
      <c r="R10" s="78"/>
      <c r="S10" s="78"/>
      <c r="T10" s="78"/>
      <c r="U10" s="78"/>
      <c r="V10" s="78" t="s">
        <v>96</v>
      </c>
      <c r="W10" s="78"/>
      <c r="X10" s="78"/>
      <c r="Y10" s="78"/>
      <c r="Z10" s="78"/>
      <c r="AA10" s="78"/>
      <c r="AB10" s="266" t="s">
        <v>97</v>
      </c>
      <c r="AC10" s="266"/>
      <c r="AD10" s="266"/>
      <c r="AE10" s="266"/>
      <c r="AF10" s="266"/>
      <c r="AG10" s="267"/>
      <c r="AH10" s="4"/>
    </row>
    <row r="11" spans="1:34" ht="19.5" customHeight="1" thickBot="1">
      <c r="A11" s="2"/>
      <c r="B11" s="94" t="s">
        <v>21</v>
      </c>
      <c r="C11" s="95"/>
      <c r="D11" s="95"/>
      <c r="E11" s="95"/>
      <c r="F11" s="95"/>
      <c r="G11" s="95"/>
      <c r="H11" s="95"/>
      <c r="I11" s="96" t="s">
        <v>99</v>
      </c>
      <c r="J11" s="96"/>
      <c r="K11" s="96"/>
      <c r="L11" s="96"/>
      <c r="M11" s="96"/>
      <c r="N11" s="96"/>
      <c r="O11" s="96" t="s">
        <v>74</v>
      </c>
      <c r="P11" s="96"/>
      <c r="Q11" s="96"/>
      <c r="R11" s="96"/>
      <c r="S11" s="96"/>
      <c r="T11" s="96"/>
      <c r="U11" s="96"/>
      <c r="V11" s="96" t="s">
        <v>100</v>
      </c>
      <c r="W11" s="96"/>
      <c r="X11" s="96"/>
      <c r="Y11" s="96"/>
      <c r="Z11" s="96"/>
      <c r="AA11" s="96"/>
      <c r="AB11" s="268" t="s">
        <v>98</v>
      </c>
      <c r="AC11" s="268"/>
      <c r="AD11" s="268"/>
      <c r="AE11" s="268"/>
      <c r="AF11" s="268"/>
      <c r="AG11" s="269"/>
      <c r="AH11" s="4"/>
    </row>
    <row r="12" spans="1:34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4"/>
    </row>
    <row r="13" spans="1:34" ht="21" customHeight="1">
      <c r="A13" s="2"/>
      <c r="B13" s="89" t="s">
        <v>22</v>
      </c>
      <c r="C13" s="89"/>
      <c r="D13" s="89"/>
      <c r="E13" s="89"/>
      <c r="F13" s="103" t="s">
        <v>3</v>
      </c>
      <c r="G13" s="89"/>
      <c r="H13" s="89"/>
      <c r="I13" s="89"/>
      <c r="J13" s="89"/>
      <c r="K13" s="89"/>
      <c r="L13" s="78" t="s">
        <v>112</v>
      </c>
      <c r="M13" s="78"/>
      <c r="N13" s="78"/>
      <c r="O13" s="78"/>
      <c r="P13" s="78"/>
      <c r="Q13" s="78"/>
      <c r="R13" s="78"/>
      <c r="S13" s="78"/>
      <c r="T13" s="89" t="s">
        <v>7</v>
      </c>
      <c r="U13" s="89"/>
      <c r="V13" s="89"/>
      <c r="W13" s="89"/>
      <c r="X13" s="89"/>
      <c r="Y13" s="89"/>
      <c r="Z13" s="78">
        <v>93310021</v>
      </c>
      <c r="AA13" s="78"/>
      <c r="AB13" s="78"/>
      <c r="AC13" s="78"/>
      <c r="AD13" s="78"/>
      <c r="AE13" s="78"/>
      <c r="AF13" s="78"/>
      <c r="AG13" s="78"/>
      <c r="AH13" s="4"/>
    </row>
    <row r="14" spans="1:34" ht="21" customHeight="1">
      <c r="A14" s="2"/>
      <c r="B14" s="89"/>
      <c r="C14" s="89"/>
      <c r="D14" s="89"/>
      <c r="E14" s="89"/>
      <c r="F14" s="85" t="s">
        <v>5</v>
      </c>
      <c r="G14" s="85"/>
      <c r="H14" s="85"/>
      <c r="I14" s="85"/>
      <c r="J14" s="85"/>
      <c r="K14" s="85"/>
      <c r="L14" s="86" t="s">
        <v>75</v>
      </c>
      <c r="M14" s="87"/>
      <c r="N14" s="87"/>
      <c r="O14" s="87"/>
      <c r="P14" s="87"/>
      <c r="Q14" s="87"/>
      <c r="R14" s="87"/>
      <c r="S14" s="88"/>
      <c r="T14" s="89" t="s">
        <v>6</v>
      </c>
      <c r="U14" s="89"/>
      <c r="V14" s="89"/>
      <c r="W14" s="89"/>
      <c r="X14" s="89"/>
      <c r="Y14" s="89"/>
      <c r="Z14" s="90">
        <v>43008</v>
      </c>
      <c r="AA14" s="90"/>
      <c r="AB14" s="90"/>
      <c r="AC14" s="90"/>
      <c r="AD14" s="90"/>
      <c r="AE14" s="90"/>
      <c r="AF14" s="90"/>
      <c r="AG14" s="90"/>
      <c r="AH14" s="4"/>
    </row>
    <row r="15" spans="1:34" ht="17.25" customHeight="1">
      <c r="A15" s="2"/>
      <c r="B15" s="89" t="s">
        <v>23</v>
      </c>
      <c r="C15" s="89"/>
      <c r="D15" s="89"/>
      <c r="E15" s="89"/>
      <c r="F15" s="89"/>
      <c r="G15" s="89"/>
      <c r="H15" s="89"/>
      <c r="I15" s="89"/>
      <c r="J15" s="89"/>
      <c r="K15" s="89"/>
      <c r="L15" s="91">
        <v>15170</v>
      </c>
      <c r="M15" s="92"/>
      <c r="N15" s="92"/>
      <c r="O15" s="92"/>
      <c r="P15" s="92"/>
      <c r="Q15" s="92"/>
      <c r="R15" s="92"/>
      <c r="S15" s="93"/>
      <c r="T15" s="5"/>
      <c r="U15" s="5"/>
      <c r="V15" s="5"/>
      <c r="W15" s="5"/>
      <c r="X15" s="5"/>
      <c r="Y15" s="5"/>
      <c r="Z15" s="6"/>
      <c r="AA15" s="6"/>
      <c r="AB15" s="6"/>
      <c r="AC15" s="6"/>
      <c r="AD15" s="6"/>
      <c r="AE15" s="6"/>
      <c r="AF15" s="6"/>
      <c r="AG15" s="6"/>
      <c r="AH15" s="4"/>
    </row>
    <row r="16" spans="1:34" ht="5.25" customHeight="1">
      <c r="A16" s="2"/>
      <c r="B16" s="5"/>
      <c r="C16" s="5"/>
      <c r="D16" s="5"/>
      <c r="E16" s="5"/>
      <c r="F16" s="5"/>
      <c r="G16" s="5"/>
      <c r="H16" s="5"/>
      <c r="I16" s="5"/>
      <c r="J16" s="5"/>
      <c r="K16" s="5"/>
      <c r="L16" s="3"/>
      <c r="M16" s="3"/>
      <c r="N16" s="3"/>
      <c r="O16" s="3"/>
      <c r="P16" s="3"/>
      <c r="Q16" s="3"/>
      <c r="R16" s="3"/>
      <c r="S16" s="3"/>
      <c r="T16" s="5"/>
      <c r="U16" s="5"/>
      <c r="V16" s="5"/>
      <c r="W16" s="5"/>
      <c r="X16" s="5"/>
      <c r="Y16" s="5"/>
      <c r="Z16" s="3"/>
      <c r="AA16" s="3"/>
      <c r="AB16" s="3"/>
      <c r="AC16" s="3"/>
      <c r="AD16" s="3"/>
      <c r="AE16" s="3"/>
      <c r="AF16" s="3"/>
      <c r="AG16" s="3"/>
      <c r="AH16" s="4"/>
    </row>
    <row r="17" spans="1:34">
      <c r="A17" s="2"/>
      <c r="B17" s="7" t="s">
        <v>24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4"/>
    </row>
    <row r="18" spans="1:34" ht="7.5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4"/>
    </row>
    <row r="19" spans="1:34" ht="15" customHeight="1">
      <c r="A19" s="2"/>
      <c r="B19" s="118" t="s">
        <v>10</v>
      </c>
      <c r="C19" s="119"/>
      <c r="D19" s="119"/>
      <c r="E19" s="119"/>
      <c r="F19" s="119"/>
      <c r="G19" s="119"/>
      <c r="H19" s="119"/>
      <c r="I19" s="119"/>
      <c r="J19" s="119"/>
      <c r="K19" s="120"/>
      <c r="L19" s="89" t="s">
        <v>90</v>
      </c>
      <c r="M19" s="89"/>
      <c r="N19" s="89"/>
      <c r="O19" s="89"/>
      <c r="P19" s="89"/>
      <c r="Q19" s="89"/>
      <c r="R19" s="89"/>
      <c r="S19" s="89"/>
      <c r="T19" s="89"/>
      <c r="U19" s="89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4"/>
    </row>
    <row r="20" spans="1:34" ht="15" customHeight="1">
      <c r="A20" s="2"/>
      <c r="B20" s="121" t="s">
        <v>25</v>
      </c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3"/>
      <c r="V20" s="124" t="s">
        <v>26</v>
      </c>
      <c r="W20" s="125"/>
      <c r="X20" s="125"/>
      <c r="Y20" s="125"/>
      <c r="Z20" s="125"/>
      <c r="AA20" s="125"/>
      <c r="AB20" s="125"/>
      <c r="AC20" s="125"/>
      <c r="AD20" s="125"/>
      <c r="AE20" s="126"/>
      <c r="AF20" s="3"/>
      <c r="AG20" s="3"/>
      <c r="AH20" s="4"/>
    </row>
    <row r="21" spans="1:34" ht="15" customHeight="1">
      <c r="A21" s="2"/>
      <c r="B21" s="130" t="s">
        <v>27</v>
      </c>
      <c r="C21" s="131"/>
      <c r="D21" s="131"/>
      <c r="E21" s="131"/>
      <c r="F21" s="131"/>
      <c r="G21" s="131"/>
      <c r="H21" s="131"/>
      <c r="I21" s="131"/>
      <c r="J21" s="131"/>
      <c r="K21" s="131"/>
      <c r="L21" s="131" t="s">
        <v>28</v>
      </c>
      <c r="M21" s="131"/>
      <c r="N21" s="131"/>
      <c r="O21" s="131"/>
      <c r="P21" s="131"/>
      <c r="Q21" s="131"/>
      <c r="R21" s="131"/>
      <c r="S21" s="131"/>
      <c r="T21" s="131"/>
      <c r="U21" s="132"/>
      <c r="V21" s="127"/>
      <c r="W21" s="128"/>
      <c r="X21" s="128"/>
      <c r="Y21" s="128"/>
      <c r="Z21" s="128"/>
      <c r="AA21" s="128"/>
      <c r="AB21" s="128"/>
      <c r="AC21" s="128"/>
      <c r="AD21" s="128"/>
      <c r="AE21" s="129"/>
      <c r="AF21" s="3"/>
      <c r="AG21" s="3"/>
      <c r="AH21" s="4"/>
    </row>
    <row r="22" spans="1:34">
      <c r="A22" s="2"/>
      <c r="B22" s="104" t="s">
        <v>29</v>
      </c>
      <c r="C22" s="105"/>
      <c r="D22" s="105"/>
      <c r="E22" s="105"/>
      <c r="F22" s="105"/>
      <c r="G22" s="105"/>
      <c r="H22" s="105"/>
      <c r="I22" s="105"/>
      <c r="J22" s="105"/>
      <c r="K22" s="105"/>
      <c r="L22" s="105" t="s">
        <v>30</v>
      </c>
      <c r="M22" s="105"/>
      <c r="N22" s="105"/>
      <c r="O22" s="105"/>
      <c r="P22" s="105"/>
      <c r="Q22" s="105"/>
      <c r="R22" s="105"/>
      <c r="S22" s="105"/>
      <c r="T22" s="105"/>
      <c r="U22" s="106"/>
      <c r="V22" s="107" t="s">
        <v>31</v>
      </c>
      <c r="W22" s="108"/>
      <c r="X22" s="108"/>
      <c r="Y22" s="108"/>
      <c r="Z22" s="108"/>
      <c r="AA22" s="108"/>
      <c r="AB22" s="108"/>
      <c r="AC22" s="108"/>
      <c r="AD22" s="108"/>
      <c r="AE22" s="109"/>
      <c r="AF22" s="3"/>
      <c r="AG22" s="3"/>
      <c r="AH22" s="4"/>
    </row>
    <row r="23" spans="1:34" ht="21" customHeight="1">
      <c r="A23" s="2"/>
      <c r="B23" s="293">
        <v>430</v>
      </c>
      <c r="C23" s="273"/>
      <c r="D23" s="273"/>
      <c r="E23" s="273"/>
      <c r="F23" s="273"/>
      <c r="G23" s="273"/>
      <c r="H23" s="273"/>
      <c r="I23" s="273"/>
      <c r="J23" s="273"/>
      <c r="K23" s="273"/>
      <c r="L23" s="273">
        <v>431.3</v>
      </c>
      <c r="M23" s="273"/>
      <c r="N23" s="273"/>
      <c r="O23" s="273"/>
      <c r="P23" s="273"/>
      <c r="Q23" s="273"/>
      <c r="R23" s="273"/>
      <c r="S23" s="273"/>
      <c r="T23" s="273"/>
      <c r="U23" s="274"/>
      <c r="V23" s="114">
        <f>B23/L23*100</f>
        <v>99.698585671226525</v>
      </c>
      <c r="W23" s="115"/>
      <c r="X23" s="115"/>
      <c r="Y23" s="115"/>
      <c r="Z23" s="115"/>
      <c r="AA23" s="115"/>
      <c r="AB23" s="115"/>
      <c r="AC23" s="115"/>
      <c r="AD23" s="116" t="s">
        <v>32</v>
      </c>
      <c r="AE23" s="117"/>
      <c r="AF23" s="3"/>
      <c r="AG23" s="3"/>
      <c r="AH23" s="4"/>
    </row>
    <row r="24" spans="1:34" ht="7.5" customHeight="1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4"/>
    </row>
    <row r="25" spans="1:34" ht="15" customHeight="1">
      <c r="A25" s="2"/>
      <c r="B25" s="118" t="s">
        <v>10</v>
      </c>
      <c r="C25" s="119"/>
      <c r="D25" s="119"/>
      <c r="E25" s="119"/>
      <c r="F25" s="119"/>
      <c r="G25" s="119"/>
      <c r="H25" s="119"/>
      <c r="I25" s="119"/>
      <c r="J25" s="119"/>
      <c r="K25" s="120"/>
      <c r="L25" s="89" t="s">
        <v>81</v>
      </c>
      <c r="M25" s="89"/>
      <c r="N25" s="89"/>
      <c r="O25" s="89"/>
      <c r="P25" s="89"/>
      <c r="Q25" s="89"/>
      <c r="R25" s="89"/>
      <c r="S25" s="89"/>
      <c r="T25" s="89"/>
      <c r="U25" s="89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4"/>
    </row>
    <row r="26" spans="1:34" ht="15" customHeight="1">
      <c r="A26" s="2"/>
      <c r="B26" s="138" t="s">
        <v>25</v>
      </c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3"/>
      <c r="V26" s="124" t="s">
        <v>26</v>
      </c>
      <c r="W26" s="125"/>
      <c r="X26" s="125"/>
      <c r="Y26" s="125"/>
      <c r="Z26" s="125"/>
      <c r="AA26" s="125"/>
      <c r="AB26" s="125"/>
      <c r="AC26" s="125"/>
      <c r="AD26" s="125"/>
      <c r="AE26" s="126"/>
      <c r="AF26" s="3"/>
      <c r="AG26" s="3"/>
      <c r="AH26" s="4"/>
    </row>
    <row r="27" spans="1:34" ht="15" customHeight="1">
      <c r="A27" s="2"/>
      <c r="B27" s="130" t="s">
        <v>34</v>
      </c>
      <c r="C27" s="131"/>
      <c r="D27" s="131"/>
      <c r="E27" s="131"/>
      <c r="F27" s="131"/>
      <c r="G27" s="131"/>
      <c r="H27" s="131"/>
      <c r="I27" s="131"/>
      <c r="J27" s="131"/>
      <c r="K27" s="131"/>
      <c r="L27" s="131" t="s">
        <v>35</v>
      </c>
      <c r="M27" s="131"/>
      <c r="N27" s="131"/>
      <c r="O27" s="131"/>
      <c r="P27" s="131"/>
      <c r="Q27" s="131"/>
      <c r="R27" s="131"/>
      <c r="S27" s="131"/>
      <c r="T27" s="131"/>
      <c r="U27" s="132"/>
      <c r="V27" s="127"/>
      <c r="W27" s="128"/>
      <c r="X27" s="128"/>
      <c r="Y27" s="128"/>
      <c r="Z27" s="128"/>
      <c r="AA27" s="128"/>
      <c r="AB27" s="128"/>
      <c r="AC27" s="128"/>
      <c r="AD27" s="128"/>
      <c r="AE27" s="129"/>
      <c r="AF27" s="3"/>
      <c r="AG27" s="3"/>
      <c r="AH27" s="4"/>
    </row>
    <row r="28" spans="1:34" ht="15" customHeight="1">
      <c r="A28" s="2"/>
      <c r="B28" s="104" t="s">
        <v>29</v>
      </c>
      <c r="C28" s="105"/>
      <c r="D28" s="105"/>
      <c r="E28" s="105"/>
      <c r="F28" s="105"/>
      <c r="G28" s="105"/>
      <c r="H28" s="105"/>
      <c r="I28" s="105"/>
      <c r="J28" s="105"/>
      <c r="K28" s="105"/>
      <c r="L28" s="105" t="s">
        <v>30</v>
      </c>
      <c r="M28" s="105"/>
      <c r="N28" s="105"/>
      <c r="O28" s="105"/>
      <c r="P28" s="105"/>
      <c r="Q28" s="105"/>
      <c r="R28" s="105"/>
      <c r="S28" s="105"/>
      <c r="T28" s="105"/>
      <c r="U28" s="106"/>
      <c r="V28" s="107" t="s">
        <v>31</v>
      </c>
      <c r="W28" s="108"/>
      <c r="X28" s="108"/>
      <c r="Y28" s="108"/>
      <c r="Z28" s="108"/>
      <c r="AA28" s="108"/>
      <c r="AB28" s="108"/>
      <c r="AC28" s="108"/>
      <c r="AD28" s="108"/>
      <c r="AE28" s="109"/>
      <c r="AF28" s="3"/>
      <c r="AG28" s="3"/>
      <c r="AH28" s="4"/>
    </row>
    <row r="29" spans="1:34" ht="21" customHeight="1">
      <c r="A29" s="2"/>
      <c r="B29" s="192"/>
      <c r="C29" s="193"/>
      <c r="D29" s="193"/>
      <c r="E29" s="193"/>
      <c r="F29" s="193"/>
      <c r="G29" s="193"/>
      <c r="H29" s="193"/>
      <c r="I29" s="193"/>
      <c r="J29" s="193"/>
      <c r="K29" s="193"/>
      <c r="L29" s="112"/>
      <c r="M29" s="112"/>
      <c r="N29" s="112"/>
      <c r="O29" s="112"/>
      <c r="P29" s="112"/>
      <c r="Q29" s="112"/>
      <c r="R29" s="112"/>
      <c r="S29" s="112"/>
      <c r="T29" s="112"/>
      <c r="U29" s="113"/>
      <c r="V29" s="114"/>
      <c r="W29" s="115"/>
      <c r="X29" s="115"/>
      <c r="Y29" s="115"/>
      <c r="Z29" s="115"/>
      <c r="AA29" s="115"/>
      <c r="AB29" s="115"/>
      <c r="AC29" s="115"/>
      <c r="AD29" s="116"/>
      <c r="AE29" s="117"/>
      <c r="AF29" s="3"/>
      <c r="AG29" s="3"/>
      <c r="AH29" s="4"/>
    </row>
    <row r="30" spans="1:34" ht="7.5" customHeight="1">
      <c r="A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4"/>
    </row>
    <row r="31" spans="1:34" ht="21" customHeight="1">
      <c r="A31" s="2"/>
      <c r="B31" s="136" t="s">
        <v>36</v>
      </c>
      <c r="C31" s="137"/>
      <c r="D31" s="137"/>
      <c r="E31" s="137"/>
      <c r="F31" s="103"/>
      <c r="G31" s="8"/>
      <c r="H31" s="137" t="s">
        <v>37</v>
      </c>
      <c r="I31" s="137"/>
      <c r="J31" s="137"/>
      <c r="K31" s="137"/>
      <c r="L31" s="137" t="s">
        <v>38</v>
      </c>
      <c r="M31" s="137"/>
      <c r="N31" s="137"/>
      <c r="O31" s="137"/>
      <c r="P31" s="9"/>
      <c r="Q31" s="118" t="s">
        <v>39</v>
      </c>
      <c r="R31" s="119"/>
      <c r="S31" s="119"/>
      <c r="T31" s="119"/>
      <c r="U31" s="120"/>
      <c r="V31" s="136" t="s">
        <v>40</v>
      </c>
      <c r="W31" s="137"/>
      <c r="X31" s="137"/>
      <c r="Y31" s="137"/>
      <c r="Z31" s="137"/>
      <c r="AA31" s="137"/>
      <c r="AB31" s="137"/>
      <c r="AC31" s="137"/>
      <c r="AD31" s="137"/>
      <c r="AE31" s="103"/>
      <c r="AF31" s="3"/>
      <c r="AG31" s="3"/>
      <c r="AH31" s="4"/>
    </row>
    <row r="32" spans="1:34">
      <c r="A32" s="2"/>
      <c r="C32" s="148" t="s">
        <v>41</v>
      </c>
      <c r="D32" s="148"/>
      <c r="E32" s="148"/>
      <c r="F32" s="148"/>
      <c r="G32" s="15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4"/>
    </row>
    <row r="33" spans="1:34">
      <c r="A33" s="2"/>
      <c r="C33" s="149"/>
      <c r="D33" s="149"/>
      <c r="E33" s="149"/>
      <c r="F33" s="149"/>
      <c r="G33" s="15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4"/>
    </row>
    <row r="34" spans="1:34">
      <c r="A34" s="2"/>
      <c r="B34" s="3"/>
      <c r="C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4"/>
    </row>
    <row r="35" spans="1:34">
      <c r="A35" s="2"/>
      <c r="B35" s="11" t="s">
        <v>42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4"/>
    </row>
    <row r="36" spans="1:34" ht="7.5" customHeight="1">
      <c r="A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4"/>
    </row>
    <row r="37" spans="1:34" ht="15" customHeight="1">
      <c r="A37" s="2"/>
      <c r="B37" s="138" t="s">
        <v>43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3"/>
      <c r="V37" s="139" t="s">
        <v>44</v>
      </c>
      <c r="W37" s="140"/>
      <c r="X37" s="140"/>
      <c r="Y37" s="140"/>
      <c r="Z37" s="140"/>
      <c r="AA37" s="140"/>
      <c r="AB37" s="140"/>
      <c r="AC37" s="140"/>
      <c r="AD37" s="140"/>
      <c r="AE37" s="141"/>
      <c r="AF37" s="3"/>
      <c r="AG37" s="3"/>
      <c r="AH37" s="4"/>
    </row>
    <row r="38" spans="1:34" ht="15" customHeight="1">
      <c r="A38" s="2"/>
      <c r="B38" s="130" t="s">
        <v>18</v>
      </c>
      <c r="C38" s="131"/>
      <c r="D38" s="131"/>
      <c r="E38" s="131"/>
      <c r="F38" s="131"/>
      <c r="G38" s="131"/>
      <c r="H38" s="131"/>
      <c r="I38" s="131"/>
      <c r="J38" s="131"/>
      <c r="K38" s="131"/>
      <c r="L38" s="131" t="s">
        <v>45</v>
      </c>
      <c r="M38" s="131"/>
      <c r="N38" s="131"/>
      <c r="O38" s="131"/>
      <c r="P38" s="131"/>
      <c r="Q38" s="131"/>
      <c r="R38" s="131"/>
      <c r="S38" s="131"/>
      <c r="T38" s="131"/>
      <c r="U38" s="132"/>
      <c r="V38" s="142"/>
      <c r="W38" s="143"/>
      <c r="X38" s="143"/>
      <c r="Y38" s="143"/>
      <c r="Z38" s="143"/>
      <c r="AA38" s="143"/>
      <c r="AB38" s="143"/>
      <c r="AC38" s="143"/>
      <c r="AD38" s="143"/>
      <c r="AE38" s="144"/>
      <c r="AF38" s="3"/>
      <c r="AG38" s="3"/>
      <c r="AH38" s="4"/>
    </row>
    <row r="39" spans="1:34" ht="15" customHeight="1">
      <c r="A39" s="2"/>
      <c r="B39" s="145" t="s">
        <v>46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 t="s">
        <v>47</v>
      </c>
      <c r="M39" s="146"/>
      <c r="N39" s="146"/>
      <c r="O39" s="146"/>
      <c r="P39" s="146"/>
      <c r="Q39" s="146"/>
      <c r="R39" s="146"/>
      <c r="S39" s="146"/>
      <c r="T39" s="146"/>
      <c r="U39" s="147"/>
      <c r="V39" s="145" t="s">
        <v>31</v>
      </c>
      <c r="W39" s="146"/>
      <c r="X39" s="146"/>
      <c r="Y39" s="146"/>
      <c r="Z39" s="146"/>
      <c r="AA39" s="146"/>
      <c r="AB39" s="146"/>
      <c r="AC39" s="146"/>
      <c r="AD39" s="146"/>
      <c r="AE39" s="147"/>
      <c r="AF39" s="3"/>
      <c r="AG39" s="3"/>
      <c r="AH39" s="4"/>
    </row>
    <row r="40" spans="1:34" ht="21" customHeight="1">
      <c r="A40" s="2"/>
      <c r="B40" s="110">
        <v>225.9</v>
      </c>
      <c r="C40" s="111"/>
      <c r="D40" s="111"/>
      <c r="E40" s="111"/>
      <c r="F40" s="111"/>
      <c r="G40" s="111"/>
      <c r="H40" s="111"/>
      <c r="I40" s="111"/>
      <c r="J40" s="111"/>
      <c r="K40" s="111"/>
      <c r="L40" s="273">
        <v>226.2</v>
      </c>
      <c r="M40" s="273"/>
      <c r="N40" s="273"/>
      <c r="O40" s="273"/>
      <c r="P40" s="273"/>
      <c r="Q40" s="273"/>
      <c r="R40" s="273"/>
      <c r="S40" s="273"/>
      <c r="T40" s="273"/>
      <c r="U40" s="274"/>
      <c r="V40" s="192">
        <f>100*(L40-B40)/Z5</f>
        <v>5.9999999999996591E-2</v>
      </c>
      <c r="W40" s="193"/>
      <c r="X40" s="193"/>
      <c r="Y40" s="193"/>
      <c r="Z40" s="193"/>
      <c r="AA40" s="193"/>
      <c r="AB40" s="193"/>
      <c r="AC40" s="194"/>
      <c r="AD40" s="195" t="s">
        <v>32</v>
      </c>
      <c r="AE40" s="196"/>
      <c r="AF40" s="3"/>
      <c r="AG40" s="3"/>
      <c r="AH40" s="4"/>
    </row>
    <row r="41" spans="1:34" ht="21" customHeight="1">
      <c r="A41" s="2"/>
      <c r="B41" s="136" t="s">
        <v>36</v>
      </c>
      <c r="C41" s="137"/>
      <c r="D41" s="137"/>
      <c r="E41" s="137"/>
      <c r="F41" s="103"/>
      <c r="G41" s="8"/>
      <c r="H41" s="137" t="s">
        <v>37</v>
      </c>
      <c r="I41" s="137"/>
      <c r="J41" s="137"/>
      <c r="K41" s="137"/>
      <c r="L41" s="137" t="s">
        <v>38</v>
      </c>
      <c r="M41" s="137"/>
      <c r="N41" s="137"/>
      <c r="O41" s="137"/>
      <c r="P41" s="9"/>
      <c r="Q41" s="118" t="s">
        <v>39</v>
      </c>
      <c r="R41" s="119"/>
      <c r="S41" s="119"/>
      <c r="T41" s="119"/>
      <c r="U41" s="120"/>
      <c r="V41" s="136" t="s">
        <v>48</v>
      </c>
      <c r="W41" s="137"/>
      <c r="X41" s="137"/>
      <c r="Y41" s="137"/>
      <c r="Z41" s="137"/>
      <c r="AA41" s="137"/>
      <c r="AB41" s="137"/>
      <c r="AC41" s="137"/>
      <c r="AD41" s="137"/>
      <c r="AE41" s="103"/>
      <c r="AF41" s="3"/>
      <c r="AG41" s="3"/>
      <c r="AH41" s="4"/>
    </row>
    <row r="42" spans="1:34">
      <c r="A42" s="2"/>
      <c r="B42" s="150" t="s">
        <v>41</v>
      </c>
      <c r="C42" s="150"/>
      <c r="D42" s="150"/>
      <c r="E42" s="150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4"/>
    </row>
    <row r="43" spans="1:34" ht="15.75" thickBot="1">
      <c r="A43" s="2"/>
      <c r="B43" s="150"/>
      <c r="C43" s="150"/>
      <c r="D43" s="150"/>
      <c r="E43" s="150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4"/>
    </row>
    <row r="44" spans="1:34" ht="10.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151" t="s">
        <v>49</v>
      </c>
      <c r="Z44" s="152"/>
      <c r="AA44" s="152"/>
      <c r="AB44" s="152"/>
      <c r="AC44" s="153"/>
      <c r="AD44" s="157" t="s">
        <v>50</v>
      </c>
      <c r="AE44" s="157"/>
      <c r="AF44" s="157"/>
      <c r="AG44" s="157"/>
      <c r="AH44" s="158"/>
    </row>
    <row r="45" spans="1:34" ht="15.75" thickBot="1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154"/>
      <c r="Z45" s="155"/>
      <c r="AA45" s="155"/>
      <c r="AB45" s="155"/>
      <c r="AC45" s="156"/>
      <c r="AD45" s="159"/>
      <c r="AE45" s="159"/>
      <c r="AF45" s="159"/>
      <c r="AG45" s="159"/>
      <c r="AH45" s="160"/>
    </row>
    <row r="46" spans="1:34" ht="15" customHeight="1">
      <c r="A46" s="2"/>
      <c r="B46" s="161" t="s">
        <v>51</v>
      </c>
      <c r="C46" s="162"/>
      <c r="D46" s="162"/>
      <c r="E46" s="162"/>
      <c r="F46" s="162"/>
      <c r="G46" s="163"/>
      <c r="H46" s="170" t="s">
        <v>37</v>
      </c>
      <c r="I46" s="171"/>
      <c r="J46" s="171"/>
      <c r="K46" s="171"/>
      <c r="L46" s="171"/>
      <c r="M46" s="172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176"/>
      <c r="Z46" s="177"/>
      <c r="AA46" s="177"/>
      <c r="AB46" s="177"/>
      <c r="AC46" s="178"/>
      <c r="AD46" s="183"/>
      <c r="AE46" s="184"/>
      <c r="AF46" s="184"/>
      <c r="AG46" s="184"/>
      <c r="AH46" s="185"/>
    </row>
    <row r="47" spans="1:34" ht="15" customHeight="1">
      <c r="A47" s="2"/>
      <c r="B47" s="164"/>
      <c r="C47" s="165"/>
      <c r="D47" s="165"/>
      <c r="E47" s="165"/>
      <c r="F47" s="165"/>
      <c r="G47" s="166"/>
      <c r="H47" s="173"/>
      <c r="I47" s="174"/>
      <c r="J47" s="174"/>
      <c r="K47" s="174"/>
      <c r="L47" s="174"/>
      <c r="M47" s="175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179"/>
      <c r="Z47" s="177"/>
      <c r="AA47" s="177"/>
      <c r="AB47" s="177"/>
      <c r="AC47" s="178"/>
      <c r="AD47" s="184"/>
      <c r="AE47" s="184"/>
      <c r="AF47" s="184"/>
      <c r="AG47" s="184"/>
      <c r="AH47" s="185"/>
    </row>
    <row r="48" spans="1:34" ht="15" customHeight="1">
      <c r="A48" s="2"/>
      <c r="B48" s="164"/>
      <c r="C48" s="165"/>
      <c r="D48" s="165"/>
      <c r="E48" s="165"/>
      <c r="F48" s="165"/>
      <c r="G48" s="166"/>
      <c r="H48" s="173" t="s">
        <v>38</v>
      </c>
      <c r="I48" s="174"/>
      <c r="J48" s="174"/>
      <c r="K48" s="174"/>
      <c r="L48" s="174"/>
      <c r="M48" s="175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179"/>
      <c r="Z48" s="177"/>
      <c r="AA48" s="177"/>
      <c r="AB48" s="177"/>
      <c r="AC48" s="178"/>
      <c r="AD48" s="184"/>
      <c r="AE48" s="184"/>
      <c r="AF48" s="184"/>
      <c r="AG48" s="184"/>
      <c r="AH48" s="185"/>
    </row>
    <row r="49" spans="1:34" ht="15" customHeight="1" thickBot="1">
      <c r="A49" s="2"/>
      <c r="B49" s="167"/>
      <c r="C49" s="168"/>
      <c r="D49" s="168"/>
      <c r="E49" s="168"/>
      <c r="F49" s="168"/>
      <c r="G49" s="169"/>
      <c r="H49" s="188"/>
      <c r="I49" s="189"/>
      <c r="J49" s="189"/>
      <c r="K49" s="189"/>
      <c r="L49" s="189"/>
      <c r="M49" s="190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179"/>
      <c r="Z49" s="177"/>
      <c r="AA49" s="177"/>
      <c r="AB49" s="177"/>
      <c r="AC49" s="178"/>
      <c r="AD49" s="184"/>
      <c r="AE49" s="184"/>
      <c r="AF49" s="184"/>
      <c r="AG49" s="184"/>
      <c r="AH49" s="185"/>
    </row>
    <row r="50" spans="1:34" ht="10.5" customHeight="1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180"/>
      <c r="Z50" s="181"/>
      <c r="AA50" s="181"/>
      <c r="AB50" s="181"/>
      <c r="AC50" s="182"/>
      <c r="AD50" s="186"/>
      <c r="AE50" s="186"/>
      <c r="AF50" s="186"/>
      <c r="AG50" s="186"/>
      <c r="AH50" s="187"/>
    </row>
    <row r="51" spans="1:34" s="13" customFormat="1" ht="22.5" customHeight="1" thickBot="1">
      <c r="A51" s="199" t="s">
        <v>76</v>
      </c>
      <c r="B51" s="200"/>
      <c r="C51" s="200"/>
      <c r="D51" s="200"/>
      <c r="E51" s="200" t="s">
        <v>52</v>
      </c>
      <c r="F51" s="200"/>
      <c r="G51" s="200"/>
      <c r="H51" s="200"/>
      <c r="I51" s="201"/>
      <c r="J51" s="202" t="s">
        <v>77</v>
      </c>
      <c r="K51" s="200"/>
      <c r="L51" s="200"/>
      <c r="M51" s="200"/>
      <c r="N51" s="200" t="s">
        <v>78</v>
      </c>
      <c r="O51" s="200"/>
      <c r="P51" s="200"/>
      <c r="Q51" s="201"/>
      <c r="R51" s="203"/>
      <c r="S51" s="204"/>
      <c r="T51" s="204"/>
      <c r="U51" s="204"/>
      <c r="V51" s="204"/>
      <c r="W51" s="204"/>
      <c r="X51" s="205"/>
      <c r="Y51" s="202" t="s">
        <v>79</v>
      </c>
      <c r="Z51" s="200"/>
      <c r="AA51" s="200"/>
      <c r="AB51" s="200"/>
      <c r="AC51" s="200"/>
      <c r="AD51" s="197">
        <v>41883</v>
      </c>
      <c r="AE51" s="197"/>
      <c r="AF51" s="197"/>
      <c r="AG51" s="197"/>
      <c r="AH51" s="198"/>
    </row>
    <row r="53" spans="1:34" ht="15.75" thickBot="1"/>
    <row r="54" spans="1:34" ht="27" customHeight="1">
      <c r="A54" s="45" t="s">
        <v>53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7"/>
      <c r="AD54" s="48" t="s">
        <v>54</v>
      </c>
      <c r="AE54" s="49"/>
      <c r="AF54" s="49"/>
      <c r="AG54" s="50" t="s">
        <v>2</v>
      </c>
      <c r="AH54" s="51"/>
    </row>
    <row r="55" spans="1:34" ht="19.5" customHeight="1">
      <c r="A55" s="52" t="s">
        <v>3</v>
      </c>
      <c r="B55" s="53"/>
      <c r="C55" s="53"/>
      <c r="D55" s="53"/>
      <c r="E55" s="53"/>
      <c r="F55" s="53"/>
      <c r="G55" s="54" t="s">
        <v>85</v>
      </c>
      <c r="H55" s="55"/>
      <c r="I55" s="55"/>
      <c r="J55" s="55"/>
      <c r="K55" s="55"/>
      <c r="L55" s="55"/>
      <c r="M55" s="55"/>
      <c r="N55" s="55"/>
      <c r="O55" s="55"/>
      <c r="P55" s="55"/>
      <c r="Q55" s="56"/>
      <c r="R55" s="28" t="s">
        <v>4</v>
      </c>
      <c r="S55" s="29"/>
      <c r="T55" s="29"/>
      <c r="U55" s="29"/>
      <c r="V55" s="29"/>
      <c r="W55" s="30"/>
      <c r="X55" s="31">
        <f>X2</f>
        <v>42886</v>
      </c>
      <c r="Y55" s="32"/>
      <c r="Z55" s="32"/>
      <c r="AA55" s="32"/>
      <c r="AB55" s="32"/>
      <c r="AC55" s="32"/>
      <c r="AD55" s="32"/>
      <c r="AE55" s="32"/>
      <c r="AF55" s="32"/>
      <c r="AG55" s="32"/>
      <c r="AH55" s="33"/>
    </row>
    <row r="56" spans="1:34" ht="19.5" customHeight="1">
      <c r="A56" s="34" t="s">
        <v>55</v>
      </c>
      <c r="B56" s="35"/>
      <c r="C56" s="35"/>
      <c r="D56" s="35"/>
      <c r="E56" s="35"/>
      <c r="F56" s="35"/>
      <c r="G56" s="25" t="s">
        <v>83</v>
      </c>
      <c r="H56" s="26"/>
      <c r="I56" s="26"/>
      <c r="J56" s="26"/>
      <c r="K56" s="26"/>
      <c r="L56" s="26"/>
      <c r="M56" s="26"/>
      <c r="N56" s="26"/>
      <c r="O56" s="26"/>
      <c r="P56" s="26"/>
      <c r="Q56" s="27"/>
      <c r="R56" s="28" t="s">
        <v>6</v>
      </c>
      <c r="S56" s="29"/>
      <c r="T56" s="29"/>
      <c r="U56" s="29"/>
      <c r="V56" s="29"/>
      <c r="W56" s="30"/>
      <c r="X56" s="31">
        <f>X3</f>
        <v>43251</v>
      </c>
      <c r="Y56" s="32"/>
      <c r="Z56" s="32"/>
      <c r="AA56" s="32"/>
      <c r="AB56" s="32"/>
      <c r="AC56" s="32"/>
      <c r="AD56" s="32"/>
      <c r="AE56" s="32"/>
      <c r="AF56" s="32"/>
      <c r="AG56" s="32"/>
      <c r="AH56" s="33"/>
    </row>
    <row r="57" spans="1:34" ht="19.5" customHeight="1">
      <c r="A57" s="34" t="s">
        <v>7</v>
      </c>
      <c r="B57" s="35"/>
      <c r="C57" s="35"/>
      <c r="D57" s="35"/>
      <c r="E57" s="35"/>
      <c r="F57" s="35"/>
      <c r="G57" s="36" t="s">
        <v>84</v>
      </c>
      <c r="H57" s="37"/>
      <c r="I57" s="37"/>
      <c r="J57" s="37"/>
      <c r="K57" s="37"/>
      <c r="L57" s="37"/>
      <c r="M57" s="37"/>
      <c r="N57" s="37"/>
      <c r="O57" s="37"/>
      <c r="P57" s="37"/>
      <c r="Q57" s="38"/>
      <c r="R57" s="39" t="s">
        <v>8</v>
      </c>
      <c r="S57" s="40"/>
      <c r="T57" s="40"/>
      <c r="U57" s="40"/>
      <c r="V57" s="40"/>
      <c r="W57" s="41"/>
      <c r="X57" s="42" t="s">
        <v>9</v>
      </c>
      <c r="Y57" s="43"/>
      <c r="Z57" s="43"/>
      <c r="AA57" s="43"/>
      <c r="AB57" s="43"/>
      <c r="AC57" s="43"/>
      <c r="AD57" s="43"/>
      <c r="AE57" s="43"/>
      <c r="AF57" s="43"/>
      <c r="AG57" s="43"/>
      <c r="AH57" s="44"/>
    </row>
    <row r="58" spans="1:34" ht="19.5" customHeight="1">
      <c r="A58" s="65" t="s">
        <v>10</v>
      </c>
      <c r="B58" s="66"/>
      <c r="C58" s="66"/>
      <c r="D58" s="66"/>
      <c r="E58" s="66"/>
      <c r="F58" s="67"/>
      <c r="G58" s="68" t="s">
        <v>94</v>
      </c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9" t="s">
        <v>11</v>
      </c>
      <c r="S58" s="69"/>
      <c r="T58" s="69"/>
      <c r="U58" s="69"/>
      <c r="V58" s="69"/>
      <c r="W58" s="69"/>
      <c r="X58" s="70" t="s">
        <v>12</v>
      </c>
      <c r="Y58" s="71"/>
      <c r="Z58" s="72">
        <f>Z5</f>
        <v>500</v>
      </c>
      <c r="AA58" s="73"/>
      <c r="AB58" s="73"/>
      <c r="AC58" s="73"/>
      <c r="AD58" s="74" t="s">
        <v>56</v>
      </c>
      <c r="AE58" s="74"/>
      <c r="AF58" s="74"/>
      <c r="AG58" s="74"/>
      <c r="AH58" s="75"/>
    </row>
    <row r="59" spans="1:34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4"/>
    </row>
    <row r="60" spans="1:34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4"/>
    </row>
    <row r="61" spans="1:34">
      <c r="A61" s="2"/>
      <c r="B61" s="7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4"/>
    </row>
    <row r="62" spans="1:34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4"/>
    </row>
    <row r="63" spans="1:34" ht="15" customHeight="1">
      <c r="A63" s="2"/>
      <c r="B63" s="213"/>
      <c r="C63" s="214"/>
      <c r="D63" s="214"/>
      <c r="E63" s="215"/>
      <c r="F63" s="138" t="s">
        <v>58</v>
      </c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3"/>
      <c r="T63" s="138" t="s">
        <v>20</v>
      </c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3"/>
      <c r="AH63" s="4"/>
    </row>
    <row r="64" spans="1:34" ht="39.75" customHeight="1">
      <c r="A64" s="2"/>
      <c r="B64" s="216"/>
      <c r="C64" s="217"/>
      <c r="D64" s="217"/>
      <c r="E64" s="218"/>
      <c r="F64" s="130" t="s">
        <v>45</v>
      </c>
      <c r="G64" s="131"/>
      <c r="H64" s="131"/>
      <c r="I64" s="131"/>
      <c r="J64" s="131"/>
      <c r="K64" s="219" t="s">
        <v>59</v>
      </c>
      <c r="L64" s="220"/>
      <c r="M64" s="220"/>
      <c r="N64" s="220"/>
      <c r="O64" s="221" t="s">
        <v>60</v>
      </c>
      <c r="P64" s="131"/>
      <c r="Q64" s="131"/>
      <c r="R64" s="131"/>
      <c r="S64" s="132"/>
      <c r="T64" s="130" t="s">
        <v>45</v>
      </c>
      <c r="U64" s="131"/>
      <c r="V64" s="131"/>
      <c r="W64" s="131"/>
      <c r="X64" s="131"/>
      <c r="Y64" s="219" t="s">
        <v>59</v>
      </c>
      <c r="Z64" s="220"/>
      <c r="AA64" s="220"/>
      <c r="AB64" s="220"/>
      <c r="AC64" s="221" t="s">
        <v>60</v>
      </c>
      <c r="AD64" s="131"/>
      <c r="AE64" s="131"/>
      <c r="AF64" s="131"/>
      <c r="AG64" s="132"/>
      <c r="AH64" s="4"/>
    </row>
    <row r="65" spans="1:34" ht="15" customHeight="1">
      <c r="A65" s="2"/>
      <c r="B65" s="216"/>
      <c r="C65" s="217"/>
      <c r="D65" s="217"/>
      <c r="E65" s="218"/>
      <c r="F65" s="130" t="s">
        <v>61</v>
      </c>
      <c r="G65" s="131"/>
      <c r="H65" s="131"/>
      <c r="I65" s="131"/>
      <c r="J65" s="131"/>
      <c r="K65" s="131" t="s">
        <v>62</v>
      </c>
      <c r="L65" s="131"/>
      <c r="M65" s="131"/>
      <c r="N65" s="131"/>
      <c r="O65" s="131" t="s">
        <v>63</v>
      </c>
      <c r="P65" s="131"/>
      <c r="Q65" s="131"/>
      <c r="R65" s="131"/>
      <c r="S65" s="132"/>
      <c r="T65" s="130" t="s">
        <v>64</v>
      </c>
      <c r="U65" s="131"/>
      <c r="V65" s="131"/>
      <c r="W65" s="131"/>
      <c r="X65" s="131"/>
      <c r="Y65" s="131" t="s">
        <v>65</v>
      </c>
      <c r="Z65" s="131"/>
      <c r="AA65" s="131"/>
      <c r="AB65" s="131"/>
      <c r="AC65" s="131" t="s">
        <v>66</v>
      </c>
      <c r="AD65" s="131"/>
      <c r="AE65" s="131"/>
      <c r="AF65" s="131"/>
      <c r="AG65" s="132"/>
      <c r="AH65" s="4"/>
    </row>
    <row r="66" spans="1:34" ht="15" customHeight="1">
      <c r="A66" s="2"/>
      <c r="B66" s="206"/>
      <c r="C66" s="207"/>
      <c r="D66" s="208" t="s">
        <v>67</v>
      </c>
      <c r="E66" s="209"/>
      <c r="F66" s="210"/>
      <c r="G66" s="211"/>
      <c r="H66" s="211"/>
      <c r="I66" s="211"/>
      <c r="J66" s="211"/>
      <c r="K66" s="211"/>
      <c r="L66" s="211"/>
      <c r="M66" s="211"/>
      <c r="N66" s="211"/>
      <c r="O66" s="211" t="s">
        <v>32</v>
      </c>
      <c r="P66" s="211"/>
      <c r="Q66" s="211"/>
      <c r="R66" s="211"/>
      <c r="S66" s="212"/>
      <c r="T66" s="210"/>
      <c r="U66" s="211"/>
      <c r="V66" s="211"/>
      <c r="W66" s="211"/>
      <c r="X66" s="211"/>
      <c r="Y66" s="211"/>
      <c r="Z66" s="211"/>
      <c r="AA66" s="211"/>
      <c r="AB66" s="211"/>
      <c r="AC66" s="211" t="s">
        <v>32</v>
      </c>
      <c r="AD66" s="211"/>
      <c r="AE66" s="211"/>
      <c r="AF66" s="211"/>
      <c r="AG66" s="212"/>
      <c r="AH66" s="4"/>
    </row>
    <row r="67" spans="1:34" ht="21" customHeight="1">
      <c r="A67" s="2"/>
      <c r="B67" s="124" t="s">
        <v>68</v>
      </c>
      <c r="C67" s="125"/>
      <c r="D67" s="125"/>
      <c r="E67" s="126"/>
      <c r="F67" s="275">
        <v>0.3</v>
      </c>
      <c r="G67" s="276"/>
      <c r="H67" s="276"/>
      <c r="I67" s="276"/>
      <c r="J67" s="277"/>
      <c r="K67" s="316">
        <f>F67-$F$70</f>
        <v>-3.0000000000000027E-2</v>
      </c>
      <c r="L67" s="316"/>
      <c r="M67" s="316"/>
      <c r="N67" s="317"/>
      <c r="O67" s="225">
        <f>K67/$Z$58*100</f>
        <v>-6.0000000000000053E-3</v>
      </c>
      <c r="P67" s="225"/>
      <c r="Q67" s="225"/>
      <c r="R67" s="225"/>
      <c r="S67" s="227"/>
      <c r="T67" s="278">
        <v>442</v>
      </c>
      <c r="U67" s="279"/>
      <c r="V67" s="279"/>
      <c r="W67" s="279"/>
      <c r="X67" s="280"/>
      <c r="Y67" s="279">
        <f>T67-$T$70</f>
        <v>-2.9999999999972715E-2</v>
      </c>
      <c r="Z67" s="279"/>
      <c r="AA67" s="279"/>
      <c r="AB67" s="279"/>
      <c r="AC67" s="231">
        <f>Y67/$Z$58*100</f>
        <v>-5.9999999999945436E-3</v>
      </c>
      <c r="AD67" s="231"/>
      <c r="AE67" s="231"/>
      <c r="AF67" s="231"/>
      <c r="AG67" s="232"/>
      <c r="AH67" s="4"/>
    </row>
    <row r="68" spans="1:34" ht="21" customHeight="1">
      <c r="A68" s="2"/>
      <c r="B68" s="124" t="s">
        <v>69</v>
      </c>
      <c r="C68" s="125"/>
      <c r="D68" s="125"/>
      <c r="E68" s="126"/>
      <c r="F68" s="284">
        <v>0.2</v>
      </c>
      <c r="G68" s="285"/>
      <c r="H68" s="285"/>
      <c r="I68" s="285"/>
      <c r="J68" s="286"/>
      <c r="K68" s="288">
        <f>F68-$F$70</f>
        <v>-0.13</v>
      </c>
      <c r="L68" s="288"/>
      <c r="M68" s="288"/>
      <c r="N68" s="288"/>
      <c r="O68" s="231">
        <f>K68/$Z$58*100</f>
        <v>-2.6000000000000002E-2</v>
      </c>
      <c r="P68" s="231"/>
      <c r="Q68" s="231"/>
      <c r="R68" s="231"/>
      <c r="S68" s="232"/>
      <c r="T68" s="287">
        <v>442.1</v>
      </c>
      <c r="U68" s="288"/>
      <c r="V68" s="288"/>
      <c r="W68" s="288"/>
      <c r="X68" s="289"/>
      <c r="Y68" s="288">
        <f>T68-$T$70</f>
        <v>7.0000000000050022E-2</v>
      </c>
      <c r="Z68" s="288"/>
      <c r="AA68" s="288"/>
      <c r="AB68" s="288"/>
      <c r="AC68" s="231">
        <f>Y68/$Z$58*100</f>
        <v>1.4000000000010003E-2</v>
      </c>
      <c r="AD68" s="231"/>
      <c r="AE68" s="231"/>
      <c r="AF68" s="231"/>
      <c r="AG68" s="232"/>
      <c r="AH68" s="4"/>
    </row>
    <row r="69" spans="1:34" ht="21" customHeight="1">
      <c r="A69" s="2"/>
      <c r="B69" s="124" t="s">
        <v>70</v>
      </c>
      <c r="C69" s="125"/>
      <c r="D69" s="125"/>
      <c r="E69" s="126"/>
      <c r="F69" s="281">
        <v>0.5</v>
      </c>
      <c r="G69" s="282"/>
      <c r="H69" s="282"/>
      <c r="I69" s="282"/>
      <c r="J69" s="283"/>
      <c r="K69" s="318">
        <f>F69-$F$70</f>
        <v>0.16999999999999998</v>
      </c>
      <c r="L69" s="318"/>
      <c r="M69" s="318"/>
      <c r="N69" s="319"/>
      <c r="O69" s="238">
        <f>K69/$Z$58*100</f>
        <v>3.3999999999999996E-2</v>
      </c>
      <c r="P69" s="238"/>
      <c r="Q69" s="238"/>
      <c r="R69" s="238"/>
      <c r="S69" s="239"/>
      <c r="T69" s="281">
        <v>442</v>
      </c>
      <c r="U69" s="282"/>
      <c r="V69" s="282"/>
      <c r="W69" s="282"/>
      <c r="X69" s="282"/>
      <c r="Y69" s="320">
        <f>T69-$T$70</f>
        <v>-2.9999999999972715E-2</v>
      </c>
      <c r="Z69" s="320"/>
      <c r="AA69" s="320"/>
      <c r="AB69" s="320"/>
      <c r="AC69" s="231">
        <f>Y69/$Z$58*100</f>
        <v>-5.9999999999945436E-3</v>
      </c>
      <c r="AD69" s="231"/>
      <c r="AE69" s="231"/>
      <c r="AF69" s="231"/>
      <c r="AG69" s="232"/>
      <c r="AH69" s="4"/>
    </row>
    <row r="70" spans="1:34" ht="21" customHeight="1">
      <c r="A70" s="2"/>
      <c r="B70" s="249" t="s">
        <v>71</v>
      </c>
      <c r="C70" s="137"/>
      <c r="D70" s="137"/>
      <c r="E70" s="103"/>
      <c r="F70" s="275">
        <f>ROUND(AVERAGE(F67:J69),2)</f>
        <v>0.33</v>
      </c>
      <c r="G70" s="276"/>
      <c r="H70" s="276"/>
      <c r="I70" s="276"/>
      <c r="J70" s="277"/>
      <c r="K70" s="250" t="s">
        <v>72</v>
      </c>
      <c r="L70" s="251"/>
      <c r="M70" s="251"/>
      <c r="N70" s="252"/>
      <c r="O70" s="253">
        <f>ROUND(AVERAGE(O67:S69),2)</f>
        <v>0</v>
      </c>
      <c r="P70" s="254"/>
      <c r="Q70" s="254"/>
      <c r="R70" s="254"/>
      <c r="S70" s="255"/>
      <c r="T70" s="270">
        <f>ROUND(AVERAGE(T67:X69),2)</f>
        <v>442.03</v>
      </c>
      <c r="U70" s="271"/>
      <c r="V70" s="271"/>
      <c r="W70" s="271"/>
      <c r="X70" s="271"/>
      <c r="Y70" s="250" t="s">
        <v>72</v>
      </c>
      <c r="Z70" s="251"/>
      <c r="AA70" s="251"/>
      <c r="AB70" s="252"/>
      <c r="AC70" s="112">
        <f>ROUND(AVERAGE(AC67:AG69),2)</f>
        <v>0</v>
      </c>
      <c r="AD70" s="112"/>
      <c r="AE70" s="112"/>
      <c r="AF70" s="112"/>
      <c r="AG70" s="113"/>
      <c r="AH70" s="4"/>
    </row>
    <row r="71" spans="1:34" ht="27" customHeight="1">
      <c r="A71" s="2"/>
      <c r="B71" s="136" t="s">
        <v>36</v>
      </c>
      <c r="C71" s="137"/>
      <c r="D71" s="137"/>
      <c r="E71" s="103"/>
      <c r="F71" s="12"/>
      <c r="G71" s="137" t="s">
        <v>37</v>
      </c>
      <c r="H71" s="137"/>
      <c r="I71" s="137"/>
      <c r="J71" s="137"/>
      <c r="K71" s="137" t="s">
        <v>38</v>
      </c>
      <c r="L71" s="137"/>
      <c r="M71" s="137"/>
      <c r="N71" s="137"/>
      <c r="O71" s="246" t="s">
        <v>39</v>
      </c>
      <c r="P71" s="247"/>
      <c r="Q71" s="247"/>
      <c r="R71" s="247"/>
      <c r="S71" s="248"/>
      <c r="T71" s="89" t="s">
        <v>73</v>
      </c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4"/>
    </row>
    <row r="72" spans="1:34">
      <c r="A72" s="2"/>
      <c r="B72" s="150" t="s">
        <v>41</v>
      </c>
      <c r="C72" s="150"/>
      <c r="D72" s="150"/>
      <c r="E72" s="15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4"/>
    </row>
    <row r="73" spans="1:34">
      <c r="A73" s="2"/>
      <c r="B73" s="150"/>
      <c r="C73" s="150"/>
      <c r="D73" s="150"/>
      <c r="E73" s="15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4"/>
    </row>
    <row r="74" spans="1:34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4"/>
    </row>
    <row r="75" spans="1:34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4"/>
    </row>
    <row r="76" spans="1:34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4"/>
    </row>
    <row r="77" spans="1:34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4"/>
    </row>
    <row r="78" spans="1:34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4"/>
    </row>
    <row r="79" spans="1:34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4"/>
    </row>
    <row r="80" spans="1:34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4"/>
    </row>
    <row r="81" spans="1:34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4"/>
    </row>
    <row r="82" spans="1:34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4"/>
    </row>
    <row r="83" spans="1:34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4"/>
    </row>
    <row r="84" spans="1:34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4"/>
    </row>
    <row r="85" spans="1:34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4"/>
    </row>
    <row r="86" spans="1:34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4"/>
    </row>
    <row r="87" spans="1:34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4"/>
    </row>
    <row r="88" spans="1:34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4"/>
    </row>
    <row r="89" spans="1:34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4"/>
    </row>
    <row r="90" spans="1:34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4"/>
    </row>
    <row r="91" spans="1:34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4"/>
    </row>
    <row r="92" spans="1:34" ht="4.5" customHeight="1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4"/>
    </row>
    <row r="93" spans="1:34" ht="15.75" thickBot="1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4"/>
    </row>
    <row r="94" spans="1:34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151" t="s">
        <v>49</v>
      </c>
      <c r="Z94" s="152"/>
      <c r="AA94" s="152"/>
      <c r="AB94" s="152"/>
      <c r="AC94" s="153"/>
      <c r="AD94" s="157" t="s">
        <v>50</v>
      </c>
      <c r="AE94" s="157"/>
      <c r="AF94" s="157"/>
      <c r="AG94" s="157"/>
      <c r="AH94" s="158"/>
    </row>
    <row r="95" spans="1:34" ht="15.75" thickBot="1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154"/>
      <c r="Z95" s="155"/>
      <c r="AA95" s="155"/>
      <c r="AB95" s="155"/>
      <c r="AC95" s="156"/>
      <c r="AD95" s="159"/>
      <c r="AE95" s="159"/>
      <c r="AF95" s="159"/>
      <c r="AG95" s="159"/>
      <c r="AH95" s="160"/>
    </row>
    <row r="96" spans="1:34" ht="15" customHeight="1">
      <c r="A96" s="2"/>
      <c r="B96" s="161" t="s">
        <v>51</v>
      </c>
      <c r="C96" s="171"/>
      <c r="D96" s="171"/>
      <c r="E96" s="171"/>
      <c r="F96" s="171"/>
      <c r="G96" s="171"/>
      <c r="H96" s="170" t="s">
        <v>37</v>
      </c>
      <c r="I96" s="171"/>
      <c r="J96" s="171"/>
      <c r="K96" s="171"/>
      <c r="L96" s="171"/>
      <c r="M96" s="172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176"/>
      <c r="Z96" s="177"/>
      <c r="AA96" s="177"/>
      <c r="AB96" s="177"/>
      <c r="AC96" s="178"/>
      <c r="AD96" s="183"/>
      <c r="AE96" s="184"/>
      <c r="AF96" s="184"/>
      <c r="AG96" s="184"/>
      <c r="AH96" s="185"/>
    </row>
    <row r="97" spans="1:34" ht="15" customHeight="1">
      <c r="A97" s="2"/>
      <c r="B97" s="173"/>
      <c r="C97" s="174"/>
      <c r="D97" s="174"/>
      <c r="E97" s="174"/>
      <c r="F97" s="174"/>
      <c r="G97" s="174"/>
      <c r="H97" s="173"/>
      <c r="I97" s="174"/>
      <c r="J97" s="174"/>
      <c r="K97" s="174"/>
      <c r="L97" s="174"/>
      <c r="M97" s="175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179"/>
      <c r="Z97" s="177"/>
      <c r="AA97" s="177"/>
      <c r="AB97" s="177"/>
      <c r="AC97" s="178"/>
      <c r="AD97" s="184"/>
      <c r="AE97" s="184"/>
      <c r="AF97" s="184"/>
      <c r="AG97" s="184"/>
      <c r="AH97" s="185"/>
    </row>
    <row r="98" spans="1:34" ht="15" customHeight="1">
      <c r="A98" s="2"/>
      <c r="B98" s="173"/>
      <c r="C98" s="174"/>
      <c r="D98" s="174"/>
      <c r="E98" s="174"/>
      <c r="F98" s="174"/>
      <c r="G98" s="174"/>
      <c r="H98" s="173" t="s">
        <v>38</v>
      </c>
      <c r="I98" s="174"/>
      <c r="J98" s="174"/>
      <c r="K98" s="174"/>
      <c r="L98" s="174"/>
      <c r="M98" s="175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179"/>
      <c r="Z98" s="177"/>
      <c r="AA98" s="177"/>
      <c r="AB98" s="177"/>
      <c r="AC98" s="178"/>
      <c r="AD98" s="184"/>
      <c r="AE98" s="184"/>
      <c r="AF98" s="184"/>
      <c r="AG98" s="184"/>
      <c r="AH98" s="185"/>
    </row>
    <row r="99" spans="1:34" ht="15.75" customHeight="1" thickBot="1">
      <c r="A99" s="2"/>
      <c r="B99" s="188"/>
      <c r="C99" s="189"/>
      <c r="D99" s="189"/>
      <c r="E99" s="189"/>
      <c r="F99" s="189"/>
      <c r="G99" s="189"/>
      <c r="H99" s="188"/>
      <c r="I99" s="189"/>
      <c r="J99" s="189"/>
      <c r="K99" s="189"/>
      <c r="L99" s="189"/>
      <c r="M99" s="190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179"/>
      <c r="Z99" s="177"/>
      <c r="AA99" s="177"/>
      <c r="AB99" s="177"/>
      <c r="AC99" s="178"/>
      <c r="AD99" s="184"/>
      <c r="AE99" s="184"/>
      <c r="AF99" s="184"/>
      <c r="AG99" s="184"/>
      <c r="AH99" s="185"/>
    </row>
    <row r="100" spans="1:34" ht="9" customHeight="1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180"/>
      <c r="Z100" s="181"/>
      <c r="AA100" s="181"/>
      <c r="AB100" s="181"/>
      <c r="AC100" s="182"/>
      <c r="AD100" s="186"/>
      <c r="AE100" s="186"/>
      <c r="AF100" s="186"/>
      <c r="AG100" s="186"/>
      <c r="AH100" s="187"/>
    </row>
    <row r="101" spans="1:34" s="13" customFormat="1" ht="22.5" customHeight="1" thickBot="1">
      <c r="A101" s="199" t="s">
        <v>76</v>
      </c>
      <c r="B101" s="200"/>
      <c r="C101" s="200"/>
      <c r="D101" s="200"/>
      <c r="E101" s="200" t="s">
        <v>52</v>
      </c>
      <c r="F101" s="200"/>
      <c r="G101" s="200"/>
      <c r="H101" s="200"/>
      <c r="I101" s="201"/>
      <c r="J101" s="202" t="s">
        <v>77</v>
      </c>
      <c r="K101" s="200"/>
      <c r="L101" s="200"/>
      <c r="M101" s="200"/>
      <c r="N101" s="200" t="s">
        <v>78</v>
      </c>
      <c r="O101" s="200"/>
      <c r="P101" s="200"/>
      <c r="Q101" s="201"/>
      <c r="R101" s="203"/>
      <c r="S101" s="204"/>
      <c r="T101" s="204"/>
      <c r="U101" s="204"/>
      <c r="V101" s="204"/>
      <c r="W101" s="204"/>
      <c r="X101" s="205"/>
      <c r="Y101" s="202" t="s">
        <v>79</v>
      </c>
      <c r="Z101" s="200"/>
      <c r="AA101" s="200"/>
      <c r="AB101" s="200"/>
      <c r="AC101" s="200"/>
      <c r="AD101" s="197">
        <v>41883</v>
      </c>
      <c r="AE101" s="197"/>
      <c r="AF101" s="197"/>
      <c r="AG101" s="197"/>
      <c r="AH101" s="198"/>
    </row>
  </sheetData>
  <mergeCells count="208">
    <mergeCell ref="A3:F3"/>
    <mergeCell ref="G3:Q3"/>
    <mergeCell ref="R3:W3"/>
    <mergeCell ref="X3:AH3"/>
    <mergeCell ref="A4:F4"/>
    <mergeCell ref="G4:Q4"/>
    <mergeCell ref="R4:W4"/>
    <mergeCell ref="X4:AH4"/>
    <mergeCell ref="A1:AC1"/>
    <mergeCell ref="AD1:AF1"/>
    <mergeCell ref="AG1:AH1"/>
    <mergeCell ref="A2:F2"/>
    <mergeCell ref="G2:Q2"/>
    <mergeCell ref="R2:W2"/>
    <mergeCell ref="X2:AH2"/>
    <mergeCell ref="B7:AG7"/>
    <mergeCell ref="B8:H8"/>
    <mergeCell ref="I8:N8"/>
    <mergeCell ref="O8:U8"/>
    <mergeCell ref="V8:AA8"/>
    <mergeCell ref="AB8:AG8"/>
    <mergeCell ref="A5:F5"/>
    <mergeCell ref="G5:Q5"/>
    <mergeCell ref="R5:W5"/>
    <mergeCell ref="X5:Y5"/>
    <mergeCell ref="Z5:AC5"/>
    <mergeCell ref="AD5:AH5"/>
    <mergeCell ref="B9:H9"/>
    <mergeCell ref="I9:N9"/>
    <mergeCell ref="O9:U9"/>
    <mergeCell ref="V9:AA9"/>
    <mergeCell ref="AB9:AG9"/>
    <mergeCell ref="B10:H10"/>
    <mergeCell ref="I10:N10"/>
    <mergeCell ref="O10:U10"/>
    <mergeCell ref="V10:AA10"/>
    <mergeCell ref="AB10:AG10"/>
    <mergeCell ref="F14:K14"/>
    <mergeCell ref="L14:S14"/>
    <mergeCell ref="T14:Y14"/>
    <mergeCell ref="Z14:AG14"/>
    <mergeCell ref="B15:K15"/>
    <mergeCell ref="L15:S15"/>
    <mergeCell ref="B11:H11"/>
    <mergeCell ref="I11:N11"/>
    <mergeCell ref="O11:U11"/>
    <mergeCell ref="V11:AA11"/>
    <mergeCell ref="AB11:AG11"/>
    <mergeCell ref="B13:E14"/>
    <mergeCell ref="F13:K13"/>
    <mergeCell ref="L13:S13"/>
    <mergeCell ref="T13:Y13"/>
    <mergeCell ref="Z13:AG13"/>
    <mergeCell ref="B22:K22"/>
    <mergeCell ref="L22:U22"/>
    <mergeCell ref="V22:AE22"/>
    <mergeCell ref="B23:K23"/>
    <mergeCell ref="L23:U23"/>
    <mergeCell ref="V23:AC23"/>
    <mergeCell ref="AD23:AE23"/>
    <mergeCell ref="B19:K19"/>
    <mergeCell ref="L19:U19"/>
    <mergeCell ref="B20:U20"/>
    <mergeCell ref="V20:AE21"/>
    <mergeCell ref="B21:K21"/>
    <mergeCell ref="L21:U21"/>
    <mergeCell ref="B28:K28"/>
    <mergeCell ref="L28:U28"/>
    <mergeCell ref="V28:AE28"/>
    <mergeCell ref="B29:K29"/>
    <mergeCell ref="L29:U29"/>
    <mergeCell ref="V29:AC29"/>
    <mergeCell ref="AD29:AE29"/>
    <mergeCell ref="B25:K25"/>
    <mergeCell ref="L25:U25"/>
    <mergeCell ref="B26:U26"/>
    <mergeCell ref="V26:AE27"/>
    <mergeCell ref="B27:K27"/>
    <mergeCell ref="L27:U27"/>
    <mergeCell ref="B37:U37"/>
    <mergeCell ref="V37:AE38"/>
    <mergeCell ref="B38:K38"/>
    <mergeCell ref="L38:U38"/>
    <mergeCell ref="B39:K39"/>
    <mergeCell ref="L39:U39"/>
    <mergeCell ref="V39:AE39"/>
    <mergeCell ref="B31:F31"/>
    <mergeCell ref="H31:K31"/>
    <mergeCell ref="L31:O31"/>
    <mergeCell ref="Q31:U31"/>
    <mergeCell ref="V31:AE31"/>
    <mergeCell ref="C32:F33"/>
    <mergeCell ref="B42:E43"/>
    <mergeCell ref="Y44:AC45"/>
    <mergeCell ref="AD44:AH45"/>
    <mergeCell ref="B46:G49"/>
    <mergeCell ref="H46:M47"/>
    <mergeCell ref="Y46:AC50"/>
    <mergeCell ref="AD46:AH50"/>
    <mergeCell ref="H48:M49"/>
    <mergeCell ref="B40:K40"/>
    <mergeCell ref="L40:U40"/>
    <mergeCell ref="V40:AC40"/>
    <mergeCell ref="AD40:AE40"/>
    <mergeCell ref="B41:F41"/>
    <mergeCell ref="H41:K41"/>
    <mergeCell ref="L41:O41"/>
    <mergeCell ref="Q41:U41"/>
    <mergeCell ref="V41:AE41"/>
    <mergeCell ref="AD51:AH51"/>
    <mergeCell ref="A54:AC54"/>
    <mergeCell ref="AD54:AF54"/>
    <mergeCell ref="AG54:AH54"/>
    <mergeCell ref="A55:F55"/>
    <mergeCell ref="G55:Q55"/>
    <mergeCell ref="R55:W55"/>
    <mergeCell ref="X55:AH55"/>
    <mergeCell ref="A51:D51"/>
    <mergeCell ref="E51:I51"/>
    <mergeCell ref="J51:M51"/>
    <mergeCell ref="N51:Q51"/>
    <mergeCell ref="R51:X51"/>
    <mergeCell ref="Y51:AC51"/>
    <mergeCell ref="A58:F58"/>
    <mergeCell ref="G58:Q58"/>
    <mergeCell ref="R58:W58"/>
    <mergeCell ref="X58:Y58"/>
    <mergeCell ref="Z58:AC58"/>
    <mergeCell ref="AD58:AH58"/>
    <mergeCell ref="A56:F56"/>
    <mergeCell ref="G56:Q56"/>
    <mergeCell ref="R56:W56"/>
    <mergeCell ref="X56:AH56"/>
    <mergeCell ref="A57:F57"/>
    <mergeCell ref="G57:Q57"/>
    <mergeCell ref="R57:W57"/>
    <mergeCell ref="X57:AH57"/>
    <mergeCell ref="K65:N65"/>
    <mergeCell ref="O65:S65"/>
    <mergeCell ref="T65:X65"/>
    <mergeCell ref="Y65:AB65"/>
    <mergeCell ref="AC65:AG65"/>
    <mergeCell ref="B66:C66"/>
    <mergeCell ref="D66:E66"/>
    <mergeCell ref="F66:J66"/>
    <mergeCell ref="K66:N66"/>
    <mergeCell ref="O66:S66"/>
    <mergeCell ref="B63:E65"/>
    <mergeCell ref="F63:S63"/>
    <mergeCell ref="T63:AG63"/>
    <mergeCell ref="F64:J64"/>
    <mergeCell ref="K64:N64"/>
    <mergeCell ref="O64:S64"/>
    <mergeCell ref="T64:X64"/>
    <mergeCell ref="Y64:AB64"/>
    <mergeCell ref="AC64:AG64"/>
    <mergeCell ref="F65:J65"/>
    <mergeCell ref="T66:X66"/>
    <mergeCell ref="Y66:AB66"/>
    <mergeCell ref="AC66:AG66"/>
    <mergeCell ref="B67:E67"/>
    <mergeCell ref="F67:J67"/>
    <mergeCell ref="K67:N67"/>
    <mergeCell ref="O67:S67"/>
    <mergeCell ref="T67:X67"/>
    <mergeCell ref="Y67:AB67"/>
    <mergeCell ref="AC67:AG67"/>
    <mergeCell ref="AC68:AG68"/>
    <mergeCell ref="B69:E69"/>
    <mergeCell ref="F69:J69"/>
    <mergeCell ref="K69:N69"/>
    <mergeCell ref="O69:S69"/>
    <mergeCell ref="T69:X69"/>
    <mergeCell ref="Y69:AB69"/>
    <mergeCell ref="AC69:AG69"/>
    <mergeCell ref="B68:E68"/>
    <mergeCell ref="F68:J68"/>
    <mergeCell ref="K68:N68"/>
    <mergeCell ref="O68:S68"/>
    <mergeCell ref="T68:X68"/>
    <mergeCell ref="Y68:AB68"/>
    <mergeCell ref="AC70:AG70"/>
    <mergeCell ref="B71:E71"/>
    <mergeCell ref="G71:J71"/>
    <mergeCell ref="K71:N71"/>
    <mergeCell ref="O71:S71"/>
    <mergeCell ref="T71:AG71"/>
    <mergeCell ref="B70:E70"/>
    <mergeCell ref="F70:J70"/>
    <mergeCell ref="K70:N70"/>
    <mergeCell ref="O70:S70"/>
    <mergeCell ref="T70:X70"/>
    <mergeCell ref="Y70:AB70"/>
    <mergeCell ref="AD101:AH101"/>
    <mergeCell ref="A101:D101"/>
    <mergeCell ref="E101:I101"/>
    <mergeCell ref="J101:M101"/>
    <mergeCell ref="N101:Q101"/>
    <mergeCell ref="R101:X101"/>
    <mergeCell ref="Y101:AC101"/>
    <mergeCell ref="B72:E73"/>
    <mergeCell ref="Y94:AC95"/>
    <mergeCell ref="AD94:AH95"/>
    <mergeCell ref="B96:G99"/>
    <mergeCell ref="H96:M97"/>
    <mergeCell ref="Y96:AC100"/>
    <mergeCell ref="AD96:AH100"/>
    <mergeCell ref="H98:M99"/>
  </mergeCells>
  <pageMargins left="0.47244094488188981" right="0.37" top="0.4" bottom="0.19685039370078741" header="0.35433070866141736" footer="0.11811023622047245"/>
  <pageSetup paperSize="9" scale="94" firstPageNumber="4294963191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15361" r:id="rId4">
          <objectPr defaultSize="0" autoPict="0" r:id="rId5">
            <anchor moveWithCells="1">
              <from>
                <xdr:col>6</xdr:col>
                <xdr:colOff>142875</xdr:colOff>
                <xdr:row>31</xdr:row>
                <xdr:rowOff>38100</xdr:rowOff>
              </from>
              <to>
                <xdr:col>9</xdr:col>
                <xdr:colOff>19050</xdr:colOff>
                <xdr:row>32</xdr:row>
                <xdr:rowOff>152400</xdr:rowOff>
              </to>
            </anchor>
          </objectPr>
        </oleObject>
      </mc:Choice>
      <mc:Fallback>
        <oleObject progId="Equation.3" shapeId="15361" r:id="rId4"/>
      </mc:Fallback>
    </mc:AlternateContent>
    <mc:AlternateContent xmlns:mc="http://schemas.openxmlformats.org/markup-compatibility/2006">
      <mc:Choice Requires="x14">
        <oleObject progId="Equation.3" shapeId="15362" r:id="rId6">
          <objectPr defaultSize="0" autoPict="0" r:id="rId7">
            <anchor moveWithCells="1">
              <from>
                <xdr:col>6</xdr:col>
                <xdr:colOff>95250</xdr:colOff>
                <xdr:row>41</xdr:row>
                <xdr:rowOff>180975</xdr:rowOff>
              </from>
              <to>
                <xdr:col>9</xdr:col>
                <xdr:colOff>123825</xdr:colOff>
                <xdr:row>43</xdr:row>
                <xdr:rowOff>104775</xdr:rowOff>
              </to>
            </anchor>
          </objectPr>
        </oleObject>
      </mc:Choice>
      <mc:Fallback>
        <oleObject progId="Equation.3" shapeId="15362" r:id="rId6"/>
      </mc:Fallback>
    </mc:AlternateContent>
    <mc:AlternateContent xmlns:mc="http://schemas.openxmlformats.org/markup-compatibility/2006">
      <mc:Choice Requires="x14">
        <oleObject progId="Equation.3" shapeId="15363" r:id="rId8">
          <objectPr defaultSize="0" autoPict="0" r:id="rId9">
            <anchor moveWithCells="1">
              <from>
                <xdr:col>5</xdr:col>
                <xdr:colOff>0</xdr:colOff>
                <xdr:row>72</xdr:row>
                <xdr:rowOff>85725</xdr:rowOff>
              </from>
              <to>
                <xdr:col>7</xdr:col>
                <xdr:colOff>114300</xdr:colOff>
                <xdr:row>74</xdr:row>
                <xdr:rowOff>19050</xdr:rowOff>
              </to>
            </anchor>
          </objectPr>
        </oleObject>
      </mc:Choice>
      <mc:Fallback>
        <oleObject progId="Equation.3" shapeId="15363" r:id="rId8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101"/>
  <sheetViews>
    <sheetView zoomScale="130" zoomScaleNormal="130" workbookViewId="0">
      <selection activeCell="K67" sqref="K67:N67"/>
    </sheetView>
  </sheetViews>
  <sheetFormatPr defaultColWidth="2.5" defaultRowHeight="15"/>
  <cols>
    <col min="1" max="16384" width="2.5" style="1"/>
  </cols>
  <sheetData>
    <row r="1" spans="1:34" ht="27" customHeight="1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7"/>
      <c r="AD1" s="48" t="s">
        <v>1</v>
      </c>
      <c r="AE1" s="49"/>
      <c r="AF1" s="49"/>
      <c r="AG1" s="50" t="s">
        <v>2</v>
      </c>
      <c r="AH1" s="51"/>
    </row>
    <row r="2" spans="1:34" ht="19.5" customHeight="1">
      <c r="A2" s="52" t="s">
        <v>3</v>
      </c>
      <c r="B2" s="53"/>
      <c r="C2" s="53"/>
      <c r="D2" s="53"/>
      <c r="E2" s="53"/>
      <c r="F2" s="53"/>
      <c r="G2" s="54" t="s">
        <v>85</v>
      </c>
      <c r="H2" s="55"/>
      <c r="I2" s="55"/>
      <c r="J2" s="55"/>
      <c r="K2" s="55"/>
      <c r="L2" s="55"/>
      <c r="M2" s="55"/>
      <c r="N2" s="55"/>
      <c r="O2" s="55"/>
      <c r="P2" s="55"/>
      <c r="Q2" s="56"/>
      <c r="R2" s="28" t="s">
        <v>4</v>
      </c>
      <c r="S2" s="29"/>
      <c r="T2" s="29"/>
      <c r="U2" s="29"/>
      <c r="V2" s="29"/>
      <c r="W2" s="30"/>
      <c r="X2" s="31">
        <v>42886</v>
      </c>
      <c r="Y2" s="32"/>
      <c r="Z2" s="32"/>
      <c r="AA2" s="32"/>
      <c r="AB2" s="32"/>
      <c r="AC2" s="32"/>
      <c r="AD2" s="32"/>
      <c r="AE2" s="32"/>
      <c r="AF2" s="32"/>
      <c r="AG2" s="32"/>
      <c r="AH2" s="33"/>
    </row>
    <row r="3" spans="1:34" ht="19.5" customHeight="1">
      <c r="A3" s="23" t="s">
        <v>5</v>
      </c>
      <c r="B3" s="24"/>
      <c r="C3" s="24"/>
      <c r="D3" s="24"/>
      <c r="E3" s="24"/>
      <c r="F3" s="24"/>
      <c r="G3" s="25" t="s">
        <v>83</v>
      </c>
      <c r="H3" s="26"/>
      <c r="I3" s="26"/>
      <c r="J3" s="26"/>
      <c r="K3" s="26"/>
      <c r="L3" s="26"/>
      <c r="M3" s="26"/>
      <c r="N3" s="26"/>
      <c r="O3" s="26"/>
      <c r="P3" s="26"/>
      <c r="Q3" s="27"/>
      <c r="R3" s="28" t="s">
        <v>6</v>
      </c>
      <c r="S3" s="29"/>
      <c r="T3" s="29"/>
      <c r="U3" s="29"/>
      <c r="V3" s="29"/>
      <c r="W3" s="30"/>
      <c r="X3" s="31">
        <v>43251</v>
      </c>
      <c r="Y3" s="32"/>
      <c r="Z3" s="32"/>
      <c r="AA3" s="32"/>
      <c r="AB3" s="32"/>
      <c r="AC3" s="32"/>
      <c r="AD3" s="32"/>
      <c r="AE3" s="32"/>
      <c r="AF3" s="32"/>
      <c r="AG3" s="32"/>
      <c r="AH3" s="33"/>
    </row>
    <row r="4" spans="1:34" ht="19.5" customHeight="1">
      <c r="A4" s="34" t="s">
        <v>7</v>
      </c>
      <c r="B4" s="35"/>
      <c r="C4" s="35"/>
      <c r="D4" s="35"/>
      <c r="E4" s="35"/>
      <c r="F4" s="35"/>
      <c r="G4" s="36" t="s">
        <v>84</v>
      </c>
      <c r="H4" s="37"/>
      <c r="I4" s="37"/>
      <c r="J4" s="37"/>
      <c r="K4" s="37"/>
      <c r="L4" s="37"/>
      <c r="M4" s="37"/>
      <c r="N4" s="37"/>
      <c r="O4" s="37"/>
      <c r="P4" s="37"/>
      <c r="Q4" s="38"/>
      <c r="R4" s="39" t="s">
        <v>8</v>
      </c>
      <c r="S4" s="40"/>
      <c r="T4" s="40"/>
      <c r="U4" s="40"/>
      <c r="V4" s="40"/>
      <c r="W4" s="41"/>
      <c r="X4" s="42" t="s">
        <v>9</v>
      </c>
      <c r="Y4" s="43"/>
      <c r="Z4" s="43"/>
      <c r="AA4" s="43"/>
      <c r="AB4" s="43"/>
      <c r="AC4" s="43"/>
      <c r="AD4" s="43"/>
      <c r="AE4" s="43"/>
      <c r="AF4" s="43"/>
      <c r="AG4" s="43"/>
      <c r="AH4" s="44"/>
    </row>
    <row r="5" spans="1:34" ht="19.5" customHeight="1">
      <c r="A5" s="65" t="s">
        <v>10</v>
      </c>
      <c r="B5" s="66"/>
      <c r="C5" s="66"/>
      <c r="D5" s="66"/>
      <c r="E5" s="66"/>
      <c r="F5" s="67"/>
      <c r="G5" s="68" t="s">
        <v>94</v>
      </c>
      <c r="H5" s="68"/>
      <c r="I5" s="68"/>
      <c r="J5" s="68"/>
      <c r="K5" s="68"/>
      <c r="L5" s="68"/>
      <c r="M5" s="68"/>
      <c r="N5" s="68"/>
      <c r="O5" s="68"/>
      <c r="P5" s="68"/>
      <c r="Q5" s="68"/>
      <c r="R5" s="69" t="s">
        <v>11</v>
      </c>
      <c r="S5" s="69"/>
      <c r="T5" s="69"/>
      <c r="U5" s="69"/>
      <c r="V5" s="69"/>
      <c r="W5" s="69"/>
      <c r="X5" s="70" t="s">
        <v>12</v>
      </c>
      <c r="Y5" s="71"/>
      <c r="Z5" s="72">
        <v>2500</v>
      </c>
      <c r="AA5" s="73"/>
      <c r="AB5" s="73"/>
      <c r="AC5" s="73"/>
      <c r="AD5" s="74" t="s">
        <v>13</v>
      </c>
      <c r="AE5" s="74"/>
      <c r="AF5" s="74"/>
      <c r="AG5" s="74"/>
      <c r="AH5" s="75"/>
    </row>
    <row r="6" spans="1:34" ht="15.75" thickBo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4"/>
    </row>
    <row r="7" spans="1:34" ht="15" customHeight="1">
      <c r="A7" s="2"/>
      <c r="B7" s="57" t="s">
        <v>14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9"/>
      <c r="AH7" s="4"/>
    </row>
    <row r="8" spans="1:34" ht="15" customHeight="1">
      <c r="A8" s="2"/>
      <c r="B8" s="60" t="s">
        <v>15</v>
      </c>
      <c r="C8" s="61"/>
      <c r="D8" s="61"/>
      <c r="E8" s="61"/>
      <c r="F8" s="61"/>
      <c r="G8" s="61"/>
      <c r="H8" s="61"/>
      <c r="I8" s="62" t="s">
        <v>3</v>
      </c>
      <c r="J8" s="62"/>
      <c r="K8" s="62"/>
      <c r="L8" s="62"/>
      <c r="M8" s="62"/>
      <c r="N8" s="62"/>
      <c r="O8" s="61" t="s">
        <v>16</v>
      </c>
      <c r="P8" s="61"/>
      <c r="Q8" s="61"/>
      <c r="R8" s="61"/>
      <c r="S8" s="61"/>
      <c r="T8" s="61"/>
      <c r="U8" s="61"/>
      <c r="V8" s="63" t="s">
        <v>17</v>
      </c>
      <c r="W8" s="63"/>
      <c r="X8" s="63"/>
      <c r="Y8" s="63"/>
      <c r="Z8" s="63"/>
      <c r="AA8" s="63"/>
      <c r="AB8" s="63" t="s">
        <v>18</v>
      </c>
      <c r="AC8" s="63"/>
      <c r="AD8" s="63"/>
      <c r="AE8" s="63"/>
      <c r="AF8" s="63"/>
      <c r="AG8" s="64"/>
      <c r="AH8" s="4"/>
    </row>
    <row r="9" spans="1:34" ht="19.5" customHeight="1">
      <c r="A9" s="2"/>
      <c r="B9" s="76" t="s">
        <v>19</v>
      </c>
      <c r="C9" s="77"/>
      <c r="D9" s="77"/>
      <c r="E9" s="77"/>
      <c r="F9" s="77"/>
      <c r="G9" s="77"/>
      <c r="H9" s="77"/>
      <c r="I9" s="78" t="s">
        <v>109</v>
      </c>
      <c r="J9" s="78"/>
      <c r="K9" s="78"/>
      <c r="L9" s="78"/>
      <c r="M9" s="78"/>
      <c r="N9" s="78"/>
      <c r="O9" s="78" t="s">
        <v>74</v>
      </c>
      <c r="P9" s="78"/>
      <c r="Q9" s="78"/>
      <c r="R9" s="78"/>
      <c r="S9" s="78"/>
      <c r="T9" s="78"/>
      <c r="U9" s="78"/>
      <c r="V9" s="78" t="s">
        <v>113</v>
      </c>
      <c r="W9" s="78"/>
      <c r="X9" s="78"/>
      <c r="Y9" s="78"/>
      <c r="Z9" s="78"/>
      <c r="AA9" s="78"/>
      <c r="AB9" s="79" t="s">
        <v>122</v>
      </c>
      <c r="AC9" s="79"/>
      <c r="AD9" s="79"/>
      <c r="AE9" s="79"/>
      <c r="AF9" s="79"/>
      <c r="AG9" s="80"/>
      <c r="AH9" s="4"/>
    </row>
    <row r="10" spans="1:34" ht="19.5" customHeight="1">
      <c r="A10" s="2"/>
      <c r="B10" s="81" t="s">
        <v>108</v>
      </c>
      <c r="C10" s="82"/>
      <c r="D10" s="82"/>
      <c r="E10" s="82"/>
      <c r="F10" s="82"/>
      <c r="G10" s="82"/>
      <c r="H10" s="82"/>
      <c r="I10" s="78" t="s">
        <v>101</v>
      </c>
      <c r="J10" s="78"/>
      <c r="K10" s="78"/>
      <c r="L10" s="78"/>
      <c r="M10" s="78"/>
      <c r="N10" s="78"/>
      <c r="O10" s="78" t="s">
        <v>74</v>
      </c>
      <c r="P10" s="78"/>
      <c r="Q10" s="78"/>
      <c r="R10" s="78"/>
      <c r="S10" s="78"/>
      <c r="T10" s="78"/>
      <c r="U10" s="78"/>
      <c r="V10" s="78" t="s">
        <v>102</v>
      </c>
      <c r="W10" s="78"/>
      <c r="X10" s="78"/>
      <c r="Y10" s="78"/>
      <c r="Z10" s="78"/>
      <c r="AA10" s="78"/>
      <c r="AB10" s="266" t="s">
        <v>103</v>
      </c>
      <c r="AC10" s="266"/>
      <c r="AD10" s="266"/>
      <c r="AE10" s="266"/>
      <c r="AF10" s="266"/>
      <c r="AG10" s="267"/>
      <c r="AH10" s="4"/>
    </row>
    <row r="11" spans="1:34" ht="19.5" customHeight="1" thickBot="1">
      <c r="A11" s="2"/>
      <c r="B11" s="94" t="s">
        <v>21</v>
      </c>
      <c r="C11" s="95"/>
      <c r="D11" s="95"/>
      <c r="E11" s="95"/>
      <c r="F11" s="95"/>
      <c r="G11" s="95"/>
      <c r="H11" s="95"/>
      <c r="I11" s="96" t="s">
        <v>101</v>
      </c>
      <c r="J11" s="96"/>
      <c r="K11" s="96"/>
      <c r="L11" s="96"/>
      <c r="M11" s="96"/>
      <c r="N11" s="96"/>
      <c r="O11" s="96" t="s">
        <v>74</v>
      </c>
      <c r="P11" s="96"/>
      <c r="Q11" s="96"/>
      <c r="R11" s="96"/>
      <c r="S11" s="96"/>
      <c r="T11" s="96"/>
      <c r="U11" s="96"/>
      <c r="V11" s="96" t="s">
        <v>102</v>
      </c>
      <c r="W11" s="96"/>
      <c r="X11" s="96"/>
      <c r="Y11" s="96"/>
      <c r="Z11" s="96"/>
      <c r="AA11" s="96"/>
      <c r="AB11" s="268" t="s">
        <v>103</v>
      </c>
      <c r="AC11" s="268"/>
      <c r="AD11" s="268"/>
      <c r="AE11" s="268"/>
      <c r="AF11" s="268"/>
      <c r="AG11" s="269"/>
      <c r="AH11" s="4"/>
    </row>
    <row r="12" spans="1:34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4"/>
    </row>
    <row r="13" spans="1:34" ht="21" customHeight="1">
      <c r="A13" s="2"/>
      <c r="B13" s="89" t="s">
        <v>22</v>
      </c>
      <c r="C13" s="89"/>
      <c r="D13" s="89"/>
      <c r="E13" s="89"/>
      <c r="F13" s="103" t="s">
        <v>3</v>
      </c>
      <c r="G13" s="89"/>
      <c r="H13" s="89"/>
      <c r="I13" s="89"/>
      <c r="J13" s="89"/>
      <c r="K13" s="89"/>
      <c r="L13" s="78" t="s">
        <v>112</v>
      </c>
      <c r="M13" s="78"/>
      <c r="N13" s="78"/>
      <c r="O13" s="78"/>
      <c r="P13" s="78"/>
      <c r="Q13" s="78"/>
      <c r="R13" s="78"/>
      <c r="S13" s="78"/>
      <c r="T13" s="89" t="s">
        <v>7</v>
      </c>
      <c r="U13" s="89"/>
      <c r="V13" s="89"/>
      <c r="W13" s="89"/>
      <c r="X13" s="89"/>
      <c r="Y13" s="89"/>
      <c r="Z13" s="78">
        <v>93310021</v>
      </c>
      <c r="AA13" s="78"/>
      <c r="AB13" s="78"/>
      <c r="AC13" s="78"/>
      <c r="AD13" s="78"/>
      <c r="AE13" s="78"/>
      <c r="AF13" s="78"/>
      <c r="AG13" s="78"/>
      <c r="AH13" s="4"/>
    </row>
    <row r="14" spans="1:34" ht="21" customHeight="1">
      <c r="A14" s="2"/>
      <c r="B14" s="89"/>
      <c r="C14" s="89"/>
      <c r="D14" s="89"/>
      <c r="E14" s="89"/>
      <c r="F14" s="85" t="s">
        <v>5</v>
      </c>
      <c r="G14" s="85"/>
      <c r="H14" s="85"/>
      <c r="I14" s="85"/>
      <c r="J14" s="85"/>
      <c r="K14" s="85"/>
      <c r="L14" s="86" t="s">
        <v>75</v>
      </c>
      <c r="M14" s="87"/>
      <c r="N14" s="87"/>
      <c r="O14" s="87"/>
      <c r="P14" s="87"/>
      <c r="Q14" s="87"/>
      <c r="R14" s="87"/>
      <c r="S14" s="88"/>
      <c r="T14" s="89" t="s">
        <v>6</v>
      </c>
      <c r="U14" s="89"/>
      <c r="V14" s="89"/>
      <c r="W14" s="89"/>
      <c r="X14" s="89"/>
      <c r="Y14" s="89"/>
      <c r="Z14" s="90">
        <v>43008</v>
      </c>
      <c r="AA14" s="90"/>
      <c r="AB14" s="90"/>
      <c r="AC14" s="90"/>
      <c r="AD14" s="90"/>
      <c r="AE14" s="90"/>
      <c r="AF14" s="90"/>
      <c r="AG14" s="90"/>
      <c r="AH14" s="4"/>
    </row>
    <row r="15" spans="1:34" ht="17.25" customHeight="1">
      <c r="A15" s="2"/>
      <c r="B15" s="89" t="s">
        <v>23</v>
      </c>
      <c r="C15" s="89"/>
      <c r="D15" s="89"/>
      <c r="E15" s="89"/>
      <c r="F15" s="89"/>
      <c r="G15" s="89"/>
      <c r="H15" s="89"/>
      <c r="I15" s="89"/>
      <c r="J15" s="89"/>
      <c r="K15" s="89"/>
      <c r="L15" s="91">
        <v>15170</v>
      </c>
      <c r="M15" s="92"/>
      <c r="N15" s="92"/>
      <c r="O15" s="92"/>
      <c r="P15" s="92"/>
      <c r="Q15" s="92"/>
      <c r="R15" s="92"/>
      <c r="S15" s="93"/>
      <c r="T15" s="5"/>
      <c r="U15" s="5"/>
      <c r="V15" s="5"/>
      <c r="W15" s="5"/>
      <c r="X15" s="5"/>
      <c r="Y15" s="5"/>
      <c r="Z15" s="6"/>
      <c r="AA15" s="6"/>
      <c r="AB15" s="6"/>
      <c r="AC15" s="6"/>
      <c r="AD15" s="6"/>
      <c r="AE15" s="6"/>
      <c r="AF15" s="6"/>
      <c r="AG15" s="6"/>
      <c r="AH15" s="4"/>
    </row>
    <row r="16" spans="1:34" ht="5.25" customHeight="1">
      <c r="A16" s="2"/>
      <c r="B16" s="5"/>
      <c r="C16" s="5"/>
      <c r="D16" s="5"/>
      <c r="E16" s="5"/>
      <c r="F16" s="5"/>
      <c r="G16" s="5"/>
      <c r="H16" s="5"/>
      <c r="I16" s="5"/>
      <c r="J16" s="5"/>
      <c r="K16" s="5"/>
      <c r="L16" s="3"/>
      <c r="M16" s="3"/>
      <c r="N16" s="3"/>
      <c r="O16" s="3"/>
      <c r="P16" s="3"/>
      <c r="Q16" s="3"/>
      <c r="R16" s="3"/>
      <c r="S16" s="3"/>
      <c r="T16" s="5"/>
      <c r="U16" s="5"/>
      <c r="V16" s="5"/>
      <c r="W16" s="5"/>
      <c r="X16" s="5"/>
      <c r="Y16" s="5"/>
      <c r="Z16" s="3"/>
      <c r="AA16" s="3"/>
      <c r="AB16" s="3"/>
      <c r="AC16" s="3"/>
      <c r="AD16" s="3"/>
      <c r="AE16" s="3"/>
      <c r="AF16" s="3"/>
      <c r="AG16" s="3"/>
      <c r="AH16" s="4"/>
    </row>
    <row r="17" spans="1:34">
      <c r="A17" s="2"/>
      <c r="B17" s="7" t="s">
        <v>24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4"/>
    </row>
    <row r="18" spans="1:34" ht="7.5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4"/>
    </row>
    <row r="19" spans="1:34" ht="15" customHeight="1">
      <c r="A19" s="2"/>
      <c r="B19" s="118" t="s">
        <v>10</v>
      </c>
      <c r="C19" s="119"/>
      <c r="D19" s="119"/>
      <c r="E19" s="119"/>
      <c r="F19" s="119"/>
      <c r="G19" s="119"/>
      <c r="H19" s="119"/>
      <c r="I19" s="119"/>
      <c r="J19" s="119"/>
      <c r="K19" s="120"/>
      <c r="L19" s="89" t="s">
        <v>90</v>
      </c>
      <c r="M19" s="89"/>
      <c r="N19" s="89"/>
      <c r="O19" s="89"/>
      <c r="P19" s="89"/>
      <c r="Q19" s="89"/>
      <c r="R19" s="89"/>
      <c r="S19" s="89"/>
      <c r="T19" s="89"/>
      <c r="U19" s="89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4"/>
    </row>
    <row r="20" spans="1:34" ht="15" customHeight="1">
      <c r="A20" s="2"/>
      <c r="B20" s="121" t="s">
        <v>25</v>
      </c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3"/>
      <c r="V20" s="124" t="s">
        <v>26</v>
      </c>
      <c r="W20" s="125"/>
      <c r="X20" s="125"/>
      <c r="Y20" s="125"/>
      <c r="Z20" s="125"/>
      <c r="AA20" s="125"/>
      <c r="AB20" s="125"/>
      <c r="AC20" s="125"/>
      <c r="AD20" s="125"/>
      <c r="AE20" s="126"/>
      <c r="AF20" s="3"/>
      <c r="AG20" s="3"/>
      <c r="AH20" s="4"/>
    </row>
    <row r="21" spans="1:34" ht="15" customHeight="1">
      <c r="A21" s="2"/>
      <c r="B21" s="130" t="s">
        <v>27</v>
      </c>
      <c r="C21" s="131"/>
      <c r="D21" s="131"/>
      <c r="E21" s="131"/>
      <c r="F21" s="131"/>
      <c r="G21" s="131"/>
      <c r="H21" s="131"/>
      <c r="I21" s="131"/>
      <c r="J21" s="131"/>
      <c r="K21" s="131"/>
      <c r="L21" s="131" t="s">
        <v>28</v>
      </c>
      <c r="M21" s="131"/>
      <c r="N21" s="131"/>
      <c r="O21" s="131"/>
      <c r="P21" s="131"/>
      <c r="Q21" s="131"/>
      <c r="R21" s="131"/>
      <c r="S21" s="131"/>
      <c r="T21" s="131"/>
      <c r="U21" s="132"/>
      <c r="V21" s="127"/>
      <c r="W21" s="128"/>
      <c r="X21" s="128"/>
      <c r="Y21" s="128"/>
      <c r="Z21" s="128"/>
      <c r="AA21" s="128"/>
      <c r="AB21" s="128"/>
      <c r="AC21" s="128"/>
      <c r="AD21" s="128"/>
      <c r="AE21" s="129"/>
      <c r="AF21" s="3"/>
      <c r="AG21" s="3"/>
      <c r="AH21" s="4"/>
    </row>
    <row r="22" spans="1:34">
      <c r="A22" s="2"/>
      <c r="B22" s="104" t="s">
        <v>29</v>
      </c>
      <c r="C22" s="105"/>
      <c r="D22" s="105"/>
      <c r="E22" s="105"/>
      <c r="F22" s="105"/>
      <c r="G22" s="105"/>
      <c r="H22" s="105"/>
      <c r="I22" s="105"/>
      <c r="J22" s="105"/>
      <c r="K22" s="105"/>
      <c r="L22" s="105" t="s">
        <v>30</v>
      </c>
      <c r="M22" s="105"/>
      <c r="N22" s="105"/>
      <c r="O22" s="105"/>
      <c r="P22" s="105"/>
      <c r="Q22" s="105"/>
      <c r="R22" s="105"/>
      <c r="S22" s="105"/>
      <c r="T22" s="105"/>
      <c r="U22" s="106"/>
      <c r="V22" s="107" t="s">
        <v>31</v>
      </c>
      <c r="W22" s="108"/>
      <c r="X22" s="108"/>
      <c r="Y22" s="108"/>
      <c r="Z22" s="108"/>
      <c r="AA22" s="108"/>
      <c r="AB22" s="108"/>
      <c r="AC22" s="108"/>
      <c r="AD22" s="108"/>
      <c r="AE22" s="109"/>
      <c r="AF22" s="3"/>
      <c r="AG22" s="3"/>
      <c r="AH22" s="4"/>
    </row>
    <row r="23" spans="1:34" ht="21" customHeight="1">
      <c r="A23" s="2"/>
      <c r="B23" s="311">
        <v>2022</v>
      </c>
      <c r="C23" s="309"/>
      <c r="D23" s="309"/>
      <c r="E23" s="309"/>
      <c r="F23" s="309"/>
      <c r="G23" s="309"/>
      <c r="H23" s="309"/>
      <c r="I23" s="309"/>
      <c r="J23" s="309"/>
      <c r="K23" s="309"/>
      <c r="L23" s="312">
        <v>2028</v>
      </c>
      <c r="M23" s="312"/>
      <c r="N23" s="312"/>
      <c r="O23" s="312"/>
      <c r="P23" s="312"/>
      <c r="Q23" s="312"/>
      <c r="R23" s="312"/>
      <c r="S23" s="312"/>
      <c r="T23" s="312"/>
      <c r="U23" s="313"/>
      <c r="V23" s="114">
        <f>B23/L23*100</f>
        <v>99.704142011834321</v>
      </c>
      <c r="W23" s="115"/>
      <c r="X23" s="115"/>
      <c r="Y23" s="115"/>
      <c r="Z23" s="115"/>
      <c r="AA23" s="115"/>
      <c r="AB23" s="115"/>
      <c r="AC23" s="115"/>
      <c r="AD23" s="116" t="s">
        <v>32</v>
      </c>
      <c r="AE23" s="117"/>
      <c r="AF23" s="3"/>
      <c r="AG23" s="3"/>
      <c r="AH23" s="4"/>
    </row>
    <row r="24" spans="1:34" ht="7.5" customHeight="1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4"/>
    </row>
    <row r="25" spans="1:34" ht="15" customHeight="1">
      <c r="A25" s="2"/>
      <c r="B25" s="118" t="s">
        <v>10</v>
      </c>
      <c r="C25" s="119"/>
      <c r="D25" s="119"/>
      <c r="E25" s="119"/>
      <c r="F25" s="119"/>
      <c r="G25" s="119"/>
      <c r="H25" s="119"/>
      <c r="I25" s="119"/>
      <c r="J25" s="119"/>
      <c r="K25" s="120"/>
      <c r="L25" s="89" t="s">
        <v>81</v>
      </c>
      <c r="M25" s="89"/>
      <c r="N25" s="89"/>
      <c r="O25" s="89"/>
      <c r="P25" s="89"/>
      <c r="Q25" s="89"/>
      <c r="R25" s="89"/>
      <c r="S25" s="89"/>
      <c r="T25" s="89"/>
      <c r="U25" s="89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4"/>
    </row>
    <row r="26" spans="1:34" ht="15" customHeight="1">
      <c r="A26" s="2"/>
      <c r="B26" s="138" t="s">
        <v>25</v>
      </c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3"/>
      <c r="V26" s="124" t="s">
        <v>26</v>
      </c>
      <c r="W26" s="125"/>
      <c r="X26" s="125"/>
      <c r="Y26" s="125"/>
      <c r="Z26" s="125"/>
      <c r="AA26" s="125"/>
      <c r="AB26" s="125"/>
      <c r="AC26" s="125"/>
      <c r="AD26" s="125"/>
      <c r="AE26" s="126"/>
      <c r="AF26" s="3"/>
      <c r="AG26" s="3"/>
      <c r="AH26" s="4"/>
    </row>
    <row r="27" spans="1:34" ht="15" customHeight="1">
      <c r="A27" s="2"/>
      <c r="B27" s="130" t="s">
        <v>34</v>
      </c>
      <c r="C27" s="131"/>
      <c r="D27" s="131"/>
      <c r="E27" s="131"/>
      <c r="F27" s="131"/>
      <c r="G27" s="131"/>
      <c r="H27" s="131"/>
      <c r="I27" s="131"/>
      <c r="J27" s="131"/>
      <c r="K27" s="131"/>
      <c r="L27" s="131" t="s">
        <v>35</v>
      </c>
      <c r="M27" s="131"/>
      <c r="N27" s="131"/>
      <c r="O27" s="131"/>
      <c r="P27" s="131"/>
      <c r="Q27" s="131"/>
      <c r="R27" s="131"/>
      <c r="S27" s="131"/>
      <c r="T27" s="131"/>
      <c r="U27" s="132"/>
      <c r="V27" s="127"/>
      <c r="W27" s="128"/>
      <c r="X27" s="128"/>
      <c r="Y27" s="128"/>
      <c r="Z27" s="128"/>
      <c r="AA27" s="128"/>
      <c r="AB27" s="128"/>
      <c r="AC27" s="128"/>
      <c r="AD27" s="128"/>
      <c r="AE27" s="129"/>
      <c r="AF27" s="3"/>
      <c r="AG27" s="3"/>
      <c r="AH27" s="4"/>
    </row>
    <row r="28" spans="1:34" ht="15" customHeight="1">
      <c r="A28" s="2"/>
      <c r="B28" s="104" t="s">
        <v>29</v>
      </c>
      <c r="C28" s="105"/>
      <c r="D28" s="105"/>
      <c r="E28" s="105"/>
      <c r="F28" s="105"/>
      <c r="G28" s="105"/>
      <c r="H28" s="105"/>
      <c r="I28" s="105"/>
      <c r="J28" s="105"/>
      <c r="K28" s="105"/>
      <c r="L28" s="105" t="s">
        <v>30</v>
      </c>
      <c r="M28" s="105"/>
      <c r="N28" s="105"/>
      <c r="O28" s="105"/>
      <c r="P28" s="105"/>
      <c r="Q28" s="105"/>
      <c r="R28" s="105"/>
      <c r="S28" s="105"/>
      <c r="T28" s="105"/>
      <c r="U28" s="106"/>
      <c r="V28" s="107" t="s">
        <v>31</v>
      </c>
      <c r="W28" s="108"/>
      <c r="X28" s="108"/>
      <c r="Y28" s="108"/>
      <c r="Z28" s="108"/>
      <c r="AA28" s="108"/>
      <c r="AB28" s="108"/>
      <c r="AC28" s="108"/>
      <c r="AD28" s="108"/>
      <c r="AE28" s="109"/>
      <c r="AF28" s="3"/>
      <c r="AG28" s="3"/>
      <c r="AH28" s="4"/>
    </row>
    <row r="29" spans="1:34" ht="21" customHeight="1">
      <c r="A29" s="2"/>
      <c r="B29" s="192"/>
      <c r="C29" s="193"/>
      <c r="D29" s="193"/>
      <c r="E29" s="193"/>
      <c r="F29" s="193"/>
      <c r="G29" s="193"/>
      <c r="H29" s="193"/>
      <c r="I29" s="193"/>
      <c r="J29" s="193"/>
      <c r="K29" s="193"/>
      <c r="L29" s="112"/>
      <c r="M29" s="112"/>
      <c r="N29" s="112"/>
      <c r="O29" s="112"/>
      <c r="P29" s="112"/>
      <c r="Q29" s="112"/>
      <c r="R29" s="112"/>
      <c r="S29" s="112"/>
      <c r="T29" s="112"/>
      <c r="U29" s="113"/>
      <c r="V29" s="114"/>
      <c r="W29" s="115"/>
      <c r="X29" s="115"/>
      <c r="Y29" s="115"/>
      <c r="Z29" s="115"/>
      <c r="AA29" s="115"/>
      <c r="AB29" s="115"/>
      <c r="AC29" s="115"/>
      <c r="AD29" s="116"/>
      <c r="AE29" s="117"/>
      <c r="AF29" s="3"/>
      <c r="AG29" s="3"/>
      <c r="AH29" s="4"/>
    </row>
    <row r="30" spans="1:34" ht="7.5" customHeight="1">
      <c r="A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4"/>
    </row>
    <row r="31" spans="1:34" ht="21" customHeight="1">
      <c r="A31" s="2"/>
      <c r="B31" s="136" t="s">
        <v>36</v>
      </c>
      <c r="C31" s="137"/>
      <c r="D31" s="137"/>
      <c r="E31" s="137"/>
      <c r="F31" s="103"/>
      <c r="G31" s="8"/>
      <c r="H31" s="137" t="s">
        <v>37</v>
      </c>
      <c r="I31" s="137"/>
      <c r="J31" s="137"/>
      <c r="K31" s="137"/>
      <c r="L31" s="137" t="s">
        <v>38</v>
      </c>
      <c r="M31" s="137"/>
      <c r="N31" s="137"/>
      <c r="O31" s="137"/>
      <c r="P31" s="9"/>
      <c r="Q31" s="118" t="s">
        <v>39</v>
      </c>
      <c r="R31" s="119"/>
      <c r="S31" s="119"/>
      <c r="T31" s="119"/>
      <c r="U31" s="120"/>
      <c r="V31" s="136" t="s">
        <v>40</v>
      </c>
      <c r="W31" s="137"/>
      <c r="X31" s="137"/>
      <c r="Y31" s="137"/>
      <c r="Z31" s="137"/>
      <c r="AA31" s="137"/>
      <c r="AB31" s="137"/>
      <c r="AC31" s="137"/>
      <c r="AD31" s="137"/>
      <c r="AE31" s="103"/>
      <c r="AF31" s="3"/>
      <c r="AG31" s="3"/>
      <c r="AH31" s="4"/>
    </row>
    <row r="32" spans="1:34">
      <c r="A32" s="2"/>
      <c r="C32" s="148" t="s">
        <v>41</v>
      </c>
      <c r="D32" s="148"/>
      <c r="E32" s="148"/>
      <c r="F32" s="148"/>
      <c r="G32" s="15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4"/>
    </row>
    <row r="33" spans="1:34">
      <c r="A33" s="2"/>
      <c r="C33" s="149"/>
      <c r="D33" s="149"/>
      <c r="E33" s="149"/>
      <c r="F33" s="149"/>
      <c r="G33" s="15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4"/>
    </row>
    <row r="34" spans="1:34">
      <c r="A34" s="2"/>
      <c r="B34" s="3"/>
      <c r="C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4"/>
    </row>
    <row r="35" spans="1:34">
      <c r="A35" s="2"/>
      <c r="B35" s="11" t="s">
        <v>42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4"/>
    </row>
    <row r="36" spans="1:34" ht="7.5" customHeight="1">
      <c r="A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4"/>
    </row>
    <row r="37" spans="1:34" ht="15" customHeight="1">
      <c r="A37" s="2"/>
      <c r="B37" s="138" t="s">
        <v>43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3"/>
      <c r="V37" s="139" t="s">
        <v>44</v>
      </c>
      <c r="W37" s="140"/>
      <c r="X37" s="140"/>
      <c r="Y37" s="140"/>
      <c r="Z37" s="140"/>
      <c r="AA37" s="140"/>
      <c r="AB37" s="140"/>
      <c r="AC37" s="140"/>
      <c r="AD37" s="140"/>
      <c r="AE37" s="141"/>
      <c r="AF37" s="3"/>
      <c r="AG37" s="3"/>
      <c r="AH37" s="4"/>
    </row>
    <row r="38" spans="1:34" ht="15" customHeight="1">
      <c r="A38" s="2"/>
      <c r="B38" s="130" t="s">
        <v>18</v>
      </c>
      <c r="C38" s="131"/>
      <c r="D38" s="131"/>
      <c r="E38" s="131"/>
      <c r="F38" s="131"/>
      <c r="G38" s="131"/>
      <c r="H38" s="131"/>
      <c r="I38" s="131"/>
      <c r="J38" s="131"/>
      <c r="K38" s="131"/>
      <c r="L38" s="131" t="s">
        <v>45</v>
      </c>
      <c r="M38" s="131"/>
      <c r="N38" s="131"/>
      <c r="O38" s="131"/>
      <c r="P38" s="131"/>
      <c r="Q38" s="131"/>
      <c r="R38" s="131"/>
      <c r="S38" s="131"/>
      <c r="T38" s="131"/>
      <c r="U38" s="132"/>
      <c r="V38" s="142"/>
      <c r="W38" s="143"/>
      <c r="X38" s="143"/>
      <c r="Y38" s="143"/>
      <c r="Z38" s="143"/>
      <c r="AA38" s="143"/>
      <c r="AB38" s="143"/>
      <c r="AC38" s="143"/>
      <c r="AD38" s="143"/>
      <c r="AE38" s="144"/>
      <c r="AF38" s="3"/>
      <c r="AG38" s="3"/>
      <c r="AH38" s="4"/>
    </row>
    <row r="39" spans="1:34" ht="15" customHeight="1">
      <c r="A39" s="2"/>
      <c r="B39" s="145" t="s">
        <v>46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 t="s">
        <v>47</v>
      </c>
      <c r="M39" s="146"/>
      <c r="N39" s="146"/>
      <c r="O39" s="146"/>
      <c r="P39" s="146"/>
      <c r="Q39" s="146"/>
      <c r="R39" s="146"/>
      <c r="S39" s="146"/>
      <c r="T39" s="146"/>
      <c r="U39" s="147"/>
      <c r="V39" s="145" t="s">
        <v>31</v>
      </c>
      <c r="W39" s="146"/>
      <c r="X39" s="146"/>
      <c r="Y39" s="146"/>
      <c r="Z39" s="146"/>
      <c r="AA39" s="146"/>
      <c r="AB39" s="146"/>
      <c r="AC39" s="146"/>
      <c r="AD39" s="146"/>
      <c r="AE39" s="147"/>
      <c r="AF39" s="3"/>
      <c r="AG39" s="3"/>
      <c r="AH39" s="4"/>
    </row>
    <row r="40" spans="1:34" ht="21" customHeight="1">
      <c r="A40" s="2"/>
      <c r="B40" s="110">
        <v>1908</v>
      </c>
      <c r="C40" s="111"/>
      <c r="D40" s="111"/>
      <c r="E40" s="111"/>
      <c r="F40" s="111"/>
      <c r="G40" s="111"/>
      <c r="H40" s="111"/>
      <c r="I40" s="111"/>
      <c r="J40" s="111"/>
      <c r="K40" s="111"/>
      <c r="L40" s="309">
        <v>1909</v>
      </c>
      <c r="M40" s="309"/>
      <c r="N40" s="309"/>
      <c r="O40" s="309"/>
      <c r="P40" s="309"/>
      <c r="Q40" s="309"/>
      <c r="R40" s="309"/>
      <c r="S40" s="309"/>
      <c r="T40" s="309"/>
      <c r="U40" s="310"/>
      <c r="V40" s="192">
        <f>100*(L40-B40)/Z5</f>
        <v>0.04</v>
      </c>
      <c r="W40" s="193"/>
      <c r="X40" s="193"/>
      <c r="Y40" s="193"/>
      <c r="Z40" s="193"/>
      <c r="AA40" s="193"/>
      <c r="AB40" s="193"/>
      <c r="AC40" s="194"/>
      <c r="AD40" s="195" t="s">
        <v>32</v>
      </c>
      <c r="AE40" s="196"/>
      <c r="AF40" s="3"/>
      <c r="AG40" s="3"/>
      <c r="AH40" s="4"/>
    </row>
    <row r="41" spans="1:34" ht="21" customHeight="1">
      <c r="A41" s="2"/>
      <c r="B41" s="136" t="s">
        <v>36</v>
      </c>
      <c r="C41" s="137"/>
      <c r="D41" s="137"/>
      <c r="E41" s="137"/>
      <c r="F41" s="103"/>
      <c r="G41" s="8"/>
      <c r="H41" s="137" t="s">
        <v>37</v>
      </c>
      <c r="I41" s="137"/>
      <c r="J41" s="137"/>
      <c r="K41" s="137"/>
      <c r="L41" s="137" t="s">
        <v>38</v>
      </c>
      <c r="M41" s="137"/>
      <c r="N41" s="137"/>
      <c r="O41" s="137"/>
      <c r="P41" s="9"/>
      <c r="Q41" s="118" t="s">
        <v>39</v>
      </c>
      <c r="R41" s="119"/>
      <c r="S41" s="119"/>
      <c r="T41" s="119"/>
      <c r="U41" s="120"/>
      <c r="V41" s="136" t="s">
        <v>48</v>
      </c>
      <c r="W41" s="137"/>
      <c r="X41" s="137"/>
      <c r="Y41" s="137"/>
      <c r="Z41" s="137"/>
      <c r="AA41" s="137"/>
      <c r="AB41" s="137"/>
      <c r="AC41" s="137"/>
      <c r="AD41" s="137"/>
      <c r="AE41" s="103"/>
      <c r="AF41" s="3"/>
      <c r="AG41" s="3"/>
      <c r="AH41" s="4"/>
    </row>
    <row r="42" spans="1:34">
      <c r="A42" s="2"/>
      <c r="B42" s="150" t="s">
        <v>41</v>
      </c>
      <c r="C42" s="150"/>
      <c r="D42" s="150"/>
      <c r="E42" s="150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4"/>
    </row>
    <row r="43" spans="1:34" ht="15.75" thickBot="1">
      <c r="A43" s="2"/>
      <c r="B43" s="150"/>
      <c r="C43" s="150"/>
      <c r="D43" s="150"/>
      <c r="E43" s="150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4"/>
    </row>
    <row r="44" spans="1:34" ht="10.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151" t="s">
        <v>49</v>
      </c>
      <c r="Z44" s="152"/>
      <c r="AA44" s="152"/>
      <c r="AB44" s="152"/>
      <c r="AC44" s="153"/>
      <c r="AD44" s="157" t="s">
        <v>50</v>
      </c>
      <c r="AE44" s="157"/>
      <c r="AF44" s="157"/>
      <c r="AG44" s="157"/>
      <c r="AH44" s="158"/>
    </row>
    <row r="45" spans="1:34" ht="15.75" thickBot="1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154"/>
      <c r="Z45" s="155"/>
      <c r="AA45" s="155"/>
      <c r="AB45" s="155"/>
      <c r="AC45" s="156"/>
      <c r="AD45" s="159"/>
      <c r="AE45" s="159"/>
      <c r="AF45" s="159"/>
      <c r="AG45" s="159"/>
      <c r="AH45" s="160"/>
    </row>
    <row r="46" spans="1:34" ht="15" customHeight="1">
      <c r="A46" s="2"/>
      <c r="B46" s="161" t="s">
        <v>51</v>
      </c>
      <c r="C46" s="162"/>
      <c r="D46" s="162"/>
      <c r="E46" s="162"/>
      <c r="F46" s="162"/>
      <c r="G46" s="163"/>
      <c r="H46" s="170" t="s">
        <v>37</v>
      </c>
      <c r="I46" s="171"/>
      <c r="J46" s="171"/>
      <c r="K46" s="171"/>
      <c r="L46" s="171"/>
      <c r="M46" s="172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176"/>
      <c r="Z46" s="177"/>
      <c r="AA46" s="177"/>
      <c r="AB46" s="177"/>
      <c r="AC46" s="178"/>
      <c r="AD46" s="183"/>
      <c r="AE46" s="184"/>
      <c r="AF46" s="184"/>
      <c r="AG46" s="184"/>
      <c r="AH46" s="185"/>
    </row>
    <row r="47" spans="1:34" ht="15" customHeight="1">
      <c r="A47" s="2"/>
      <c r="B47" s="164"/>
      <c r="C47" s="165"/>
      <c r="D47" s="165"/>
      <c r="E47" s="165"/>
      <c r="F47" s="165"/>
      <c r="G47" s="166"/>
      <c r="H47" s="173"/>
      <c r="I47" s="174"/>
      <c r="J47" s="174"/>
      <c r="K47" s="174"/>
      <c r="L47" s="174"/>
      <c r="M47" s="175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179"/>
      <c r="Z47" s="177"/>
      <c r="AA47" s="177"/>
      <c r="AB47" s="177"/>
      <c r="AC47" s="178"/>
      <c r="AD47" s="184"/>
      <c r="AE47" s="184"/>
      <c r="AF47" s="184"/>
      <c r="AG47" s="184"/>
      <c r="AH47" s="185"/>
    </row>
    <row r="48" spans="1:34" ht="15" customHeight="1">
      <c r="A48" s="2"/>
      <c r="B48" s="164"/>
      <c r="C48" s="165"/>
      <c r="D48" s="165"/>
      <c r="E48" s="165"/>
      <c r="F48" s="165"/>
      <c r="G48" s="166"/>
      <c r="H48" s="173" t="s">
        <v>38</v>
      </c>
      <c r="I48" s="174"/>
      <c r="J48" s="174"/>
      <c r="K48" s="174"/>
      <c r="L48" s="174"/>
      <c r="M48" s="175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179"/>
      <c r="Z48" s="177"/>
      <c r="AA48" s="177"/>
      <c r="AB48" s="177"/>
      <c r="AC48" s="178"/>
      <c r="AD48" s="184"/>
      <c r="AE48" s="184"/>
      <c r="AF48" s="184"/>
      <c r="AG48" s="184"/>
      <c r="AH48" s="185"/>
    </row>
    <row r="49" spans="1:34" ht="15" customHeight="1" thickBot="1">
      <c r="A49" s="2"/>
      <c r="B49" s="167"/>
      <c r="C49" s="168"/>
      <c r="D49" s="168"/>
      <c r="E49" s="168"/>
      <c r="F49" s="168"/>
      <c r="G49" s="169"/>
      <c r="H49" s="188"/>
      <c r="I49" s="189"/>
      <c r="J49" s="189"/>
      <c r="K49" s="189"/>
      <c r="L49" s="189"/>
      <c r="M49" s="190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179"/>
      <c r="Z49" s="177"/>
      <c r="AA49" s="177"/>
      <c r="AB49" s="177"/>
      <c r="AC49" s="178"/>
      <c r="AD49" s="184"/>
      <c r="AE49" s="184"/>
      <c r="AF49" s="184"/>
      <c r="AG49" s="184"/>
      <c r="AH49" s="185"/>
    </row>
    <row r="50" spans="1:34" ht="10.5" customHeight="1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180"/>
      <c r="Z50" s="181"/>
      <c r="AA50" s="181"/>
      <c r="AB50" s="181"/>
      <c r="AC50" s="182"/>
      <c r="AD50" s="186"/>
      <c r="AE50" s="186"/>
      <c r="AF50" s="186"/>
      <c r="AG50" s="186"/>
      <c r="AH50" s="187"/>
    </row>
    <row r="51" spans="1:34" s="13" customFormat="1" ht="22.5" customHeight="1" thickBot="1">
      <c r="A51" s="199" t="s">
        <v>76</v>
      </c>
      <c r="B51" s="200"/>
      <c r="C51" s="200"/>
      <c r="D51" s="200"/>
      <c r="E51" s="200" t="s">
        <v>52</v>
      </c>
      <c r="F51" s="200"/>
      <c r="G51" s="200"/>
      <c r="H51" s="200"/>
      <c r="I51" s="201"/>
      <c r="J51" s="202" t="s">
        <v>77</v>
      </c>
      <c r="K51" s="200"/>
      <c r="L51" s="200"/>
      <c r="M51" s="200"/>
      <c r="N51" s="200" t="s">
        <v>78</v>
      </c>
      <c r="O51" s="200"/>
      <c r="P51" s="200"/>
      <c r="Q51" s="201"/>
      <c r="R51" s="203"/>
      <c r="S51" s="204"/>
      <c r="T51" s="204"/>
      <c r="U51" s="204"/>
      <c r="V51" s="204"/>
      <c r="W51" s="204"/>
      <c r="X51" s="205"/>
      <c r="Y51" s="202" t="s">
        <v>79</v>
      </c>
      <c r="Z51" s="200"/>
      <c r="AA51" s="200"/>
      <c r="AB51" s="200"/>
      <c r="AC51" s="200"/>
      <c r="AD51" s="197">
        <v>41883</v>
      </c>
      <c r="AE51" s="197"/>
      <c r="AF51" s="197"/>
      <c r="AG51" s="197"/>
      <c r="AH51" s="198"/>
    </row>
    <row r="53" spans="1:34" ht="15.75" thickBot="1"/>
    <row r="54" spans="1:34" ht="27" customHeight="1">
      <c r="A54" s="45" t="s">
        <v>53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7"/>
      <c r="AD54" s="48" t="s">
        <v>54</v>
      </c>
      <c r="AE54" s="49"/>
      <c r="AF54" s="49"/>
      <c r="AG54" s="50" t="s">
        <v>2</v>
      </c>
      <c r="AH54" s="51"/>
    </row>
    <row r="55" spans="1:34" ht="19.5" customHeight="1">
      <c r="A55" s="52" t="s">
        <v>3</v>
      </c>
      <c r="B55" s="53"/>
      <c r="C55" s="53"/>
      <c r="D55" s="53"/>
      <c r="E55" s="53"/>
      <c r="F55" s="53"/>
      <c r="G55" s="54" t="s">
        <v>85</v>
      </c>
      <c r="H55" s="55"/>
      <c r="I55" s="55"/>
      <c r="J55" s="55"/>
      <c r="K55" s="55"/>
      <c r="L55" s="55"/>
      <c r="M55" s="55"/>
      <c r="N55" s="55"/>
      <c r="O55" s="55"/>
      <c r="P55" s="55"/>
      <c r="Q55" s="56"/>
      <c r="R55" s="28" t="s">
        <v>4</v>
      </c>
      <c r="S55" s="29"/>
      <c r="T55" s="29"/>
      <c r="U55" s="29"/>
      <c r="V55" s="29"/>
      <c r="W55" s="30"/>
      <c r="X55" s="31">
        <f>X2</f>
        <v>42886</v>
      </c>
      <c r="Y55" s="32"/>
      <c r="Z55" s="32"/>
      <c r="AA55" s="32"/>
      <c r="AB55" s="32"/>
      <c r="AC55" s="32"/>
      <c r="AD55" s="32"/>
      <c r="AE55" s="32"/>
      <c r="AF55" s="32"/>
      <c r="AG55" s="32"/>
      <c r="AH55" s="33"/>
    </row>
    <row r="56" spans="1:34" ht="19.5" customHeight="1">
      <c r="A56" s="34" t="s">
        <v>55</v>
      </c>
      <c r="B56" s="35"/>
      <c r="C56" s="35"/>
      <c r="D56" s="35"/>
      <c r="E56" s="35"/>
      <c r="F56" s="35"/>
      <c r="G56" s="25" t="s">
        <v>83</v>
      </c>
      <c r="H56" s="26"/>
      <c r="I56" s="26"/>
      <c r="J56" s="26"/>
      <c r="K56" s="26"/>
      <c r="L56" s="26"/>
      <c r="M56" s="26"/>
      <c r="N56" s="26"/>
      <c r="O56" s="26"/>
      <c r="P56" s="26"/>
      <c r="Q56" s="27"/>
      <c r="R56" s="28" t="s">
        <v>6</v>
      </c>
      <c r="S56" s="29"/>
      <c r="T56" s="29"/>
      <c r="U56" s="29"/>
      <c r="V56" s="29"/>
      <c r="W56" s="30"/>
      <c r="X56" s="31">
        <f>X3</f>
        <v>43251</v>
      </c>
      <c r="Y56" s="32"/>
      <c r="Z56" s="32"/>
      <c r="AA56" s="32"/>
      <c r="AB56" s="32"/>
      <c r="AC56" s="32"/>
      <c r="AD56" s="32"/>
      <c r="AE56" s="32"/>
      <c r="AF56" s="32"/>
      <c r="AG56" s="32"/>
      <c r="AH56" s="33"/>
    </row>
    <row r="57" spans="1:34" ht="19.5" customHeight="1">
      <c r="A57" s="34" t="s">
        <v>7</v>
      </c>
      <c r="B57" s="35"/>
      <c r="C57" s="35"/>
      <c r="D57" s="35"/>
      <c r="E57" s="35"/>
      <c r="F57" s="35"/>
      <c r="G57" s="36" t="s">
        <v>84</v>
      </c>
      <c r="H57" s="37"/>
      <c r="I57" s="37"/>
      <c r="J57" s="37"/>
      <c r="K57" s="37"/>
      <c r="L57" s="37"/>
      <c r="M57" s="37"/>
      <c r="N57" s="37"/>
      <c r="O57" s="37"/>
      <c r="P57" s="37"/>
      <c r="Q57" s="38"/>
      <c r="R57" s="39" t="s">
        <v>8</v>
      </c>
      <c r="S57" s="40"/>
      <c r="T57" s="40"/>
      <c r="U57" s="40"/>
      <c r="V57" s="40"/>
      <c r="W57" s="41"/>
      <c r="X57" s="42" t="s">
        <v>9</v>
      </c>
      <c r="Y57" s="43"/>
      <c r="Z57" s="43"/>
      <c r="AA57" s="43"/>
      <c r="AB57" s="43"/>
      <c r="AC57" s="43"/>
      <c r="AD57" s="43"/>
      <c r="AE57" s="43"/>
      <c r="AF57" s="43"/>
      <c r="AG57" s="43"/>
      <c r="AH57" s="44"/>
    </row>
    <row r="58" spans="1:34" ht="19.5" customHeight="1">
      <c r="A58" s="65" t="s">
        <v>10</v>
      </c>
      <c r="B58" s="66"/>
      <c r="C58" s="66"/>
      <c r="D58" s="66"/>
      <c r="E58" s="66"/>
      <c r="F58" s="67"/>
      <c r="G58" s="68" t="s">
        <v>94</v>
      </c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9" t="s">
        <v>11</v>
      </c>
      <c r="S58" s="69"/>
      <c r="T58" s="69"/>
      <c r="U58" s="69"/>
      <c r="V58" s="69"/>
      <c r="W58" s="69"/>
      <c r="X58" s="70" t="s">
        <v>12</v>
      </c>
      <c r="Y58" s="71"/>
      <c r="Z58" s="72">
        <f>Z5</f>
        <v>2500</v>
      </c>
      <c r="AA58" s="73"/>
      <c r="AB58" s="73"/>
      <c r="AC58" s="73"/>
      <c r="AD58" s="74" t="s">
        <v>56</v>
      </c>
      <c r="AE58" s="74"/>
      <c r="AF58" s="74"/>
      <c r="AG58" s="74"/>
      <c r="AH58" s="75"/>
    </row>
    <row r="59" spans="1:34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4"/>
    </row>
    <row r="60" spans="1:34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4"/>
    </row>
    <row r="61" spans="1:34">
      <c r="A61" s="2"/>
      <c r="B61" s="7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4"/>
    </row>
    <row r="62" spans="1:34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4"/>
    </row>
    <row r="63" spans="1:34" ht="15" customHeight="1">
      <c r="A63" s="2"/>
      <c r="B63" s="213"/>
      <c r="C63" s="214"/>
      <c r="D63" s="214"/>
      <c r="E63" s="215"/>
      <c r="F63" s="138" t="s">
        <v>58</v>
      </c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3"/>
      <c r="T63" s="138" t="s">
        <v>20</v>
      </c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3"/>
      <c r="AH63" s="4"/>
    </row>
    <row r="64" spans="1:34" ht="39.75" customHeight="1">
      <c r="A64" s="2"/>
      <c r="B64" s="216"/>
      <c r="C64" s="217"/>
      <c r="D64" s="217"/>
      <c r="E64" s="218"/>
      <c r="F64" s="130" t="s">
        <v>45</v>
      </c>
      <c r="G64" s="131"/>
      <c r="H64" s="131"/>
      <c r="I64" s="131"/>
      <c r="J64" s="131"/>
      <c r="K64" s="219" t="s">
        <v>59</v>
      </c>
      <c r="L64" s="220"/>
      <c r="M64" s="220"/>
      <c r="N64" s="220"/>
      <c r="O64" s="221" t="s">
        <v>60</v>
      </c>
      <c r="P64" s="131"/>
      <c r="Q64" s="131"/>
      <c r="R64" s="131"/>
      <c r="S64" s="132"/>
      <c r="T64" s="130" t="s">
        <v>45</v>
      </c>
      <c r="U64" s="131"/>
      <c r="V64" s="131"/>
      <c r="W64" s="131"/>
      <c r="X64" s="131"/>
      <c r="Y64" s="219" t="s">
        <v>59</v>
      </c>
      <c r="Z64" s="220"/>
      <c r="AA64" s="220"/>
      <c r="AB64" s="220"/>
      <c r="AC64" s="221" t="s">
        <v>60</v>
      </c>
      <c r="AD64" s="131"/>
      <c r="AE64" s="131"/>
      <c r="AF64" s="131"/>
      <c r="AG64" s="132"/>
      <c r="AH64" s="4"/>
    </row>
    <row r="65" spans="1:34" ht="15" customHeight="1">
      <c r="A65" s="2"/>
      <c r="B65" s="216"/>
      <c r="C65" s="217"/>
      <c r="D65" s="217"/>
      <c r="E65" s="218"/>
      <c r="F65" s="130" t="s">
        <v>61</v>
      </c>
      <c r="G65" s="131"/>
      <c r="H65" s="131"/>
      <c r="I65" s="131"/>
      <c r="J65" s="131"/>
      <c r="K65" s="131" t="s">
        <v>62</v>
      </c>
      <c r="L65" s="131"/>
      <c r="M65" s="131"/>
      <c r="N65" s="131"/>
      <c r="O65" s="131" t="s">
        <v>63</v>
      </c>
      <c r="P65" s="131"/>
      <c r="Q65" s="131"/>
      <c r="R65" s="131"/>
      <c r="S65" s="132"/>
      <c r="T65" s="130" t="s">
        <v>64</v>
      </c>
      <c r="U65" s="131"/>
      <c r="V65" s="131"/>
      <c r="W65" s="131"/>
      <c r="X65" s="131"/>
      <c r="Y65" s="131" t="s">
        <v>65</v>
      </c>
      <c r="Z65" s="131"/>
      <c r="AA65" s="131"/>
      <c r="AB65" s="131"/>
      <c r="AC65" s="131" t="s">
        <v>66</v>
      </c>
      <c r="AD65" s="131"/>
      <c r="AE65" s="131"/>
      <c r="AF65" s="131"/>
      <c r="AG65" s="132"/>
      <c r="AH65" s="4"/>
    </row>
    <row r="66" spans="1:34" ht="15" customHeight="1">
      <c r="A66" s="2"/>
      <c r="B66" s="206"/>
      <c r="C66" s="207"/>
      <c r="D66" s="208" t="s">
        <v>67</v>
      </c>
      <c r="E66" s="209"/>
      <c r="F66" s="210"/>
      <c r="G66" s="211"/>
      <c r="H66" s="211"/>
      <c r="I66" s="211"/>
      <c r="J66" s="211"/>
      <c r="K66" s="211"/>
      <c r="L66" s="211"/>
      <c r="M66" s="211"/>
      <c r="N66" s="211"/>
      <c r="O66" s="211" t="s">
        <v>32</v>
      </c>
      <c r="P66" s="211"/>
      <c r="Q66" s="211"/>
      <c r="R66" s="211"/>
      <c r="S66" s="212"/>
      <c r="T66" s="210"/>
      <c r="U66" s="211"/>
      <c r="V66" s="211"/>
      <c r="W66" s="211"/>
      <c r="X66" s="211"/>
      <c r="Y66" s="211"/>
      <c r="Z66" s="211"/>
      <c r="AA66" s="211"/>
      <c r="AB66" s="211"/>
      <c r="AC66" s="211" t="s">
        <v>32</v>
      </c>
      <c r="AD66" s="211"/>
      <c r="AE66" s="211"/>
      <c r="AF66" s="211"/>
      <c r="AG66" s="212"/>
      <c r="AH66" s="4"/>
    </row>
    <row r="67" spans="1:34" ht="21" customHeight="1">
      <c r="A67" s="2"/>
      <c r="B67" s="124" t="s">
        <v>68</v>
      </c>
      <c r="C67" s="125"/>
      <c r="D67" s="125"/>
      <c r="E67" s="126"/>
      <c r="F67" s="294">
        <v>3</v>
      </c>
      <c r="G67" s="295"/>
      <c r="H67" s="295"/>
      <c r="I67" s="295"/>
      <c r="J67" s="296"/>
      <c r="K67" s="321">
        <f>F67-$F$70</f>
        <v>0.33000000000000007</v>
      </c>
      <c r="L67" s="321"/>
      <c r="M67" s="321"/>
      <c r="N67" s="322"/>
      <c r="O67" s="225">
        <f>K67/$Z$58*100</f>
        <v>1.3200000000000003E-2</v>
      </c>
      <c r="P67" s="225"/>
      <c r="Q67" s="225"/>
      <c r="R67" s="225"/>
      <c r="S67" s="227"/>
      <c r="T67" s="297">
        <v>1903</v>
      </c>
      <c r="U67" s="298"/>
      <c r="V67" s="298"/>
      <c r="W67" s="298"/>
      <c r="X67" s="299"/>
      <c r="Y67" s="298">
        <f>T67-$T$70</f>
        <v>0.67000000000007276</v>
      </c>
      <c r="Z67" s="298"/>
      <c r="AA67" s="298"/>
      <c r="AB67" s="298"/>
      <c r="AC67" s="231">
        <f>Y67/$Z$58*100</f>
        <v>2.6800000000002912E-2</v>
      </c>
      <c r="AD67" s="231"/>
      <c r="AE67" s="231"/>
      <c r="AF67" s="231"/>
      <c r="AG67" s="232"/>
      <c r="AH67" s="4"/>
    </row>
    <row r="68" spans="1:34" ht="21" customHeight="1">
      <c r="A68" s="2"/>
      <c r="B68" s="124" t="s">
        <v>69</v>
      </c>
      <c r="C68" s="125"/>
      <c r="D68" s="125"/>
      <c r="E68" s="126"/>
      <c r="F68" s="303">
        <v>2</v>
      </c>
      <c r="G68" s="304"/>
      <c r="H68" s="304"/>
      <c r="I68" s="304"/>
      <c r="J68" s="305"/>
      <c r="K68" s="307">
        <f>F68-$F$70</f>
        <v>-0.66999999999999993</v>
      </c>
      <c r="L68" s="307"/>
      <c r="M68" s="307"/>
      <c r="N68" s="307"/>
      <c r="O68" s="231">
        <f>K68/$Z$58*100</f>
        <v>-2.6799999999999994E-2</v>
      </c>
      <c r="P68" s="231"/>
      <c r="Q68" s="231"/>
      <c r="R68" s="231"/>
      <c r="S68" s="232"/>
      <c r="T68" s="306">
        <v>1900</v>
      </c>
      <c r="U68" s="307"/>
      <c r="V68" s="307"/>
      <c r="W68" s="307"/>
      <c r="X68" s="308"/>
      <c r="Y68" s="307">
        <f>T68-$T$70</f>
        <v>-2.3299999999999272</v>
      </c>
      <c r="Z68" s="307"/>
      <c r="AA68" s="307"/>
      <c r="AB68" s="307"/>
      <c r="AC68" s="231">
        <f>Y68/$Z$58*100</f>
        <v>-9.3199999999997091E-2</v>
      </c>
      <c r="AD68" s="231"/>
      <c r="AE68" s="231"/>
      <c r="AF68" s="231"/>
      <c r="AG68" s="232"/>
      <c r="AH68" s="4"/>
    </row>
    <row r="69" spans="1:34" ht="21" customHeight="1">
      <c r="A69" s="2"/>
      <c r="B69" s="124" t="s">
        <v>70</v>
      </c>
      <c r="C69" s="125"/>
      <c r="D69" s="125"/>
      <c r="E69" s="126"/>
      <c r="F69" s="300">
        <v>3</v>
      </c>
      <c r="G69" s="301"/>
      <c r="H69" s="301"/>
      <c r="I69" s="301"/>
      <c r="J69" s="302"/>
      <c r="K69" s="323">
        <f>F69-$F$70</f>
        <v>0.33000000000000007</v>
      </c>
      <c r="L69" s="323"/>
      <c r="M69" s="323"/>
      <c r="N69" s="324"/>
      <c r="O69" s="238">
        <f>K69/$Z$58*100</f>
        <v>1.3200000000000003E-2</v>
      </c>
      <c r="P69" s="238"/>
      <c r="Q69" s="238"/>
      <c r="R69" s="238"/>
      <c r="S69" s="239"/>
      <c r="T69" s="300">
        <v>1904</v>
      </c>
      <c r="U69" s="301"/>
      <c r="V69" s="301"/>
      <c r="W69" s="301"/>
      <c r="X69" s="301"/>
      <c r="Y69" s="326">
        <f>T69-$T$70</f>
        <v>1.6700000000000728</v>
      </c>
      <c r="Z69" s="326"/>
      <c r="AA69" s="326"/>
      <c r="AB69" s="326"/>
      <c r="AC69" s="231">
        <f>Y69/$Z$58*100</f>
        <v>6.6800000000002913E-2</v>
      </c>
      <c r="AD69" s="231"/>
      <c r="AE69" s="231"/>
      <c r="AF69" s="231"/>
      <c r="AG69" s="232"/>
      <c r="AH69" s="4"/>
    </row>
    <row r="70" spans="1:34" ht="21" customHeight="1">
      <c r="A70" s="2"/>
      <c r="B70" s="249" t="s">
        <v>71</v>
      </c>
      <c r="C70" s="137"/>
      <c r="D70" s="137"/>
      <c r="E70" s="103"/>
      <c r="F70" s="294">
        <f>ROUND(AVERAGE(F67:J69),2)</f>
        <v>2.67</v>
      </c>
      <c r="G70" s="295"/>
      <c r="H70" s="295"/>
      <c r="I70" s="295"/>
      <c r="J70" s="296"/>
      <c r="K70" s="250" t="s">
        <v>72</v>
      </c>
      <c r="L70" s="251"/>
      <c r="M70" s="251"/>
      <c r="N70" s="252"/>
      <c r="O70" s="253">
        <f>ROUND(AVERAGE(O67:S69),2)</f>
        <v>0</v>
      </c>
      <c r="P70" s="254"/>
      <c r="Q70" s="254"/>
      <c r="R70" s="254"/>
      <c r="S70" s="255"/>
      <c r="T70" s="325">
        <f>ROUND(AVERAGE(T67:X69),2)</f>
        <v>1902.33</v>
      </c>
      <c r="U70" s="312"/>
      <c r="V70" s="312"/>
      <c r="W70" s="312"/>
      <c r="X70" s="312"/>
      <c r="Y70" s="250" t="s">
        <v>72</v>
      </c>
      <c r="Z70" s="251"/>
      <c r="AA70" s="251"/>
      <c r="AB70" s="252"/>
      <c r="AC70" s="112">
        <f>ROUND(AVERAGE(AC67:AG69),2)</f>
        <v>0</v>
      </c>
      <c r="AD70" s="112"/>
      <c r="AE70" s="112"/>
      <c r="AF70" s="112"/>
      <c r="AG70" s="113"/>
      <c r="AH70" s="4"/>
    </row>
    <row r="71" spans="1:34" ht="27" customHeight="1">
      <c r="A71" s="2"/>
      <c r="B71" s="136" t="s">
        <v>36</v>
      </c>
      <c r="C71" s="137"/>
      <c r="D71" s="137"/>
      <c r="E71" s="103"/>
      <c r="F71" s="12"/>
      <c r="G71" s="137" t="s">
        <v>37</v>
      </c>
      <c r="H71" s="137"/>
      <c r="I71" s="137"/>
      <c r="J71" s="137"/>
      <c r="K71" s="137" t="s">
        <v>38</v>
      </c>
      <c r="L71" s="137"/>
      <c r="M71" s="137"/>
      <c r="N71" s="137"/>
      <c r="O71" s="246" t="s">
        <v>39</v>
      </c>
      <c r="P71" s="247"/>
      <c r="Q71" s="247"/>
      <c r="R71" s="247"/>
      <c r="S71" s="248"/>
      <c r="T71" s="89" t="s">
        <v>73</v>
      </c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4"/>
    </row>
    <row r="72" spans="1:34">
      <c r="A72" s="2"/>
      <c r="B72" s="150" t="s">
        <v>41</v>
      </c>
      <c r="C72" s="150"/>
      <c r="D72" s="150"/>
      <c r="E72" s="15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4"/>
    </row>
    <row r="73" spans="1:34">
      <c r="A73" s="2"/>
      <c r="B73" s="150"/>
      <c r="C73" s="150"/>
      <c r="D73" s="150"/>
      <c r="E73" s="15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4"/>
    </row>
    <row r="74" spans="1:34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4"/>
    </row>
    <row r="75" spans="1:34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4"/>
    </row>
    <row r="76" spans="1:34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4"/>
    </row>
    <row r="77" spans="1:34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4"/>
    </row>
    <row r="78" spans="1:34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4"/>
    </row>
    <row r="79" spans="1:34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4"/>
    </row>
    <row r="80" spans="1:34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4"/>
    </row>
    <row r="81" spans="1:34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4"/>
    </row>
    <row r="82" spans="1:34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4"/>
    </row>
    <row r="83" spans="1:34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4"/>
    </row>
    <row r="84" spans="1:34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4"/>
    </row>
    <row r="85" spans="1:34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4"/>
    </row>
    <row r="86" spans="1:34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4"/>
    </row>
    <row r="87" spans="1:34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4"/>
    </row>
    <row r="88" spans="1:34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4"/>
    </row>
    <row r="89" spans="1:34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4"/>
    </row>
    <row r="90" spans="1:34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4"/>
    </row>
    <row r="91" spans="1:34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4"/>
    </row>
    <row r="92" spans="1:34" ht="4.5" customHeight="1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4"/>
    </row>
    <row r="93" spans="1:34" ht="15.75" thickBot="1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4"/>
    </row>
    <row r="94" spans="1:34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151" t="s">
        <v>49</v>
      </c>
      <c r="Z94" s="152"/>
      <c r="AA94" s="152"/>
      <c r="AB94" s="152"/>
      <c r="AC94" s="153"/>
      <c r="AD94" s="157" t="s">
        <v>50</v>
      </c>
      <c r="AE94" s="157"/>
      <c r="AF94" s="157"/>
      <c r="AG94" s="157"/>
      <c r="AH94" s="158"/>
    </row>
    <row r="95" spans="1:34" ht="15.75" thickBot="1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154"/>
      <c r="Z95" s="155"/>
      <c r="AA95" s="155"/>
      <c r="AB95" s="155"/>
      <c r="AC95" s="156"/>
      <c r="AD95" s="159"/>
      <c r="AE95" s="159"/>
      <c r="AF95" s="159"/>
      <c r="AG95" s="159"/>
      <c r="AH95" s="160"/>
    </row>
    <row r="96" spans="1:34" ht="15" customHeight="1">
      <c r="A96" s="2"/>
      <c r="B96" s="161" t="s">
        <v>51</v>
      </c>
      <c r="C96" s="171"/>
      <c r="D96" s="171"/>
      <c r="E96" s="171"/>
      <c r="F96" s="171"/>
      <c r="G96" s="171"/>
      <c r="H96" s="170" t="s">
        <v>37</v>
      </c>
      <c r="I96" s="171"/>
      <c r="J96" s="171"/>
      <c r="K96" s="171"/>
      <c r="L96" s="171"/>
      <c r="M96" s="172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176"/>
      <c r="Z96" s="177"/>
      <c r="AA96" s="177"/>
      <c r="AB96" s="177"/>
      <c r="AC96" s="178"/>
      <c r="AD96" s="183"/>
      <c r="AE96" s="184"/>
      <c r="AF96" s="184"/>
      <c r="AG96" s="184"/>
      <c r="AH96" s="185"/>
    </row>
    <row r="97" spans="1:34" ht="15" customHeight="1">
      <c r="A97" s="2"/>
      <c r="B97" s="173"/>
      <c r="C97" s="174"/>
      <c r="D97" s="174"/>
      <c r="E97" s="174"/>
      <c r="F97" s="174"/>
      <c r="G97" s="174"/>
      <c r="H97" s="173"/>
      <c r="I97" s="174"/>
      <c r="J97" s="174"/>
      <c r="K97" s="174"/>
      <c r="L97" s="174"/>
      <c r="M97" s="175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179"/>
      <c r="Z97" s="177"/>
      <c r="AA97" s="177"/>
      <c r="AB97" s="177"/>
      <c r="AC97" s="178"/>
      <c r="AD97" s="184"/>
      <c r="AE97" s="184"/>
      <c r="AF97" s="184"/>
      <c r="AG97" s="184"/>
      <c r="AH97" s="185"/>
    </row>
    <row r="98" spans="1:34" ht="15" customHeight="1">
      <c r="A98" s="2"/>
      <c r="B98" s="173"/>
      <c r="C98" s="174"/>
      <c r="D98" s="174"/>
      <c r="E98" s="174"/>
      <c r="F98" s="174"/>
      <c r="G98" s="174"/>
      <c r="H98" s="173" t="s">
        <v>38</v>
      </c>
      <c r="I98" s="174"/>
      <c r="J98" s="174"/>
      <c r="K98" s="174"/>
      <c r="L98" s="174"/>
      <c r="M98" s="175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179"/>
      <c r="Z98" s="177"/>
      <c r="AA98" s="177"/>
      <c r="AB98" s="177"/>
      <c r="AC98" s="178"/>
      <c r="AD98" s="184"/>
      <c r="AE98" s="184"/>
      <c r="AF98" s="184"/>
      <c r="AG98" s="184"/>
      <c r="AH98" s="185"/>
    </row>
    <row r="99" spans="1:34" ht="15.75" customHeight="1" thickBot="1">
      <c r="A99" s="2"/>
      <c r="B99" s="188"/>
      <c r="C99" s="189"/>
      <c r="D99" s="189"/>
      <c r="E99" s="189"/>
      <c r="F99" s="189"/>
      <c r="G99" s="189"/>
      <c r="H99" s="188"/>
      <c r="I99" s="189"/>
      <c r="J99" s="189"/>
      <c r="K99" s="189"/>
      <c r="L99" s="189"/>
      <c r="M99" s="190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179"/>
      <c r="Z99" s="177"/>
      <c r="AA99" s="177"/>
      <c r="AB99" s="177"/>
      <c r="AC99" s="178"/>
      <c r="AD99" s="184"/>
      <c r="AE99" s="184"/>
      <c r="AF99" s="184"/>
      <c r="AG99" s="184"/>
      <c r="AH99" s="185"/>
    </row>
    <row r="100" spans="1:34" ht="9" customHeight="1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180"/>
      <c r="Z100" s="181"/>
      <c r="AA100" s="181"/>
      <c r="AB100" s="181"/>
      <c r="AC100" s="182"/>
      <c r="AD100" s="186"/>
      <c r="AE100" s="186"/>
      <c r="AF100" s="186"/>
      <c r="AG100" s="186"/>
      <c r="AH100" s="187"/>
    </row>
    <row r="101" spans="1:34" s="13" customFormat="1" ht="22.5" customHeight="1" thickBot="1">
      <c r="A101" s="199" t="s">
        <v>76</v>
      </c>
      <c r="B101" s="200"/>
      <c r="C101" s="200"/>
      <c r="D101" s="200"/>
      <c r="E101" s="200" t="s">
        <v>52</v>
      </c>
      <c r="F101" s="200"/>
      <c r="G101" s="200"/>
      <c r="H101" s="200"/>
      <c r="I101" s="201"/>
      <c r="J101" s="202" t="s">
        <v>77</v>
      </c>
      <c r="K101" s="200"/>
      <c r="L101" s="200"/>
      <c r="M101" s="200"/>
      <c r="N101" s="200" t="s">
        <v>78</v>
      </c>
      <c r="O101" s="200"/>
      <c r="P101" s="200"/>
      <c r="Q101" s="201"/>
      <c r="R101" s="203"/>
      <c r="S101" s="204"/>
      <c r="T101" s="204"/>
      <c r="U101" s="204"/>
      <c r="V101" s="204"/>
      <c r="W101" s="204"/>
      <c r="X101" s="205"/>
      <c r="Y101" s="202" t="s">
        <v>79</v>
      </c>
      <c r="Z101" s="200"/>
      <c r="AA101" s="200"/>
      <c r="AB101" s="200"/>
      <c r="AC101" s="200"/>
      <c r="AD101" s="197">
        <v>41883</v>
      </c>
      <c r="AE101" s="197"/>
      <c r="AF101" s="197"/>
      <c r="AG101" s="197"/>
      <c r="AH101" s="198"/>
    </row>
  </sheetData>
  <mergeCells count="208">
    <mergeCell ref="A3:F3"/>
    <mergeCell ref="G3:Q3"/>
    <mergeCell ref="R3:W3"/>
    <mergeCell ref="X3:AH3"/>
    <mergeCell ref="A4:F4"/>
    <mergeCell ref="G4:Q4"/>
    <mergeCell ref="R4:W4"/>
    <mergeCell ref="X4:AH4"/>
    <mergeCell ref="A1:AC1"/>
    <mergeCell ref="AD1:AF1"/>
    <mergeCell ref="AG1:AH1"/>
    <mergeCell ref="A2:F2"/>
    <mergeCell ref="G2:Q2"/>
    <mergeCell ref="R2:W2"/>
    <mergeCell ref="X2:AH2"/>
    <mergeCell ref="B7:AG7"/>
    <mergeCell ref="B8:H8"/>
    <mergeCell ref="I8:N8"/>
    <mergeCell ref="O8:U8"/>
    <mergeCell ref="V8:AA8"/>
    <mergeCell ref="AB8:AG8"/>
    <mergeCell ref="A5:F5"/>
    <mergeCell ref="G5:Q5"/>
    <mergeCell ref="R5:W5"/>
    <mergeCell ref="X5:Y5"/>
    <mergeCell ref="Z5:AC5"/>
    <mergeCell ref="AD5:AH5"/>
    <mergeCell ref="B9:H9"/>
    <mergeCell ref="I9:N9"/>
    <mergeCell ref="O9:U9"/>
    <mergeCell ref="V9:AA9"/>
    <mergeCell ref="AB9:AG9"/>
    <mergeCell ref="B10:H10"/>
    <mergeCell ref="I10:N10"/>
    <mergeCell ref="O10:U10"/>
    <mergeCell ref="V10:AA10"/>
    <mergeCell ref="AB10:AG10"/>
    <mergeCell ref="F14:K14"/>
    <mergeCell ref="L14:S14"/>
    <mergeCell ref="T14:Y14"/>
    <mergeCell ref="Z14:AG14"/>
    <mergeCell ref="B15:K15"/>
    <mergeCell ref="L15:S15"/>
    <mergeCell ref="B11:H11"/>
    <mergeCell ref="I11:N11"/>
    <mergeCell ref="O11:U11"/>
    <mergeCell ref="V11:AA11"/>
    <mergeCell ref="AB11:AG11"/>
    <mergeCell ref="B13:E14"/>
    <mergeCell ref="F13:K13"/>
    <mergeCell ref="L13:S13"/>
    <mergeCell ref="T13:Y13"/>
    <mergeCell ref="Z13:AG13"/>
    <mergeCell ref="B22:K22"/>
    <mergeCell ref="L22:U22"/>
    <mergeCell ref="V22:AE22"/>
    <mergeCell ref="B23:K23"/>
    <mergeCell ref="L23:U23"/>
    <mergeCell ref="V23:AC23"/>
    <mergeCell ref="AD23:AE23"/>
    <mergeCell ref="B19:K19"/>
    <mergeCell ref="L19:U19"/>
    <mergeCell ref="B20:U20"/>
    <mergeCell ref="V20:AE21"/>
    <mergeCell ref="B21:K21"/>
    <mergeCell ref="L21:U21"/>
    <mergeCell ref="B28:K28"/>
    <mergeCell ref="L28:U28"/>
    <mergeCell ref="V28:AE28"/>
    <mergeCell ref="B29:K29"/>
    <mergeCell ref="L29:U29"/>
    <mergeCell ref="V29:AC29"/>
    <mergeCell ref="AD29:AE29"/>
    <mergeCell ref="B25:K25"/>
    <mergeCell ref="L25:U25"/>
    <mergeCell ref="B26:U26"/>
    <mergeCell ref="V26:AE27"/>
    <mergeCell ref="B27:K27"/>
    <mergeCell ref="L27:U27"/>
    <mergeCell ref="B37:U37"/>
    <mergeCell ref="V37:AE38"/>
    <mergeCell ref="B38:K38"/>
    <mergeCell ref="L38:U38"/>
    <mergeCell ref="B39:K39"/>
    <mergeCell ref="L39:U39"/>
    <mergeCell ref="V39:AE39"/>
    <mergeCell ref="B31:F31"/>
    <mergeCell ref="H31:K31"/>
    <mergeCell ref="L31:O31"/>
    <mergeCell ref="Q31:U31"/>
    <mergeCell ref="V31:AE31"/>
    <mergeCell ref="C32:F33"/>
    <mergeCell ref="B42:E43"/>
    <mergeCell ref="Y44:AC45"/>
    <mergeCell ref="AD44:AH45"/>
    <mergeCell ref="B46:G49"/>
    <mergeCell ref="H46:M47"/>
    <mergeCell ref="Y46:AC50"/>
    <mergeCell ref="AD46:AH50"/>
    <mergeCell ref="H48:M49"/>
    <mergeCell ref="B40:K40"/>
    <mergeCell ref="L40:U40"/>
    <mergeCell ref="V40:AC40"/>
    <mergeCell ref="AD40:AE40"/>
    <mergeCell ref="B41:F41"/>
    <mergeCell ref="H41:K41"/>
    <mergeCell ref="L41:O41"/>
    <mergeCell ref="Q41:U41"/>
    <mergeCell ref="V41:AE41"/>
    <mergeCell ref="AD51:AH51"/>
    <mergeCell ref="A54:AC54"/>
    <mergeCell ref="AD54:AF54"/>
    <mergeCell ref="AG54:AH54"/>
    <mergeCell ref="A55:F55"/>
    <mergeCell ref="G55:Q55"/>
    <mergeCell ref="R55:W55"/>
    <mergeCell ref="X55:AH55"/>
    <mergeCell ref="A51:D51"/>
    <mergeCell ref="E51:I51"/>
    <mergeCell ref="J51:M51"/>
    <mergeCell ref="N51:Q51"/>
    <mergeCell ref="R51:X51"/>
    <mergeCell ref="Y51:AC51"/>
    <mergeCell ref="A58:F58"/>
    <mergeCell ref="G58:Q58"/>
    <mergeCell ref="R58:W58"/>
    <mergeCell ref="X58:Y58"/>
    <mergeCell ref="Z58:AC58"/>
    <mergeCell ref="AD58:AH58"/>
    <mergeCell ref="A56:F56"/>
    <mergeCell ref="G56:Q56"/>
    <mergeCell ref="R56:W56"/>
    <mergeCell ref="X56:AH56"/>
    <mergeCell ref="A57:F57"/>
    <mergeCell ref="G57:Q57"/>
    <mergeCell ref="R57:W57"/>
    <mergeCell ref="X57:AH57"/>
    <mergeCell ref="K65:N65"/>
    <mergeCell ref="O65:S65"/>
    <mergeCell ref="T65:X65"/>
    <mergeCell ref="Y65:AB65"/>
    <mergeCell ref="AC65:AG65"/>
    <mergeCell ref="B66:C66"/>
    <mergeCell ref="D66:E66"/>
    <mergeCell ref="F66:J66"/>
    <mergeCell ref="K66:N66"/>
    <mergeCell ref="O66:S66"/>
    <mergeCell ref="B63:E65"/>
    <mergeCell ref="F63:S63"/>
    <mergeCell ref="T63:AG63"/>
    <mergeCell ref="F64:J64"/>
    <mergeCell ref="K64:N64"/>
    <mergeCell ref="O64:S64"/>
    <mergeCell ref="T64:X64"/>
    <mergeCell ref="Y64:AB64"/>
    <mergeCell ref="AC64:AG64"/>
    <mergeCell ref="F65:J65"/>
    <mergeCell ref="T66:X66"/>
    <mergeCell ref="Y66:AB66"/>
    <mergeCell ref="AC66:AG66"/>
    <mergeCell ref="B67:E67"/>
    <mergeCell ref="F67:J67"/>
    <mergeCell ref="K67:N67"/>
    <mergeCell ref="O67:S67"/>
    <mergeCell ref="T67:X67"/>
    <mergeCell ref="Y67:AB67"/>
    <mergeCell ref="AC67:AG67"/>
    <mergeCell ref="AC68:AG68"/>
    <mergeCell ref="B69:E69"/>
    <mergeCell ref="F69:J69"/>
    <mergeCell ref="K69:N69"/>
    <mergeCell ref="O69:S69"/>
    <mergeCell ref="T69:X69"/>
    <mergeCell ref="Y69:AB69"/>
    <mergeCell ref="AC69:AG69"/>
    <mergeCell ref="B68:E68"/>
    <mergeCell ref="F68:J68"/>
    <mergeCell ref="K68:N68"/>
    <mergeCell ref="O68:S68"/>
    <mergeCell ref="T68:X68"/>
    <mergeCell ref="Y68:AB68"/>
    <mergeCell ref="AC70:AG70"/>
    <mergeCell ref="B71:E71"/>
    <mergeCell ref="G71:J71"/>
    <mergeCell ref="K71:N71"/>
    <mergeCell ref="O71:S71"/>
    <mergeCell ref="T71:AG71"/>
    <mergeCell ref="B70:E70"/>
    <mergeCell ref="F70:J70"/>
    <mergeCell ref="K70:N70"/>
    <mergeCell ref="O70:S70"/>
    <mergeCell ref="T70:X70"/>
    <mergeCell ref="Y70:AB70"/>
    <mergeCell ref="AD101:AH101"/>
    <mergeCell ref="A101:D101"/>
    <mergeCell ref="E101:I101"/>
    <mergeCell ref="J101:M101"/>
    <mergeCell ref="N101:Q101"/>
    <mergeCell ref="R101:X101"/>
    <mergeCell ref="Y101:AC101"/>
    <mergeCell ref="B72:E73"/>
    <mergeCell ref="Y94:AC95"/>
    <mergeCell ref="AD94:AH95"/>
    <mergeCell ref="B96:G99"/>
    <mergeCell ref="H96:M97"/>
    <mergeCell ref="Y96:AC100"/>
    <mergeCell ref="AD96:AH100"/>
    <mergeCell ref="H98:M99"/>
  </mergeCells>
  <pageMargins left="0.47244094488188981" right="0.26" top="0.39" bottom="0.19685039370078741" header="0.35433070866141736" footer="0.11811023622047245"/>
  <pageSetup paperSize="9" scale="94" firstPageNumber="4294963191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16385" r:id="rId4">
          <objectPr defaultSize="0" autoPict="0" r:id="rId5">
            <anchor moveWithCells="1">
              <from>
                <xdr:col>6</xdr:col>
                <xdr:colOff>142875</xdr:colOff>
                <xdr:row>31</xdr:row>
                <xdr:rowOff>38100</xdr:rowOff>
              </from>
              <to>
                <xdr:col>9</xdr:col>
                <xdr:colOff>19050</xdr:colOff>
                <xdr:row>32</xdr:row>
                <xdr:rowOff>152400</xdr:rowOff>
              </to>
            </anchor>
          </objectPr>
        </oleObject>
      </mc:Choice>
      <mc:Fallback>
        <oleObject progId="Equation.3" shapeId="16385" r:id="rId4"/>
      </mc:Fallback>
    </mc:AlternateContent>
    <mc:AlternateContent xmlns:mc="http://schemas.openxmlformats.org/markup-compatibility/2006">
      <mc:Choice Requires="x14">
        <oleObject progId="Equation.3" shapeId="16386" r:id="rId6">
          <objectPr defaultSize="0" autoPict="0" r:id="rId7">
            <anchor moveWithCells="1">
              <from>
                <xdr:col>6</xdr:col>
                <xdr:colOff>95250</xdr:colOff>
                <xdr:row>41</xdr:row>
                <xdr:rowOff>180975</xdr:rowOff>
              </from>
              <to>
                <xdr:col>9</xdr:col>
                <xdr:colOff>123825</xdr:colOff>
                <xdr:row>43</xdr:row>
                <xdr:rowOff>104775</xdr:rowOff>
              </to>
            </anchor>
          </objectPr>
        </oleObject>
      </mc:Choice>
      <mc:Fallback>
        <oleObject progId="Equation.3" shapeId="16386" r:id="rId6"/>
      </mc:Fallback>
    </mc:AlternateContent>
    <mc:AlternateContent xmlns:mc="http://schemas.openxmlformats.org/markup-compatibility/2006">
      <mc:Choice Requires="x14">
        <oleObject progId="Equation.3" shapeId="16387" r:id="rId8">
          <objectPr defaultSize="0" autoPict="0" r:id="rId9">
            <anchor moveWithCells="1">
              <from>
                <xdr:col>5</xdr:col>
                <xdr:colOff>0</xdr:colOff>
                <xdr:row>72</xdr:row>
                <xdr:rowOff>85725</xdr:rowOff>
              </from>
              <to>
                <xdr:col>7</xdr:col>
                <xdr:colOff>114300</xdr:colOff>
                <xdr:row>74</xdr:row>
                <xdr:rowOff>19050</xdr:rowOff>
              </to>
            </anchor>
          </objectPr>
        </oleObject>
      </mc:Choice>
      <mc:Fallback>
        <oleObject progId="Equation.3" shapeId="16387" r:id="rId8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101"/>
  <sheetViews>
    <sheetView zoomScale="130" zoomScaleNormal="130" workbookViewId="0">
      <selection activeCell="AB10" sqref="AB10:AG10"/>
    </sheetView>
  </sheetViews>
  <sheetFormatPr defaultColWidth="2.5" defaultRowHeight="15"/>
  <cols>
    <col min="1" max="16384" width="2.5" style="1"/>
  </cols>
  <sheetData>
    <row r="1" spans="1:34" ht="27" customHeight="1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7"/>
      <c r="AD1" s="48" t="s">
        <v>1</v>
      </c>
      <c r="AE1" s="49"/>
      <c r="AF1" s="49"/>
      <c r="AG1" s="50" t="s">
        <v>2</v>
      </c>
      <c r="AH1" s="51"/>
    </row>
    <row r="2" spans="1:34" ht="19.5" customHeight="1">
      <c r="A2" s="52" t="s">
        <v>3</v>
      </c>
      <c r="B2" s="53"/>
      <c r="C2" s="53"/>
      <c r="D2" s="53"/>
      <c r="E2" s="53"/>
      <c r="F2" s="53"/>
      <c r="G2" s="54" t="s">
        <v>85</v>
      </c>
      <c r="H2" s="55"/>
      <c r="I2" s="55"/>
      <c r="J2" s="55"/>
      <c r="K2" s="55"/>
      <c r="L2" s="55"/>
      <c r="M2" s="55"/>
      <c r="N2" s="55"/>
      <c r="O2" s="55"/>
      <c r="P2" s="55"/>
      <c r="Q2" s="56"/>
      <c r="R2" s="28" t="s">
        <v>4</v>
      </c>
      <c r="S2" s="29"/>
      <c r="T2" s="29"/>
      <c r="U2" s="29"/>
      <c r="V2" s="29"/>
      <c r="W2" s="30"/>
      <c r="X2" s="31">
        <v>42886</v>
      </c>
      <c r="Y2" s="32"/>
      <c r="Z2" s="32"/>
      <c r="AA2" s="32"/>
      <c r="AB2" s="32"/>
      <c r="AC2" s="32"/>
      <c r="AD2" s="32"/>
      <c r="AE2" s="32"/>
      <c r="AF2" s="32"/>
      <c r="AG2" s="32"/>
      <c r="AH2" s="33"/>
    </row>
    <row r="3" spans="1:34" ht="19.5" customHeight="1">
      <c r="A3" s="23" t="s">
        <v>5</v>
      </c>
      <c r="B3" s="24"/>
      <c r="C3" s="24"/>
      <c r="D3" s="24"/>
      <c r="E3" s="24"/>
      <c r="F3" s="24"/>
      <c r="G3" s="25" t="s">
        <v>83</v>
      </c>
      <c r="H3" s="26"/>
      <c r="I3" s="26"/>
      <c r="J3" s="26"/>
      <c r="K3" s="26"/>
      <c r="L3" s="26"/>
      <c r="M3" s="26"/>
      <c r="N3" s="26"/>
      <c r="O3" s="26"/>
      <c r="P3" s="26"/>
      <c r="Q3" s="27"/>
      <c r="R3" s="28" t="s">
        <v>6</v>
      </c>
      <c r="S3" s="29"/>
      <c r="T3" s="29"/>
      <c r="U3" s="29"/>
      <c r="V3" s="29"/>
      <c r="W3" s="30"/>
      <c r="X3" s="31">
        <v>43251</v>
      </c>
      <c r="Y3" s="32"/>
      <c r="Z3" s="32"/>
      <c r="AA3" s="32"/>
      <c r="AB3" s="32"/>
      <c r="AC3" s="32"/>
      <c r="AD3" s="32"/>
      <c r="AE3" s="32"/>
      <c r="AF3" s="32"/>
      <c r="AG3" s="32"/>
      <c r="AH3" s="33"/>
    </row>
    <row r="4" spans="1:34" ht="19.5" customHeight="1">
      <c r="A4" s="34" t="s">
        <v>7</v>
      </c>
      <c r="B4" s="35"/>
      <c r="C4" s="35"/>
      <c r="D4" s="35"/>
      <c r="E4" s="35"/>
      <c r="F4" s="35"/>
      <c r="G4" s="36" t="s">
        <v>84</v>
      </c>
      <c r="H4" s="37"/>
      <c r="I4" s="37"/>
      <c r="J4" s="37"/>
      <c r="K4" s="37"/>
      <c r="L4" s="37"/>
      <c r="M4" s="37"/>
      <c r="N4" s="37"/>
      <c r="O4" s="37"/>
      <c r="P4" s="37"/>
      <c r="Q4" s="38"/>
      <c r="R4" s="39" t="s">
        <v>8</v>
      </c>
      <c r="S4" s="40"/>
      <c r="T4" s="40"/>
      <c r="U4" s="40"/>
      <c r="V4" s="40"/>
      <c r="W4" s="41"/>
      <c r="X4" s="42" t="s">
        <v>9</v>
      </c>
      <c r="Y4" s="43"/>
      <c r="Z4" s="43"/>
      <c r="AA4" s="43"/>
      <c r="AB4" s="43"/>
      <c r="AC4" s="43"/>
      <c r="AD4" s="43"/>
      <c r="AE4" s="43"/>
      <c r="AF4" s="43"/>
      <c r="AG4" s="43"/>
      <c r="AH4" s="44"/>
    </row>
    <row r="5" spans="1:34" ht="19.5" customHeight="1">
      <c r="A5" s="65" t="s">
        <v>10</v>
      </c>
      <c r="B5" s="66"/>
      <c r="C5" s="66"/>
      <c r="D5" s="66"/>
      <c r="E5" s="66"/>
      <c r="F5" s="67"/>
      <c r="G5" s="68" t="s">
        <v>120</v>
      </c>
      <c r="H5" s="68"/>
      <c r="I5" s="68"/>
      <c r="J5" s="68"/>
      <c r="K5" s="68"/>
      <c r="L5" s="68"/>
      <c r="M5" s="68"/>
      <c r="N5" s="68"/>
      <c r="O5" s="68"/>
      <c r="P5" s="68"/>
      <c r="Q5" s="68"/>
      <c r="R5" s="69" t="s">
        <v>11</v>
      </c>
      <c r="S5" s="69"/>
      <c r="T5" s="69"/>
      <c r="U5" s="69"/>
      <c r="V5" s="69"/>
      <c r="W5" s="69"/>
      <c r="X5" s="70" t="s">
        <v>12</v>
      </c>
      <c r="Y5" s="71"/>
      <c r="Z5" s="72">
        <v>50</v>
      </c>
      <c r="AA5" s="73"/>
      <c r="AB5" s="73"/>
      <c r="AC5" s="73"/>
      <c r="AD5" s="74" t="s">
        <v>13</v>
      </c>
      <c r="AE5" s="74"/>
      <c r="AF5" s="74"/>
      <c r="AG5" s="74"/>
      <c r="AH5" s="75"/>
    </row>
    <row r="6" spans="1:34" ht="15.75" thickBo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4"/>
    </row>
    <row r="7" spans="1:34" ht="15" customHeight="1">
      <c r="A7" s="2"/>
      <c r="B7" s="57" t="s">
        <v>14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9"/>
      <c r="AH7" s="4"/>
    </row>
    <row r="8" spans="1:34" ht="15" customHeight="1">
      <c r="A8" s="2"/>
      <c r="B8" s="60" t="s">
        <v>15</v>
      </c>
      <c r="C8" s="61"/>
      <c r="D8" s="61"/>
      <c r="E8" s="61"/>
      <c r="F8" s="61"/>
      <c r="G8" s="61"/>
      <c r="H8" s="61"/>
      <c r="I8" s="62" t="s">
        <v>3</v>
      </c>
      <c r="J8" s="62"/>
      <c r="K8" s="62"/>
      <c r="L8" s="62"/>
      <c r="M8" s="62"/>
      <c r="N8" s="62"/>
      <c r="O8" s="61" t="s">
        <v>16</v>
      </c>
      <c r="P8" s="61"/>
      <c r="Q8" s="61"/>
      <c r="R8" s="61"/>
      <c r="S8" s="61"/>
      <c r="T8" s="61"/>
      <c r="U8" s="61"/>
      <c r="V8" s="63" t="s">
        <v>17</v>
      </c>
      <c r="W8" s="63"/>
      <c r="X8" s="63"/>
      <c r="Y8" s="63"/>
      <c r="Z8" s="63"/>
      <c r="AA8" s="63"/>
      <c r="AB8" s="63" t="s">
        <v>18</v>
      </c>
      <c r="AC8" s="63"/>
      <c r="AD8" s="63"/>
      <c r="AE8" s="63"/>
      <c r="AF8" s="63"/>
      <c r="AG8" s="64"/>
      <c r="AH8" s="4"/>
    </row>
    <row r="9" spans="1:34" ht="19.5" customHeight="1">
      <c r="A9" s="2"/>
      <c r="B9" s="76" t="s">
        <v>19</v>
      </c>
      <c r="C9" s="77"/>
      <c r="D9" s="77"/>
      <c r="E9" s="77"/>
      <c r="F9" s="77"/>
      <c r="G9" s="77"/>
      <c r="H9" s="77"/>
      <c r="I9" s="78" t="s">
        <v>109</v>
      </c>
      <c r="J9" s="78"/>
      <c r="K9" s="78"/>
      <c r="L9" s="78"/>
      <c r="M9" s="78"/>
      <c r="N9" s="78"/>
      <c r="O9" s="78" t="s">
        <v>74</v>
      </c>
      <c r="P9" s="78"/>
      <c r="Q9" s="78"/>
      <c r="R9" s="78"/>
      <c r="S9" s="78"/>
      <c r="T9" s="78"/>
      <c r="U9" s="78"/>
      <c r="V9" s="78" t="s">
        <v>113</v>
      </c>
      <c r="W9" s="78"/>
      <c r="X9" s="78"/>
      <c r="Y9" s="78"/>
      <c r="Z9" s="78"/>
      <c r="AA9" s="78"/>
      <c r="AB9" s="79" t="s">
        <v>121</v>
      </c>
      <c r="AC9" s="79"/>
      <c r="AD9" s="79"/>
      <c r="AE9" s="79"/>
      <c r="AF9" s="79"/>
      <c r="AG9" s="80"/>
      <c r="AH9" s="4"/>
    </row>
    <row r="10" spans="1:34" ht="19.5" customHeight="1">
      <c r="A10" s="2"/>
      <c r="B10" s="81" t="s">
        <v>108</v>
      </c>
      <c r="C10" s="82"/>
      <c r="D10" s="82"/>
      <c r="E10" s="82"/>
      <c r="F10" s="82"/>
      <c r="G10" s="82"/>
      <c r="H10" s="82"/>
      <c r="I10" s="78" t="s">
        <v>105</v>
      </c>
      <c r="J10" s="78"/>
      <c r="K10" s="78"/>
      <c r="L10" s="78"/>
      <c r="M10" s="78"/>
      <c r="N10" s="78"/>
      <c r="O10" s="78" t="s">
        <v>74</v>
      </c>
      <c r="P10" s="78"/>
      <c r="Q10" s="78"/>
      <c r="R10" s="78"/>
      <c r="S10" s="78"/>
      <c r="T10" s="78"/>
      <c r="U10" s="78"/>
      <c r="V10" s="78" t="s">
        <v>106</v>
      </c>
      <c r="W10" s="78"/>
      <c r="X10" s="78"/>
      <c r="Y10" s="78"/>
      <c r="Z10" s="78"/>
      <c r="AA10" s="78"/>
      <c r="AB10" s="266" t="s">
        <v>107</v>
      </c>
      <c r="AC10" s="266"/>
      <c r="AD10" s="266"/>
      <c r="AE10" s="266"/>
      <c r="AF10" s="266"/>
      <c r="AG10" s="267"/>
      <c r="AH10" s="4"/>
    </row>
    <row r="11" spans="1:34" ht="19.5" customHeight="1" thickBot="1">
      <c r="A11" s="2"/>
      <c r="B11" s="94" t="s">
        <v>21</v>
      </c>
      <c r="C11" s="95"/>
      <c r="D11" s="95"/>
      <c r="E11" s="95"/>
      <c r="F11" s="95"/>
      <c r="G11" s="95"/>
      <c r="H11" s="95"/>
      <c r="I11" s="96" t="s">
        <v>105</v>
      </c>
      <c r="J11" s="96"/>
      <c r="K11" s="96"/>
      <c r="L11" s="96"/>
      <c r="M11" s="96"/>
      <c r="N11" s="96"/>
      <c r="O11" s="96" t="s">
        <v>74</v>
      </c>
      <c r="P11" s="96"/>
      <c r="Q11" s="96"/>
      <c r="R11" s="96"/>
      <c r="S11" s="96"/>
      <c r="T11" s="96"/>
      <c r="U11" s="96"/>
      <c r="V11" s="96" t="s">
        <v>106</v>
      </c>
      <c r="W11" s="96"/>
      <c r="X11" s="96"/>
      <c r="Y11" s="96"/>
      <c r="Z11" s="96"/>
      <c r="AA11" s="96"/>
      <c r="AB11" s="268" t="s">
        <v>107</v>
      </c>
      <c r="AC11" s="268"/>
      <c r="AD11" s="268"/>
      <c r="AE11" s="268"/>
      <c r="AF11" s="268"/>
      <c r="AG11" s="269"/>
      <c r="AH11" s="4"/>
    </row>
    <row r="12" spans="1:34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4"/>
    </row>
    <row r="13" spans="1:34" ht="21" customHeight="1">
      <c r="A13" s="2"/>
      <c r="B13" s="89" t="s">
        <v>22</v>
      </c>
      <c r="C13" s="89"/>
      <c r="D13" s="89"/>
      <c r="E13" s="89"/>
      <c r="F13" s="103" t="s">
        <v>3</v>
      </c>
      <c r="G13" s="89"/>
      <c r="H13" s="89"/>
      <c r="I13" s="89"/>
      <c r="J13" s="89"/>
      <c r="K13" s="89"/>
      <c r="L13" s="78" t="s">
        <v>112</v>
      </c>
      <c r="M13" s="78"/>
      <c r="N13" s="78"/>
      <c r="O13" s="78"/>
      <c r="P13" s="78"/>
      <c r="Q13" s="78"/>
      <c r="R13" s="78"/>
      <c r="S13" s="78"/>
      <c r="T13" s="89" t="s">
        <v>7</v>
      </c>
      <c r="U13" s="89"/>
      <c r="V13" s="89"/>
      <c r="W13" s="89"/>
      <c r="X13" s="89"/>
      <c r="Y13" s="89"/>
      <c r="Z13" s="78">
        <v>93310021</v>
      </c>
      <c r="AA13" s="78"/>
      <c r="AB13" s="78"/>
      <c r="AC13" s="78"/>
      <c r="AD13" s="78"/>
      <c r="AE13" s="78"/>
      <c r="AF13" s="78"/>
      <c r="AG13" s="78"/>
      <c r="AH13" s="4"/>
    </row>
    <row r="14" spans="1:34" ht="21" customHeight="1">
      <c r="A14" s="2"/>
      <c r="B14" s="89"/>
      <c r="C14" s="89"/>
      <c r="D14" s="89"/>
      <c r="E14" s="89"/>
      <c r="F14" s="85" t="s">
        <v>5</v>
      </c>
      <c r="G14" s="85"/>
      <c r="H14" s="85"/>
      <c r="I14" s="85"/>
      <c r="J14" s="85"/>
      <c r="K14" s="85"/>
      <c r="L14" s="86" t="s">
        <v>75</v>
      </c>
      <c r="M14" s="87"/>
      <c r="N14" s="87"/>
      <c r="O14" s="87"/>
      <c r="P14" s="87"/>
      <c r="Q14" s="87"/>
      <c r="R14" s="87"/>
      <c r="S14" s="88"/>
      <c r="T14" s="89" t="s">
        <v>6</v>
      </c>
      <c r="U14" s="89"/>
      <c r="V14" s="89"/>
      <c r="W14" s="89"/>
      <c r="X14" s="89"/>
      <c r="Y14" s="89"/>
      <c r="Z14" s="90">
        <v>43008</v>
      </c>
      <c r="AA14" s="90"/>
      <c r="AB14" s="90"/>
      <c r="AC14" s="90"/>
      <c r="AD14" s="90"/>
      <c r="AE14" s="90"/>
      <c r="AF14" s="90"/>
      <c r="AG14" s="90"/>
      <c r="AH14" s="4"/>
    </row>
    <row r="15" spans="1:34" ht="17.25" customHeight="1">
      <c r="A15" s="2"/>
      <c r="B15" s="89" t="s">
        <v>23</v>
      </c>
      <c r="C15" s="89"/>
      <c r="D15" s="89"/>
      <c r="E15" s="89"/>
      <c r="F15" s="89"/>
      <c r="G15" s="89"/>
      <c r="H15" s="89"/>
      <c r="I15" s="89"/>
      <c r="J15" s="89"/>
      <c r="K15" s="89"/>
      <c r="L15" s="91">
        <v>15170</v>
      </c>
      <c r="M15" s="92"/>
      <c r="N15" s="92"/>
      <c r="O15" s="92"/>
      <c r="P15" s="92"/>
      <c r="Q15" s="92"/>
      <c r="R15" s="92"/>
      <c r="S15" s="93"/>
      <c r="T15" s="5"/>
      <c r="U15" s="5"/>
      <c r="V15" s="5"/>
      <c r="W15" s="5"/>
      <c r="X15" s="5"/>
      <c r="Y15" s="5"/>
      <c r="Z15" s="6"/>
      <c r="AA15" s="6"/>
      <c r="AB15" s="6"/>
      <c r="AC15" s="6"/>
      <c r="AD15" s="6"/>
      <c r="AE15" s="6"/>
      <c r="AF15" s="6"/>
      <c r="AG15" s="6"/>
      <c r="AH15" s="4"/>
    </row>
    <row r="16" spans="1:34" ht="5.25" customHeight="1">
      <c r="A16" s="2"/>
      <c r="B16" s="5"/>
      <c r="C16" s="5"/>
      <c r="D16" s="5"/>
      <c r="E16" s="5"/>
      <c r="F16" s="5"/>
      <c r="G16" s="5"/>
      <c r="H16" s="5"/>
      <c r="I16" s="5"/>
      <c r="J16" s="5"/>
      <c r="K16" s="5"/>
      <c r="L16" s="3"/>
      <c r="M16" s="3"/>
      <c r="N16" s="3"/>
      <c r="O16" s="3"/>
      <c r="P16" s="3"/>
      <c r="Q16" s="3"/>
      <c r="R16" s="3"/>
      <c r="S16" s="3"/>
      <c r="T16" s="5"/>
      <c r="U16" s="5"/>
      <c r="V16" s="5"/>
      <c r="W16" s="5"/>
      <c r="X16" s="5"/>
      <c r="Y16" s="5"/>
      <c r="Z16" s="3"/>
      <c r="AA16" s="3"/>
      <c r="AB16" s="3"/>
      <c r="AC16" s="3"/>
      <c r="AD16" s="3"/>
      <c r="AE16" s="3"/>
      <c r="AF16" s="3"/>
      <c r="AG16" s="3"/>
      <c r="AH16" s="4"/>
    </row>
    <row r="17" spans="1:34">
      <c r="A17" s="2"/>
      <c r="B17" s="7" t="s">
        <v>24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4"/>
    </row>
    <row r="18" spans="1:34" ht="7.5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4"/>
    </row>
    <row r="19" spans="1:34" ht="15" customHeight="1">
      <c r="A19" s="2"/>
      <c r="B19" s="118" t="s">
        <v>10</v>
      </c>
      <c r="C19" s="119"/>
      <c r="D19" s="119"/>
      <c r="E19" s="119"/>
      <c r="F19" s="119"/>
      <c r="G19" s="119"/>
      <c r="H19" s="119"/>
      <c r="I19" s="119"/>
      <c r="J19" s="119"/>
      <c r="K19" s="120"/>
      <c r="L19" s="89" t="s">
        <v>90</v>
      </c>
      <c r="M19" s="89"/>
      <c r="N19" s="89"/>
      <c r="O19" s="89"/>
      <c r="P19" s="89"/>
      <c r="Q19" s="89"/>
      <c r="R19" s="89"/>
      <c r="S19" s="89"/>
      <c r="T19" s="89"/>
      <c r="U19" s="89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4"/>
    </row>
    <row r="20" spans="1:34" ht="15" customHeight="1">
      <c r="A20" s="2"/>
      <c r="B20" s="121" t="s">
        <v>25</v>
      </c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3"/>
      <c r="V20" s="124" t="s">
        <v>26</v>
      </c>
      <c r="W20" s="125"/>
      <c r="X20" s="125"/>
      <c r="Y20" s="125"/>
      <c r="Z20" s="125"/>
      <c r="AA20" s="125"/>
      <c r="AB20" s="125"/>
      <c r="AC20" s="125"/>
      <c r="AD20" s="125"/>
      <c r="AE20" s="126"/>
      <c r="AF20" s="3"/>
      <c r="AG20" s="3"/>
      <c r="AH20" s="4"/>
    </row>
    <row r="21" spans="1:34" ht="15" customHeight="1">
      <c r="A21" s="2"/>
      <c r="B21" s="130" t="s">
        <v>27</v>
      </c>
      <c r="C21" s="131"/>
      <c r="D21" s="131"/>
      <c r="E21" s="131"/>
      <c r="F21" s="131"/>
      <c r="G21" s="131"/>
      <c r="H21" s="131"/>
      <c r="I21" s="131"/>
      <c r="J21" s="131"/>
      <c r="K21" s="131"/>
      <c r="L21" s="131" t="s">
        <v>28</v>
      </c>
      <c r="M21" s="131"/>
      <c r="N21" s="131"/>
      <c r="O21" s="131"/>
      <c r="P21" s="131"/>
      <c r="Q21" s="131"/>
      <c r="R21" s="131"/>
      <c r="S21" s="131"/>
      <c r="T21" s="131"/>
      <c r="U21" s="132"/>
      <c r="V21" s="127"/>
      <c r="W21" s="128"/>
      <c r="X21" s="128"/>
      <c r="Y21" s="128"/>
      <c r="Z21" s="128"/>
      <c r="AA21" s="128"/>
      <c r="AB21" s="128"/>
      <c r="AC21" s="128"/>
      <c r="AD21" s="128"/>
      <c r="AE21" s="129"/>
      <c r="AF21" s="3"/>
      <c r="AG21" s="3"/>
      <c r="AH21" s="4"/>
    </row>
    <row r="22" spans="1:34">
      <c r="A22" s="2"/>
      <c r="B22" s="104" t="s">
        <v>29</v>
      </c>
      <c r="C22" s="105"/>
      <c r="D22" s="105"/>
      <c r="E22" s="105"/>
      <c r="F22" s="105"/>
      <c r="G22" s="105"/>
      <c r="H22" s="105"/>
      <c r="I22" s="105"/>
      <c r="J22" s="105"/>
      <c r="K22" s="105"/>
      <c r="L22" s="105" t="s">
        <v>30</v>
      </c>
      <c r="M22" s="105"/>
      <c r="N22" s="105"/>
      <c r="O22" s="105"/>
      <c r="P22" s="105"/>
      <c r="Q22" s="105"/>
      <c r="R22" s="105"/>
      <c r="S22" s="105"/>
      <c r="T22" s="105"/>
      <c r="U22" s="106"/>
      <c r="V22" s="107" t="s">
        <v>31</v>
      </c>
      <c r="W22" s="108"/>
      <c r="X22" s="108"/>
      <c r="Y22" s="108"/>
      <c r="Z22" s="108"/>
      <c r="AA22" s="108"/>
      <c r="AB22" s="108"/>
      <c r="AC22" s="108"/>
      <c r="AD22" s="108"/>
      <c r="AE22" s="109"/>
      <c r="AF22" s="3"/>
      <c r="AG22" s="3"/>
      <c r="AH22" s="4"/>
    </row>
    <row r="23" spans="1:34" ht="21" customHeight="1">
      <c r="A23" s="2"/>
      <c r="B23" s="192">
        <v>44.23</v>
      </c>
      <c r="C23" s="193"/>
      <c r="D23" s="193"/>
      <c r="E23" s="193"/>
      <c r="F23" s="193"/>
      <c r="G23" s="193"/>
      <c r="H23" s="193"/>
      <c r="I23" s="193"/>
      <c r="J23" s="193"/>
      <c r="K23" s="193"/>
      <c r="L23" s="112">
        <v>44.51</v>
      </c>
      <c r="M23" s="112"/>
      <c r="N23" s="112"/>
      <c r="O23" s="112"/>
      <c r="P23" s="112"/>
      <c r="Q23" s="112"/>
      <c r="R23" s="112"/>
      <c r="S23" s="112"/>
      <c r="T23" s="112"/>
      <c r="U23" s="113"/>
      <c r="V23" s="114">
        <f>B23/L23*100</f>
        <v>99.370927881374968</v>
      </c>
      <c r="W23" s="115"/>
      <c r="X23" s="115"/>
      <c r="Y23" s="115"/>
      <c r="Z23" s="115"/>
      <c r="AA23" s="115"/>
      <c r="AB23" s="115"/>
      <c r="AC23" s="115"/>
      <c r="AD23" s="116" t="s">
        <v>32</v>
      </c>
      <c r="AE23" s="117"/>
      <c r="AF23" s="3"/>
      <c r="AG23" s="3"/>
      <c r="AH23" s="4"/>
    </row>
    <row r="24" spans="1:34" ht="7.5" customHeight="1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4"/>
    </row>
    <row r="25" spans="1:34" ht="15" customHeight="1">
      <c r="A25" s="2"/>
      <c r="B25" s="118" t="s">
        <v>10</v>
      </c>
      <c r="C25" s="119"/>
      <c r="D25" s="119"/>
      <c r="E25" s="119"/>
      <c r="F25" s="119"/>
      <c r="G25" s="119"/>
      <c r="H25" s="119"/>
      <c r="I25" s="119"/>
      <c r="J25" s="119"/>
      <c r="K25" s="120"/>
      <c r="L25" s="89" t="s">
        <v>81</v>
      </c>
      <c r="M25" s="89"/>
      <c r="N25" s="89"/>
      <c r="O25" s="89"/>
      <c r="P25" s="89"/>
      <c r="Q25" s="89"/>
      <c r="R25" s="89"/>
      <c r="S25" s="89"/>
      <c r="T25" s="89"/>
      <c r="U25" s="89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4"/>
    </row>
    <row r="26" spans="1:34" ht="15" customHeight="1">
      <c r="A26" s="2"/>
      <c r="B26" s="138" t="s">
        <v>25</v>
      </c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3"/>
      <c r="V26" s="124" t="s">
        <v>26</v>
      </c>
      <c r="W26" s="125"/>
      <c r="X26" s="125"/>
      <c r="Y26" s="125"/>
      <c r="Z26" s="125"/>
      <c r="AA26" s="125"/>
      <c r="AB26" s="125"/>
      <c r="AC26" s="125"/>
      <c r="AD26" s="125"/>
      <c r="AE26" s="126"/>
      <c r="AF26" s="3"/>
      <c r="AG26" s="3"/>
      <c r="AH26" s="4"/>
    </row>
    <row r="27" spans="1:34" ht="15" customHeight="1">
      <c r="A27" s="2"/>
      <c r="B27" s="130" t="s">
        <v>34</v>
      </c>
      <c r="C27" s="131"/>
      <c r="D27" s="131"/>
      <c r="E27" s="131"/>
      <c r="F27" s="131"/>
      <c r="G27" s="131"/>
      <c r="H27" s="131"/>
      <c r="I27" s="131"/>
      <c r="J27" s="131"/>
      <c r="K27" s="131"/>
      <c r="L27" s="131" t="s">
        <v>35</v>
      </c>
      <c r="M27" s="131"/>
      <c r="N27" s="131"/>
      <c r="O27" s="131"/>
      <c r="P27" s="131"/>
      <c r="Q27" s="131"/>
      <c r="R27" s="131"/>
      <c r="S27" s="131"/>
      <c r="T27" s="131"/>
      <c r="U27" s="132"/>
      <c r="V27" s="127"/>
      <c r="W27" s="128"/>
      <c r="X27" s="128"/>
      <c r="Y27" s="128"/>
      <c r="Z27" s="128"/>
      <c r="AA27" s="128"/>
      <c r="AB27" s="128"/>
      <c r="AC27" s="128"/>
      <c r="AD27" s="128"/>
      <c r="AE27" s="129"/>
      <c r="AF27" s="3"/>
      <c r="AG27" s="3"/>
      <c r="AH27" s="4"/>
    </row>
    <row r="28" spans="1:34" ht="15" customHeight="1">
      <c r="A28" s="2"/>
      <c r="B28" s="104" t="s">
        <v>29</v>
      </c>
      <c r="C28" s="105"/>
      <c r="D28" s="105"/>
      <c r="E28" s="105"/>
      <c r="F28" s="105"/>
      <c r="G28" s="105"/>
      <c r="H28" s="105"/>
      <c r="I28" s="105"/>
      <c r="J28" s="105"/>
      <c r="K28" s="105"/>
      <c r="L28" s="105" t="s">
        <v>30</v>
      </c>
      <c r="M28" s="105"/>
      <c r="N28" s="105"/>
      <c r="O28" s="105"/>
      <c r="P28" s="105"/>
      <c r="Q28" s="105"/>
      <c r="R28" s="105"/>
      <c r="S28" s="105"/>
      <c r="T28" s="105"/>
      <c r="U28" s="106"/>
      <c r="V28" s="107" t="s">
        <v>31</v>
      </c>
      <c r="W28" s="108"/>
      <c r="X28" s="108"/>
      <c r="Y28" s="108"/>
      <c r="Z28" s="108"/>
      <c r="AA28" s="108"/>
      <c r="AB28" s="108"/>
      <c r="AC28" s="108"/>
      <c r="AD28" s="108"/>
      <c r="AE28" s="109"/>
      <c r="AF28" s="3"/>
      <c r="AG28" s="3"/>
      <c r="AH28" s="4"/>
    </row>
    <row r="29" spans="1:34" ht="21" customHeight="1">
      <c r="A29" s="2"/>
      <c r="B29" s="192"/>
      <c r="C29" s="193"/>
      <c r="D29" s="193"/>
      <c r="E29" s="193"/>
      <c r="F29" s="193"/>
      <c r="G29" s="193"/>
      <c r="H29" s="193"/>
      <c r="I29" s="193"/>
      <c r="J29" s="193"/>
      <c r="K29" s="193"/>
      <c r="L29" s="112"/>
      <c r="M29" s="112"/>
      <c r="N29" s="112"/>
      <c r="O29" s="112"/>
      <c r="P29" s="112"/>
      <c r="Q29" s="112"/>
      <c r="R29" s="112"/>
      <c r="S29" s="112"/>
      <c r="T29" s="112"/>
      <c r="U29" s="113"/>
      <c r="V29" s="114"/>
      <c r="W29" s="115"/>
      <c r="X29" s="115"/>
      <c r="Y29" s="115"/>
      <c r="Z29" s="115"/>
      <c r="AA29" s="115"/>
      <c r="AB29" s="115"/>
      <c r="AC29" s="115"/>
      <c r="AD29" s="116"/>
      <c r="AE29" s="117"/>
      <c r="AF29" s="3"/>
      <c r="AG29" s="3"/>
      <c r="AH29" s="4"/>
    </row>
    <row r="30" spans="1:34" ht="7.5" customHeight="1">
      <c r="A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4"/>
    </row>
    <row r="31" spans="1:34" ht="21" customHeight="1">
      <c r="A31" s="2"/>
      <c r="B31" s="136" t="s">
        <v>36</v>
      </c>
      <c r="C31" s="137"/>
      <c r="D31" s="137"/>
      <c r="E31" s="137"/>
      <c r="F31" s="103"/>
      <c r="G31" s="8"/>
      <c r="H31" s="137" t="s">
        <v>37</v>
      </c>
      <c r="I31" s="137"/>
      <c r="J31" s="137"/>
      <c r="K31" s="137"/>
      <c r="L31" s="137" t="s">
        <v>38</v>
      </c>
      <c r="M31" s="137"/>
      <c r="N31" s="137"/>
      <c r="O31" s="137"/>
      <c r="P31" s="9"/>
      <c r="Q31" s="118" t="s">
        <v>39</v>
      </c>
      <c r="R31" s="119"/>
      <c r="S31" s="119"/>
      <c r="T31" s="119"/>
      <c r="U31" s="120"/>
      <c r="V31" s="136" t="s">
        <v>40</v>
      </c>
      <c r="W31" s="137"/>
      <c r="X31" s="137"/>
      <c r="Y31" s="137"/>
      <c r="Z31" s="137"/>
      <c r="AA31" s="137"/>
      <c r="AB31" s="137"/>
      <c r="AC31" s="137"/>
      <c r="AD31" s="137"/>
      <c r="AE31" s="103"/>
      <c r="AF31" s="3"/>
      <c r="AG31" s="3"/>
      <c r="AH31" s="4"/>
    </row>
    <row r="32" spans="1:34">
      <c r="A32" s="2"/>
      <c r="C32" s="148" t="s">
        <v>41</v>
      </c>
      <c r="D32" s="148"/>
      <c r="E32" s="148"/>
      <c r="F32" s="148"/>
      <c r="G32" s="19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4"/>
    </row>
    <row r="33" spans="1:34">
      <c r="A33" s="2"/>
      <c r="C33" s="149"/>
      <c r="D33" s="149"/>
      <c r="E33" s="149"/>
      <c r="F33" s="149"/>
      <c r="G33" s="19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4"/>
    </row>
    <row r="34" spans="1:34">
      <c r="A34" s="2"/>
      <c r="B34" s="3"/>
      <c r="C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4"/>
    </row>
    <row r="35" spans="1:34">
      <c r="A35" s="2"/>
      <c r="B35" s="11" t="s">
        <v>42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4"/>
    </row>
    <row r="36" spans="1:34" ht="7.5" customHeight="1">
      <c r="A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4"/>
    </row>
    <row r="37" spans="1:34" ht="15" customHeight="1">
      <c r="A37" s="2"/>
      <c r="B37" s="138" t="s">
        <v>43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3"/>
      <c r="V37" s="139" t="s">
        <v>44</v>
      </c>
      <c r="W37" s="140"/>
      <c r="X37" s="140"/>
      <c r="Y37" s="140"/>
      <c r="Z37" s="140"/>
      <c r="AA37" s="140"/>
      <c r="AB37" s="140"/>
      <c r="AC37" s="140"/>
      <c r="AD37" s="140"/>
      <c r="AE37" s="141"/>
      <c r="AF37" s="3"/>
      <c r="AG37" s="3"/>
      <c r="AH37" s="4"/>
    </row>
    <row r="38" spans="1:34" ht="15" customHeight="1">
      <c r="A38" s="2"/>
      <c r="B38" s="130" t="s">
        <v>18</v>
      </c>
      <c r="C38" s="131"/>
      <c r="D38" s="131"/>
      <c r="E38" s="131"/>
      <c r="F38" s="131"/>
      <c r="G38" s="131"/>
      <c r="H38" s="131"/>
      <c r="I38" s="131"/>
      <c r="J38" s="131"/>
      <c r="K38" s="131"/>
      <c r="L38" s="131" t="s">
        <v>45</v>
      </c>
      <c r="M38" s="131"/>
      <c r="N38" s="131"/>
      <c r="O38" s="131"/>
      <c r="P38" s="131"/>
      <c r="Q38" s="131"/>
      <c r="R38" s="131"/>
      <c r="S38" s="131"/>
      <c r="T38" s="131"/>
      <c r="U38" s="132"/>
      <c r="V38" s="142"/>
      <c r="W38" s="143"/>
      <c r="X38" s="143"/>
      <c r="Y38" s="143"/>
      <c r="Z38" s="143"/>
      <c r="AA38" s="143"/>
      <c r="AB38" s="143"/>
      <c r="AC38" s="143"/>
      <c r="AD38" s="143"/>
      <c r="AE38" s="144"/>
      <c r="AF38" s="3"/>
      <c r="AG38" s="3"/>
      <c r="AH38" s="4"/>
    </row>
    <row r="39" spans="1:34" ht="15" customHeight="1">
      <c r="A39" s="2"/>
      <c r="B39" s="145" t="s">
        <v>46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 t="s">
        <v>47</v>
      </c>
      <c r="M39" s="146"/>
      <c r="N39" s="146"/>
      <c r="O39" s="146"/>
      <c r="P39" s="146"/>
      <c r="Q39" s="146"/>
      <c r="R39" s="146"/>
      <c r="S39" s="146"/>
      <c r="T39" s="146"/>
      <c r="U39" s="147"/>
      <c r="V39" s="145" t="s">
        <v>31</v>
      </c>
      <c r="W39" s="146"/>
      <c r="X39" s="146"/>
      <c r="Y39" s="146"/>
      <c r="Z39" s="146"/>
      <c r="AA39" s="146"/>
      <c r="AB39" s="146"/>
      <c r="AC39" s="146"/>
      <c r="AD39" s="146"/>
      <c r="AE39" s="147"/>
      <c r="AF39" s="3"/>
      <c r="AG39" s="3"/>
      <c r="AH39" s="4"/>
    </row>
    <row r="40" spans="1:34" ht="21" customHeight="1">
      <c r="A40" s="2"/>
      <c r="B40" s="110">
        <v>45.17</v>
      </c>
      <c r="C40" s="111"/>
      <c r="D40" s="111"/>
      <c r="E40" s="111"/>
      <c r="F40" s="111"/>
      <c r="G40" s="111"/>
      <c r="H40" s="111"/>
      <c r="I40" s="111"/>
      <c r="J40" s="111"/>
      <c r="K40" s="111"/>
      <c r="L40" s="193">
        <v>45.28</v>
      </c>
      <c r="M40" s="193"/>
      <c r="N40" s="193"/>
      <c r="O40" s="193"/>
      <c r="P40" s="193"/>
      <c r="Q40" s="193"/>
      <c r="R40" s="193"/>
      <c r="S40" s="193"/>
      <c r="T40" s="193"/>
      <c r="U40" s="265"/>
      <c r="V40" s="192">
        <f>100*(L40-B40)/Z5</f>
        <v>0.21999999999999886</v>
      </c>
      <c r="W40" s="193"/>
      <c r="X40" s="193"/>
      <c r="Y40" s="193"/>
      <c r="Z40" s="193"/>
      <c r="AA40" s="193"/>
      <c r="AB40" s="193"/>
      <c r="AC40" s="194"/>
      <c r="AD40" s="195" t="s">
        <v>32</v>
      </c>
      <c r="AE40" s="196"/>
      <c r="AF40" s="3"/>
      <c r="AG40" s="3"/>
      <c r="AH40" s="4"/>
    </row>
    <row r="41" spans="1:34" ht="21" customHeight="1">
      <c r="A41" s="2"/>
      <c r="B41" s="136" t="s">
        <v>36</v>
      </c>
      <c r="C41" s="137"/>
      <c r="D41" s="137"/>
      <c r="E41" s="137"/>
      <c r="F41" s="103"/>
      <c r="G41" s="8"/>
      <c r="H41" s="137" t="s">
        <v>37</v>
      </c>
      <c r="I41" s="137"/>
      <c r="J41" s="137"/>
      <c r="K41" s="137"/>
      <c r="L41" s="137" t="s">
        <v>38</v>
      </c>
      <c r="M41" s="137"/>
      <c r="N41" s="137"/>
      <c r="O41" s="137"/>
      <c r="P41" s="9"/>
      <c r="Q41" s="118" t="s">
        <v>39</v>
      </c>
      <c r="R41" s="119"/>
      <c r="S41" s="119"/>
      <c r="T41" s="119"/>
      <c r="U41" s="120"/>
      <c r="V41" s="136" t="s">
        <v>48</v>
      </c>
      <c r="W41" s="137"/>
      <c r="X41" s="137"/>
      <c r="Y41" s="137"/>
      <c r="Z41" s="137"/>
      <c r="AA41" s="137"/>
      <c r="AB41" s="137"/>
      <c r="AC41" s="137"/>
      <c r="AD41" s="137"/>
      <c r="AE41" s="103"/>
      <c r="AF41" s="3"/>
      <c r="AG41" s="3"/>
      <c r="AH41" s="4"/>
    </row>
    <row r="42" spans="1:34">
      <c r="A42" s="2"/>
      <c r="B42" s="150" t="s">
        <v>41</v>
      </c>
      <c r="C42" s="150"/>
      <c r="D42" s="150"/>
      <c r="E42" s="150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4"/>
    </row>
    <row r="43" spans="1:34" ht="15.75" thickBot="1">
      <c r="A43" s="2"/>
      <c r="B43" s="150"/>
      <c r="C43" s="150"/>
      <c r="D43" s="150"/>
      <c r="E43" s="150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4"/>
    </row>
    <row r="44" spans="1:34" ht="10.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151" t="s">
        <v>49</v>
      </c>
      <c r="Z44" s="152"/>
      <c r="AA44" s="152"/>
      <c r="AB44" s="152"/>
      <c r="AC44" s="153"/>
      <c r="AD44" s="157" t="s">
        <v>50</v>
      </c>
      <c r="AE44" s="157"/>
      <c r="AF44" s="157"/>
      <c r="AG44" s="157"/>
      <c r="AH44" s="158"/>
    </row>
    <row r="45" spans="1:34" ht="15.75" thickBot="1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154"/>
      <c r="Z45" s="155"/>
      <c r="AA45" s="155"/>
      <c r="AB45" s="155"/>
      <c r="AC45" s="156"/>
      <c r="AD45" s="159"/>
      <c r="AE45" s="159"/>
      <c r="AF45" s="159"/>
      <c r="AG45" s="159"/>
      <c r="AH45" s="160"/>
    </row>
    <row r="46" spans="1:34" ht="15" customHeight="1">
      <c r="A46" s="2"/>
      <c r="B46" s="161" t="s">
        <v>51</v>
      </c>
      <c r="C46" s="162"/>
      <c r="D46" s="162"/>
      <c r="E46" s="162"/>
      <c r="F46" s="162"/>
      <c r="G46" s="163"/>
      <c r="H46" s="170" t="s">
        <v>37</v>
      </c>
      <c r="I46" s="171"/>
      <c r="J46" s="171"/>
      <c r="K46" s="171"/>
      <c r="L46" s="171"/>
      <c r="M46" s="172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176"/>
      <c r="Z46" s="177"/>
      <c r="AA46" s="177"/>
      <c r="AB46" s="177"/>
      <c r="AC46" s="178"/>
      <c r="AD46" s="183"/>
      <c r="AE46" s="184"/>
      <c r="AF46" s="184"/>
      <c r="AG46" s="184"/>
      <c r="AH46" s="185"/>
    </row>
    <row r="47" spans="1:34" ht="15" customHeight="1">
      <c r="A47" s="2"/>
      <c r="B47" s="164"/>
      <c r="C47" s="165"/>
      <c r="D47" s="165"/>
      <c r="E47" s="165"/>
      <c r="F47" s="165"/>
      <c r="G47" s="166"/>
      <c r="H47" s="173"/>
      <c r="I47" s="174"/>
      <c r="J47" s="174"/>
      <c r="K47" s="174"/>
      <c r="L47" s="174"/>
      <c r="M47" s="175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179"/>
      <c r="Z47" s="177"/>
      <c r="AA47" s="177"/>
      <c r="AB47" s="177"/>
      <c r="AC47" s="178"/>
      <c r="AD47" s="184"/>
      <c r="AE47" s="184"/>
      <c r="AF47" s="184"/>
      <c r="AG47" s="184"/>
      <c r="AH47" s="185"/>
    </row>
    <row r="48" spans="1:34" ht="15" customHeight="1">
      <c r="A48" s="2"/>
      <c r="B48" s="164"/>
      <c r="C48" s="165"/>
      <c r="D48" s="165"/>
      <c r="E48" s="165"/>
      <c r="F48" s="165"/>
      <c r="G48" s="166"/>
      <c r="H48" s="173" t="s">
        <v>38</v>
      </c>
      <c r="I48" s="174"/>
      <c r="J48" s="174"/>
      <c r="K48" s="174"/>
      <c r="L48" s="174"/>
      <c r="M48" s="175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179"/>
      <c r="Z48" s="177"/>
      <c r="AA48" s="177"/>
      <c r="AB48" s="177"/>
      <c r="AC48" s="178"/>
      <c r="AD48" s="184"/>
      <c r="AE48" s="184"/>
      <c r="AF48" s="184"/>
      <c r="AG48" s="184"/>
      <c r="AH48" s="185"/>
    </row>
    <row r="49" spans="1:34" ht="15" customHeight="1" thickBot="1">
      <c r="A49" s="2"/>
      <c r="B49" s="167"/>
      <c r="C49" s="168"/>
      <c r="D49" s="168"/>
      <c r="E49" s="168"/>
      <c r="F49" s="168"/>
      <c r="G49" s="169"/>
      <c r="H49" s="188"/>
      <c r="I49" s="189"/>
      <c r="J49" s="189"/>
      <c r="K49" s="189"/>
      <c r="L49" s="189"/>
      <c r="M49" s="190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179"/>
      <c r="Z49" s="177"/>
      <c r="AA49" s="177"/>
      <c r="AB49" s="177"/>
      <c r="AC49" s="178"/>
      <c r="AD49" s="184"/>
      <c r="AE49" s="184"/>
      <c r="AF49" s="184"/>
      <c r="AG49" s="184"/>
      <c r="AH49" s="185"/>
    </row>
    <row r="50" spans="1:34" ht="10.5" customHeight="1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180"/>
      <c r="Z50" s="181"/>
      <c r="AA50" s="181"/>
      <c r="AB50" s="181"/>
      <c r="AC50" s="182"/>
      <c r="AD50" s="186"/>
      <c r="AE50" s="186"/>
      <c r="AF50" s="186"/>
      <c r="AG50" s="186"/>
      <c r="AH50" s="187"/>
    </row>
    <row r="51" spans="1:34" s="13" customFormat="1" ht="22.5" customHeight="1" thickBot="1">
      <c r="A51" s="199" t="s">
        <v>76</v>
      </c>
      <c r="B51" s="200"/>
      <c r="C51" s="200"/>
      <c r="D51" s="200"/>
      <c r="E51" s="200" t="s">
        <v>52</v>
      </c>
      <c r="F51" s="200"/>
      <c r="G51" s="200"/>
      <c r="H51" s="200"/>
      <c r="I51" s="201"/>
      <c r="J51" s="202" t="s">
        <v>77</v>
      </c>
      <c r="K51" s="200"/>
      <c r="L51" s="200"/>
      <c r="M51" s="200"/>
      <c r="N51" s="200" t="s">
        <v>78</v>
      </c>
      <c r="O51" s="200"/>
      <c r="P51" s="200"/>
      <c r="Q51" s="201"/>
      <c r="R51" s="203"/>
      <c r="S51" s="204"/>
      <c r="T51" s="204"/>
      <c r="U51" s="204"/>
      <c r="V51" s="204"/>
      <c r="W51" s="204"/>
      <c r="X51" s="205"/>
      <c r="Y51" s="202" t="s">
        <v>79</v>
      </c>
      <c r="Z51" s="200"/>
      <c r="AA51" s="200"/>
      <c r="AB51" s="200"/>
      <c r="AC51" s="200"/>
      <c r="AD51" s="197">
        <v>41883</v>
      </c>
      <c r="AE51" s="197"/>
      <c r="AF51" s="197"/>
      <c r="AG51" s="197"/>
      <c r="AH51" s="198"/>
    </row>
    <row r="53" spans="1:34" ht="15.75" thickBot="1"/>
    <row r="54" spans="1:34" ht="27" customHeight="1">
      <c r="A54" s="45" t="s">
        <v>53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7"/>
      <c r="AD54" s="48" t="s">
        <v>54</v>
      </c>
      <c r="AE54" s="49"/>
      <c r="AF54" s="49"/>
      <c r="AG54" s="50" t="s">
        <v>2</v>
      </c>
      <c r="AH54" s="51"/>
    </row>
    <row r="55" spans="1:34" ht="19.5" customHeight="1">
      <c r="A55" s="52" t="s">
        <v>3</v>
      </c>
      <c r="B55" s="53"/>
      <c r="C55" s="53"/>
      <c r="D55" s="53"/>
      <c r="E55" s="53"/>
      <c r="F55" s="53"/>
      <c r="G55" s="54" t="s">
        <v>85</v>
      </c>
      <c r="H55" s="55"/>
      <c r="I55" s="55"/>
      <c r="J55" s="55"/>
      <c r="K55" s="55"/>
      <c r="L55" s="55"/>
      <c r="M55" s="55"/>
      <c r="N55" s="55"/>
      <c r="O55" s="55"/>
      <c r="P55" s="55"/>
      <c r="Q55" s="56"/>
      <c r="R55" s="28" t="s">
        <v>4</v>
      </c>
      <c r="S55" s="29"/>
      <c r="T55" s="29"/>
      <c r="U55" s="29"/>
      <c r="V55" s="29"/>
      <c r="W55" s="30"/>
      <c r="X55" s="31">
        <f>X2</f>
        <v>42886</v>
      </c>
      <c r="Y55" s="32"/>
      <c r="Z55" s="32"/>
      <c r="AA55" s="32"/>
      <c r="AB55" s="32"/>
      <c r="AC55" s="32"/>
      <c r="AD55" s="32"/>
      <c r="AE55" s="32"/>
      <c r="AF55" s="32"/>
      <c r="AG55" s="32"/>
      <c r="AH55" s="33"/>
    </row>
    <row r="56" spans="1:34" ht="19.5" customHeight="1">
      <c r="A56" s="34" t="s">
        <v>55</v>
      </c>
      <c r="B56" s="35"/>
      <c r="C56" s="35"/>
      <c r="D56" s="35"/>
      <c r="E56" s="35"/>
      <c r="F56" s="35"/>
      <c r="G56" s="25" t="s">
        <v>83</v>
      </c>
      <c r="H56" s="26"/>
      <c r="I56" s="26"/>
      <c r="J56" s="26"/>
      <c r="K56" s="26"/>
      <c r="L56" s="26"/>
      <c r="M56" s="26"/>
      <c r="N56" s="26"/>
      <c r="O56" s="26"/>
      <c r="P56" s="26"/>
      <c r="Q56" s="27"/>
      <c r="R56" s="28" t="s">
        <v>6</v>
      </c>
      <c r="S56" s="29"/>
      <c r="T56" s="29"/>
      <c r="U56" s="29"/>
      <c r="V56" s="29"/>
      <c r="W56" s="30"/>
      <c r="X56" s="31">
        <f>X3</f>
        <v>43251</v>
      </c>
      <c r="Y56" s="32"/>
      <c r="Z56" s="32"/>
      <c r="AA56" s="32"/>
      <c r="AB56" s="32"/>
      <c r="AC56" s="32"/>
      <c r="AD56" s="32"/>
      <c r="AE56" s="32"/>
      <c r="AF56" s="32"/>
      <c r="AG56" s="32"/>
      <c r="AH56" s="33"/>
    </row>
    <row r="57" spans="1:34" ht="19.5" customHeight="1">
      <c r="A57" s="34" t="s">
        <v>7</v>
      </c>
      <c r="B57" s="35"/>
      <c r="C57" s="35"/>
      <c r="D57" s="35"/>
      <c r="E57" s="35"/>
      <c r="F57" s="35"/>
      <c r="G57" s="36" t="s">
        <v>84</v>
      </c>
      <c r="H57" s="37"/>
      <c r="I57" s="37"/>
      <c r="J57" s="37"/>
      <c r="K57" s="37"/>
      <c r="L57" s="37"/>
      <c r="M57" s="37"/>
      <c r="N57" s="37"/>
      <c r="O57" s="37"/>
      <c r="P57" s="37"/>
      <c r="Q57" s="38"/>
      <c r="R57" s="39" t="s">
        <v>8</v>
      </c>
      <c r="S57" s="40"/>
      <c r="T57" s="40"/>
      <c r="U57" s="40"/>
      <c r="V57" s="40"/>
      <c r="W57" s="41"/>
      <c r="X57" s="42" t="s">
        <v>9</v>
      </c>
      <c r="Y57" s="43"/>
      <c r="Z57" s="43"/>
      <c r="AA57" s="43"/>
      <c r="AB57" s="43"/>
      <c r="AC57" s="43"/>
      <c r="AD57" s="43"/>
      <c r="AE57" s="43"/>
      <c r="AF57" s="43"/>
      <c r="AG57" s="43"/>
      <c r="AH57" s="44"/>
    </row>
    <row r="58" spans="1:34" ht="19.5" customHeight="1">
      <c r="A58" s="65" t="s">
        <v>10</v>
      </c>
      <c r="B58" s="66"/>
      <c r="C58" s="66"/>
      <c r="D58" s="66"/>
      <c r="E58" s="66"/>
      <c r="F58" s="67"/>
      <c r="G58" s="68" t="s">
        <v>120</v>
      </c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9" t="s">
        <v>11</v>
      </c>
      <c r="S58" s="69"/>
      <c r="T58" s="69"/>
      <c r="U58" s="69"/>
      <c r="V58" s="69"/>
      <c r="W58" s="69"/>
      <c r="X58" s="70" t="s">
        <v>12</v>
      </c>
      <c r="Y58" s="71"/>
      <c r="Z58" s="72">
        <f>Z5</f>
        <v>50</v>
      </c>
      <c r="AA58" s="73"/>
      <c r="AB58" s="73"/>
      <c r="AC58" s="73"/>
      <c r="AD58" s="74" t="s">
        <v>56</v>
      </c>
      <c r="AE58" s="74"/>
      <c r="AF58" s="74"/>
      <c r="AG58" s="74"/>
      <c r="AH58" s="75"/>
    </row>
    <row r="59" spans="1:34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4"/>
    </row>
    <row r="60" spans="1:34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4"/>
    </row>
    <row r="61" spans="1:34">
      <c r="A61" s="2"/>
      <c r="B61" s="7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4"/>
    </row>
    <row r="62" spans="1:34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4"/>
    </row>
    <row r="63" spans="1:34" ht="15" customHeight="1">
      <c r="A63" s="2"/>
      <c r="B63" s="213"/>
      <c r="C63" s="214"/>
      <c r="D63" s="214"/>
      <c r="E63" s="215"/>
      <c r="F63" s="138" t="s">
        <v>58</v>
      </c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3"/>
      <c r="T63" s="138" t="s">
        <v>20</v>
      </c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3"/>
      <c r="AH63" s="4"/>
    </row>
    <row r="64" spans="1:34" ht="39.75" customHeight="1">
      <c r="A64" s="2"/>
      <c r="B64" s="216"/>
      <c r="C64" s="217"/>
      <c r="D64" s="217"/>
      <c r="E64" s="218"/>
      <c r="F64" s="130" t="s">
        <v>45</v>
      </c>
      <c r="G64" s="131"/>
      <c r="H64" s="131"/>
      <c r="I64" s="131"/>
      <c r="J64" s="131"/>
      <c r="K64" s="219" t="s">
        <v>59</v>
      </c>
      <c r="L64" s="220"/>
      <c r="M64" s="220"/>
      <c r="N64" s="220"/>
      <c r="O64" s="221" t="s">
        <v>60</v>
      </c>
      <c r="P64" s="131"/>
      <c r="Q64" s="131"/>
      <c r="R64" s="131"/>
      <c r="S64" s="132"/>
      <c r="T64" s="130" t="s">
        <v>45</v>
      </c>
      <c r="U64" s="131"/>
      <c r="V64" s="131"/>
      <c r="W64" s="131"/>
      <c r="X64" s="131"/>
      <c r="Y64" s="219" t="s">
        <v>59</v>
      </c>
      <c r="Z64" s="220"/>
      <c r="AA64" s="220"/>
      <c r="AB64" s="220"/>
      <c r="AC64" s="221" t="s">
        <v>60</v>
      </c>
      <c r="AD64" s="131"/>
      <c r="AE64" s="131"/>
      <c r="AF64" s="131"/>
      <c r="AG64" s="132"/>
      <c r="AH64" s="4"/>
    </row>
    <row r="65" spans="1:34" ht="15" customHeight="1">
      <c r="A65" s="2"/>
      <c r="B65" s="216"/>
      <c r="C65" s="217"/>
      <c r="D65" s="217"/>
      <c r="E65" s="218"/>
      <c r="F65" s="130" t="s">
        <v>61</v>
      </c>
      <c r="G65" s="131"/>
      <c r="H65" s="131"/>
      <c r="I65" s="131"/>
      <c r="J65" s="131"/>
      <c r="K65" s="131" t="s">
        <v>62</v>
      </c>
      <c r="L65" s="131"/>
      <c r="M65" s="131"/>
      <c r="N65" s="131"/>
      <c r="O65" s="131" t="s">
        <v>63</v>
      </c>
      <c r="P65" s="131"/>
      <c r="Q65" s="131"/>
      <c r="R65" s="131"/>
      <c r="S65" s="132"/>
      <c r="T65" s="130" t="s">
        <v>64</v>
      </c>
      <c r="U65" s="131"/>
      <c r="V65" s="131"/>
      <c r="W65" s="131"/>
      <c r="X65" s="131"/>
      <c r="Y65" s="131" t="s">
        <v>65</v>
      </c>
      <c r="Z65" s="131"/>
      <c r="AA65" s="131"/>
      <c r="AB65" s="131"/>
      <c r="AC65" s="131" t="s">
        <v>66</v>
      </c>
      <c r="AD65" s="131"/>
      <c r="AE65" s="131"/>
      <c r="AF65" s="131"/>
      <c r="AG65" s="132"/>
      <c r="AH65" s="4"/>
    </row>
    <row r="66" spans="1:34" ht="15" customHeight="1">
      <c r="A66" s="2"/>
      <c r="B66" s="206"/>
      <c r="C66" s="207"/>
      <c r="D66" s="208" t="s">
        <v>67</v>
      </c>
      <c r="E66" s="209"/>
      <c r="F66" s="210"/>
      <c r="G66" s="211"/>
      <c r="H66" s="211"/>
      <c r="I66" s="211"/>
      <c r="J66" s="211"/>
      <c r="K66" s="211"/>
      <c r="L66" s="211"/>
      <c r="M66" s="211"/>
      <c r="N66" s="211"/>
      <c r="O66" s="211" t="s">
        <v>32</v>
      </c>
      <c r="P66" s="211"/>
      <c r="Q66" s="211"/>
      <c r="R66" s="211"/>
      <c r="S66" s="212"/>
      <c r="T66" s="210"/>
      <c r="U66" s="211"/>
      <c r="V66" s="211"/>
      <c r="W66" s="211"/>
      <c r="X66" s="211"/>
      <c r="Y66" s="211"/>
      <c r="Z66" s="211"/>
      <c r="AA66" s="211"/>
      <c r="AB66" s="211"/>
      <c r="AC66" s="211" t="s">
        <v>32</v>
      </c>
      <c r="AD66" s="211"/>
      <c r="AE66" s="211"/>
      <c r="AF66" s="211"/>
      <c r="AG66" s="212"/>
      <c r="AH66" s="4"/>
    </row>
    <row r="67" spans="1:34" ht="21" customHeight="1">
      <c r="A67" s="2"/>
      <c r="B67" s="124" t="s">
        <v>68</v>
      </c>
      <c r="C67" s="125"/>
      <c r="D67" s="125"/>
      <c r="E67" s="126"/>
      <c r="F67" s="222">
        <v>0.03</v>
      </c>
      <c r="G67" s="223"/>
      <c r="H67" s="223"/>
      <c r="I67" s="223"/>
      <c r="J67" s="224"/>
      <c r="K67" s="225">
        <f>F67-$F$70</f>
        <v>0</v>
      </c>
      <c r="L67" s="225"/>
      <c r="M67" s="225"/>
      <c r="N67" s="226"/>
      <c r="O67" s="225">
        <f>K67/$Z$58*100</f>
        <v>0</v>
      </c>
      <c r="P67" s="225"/>
      <c r="Q67" s="225"/>
      <c r="R67" s="225"/>
      <c r="S67" s="227"/>
      <c r="T67" s="228">
        <v>45.08</v>
      </c>
      <c r="U67" s="229"/>
      <c r="V67" s="229"/>
      <c r="W67" s="229"/>
      <c r="X67" s="230"/>
      <c r="Y67" s="229">
        <f>T67-$T$70</f>
        <v>-3.9999999999999147E-2</v>
      </c>
      <c r="Z67" s="229"/>
      <c r="AA67" s="229"/>
      <c r="AB67" s="229"/>
      <c r="AC67" s="231">
        <f>Y67/$Z$58*100</f>
        <v>-7.9999999999998295E-2</v>
      </c>
      <c r="AD67" s="231"/>
      <c r="AE67" s="231"/>
      <c r="AF67" s="231"/>
      <c r="AG67" s="232"/>
      <c r="AH67" s="4"/>
    </row>
    <row r="68" spans="1:34" ht="21" customHeight="1">
      <c r="A68" s="2"/>
      <c r="B68" s="124" t="s">
        <v>69</v>
      </c>
      <c r="C68" s="125"/>
      <c r="D68" s="125"/>
      <c r="E68" s="126"/>
      <c r="F68" s="241">
        <v>0.03</v>
      </c>
      <c r="G68" s="242"/>
      <c r="H68" s="242"/>
      <c r="I68" s="242"/>
      <c r="J68" s="243"/>
      <c r="K68" s="231">
        <f>F68-$F$70</f>
        <v>0</v>
      </c>
      <c r="L68" s="231"/>
      <c r="M68" s="231"/>
      <c r="N68" s="231"/>
      <c r="O68" s="231">
        <f>K68/$Z$58*100</f>
        <v>0</v>
      </c>
      <c r="P68" s="231"/>
      <c r="Q68" s="231"/>
      <c r="R68" s="231"/>
      <c r="S68" s="232"/>
      <c r="T68" s="244">
        <v>45.15</v>
      </c>
      <c r="U68" s="231"/>
      <c r="V68" s="231"/>
      <c r="W68" s="231"/>
      <c r="X68" s="245"/>
      <c r="Y68" s="231">
        <f>T68-$T$70</f>
        <v>3.0000000000001137E-2</v>
      </c>
      <c r="Z68" s="231"/>
      <c r="AA68" s="231"/>
      <c r="AB68" s="231"/>
      <c r="AC68" s="231">
        <f>Y68/$Z$58*100</f>
        <v>6.0000000000002274E-2</v>
      </c>
      <c r="AD68" s="231"/>
      <c r="AE68" s="231"/>
      <c r="AF68" s="231"/>
      <c r="AG68" s="232"/>
      <c r="AH68" s="4"/>
    </row>
    <row r="69" spans="1:34" ht="21" customHeight="1">
      <c r="A69" s="2"/>
      <c r="B69" s="124" t="s">
        <v>70</v>
      </c>
      <c r="C69" s="125"/>
      <c r="D69" s="125"/>
      <c r="E69" s="126"/>
      <c r="F69" s="233">
        <v>0.02</v>
      </c>
      <c r="G69" s="234"/>
      <c r="H69" s="234"/>
      <c r="I69" s="234"/>
      <c r="J69" s="235"/>
      <c r="K69" s="236">
        <f>F69-$F$70</f>
        <v>-9.9999999999999985E-3</v>
      </c>
      <c r="L69" s="236"/>
      <c r="M69" s="236"/>
      <c r="N69" s="237"/>
      <c r="O69" s="238">
        <f>K69/$Z$58*100</f>
        <v>-1.9999999999999997E-2</v>
      </c>
      <c r="P69" s="238"/>
      <c r="Q69" s="238"/>
      <c r="R69" s="238"/>
      <c r="S69" s="239"/>
      <c r="T69" s="233">
        <v>45.12</v>
      </c>
      <c r="U69" s="234"/>
      <c r="V69" s="234"/>
      <c r="W69" s="234"/>
      <c r="X69" s="234"/>
      <c r="Y69" s="240">
        <f>T69-$T$70</f>
        <v>0</v>
      </c>
      <c r="Z69" s="240"/>
      <c r="AA69" s="240"/>
      <c r="AB69" s="240"/>
      <c r="AC69" s="231">
        <f>Y69/$Z$58*100</f>
        <v>0</v>
      </c>
      <c r="AD69" s="231"/>
      <c r="AE69" s="231"/>
      <c r="AF69" s="231"/>
      <c r="AG69" s="232"/>
      <c r="AH69" s="4"/>
    </row>
    <row r="70" spans="1:34" ht="21" customHeight="1">
      <c r="A70" s="2"/>
      <c r="B70" s="249" t="s">
        <v>71</v>
      </c>
      <c r="C70" s="137"/>
      <c r="D70" s="137"/>
      <c r="E70" s="103"/>
      <c r="F70" s="222">
        <f>ROUND(AVERAGE(F67:J69),2)</f>
        <v>0.03</v>
      </c>
      <c r="G70" s="223"/>
      <c r="H70" s="223"/>
      <c r="I70" s="223"/>
      <c r="J70" s="224"/>
      <c r="K70" s="250" t="s">
        <v>72</v>
      </c>
      <c r="L70" s="251"/>
      <c r="M70" s="251"/>
      <c r="N70" s="252"/>
      <c r="O70" s="253">
        <f>ROUND(AVERAGE(O67:S69),2)</f>
        <v>-0.01</v>
      </c>
      <c r="P70" s="254"/>
      <c r="Q70" s="254"/>
      <c r="R70" s="254"/>
      <c r="S70" s="255"/>
      <c r="T70" s="256">
        <f>ROUND(AVERAGE(T67:X69),2)</f>
        <v>45.12</v>
      </c>
      <c r="U70" s="112"/>
      <c r="V70" s="112"/>
      <c r="W70" s="112"/>
      <c r="X70" s="112"/>
      <c r="Y70" s="250" t="s">
        <v>72</v>
      </c>
      <c r="Z70" s="251"/>
      <c r="AA70" s="251"/>
      <c r="AB70" s="252"/>
      <c r="AC70" s="112">
        <f>ROUND(AVERAGE(AC67:AG69),2)</f>
        <v>-0.01</v>
      </c>
      <c r="AD70" s="112"/>
      <c r="AE70" s="112"/>
      <c r="AF70" s="112"/>
      <c r="AG70" s="113"/>
      <c r="AH70" s="4"/>
    </row>
    <row r="71" spans="1:34" ht="27" customHeight="1">
      <c r="A71" s="2"/>
      <c r="B71" s="136" t="s">
        <v>36</v>
      </c>
      <c r="C71" s="137"/>
      <c r="D71" s="137"/>
      <c r="E71" s="103"/>
      <c r="F71" s="12"/>
      <c r="G71" s="137" t="s">
        <v>37</v>
      </c>
      <c r="H71" s="137"/>
      <c r="I71" s="137"/>
      <c r="J71" s="137"/>
      <c r="K71" s="137" t="s">
        <v>38</v>
      </c>
      <c r="L71" s="137"/>
      <c r="M71" s="137"/>
      <c r="N71" s="137"/>
      <c r="O71" s="246" t="s">
        <v>39</v>
      </c>
      <c r="P71" s="247"/>
      <c r="Q71" s="247"/>
      <c r="R71" s="247"/>
      <c r="S71" s="248"/>
      <c r="T71" s="89" t="s">
        <v>73</v>
      </c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4"/>
    </row>
    <row r="72" spans="1:34">
      <c r="A72" s="2"/>
      <c r="B72" s="150" t="s">
        <v>41</v>
      </c>
      <c r="C72" s="150"/>
      <c r="D72" s="150"/>
      <c r="E72" s="15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4"/>
    </row>
    <row r="73" spans="1:34">
      <c r="A73" s="2"/>
      <c r="B73" s="150"/>
      <c r="C73" s="150"/>
      <c r="D73" s="150"/>
      <c r="E73" s="15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4"/>
    </row>
    <row r="74" spans="1:34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4"/>
    </row>
    <row r="75" spans="1:34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4"/>
    </row>
    <row r="76" spans="1:34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4"/>
    </row>
    <row r="77" spans="1:34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4"/>
    </row>
    <row r="78" spans="1:34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4"/>
    </row>
    <row r="79" spans="1:34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4"/>
    </row>
    <row r="80" spans="1:34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4"/>
    </row>
    <row r="81" spans="1:34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4"/>
    </row>
    <row r="82" spans="1:34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4"/>
    </row>
    <row r="83" spans="1:34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4"/>
    </row>
    <row r="84" spans="1:34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4"/>
    </row>
    <row r="85" spans="1:34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4"/>
    </row>
    <row r="86" spans="1:34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4"/>
    </row>
    <row r="87" spans="1:34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4"/>
    </row>
    <row r="88" spans="1:34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4"/>
    </row>
    <row r="89" spans="1:34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4"/>
    </row>
    <row r="90" spans="1:34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4"/>
    </row>
    <row r="91" spans="1:34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4"/>
    </row>
    <row r="92" spans="1:34" ht="4.5" customHeight="1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4"/>
    </row>
    <row r="93" spans="1:34" ht="15.75" thickBot="1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4"/>
    </row>
    <row r="94" spans="1:34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151" t="s">
        <v>49</v>
      </c>
      <c r="Z94" s="152"/>
      <c r="AA94" s="152"/>
      <c r="AB94" s="152"/>
      <c r="AC94" s="153"/>
      <c r="AD94" s="157" t="s">
        <v>50</v>
      </c>
      <c r="AE94" s="157"/>
      <c r="AF94" s="157"/>
      <c r="AG94" s="157"/>
      <c r="AH94" s="158"/>
    </row>
    <row r="95" spans="1:34" ht="15.75" thickBot="1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154"/>
      <c r="Z95" s="155"/>
      <c r="AA95" s="155"/>
      <c r="AB95" s="155"/>
      <c r="AC95" s="156"/>
      <c r="AD95" s="159"/>
      <c r="AE95" s="159"/>
      <c r="AF95" s="159"/>
      <c r="AG95" s="159"/>
      <c r="AH95" s="160"/>
    </row>
    <row r="96" spans="1:34" ht="15" customHeight="1">
      <c r="A96" s="2"/>
      <c r="B96" s="161" t="s">
        <v>51</v>
      </c>
      <c r="C96" s="171"/>
      <c r="D96" s="171"/>
      <c r="E96" s="171"/>
      <c r="F96" s="171"/>
      <c r="G96" s="171"/>
      <c r="H96" s="170" t="s">
        <v>37</v>
      </c>
      <c r="I96" s="171"/>
      <c r="J96" s="171"/>
      <c r="K96" s="171"/>
      <c r="L96" s="171"/>
      <c r="M96" s="172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176"/>
      <c r="Z96" s="177"/>
      <c r="AA96" s="177"/>
      <c r="AB96" s="177"/>
      <c r="AC96" s="178"/>
      <c r="AD96" s="183"/>
      <c r="AE96" s="184"/>
      <c r="AF96" s="184"/>
      <c r="AG96" s="184"/>
      <c r="AH96" s="185"/>
    </row>
    <row r="97" spans="1:34" ht="15" customHeight="1">
      <c r="A97" s="2"/>
      <c r="B97" s="173"/>
      <c r="C97" s="174"/>
      <c r="D97" s="174"/>
      <c r="E97" s="174"/>
      <c r="F97" s="174"/>
      <c r="G97" s="174"/>
      <c r="H97" s="173"/>
      <c r="I97" s="174"/>
      <c r="J97" s="174"/>
      <c r="K97" s="174"/>
      <c r="L97" s="174"/>
      <c r="M97" s="175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179"/>
      <c r="Z97" s="177"/>
      <c r="AA97" s="177"/>
      <c r="AB97" s="177"/>
      <c r="AC97" s="178"/>
      <c r="AD97" s="184"/>
      <c r="AE97" s="184"/>
      <c r="AF97" s="184"/>
      <c r="AG97" s="184"/>
      <c r="AH97" s="185"/>
    </row>
    <row r="98" spans="1:34" ht="15" customHeight="1">
      <c r="A98" s="2"/>
      <c r="B98" s="173"/>
      <c r="C98" s="174"/>
      <c r="D98" s="174"/>
      <c r="E98" s="174"/>
      <c r="F98" s="174"/>
      <c r="G98" s="174"/>
      <c r="H98" s="173" t="s">
        <v>38</v>
      </c>
      <c r="I98" s="174"/>
      <c r="J98" s="174"/>
      <c r="K98" s="174"/>
      <c r="L98" s="174"/>
      <c r="M98" s="175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179"/>
      <c r="Z98" s="177"/>
      <c r="AA98" s="177"/>
      <c r="AB98" s="177"/>
      <c r="AC98" s="178"/>
      <c r="AD98" s="184"/>
      <c r="AE98" s="184"/>
      <c r="AF98" s="184"/>
      <c r="AG98" s="184"/>
      <c r="AH98" s="185"/>
    </row>
    <row r="99" spans="1:34" ht="15.75" customHeight="1" thickBot="1">
      <c r="A99" s="2"/>
      <c r="B99" s="188"/>
      <c r="C99" s="189"/>
      <c r="D99" s="189"/>
      <c r="E99" s="189"/>
      <c r="F99" s="189"/>
      <c r="G99" s="189"/>
      <c r="H99" s="188"/>
      <c r="I99" s="189"/>
      <c r="J99" s="189"/>
      <c r="K99" s="189"/>
      <c r="L99" s="189"/>
      <c r="M99" s="190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179"/>
      <c r="Z99" s="177"/>
      <c r="AA99" s="177"/>
      <c r="AB99" s="177"/>
      <c r="AC99" s="178"/>
      <c r="AD99" s="184"/>
      <c r="AE99" s="184"/>
      <c r="AF99" s="184"/>
      <c r="AG99" s="184"/>
      <c r="AH99" s="185"/>
    </row>
    <row r="100" spans="1:34" ht="9" customHeight="1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180"/>
      <c r="Z100" s="181"/>
      <c r="AA100" s="181"/>
      <c r="AB100" s="181"/>
      <c r="AC100" s="182"/>
      <c r="AD100" s="186"/>
      <c r="AE100" s="186"/>
      <c r="AF100" s="186"/>
      <c r="AG100" s="186"/>
      <c r="AH100" s="187"/>
    </row>
    <row r="101" spans="1:34" s="13" customFormat="1" ht="22.5" customHeight="1" thickBot="1">
      <c r="A101" s="199" t="s">
        <v>76</v>
      </c>
      <c r="B101" s="200"/>
      <c r="C101" s="200"/>
      <c r="D101" s="200"/>
      <c r="E101" s="200" t="s">
        <v>52</v>
      </c>
      <c r="F101" s="200"/>
      <c r="G101" s="200"/>
      <c r="H101" s="200"/>
      <c r="I101" s="201"/>
      <c r="J101" s="202" t="s">
        <v>77</v>
      </c>
      <c r="K101" s="200"/>
      <c r="L101" s="200"/>
      <c r="M101" s="200"/>
      <c r="N101" s="200" t="s">
        <v>78</v>
      </c>
      <c r="O101" s="200"/>
      <c r="P101" s="200"/>
      <c r="Q101" s="201"/>
      <c r="R101" s="203"/>
      <c r="S101" s="204"/>
      <c r="T101" s="204"/>
      <c r="U101" s="204"/>
      <c r="V101" s="204"/>
      <c r="W101" s="204"/>
      <c r="X101" s="205"/>
      <c r="Y101" s="202" t="s">
        <v>79</v>
      </c>
      <c r="Z101" s="200"/>
      <c r="AA101" s="200"/>
      <c r="AB101" s="200"/>
      <c r="AC101" s="200"/>
      <c r="AD101" s="197">
        <v>41883</v>
      </c>
      <c r="AE101" s="197"/>
      <c r="AF101" s="197"/>
      <c r="AG101" s="197"/>
      <c r="AH101" s="198"/>
    </row>
  </sheetData>
  <mergeCells count="208">
    <mergeCell ref="A3:F3"/>
    <mergeCell ref="G3:Q3"/>
    <mergeCell ref="R3:W3"/>
    <mergeCell ref="X3:AH3"/>
    <mergeCell ref="A4:F4"/>
    <mergeCell ref="G4:Q4"/>
    <mergeCell ref="R4:W4"/>
    <mergeCell ref="X4:AH4"/>
    <mergeCell ref="A1:AC1"/>
    <mergeCell ref="AD1:AF1"/>
    <mergeCell ref="AG1:AH1"/>
    <mergeCell ref="A2:F2"/>
    <mergeCell ref="G2:Q2"/>
    <mergeCell ref="R2:W2"/>
    <mergeCell ref="X2:AH2"/>
    <mergeCell ref="B7:AG7"/>
    <mergeCell ref="B8:H8"/>
    <mergeCell ref="I8:N8"/>
    <mergeCell ref="O8:U8"/>
    <mergeCell ref="V8:AA8"/>
    <mergeCell ref="AB8:AG8"/>
    <mergeCell ref="A5:F5"/>
    <mergeCell ref="G5:Q5"/>
    <mergeCell ref="R5:W5"/>
    <mergeCell ref="X5:Y5"/>
    <mergeCell ref="Z5:AC5"/>
    <mergeCell ref="AD5:AH5"/>
    <mergeCell ref="B9:H9"/>
    <mergeCell ref="I9:N9"/>
    <mergeCell ref="O9:U9"/>
    <mergeCell ref="V9:AA9"/>
    <mergeCell ref="AB9:AG9"/>
    <mergeCell ref="B10:H10"/>
    <mergeCell ref="I10:N10"/>
    <mergeCell ref="O10:U10"/>
    <mergeCell ref="V10:AA10"/>
    <mergeCell ref="AB10:AG10"/>
    <mergeCell ref="F14:K14"/>
    <mergeCell ref="L14:S14"/>
    <mergeCell ref="T14:Y14"/>
    <mergeCell ref="Z14:AG14"/>
    <mergeCell ref="B15:K15"/>
    <mergeCell ref="L15:S15"/>
    <mergeCell ref="B11:H11"/>
    <mergeCell ref="I11:N11"/>
    <mergeCell ref="O11:U11"/>
    <mergeCell ref="V11:AA11"/>
    <mergeCell ref="AB11:AG11"/>
    <mergeCell ref="B13:E14"/>
    <mergeCell ref="F13:K13"/>
    <mergeCell ref="L13:S13"/>
    <mergeCell ref="T13:Y13"/>
    <mergeCell ref="Z13:AG13"/>
    <mergeCell ref="B22:K22"/>
    <mergeCell ref="L22:U22"/>
    <mergeCell ref="V22:AE22"/>
    <mergeCell ref="B23:K23"/>
    <mergeCell ref="L23:U23"/>
    <mergeCell ref="V23:AC23"/>
    <mergeCell ref="AD23:AE23"/>
    <mergeCell ref="B19:K19"/>
    <mergeCell ref="L19:U19"/>
    <mergeCell ref="B20:U20"/>
    <mergeCell ref="V20:AE21"/>
    <mergeCell ref="B21:K21"/>
    <mergeCell ref="L21:U21"/>
    <mergeCell ref="B28:K28"/>
    <mergeCell ref="L28:U28"/>
    <mergeCell ref="V28:AE28"/>
    <mergeCell ref="B29:K29"/>
    <mergeCell ref="L29:U29"/>
    <mergeCell ref="V29:AC29"/>
    <mergeCell ref="AD29:AE29"/>
    <mergeCell ref="B25:K25"/>
    <mergeCell ref="L25:U25"/>
    <mergeCell ref="B26:U26"/>
    <mergeCell ref="V26:AE27"/>
    <mergeCell ref="B27:K27"/>
    <mergeCell ref="L27:U27"/>
    <mergeCell ref="B37:U37"/>
    <mergeCell ref="V37:AE38"/>
    <mergeCell ref="B38:K38"/>
    <mergeCell ref="L38:U38"/>
    <mergeCell ref="B39:K39"/>
    <mergeCell ref="L39:U39"/>
    <mergeCell ref="V39:AE39"/>
    <mergeCell ref="B31:F31"/>
    <mergeCell ref="H31:K31"/>
    <mergeCell ref="L31:O31"/>
    <mergeCell ref="Q31:U31"/>
    <mergeCell ref="V31:AE31"/>
    <mergeCell ref="C32:F33"/>
    <mergeCell ref="B42:E43"/>
    <mergeCell ref="Y44:AC45"/>
    <mergeCell ref="AD44:AH45"/>
    <mergeCell ref="B46:G49"/>
    <mergeCell ref="H46:M47"/>
    <mergeCell ref="Y46:AC50"/>
    <mergeCell ref="AD46:AH50"/>
    <mergeCell ref="H48:M49"/>
    <mergeCell ref="B40:K40"/>
    <mergeCell ref="L40:U40"/>
    <mergeCell ref="V40:AC40"/>
    <mergeCell ref="AD40:AE40"/>
    <mergeCell ref="B41:F41"/>
    <mergeCell ref="H41:K41"/>
    <mergeCell ref="L41:O41"/>
    <mergeCell ref="Q41:U41"/>
    <mergeCell ref="V41:AE41"/>
    <mergeCell ref="AD51:AH51"/>
    <mergeCell ref="A54:AC54"/>
    <mergeCell ref="AD54:AF54"/>
    <mergeCell ref="AG54:AH54"/>
    <mergeCell ref="A55:F55"/>
    <mergeCell ref="G55:Q55"/>
    <mergeCell ref="R55:W55"/>
    <mergeCell ref="X55:AH55"/>
    <mergeCell ref="A51:D51"/>
    <mergeCell ref="E51:I51"/>
    <mergeCell ref="J51:M51"/>
    <mergeCell ref="N51:Q51"/>
    <mergeCell ref="R51:X51"/>
    <mergeCell ref="Y51:AC51"/>
    <mergeCell ref="A58:F58"/>
    <mergeCell ref="G58:Q58"/>
    <mergeCell ref="R58:W58"/>
    <mergeCell ref="X58:Y58"/>
    <mergeCell ref="Z58:AC58"/>
    <mergeCell ref="AD58:AH58"/>
    <mergeCell ref="A56:F56"/>
    <mergeCell ref="G56:Q56"/>
    <mergeCell ref="R56:W56"/>
    <mergeCell ref="X56:AH56"/>
    <mergeCell ref="A57:F57"/>
    <mergeCell ref="G57:Q57"/>
    <mergeCell ref="R57:W57"/>
    <mergeCell ref="X57:AH57"/>
    <mergeCell ref="K65:N65"/>
    <mergeCell ref="O65:S65"/>
    <mergeCell ref="T65:X65"/>
    <mergeCell ref="Y65:AB65"/>
    <mergeCell ref="AC65:AG65"/>
    <mergeCell ref="B66:C66"/>
    <mergeCell ref="D66:E66"/>
    <mergeCell ref="F66:J66"/>
    <mergeCell ref="K66:N66"/>
    <mergeCell ref="O66:S66"/>
    <mergeCell ref="B63:E65"/>
    <mergeCell ref="F63:S63"/>
    <mergeCell ref="T63:AG63"/>
    <mergeCell ref="F64:J64"/>
    <mergeCell ref="K64:N64"/>
    <mergeCell ref="O64:S64"/>
    <mergeCell ref="T64:X64"/>
    <mergeCell ref="Y64:AB64"/>
    <mergeCell ref="AC64:AG64"/>
    <mergeCell ref="F65:J65"/>
    <mergeCell ref="T66:X66"/>
    <mergeCell ref="Y66:AB66"/>
    <mergeCell ref="AC66:AG66"/>
    <mergeCell ref="B67:E67"/>
    <mergeCell ref="F67:J67"/>
    <mergeCell ref="K67:N67"/>
    <mergeCell ref="O67:S67"/>
    <mergeCell ref="T67:X67"/>
    <mergeCell ref="Y67:AB67"/>
    <mergeCell ref="AC67:AG67"/>
    <mergeCell ref="AC68:AG68"/>
    <mergeCell ref="B69:E69"/>
    <mergeCell ref="F69:J69"/>
    <mergeCell ref="K69:N69"/>
    <mergeCell ref="O69:S69"/>
    <mergeCell ref="T69:X69"/>
    <mergeCell ref="Y69:AB69"/>
    <mergeCell ref="AC69:AG69"/>
    <mergeCell ref="B68:E68"/>
    <mergeCell ref="F68:J68"/>
    <mergeCell ref="K68:N68"/>
    <mergeCell ref="O68:S68"/>
    <mergeCell ref="T68:X68"/>
    <mergeCell ref="Y68:AB68"/>
    <mergeCell ref="AC70:AG70"/>
    <mergeCell ref="B71:E71"/>
    <mergeCell ref="G71:J71"/>
    <mergeCell ref="K71:N71"/>
    <mergeCell ref="O71:S71"/>
    <mergeCell ref="T71:AG71"/>
    <mergeCell ref="B70:E70"/>
    <mergeCell ref="F70:J70"/>
    <mergeCell ref="K70:N70"/>
    <mergeCell ref="O70:S70"/>
    <mergeCell ref="T70:X70"/>
    <mergeCell ref="Y70:AB70"/>
    <mergeCell ref="AD101:AH101"/>
    <mergeCell ref="A101:D101"/>
    <mergeCell ref="E101:I101"/>
    <mergeCell ref="J101:M101"/>
    <mergeCell ref="N101:Q101"/>
    <mergeCell ref="R101:X101"/>
    <mergeCell ref="Y101:AC101"/>
    <mergeCell ref="B72:E73"/>
    <mergeCell ref="Y94:AC95"/>
    <mergeCell ref="AD94:AH95"/>
    <mergeCell ref="B96:G99"/>
    <mergeCell ref="H96:M97"/>
    <mergeCell ref="Y96:AC100"/>
    <mergeCell ref="AD96:AH100"/>
    <mergeCell ref="H98:M99"/>
  </mergeCells>
  <pageMargins left="0.47244094488188981" right="0.31" top="0.38" bottom="0.19685039370078741" header="0.32" footer="0.11811023622047245"/>
  <pageSetup paperSize="9" scale="94" firstPageNumber="4294963191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35841" r:id="rId4">
          <objectPr defaultSize="0" autoPict="0" r:id="rId5">
            <anchor moveWithCells="1">
              <from>
                <xdr:col>6</xdr:col>
                <xdr:colOff>142875</xdr:colOff>
                <xdr:row>31</xdr:row>
                <xdr:rowOff>38100</xdr:rowOff>
              </from>
              <to>
                <xdr:col>9</xdr:col>
                <xdr:colOff>19050</xdr:colOff>
                <xdr:row>32</xdr:row>
                <xdr:rowOff>152400</xdr:rowOff>
              </to>
            </anchor>
          </objectPr>
        </oleObject>
      </mc:Choice>
      <mc:Fallback>
        <oleObject progId="Equation.3" shapeId="35841" r:id="rId4"/>
      </mc:Fallback>
    </mc:AlternateContent>
    <mc:AlternateContent xmlns:mc="http://schemas.openxmlformats.org/markup-compatibility/2006">
      <mc:Choice Requires="x14">
        <oleObject progId="Equation.3" shapeId="35842" r:id="rId6">
          <objectPr defaultSize="0" autoPict="0" r:id="rId7">
            <anchor moveWithCells="1">
              <from>
                <xdr:col>6</xdr:col>
                <xdr:colOff>95250</xdr:colOff>
                <xdr:row>41</xdr:row>
                <xdr:rowOff>180975</xdr:rowOff>
              </from>
              <to>
                <xdr:col>9</xdr:col>
                <xdr:colOff>123825</xdr:colOff>
                <xdr:row>43</xdr:row>
                <xdr:rowOff>104775</xdr:rowOff>
              </to>
            </anchor>
          </objectPr>
        </oleObject>
      </mc:Choice>
      <mc:Fallback>
        <oleObject progId="Equation.3" shapeId="35842" r:id="rId6"/>
      </mc:Fallback>
    </mc:AlternateContent>
    <mc:AlternateContent xmlns:mc="http://schemas.openxmlformats.org/markup-compatibility/2006">
      <mc:Choice Requires="x14">
        <oleObject progId="Equation.3" shapeId="35843" r:id="rId8">
          <objectPr defaultSize="0" autoPict="0" r:id="rId9">
            <anchor moveWithCells="1">
              <from>
                <xdr:col>5</xdr:col>
                <xdr:colOff>0</xdr:colOff>
                <xdr:row>72</xdr:row>
                <xdr:rowOff>85725</xdr:rowOff>
              </from>
              <to>
                <xdr:col>7</xdr:col>
                <xdr:colOff>114300</xdr:colOff>
                <xdr:row>74</xdr:row>
                <xdr:rowOff>19050</xdr:rowOff>
              </to>
            </anchor>
          </objectPr>
        </oleObject>
      </mc:Choice>
      <mc:Fallback>
        <oleObject progId="Equation.3" shapeId="35843" r:id="rId8"/>
      </mc:Fallback>
    </mc:AlternateContent>
  </oleObjec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101"/>
  <sheetViews>
    <sheetView zoomScale="130" zoomScaleNormal="130" workbookViewId="0">
      <selection activeCell="G5" sqref="G5:Q5"/>
    </sheetView>
  </sheetViews>
  <sheetFormatPr defaultColWidth="2.5" defaultRowHeight="15"/>
  <cols>
    <col min="1" max="16384" width="2.5" style="1"/>
  </cols>
  <sheetData>
    <row r="1" spans="1:34" ht="27" customHeight="1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7"/>
      <c r="AD1" s="48" t="s">
        <v>1</v>
      </c>
      <c r="AE1" s="49"/>
      <c r="AF1" s="49"/>
      <c r="AG1" s="50" t="s">
        <v>2</v>
      </c>
      <c r="AH1" s="51"/>
    </row>
    <row r="2" spans="1:34" ht="19.5" customHeight="1">
      <c r="A2" s="52" t="s">
        <v>3</v>
      </c>
      <c r="B2" s="53"/>
      <c r="C2" s="53"/>
      <c r="D2" s="53"/>
      <c r="E2" s="53"/>
      <c r="F2" s="53"/>
      <c r="G2" s="54" t="s">
        <v>85</v>
      </c>
      <c r="H2" s="55"/>
      <c r="I2" s="55"/>
      <c r="J2" s="55"/>
      <c r="K2" s="55"/>
      <c r="L2" s="55"/>
      <c r="M2" s="55"/>
      <c r="N2" s="55"/>
      <c r="O2" s="55"/>
      <c r="P2" s="55"/>
      <c r="Q2" s="56"/>
      <c r="R2" s="28" t="s">
        <v>4</v>
      </c>
      <c r="S2" s="29"/>
      <c r="T2" s="29"/>
      <c r="U2" s="29"/>
      <c r="V2" s="29"/>
      <c r="W2" s="30"/>
      <c r="X2" s="31">
        <v>42886</v>
      </c>
      <c r="Y2" s="32"/>
      <c r="Z2" s="32"/>
      <c r="AA2" s="32"/>
      <c r="AB2" s="32"/>
      <c r="AC2" s="32"/>
      <c r="AD2" s="32"/>
      <c r="AE2" s="32"/>
      <c r="AF2" s="32"/>
      <c r="AG2" s="32"/>
      <c r="AH2" s="33"/>
    </row>
    <row r="3" spans="1:34" ht="19.5" customHeight="1">
      <c r="A3" s="23" t="s">
        <v>5</v>
      </c>
      <c r="B3" s="24"/>
      <c r="C3" s="24"/>
      <c r="D3" s="24"/>
      <c r="E3" s="24"/>
      <c r="F3" s="24"/>
      <c r="G3" s="25" t="s">
        <v>83</v>
      </c>
      <c r="H3" s="26"/>
      <c r="I3" s="26"/>
      <c r="J3" s="26"/>
      <c r="K3" s="26"/>
      <c r="L3" s="26"/>
      <c r="M3" s="26"/>
      <c r="N3" s="26"/>
      <c r="O3" s="26"/>
      <c r="P3" s="26"/>
      <c r="Q3" s="27"/>
      <c r="R3" s="28" t="s">
        <v>6</v>
      </c>
      <c r="S3" s="29"/>
      <c r="T3" s="29"/>
      <c r="U3" s="29"/>
      <c r="V3" s="29"/>
      <c r="W3" s="30"/>
      <c r="X3" s="31">
        <v>43251</v>
      </c>
      <c r="Y3" s="32"/>
      <c r="Z3" s="32"/>
      <c r="AA3" s="32"/>
      <c r="AB3" s="32"/>
      <c r="AC3" s="32"/>
      <c r="AD3" s="32"/>
      <c r="AE3" s="32"/>
      <c r="AF3" s="32"/>
      <c r="AG3" s="32"/>
      <c r="AH3" s="33"/>
    </row>
    <row r="4" spans="1:34" ht="19.5" customHeight="1">
      <c r="A4" s="34" t="s">
        <v>7</v>
      </c>
      <c r="B4" s="35"/>
      <c r="C4" s="35"/>
      <c r="D4" s="35"/>
      <c r="E4" s="35"/>
      <c r="F4" s="35"/>
      <c r="G4" s="36" t="s">
        <v>84</v>
      </c>
      <c r="H4" s="37"/>
      <c r="I4" s="37"/>
      <c r="J4" s="37"/>
      <c r="K4" s="37"/>
      <c r="L4" s="37"/>
      <c r="M4" s="37"/>
      <c r="N4" s="37"/>
      <c r="O4" s="37"/>
      <c r="P4" s="37"/>
      <c r="Q4" s="38"/>
      <c r="R4" s="39" t="s">
        <v>8</v>
      </c>
      <c r="S4" s="40"/>
      <c r="T4" s="40"/>
      <c r="U4" s="40"/>
      <c r="V4" s="40"/>
      <c r="W4" s="41"/>
      <c r="X4" s="42" t="s">
        <v>9</v>
      </c>
      <c r="Y4" s="43"/>
      <c r="Z4" s="43"/>
      <c r="AA4" s="43"/>
      <c r="AB4" s="43"/>
      <c r="AC4" s="43"/>
      <c r="AD4" s="43"/>
      <c r="AE4" s="43"/>
      <c r="AF4" s="43"/>
      <c r="AG4" s="43"/>
      <c r="AH4" s="44"/>
    </row>
    <row r="5" spans="1:34" ht="19.5" customHeight="1">
      <c r="A5" s="65" t="s">
        <v>10</v>
      </c>
      <c r="B5" s="66"/>
      <c r="C5" s="66"/>
      <c r="D5" s="66"/>
      <c r="E5" s="66"/>
      <c r="F5" s="67"/>
      <c r="G5" s="68" t="s">
        <v>120</v>
      </c>
      <c r="H5" s="68"/>
      <c r="I5" s="68"/>
      <c r="J5" s="68"/>
      <c r="K5" s="68"/>
      <c r="L5" s="68"/>
      <c r="M5" s="68"/>
      <c r="N5" s="68"/>
      <c r="O5" s="68"/>
      <c r="P5" s="68"/>
      <c r="Q5" s="68"/>
      <c r="R5" s="69" t="s">
        <v>11</v>
      </c>
      <c r="S5" s="69"/>
      <c r="T5" s="69"/>
      <c r="U5" s="69"/>
      <c r="V5" s="69"/>
      <c r="W5" s="69"/>
      <c r="X5" s="70" t="s">
        <v>12</v>
      </c>
      <c r="Y5" s="71"/>
      <c r="Z5" s="72">
        <v>100</v>
      </c>
      <c r="AA5" s="73"/>
      <c r="AB5" s="73"/>
      <c r="AC5" s="73"/>
      <c r="AD5" s="74" t="s">
        <v>13</v>
      </c>
      <c r="AE5" s="74"/>
      <c r="AF5" s="74"/>
      <c r="AG5" s="74"/>
      <c r="AH5" s="75"/>
    </row>
    <row r="6" spans="1:34" ht="15.75" thickBo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4"/>
    </row>
    <row r="7" spans="1:34" ht="15" customHeight="1">
      <c r="A7" s="2"/>
      <c r="B7" s="57" t="s">
        <v>14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9"/>
      <c r="AH7" s="4"/>
    </row>
    <row r="8" spans="1:34" ht="15" customHeight="1">
      <c r="A8" s="2"/>
      <c r="B8" s="60" t="s">
        <v>15</v>
      </c>
      <c r="C8" s="61"/>
      <c r="D8" s="61"/>
      <c r="E8" s="61"/>
      <c r="F8" s="61"/>
      <c r="G8" s="61"/>
      <c r="H8" s="61"/>
      <c r="I8" s="62" t="s">
        <v>3</v>
      </c>
      <c r="J8" s="62"/>
      <c r="K8" s="62"/>
      <c r="L8" s="62"/>
      <c r="M8" s="62"/>
      <c r="N8" s="62"/>
      <c r="O8" s="61" t="s">
        <v>16</v>
      </c>
      <c r="P8" s="61"/>
      <c r="Q8" s="61"/>
      <c r="R8" s="61"/>
      <c r="S8" s="61"/>
      <c r="T8" s="61"/>
      <c r="U8" s="61"/>
      <c r="V8" s="63" t="s">
        <v>17</v>
      </c>
      <c r="W8" s="63"/>
      <c r="X8" s="63"/>
      <c r="Y8" s="63"/>
      <c r="Z8" s="63"/>
      <c r="AA8" s="63"/>
      <c r="AB8" s="63" t="s">
        <v>18</v>
      </c>
      <c r="AC8" s="63"/>
      <c r="AD8" s="63"/>
      <c r="AE8" s="63"/>
      <c r="AF8" s="63"/>
      <c r="AG8" s="64"/>
      <c r="AH8" s="4"/>
    </row>
    <row r="9" spans="1:34" ht="19.5" customHeight="1">
      <c r="A9" s="2"/>
      <c r="B9" s="76" t="s">
        <v>19</v>
      </c>
      <c r="C9" s="77"/>
      <c r="D9" s="77"/>
      <c r="E9" s="77"/>
      <c r="F9" s="77"/>
      <c r="G9" s="77"/>
      <c r="H9" s="77"/>
      <c r="I9" s="78" t="s">
        <v>109</v>
      </c>
      <c r="J9" s="78"/>
      <c r="K9" s="78"/>
      <c r="L9" s="78"/>
      <c r="M9" s="78"/>
      <c r="N9" s="78"/>
      <c r="O9" s="78" t="s">
        <v>74</v>
      </c>
      <c r="P9" s="78"/>
      <c r="Q9" s="78"/>
      <c r="R9" s="78"/>
      <c r="S9" s="78"/>
      <c r="T9" s="78"/>
      <c r="U9" s="78"/>
      <c r="V9" s="78" t="s">
        <v>113</v>
      </c>
      <c r="W9" s="78"/>
      <c r="X9" s="78"/>
      <c r="Y9" s="78"/>
      <c r="Z9" s="78"/>
      <c r="AA9" s="78"/>
      <c r="AB9" s="79">
        <v>0.99999950000000004</v>
      </c>
      <c r="AC9" s="79"/>
      <c r="AD9" s="79"/>
      <c r="AE9" s="79"/>
      <c r="AF9" s="79"/>
      <c r="AG9" s="80"/>
      <c r="AH9" s="4"/>
    </row>
    <row r="10" spans="1:34" ht="19.5" customHeight="1">
      <c r="A10" s="2"/>
      <c r="B10" s="81" t="s">
        <v>108</v>
      </c>
      <c r="C10" s="82"/>
      <c r="D10" s="82"/>
      <c r="E10" s="82"/>
      <c r="F10" s="82"/>
      <c r="G10" s="82"/>
      <c r="H10" s="82"/>
      <c r="I10" s="78" t="s">
        <v>118</v>
      </c>
      <c r="J10" s="78"/>
      <c r="K10" s="78"/>
      <c r="L10" s="78"/>
      <c r="M10" s="78"/>
      <c r="N10" s="78"/>
      <c r="O10" s="78" t="s">
        <v>74</v>
      </c>
      <c r="P10" s="78"/>
      <c r="Q10" s="78"/>
      <c r="R10" s="78"/>
      <c r="S10" s="78"/>
      <c r="T10" s="78"/>
      <c r="U10" s="78"/>
      <c r="V10" s="78" t="s">
        <v>119</v>
      </c>
      <c r="W10" s="78"/>
      <c r="X10" s="78"/>
      <c r="Y10" s="78"/>
      <c r="Z10" s="78"/>
      <c r="AA10" s="78"/>
      <c r="AB10" s="266" t="s">
        <v>117</v>
      </c>
      <c r="AC10" s="266"/>
      <c r="AD10" s="266"/>
      <c r="AE10" s="266"/>
      <c r="AF10" s="266"/>
      <c r="AG10" s="267"/>
      <c r="AH10" s="4"/>
    </row>
    <row r="11" spans="1:34" ht="19.5" customHeight="1" thickBot="1">
      <c r="A11" s="2"/>
      <c r="B11" s="94" t="s">
        <v>21</v>
      </c>
      <c r="C11" s="95"/>
      <c r="D11" s="95"/>
      <c r="E11" s="95"/>
      <c r="F11" s="95"/>
      <c r="G11" s="95"/>
      <c r="H11" s="95"/>
      <c r="I11" s="290" t="s">
        <v>118</v>
      </c>
      <c r="J11" s="290"/>
      <c r="K11" s="290"/>
      <c r="L11" s="290"/>
      <c r="M11" s="290"/>
      <c r="N11" s="290"/>
      <c r="O11" s="290" t="s">
        <v>74</v>
      </c>
      <c r="P11" s="290"/>
      <c r="Q11" s="290"/>
      <c r="R11" s="290"/>
      <c r="S11" s="290"/>
      <c r="T11" s="290"/>
      <c r="U11" s="290"/>
      <c r="V11" s="290" t="s">
        <v>119</v>
      </c>
      <c r="W11" s="290"/>
      <c r="X11" s="290"/>
      <c r="Y11" s="290"/>
      <c r="Z11" s="290"/>
      <c r="AA11" s="290"/>
      <c r="AB11" s="291" t="s">
        <v>117</v>
      </c>
      <c r="AC11" s="291"/>
      <c r="AD11" s="291"/>
      <c r="AE11" s="291"/>
      <c r="AF11" s="291"/>
      <c r="AG11" s="292"/>
      <c r="AH11" s="4"/>
    </row>
    <row r="12" spans="1:34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4"/>
    </row>
    <row r="13" spans="1:34" ht="21" customHeight="1">
      <c r="A13" s="2"/>
      <c r="B13" s="89" t="s">
        <v>22</v>
      </c>
      <c r="C13" s="89"/>
      <c r="D13" s="89"/>
      <c r="E13" s="89"/>
      <c r="F13" s="103" t="s">
        <v>3</v>
      </c>
      <c r="G13" s="89"/>
      <c r="H13" s="89"/>
      <c r="I13" s="89"/>
      <c r="J13" s="89"/>
      <c r="K13" s="89"/>
      <c r="L13" s="78" t="s">
        <v>112</v>
      </c>
      <c r="M13" s="78"/>
      <c r="N13" s="78"/>
      <c r="O13" s="78"/>
      <c r="P13" s="78"/>
      <c r="Q13" s="78"/>
      <c r="R13" s="78"/>
      <c r="S13" s="78"/>
      <c r="T13" s="89" t="s">
        <v>7</v>
      </c>
      <c r="U13" s="89"/>
      <c r="V13" s="89"/>
      <c r="W13" s="89"/>
      <c r="X13" s="89"/>
      <c r="Y13" s="89"/>
      <c r="Z13" s="78">
        <v>93310021</v>
      </c>
      <c r="AA13" s="78"/>
      <c r="AB13" s="78"/>
      <c r="AC13" s="78"/>
      <c r="AD13" s="78"/>
      <c r="AE13" s="78"/>
      <c r="AF13" s="78"/>
      <c r="AG13" s="78"/>
      <c r="AH13" s="4"/>
    </row>
    <row r="14" spans="1:34" ht="21" customHeight="1">
      <c r="A14" s="2"/>
      <c r="B14" s="89"/>
      <c r="C14" s="89"/>
      <c r="D14" s="89"/>
      <c r="E14" s="89"/>
      <c r="F14" s="85" t="s">
        <v>5</v>
      </c>
      <c r="G14" s="85"/>
      <c r="H14" s="85"/>
      <c r="I14" s="85"/>
      <c r="J14" s="85"/>
      <c r="K14" s="85"/>
      <c r="L14" s="86" t="s">
        <v>75</v>
      </c>
      <c r="M14" s="87"/>
      <c r="N14" s="87"/>
      <c r="O14" s="87"/>
      <c r="P14" s="87"/>
      <c r="Q14" s="87"/>
      <c r="R14" s="87"/>
      <c r="S14" s="88"/>
      <c r="T14" s="89" t="s">
        <v>6</v>
      </c>
      <c r="U14" s="89"/>
      <c r="V14" s="89"/>
      <c r="W14" s="89"/>
      <c r="X14" s="89"/>
      <c r="Y14" s="89"/>
      <c r="Z14" s="90">
        <v>43008</v>
      </c>
      <c r="AA14" s="90"/>
      <c r="AB14" s="90"/>
      <c r="AC14" s="90"/>
      <c r="AD14" s="90"/>
      <c r="AE14" s="90"/>
      <c r="AF14" s="90"/>
      <c r="AG14" s="90"/>
      <c r="AH14" s="4"/>
    </row>
    <row r="15" spans="1:34" ht="17.25" customHeight="1">
      <c r="A15" s="2"/>
      <c r="B15" s="89" t="s">
        <v>23</v>
      </c>
      <c r="C15" s="89"/>
      <c r="D15" s="89"/>
      <c r="E15" s="89"/>
      <c r="F15" s="89"/>
      <c r="G15" s="89"/>
      <c r="H15" s="89"/>
      <c r="I15" s="89"/>
      <c r="J15" s="89"/>
      <c r="K15" s="89"/>
      <c r="L15" s="91">
        <v>15170</v>
      </c>
      <c r="M15" s="92"/>
      <c r="N15" s="92"/>
      <c r="O15" s="92"/>
      <c r="P15" s="92"/>
      <c r="Q15" s="92"/>
      <c r="R15" s="92"/>
      <c r="S15" s="93"/>
      <c r="T15" s="5"/>
      <c r="U15" s="5"/>
      <c r="V15" s="5"/>
      <c r="W15" s="5"/>
      <c r="X15" s="5"/>
      <c r="Y15" s="5"/>
      <c r="Z15" s="6"/>
      <c r="AA15" s="6"/>
      <c r="AB15" s="6"/>
      <c r="AC15" s="6"/>
      <c r="AD15" s="6"/>
      <c r="AE15" s="6"/>
      <c r="AF15" s="6"/>
      <c r="AG15" s="6"/>
      <c r="AH15" s="4"/>
    </row>
    <row r="16" spans="1:34" ht="5.25" customHeight="1">
      <c r="A16" s="2"/>
      <c r="B16" s="5"/>
      <c r="C16" s="5"/>
      <c r="D16" s="5"/>
      <c r="E16" s="5"/>
      <c r="F16" s="5"/>
      <c r="G16" s="5"/>
      <c r="H16" s="5"/>
      <c r="I16" s="5"/>
      <c r="J16" s="5"/>
      <c r="K16" s="5"/>
      <c r="L16" s="3"/>
      <c r="M16" s="3"/>
      <c r="N16" s="3"/>
      <c r="O16" s="3"/>
      <c r="P16" s="3"/>
      <c r="Q16" s="3"/>
      <c r="R16" s="3"/>
      <c r="S16" s="3"/>
      <c r="T16" s="5"/>
      <c r="U16" s="5"/>
      <c r="V16" s="5"/>
      <c r="W16" s="5"/>
      <c r="X16" s="5"/>
      <c r="Y16" s="5"/>
      <c r="Z16" s="3"/>
      <c r="AA16" s="3"/>
      <c r="AB16" s="3"/>
      <c r="AC16" s="3"/>
      <c r="AD16" s="3"/>
      <c r="AE16" s="3"/>
      <c r="AF16" s="3"/>
      <c r="AG16" s="3"/>
      <c r="AH16" s="4"/>
    </row>
    <row r="17" spans="1:34">
      <c r="A17" s="2"/>
      <c r="B17" s="7" t="s">
        <v>24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4"/>
    </row>
    <row r="18" spans="1:34" ht="7.5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4"/>
    </row>
    <row r="19" spans="1:34" ht="15" customHeight="1">
      <c r="A19" s="2"/>
      <c r="B19" s="118" t="s">
        <v>10</v>
      </c>
      <c r="C19" s="119"/>
      <c r="D19" s="119"/>
      <c r="E19" s="119"/>
      <c r="F19" s="119"/>
      <c r="G19" s="119"/>
      <c r="H19" s="119"/>
      <c r="I19" s="119"/>
      <c r="J19" s="119"/>
      <c r="K19" s="120"/>
      <c r="L19" s="89" t="s">
        <v>90</v>
      </c>
      <c r="M19" s="89"/>
      <c r="N19" s="89"/>
      <c r="O19" s="89"/>
      <c r="P19" s="89"/>
      <c r="Q19" s="89"/>
      <c r="R19" s="89"/>
      <c r="S19" s="89"/>
      <c r="T19" s="89"/>
      <c r="U19" s="89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4"/>
    </row>
    <row r="20" spans="1:34" ht="15" customHeight="1">
      <c r="A20" s="2"/>
      <c r="B20" s="121" t="s">
        <v>25</v>
      </c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3"/>
      <c r="V20" s="124" t="s">
        <v>26</v>
      </c>
      <c r="W20" s="125"/>
      <c r="X20" s="125"/>
      <c r="Y20" s="125"/>
      <c r="Z20" s="125"/>
      <c r="AA20" s="125"/>
      <c r="AB20" s="125"/>
      <c r="AC20" s="125"/>
      <c r="AD20" s="125"/>
      <c r="AE20" s="126"/>
      <c r="AF20" s="3"/>
      <c r="AG20" s="3"/>
      <c r="AH20" s="4"/>
    </row>
    <row r="21" spans="1:34" ht="15" customHeight="1">
      <c r="A21" s="2"/>
      <c r="B21" s="130" t="s">
        <v>27</v>
      </c>
      <c r="C21" s="131"/>
      <c r="D21" s="131"/>
      <c r="E21" s="131"/>
      <c r="F21" s="131"/>
      <c r="G21" s="131"/>
      <c r="H21" s="131"/>
      <c r="I21" s="131"/>
      <c r="J21" s="131"/>
      <c r="K21" s="131"/>
      <c r="L21" s="131" t="s">
        <v>28</v>
      </c>
      <c r="M21" s="131"/>
      <c r="N21" s="131"/>
      <c r="O21" s="131"/>
      <c r="P21" s="131"/>
      <c r="Q21" s="131"/>
      <c r="R21" s="131"/>
      <c r="S21" s="131"/>
      <c r="T21" s="131"/>
      <c r="U21" s="132"/>
      <c r="V21" s="127"/>
      <c r="W21" s="128"/>
      <c r="X21" s="128"/>
      <c r="Y21" s="128"/>
      <c r="Z21" s="128"/>
      <c r="AA21" s="128"/>
      <c r="AB21" s="128"/>
      <c r="AC21" s="128"/>
      <c r="AD21" s="128"/>
      <c r="AE21" s="129"/>
      <c r="AF21" s="3"/>
      <c r="AG21" s="3"/>
      <c r="AH21" s="4"/>
    </row>
    <row r="22" spans="1:34">
      <c r="A22" s="2"/>
      <c r="B22" s="104" t="s">
        <v>29</v>
      </c>
      <c r="C22" s="105"/>
      <c r="D22" s="105"/>
      <c r="E22" s="105"/>
      <c r="F22" s="105"/>
      <c r="G22" s="105"/>
      <c r="H22" s="105"/>
      <c r="I22" s="105"/>
      <c r="J22" s="105"/>
      <c r="K22" s="105"/>
      <c r="L22" s="105" t="s">
        <v>30</v>
      </c>
      <c r="M22" s="105"/>
      <c r="N22" s="105"/>
      <c r="O22" s="105"/>
      <c r="P22" s="105"/>
      <c r="Q22" s="105"/>
      <c r="R22" s="105"/>
      <c r="S22" s="105"/>
      <c r="T22" s="105"/>
      <c r="U22" s="106"/>
      <c r="V22" s="107" t="s">
        <v>31</v>
      </c>
      <c r="W22" s="108"/>
      <c r="X22" s="108"/>
      <c r="Y22" s="108"/>
      <c r="Z22" s="108"/>
      <c r="AA22" s="108"/>
      <c r="AB22" s="108"/>
      <c r="AC22" s="108"/>
      <c r="AD22" s="108"/>
      <c r="AE22" s="109"/>
      <c r="AF22" s="3"/>
      <c r="AG22" s="3"/>
      <c r="AH22" s="4"/>
    </row>
    <row r="23" spans="1:34" ht="21" customHeight="1">
      <c r="A23" s="2"/>
      <c r="B23" s="192">
        <v>86.96</v>
      </c>
      <c r="C23" s="193"/>
      <c r="D23" s="193"/>
      <c r="E23" s="193"/>
      <c r="F23" s="193"/>
      <c r="G23" s="193"/>
      <c r="H23" s="193"/>
      <c r="I23" s="193"/>
      <c r="J23" s="193"/>
      <c r="K23" s="193"/>
      <c r="L23" s="112">
        <v>87.21</v>
      </c>
      <c r="M23" s="112"/>
      <c r="N23" s="112"/>
      <c r="O23" s="112"/>
      <c r="P23" s="112"/>
      <c r="Q23" s="112"/>
      <c r="R23" s="112"/>
      <c r="S23" s="112"/>
      <c r="T23" s="112"/>
      <c r="U23" s="113"/>
      <c r="V23" s="114">
        <f>B23/L23*100</f>
        <v>99.71333562664833</v>
      </c>
      <c r="W23" s="115"/>
      <c r="X23" s="115"/>
      <c r="Y23" s="115"/>
      <c r="Z23" s="115"/>
      <c r="AA23" s="115"/>
      <c r="AB23" s="115"/>
      <c r="AC23" s="115"/>
      <c r="AD23" s="116" t="s">
        <v>32</v>
      </c>
      <c r="AE23" s="117"/>
      <c r="AF23" s="3"/>
      <c r="AG23" s="3"/>
      <c r="AH23" s="4"/>
    </row>
    <row r="24" spans="1:34" ht="7.5" customHeight="1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4"/>
    </row>
    <row r="25" spans="1:34" ht="15" customHeight="1">
      <c r="A25" s="2"/>
      <c r="B25" s="118" t="s">
        <v>10</v>
      </c>
      <c r="C25" s="119"/>
      <c r="D25" s="119"/>
      <c r="E25" s="119"/>
      <c r="F25" s="119"/>
      <c r="G25" s="119"/>
      <c r="H25" s="119"/>
      <c r="I25" s="119"/>
      <c r="J25" s="119"/>
      <c r="K25" s="120"/>
      <c r="L25" s="89" t="s">
        <v>81</v>
      </c>
      <c r="M25" s="89"/>
      <c r="N25" s="89"/>
      <c r="O25" s="89"/>
      <c r="P25" s="89"/>
      <c r="Q25" s="89"/>
      <c r="R25" s="89"/>
      <c r="S25" s="89"/>
      <c r="T25" s="89"/>
      <c r="U25" s="89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4"/>
    </row>
    <row r="26" spans="1:34" ht="15" customHeight="1">
      <c r="A26" s="2"/>
      <c r="B26" s="138" t="s">
        <v>25</v>
      </c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3"/>
      <c r="V26" s="124" t="s">
        <v>26</v>
      </c>
      <c r="W26" s="125"/>
      <c r="X26" s="125"/>
      <c r="Y26" s="125"/>
      <c r="Z26" s="125"/>
      <c r="AA26" s="125"/>
      <c r="AB26" s="125"/>
      <c r="AC26" s="125"/>
      <c r="AD26" s="125"/>
      <c r="AE26" s="126"/>
      <c r="AF26" s="3"/>
      <c r="AG26" s="3"/>
      <c r="AH26" s="4"/>
    </row>
    <row r="27" spans="1:34" ht="15" customHeight="1">
      <c r="A27" s="2"/>
      <c r="B27" s="130" t="s">
        <v>34</v>
      </c>
      <c r="C27" s="131"/>
      <c r="D27" s="131"/>
      <c r="E27" s="131"/>
      <c r="F27" s="131"/>
      <c r="G27" s="131"/>
      <c r="H27" s="131"/>
      <c r="I27" s="131"/>
      <c r="J27" s="131"/>
      <c r="K27" s="131"/>
      <c r="L27" s="131" t="s">
        <v>35</v>
      </c>
      <c r="M27" s="131"/>
      <c r="N27" s="131"/>
      <c r="O27" s="131"/>
      <c r="P27" s="131"/>
      <c r="Q27" s="131"/>
      <c r="R27" s="131"/>
      <c r="S27" s="131"/>
      <c r="T27" s="131"/>
      <c r="U27" s="132"/>
      <c r="V27" s="127"/>
      <c r="W27" s="128"/>
      <c r="X27" s="128"/>
      <c r="Y27" s="128"/>
      <c r="Z27" s="128"/>
      <c r="AA27" s="128"/>
      <c r="AB27" s="128"/>
      <c r="AC27" s="128"/>
      <c r="AD27" s="128"/>
      <c r="AE27" s="129"/>
      <c r="AF27" s="3"/>
      <c r="AG27" s="3"/>
      <c r="AH27" s="4"/>
    </row>
    <row r="28" spans="1:34" ht="15" customHeight="1">
      <c r="A28" s="2"/>
      <c r="B28" s="104" t="s">
        <v>29</v>
      </c>
      <c r="C28" s="105"/>
      <c r="D28" s="105"/>
      <c r="E28" s="105"/>
      <c r="F28" s="105"/>
      <c r="G28" s="105"/>
      <c r="H28" s="105"/>
      <c r="I28" s="105"/>
      <c r="J28" s="105"/>
      <c r="K28" s="105"/>
      <c r="L28" s="105" t="s">
        <v>30</v>
      </c>
      <c r="M28" s="105"/>
      <c r="N28" s="105"/>
      <c r="O28" s="105"/>
      <c r="P28" s="105"/>
      <c r="Q28" s="105"/>
      <c r="R28" s="105"/>
      <c r="S28" s="105"/>
      <c r="T28" s="105"/>
      <c r="U28" s="106"/>
      <c r="V28" s="107" t="s">
        <v>31</v>
      </c>
      <c r="W28" s="108"/>
      <c r="X28" s="108"/>
      <c r="Y28" s="108"/>
      <c r="Z28" s="108"/>
      <c r="AA28" s="108"/>
      <c r="AB28" s="108"/>
      <c r="AC28" s="108"/>
      <c r="AD28" s="108"/>
      <c r="AE28" s="109"/>
      <c r="AF28" s="3"/>
      <c r="AG28" s="3"/>
      <c r="AH28" s="4"/>
    </row>
    <row r="29" spans="1:34" ht="21" customHeight="1">
      <c r="A29" s="2"/>
      <c r="B29" s="192"/>
      <c r="C29" s="193"/>
      <c r="D29" s="193"/>
      <c r="E29" s="193"/>
      <c r="F29" s="193"/>
      <c r="G29" s="193"/>
      <c r="H29" s="193"/>
      <c r="I29" s="193"/>
      <c r="J29" s="193"/>
      <c r="K29" s="193"/>
      <c r="L29" s="112"/>
      <c r="M29" s="112"/>
      <c r="N29" s="112"/>
      <c r="O29" s="112"/>
      <c r="P29" s="112"/>
      <c r="Q29" s="112"/>
      <c r="R29" s="112"/>
      <c r="S29" s="112"/>
      <c r="T29" s="112"/>
      <c r="U29" s="113"/>
      <c r="V29" s="114"/>
      <c r="W29" s="115"/>
      <c r="X29" s="115"/>
      <c r="Y29" s="115"/>
      <c r="Z29" s="115"/>
      <c r="AA29" s="115"/>
      <c r="AB29" s="115"/>
      <c r="AC29" s="115"/>
      <c r="AD29" s="116"/>
      <c r="AE29" s="117"/>
      <c r="AF29" s="3"/>
      <c r="AG29" s="3"/>
      <c r="AH29" s="4"/>
    </row>
    <row r="30" spans="1:34" ht="7.5" customHeight="1">
      <c r="A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4"/>
    </row>
    <row r="31" spans="1:34" ht="21" customHeight="1">
      <c r="A31" s="2"/>
      <c r="B31" s="136" t="s">
        <v>36</v>
      </c>
      <c r="C31" s="137"/>
      <c r="D31" s="137"/>
      <c r="E31" s="137"/>
      <c r="F31" s="103"/>
      <c r="G31" s="8"/>
      <c r="H31" s="137" t="s">
        <v>37</v>
      </c>
      <c r="I31" s="137"/>
      <c r="J31" s="137"/>
      <c r="K31" s="137"/>
      <c r="L31" s="137" t="s">
        <v>38</v>
      </c>
      <c r="M31" s="137"/>
      <c r="N31" s="137"/>
      <c r="O31" s="137"/>
      <c r="P31" s="9"/>
      <c r="Q31" s="118" t="s">
        <v>39</v>
      </c>
      <c r="R31" s="119"/>
      <c r="S31" s="119"/>
      <c r="T31" s="119"/>
      <c r="U31" s="120"/>
      <c r="V31" s="136" t="s">
        <v>40</v>
      </c>
      <c r="W31" s="137"/>
      <c r="X31" s="137"/>
      <c r="Y31" s="137"/>
      <c r="Z31" s="137"/>
      <c r="AA31" s="137"/>
      <c r="AB31" s="137"/>
      <c r="AC31" s="137"/>
      <c r="AD31" s="137"/>
      <c r="AE31" s="103"/>
      <c r="AF31" s="3"/>
      <c r="AG31" s="3"/>
      <c r="AH31" s="4"/>
    </row>
    <row r="32" spans="1:34">
      <c r="A32" s="2"/>
      <c r="C32" s="148" t="s">
        <v>41</v>
      </c>
      <c r="D32" s="148"/>
      <c r="E32" s="148"/>
      <c r="F32" s="148"/>
      <c r="G32" s="19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4"/>
    </row>
    <row r="33" spans="1:34">
      <c r="A33" s="2"/>
      <c r="C33" s="149"/>
      <c r="D33" s="149"/>
      <c r="E33" s="149"/>
      <c r="F33" s="149"/>
      <c r="G33" s="19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4"/>
    </row>
    <row r="34" spans="1:34">
      <c r="A34" s="2"/>
      <c r="B34" s="3"/>
      <c r="C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4"/>
    </row>
    <row r="35" spans="1:34">
      <c r="A35" s="2"/>
      <c r="B35" s="11" t="s">
        <v>42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4"/>
    </row>
    <row r="36" spans="1:34" ht="7.5" customHeight="1">
      <c r="A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4"/>
    </row>
    <row r="37" spans="1:34" ht="15" customHeight="1">
      <c r="A37" s="2"/>
      <c r="B37" s="138" t="s">
        <v>43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3"/>
      <c r="V37" s="139" t="s">
        <v>44</v>
      </c>
      <c r="W37" s="140"/>
      <c r="X37" s="140"/>
      <c r="Y37" s="140"/>
      <c r="Z37" s="140"/>
      <c r="AA37" s="140"/>
      <c r="AB37" s="140"/>
      <c r="AC37" s="140"/>
      <c r="AD37" s="140"/>
      <c r="AE37" s="141"/>
      <c r="AF37" s="3"/>
      <c r="AG37" s="3"/>
      <c r="AH37" s="4"/>
    </row>
    <row r="38" spans="1:34" ht="15" customHeight="1">
      <c r="A38" s="2"/>
      <c r="B38" s="130" t="s">
        <v>18</v>
      </c>
      <c r="C38" s="131"/>
      <c r="D38" s="131"/>
      <c r="E38" s="131"/>
      <c r="F38" s="131"/>
      <c r="G38" s="131"/>
      <c r="H38" s="131"/>
      <c r="I38" s="131"/>
      <c r="J38" s="131"/>
      <c r="K38" s="131"/>
      <c r="L38" s="131" t="s">
        <v>45</v>
      </c>
      <c r="M38" s="131"/>
      <c r="N38" s="131"/>
      <c r="O38" s="131"/>
      <c r="P38" s="131"/>
      <c r="Q38" s="131"/>
      <c r="R38" s="131"/>
      <c r="S38" s="131"/>
      <c r="T38" s="131"/>
      <c r="U38" s="132"/>
      <c r="V38" s="142"/>
      <c r="W38" s="143"/>
      <c r="X38" s="143"/>
      <c r="Y38" s="143"/>
      <c r="Z38" s="143"/>
      <c r="AA38" s="143"/>
      <c r="AB38" s="143"/>
      <c r="AC38" s="143"/>
      <c r="AD38" s="143"/>
      <c r="AE38" s="144"/>
      <c r="AF38" s="3"/>
      <c r="AG38" s="3"/>
      <c r="AH38" s="4"/>
    </row>
    <row r="39" spans="1:34" ht="15" customHeight="1">
      <c r="A39" s="2"/>
      <c r="B39" s="145" t="s">
        <v>46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 t="s">
        <v>47</v>
      </c>
      <c r="M39" s="146"/>
      <c r="N39" s="146"/>
      <c r="O39" s="146"/>
      <c r="P39" s="146"/>
      <c r="Q39" s="146"/>
      <c r="R39" s="146"/>
      <c r="S39" s="146"/>
      <c r="T39" s="146"/>
      <c r="U39" s="147"/>
      <c r="V39" s="145" t="s">
        <v>31</v>
      </c>
      <c r="W39" s="146"/>
      <c r="X39" s="146"/>
      <c r="Y39" s="146"/>
      <c r="Z39" s="146"/>
      <c r="AA39" s="146"/>
      <c r="AB39" s="146"/>
      <c r="AC39" s="146"/>
      <c r="AD39" s="146"/>
      <c r="AE39" s="147"/>
      <c r="AF39" s="3"/>
      <c r="AG39" s="3"/>
      <c r="AH39" s="4"/>
    </row>
    <row r="40" spans="1:34" ht="21" customHeight="1">
      <c r="A40" s="2"/>
      <c r="B40" s="110">
        <v>89.73</v>
      </c>
      <c r="C40" s="111"/>
      <c r="D40" s="111"/>
      <c r="E40" s="111"/>
      <c r="F40" s="111"/>
      <c r="G40" s="111"/>
      <c r="H40" s="111"/>
      <c r="I40" s="111"/>
      <c r="J40" s="111"/>
      <c r="K40" s="111"/>
      <c r="L40" s="193">
        <v>90.02</v>
      </c>
      <c r="M40" s="193"/>
      <c r="N40" s="193"/>
      <c r="O40" s="193"/>
      <c r="P40" s="193"/>
      <c r="Q40" s="193"/>
      <c r="R40" s="193"/>
      <c r="S40" s="193"/>
      <c r="T40" s="193"/>
      <c r="U40" s="265"/>
      <c r="V40" s="192">
        <f>100*(L40-B40)/Z5</f>
        <v>0.28999999999999204</v>
      </c>
      <c r="W40" s="193"/>
      <c r="X40" s="193"/>
      <c r="Y40" s="193"/>
      <c r="Z40" s="193"/>
      <c r="AA40" s="193"/>
      <c r="AB40" s="193"/>
      <c r="AC40" s="194"/>
      <c r="AD40" s="195" t="s">
        <v>32</v>
      </c>
      <c r="AE40" s="196"/>
      <c r="AF40" s="3"/>
      <c r="AG40" s="3"/>
      <c r="AH40" s="4"/>
    </row>
    <row r="41" spans="1:34" ht="21" customHeight="1">
      <c r="A41" s="2"/>
      <c r="B41" s="136" t="s">
        <v>36</v>
      </c>
      <c r="C41" s="137"/>
      <c r="D41" s="137"/>
      <c r="E41" s="137"/>
      <c r="F41" s="103"/>
      <c r="G41" s="8"/>
      <c r="H41" s="137" t="s">
        <v>37</v>
      </c>
      <c r="I41" s="137"/>
      <c r="J41" s="137"/>
      <c r="K41" s="137"/>
      <c r="L41" s="137" t="s">
        <v>38</v>
      </c>
      <c r="M41" s="137"/>
      <c r="N41" s="137"/>
      <c r="O41" s="137"/>
      <c r="P41" s="9"/>
      <c r="Q41" s="118" t="s">
        <v>39</v>
      </c>
      <c r="R41" s="119"/>
      <c r="S41" s="119"/>
      <c r="T41" s="119"/>
      <c r="U41" s="120"/>
      <c r="V41" s="136" t="s">
        <v>48</v>
      </c>
      <c r="W41" s="137"/>
      <c r="X41" s="137"/>
      <c r="Y41" s="137"/>
      <c r="Z41" s="137"/>
      <c r="AA41" s="137"/>
      <c r="AB41" s="137"/>
      <c r="AC41" s="137"/>
      <c r="AD41" s="137"/>
      <c r="AE41" s="103"/>
      <c r="AF41" s="3"/>
      <c r="AG41" s="3"/>
      <c r="AH41" s="4"/>
    </row>
    <row r="42" spans="1:34">
      <c r="A42" s="2"/>
      <c r="B42" s="150" t="s">
        <v>41</v>
      </c>
      <c r="C42" s="150"/>
      <c r="D42" s="150"/>
      <c r="E42" s="150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4"/>
    </row>
    <row r="43" spans="1:34" ht="15.75" thickBot="1">
      <c r="A43" s="2"/>
      <c r="B43" s="150"/>
      <c r="C43" s="150"/>
      <c r="D43" s="150"/>
      <c r="E43" s="150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4"/>
    </row>
    <row r="44" spans="1:34" ht="10.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151" t="s">
        <v>49</v>
      </c>
      <c r="Z44" s="152"/>
      <c r="AA44" s="152"/>
      <c r="AB44" s="152"/>
      <c r="AC44" s="153"/>
      <c r="AD44" s="157" t="s">
        <v>50</v>
      </c>
      <c r="AE44" s="157"/>
      <c r="AF44" s="157"/>
      <c r="AG44" s="157"/>
      <c r="AH44" s="158"/>
    </row>
    <row r="45" spans="1:34" ht="15.75" thickBot="1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154"/>
      <c r="Z45" s="155"/>
      <c r="AA45" s="155"/>
      <c r="AB45" s="155"/>
      <c r="AC45" s="156"/>
      <c r="AD45" s="159"/>
      <c r="AE45" s="159"/>
      <c r="AF45" s="159"/>
      <c r="AG45" s="159"/>
      <c r="AH45" s="160"/>
    </row>
    <row r="46" spans="1:34" ht="15" customHeight="1">
      <c r="A46" s="2"/>
      <c r="B46" s="161" t="s">
        <v>51</v>
      </c>
      <c r="C46" s="162"/>
      <c r="D46" s="162"/>
      <c r="E46" s="162"/>
      <c r="F46" s="162"/>
      <c r="G46" s="163"/>
      <c r="H46" s="170" t="s">
        <v>37</v>
      </c>
      <c r="I46" s="171"/>
      <c r="J46" s="171"/>
      <c r="K46" s="171"/>
      <c r="L46" s="171"/>
      <c r="M46" s="172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176"/>
      <c r="Z46" s="177"/>
      <c r="AA46" s="177"/>
      <c r="AB46" s="177"/>
      <c r="AC46" s="178"/>
      <c r="AD46" s="183"/>
      <c r="AE46" s="184"/>
      <c r="AF46" s="184"/>
      <c r="AG46" s="184"/>
      <c r="AH46" s="185"/>
    </row>
    <row r="47" spans="1:34" ht="15" customHeight="1">
      <c r="A47" s="2"/>
      <c r="B47" s="164"/>
      <c r="C47" s="165"/>
      <c r="D47" s="165"/>
      <c r="E47" s="165"/>
      <c r="F47" s="165"/>
      <c r="G47" s="166"/>
      <c r="H47" s="173"/>
      <c r="I47" s="174"/>
      <c r="J47" s="174"/>
      <c r="K47" s="174"/>
      <c r="L47" s="174"/>
      <c r="M47" s="175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179"/>
      <c r="Z47" s="177"/>
      <c r="AA47" s="177"/>
      <c r="AB47" s="177"/>
      <c r="AC47" s="178"/>
      <c r="AD47" s="184"/>
      <c r="AE47" s="184"/>
      <c r="AF47" s="184"/>
      <c r="AG47" s="184"/>
      <c r="AH47" s="185"/>
    </row>
    <row r="48" spans="1:34" ht="15" customHeight="1">
      <c r="A48" s="2"/>
      <c r="B48" s="164"/>
      <c r="C48" s="165"/>
      <c r="D48" s="165"/>
      <c r="E48" s="165"/>
      <c r="F48" s="165"/>
      <c r="G48" s="166"/>
      <c r="H48" s="173" t="s">
        <v>38</v>
      </c>
      <c r="I48" s="174"/>
      <c r="J48" s="174"/>
      <c r="K48" s="174"/>
      <c r="L48" s="174"/>
      <c r="M48" s="175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179"/>
      <c r="Z48" s="177"/>
      <c r="AA48" s="177"/>
      <c r="AB48" s="177"/>
      <c r="AC48" s="178"/>
      <c r="AD48" s="184"/>
      <c r="AE48" s="184"/>
      <c r="AF48" s="184"/>
      <c r="AG48" s="184"/>
      <c r="AH48" s="185"/>
    </row>
    <row r="49" spans="1:34" ht="15" customHeight="1" thickBot="1">
      <c r="A49" s="2"/>
      <c r="B49" s="167"/>
      <c r="C49" s="168"/>
      <c r="D49" s="168"/>
      <c r="E49" s="168"/>
      <c r="F49" s="168"/>
      <c r="G49" s="169"/>
      <c r="H49" s="188"/>
      <c r="I49" s="189"/>
      <c r="J49" s="189"/>
      <c r="K49" s="189"/>
      <c r="L49" s="189"/>
      <c r="M49" s="190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179"/>
      <c r="Z49" s="177"/>
      <c r="AA49" s="177"/>
      <c r="AB49" s="177"/>
      <c r="AC49" s="178"/>
      <c r="AD49" s="184"/>
      <c r="AE49" s="184"/>
      <c r="AF49" s="184"/>
      <c r="AG49" s="184"/>
      <c r="AH49" s="185"/>
    </row>
    <row r="50" spans="1:34" ht="10.5" customHeight="1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180"/>
      <c r="Z50" s="181"/>
      <c r="AA50" s="181"/>
      <c r="AB50" s="181"/>
      <c r="AC50" s="182"/>
      <c r="AD50" s="186"/>
      <c r="AE50" s="186"/>
      <c r="AF50" s="186"/>
      <c r="AG50" s="186"/>
      <c r="AH50" s="187"/>
    </row>
    <row r="51" spans="1:34" s="13" customFormat="1" ht="22.5" customHeight="1" thickBot="1">
      <c r="A51" s="199" t="s">
        <v>76</v>
      </c>
      <c r="B51" s="200"/>
      <c r="C51" s="200"/>
      <c r="D51" s="200"/>
      <c r="E51" s="200" t="s">
        <v>52</v>
      </c>
      <c r="F51" s="200"/>
      <c r="G51" s="200"/>
      <c r="H51" s="200"/>
      <c r="I51" s="201"/>
      <c r="J51" s="202" t="s">
        <v>77</v>
      </c>
      <c r="K51" s="200"/>
      <c r="L51" s="200"/>
      <c r="M51" s="200"/>
      <c r="N51" s="200" t="s">
        <v>78</v>
      </c>
      <c r="O51" s="200"/>
      <c r="P51" s="200"/>
      <c r="Q51" s="201"/>
      <c r="R51" s="203"/>
      <c r="S51" s="204"/>
      <c r="T51" s="204"/>
      <c r="U51" s="204"/>
      <c r="V51" s="204"/>
      <c r="W51" s="204"/>
      <c r="X51" s="205"/>
      <c r="Y51" s="202" t="s">
        <v>79</v>
      </c>
      <c r="Z51" s="200"/>
      <c r="AA51" s="200"/>
      <c r="AB51" s="200"/>
      <c r="AC51" s="200"/>
      <c r="AD51" s="197">
        <v>41883</v>
      </c>
      <c r="AE51" s="197"/>
      <c r="AF51" s="197"/>
      <c r="AG51" s="197"/>
      <c r="AH51" s="198"/>
    </row>
    <row r="53" spans="1:34" ht="15.75" thickBot="1"/>
    <row r="54" spans="1:34" ht="27" customHeight="1">
      <c r="A54" s="45" t="s">
        <v>53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7"/>
      <c r="AD54" s="48" t="s">
        <v>54</v>
      </c>
      <c r="AE54" s="49"/>
      <c r="AF54" s="49"/>
      <c r="AG54" s="50" t="s">
        <v>2</v>
      </c>
      <c r="AH54" s="51"/>
    </row>
    <row r="55" spans="1:34" ht="19.5" customHeight="1">
      <c r="A55" s="52" t="s">
        <v>3</v>
      </c>
      <c r="B55" s="53"/>
      <c r="C55" s="53"/>
      <c r="D55" s="53"/>
      <c r="E55" s="53"/>
      <c r="F55" s="53"/>
      <c r="G55" s="54" t="s">
        <v>85</v>
      </c>
      <c r="H55" s="55"/>
      <c r="I55" s="55"/>
      <c r="J55" s="55"/>
      <c r="K55" s="55"/>
      <c r="L55" s="55"/>
      <c r="M55" s="55"/>
      <c r="N55" s="55"/>
      <c r="O55" s="55"/>
      <c r="P55" s="55"/>
      <c r="Q55" s="56"/>
      <c r="R55" s="28" t="s">
        <v>4</v>
      </c>
      <c r="S55" s="29"/>
      <c r="T55" s="29"/>
      <c r="U55" s="29"/>
      <c r="V55" s="29"/>
      <c r="W55" s="30"/>
      <c r="X55" s="31">
        <f>X2</f>
        <v>42886</v>
      </c>
      <c r="Y55" s="32"/>
      <c r="Z55" s="32"/>
      <c r="AA55" s="32"/>
      <c r="AB55" s="32"/>
      <c r="AC55" s="32"/>
      <c r="AD55" s="32"/>
      <c r="AE55" s="32"/>
      <c r="AF55" s="32"/>
      <c r="AG55" s="32"/>
      <c r="AH55" s="33"/>
    </row>
    <row r="56" spans="1:34" ht="19.5" customHeight="1">
      <c r="A56" s="34" t="s">
        <v>55</v>
      </c>
      <c r="B56" s="35"/>
      <c r="C56" s="35"/>
      <c r="D56" s="35"/>
      <c r="E56" s="35"/>
      <c r="F56" s="35"/>
      <c r="G56" s="25" t="s">
        <v>83</v>
      </c>
      <c r="H56" s="26"/>
      <c r="I56" s="26"/>
      <c r="J56" s="26"/>
      <c r="K56" s="26"/>
      <c r="L56" s="26"/>
      <c r="M56" s="26"/>
      <c r="N56" s="26"/>
      <c r="O56" s="26"/>
      <c r="P56" s="26"/>
      <c r="Q56" s="27"/>
      <c r="R56" s="28" t="s">
        <v>6</v>
      </c>
      <c r="S56" s="29"/>
      <c r="T56" s="29"/>
      <c r="U56" s="29"/>
      <c r="V56" s="29"/>
      <c r="W56" s="30"/>
      <c r="X56" s="31">
        <f>X3</f>
        <v>43251</v>
      </c>
      <c r="Y56" s="32"/>
      <c r="Z56" s="32"/>
      <c r="AA56" s="32"/>
      <c r="AB56" s="32"/>
      <c r="AC56" s="32"/>
      <c r="AD56" s="32"/>
      <c r="AE56" s="32"/>
      <c r="AF56" s="32"/>
      <c r="AG56" s="32"/>
      <c r="AH56" s="33"/>
    </row>
    <row r="57" spans="1:34" ht="19.5" customHeight="1">
      <c r="A57" s="34" t="s">
        <v>7</v>
      </c>
      <c r="B57" s="35"/>
      <c r="C57" s="35"/>
      <c r="D57" s="35"/>
      <c r="E57" s="35"/>
      <c r="F57" s="35"/>
      <c r="G57" s="36" t="s">
        <v>84</v>
      </c>
      <c r="H57" s="37"/>
      <c r="I57" s="37"/>
      <c r="J57" s="37"/>
      <c r="K57" s="37"/>
      <c r="L57" s="37"/>
      <c r="M57" s="37"/>
      <c r="N57" s="37"/>
      <c r="O57" s="37"/>
      <c r="P57" s="37"/>
      <c r="Q57" s="38"/>
      <c r="R57" s="39" t="s">
        <v>8</v>
      </c>
      <c r="S57" s="40"/>
      <c r="T57" s="40"/>
      <c r="U57" s="40"/>
      <c r="V57" s="40"/>
      <c r="W57" s="41"/>
      <c r="X57" s="42" t="s">
        <v>9</v>
      </c>
      <c r="Y57" s="43"/>
      <c r="Z57" s="43"/>
      <c r="AA57" s="43"/>
      <c r="AB57" s="43"/>
      <c r="AC57" s="43"/>
      <c r="AD57" s="43"/>
      <c r="AE57" s="43"/>
      <c r="AF57" s="43"/>
      <c r="AG57" s="43"/>
      <c r="AH57" s="44"/>
    </row>
    <row r="58" spans="1:34" ht="19.5" customHeight="1">
      <c r="A58" s="65" t="s">
        <v>10</v>
      </c>
      <c r="B58" s="66"/>
      <c r="C58" s="66"/>
      <c r="D58" s="66"/>
      <c r="E58" s="66"/>
      <c r="F58" s="67"/>
      <c r="G58" s="68" t="s">
        <v>120</v>
      </c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9" t="s">
        <v>11</v>
      </c>
      <c r="S58" s="69"/>
      <c r="T58" s="69"/>
      <c r="U58" s="69"/>
      <c r="V58" s="69"/>
      <c r="W58" s="69"/>
      <c r="X58" s="70" t="s">
        <v>12</v>
      </c>
      <c r="Y58" s="71"/>
      <c r="Z58" s="72">
        <f>Z5</f>
        <v>100</v>
      </c>
      <c r="AA58" s="73"/>
      <c r="AB58" s="73"/>
      <c r="AC58" s="73"/>
      <c r="AD58" s="74" t="s">
        <v>56</v>
      </c>
      <c r="AE58" s="74"/>
      <c r="AF58" s="74"/>
      <c r="AG58" s="74"/>
      <c r="AH58" s="75"/>
    </row>
    <row r="59" spans="1:34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4"/>
    </row>
    <row r="60" spans="1:34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4"/>
    </row>
    <row r="61" spans="1:34">
      <c r="A61" s="2"/>
      <c r="B61" s="7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4"/>
    </row>
    <row r="62" spans="1:34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4"/>
    </row>
    <row r="63" spans="1:34" ht="15" customHeight="1">
      <c r="A63" s="2"/>
      <c r="B63" s="213"/>
      <c r="C63" s="214"/>
      <c r="D63" s="214"/>
      <c r="E63" s="215"/>
      <c r="F63" s="138" t="s">
        <v>58</v>
      </c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3"/>
      <c r="T63" s="138" t="s">
        <v>20</v>
      </c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3"/>
      <c r="AH63" s="4"/>
    </row>
    <row r="64" spans="1:34" ht="39.75" customHeight="1">
      <c r="A64" s="2"/>
      <c r="B64" s="216"/>
      <c r="C64" s="217"/>
      <c r="D64" s="217"/>
      <c r="E64" s="218"/>
      <c r="F64" s="130" t="s">
        <v>45</v>
      </c>
      <c r="G64" s="131"/>
      <c r="H64" s="131"/>
      <c r="I64" s="131"/>
      <c r="J64" s="131"/>
      <c r="K64" s="219" t="s">
        <v>59</v>
      </c>
      <c r="L64" s="220"/>
      <c r="M64" s="220"/>
      <c r="N64" s="220"/>
      <c r="O64" s="221" t="s">
        <v>60</v>
      </c>
      <c r="P64" s="131"/>
      <c r="Q64" s="131"/>
      <c r="R64" s="131"/>
      <c r="S64" s="132"/>
      <c r="T64" s="130" t="s">
        <v>45</v>
      </c>
      <c r="U64" s="131"/>
      <c r="V64" s="131"/>
      <c r="W64" s="131"/>
      <c r="X64" s="131"/>
      <c r="Y64" s="219" t="s">
        <v>59</v>
      </c>
      <c r="Z64" s="220"/>
      <c r="AA64" s="220"/>
      <c r="AB64" s="220"/>
      <c r="AC64" s="221" t="s">
        <v>60</v>
      </c>
      <c r="AD64" s="131"/>
      <c r="AE64" s="131"/>
      <c r="AF64" s="131"/>
      <c r="AG64" s="132"/>
      <c r="AH64" s="4"/>
    </row>
    <row r="65" spans="1:34" ht="15" customHeight="1">
      <c r="A65" s="2"/>
      <c r="B65" s="216"/>
      <c r="C65" s="217"/>
      <c r="D65" s="217"/>
      <c r="E65" s="218"/>
      <c r="F65" s="130" t="s">
        <v>61</v>
      </c>
      <c r="G65" s="131"/>
      <c r="H65" s="131"/>
      <c r="I65" s="131"/>
      <c r="J65" s="131"/>
      <c r="K65" s="131" t="s">
        <v>62</v>
      </c>
      <c r="L65" s="131"/>
      <c r="M65" s="131"/>
      <c r="N65" s="131"/>
      <c r="O65" s="131" t="s">
        <v>63</v>
      </c>
      <c r="P65" s="131"/>
      <c r="Q65" s="131"/>
      <c r="R65" s="131"/>
      <c r="S65" s="132"/>
      <c r="T65" s="130" t="s">
        <v>64</v>
      </c>
      <c r="U65" s="131"/>
      <c r="V65" s="131"/>
      <c r="W65" s="131"/>
      <c r="X65" s="131"/>
      <c r="Y65" s="131" t="s">
        <v>65</v>
      </c>
      <c r="Z65" s="131"/>
      <c r="AA65" s="131"/>
      <c r="AB65" s="131"/>
      <c r="AC65" s="131" t="s">
        <v>66</v>
      </c>
      <c r="AD65" s="131"/>
      <c r="AE65" s="131"/>
      <c r="AF65" s="131"/>
      <c r="AG65" s="132"/>
      <c r="AH65" s="4"/>
    </row>
    <row r="66" spans="1:34" ht="15" customHeight="1">
      <c r="A66" s="2"/>
      <c r="B66" s="206"/>
      <c r="C66" s="207"/>
      <c r="D66" s="208" t="s">
        <v>67</v>
      </c>
      <c r="E66" s="209"/>
      <c r="F66" s="210"/>
      <c r="G66" s="211"/>
      <c r="H66" s="211"/>
      <c r="I66" s="211"/>
      <c r="J66" s="211"/>
      <c r="K66" s="211"/>
      <c r="L66" s="211"/>
      <c r="M66" s="211"/>
      <c r="N66" s="211"/>
      <c r="O66" s="211" t="s">
        <v>32</v>
      </c>
      <c r="P66" s="211"/>
      <c r="Q66" s="211"/>
      <c r="R66" s="211"/>
      <c r="S66" s="212"/>
      <c r="T66" s="210"/>
      <c r="U66" s="211"/>
      <c r="V66" s="211"/>
      <c r="W66" s="211"/>
      <c r="X66" s="211"/>
      <c r="Y66" s="211"/>
      <c r="Z66" s="211"/>
      <c r="AA66" s="211"/>
      <c r="AB66" s="211"/>
      <c r="AC66" s="211" t="s">
        <v>32</v>
      </c>
      <c r="AD66" s="211"/>
      <c r="AE66" s="211"/>
      <c r="AF66" s="211"/>
      <c r="AG66" s="212"/>
      <c r="AH66" s="4"/>
    </row>
    <row r="67" spans="1:34" ht="21" customHeight="1">
      <c r="A67" s="2"/>
      <c r="B67" s="124" t="s">
        <v>68</v>
      </c>
      <c r="C67" s="125"/>
      <c r="D67" s="125"/>
      <c r="E67" s="126"/>
      <c r="F67" s="222">
        <v>7.0000000000000007E-2</v>
      </c>
      <c r="G67" s="223"/>
      <c r="H67" s="223"/>
      <c r="I67" s="223"/>
      <c r="J67" s="224"/>
      <c r="K67" s="225">
        <f>F67-$F$70</f>
        <v>0</v>
      </c>
      <c r="L67" s="225"/>
      <c r="M67" s="225"/>
      <c r="N67" s="226"/>
      <c r="O67" s="225">
        <f>K67/$Z$58*100</f>
        <v>0</v>
      </c>
      <c r="P67" s="225"/>
      <c r="Q67" s="225"/>
      <c r="R67" s="225"/>
      <c r="S67" s="227"/>
      <c r="T67" s="228">
        <v>89.77</v>
      </c>
      <c r="U67" s="229"/>
      <c r="V67" s="229"/>
      <c r="W67" s="229"/>
      <c r="X67" s="230"/>
      <c r="Y67" s="229">
        <f>T67-$T$70</f>
        <v>-7.000000000000739E-2</v>
      </c>
      <c r="Z67" s="229"/>
      <c r="AA67" s="229"/>
      <c r="AB67" s="229"/>
      <c r="AC67" s="231">
        <f>Y67/$Z$58*100</f>
        <v>-7.000000000000739E-2</v>
      </c>
      <c r="AD67" s="231"/>
      <c r="AE67" s="231"/>
      <c r="AF67" s="231"/>
      <c r="AG67" s="232"/>
      <c r="AH67" s="4"/>
    </row>
    <row r="68" spans="1:34" ht="21" customHeight="1">
      <c r="A68" s="2"/>
      <c r="B68" s="124" t="s">
        <v>69</v>
      </c>
      <c r="C68" s="125"/>
      <c r="D68" s="125"/>
      <c r="E68" s="126"/>
      <c r="F68" s="241">
        <v>7.0000000000000007E-2</v>
      </c>
      <c r="G68" s="242"/>
      <c r="H68" s="242"/>
      <c r="I68" s="242"/>
      <c r="J68" s="243"/>
      <c r="K68" s="231">
        <f>F68-$F$70</f>
        <v>0</v>
      </c>
      <c r="L68" s="231"/>
      <c r="M68" s="231"/>
      <c r="N68" s="231"/>
      <c r="O68" s="231">
        <f>K68/$Z$58*100</f>
        <v>0</v>
      </c>
      <c r="P68" s="231"/>
      <c r="Q68" s="231"/>
      <c r="R68" s="231"/>
      <c r="S68" s="232"/>
      <c r="T68" s="244">
        <v>89.83</v>
      </c>
      <c r="U68" s="231"/>
      <c r="V68" s="231"/>
      <c r="W68" s="231"/>
      <c r="X68" s="245"/>
      <c r="Y68" s="231">
        <f>T68-$T$70</f>
        <v>-1.0000000000005116E-2</v>
      </c>
      <c r="Z68" s="231"/>
      <c r="AA68" s="231"/>
      <c r="AB68" s="231"/>
      <c r="AC68" s="231">
        <f>Y68/$Z$58*100</f>
        <v>-1.0000000000005116E-2</v>
      </c>
      <c r="AD68" s="231"/>
      <c r="AE68" s="231"/>
      <c r="AF68" s="231"/>
      <c r="AG68" s="232"/>
      <c r="AH68" s="4"/>
    </row>
    <row r="69" spans="1:34" ht="21" customHeight="1">
      <c r="A69" s="2"/>
      <c r="B69" s="124" t="s">
        <v>70</v>
      </c>
      <c r="C69" s="125"/>
      <c r="D69" s="125"/>
      <c r="E69" s="126"/>
      <c r="F69" s="233">
        <v>7.0000000000000007E-2</v>
      </c>
      <c r="G69" s="234"/>
      <c r="H69" s="234"/>
      <c r="I69" s="234"/>
      <c r="J69" s="235"/>
      <c r="K69" s="236">
        <f>F69-$F$70</f>
        <v>0</v>
      </c>
      <c r="L69" s="236"/>
      <c r="M69" s="236"/>
      <c r="N69" s="237"/>
      <c r="O69" s="238">
        <f>K69/$Z$58*100</f>
        <v>0</v>
      </c>
      <c r="P69" s="238"/>
      <c r="Q69" s="238"/>
      <c r="R69" s="238"/>
      <c r="S69" s="239"/>
      <c r="T69" s="233">
        <v>89.93</v>
      </c>
      <c r="U69" s="234"/>
      <c r="V69" s="234"/>
      <c r="W69" s="234"/>
      <c r="X69" s="234"/>
      <c r="Y69" s="240">
        <f>T69-$T$70</f>
        <v>9.0000000000003411E-2</v>
      </c>
      <c r="Z69" s="240"/>
      <c r="AA69" s="240"/>
      <c r="AB69" s="240"/>
      <c r="AC69" s="231">
        <f>Y69/$Z$58*100</f>
        <v>9.0000000000003411E-2</v>
      </c>
      <c r="AD69" s="231"/>
      <c r="AE69" s="231"/>
      <c r="AF69" s="231"/>
      <c r="AG69" s="232"/>
      <c r="AH69" s="4"/>
    </row>
    <row r="70" spans="1:34" ht="21" customHeight="1">
      <c r="A70" s="2"/>
      <c r="B70" s="249" t="s">
        <v>71</v>
      </c>
      <c r="C70" s="137"/>
      <c r="D70" s="137"/>
      <c r="E70" s="103"/>
      <c r="F70" s="222">
        <f>ROUND(AVERAGE(F67:J69),2)</f>
        <v>7.0000000000000007E-2</v>
      </c>
      <c r="G70" s="223"/>
      <c r="H70" s="223"/>
      <c r="I70" s="223"/>
      <c r="J70" s="224"/>
      <c r="K70" s="250" t="s">
        <v>72</v>
      </c>
      <c r="L70" s="251"/>
      <c r="M70" s="251"/>
      <c r="N70" s="252"/>
      <c r="O70" s="253">
        <f>ROUND(AVERAGE(O67:S69),2)</f>
        <v>0</v>
      </c>
      <c r="P70" s="254"/>
      <c r="Q70" s="254"/>
      <c r="R70" s="254"/>
      <c r="S70" s="255"/>
      <c r="T70" s="256">
        <f>ROUND(AVERAGE(T67:X69),2)</f>
        <v>89.84</v>
      </c>
      <c r="U70" s="112"/>
      <c r="V70" s="112"/>
      <c r="W70" s="112"/>
      <c r="X70" s="112"/>
      <c r="Y70" s="250" t="s">
        <v>72</v>
      </c>
      <c r="Z70" s="251"/>
      <c r="AA70" s="251"/>
      <c r="AB70" s="252"/>
      <c r="AC70" s="112">
        <f>ROUND(AVERAGE(AC67:AG69),2)</f>
        <v>0</v>
      </c>
      <c r="AD70" s="112"/>
      <c r="AE70" s="112"/>
      <c r="AF70" s="112"/>
      <c r="AG70" s="113"/>
      <c r="AH70" s="4"/>
    </row>
    <row r="71" spans="1:34" ht="27" customHeight="1">
      <c r="A71" s="2"/>
      <c r="B71" s="136" t="s">
        <v>36</v>
      </c>
      <c r="C71" s="137"/>
      <c r="D71" s="137"/>
      <c r="E71" s="103"/>
      <c r="F71" s="12"/>
      <c r="G71" s="137" t="s">
        <v>37</v>
      </c>
      <c r="H71" s="137"/>
      <c r="I71" s="137"/>
      <c r="J71" s="137"/>
      <c r="K71" s="137" t="s">
        <v>38</v>
      </c>
      <c r="L71" s="137"/>
      <c r="M71" s="137"/>
      <c r="N71" s="137"/>
      <c r="O71" s="246" t="s">
        <v>39</v>
      </c>
      <c r="P71" s="247"/>
      <c r="Q71" s="247"/>
      <c r="R71" s="247"/>
      <c r="S71" s="248"/>
      <c r="T71" s="89" t="s">
        <v>73</v>
      </c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4"/>
    </row>
    <row r="72" spans="1:34">
      <c r="A72" s="2"/>
      <c r="B72" s="150" t="s">
        <v>41</v>
      </c>
      <c r="C72" s="150"/>
      <c r="D72" s="150"/>
      <c r="E72" s="15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4"/>
    </row>
    <row r="73" spans="1:34">
      <c r="A73" s="2"/>
      <c r="B73" s="150"/>
      <c r="C73" s="150"/>
      <c r="D73" s="150"/>
      <c r="E73" s="15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4"/>
    </row>
    <row r="74" spans="1:34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4"/>
    </row>
    <row r="75" spans="1:34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4"/>
    </row>
    <row r="76" spans="1:34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4"/>
    </row>
    <row r="77" spans="1:34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4"/>
    </row>
    <row r="78" spans="1:34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4"/>
    </row>
    <row r="79" spans="1:34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4"/>
    </row>
    <row r="80" spans="1:34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4"/>
    </row>
    <row r="81" spans="1:34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4"/>
    </row>
    <row r="82" spans="1:34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4"/>
    </row>
    <row r="83" spans="1:34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4"/>
    </row>
    <row r="84" spans="1:34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4"/>
    </row>
    <row r="85" spans="1:34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4"/>
    </row>
    <row r="86" spans="1:34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4"/>
    </row>
    <row r="87" spans="1:34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4"/>
    </row>
    <row r="88" spans="1:34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4"/>
    </row>
    <row r="89" spans="1:34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4"/>
    </row>
    <row r="90" spans="1:34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4"/>
    </row>
    <row r="91" spans="1:34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4"/>
    </row>
    <row r="92" spans="1:34" ht="4.5" customHeight="1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4"/>
    </row>
    <row r="93" spans="1:34" ht="15.75" thickBot="1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4"/>
    </row>
    <row r="94" spans="1:34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151" t="s">
        <v>49</v>
      </c>
      <c r="Z94" s="152"/>
      <c r="AA94" s="152"/>
      <c r="AB94" s="152"/>
      <c r="AC94" s="153"/>
      <c r="AD94" s="157" t="s">
        <v>50</v>
      </c>
      <c r="AE94" s="157"/>
      <c r="AF94" s="157"/>
      <c r="AG94" s="157"/>
      <c r="AH94" s="158"/>
    </row>
    <row r="95" spans="1:34" ht="15.75" thickBot="1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154"/>
      <c r="Z95" s="155"/>
      <c r="AA95" s="155"/>
      <c r="AB95" s="155"/>
      <c r="AC95" s="156"/>
      <c r="AD95" s="159"/>
      <c r="AE95" s="159"/>
      <c r="AF95" s="159"/>
      <c r="AG95" s="159"/>
      <c r="AH95" s="160"/>
    </row>
    <row r="96" spans="1:34" ht="15" customHeight="1">
      <c r="A96" s="2"/>
      <c r="B96" s="161" t="s">
        <v>51</v>
      </c>
      <c r="C96" s="171"/>
      <c r="D96" s="171"/>
      <c r="E96" s="171"/>
      <c r="F96" s="171"/>
      <c r="G96" s="171"/>
      <c r="H96" s="170" t="s">
        <v>37</v>
      </c>
      <c r="I96" s="171"/>
      <c r="J96" s="171"/>
      <c r="K96" s="171"/>
      <c r="L96" s="171"/>
      <c r="M96" s="172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176"/>
      <c r="Z96" s="177"/>
      <c r="AA96" s="177"/>
      <c r="AB96" s="177"/>
      <c r="AC96" s="178"/>
      <c r="AD96" s="183"/>
      <c r="AE96" s="184"/>
      <c r="AF96" s="184"/>
      <c r="AG96" s="184"/>
      <c r="AH96" s="185"/>
    </row>
    <row r="97" spans="1:34" ht="15" customHeight="1">
      <c r="A97" s="2"/>
      <c r="B97" s="173"/>
      <c r="C97" s="174"/>
      <c r="D97" s="174"/>
      <c r="E97" s="174"/>
      <c r="F97" s="174"/>
      <c r="G97" s="174"/>
      <c r="H97" s="173"/>
      <c r="I97" s="174"/>
      <c r="J97" s="174"/>
      <c r="K97" s="174"/>
      <c r="L97" s="174"/>
      <c r="M97" s="175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179"/>
      <c r="Z97" s="177"/>
      <c r="AA97" s="177"/>
      <c r="AB97" s="177"/>
      <c r="AC97" s="178"/>
      <c r="AD97" s="184"/>
      <c r="AE97" s="184"/>
      <c r="AF97" s="184"/>
      <c r="AG97" s="184"/>
      <c r="AH97" s="185"/>
    </row>
    <row r="98" spans="1:34" ht="15" customHeight="1">
      <c r="A98" s="2"/>
      <c r="B98" s="173"/>
      <c r="C98" s="174"/>
      <c r="D98" s="174"/>
      <c r="E98" s="174"/>
      <c r="F98" s="174"/>
      <c r="G98" s="174"/>
      <c r="H98" s="173" t="s">
        <v>38</v>
      </c>
      <c r="I98" s="174"/>
      <c r="J98" s="174"/>
      <c r="K98" s="174"/>
      <c r="L98" s="174"/>
      <c r="M98" s="175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179"/>
      <c r="Z98" s="177"/>
      <c r="AA98" s="177"/>
      <c r="AB98" s="177"/>
      <c r="AC98" s="178"/>
      <c r="AD98" s="184"/>
      <c r="AE98" s="184"/>
      <c r="AF98" s="184"/>
      <c r="AG98" s="184"/>
      <c r="AH98" s="185"/>
    </row>
    <row r="99" spans="1:34" ht="15.75" customHeight="1" thickBot="1">
      <c r="A99" s="2"/>
      <c r="B99" s="188"/>
      <c r="C99" s="189"/>
      <c r="D99" s="189"/>
      <c r="E99" s="189"/>
      <c r="F99" s="189"/>
      <c r="G99" s="189"/>
      <c r="H99" s="188"/>
      <c r="I99" s="189"/>
      <c r="J99" s="189"/>
      <c r="K99" s="189"/>
      <c r="L99" s="189"/>
      <c r="M99" s="190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179"/>
      <c r="Z99" s="177"/>
      <c r="AA99" s="177"/>
      <c r="AB99" s="177"/>
      <c r="AC99" s="178"/>
      <c r="AD99" s="184"/>
      <c r="AE99" s="184"/>
      <c r="AF99" s="184"/>
      <c r="AG99" s="184"/>
      <c r="AH99" s="185"/>
    </row>
    <row r="100" spans="1:34" ht="9" customHeight="1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180"/>
      <c r="Z100" s="181"/>
      <c r="AA100" s="181"/>
      <c r="AB100" s="181"/>
      <c r="AC100" s="182"/>
      <c r="AD100" s="186"/>
      <c r="AE100" s="186"/>
      <c r="AF100" s="186"/>
      <c r="AG100" s="186"/>
      <c r="AH100" s="187"/>
    </row>
    <row r="101" spans="1:34" s="13" customFormat="1" ht="22.5" customHeight="1" thickBot="1">
      <c r="A101" s="199" t="s">
        <v>76</v>
      </c>
      <c r="B101" s="200"/>
      <c r="C101" s="200"/>
      <c r="D101" s="200"/>
      <c r="E101" s="200" t="s">
        <v>52</v>
      </c>
      <c r="F101" s="200"/>
      <c r="G101" s="200"/>
      <c r="H101" s="200"/>
      <c r="I101" s="201"/>
      <c r="J101" s="202" t="s">
        <v>77</v>
      </c>
      <c r="K101" s="200"/>
      <c r="L101" s="200"/>
      <c r="M101" s="200"/>
      <c r="N101" s="200" t="s">
        <v>78</v>
      </c>
      <c r="O101" s="200"/>
      <c r="P101" s="200"/>
      <c r="Q101" s="201"/>
      <c r="R101" s="203"/>
      <c r="S101" s="204"/>
      <c r="T101" s="204"/>
      <c r="U101" s="204"/>
      <c r="V101" s="204"/>
      <c r="W101" s="204"/>
      <c r="X101" s="205"/>
      <c r="Y101" s="202" t="s">
        <v>79</v>
      </c>
      <c r="Z101" s="200"/>
      <c r="AA101" s="200"/>
      <c r="AB101" s="200"/>
      <c r="AC101" s="200"/>
      <c r="AD101" s="197">
        <v>41883</v>
      </c>
      <c r="AE101" s="197"/>
      <c r="AF101" s="197"/>
      <c r="AG101" s="197"/>
      <c r="AH101" s="198"/>
    </row>
  </sheetData>
  <mergeCells count="208">
    <mergeCell ref="A3:F3"/>
    <mergeCell ref="G3:Q3"/>
    <mergeCell ref="R3:W3"/>
    <mergeCell ref="X3:AH3"/>
    <mergeCell ref="A4:F4"/>
    <mergeCell ref="G4:Q4"/>
    <mergeCell ref="R4:W4"/>
    <mergeCell ref="X4:AH4"/>
    <mergeCell ref="A1:AC1"/>
    <mergeCell ref="AD1:AF1"/>
    <mergeCell ref="AG1:AH1"/>
    <mergeCell ref="A2:F2"/>
    <mergeCell ref="G2:Q2"/>
    <mergeCell ref="R2:W2"/>
    <mergeCell ref="X2:AH2"/>
    <mergeCell ref="B7:AG7"/>
    <mergeCell ref="B8:H8"/>
    <mergeCell ref="I8:N8"/>
    <mergeCell ref="O8:U8"/>
    <mergeCell ref="V8:AA8"/>
    <mergeCell ref="AB8:AG8"/>
    <mergeCell ref="A5:F5"/>
    <mergeCell ref="G5:Q5"/>
    <mergeCell ref="R5:W5"/>
    <mergeCell ref="X5:Y5"/>
    <mergeCell ref="Z5:AC5"/>
    <mergeCell ref="AD5:AH5"/>
    <mergeCell ref="B9:H9"/>
    <mergeCell ref="I9:N9"/>
    <mergeCell ref="O9:U9"/>
    <mergeCell ref="V9:AA9"/>
    <mergeCell ref="AB9:AG9"/>
    <mergeCell ref="B10:H10"/>
    <mergeCell ref="I10:N10"/>
    <mergeCell ref="O10:U10"/>
    <mergeCell ref="V10:AA10"/>
    <mergeCell ref="AB10:AG10"/>
    <mergeCell ref="F14:K14"/>
    <mergeCell ref="L14:S14"/>
    <mergeCell ref="T14:Y14"/>
    <mergeCell ref="Z14:AG14"/>
    <mergeCell ref="B15:K15"/>
    <mergeCell ref="L15:S15"/>
    <mergeCell ref="B11:H11"/>
    <mergeCell ref="I11:N11"/>
    <mergeCell ref="O11:U11"/>
    <mergeCell ref="V11:AA11"/>
    <mergeCell ref="AB11:AG11"/>
    <mergeCell ref="B13:E14"/>
    <mergeCell ref="F13:K13"/>
    <mergeCell ref="L13:S13"/>
    <mergeCell ref="T13:Y13"/>
    <mergeCell ref="Z13:AG13"/>
    <mergeCell ref="B22:K22"/>
    <mergeCell ref="L22:U22"/>
    <mergeCell ref="V22:AE22"/>
    <mergeCell ref="B23:K23"/>
    <mergeCell ref="L23:U23"/>
    <mergeCell ref="V23:AC23"/>
    <mergeCell ref="AD23:AE23"/>
    <mergeCell ref="B19:K19"/>
    <mergeCell ref="L19:U19"/>
    <mergeCell ref="B20:U20"/>
    <mergeCell ref="V20:AE21"/>
    <mergeCell ref="B21:K21"/>
    <mergeCell ref="L21:U21"/>
    <mergeCell ref="B28:K28"/>
    <mergeCell ref="L28:U28"/>
    <mergeCell ref="V28:AE28"/>
    <mergeCell ref="B29:K29"/>
    <mergeCell ref="L29:U29"/>
    <mergeCell ref="V29:AC29"/>
    <mergeCell ref="AD29:AE29"/>
    <mergeCell ref="B25:K25"/>
    <mergeCell ref="L25:U25"/>
    <mergeCell ref="B26:U26"/>
    <mergeCell ref="V26:AE27"/>
    <mergeCell ref="B27:K27"/>
    <mergeCell ref="L27:U27"/>
    <mergeCell ref="B37:U37"/>
    <mergeCell ref="V37:AE38"/>
    <mergeCell ref="B38:K38"/>
    <mergeCell ref="L38:U38"/>
    <mergeCell ref="B39:K39"/>
    <mergeCell ref="L39:U39"/>
    <mergeCell ref="V39:AE39"/>
    <mergeCell ref="B31:F31"/>
    <mergeCell ref="H31:K31"/>
    <mergeCell ref="L31:O31"/>
    <mergeCell ref="Q31:U31"/>
    <mergeCell ref="V31:AE31"/>
    <mergeCell ref="C32:F33"/>
    <mergeCell ref="B42:E43"/>
    <mergeCell ref="Y44:AC45"/>
    <mergeCell ref="AD44:AH45"/>
    <mergeCell ref="B46:G49"/>
    <mergeCell ref="H46:M47"/>
    <mergeCell ref="Y46:AC50"/>
    <mergeCell ref="AD46:AH50"/>
    <mergeCell ref="H48:M49"/>
    <mergeCell ref="B40:K40"/>
    <mergeCell ref="L40:U40"/>
    <mergeCell ref="V40:AC40"/>
    <mergeCell ref="AD40:AE40"/>
    <mergeCell ref="B41:F41"/>
    <mergeCell ref="H41:K41"/>
    <mergeCell ref="L41:O41"/>
    <mergeCell ref="Q41:U41"/>
    <mergeCell ref="V41:AE41"/>
    <mergeCell ref="AD51:AH51"/>
    <mergeCell ref="A54:AC54"/>
    <mergeCell ref="AD54:AF54"/>
    <mergeCell ref="AG54:AH54"/>
    <mergeCell ref="A55:F55"/>
    <mergeCell ref="G55:Q55"/>
    <mergeCell ref="R55:W55"/>
    <mergeCell ref="X55:AH55"/>
    <mergeCell ref="A51:D51"/>
    <mergeCell ref="E51:I51"/>
    <mergeCell ref="J51:M51"/>
    <mergeCell ref="N51:Q51"/>
    <mergeCell ref="R51:X51"/>
    <mergeCell ref="Y51:AC51"/>
    <mergeCell ref="A58:F58"/>
    <mergeCell ref="G58:Q58"/>
    <mergeCell ref="R58:W58"/>
    <mergeCell ref="X58:Y58"/>
    <mergeCell ref="Z58:AC58"/>
    <mergeCell ref="AD58:AH58"/>
    <mergeCell ref="A56:F56"/>
    <mergeCell ref="G56:Q56"/>
    <mergeCell ref="R56:W56"/>
    <mergeCell ref="X56:AH56"/>
    <mergeCell ref="A57:F57"/>
    <mergeCell ref="G57:Q57"/>
    <mergeCell ref="R57:W57"/>
    <mergeCell ref="X57:AH57"/>
    <mergeCell ref="K65:N65"/>
    <mergeCell ref="O65:S65"/>
    <mergeCell ref="T65:X65"/>
    <mergeCell ref="Y65:AB65"/>
    <mergeCell ref="AC65:AG65"/>
    <mergeCell ref="B66:C66"/>
    <mergeCell ref="D66:E66"/>
    <mergeCell ref="F66:J66"/>
    <mergeCell ref="K66:N66"/>
    <mergeCell ref="O66:S66"/>
    <mergeCell ref="B63:E65"/>
    <mergeCell ref="F63:S63"/>
    <mergeCell ref="T63:AG63"/>
    <mergeCell ref="F64:J64"/>
    <mergeCell ref="K64:N64"/>
    <mergeCell ref="O64:S64"/>
    <mergeCell ref="T64:X64"/>
    <mergeCell ref="Y64:AB64"/>
    <mergeCell ref="AC64:AG64"/>
    <mergeCell ref="F65:J65"/>
    <mergeCell ref="T66:X66"/>
    <mergeCell ref="Y66:AB66"/>
    <mergeCell ref="AC66:AG66"/>
    <mergeCell ref="B67:E67"/>
    <mergeCell ref="F67:J67"/>
    <mergeCell ref="K67:N67"/>
    <mergeCell ref="O67:S67"/>
    <mergeCell ref="T67:X67"/>
    <mergeCell ref="Y67:AB67"/>
    <mergeCell ref="AC67:AG67"/>
    <mergeCell ref="AC68:AG68"/>
    <mergeCell ref="B69:E69"/>
    <mergeCell ref="F69:J69"/>
    <mergeCell ref="K69:N69"/>
    <mergeCell ref="O69:S69"/>
    <mergeCell ref="T69:X69"/>
    <mergeCell ref="Y69:AB69"/>
    <mergeCell ref="AC69:AG69"/>
    <mergeCell ref="B68:E68"/>
    <mergeCell ref="F68:J68"/>
    <mergeCell ref="K68:N68"/>
    <mergeCell ref="O68:S68"/>
    <mergeCell ref="T68:X68"/>
    <mergeCell ref="Y68:AB68"/>
    <mergeCell ref="AC70:AG70"/>
    <mergeCell ref="B71:E71"/>
    <mergeCell ref="G71:J71"/>
    <mergeCell ref="K71:N71"/>
    <mergeCell ref="O71:S71"/>
    <mergeCell ref="T71:AG71"/>
    <mergeCell ref="B70:E70"/>
    <mergeCell ref="F70:J70"/>
    <mergeCell ref="K70:N70"/>
    <mergeCell ref="O70:S70"/>
    <mergeCell ref="T70:X70"/>
    <mergeCell ref="Y70:AB70"/>
    <mergeCell ref="AD101:AH101"/>
    <mergeCell ref="A101:D101"/>
    <mergeCell ref="E101:I101"/>
    <mergeCell ref="J101:M101"/>
    <mergeCell ref="N101:Q101"/>
    <mergeCell ref="R101:X101"/>
    <mergeCell ref="Y101:AC101"/>
    <mergeCell ref="B72:E73"/>
    <mergeCell ref="Y94:AC95"/>
    <mergeCell ref="AD94:AH95"/>
    <mergeCell ref="B96:G99"/>
    <mergeCell ref="H96:M97"/>
    <mergeCell ref="Y96:AC100"/>
    <mergeCell ref="AD96:AH100"/>
    <mergeCell ref="H98:M99"/>
  </mergeCells>
  <pageMargins left="0.47244094488188981" right="0.27" top="0.4" bottom="0.19685039370078741" header="0.35433070866141736" footer="0.11811023622047245"/>
  <pageSetup paperSize="9" scale="94" firstPageNumber="4294963191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34817" r:id="rId4">
          <objectPr defaultSize="0" autoPict="0" r:id="rId5">
            <anchor moveWithCells="1">
              <from>
                <xdr:col>6</xdr:col>
                <xdr:colOff>142875</xdr:colOff>
                <xdr:row>31</xdr:row>
                <xdr:rowOff>38100</xdr:rowOff>
              </from>
              <to>
                <xdr:col>9</xdr:col>
                <xdr:colOff>19050</xdr:colOff>
                <xdr:row>32</xdr:row>
                <xdr:rowOff>152400</xdr:rowOff>
              </to>
            </anchor>
          </objectPr>
        </oleObject>
      </mc:Choice>
      <mc:Fallback>
        <oleObject progId="Equation.3" shapeId="34817" r:id="rId4"/>
      </mc:Fallback>
    </mc:AlternateContent>
    <mc:AlternateContent xmlns:mc="http://schemas.openxmlformats.org/markup-compatibility/2006">
      <mc:Choice Requires="x14">
        <oleObject progId="Equation.3" shapeId="34818" r:id="rId6">
          <objectPr defaultSize="0" autoPict="0" r:id="rId7">
            <anchor moveWithCells="1">
              <from>
                <xdr:col>6</xdr:col>
                <xdr:colOff>95250</xdr:colOff>
                <xdr:row>41</xdr:row>
                <xdr:rowOff>180975</xdr:rowOff>
              </from>
              <to>
                <xdr:col>9</xdr:col>
                <xdr:colOff>123825</xdr:colOff>
                <xdr:row>43</xdr:row>
                <xdr:rowOff>104775</xdr:rowOff>
              </to>
            </anchor>
          </objectPr>
        </oleObject>
      </mc:Choice>
      <mc:Fallback>
        <oleObject progId="Equation.3" shapeId="34818" r:id="rId6"/>
      </mc:Fallback>
    </mc:AlternateContent>
    <mc:AlternateContent xmlns:mc="http://schemas.openxmlformats.org/markup-compatibility/2006">
      <mc:Choice Requires="x14">
        <oleObject progId="Equation.3" shapeId="34819" r:id="rId8">
          <objectPr defaultSize="0" autoPict="0" r:id="rId9">
            <anchor moveWithCells="1">
              <from>
                <xdr:col>5</xdr:col>
                <xdr:colOff>0</xdr:colOff>
                <xdr:row>72</xdr:row>
                <xdr:rowOff>85725</xdr:rowOff>
              </from>
              <to>
                <xdr:col>7</xdr:col>
                <xdr:colOff>114300</xdr:colOff>
                <xdr:row>74</xdr:row>
                <xdr:rowOff>19050</xdr:rowOff>
              </to>
            </anchor>
          </objectPr>
        </oleObject>
      </mc:Choice>
      <mc:Fallback>
        <oleObject progId="Equation.3" shapeId="34819" r:id="rId8"/>
      </mc:Fallback>
    </mc:AlternateContent>
  </oleObjec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101"/>
  <sheetViews>
    <sheetView tabSelected="1" zoomScale="130" zoomScaleNormal="130" workbookViewId="0">
      <selection activeCell="I9" sqref="I9:N9"/>
    </sheetView>
  </sheetViews>
  <sheetFormatPr defaultColWidth="2.5" defaultRowHeight="15"/>
  <cols>
    <col min="1" max="16384" width="2.5" style="1"/>
  </cols>
  <sheetData>
    <row r="1" spans="1:42" ht="27" customHeight="1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7"/>
      <c r="AD1" s="48" t="s">
        <v>1</v>
      </c>
      <c r="AE1" s="49"/>
      <c r="AF1" s="49"/>
      <c r="AG1" s="50" t="s">
        <v>2</v>
      </c>
      <c r="AH1" s="51"/>
    </row>
    <row r="2" spans="1:42" ht="19.5" customHeight="1">
      <c r="A2" s="52" t="s">
        <v>3</v>
      </c>
      <c r="B2" s="53"/>
      <c r="C2" s="53"/>
      <c r="D2" s="53"/>
      <c r="E2" s="53"/>
      <c r="F2" s="53"/>
      <c r="G2" s="54" t="s">
        <v>85</v>
      </c>
      <c r="H2" s="55"/>
      <c r="I2" s="55"/>
      <c r="J2" s="55"/>
      <c r="K2" s="55"/>
      <c r="L2" s="55"/>
      <c r="M2" s="55"/>
      <c r="N2" s="55"/>
      <c r="O2" s="55"/>
      <c r="P2" s="55"/>
      <c r="Q2" s="56"/>
      <c r="R2" s="28" t="s">
        <v>4</v>
      </c>
      <c r="S2" s="29"/>
      <c r="T2" s="29"/>
      <c r="U2" s="29"/>
      <c r="V2" s="29"/>
      <c r="W2" s="30"/>
      <c r="X2" s="31">
        <v>42886</v>
      </c>
      <c r="Y2" s="32"/>
      <c r="Z2" s="32"/>
      <c r="AA2" s="32"/>
      <c r="AB2" s="32"/>
      <c r="AC2" s="32"/>
      <c r="AD2" s="32"/>
      <c r="AE2" s="32"/>
      <c r="AF2" s="32"/>
      <c r="AG2" s="32"/>
      <c r="AH2" s="33"/>
    </row>
    <row r="3" spans="1:42" ht="19.5" customHeight="1">
      <c r="A3" s="23" t="s">
        <v>5</v>
      </c>
      <c r="B3" s="24"/>
      <c r="C3" s="24"/>
      <c r="D3" s="24"/>
      <c r="E3" s="24"/>
      <c r="F3" s="24"/>
      <c r="G3" s="25" t="s">
        <v>83</v>
      </c>
      <c r="H3" s="26"/>
      <c r="I3" s="26"/>
      <c r="J3" s="26"/>
      <c r="K3" s="26"/>
      <c r="L3" s="26"/>
      <c r="M3" s="26"/>
      <c r="N3" s="26"/>
      <c r="O3" s="26"/>
      <c r="P3" s="26"/>
      <c r="Q3" s="27"/>
      <c r="R3" s="28" t="s">
        <v>6</v>
      </c>
      <c r="S3" s="29"/>
      <c r="T3" s="29"/>
      <c r="U3" s="29"/>
      <c r="V3" s="29"/>
      <c r="W3" s="30"/>
      <c r="X3" s="31">
        <v>43251</v>
      </c>
      <c r="Y3" s="32"/>
      <c r="Z3" s="32"/>
      <c r="AA3" s="32"/>
      <c r="AB3" s="32"/>
      <c r="AC3" s="32"/>
      <c r="AD3" s="32"/>
      <c r="AE3" s="32"/>
      <c r="AF3" s="32"/>
      <c r="AG3" s="32"/>
      <c r="AH3" s="33"/>
    </row>
    <row r="4" spans="1:42" ht="19.5" customHeight="1">
      <c r="A4" s="34" t="s">
        <v>7</v>
      </c>
      <c r="B4" s="35"/>
      <c r="C4" s="35"/>
      <c r="D4" s="35"/>
      <c r="E4" s="35"/>
      <c r="F4" s="35"/>
      <c r="G4" s="36" t="s">
        <v>84</v>
      </c>
      <c r="H4" s="37"/>
      <c r="I4" s="37"/>
      <c r="J4" s="37"/>
      <c r="K4" s="37"/>
      <c r="L4" s="37"/>
      <c r="M4" s="37"/>
      <c r="N4" s="37"/>
      <c r="O4" s="37"/>
      <c r="P4" s="37"/>
      <c r="Q4" s="38"/>
      <c r="R4" s="39" t="s">
        <v>8</v>
      </c>
      <c r="S4" s="40"/>
      <c r="T4" s="40"/>
      <c r="U4" s="40"/>
      <c r="V4" s="40"/>
      <c r="W4" s="41"/>
      <c r="X4" s="42" t="s">
        <v>9</v>
      </c>
      <c r="Y4" s="43"/>
      <c r="Z4" s="43"/>
      <c r="AA4" s="43"/>
      <c r="AB4" s="43"/>
      <c r="AC4" s="43"/>
      <c r="AD4" s="43"/>
      <c r="AE4" s="43"/>
      <c r="AF4" s="43"/>
      <c r="AG4" s="43"/>
      <c r="AH4" s="44"/>
    </row>
    <row r="5" spans="1:42" ht="19.5" customHeight="1">
      <c r="A5" s="65" t="s">
        <v>10</v>
      </c>
      <c r="B5" s="66"/>
      <c r="C5" s="66"/>
      <c r="D5" s="66"/>
      <c r="E5" s="66"/>
      <c r="F5" s="67"/>
      <c r="G5" s="68" t="s">
        <v>120</v>
      </c>
      <c r="H5" s="68"/>
      <c r="I5" s="68"/>
      <c r="J5" s="68"/>
      <c r="K5" s="68"/>
      <c r="L5" s="68"/>
      <c r="M5" s="68"/>
      <c r="N5" s="68"/>
      <c r="O5" s="68"/>
      <c r="P5" s="68"/>
      <c r="Q5" s="68"/>
      <c r="R5" s="69" t="s">
        <v>11</v>
      </c>
      <c r="S5" s="69"/>
      <c r="T5" s="69"/>
      <c r="U5" s="69"/>
      <c r="V5" s="69"/>
      <c r="W5" s="69"/>
      <c r="X5" s="70" t="s">
        <v>12</v>
      </c>
      <c r="Y5" s="71"/>
      <c r="Z5" s="72">
        <v>250</v>
      </c>
      <c r="AA5" s="73"/>
      <c r="AB5" s="73"/>
      <c r="AC5" s="73"/>
      <c r="AD5" s="74" t="s">
        <v>13</v>
      </c>
      <c r="AE5" s="74"/>
      <c r="AF5" s="74"/>
      <c r="AG5" s="74"/>
      <c r="AH5" s="75"/>
    </row>
    <row r="6" spans="1:42" ht="15.75" thickBo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4"/>
    </row>
    <row r="7" spans="1:42" ht="15" customHeight="1">
      <c r="A7" s="2"/>
      <c r="B7" s="57" t="s">
        <v>14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9"/>
      <c r="AH7" s="4"/>
    </row>
    <row r="8" spans="1:42" ht="15" customHeight="1">
      <c r="A8" s="2"/>
      <c r="B8" s="60" t="s">
        <v>15</v>
      </c>
      <c r="C8" s="61"/>
      <c r="D8" s="61"/>
      <c r="E8" s="61"/>
      <c r="F8" s="61"/>
      <c r="G8" s="61"/>
      <c r="H8" s="61"/>
      <c r="I8" s="62" t="s">
        <v>3</v>
      </c>
      <c r="J8" s="62"/>
      <c r="K8" s="62"/>
      <c r="L8" s="62"/>
      <c r="M8" s="62"/>
      <c r="N8" s="62"/>
      <c r="O8" s="61" t="s">
        <v>16</v>
      </c>
      <c r="P8" s="61"/>
      <c r="Q8" s="61"/>
      <c r="R8" s="61"/>
      <c r="S8" s="61"/>
      <c r="T8" s="61"/>
      <c r="U8" s="61"/>
      <c r="V8" s="63" t="s">
        <v>17</v>
      </c>
      <c r="W8" s="63"/>
      <c r="X8" s="63"/>
      <c r="Y8" s="63"/>
      <c r="Z8" s="63"/>
      <c r="AA8" s="63"/>
      <c r="AB8" s="63" t="s">
        <v>18</v>
      </c>
      <c r="AC8" s="63"/>
      <c r="AD8" s="63"/>
      <c r="AE8" s="63"/>
      <c r="AF8" s="63"/>
      <c r="AG8" s="64"/>
      <c r="AH8" s="4"/>
    </row>
    <row r="9" spans="1:42" ht="19.5" customHeight="1">
      <c r="A9" s="2"/>
      <c r="B9" s="76" t="s">
        <v>19</v>
      </c>
      <c r="C9" s="77"/>
      <c r="D9" s="77"/>
      <c r="E9" s="77"/>
      <c r="F9" s="77"/>
      <c r="G9" s="77"/>
      <c r="H9" s="77"/>
      <c r="I9" s="78" t="s">
        <v>109</v>
      </c>
      <c r="J9" s="78"/>
      <c r="K9" s="78"/>
      <c r="L9" s="78"/>
      <c r="M9" s="78"/>
      <c r="N9" s="78"/>
      <c r="O9" s="78" t="s">
        <v>74</v>
      </c>
      <c r="P9" s="78"/>
      <c r="Q9" s="78"/>
      <c r="R9" s="78"/>
      <c r="S9" s="78"/>
      <c r="T9" s="78"/>
      <c r="U9" s="78"/>
      <c r="V9" s="78" t="s">
        <v>113</v>
      </c>
      <c r="W9" s="78"/>
      <c r="X9" s="78"/>
      <c r="Y9" s="78"/>
      <c r="Z9" s="78"/>
      <c r="AA9" s="78"/>
      <c r="AB9" s="79">
        <v>0.99999950000000004</v>
      </c>
      <c r="AC9" s="79"/>
      <c r="AD9" s="79"/>
      <c r="AE9" s="79"/>
      <c r="AF9" s="79"/>
      <c r="AG9" s="80"/>
      <c r="AH9" s="4"/>
    </row>
    <row r="10" spans="1:42" ht="19.5" customHeight="1">
      <c r="A10" s="2"/>
      <c r="B10" s="81" t="s">
        <v>108</v>
      </c>
      <c r="C10" s="82"/>
      <c r="D10" s="82"/>
      <c r="E10" s="82"/>
      <c r="F10" s="82"/>
      <c r="G10" s="82"/>
      <c r="H10" s="82"/>
      <c r="I10" s="78" t="s">
        <v>118</v>
      </c>
      <c r="J10" s="78"/>
      <c r="K10" s="78"/>
      <c r="L10" s="78"/>
      <c r="M10" s="78"/>
      <c r="N10" s="78"/>
      <c r="O10" s="78" t="s">
        <v>74</v>
      </c>
      <c r="P10" s="78"/>
      <c r="Q10" s="78"/>
      <c r="R10" s="78"/>
      <c r="S10" s="78"/>
      <c r="T10" s="78"/>
      <c r="U10" s="78"/>
      <c r="V10" s="78" t="s">
        <v>119</v>
      </c>
      <c r="W10" s="78"/>
      <c r="X10" s="78"/>
      <c r="Y10" s="78"/>
      <c r="Z10" s="78"/>
      <c r="AA10" s="78"/>
      <c r="AB10" s="266" t="s">
        <v>117</v>
      </c>
      <c r="AC10" s="266"/>
      <c r="AD10" s="266"/>
      <c r="AE10" s="266"/>
      <c r="AF10" s="266"/>
      <c r="AG10" s="267"/>
      <c r="AH10" s="4"/>
      <c r="AK10" s="20"/>
      <c r="AL10" s="20"/>
      <c r="AM10" s="20"/>
      <c r="AN10" s="20"/>
      <c r="AO10" s="20"/>
      <c r="AP10" s="20"/>
    </row>
    <row r="11" spans="1:42" ht="19.5" customHeight="1" thickBot="1">
      <c r="A11" s="2"/>
      <c r="B11" s="94" t="s">
        <v>21</v>
      </c>
      <c r="C11" s="95"/>
      <c r="D11" s="95"/>
      <c r="E11" s="95"/>
      <c r="F11" s="95"/>
      <c r="G11" s="95"/>
      <c r="H11" s="95"/>
      <c r="I11" s="290" t="s">
        <v>95</v>
      </c>
      <c r="J11" s="290"/>
      <c r="K11" s="290"/>
      <c r="L11" s="290"/>
      <c r="M11" s="290"/>
      <c r="N11" s="290"/>
      <c r="O11" s="290" t="s">
        <v>74</v>
      </c>
      <c r="P11" s="290"/>
      <c r="Q11" s="290"/>
      <c r="R11" s="290"/>
      <c r="S11" s="290"/>
      <c r="T11" s="290"/>
      <c r="U11" s="290"/>
      <c r="V11" s="290" t="s">
        <v>96</v>
      </c>
      <c r="W11" s="290"/>
      <c r="X11" s="290"/>
      <c r="Y11" s="290"/>
      <c r="Z11" s="290"/>
      <c r="AA11" s="290"/>
      <c r="AB11" s="291" t="s">
        <v>97</v>
      </c>
      <c r="AC11" s="291"/>
      <c r="AD11" s="291"/>
      <c r="AE11" s="291"/>
      <c r="AF11" s="291"/>
      <c r="AG11" s="292"/>
      <c r="AH11" s="4"/>
      <c r="AK11" s="11"/>
    </row>
    <row r="12" spans="1:42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4"/>
    </row>
    <row r="13" spans="1:42" ht="21" customHeight="1">
      <c r="A13" s="2"/>
      <c r="B13" s="89" t="s">
        <v>22</v>
      </c>
      <c r="C13" s="89"/>
      <c r="D13" s="89"/>
      <c r="E13" s="89"/>
      <c r="F13" s="103" t="s">
        <v>3</v>
      </c>
      <c r="G13" s="89"/>
      <c r="H13" s="89"/>
      <c r="I13" s="89"/>
      <c r="J13" s="89"/>
      <c r="K13" s="89"/>
      <c r="L13" s="78" t="s">
        <v>112</v>
      </c>
      <c r="M13" s="78"/>
      <c r="N13" s="78"/>
      <c r="O13" s="78"/>
      <c r="P13" s="78"/>
      <c r="Q13" s="78"/>
      <c r="R13" s="78"/>
      <c r="S13" s="78"/>
      <c r="T13" s="89" t="s">
        <v>7</v>
      </c>
      <c r="U13" s="89"/>
      <c r="V13" s="89"/>
      <c r="W13" s="89"/>
      <c r="X13" s="89"/>
      <c r="Y13" s="89"/>
      <c r="Z13" s="78">
        <v>93310021</v>
      </c>
      <c r="AA13" s="78"/>
      <c r="AB13" s="78"/>
      <c r="AC13" s="78"/>
      <c r="AD13" s="78"/>
      <c r="AE13" s="78"/>
      <c r="AF13" s="78"/>
      <c r="AG13" s="78"/>
      <c r="AH13" s="4"/>
    </row>
    <row r="14" spans="1:42" ht="21" customHeight="1">
      <c r="A14" s="2"/>
      <c r="B14" s="89"/>
      <c r="C14" s="89"/>
      <c r="D14" s="89"/>
      <c r="E14" s="89"/>
      <c r="F14" s="85" t="s">
        <v>5</v>
      </c>
      <c r="G14" s="85"/>
      <c r="H14" s="85"/>
      <c r="I14" s="85"/>
      <c r="J14" s="85"/>
      <c r="K14" s="85"/>
      <c r="L14" s="86" t="s">
        <v>75</v>
      </c>
      <c r="M14" s="87"/>
      <c r="N14" s="87"/>
      <c r="O14" s="87"/>
      <c r="P14" s="87"/>
      <c r="Q14" s="87"/>
      <c r="R14" s="87"/>
      <c r="S14" s="88"/>
      <c r="T14" s="89" t="s">
        <v>6</v>
      </c>
      <c r="U14" s="89"/>
      <c r="V14" s="89"/>
      <c r="W14" s="89"/>
      <c r="X14" s="89"/>
      <c r="Y14" s="89"/>
      <c r="Z14" s="90">
        <v>43008</v>
      </c>
      <c r="AA14" s="90"/>
      <c r="AB14" s="90"/>
      <c r="AC14" s="90"/>
      <c r="AD14" s="90"/>
      <c r="AE14" s="90"/>
      <c r="AF14" s="90"/>
      <c r="AG14" s="90"/>
      <c r="AH14" s="4"/>
    </row>
    <row r="15" spans="1:42" ht="17.25" customHeight="1">
      <c r="A15" s="2"/>
      <c r="B15" s="89" t="s">
        <v>23</v>
      </c>
      <c r="C15" s="89"/>
      <c r="D15" s="89"/>
      <c r="E15" s="89"/>
      <c r="F15" s="89"/>
      <c r="G15" s="89"/>
      <c r="H15" s="89"/>
      <c r="I15" s="89"/>
      <c r="J15" s="89"/>
      <c r="K15" s="89"/>
      <c r="L15" s="91">
        <v>15170</v>
      </c>
      <c r="M15" s="92"/>
      <c r="N15" s="92"/>
      <c r="O15" s="92"/>
      <c r="P15" s="92"/>
      <c r="Q15" s="92"/>
      <c r="R15" s="92"/>
      <c r="S15" s="93"/>
      <c r="T15" s="5"/>
      <c r="U15" s="5"/>
      <c r="V15" s="5"/>
      <c r="W15" s="5"/>
      <c r="X15" s="5"/>
      <c r="Y15" s="5"/>
      <c r="Z15" s="6"/>
      <c r="AA15" s="6"/>
      <c r="AB15" s="6"/>
      <c r="AC15" s="6"/>
      <c r="AD15" s="6"/>
      <c r="AE15" s="6"/>
      <c r="AF15" s="6"/>
      <c r="AG15" s="6"/>
      <c r="AH15" s="4"/>
    </row>
    <row r="16" spans="1:42" ht="5.25" customHeight="1">
      <c r="A16" s="2"/>
      <c r="B16" s="5"/>
      <c r="C16" s="5"/>
      <c r="D16" s="5"/>
      <c r="E16" s="5"/>
      <c r="F16" s="5"/>
      <c r="G16" s="5"/>
      <c r="H16" s="5"/>
      <c r="I16" s="5"/>
      <c r="J16" s="5"/>
      <c r="K16" s="5"/>
      <c r="L16" s="3"/>
      <c r="M16" s="3"/>
      <c r="N16" s="3"/>
      <c r="O16" s="3"/>
      <c r="P16" s="3"/>
      <c r="Q16" s="3"/>
      <c r="R16" s="3"/>
      <c r="S16" s="3"/>
      <c r="T16" s="5"/>
      <c r="U16" s="5"/>
      <c r="V16" s="5"/>
      <c r="W16" s="5"/>
      <c r="X16" s="5"/>
      <c r="Y16" s="5"/>
      <c r="Z16" s="3"/>
      <c r="AA16" s="3"/>
      <c r="AB16" s="3"/>
      <c r="AC16" s="3"/>
      <c r="AD16" s="3"/>
      <c r="AE16" s="3"/>
      <c r="AF16" s="3"/>
      <c r="AG16" s="3"/>
      <c r="AH16" s="4"/>
    </row>
    <row r="17" spans="1:34">
      <c r="A17" s="2"/>
      <c r="B17" s="7" t="s">
        <v>24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4"/>
    </row>
    <row r="18" spans="1:34" ht="7.5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4"/>
    </row>
    <row r="19" spans="1:34" ht="15" customHeight="1">
      <c r="A19" s="2"/>
      <c r="B19" s="118" t="s">
        <v>10</v>
      </c>
      <c r="C19" s="119"/>
      <c r="D19" s="119"/>
      <c r="E19" s="119"/>
      <c r="F19" s="119"/>
      <c r="G19" s="119"/>
      <c r="H19" s="119"/>
      <c r="I19" s="119"/>
      <c r="J19" s="119"/>
      <c r="K19" s="120"/>
      <c r="L19" s="89" t="s">
        <v>90</v>
      </c>
      <c r="M19" s="89"/>
      <c r="N19" s="89"/>
      <c r="O19" s="89"/>
      <c r="P19" s="89"/>
      <c r="Q19" s="89"/>
      <c r="R19" s="89"/>
      <c r="S19" s="89"/>
      <c r="T19" s="89"/>
      <c r="U19" s="89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4"/>
    </row>
    <row r="20" spans="1:34" ht="15" customHeight="1">
      <c r="A20" s="2"/>
      <c r="B20" s="121" t="s">
        <v>25</v>
      </c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3"/>
      <c r="V20" s="124" t="s">
        <v>26</v>
      </c>
      <c r="W20" s="125"/>
      <c r="X20" s="125"/>
      <c r="Y20" s="125"/>
      <c r="Z20" s="125"/>
      <c r="AA20" s="125"/>
      <c r="AB20" s="125"/>
      <c r="AC20" s="125"/>
      <c r="AD20" s="125"/>
      <c r="AE20" s="126"/>
      <c r="AF20" s="3"/>
      <c r="AG20" s="3"/>
      <c r="AH20" s="4"/>
    </row>
    <row r="21" spans="1:34" ht="15" customHeight="1">
      <c r="A21" s="2"/>
      <c r="B21" s="130" t="s">
        <v>27</v>
      </c>
      <c r="C21" s="131"/>
      <c r="D21" s="131"/>
      <c r="E21" s="131"/>
      <c r="F21" s="131"/>
      <c r="G21" s="131"/>
      <c r="H21" s="131"/>
      <c r="I21" s="131"/>
      <c r="J21" s="131"/>
      <c r="K21" s="131"/>
      <c r="L21" s="131" t="s">
        <v>28</v>
      </c>
      <c r="M21" s="131"/>
      <c r="N21" s="131"/>
      <c r="O21" s="131"/>
      <c r="P21" s="131"/>
      <c r="Q21" s="131"/>
      <c r="R21" s="131"/>
      <c r="S21" s="131"/>
      <c r="T21" s="131"/>
      <c r="U21" s="132"/>
      <c r="V21" s="127"/>
      <c r="W21" s="128"/>
      <c r="X21" s="128"/>
      <c r="Y21" s="128"/>
      <c r="Z21" s="128"/>
      <c r="AA21" s="128"/>
      <c r="AB21" s="128"/>
      <c r="AC21" s="128"/>
      <c r="AD21" s="128"/>
      <c r="AE21" s="129"/>
      <c r="AF21" s="3"/>
      <c r="AG21" s="3"/>
      <c r="AH21" s="4"/>
    </row>
    <row r="22" spans="1:34">
      <c r="A22" s="2"/>
      <c r="B22" s="104" t="s">
        <v>29</v>
      </c>
      <c r="C22" s="105"/>
      <c r="D22" s="105"/>
      <c r="E22" s="105"/>
      <c r="F22" s="105"/>
      <c r="G22" s="105"/>
      <c r="H22" s="105"/>
      <c r="I22" s="105"/>
      <c r="J22" s="105"/>
      <c r="K22" s="105"/>
      <c r="L22" s="105" t="s">
        <v>30</v>
      </c>
      <c r="M22" s="105"/>
      <c r="N22" s="105"/>
      <c r="O22" s="105"/>
      <c r="P22" s="105"/>
      <c r="Q22" s="105"/>
      <c r="R22" s="105"/>
      <c r="S22" s="105"/>
      <c r="T22" s="105"/>
      <c r="U22" s="106"/>
      <c r="V22" s="107" t="s">
        <v>31</v>
      </c>
      <c r="W22" s="108"/>
      <c r="X22" s="108"/>
      <c r="Y22" s="108"/>
      <c r="Z22" s="108"/>
      <c r="AA22" s="108"/>
      <c r="AB22" s="108"/>
      <c r="AC22" s="108"/>
      <c r="AD22" s="108"/>
      <c r="AE22" s="109"/>
      <c r="AF22" s="3"/>
      <c r="AG22" s="3"/>
      <c r="AH22" s="4"/>
    </row>
    <row r="23" spans="1:34" ht="21" customHeight="1">
      <c r="A23" s="2"/>
      <c r="B23" s="192">
        <v>223.4</v>
      </c>
      <c r="C23" s="193"/>
      <c r="D23" s="193"/>
      <c r="E23" s="193"/>
      <c r="F23" s="193"/>
      <c r="G23" s="193"/>
      <c r="H23" s="193"/>
      <c r="I23" s="193"/>
      <c r="J23" s="193"/>
      <c r="K23" s="193"/>
      <c r="L23" s="193">
        <v>224.2</v>
      </c>
      <c r="M23" s="193"/>
      <c r="N23" s="193"/>
      <c r="O23" s="193"/>
      <c r="P23" s="193"/>
      <c r="Q23" s="193"/>
      <c r="R23" s="193"/>
      <c r="S23" s="193"/>
      <c r="T23" s="193"/>
      <c r="U23" s="265"/>
      <c r="V23" s="114">
        <f>B23/L23*100</f>
        <v>99.643175735950052</v>
      </c>
      <c r="W23" s="115"/>
      <c r="X23" s="115"/>
      <c r="Y23" s="115"/>
      <c r="Z23" s="115"/>
      <c r="AA23" s="115"/>
      <c r="AB23" s="115"/>
      <c r="AC23" s="115"/>
      <c r="AD23" s="116" t="s">
        <v>32</v>
      </c>
      <c r="AE23" s="117"/>
      <c r="AF23" s="3"/>
      <c r="AG23" s="3"/>
      <c r="AH23" s="4"/>
    </row>
    <row r="24" spans="1:34" ht="7.5" customHeight="1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4"/>
    </row>
    <row r="25" spans="1:34" ht="15" customHeight="1">
      <c r="A25" s="2"/>
      <c r="B25" s="118" t="s">
        <v>10</v>
      </c>
      <c r="C25" s="119"/>
      <c r="D25" s="119"/>
      <c r="E25" s="119"/>
      <c r="F25" s="119"/>
      <c r="G25" s="119"/>
      <c r="H25" s="119"/>
      <c r="I25" s="119"/>
      <c r="J25" s="119"/>
      <c r="K25" s="120"/>
      <c r="L25" s="89" t="s">
        <v>81</v>
      </c>
      <c r="M25" s="89"/>
      <c r="N25" s="89"/>
      <c r="O25" s="89"/>
      <c r="P25" s="89"/>
      <c r="Q25" s="89"/>
      <c r="R25" s="89"/>
      <c r="S25" s="89"/>
      <c r="T25" s="89"/>
      <c r="U25" s="89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4"/>
    </row>
    <row r="26" spans="1:34" ht="15" customHeight="1">
      <c r="A26" s="2"/>
      <c r="B26" s="138" t="s">
        <v>25</v>
      </c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3"/>
      <c r="V26" s="124" t="s">
        <v>26</v>
      </c>
      <c r="W26" s="125"/>
      <c r="X26" s="125"/>
      <c r="Y26" s="125"/>
      <c r="Z26" s="125"/>
      <c r="AA26" s="125"/>
      <c r="AB26" s="125"/>
      <c r="AC26" s="125"/>
      <c r="AD26" s="125"/>
      <c r="AE26" s="126"/>
      <c r="AF26" s="3"/>
      <c r="AG26" s="3"/>
      <c r="AH26" s="4"/>
    </row>
    <row r="27" spans="1:34" ht="15" customHeight="1">
      <c r="A27" s="2"/>
      <c r="B27" s="130" t="s">
        <v>34</v>
      </c>
      <c r="C27" s="131"/>
      <c r="D27" s="131"/>
      <c r="E27" s="131"/>
      <c r="F27" s="131"/>
      <c r="G27" s="131"/>
      <c r="H27" s="131"/>
      <c r="I27" s="131"/>
      <c r="J27" s="131"/>
      <c r="K27" s="131"/>
      <c r="L27" s="131" t="s">
        <v>35</v>
      </c>
      <c r="M27" s="131"/>
      <c r="N27" s="131"/>
      <c r="O27" s="131"/>
      <c r="P27" s="131"/>
      <c r="Q27" s="131"/>
      <c r="R27" s="131"/>
      <c r="S27" s="131"/>
      <c r="T27" s="131"/>
      <c r="U27" s="132"/>
      <c r="V27" s="127"/>
      <c r="W27" s="128"/>
      <c r="X27" s="128"/>
      <c r="Y27" s="128"/>
      <c r="Z27" s="128"/>
      <c r="AA27" s="128"/>
      <c r="AB27" s="128"/>
      <c r="AC27" s="128"/>
      <c r="AD27" s="128"/>
      <c r="AE27" s="129"/>
      <c r="AF27" s="3"/>
      <c r="AG27" s="3"/>
      <c r="AH27" s="4"/>
    </row>
    <row r="28" spans="1:34" ht="15" customHeight="1">
      <c r="A28" s="2"/>
      <c r="B28" s="104" t="s">
        <v>29</v>
      </c>
      <c r="C28" s="105"/>
      <c r="D28" s="105"/>
      <c r="E28" s="105"/>
      <c r="F28" s="105"/>
      <c r="G28" s="105"/>
      <c r="H28" s="105"/>
      <c r="I28" s="105"/>
      <c r="J28" s="105"/>
      <c r="K28" s="105"/>
      <c r="L28" s="105" t="s">
        <v>30</v>
      </c>
      <c r="M28" s="105"/>
      <c r="N28" s="105"/>
      <c r="O28" s="105"/>
      <c r="P28" s="105"/>
      <c r="Q28" s="105"/>
      <c r="R28" s="105"/>
      <c r="S28" s="105"/>
      <c r="T28" s="105"/>
      <c r="U28" s="106"/>
      <c r="V28" s="107" t="s">
        <v>31</v>
      </c>
      <c r="W28" s="108"/>
      <c r="X28" s="108"/>
      <c r="Y28" s="108"/>
      <c r="Z28" s="108"/>
      <c r="AA28" s="108"/>
      <c r="AB28" s="108"/>
      <c r="AC28" s="108"/>
      <c r="AD28" s="108"/>
      <c r="AE28" s="109"/>
      <c r="AF28" s="3"/>
      <c r="AG28" s="3"/>
      <c r="AH28" s="4"/>
    </row>
    <row r="29" spans="1:34" ht="21" customHeight="1">
      <c r="A29" s="2"/>
      <c r="B29" s="192"/>
      <c r="C29" s="193"/>
      <c r="D29" s="193"/>
      <c r="E29" s="193"/>
      <c r="F29" s="193"/>
      <c r="G29" s="193"/>
      <c r="H29" s="193"/>
      <c r="I29" s="193"/>
      <c r="J29" s="193"/>
      <c r="K29" s="193"/>
      <c r="L29" s="112"/>
      <c r="M29" s="112"/>
      <c r="N29" s="112"/>
      <c r="O29" s="112"/>
      <c r="P29" s="112"/>
      <c r="Q29" s="112"/>
      <c r="R29" s="112"/>
      <c r="S29" s="112"/>
      <c r="T29" s="112"/>
      <c r="U29" s="113"/>
      <c r="V29" s="114"/>
      <c r="W29" s="115"/>
      <c r="X29" s="115"/>
      <c r="Y29" s="115"/>
      <c r="Z29" s="115"/>
      <c r="AA29" s="115"/>
      <c r="AB29" s="115"/>
      <c r="AC29" s="115"/>
      <c r="AD29" s="116"/>
      <c r="AE29" s="117"/>
      <c r="AF29" s="3"/>
      <c r="AG29" s="3"/>
      <c r="AH29" s="4"/>
    </row>
    <row r="30" spans="1:34" ht="7.5" customHeight="1">
      <c r="A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4"/>
    </row>
    <row r="31" spans="1:34" ht="21" customHeight="1">
      <c r="A31" s="2"/>
      <c r="B31" s="136" t="s">
        <v>36</v>
      </c>
      <c r="C31" s="137"/>
      <c r="D31" s="137"/>
      <c r="E31" s="137"/>
      <c r="F31" s="103"/>
      <c r="G31" s="8"/>
      <c r="H31" s="137" t="s">
        <v>37</v>
      </c>
      <c r="I31" s="137"/>
      <c r="J31" s="137"/>
      <c r="K31" s="137"/>
      <c r="L31" s="137" t="s">
        <v>38</v>
      </c>
      <c r="M31" s="137"/>
      <c r="N31" s="137"/>
      <c r="O31" s="137"/>
      <c r="P31" s="9"/>
      <c r="Q31" s="118" t="s">
        <v>39</v>
      </c>
      <c r="R31" s="119"/>
      <c r="S31" s="119"/>
      <c r="T31" s="119"/>
      <c r="U31" s="120"/>
      <c r="V31" s="136" t="s">
        <v>40</v>
      </c>
      <c r="W31" s="137"/>
      <c r="X31" s="137"/>
      <c r="Y31" s="137"/>
      <c r="Z31" s="137"/>
      <c r="AA31" s="137"/>
      <c r="AB31" s="137"/>
      <c r="AC31" s="137"/>
      <c r="AD31" s="137"/>
      <c r="AE31" s="103"/>
      <c r="AF31" s="3"/>
      <c r="AG31" s="3"/>
      <c r="AH31" s="4"/>
    </row>
    <row r="32" spans="1:34">
      <c r="A32" s="2"/>
      <c r="C32" s="148" t="s">
        <v>41</v>
      </c>
      <c r="D32" s="148"/>
      <c r="E32" s="148"/>
      <c r="F32" s="148"/>
      <c r="G32" s="19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4"/>
    </row>
    <row r="33" spans="1:34">
      <c r="A33" s="2"/>
      <c r="C33" s="149"/>
      <c r="D33" s="149"/>
      <c r="E33" s="149"/>
      <c r="F33" s="149"/>
      <c r="G33" s="19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4"/>
    </row>
    <row r="34" spans="1:34">
      <c r="A34" s="2"/>
      <c r="B34" s="3"/>
      <c r="C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4"/>
    </row>
    <row r="35" spans="1:34">
      <c r="A35" s="2"/>
      <c r="B35" s="11" t="s">
        <v>42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4"/>
    </row>
    <row r="36" spans="1:34" ht="7.5" customHeight="1">
      <c r="A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4"/>
    </row>
    <row r="37" spans="1:34" ht="15" customHeight="1">
      <c r="A37" s="2"/>
      <c r="B37" s="138" t="s">
        <v>43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3"/>
      <c r="V37" s="139" t="s">
        <v>44</v>
      </c>
      <c r="W37" s="140"/>
      <c r="X37" s="140"/>
      <c r="Y37" s="140"/>
      <c r="Z37" s="140"/>
      <c r="AA37" s="140"/>
      <c r="AB37" s="140"/>
      <c r="AC37" s="140"/>
      <c r="AD37" s="140"/>
      <c r="AE37" s="141"/>
      <c r="AF37" s="3"/>
      <c r="AG37" s="3"/>
      <c r="AH37" s="4"/>
    </row>
    <row r="38" spans="1:34" ht="15" customHeight="1">
      <c r="A38" s="2"/>
      <c r="B38" s="130" t="s">
        <v>18</v>
      </c>
      <c r="C38" s="131"/>
      <c r="D38" s="131"/>
      <c r="E38" s="131"/>
      <c r="F38" s="131"/>
      <c r="G38" s="131"/>
      <c r="H38" s="131"/>
      <c r="I38" s="131"/>
      <c r="J38" s="131"/>
      <c r="K38" s="131"/>
      <c r="L38" s="131" t="s">
        <v>45</v>
      </c>
      <c r="M38" s="131"/>
      <c r="N38" s="131"/>
      <c r="O38" s="131"/>
      <c r="P38" s="131"/>
      <c r="Q38" s="131"/>
      <c r="R38" s="131"/>
      <c r="S38" s="131"/>
      <c r="T38" s="131"/>
      <c r="U38" s="132"/>
      <c r="V38" s="142"/>
      <c r="W38" s="143"/>
      <c r="X38" s="143"/>
      <c r="Y38" s="143"/>
      <c r="Z38" s="143"/>
      <c r="AA38" s="143"/>
      <c r="AB38" s="143"/>
      <c r="AC38" s="143"/>
      <c r="AD38" s="143"/>
      <c r="AE38" s="144"/>
      <c r="AF38" s="3"/>
      <c r="AG38" s="3"/>
      <c r="AH38" s="4"/>
    </row>
    <row r="39" spans="1:34" ht="15" customHeight="1">
      <c r="A39" s="2"/>
      <c r="B39" s="145" t="s">
        <v>46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 t="s">
        <v>47</v>
      </c>
      <c r="M39" s="146"/>
      <c r="N39" s="146"/>
      <c r="O39" s="146"/>
      <c r="P39" s="146"/>
      <c r="Q39" s="146"/>
      <c r="R39" s="146"/>
      <c r="S39" s="146"/>
      <c r="T39" s="146"/>
      <c r="U39" s="147"/>
      <c r="V39" s="145" t="s">
        <v>31</v>
      </c>
      <c r="W39" s="146"/>
      <c r="X39" s="146"/>
      <c r="Y39" s="146"/>
      <c r="Z39" s="146"/>
      <c r="AA39" s="146"/>
      <c r="AB39" s="146"/>
      <c r="AC39" s="146"/>
      <c r="AD39" s="146"/>
      <c r="AE39" s="147"/>
      <c r="AF39" s="3"/>
      <c r="AG39" s="3"/>
      <c r="AH39" s="4"/>
    </row>
    <row r="40" spans="1:34" ht="21" customHeight="1">
      <c r="A40" s="2"/>
      <c r="B40" s="110">
        <v>89.73</v>
      </c>
      <c r="C40" s="111"/>
      <c r="D40" s="111"/>
      <c r="E40" s="111"/>
      <c r="F40" s="111"/>
      <c r="G40" s="111"/>
      <c r="H40" s="111"/>
      <c r="I40" s="111"/>
      <c r="J40" s="111"/>
      <c r="K40" s="111"/>
      <c r="L40" s="193">
        <v>89.72</v>
      </c>
      <c r="M40" s="193"/>
      <c r="N40" s="193"/>
      <c r="O40" s="193"/>
      <c r="P40" s="193"/>
      <c r="Q40" s="193"/>
      <c r="R40" s="193"/>
      <c r="S40" s="193"/>
      <c r="T40" s="193"/>
      <c r="U40" s="265"/>
      <c r="V40" s="192">
        <f>100*(L40-B40)/Z5</f>
        <v>-4.0000000000020462E-3</v>
      </c>
      <c r="W40" s="193"/>
      <c r="X40" s="193"/>
      <c r="Y40" s="193"/>
      <c r="Z40" s="193"/>
      <c r="AA40" s="193"/>
      <c r="AB40" s="193"/>
      <c r="AC40" s="194"/>
      <c r="AD40" s="195" t="s">
        <v>32</v>
      </c>
      <c r="AE40" s="196"/>
      <c r="AF40" s="3"/>
      <c r="AG40" s="3"/>
      <c r="AH40" s="4"/>
    </row>
    <row r="41" spans="1:34" ht="21" customHeight="1">
      <c r="A41" s="2"/>
      <c r="B41" s="136" t="s">
        <v>36</v>
      </c>
      <c r="C41" s="137"/>
      <c r="D41" s="137"/>
      <c r="E41" s="137"/>
      <c r="F41" s="103"/>
      <c r="G41" s="8"/>
      <c r="H41" s="137" t="s">
        <v>37</v>
      </c>
      <c r="I41" s="137"/>
      <c r="J41" s="137"/>
      <c r="K41" s="137"/>
      <c r="L41" s="137" t="s">
        <v>38</v>
      </c>
      <c r="M41" s="137"/>
      <c r="N41" s="137"/>
      <c r="O41" s="137"/>
      <c r="P41" s="9"/>
      <c r="Q41" s="118" t="s">
        <v>39</v>
      </c>
      <c r="R41" s="119"/>
      <c r="S41" s="119"/>
      <c r="T41" s="119"/>
      <c r="U41" s="120"/>
      <c r="V41" s="136" t="s">
        <v>48</v>
      </c>
      <c r="W41" s="137"/>
      <c r="X41" s="137"/>
      <c r="Y41" s="137"/>
      <c r="Z41" s="137"/>
      <c r="AA41" s="137"/>
      <c r="AB41" s="137"/>
      <c r="AC41" s="137"/>
      <c r="AD41" s="137"/>
      <c r="AE41" s="103"/>
      <c r="AF41" s="3"/>
      <c r="AG41" s="3"/>
      <c r="AH41" s="4"/>
    </row>
    <row r="42" spans="1:34">
      <c r="A42" s="2"/>
      <c r="B42" s="150" t="s">
        <v>41</v>
      </c>
      <c r="C42" s="150"/>
      <c r="D42" s="150"/>
      <c r="E42" s="150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4"/>
    </row>
    <row r="43" spans="1:34" ht="15.75" thickBot="1">
      <c r="A43" s="2"/>
      <c r="B43" s="150"/>
      <c r="C43" s="150"/>
      <c r="D43" s="150"/>
      <c r="E43" s="150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4"/>
    </row>
    <row r="44" spans="1:34" ht="10.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151" t="s">
        <v>49</v>
      </c>
      <c r="Z44" s="152"/>
      <c r="AA44" s="152"/>
      <c r="AB44" s="152"/>
      <c r="AC44" s="153"/>
      <c r="AD44" s="157" t="s">
        <v>50</v>
      </c>
      <c r="AE44" s="157"/>
      <c r="AF44" s="157"/>
      <c r="AG44" s="157"/>
      <c r="AH44" s="158"/>
    </row>
    <row r="45" spans="1:34" ht="15.75" thickBot="1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154"/>
      <c r="Z45" s="155"/>
      <c r="AA45" s="155"/>
      <c r="AB45" s="155"/>
      <c r="AC45" s="156"/>
      <c r="AD45" s="159"/>
      <c r="AE45" s="159"/>
      <c r="AF45" s="159"/>
      <c r="AG45" s="159"/>
      <c r="AH45" s="160"/>
    </row>
    <row r="46" spans="1:34" ht="15" customHeight="1">
      <c r="A46" s="2"/>
      <c r="B46" s="161" t="s">
        <v>51</v>
      </c>
      <c r="C46" s="162"/>
      <c r="D46" s="162"/>
      <c r="E46" s="162"/>
      <c r="F46" s="162"/>
      <c r="G46" s="163"/>
      <c r="H46" s="170" t="s">
        <v>37</v>
      </c>
      <c r="I46" s="171"/>
      <c r="J46" s="171"/>
      <c r="K46" s="171"/>
      <c r="L46" s="171"/>
      <c r="M46" s="172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176"/>
      <c r="Z46" s="177"/>
      <c r="AA46" s="177"/>
      <c r="AB46" s="177"/>
      <c r="AC46" s="178"/>
      <c r="AD46" s="183"/>
      <c r="AE46" s="184"/>
      <c r="AF46" s="184"/>
      <c r="AG46" s="184"/>
      <c r="AH46" s="185"/>
    </row>
    <row r="47" spans="1:34" ht="15" customHeight="1">
      <c r="A47" s="2"/>
      <c r="B47" s="164"/>
      <c r="C47" s="165"/>
      <c r="D47" s="165"/>
      <c r="E47" s="165"/>
      <c r="F47" s="165"/>
      <c r="G47" s="166"/>
      <c r="H47" s="173"/>
      <c r="I47" s="174"/>
      <c r="J47" s="174"/>
      <c r="K47" s="174"/>
      <c r="L47" s="174"/>
      <c r="M47" s="175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179"/>
      <c r="Z47" s="177"/>
      <c r="AA47" s="177"/>
      <c r="AB47" s="177"/>
      <c r="AC47" s="178"/>
      <c r="AD47" s="184"/>
      <c r="AE47" s="184"/>
      <c r="AF47" s="184"/>
      <c r="AG47" s="184"/>
      <c r="AH47" s="185"/>
    </row>
    <row r="48" spans="1:34" ht="15" customHeight="1">
      <c r="A48" s="2"/>
      <c r="B48" s="164"/>
      <c r="C48" s="165"/>
      <c r="D48" s="165"/>
      <c r="E48" s="165"/>
      <c r="F48" s="165"/>
      <c r="G48" s="166"/>
      <c r="H48" s="173" t="s">
        <v>38</v>
      </c>
      <c r="I48" s="174"/>
      <c r="J48" s="174"/>
      <c r="K48" s="174"/>
      <c r="L48" s="174"/>
      <c r="M48" s="175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179"/>
      <c r="Z48" s="177"/>
      <c r="AA48" s="177"/>
      <c r="AB48" s="177"/>
      <c r="AC48" s="178"/>
      <c r="AD48" s="184"/>
      <c r="AE48" s="184"/>
      <c r="AF48" s="184"/>
      <c r="AG48" s="184"/>
      <c r="AH48" s="185"/>
    </row>
    <row r="49" spans="1:34" ht="15" customHeight="1" thickBot="1">
      <c r="A49" s="2"/>
      <c r="B49" s="167"/>
      <c r="C49" s="168"/>
      <c r="D49" s="168"/>
      <c r="E49" s="168"/>
      <c r="F49" s="168"/>
      <c r="G49" s="169"/>
      <c r="H49" s="188"/>
      <c r="I49" s="189"/>
      <c r="J49" s="189"/>
      <c r="K49" s="189"/>
      <c r="L49" s="189"/>
      <c r="M49" s="190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179"/>
      <c r="Z49" s="177"/>
      <c r="AA49" s="177"/>
      <c r="AB49" s="177"/>
      <c r="AC49" s="178"/>
      <c r="AD49" s="184"/>
      <c r="AE49" s="184"/>
      <c r="AF49" s="184"/>
      <c r="AG49" s="184"/>
      <c r="AH49" s="185"/>
    </row>
    <row r="50" spans="1:34" ht="10.5" customHeight="1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180"/>
      <c r="Z50" s="181"/>
      <c r="AA50" s="181"/>
      <c r="AB50" s="181"/>
      <c r="AC50" s="182"/>
      <c r="AD50" s="186"/>
      <c r="AE50" s="186"/>
      <c r="AF50" s="186"/>
      <c r="AG50" s="186"/>
      <c r="AH50" s="187"/>
    </row>
    <row r="51" spans="1:34" s="13" customFormat="1" ht="22.5" customHeight="1" thickBot="1">
      <c r="A51" s="199" t="s">
        <v>76</v>
      </c>
      <c r="B51" s="200"/>
      <c r="C51" s="200"/>
      <c r="D51" s="200"/>
      <c r="E51" s="200" t="s">
        <v>52</v>
      </c>
      <c r="F51" s="200"/>
      <c r="G51" s="200"/>
      <c r="H51" s="200"/>
      <c r="I51" s="201"/>
      <c r="J51" s="202" t="s">
        <v>77</v>
      </c>
      <c r="K51" s="200"/>
      <c r="L51" s="200"/>
      <c r="M51" s="200"/>
      <c r="N51" s="200" t="s">
        <v>78</v>
      </c>
      <c r="O51" s="200"/>
      <c r="P51" s="200"/>
      <c r="Q51" s="201"/>
      <c r="R51" s="203"/>
      <c r="S51" s="204"/>
      <c r="T51" s="204"/>
      <c r="U51" s="204"/>
      <c r="V51" s="204"/>
      <c r="W51" s="204"/>
      <c r="X51" s="205"/>
      <c r="Y51" s="202" t="s">
        <v>79</v>
      </c>
      <c r="Z51" s="200"/>
      <c r="AA51" s="200"/>
      <c r="AB51" s="200"/>
      <c r="AC51" s="200"/>
      <c r="AD51" s="197">
        <v>41883</v>
      </c>
      <c r="AE51" s="197"/>
      <c r="AF51" s="197"/>
      <c r="AG51" s="197"/>
      <c r="AH51" s="198"/>
    </row>
    <row r="53" spans="1:34" ht="15.75" thickBot="1"/>
    <row r="54" spans="1:34" ht="27" customHeight="1">
      <c r="A54" s="45" t="s">
        <v>53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7"/>
      <c r="AD54" s="48" t="s">
        <v>54</v>
      </c>
      <c r="AE54" s="49"/>
      <c r="AF54" s="49"/>
      <c r="AG54" s="50" t="s">
        <v>2</v>
      </c>
      <c r="AH54" s="51"/>
    </row>
    <row r="55" spans="1:34" ht="19.5" customHeight="1">
      <c r="A55" s="52" t="s">
        <v>3</v>
      </c>
      <c r="B55" s="53"/>
      <c r="C55" s="53"/>
      <c r="D55" s="53"/>
      <c r="E55" s="53"/>
      <c r="F55" s="53"/>
      <c r="G55" s="54" t="s">
        <v>85</v>
      </c>
      <c r="H55" s="55"/>
      <c r="I55" s="55"/>
      <c r="J55" s="55"/>
      <c r="K55" s="55"/>
      <c r="L55" s="55"/>
      <c r="M55" s="55"/>
      <c r="N55" s="55"/>
      <c r="O55" s="55"/>
      <c r="P55" s="55"/>
      <c r="Q55" s="56"/>
      <c r="R55" s="28" t="s">
        <v>4</v>
      </c>
      <c r="S55" s="29"/>
      <c r="T55" s="29"/>
      <c r="U55" s="29"/>
      <c r="V55" s="29"/>
      <c r="W55" s="30"/>
      <c r="X55" s="31">
        <f>X2</f>
        <v>42886</v>
      </c>
      <c r="Y55" s="32"/>
      <c r="Z55" s="32"/>
      <c r="AA55" s="32"/>
      <c r="AB55" s="32"/>
      <c r="AC55" s="32"/>
      <c r="AD55" s="32"/>
      <c r="AE55" s="32"/>
      <c r="AF55" s="32"/>
      <c r="AG55" s="32"/>
      <c r="AH55" s="33"/>
    </row>
    <row r="56" spans="1:34" ht="19.5" customHeight="1">
      <c r="A56" s="34" t="s">
        <v>55</v>
      </c>
      <c r="B56" s="35"/>
      <c r="C56" s="35"/>
      <c r="D56" s="35"/>
      <c r="E56" s="35"/>
      <c r="F56" s="35"/>
      <c r="G56" s="25" t="s">
        <v>83</v>
      </c>
      <c r="H56" s="26"/>
      <c r="I56" s="26"/>
      <c r="J56" s="26"/>
      <c r="K56" s="26"/>
      <c r="L56" s="26"/>
      <c r="M56" s="26"/>
      <c r="N56" s="26"/>
      <c r="O56" s="26"/>
      <c r="P56" s="26"/>
      <c r="Q56" s="27"/>
      <c r="R56" s="28" t="s">
        <v>6</v>
      </c>
      <c r="S56" s="29"/>
      <c r="T56" s="29"/>
      <c r="U56" s="29"/>
      <c r="V56" s="29"/>
      <c r="W56" s="30"/>
      <c r="X56" s="31">
        <f>X3</f>
        <v>43251</v>
      </c>
      <c r="Y56" s="32"/>
      <c r="Z56" s="32"/>
      <c r="AA56" s="32"/>
      <c r="AB56" s="32"/>
      <c r="AC56" s="32"/>
      <c r="AD56" s="32"/>
      <c r="AE56" s="32"/>
      <c r="AF56" s="32"/>
      <c r="AG56" s="32"/>
      <c r="AH56" s="33"/>
    </row>
    <row r="57" spans="1:34" ht="19.5" customHeight="1">
      <c r="A57" s="34" t="s">
        <v>7</v>
      </c>
      <c r="B57" s="35"/>
      <c r="C57" s="35"/>
      <c r="D57" s="35"/>
      <c r="E57" s="35"/>
      <c r="F57" s="35"/>
      <c r="G57" s="36" t="s">
        <v>84</v>
      </c>
      <c r="H57" s="37"/>
      <c r="I57" s="37"/>
      <c r="J57" s="37"/>
      <c r="K57" s="37"/>
      <c r="L57" s="37"/>
      <c r="M57" s="37"/>
      <c r="N57" s="37"/>
      <c r="O57" s="37"/>
      <c r="P57" s="37"/>
      <c r="Q57" s="38"/>
      <c r="R57" s="39" t="s">
        <v>8</v>
      </c>
      <c r="S57" s="40"/>
      <c r="T57" s="40"/>
      <c r="U57" s="40"/>
      <c r="V57" s="40"/>
      <c r="W57" s="41"/>
      <c r="X57" s="42" t="s">
        <v>9</v>
      </c>
      <c r="Y57" s="43"/>
      <c r="Z57" s="43"/>
      <c r="AA57" s="43"/>
      <c r="AB57" s="43"/>
      <c r="AC57" s="43"/>
      <c r="AD57" s="43"/>
      <c r="AE57" s="43"/>
      <c r="AF57" s="43"/>
      <c r="AG57" s="43"/>
      <c r="AH57" s="44"/>
    </row>
    <row r="58" spans="1:34" ht="19.5" customHeight="1">
      <c r="A58" s="65" t="s">
        <v>10</v>
      </c>
      <c r="B58" s="66"/>
      <c r="C58" s="66"/>
      <c r="D58" s="66"/>
      <c r="E58" s="66"/>
      <c r="F58" s="67"/>
      <c r="G58" s="68" t="s">
        <v>120</v>
      </c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9" t="s">
        <v>11</v>
      </c>
      <c r="S58" s="69"/>
      <c r="T58" s="69"/>
      <c r="U58" s="69"/>
      <c r="V58" s="69"/>
      <c r="W58" s="69"/>
      <c r="X58" s="70" t="s">
        <v>12</v>
      </c>
      <c r="Y58" s="71"/>
      <c r="Z58" s="72">
        <f>Z5</f>
        <v>250</v>
      </c>
      <c r="AA58" s="73"/>
      <c r="AB58" s="73"/>
      <c r="AC58" s="73"/>
      <c r="AD58" s="74" t="s">
        <v>56</v>
      </c>
      <c r="AE58" s="74"/>
      <c r="AF58" s="74"/>
      <c r="AG58" s="74"/>
      <c r="AH58" s="75"/>
    </row>
    <row r="59" spans="1:34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4"/>
    </row>
    <row r="60" spans="1:34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4"/>
    </row>
    <row r="61" spans="1:34">
      <c r="A61" s="2"/>
      <c r="B61" s="7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4"/>
    </row>
    <row r="62" spans="1:34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4"/>
    </row>
    <row r="63" spans="1:34" ht="15" customHeight="1">
      <c r="A63" s="2"/>
      <c r="B63" s="213"/>
      <c r="C63" s="214"/>
      <c r="D63" s="214"/>
      <c r="E63" s="215"/>
      <c r="F63" s="138" t="s">
        <v>58</v>
      </c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3"/>
      <c r="T63" s="138" t="s">
        <v>20</v>
      </c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3"/>
      <c r="AH63" s="4"/>
    </row>
    <row r="64" spans="1:34" ht="39.75" customHeight="1">
      <c r="A64" s="2"/>
      <c r="B64" s="216"/>
      <c r="C64" s="217"/>
      <c r="D64" s="217"/>
      <c r="E64" s="218"/>
      <c r="F64" s="130" t="s">
        <v>45</v>
      </c>
      <c r="G64" s="131"/>
      <c r="H64" s="131"/>
      <c r="I64" s="131"/>
      <c r="J64" s="131"/>
      <c r="K64" s="219" t="s">
        <v>59</v>
      </c>
      <c r="L64" s="220"/>
      <c r="M64" s="220"/>
      <c r="N64" s="220"/>
      <c r="O64" s="221" t="s">
        <v>60</v>
      </c>
      <c r="P64" s="131"/>
      <c r="Q64" s="131"/>
      <c r="R64" s="131"/>
      <c r="S64" s="132"/>
      <c r="T64" s="130" t="s">
        <v>45</v>
      </c>
      <c r="U64" s="131"/>
      <c r="V64" s="131"/>
      <c r="W64" s="131"/>
      <c r="X64" s="131"/>
      <c r="Y64" s="219" t="s">
        <v>59</v>
      </c>
      <c r="Z64" s="220"/>
      <c r="AA64" s="220"/>
      <c r="AB64" s="220"/>
      <c r="AC64" s="221" t="s">
        <v>60</v>
      </c>
      <c r="AD64" s="131"/>
      <c r="AE64" s="131"/>
      <c r="AF64" s="131"/>
      <c r="AG64" s="132"/>
      <c r="AH64" s="4"/>
    </row>
    <row r="65" spans="1:34" ht="15" customHeight="1">
      <c r="A65" s="2"/>
      <c r="B65" s="216"/>
      <c r="C65" s="217"/>
      <c r="D65" s="217"/>
      <c r="E65" s="218"/>
      <c r="F65" s="130" t="s">
        <v>61</v>
      </c>
      <c r="G65" s="131"/>
      <c r="H65" s="131"/>
      <c r="I65" s="131"/>
      <c r="J65" s="131"/>
      <c r="K65" s="131" t="s">
        <v>62</v>
      </c>
      <c r="L65" s="131"/>
      <c r="M65" s="131"/>
      <c r="N65" s="131"/>
      <c r="O65" s="131" t="s">
        <v>63</v>
      </c>
      <c r="P65" s="131"/>
      <c r="Q65" s="131"/>
      <c r="R65" s="131"/>
      <c r="S65" s="132"/>
      <c r="T65" s="130" t="s">
        <v>64</v>
      </c>
      <c r="U65" s="131"/>
      <c r="V65" s="131"/>
      <c r="W65" s="131"/>
      <c r="X65" s="131"/>
      <c r="Y65" s="131" t="s">
        <v>65</v>
      </c>
      <c r="Z65" s="131"/>
      <c r="AA65" s="131"/>
      <c r="AB65" s="131"/>
      <c r="AC65" s="131" t="s">
        <v>66</v>
      </c>
      <c r="AD65" s="131"/>
      <c r="AE65" s="131"/>
      <c r="AF65" s="131"/>
      <c r="AG65" s="132"/>
      <c r="AH65" s="4"/>
    </row>
    <row r="66" spans="1:34" ht="15" customHeight="1">
      <c r="A66" s="2"/>
      <c r="B66" s="206"/>
      <c r="C66" s="207"/>
      <c r="D66" s="208" t="s">
        <v>67</v>
      </c>
      <c r="E66" s="209"/>
      <c r="F66" s="210"/>
      <c r="G66" s="211"/>
      <c r="H66" s="211"/>
      <c r="I66" s="211"/>
      <c r="J66" s="211"/>
      <c r="K66" s="211"/>
      <c r="L66" s="211"/>
      <c r="M66" s="211"/>
      <c r="N66" s="211"/>
      <c r="O66" s="211" t="s">
        <v>32</v>
      </c>
      <c r="P66" s="211"/>
      <c r="Q66" s="211"/>
      <c r="R66" s="211"/>
      <c r="S66" s="212"/>
      <c r="T66" s="210"/>
      <c r="U66" s="211"/>
      <c r="V66" s="211"/>
      <c r="W66" s="211"/>
      <c r="X66" s="211"/>
      <c r="Y66" s="211"/>
      <c r="Z66" s="211"/>
      <c r="AA66" s="211"/>
      <c r="AB66" s="211"/>
      <c r="AC66" s="211" t="s">
        <v>32</v>
      </c>
      <c r="AD66" s="211"/>
      <c r="AE66" s="211"/>
      <c r="AF66" s="211"/>
      <c r="AG66" s="212"/>
      <c r="AH66" s="4"/>
    </row>
    <row r="67" spans="1:34" ht="21" customHeight="1">
      <c r="A67" s="2"/>
      <c r="B67" s="124" t="s">
        <v>68</v>
      </c>
      <c r="C67" s="125"/>
      <c r="D67" s="125"/>
      <c r="E67" s="126"/>
      <c r="F67" s="222">
        <v>0.1</v>
      </c>
      <c r="G67" s="223"/>
      <c r="H67" s="223"/>
      <c r="I67" s="223"/>
      <c r="J67" s="224"/>
      <c r="K67" s="225">
        <f>F67-$F$70</f>
        <v>-1.999999999999999E-2</v>
      </c>
      <c r="L67" s="225"/>
      <c r="M67" s="225"/>
      <c r="N67" s="226"/>
      <c r="O67" s="225">
        <f>K67/$Z$58*100</f>
        <v>-7.9999999999999967E-3</v>
      </c>
      <c r="P67" s="225"/>
      <c r="Q67" s="225"/>
      <c r="R67" s="225"/>
      <c r="S67" s="227"/>
      <c r="T67" s="228">
        <v>225.23</v>
      </c>
      <c r="U67" s="229"/>
      <c r="V67" s="229"/>
      <c r="W67" s="229"/>
      <c r="X67" s="230"/>
      <c r="Y67" s="229">
        <f>T67-$T$70</f>
        <v>-0.12000000000000455</v>
      </c>
      <c r="Z67" s="229"/>
      <c r="AA67" s="229"/>
      <c r="AB67" s="229"/>
      <c r="AC67" s="231">
        <f>Y67/$Z$58*100</f>
        <v>-4.8000000000001819E-2</v>
      </c>
      <c r="AD67" s="231"/>
      <c r="AE67" s="231"/>
      <c r="AF67" s="231"/>
      <c r="AG67" s="232"/>
      <c r="AH67" s="4"/>
    </row>
    <row r="68" spans="1:34" ht="21" customHeight="1">
      <c r="A68" s="2"/>
      <c r="B68" s="124" t="s">
        <v>69</v>
      </c>
      <c r="C68" s="125"/>
      <c r="D68" s="125"/>
      <c r="E68" s="126"/>
      <c r="F68" s="241">
        <v>0.1</v>
      </c>
      <c r="G68" s="242"/>
      <c r="H68" s="242"/>
      <c r="I68" s="242"/>
      <c r="J68" s="243"/>
      <c r="K68" s="231">
        <f>F68-$F$70</f>
        <v>-1.999999999999999E-2</v>
      </c>
      <c r="L68" s="231"/>
      <c r="M68" s="231"/>
      <c r="N68" s="231"/>
      <c r="O68" s="231">
        <f>K68/$Z$58*100</f>
        <v>-7.9999999999999967E-3</v>
      </c>
      <c r="P68" s="231"/>
      <c r="Q68" s="231"/>
      <c r="R68" s="231"/>
      <c r="S68" s="232"/>
      <c r="T68" s="244">
        <v>225.3</v>
      </c>
      <c r="U68" s="231"/>
      <c r="V68" s="231"/>
      <c r="W68" s="231"/>
      <c r="X68" s="245"/>
      <c r="Y68" s="231">
        <f>T68-$T$70</f>
        <v>-4.9999999999982947E-2</v>
      </c>
      <c r="Z68" s="231"/>
      <c r="AA68" s="231"/>
      <c r="AB68" s="231"/>
      <c r="AC68" s="231">
        <f>Y68/$Z$58*100</f>
        <v>-1.9999999999993179E-2</v>
      </c>
      <c r="AD68" s="231"/>
      <c r="AE68" s="231"/>
      <c r="AF68" s="231"/>
      <c r="AG68" s="232"/>
      <c r="AH68" s="4"/>
    </row>
    <row r="69" spans="1:34" ht="21" customHeight="1">
      <c r="A69" s="2"/>
      <c r="B69" s="124" t="s">
        <v>70</v>
      </c>
      <c r="C69" s="125"/>
      <c r="D69" s="125"/>
      <c r="E69" s="126"/>
      <c r="F69" s="233">
        <v>0.17</v>
      </c>
      <c r="G69" s="234"/>
      <c r="H69" s="234"/>
      <c r="I69" s="234"/>
      <c r="J69" s="235"/>
      <c r="K69" s="236">
        <f>F69-$F$70</f>
        <v>5.0000000000000017E-2</v>
      </c>
      <c r="L69" s="236"/>
      <c r="M69" s="236"/>
      <c r="N69" s="237"/>
      <c r="O69" s="238">
        <f>K69/$Z$58*100</f>
        <v>2.0000000000000007E-2</v>
      </c>
      <c r="P69" s="238"/>
      <c r="Q69" s="238"/>
      <c r="R69" s="238"/>
      <c r="S69" s="239"/>
      <c r="T69" s="233">
        <v>225.52</v>
      </c>
      <c r="U69" s="234"/>
      <c r="V69" s="234"/>
      <c r="W69" s="234"/>
      <c r="X69" s="234"/>
      <c r="Y69" s="240">
        <f>T69-$T$70</f>
        <v>0.17000000000001592</v>
      </c>
      <c r="Z69" s="240"/>
      <c r="AA69" s="240"/>
      <c r="AB69" s="240"/>
      <c r="AC69" s="231">
        <f>Y69/$Z$58*100</f>
        <v>6.8000000000006375E-2</v>
      </c>
      <c r="AD69" s="231"/>
      <c r="AE69" s="231"/>
      <c r="AF69" s="231"/>
      <c r="AG69" s="232"/>
      <c r="AH69" s="4"/>
    </row>
    <row r="70" spans="1:34" ht="21" customHeight="1">
      <c r="A70" s="2"/>
      <c r="B70" s="249" t="s">
        <v>71</v>
      </c>
      <c r="C70" s="137"/>
      <c r="D70" s="137"/>
      <c r="E70" s="103"/>
      <c r="F70" s="222">
        <f>ROUND(AVERAGE(F67:J69),2)</f>
        <v>0.12</v>
      </c>
      <c r="G70" s="223"/>
      <c r="H70" s="223"/>
      <c r="I70" s="223"/>
      <c r="J70" s="224"/>
      <c r="K70" s="250" t="s">
        <v>72</v>
      </c>
      <c r="L70" s="251"/>
      <c r="M70" s="251"/>
      <c r="N70" s="252"/>
      <c r="O70" s="253">
        <f>ROUND(AVERAGE(O67:S69),2)</f>
        <v>0</v>
      </c>
      <c r="P70" s="254"/>
      <c r="Q70" s="254"/>
      <c r="R70" s="254"/>
      <c r="S70" s="255"/>
      <c r="T70" s="256">
        <f>ROUND(AVERAGE(T67:X69),2)</f>
        <v>225.35</v>
      </c>
      <c r="U70" s="112"/>
      <c r="V70" s="112"/>
      <c r="W70" s="112"/>
      <c r="X70" s="112"/>
      <c r="Y70" s="250" t="s">
        <v>72</v>
      </c>
      <c r="Z70" s="251"/>
      <c r="AA70" s="251"/>
      <c r="AB70" s="252"/>
      <c r="AC70" s="112">
        <f>ROUND(AVERAGE(AC67:AG69),2)</f>
        <v>0</v>
      </c>
      <c r="AD70" s="112"/>
      <c r="AE70" s="112"/>
      <c r="AF70" s="112"/>
      <c r="AG70" s="113"/>
      <c r="AH70" s="4"/>
    </row>
    <row r="71" spans="1:34" ht="27" customHeight="1">
      <c r="A71" s="2"/>
      <c r="B71" s="136" t="s">
        <v>36</v>
      </c>
      <c r="C71" s="137"/>
      <c r="D71" s="137"/>
      <c r="E71" s="103"/>
      <c r="F71" s="12"/>
      <c r="G71" s="137" t="s">
        <v>37</v>
      </c>
      <c r="H71" s="137"/>
      <c r="I71" s="137"/>
      <c r="J71" s="137"/>
      <c r="K71" s="137" t="s">
        <v>38</v>
      </c>
      <c r="L71" s="137"/>
      <c r="M71" s="137"/>
      <c r="N71" s="137"/>
      <c r="O71" s="246" t="s">
        <v>39</v>
      </c>
      <c r="P71" s="247"/>
      <c r="Q71" s="247"/>
      <c r="R71" s="247"/>
      <c r="S71" s="248"/>
      <c r="T71" s="89" t="s">
        <v>73</v>
      </c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4"/>
    </row>
    <row r="72" spans="1:34">
      <c r="A72" s="2"/>
      <c r="B72" s="150" t="s">
        <v>41</v>
      </c>
      <c r="C72" s="150"/>
      <c r="D72" s="150"/>
      <c r="E72" s="15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4"/>
    </row>
    <row r="73" spans="1:34">
      <c r="A73" s="2"/>
      <c r="B73" s="150"/>
      <c r="C73" s="150"/>
      <c r="D73" s="150"/>
      <c r="E73" s="15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4"/>
    </row>
    <row r="74" spans="1:34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4"/>
    </row>
    <row r="75" spans="1:34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4"/>
    </row>
    <row r="76" spans="1:34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4"/>
    </row>
    <row r="77" spans="1:34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4"/>
    </row>
    <row r="78" spans="1:34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4"/>
    </row>
    <row r="79" spans="1:34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4"/>
    </row>
    <row r="80" spans="1:34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4"/>
    </row>
    <row r="81" spans="1:34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4"/>
    </row>
    <row r="82" spans="1:34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4"/>
    </row>
    <row r="83" spans="1:34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4"/>
    </row>
    <row r="84" spans="1:34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4"/>
    </row>
    <row r="85" spans="1:34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4"/>
    </row>
    <row r="86" spans="1:34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4"/>
    </row>
    <row r="87" spans="1:34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4"/>
    </row>
    <row r="88" spans="1:34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4"/>
    </row>
    <row r="89" spans="1:34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4"/>
    </row>
    <row r="90" spans="1:34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4"/>
    </row>
    <row r="91" spans="1:34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4"/>
    </row>
    <row r="92" spans="1:34" ht="4.5" customHeight="1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4"/>
    </row>
    <row r="93" spans="1:34" ht="15.75" thickBot="1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4"/>
    </row>
    <row r="94" spans="1:34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151" t="s">
        <v>49</v>
      </c>
      <c r="Z94" s="152"/>
      <c r="AA94" s="152"/>
      <c r="AB94" s="152"/>
      <c r="AC94" s="153"/>
      <c r="AD94" s="157" t="s">
        <v>50</v>
      </c>
      <c r="AE94" s="157"/>
      <c r="AF94" s="157"/>
      <c r="AG94" s="157"/>
      <c r="AH94" s="158"/>
    </row>
    <row r="95" spans="1:34" ht="15.75" thickBot="1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154"/>
      <c r="Z95" s="155"/>
      <c r="AA95" s="155"/>
      <c r="AB95" s="155"/>
      <c r="AC95" s="156"/>
      <c r="AD95" s="159"/>
      <c r="AE95" s="159"/>
      <c r="AF95" s="159"/>
      <c r="AG95" s="159"/>
      <c r="AH95" s="160"/>
    </row>
    <row r="96" spans="1:34" ht="15" customHeight="1">
      <c r="A96" s="2"/>
      <c r="B96" s="161" t="s">
        <v>51</v>
      </c>
      <c r="C96" s="171"/>
      <c r="D96" s="171"/>
      <c r="E96" s="171"/>
      <c r="F96" s="171"/>
      <c r="G96" s="171"/>
      <c r="H96" s="170" t="s">
        <v>37</v>
      </c>
      <c r="I96" s="171"/>
      <c r="J96" s="171"/>
      <c r="K96" s="171"/>
      <c r="L96" s="171"/>
      <c r="M96" s="172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176"/>
      <c r="Z96" s="177"/>
      <c r="AA96" s="177"/>
      <c r="AB96" s="177"/>
      <c r="AC96" s="178"/>
      <c r="AD96" s="183"/>
      <c r="AE96" s="184"/>
      <c r="AF96" s="184"/>
      <c r="AG96" s="184"/>
      <c r="AH96" s="185"/>
    </row>
    <row r="97" spans="1:34" ht="15" customHeight="1">
      <c r="A97" s="2"/>
      <c r="B97" s="173"/>
      <c r="C97" s="174"/>
      <c r="D97" s="174"/>
      <c r="E97" s="174"/>
      <c r="F97" s="174"/>
      <c r="G97" s="174"/>
      <c r="H97" s="173"/>
      <c r="I97" s="174"/>
      <c r="J97" s="174"/>
      <c r="K97" s="174"/>
      <c r="L97" s="174"/>
      <c r="M97" s="175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179"/>
      <c r="Z97" s="177"/>
      <c r="AA97" s="177"/>
      <c r="AB97" s="177"/>
      <c r="AC97" s="178"/>
      <c r="AD97" s="184"/>
      <c r="AE97" s="184"/>
      <c r="AF97" s="184"/>
      <c r="AG97" s="184"/>
      <c r="AH97" s="185"/>
    </row>
    <row r="98" spans="1:34" ht="15" customHeight="1">
      <c r="A98" s="2"/>
      <c r="B98" s="173"/>
      <c r="C98" s="174"/>
      <c r="D98" s="174"/>
      <c r="E98" s="174"/>
      <c r="F98" s="174"/>
      <c r="G98" s="174"/>
      <c r="H98" s="173" t="s">
        <v>38</v>
      </c>
      <c r="I98" s="174"/>
      <c r="J98" s="174"/>
      <c r="K98" s="174"/>
      <c r="L98" s="174"/>
      <c r="M98" s="175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179"/>
      <c r="Z98" s="177"/>
      <c r="AA98" s="177"/>
      <c r="AB98" s="177"/>
      <c r="AC98" s="178"/>
      <c r="AD98" s="184"/>
      <c r="AE98" s="184"/>
      <c r="AF98" s="184"/>
      <c r="AG98" s="184"/>
      <c r="AH98" s="185"/>
    </row>
    <row r="99" spans="1:34" ht="15.75" customHeight="1" thickBot="1">
      <c r="A99" s="2"/>
      <c r="B99" s="188"/>
      <c r="C99" s="189"/>
      <c r="D99" s="189"/>
      <c r="E99" s="189"/>
      <c r="F99" s="189"/>
      <c r="G99" s="189"/>
      <c r="H99" s="188"/>
      <c r="I99" s="189"/>
      <c r="J99" s="189"/>
      <c r="K99" s="189"/>
      <c r="L99" s="189"/>
      <c r="M99" s="190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179"/>
      <c r="Z99" s="177"/>
      <c r="AA99" s="177"/>
      <c r="AB99" s="177"/>
      <c r="AC99" s="178"/>
      <c r="AD99" s="184"/>
      <c r="AE99" s="184"/>
      <c r="AF99" s="184"/>
      <c r="AG99" s="184"/>
      <c r="AH99" s="185"/>
    </row>
    <row r="100" spans="1:34" ht="9" customHeight="1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180"/>
      <c r="Z100" s="181"/>
      <c r="AA100" s="181"/>
      <c r="AB100" s="181"/>
      <c r="AC100" s="182"/>
      <c r="AD100" s="186"/>
      <c r="AE100" s="186"/>
      <c r="AF100" s="186"/>
      <c r="AG100" s="186"/>
      <c r="AH100" s="187"/>
    </row>
    <row r="101" spans="1:34" s="13" customFormat="1" ht="22.5" customHeight="1" thickBot="1">
      <c r="A101" s="199" t="s">
        <v>76</v>
      </c>
      <c r="B101" s="200"/>
      <c r="C101" s="200"/>
      <c r="D101" s="200"/>
      <c r="E101" s="200" t="s">
        <v>52</v>
      </c>
      <c r="F101" s="200"/>
      <c r="G101" s="200"/>
      <c r="H101" s="200"/>
      <c r="I101" s="201"/>
      <c r="J101" s="202" t="s">
        <v>77</v>
      </c>
      <c r="K101" s="200"/>
      <c r="L101" s="200"/>
      <c r="M101" s="200"/>
      <c r="N101" s="200" t="s">
        <v>78</v>
      </c>
      <c r="O101" s="200"/>
      <c r="P101" s="200"/>
      <c r="Q101" s="201"/>
      <c r="R101" s="203"/>
      <c r="S101" s="204"/>
      <c r="T101" s="204"/>
      <c r="U101" s="204"/>
      <c r="V101" s="204"/>
      <c r="W101" s="204"/>
      <c r="X101" s="205"/>
      <c r="Y101" s="202" t="s">
        <v>79</v>
      </c>
      <c r="Z101" s="200"/>
      <c r="AA101" s="200"/>
      <c r="AB101" s="200"/>
      <c r="AC101" s="200"/>
      <c r="AD101" s="197">
        <v>41883</v>
      </c>
      <c r="AE101" s="197"/>
      <c r="AF101" s="197"/>
      <c r="AG101" s="197"/>
      <c r="AH101" s="198"/>
    </row>
  </sheetData>
  <mergeCells count="208">
    <mergeCell ref="A3:F3"/>
    <mergeCell ref="G3:Q3"/>
    <mergeCell ref="R3:W3"/>
    <mergeCell ref="X3:AH3"/>
    <mergeCell ref="A4:F4"/>
    <mergeCell ref="G4:Q4"/>
    <mergeCell ref="R4:W4"/>
    <mergeCell ref="X4:AH4"/>
    <mergeCell ref="A1:AC1"/>
    <mergeCell ref="AD1:AF1"/>
    <mergeCell ref="AG1:AH1"/>
    <mergeCell ref="A2:F2"/>
    <mergeCell ref="G2:Q2"/>
    <mergeCell ref="R2:W2"/>
    <mergeCell ref="X2:AH2"/>
    <mergeCell ref="B7:AG7"/>
    <mergeCell ref="B8:H8"/>
    <mergeCell ref="I8:N8"/>
    <mergeCell ref="O8:U8"/>
    <mergeCell ref="V8:AA8"/>
    <mergeCell ref="AB8:AG8"/>
    <mergeCell ref="A5:F5"/>
    <mergeCell ref="G5:Q5"/>
    <mergeCell ref="R5:W5"/>
    <mergeCell ref="X5:Y5"/>
    <mergeCell ref="Z5:AC5"/>
    <mergeCell ref="AD5:AH5"/>
    <mergeCell ref="B9:H9"/>
    <mergeCell ref="I9:N9"/>
    <mergeCell ref="O9:U9"/>
    <mergeCell ref="V9:AA9"/>
    <mergeCell ref="AB9:AG9"/>
    <mergeCell ref="B10:H10"/>
    <mergeCell ref="I10:N10"/>
    <mergeCell ref="O10:U10"/>
    <mergeCell ref="V10:AA10"/>
    <mergeCell ref="AB10:AG10"/>
    <mergeCell ref="F14:K14"/>
    <mergeCell ref="L14:S14"/>
    <mergeCell ref="T14:Y14"/>
    <mergeCell ref="Z14:AG14"/>
    <mergeCell ref="B15:K15"/>
    <mergeCell ref="L15:S15"/>
    <mergeCell ref="B11:H11"/>
    <mergeCell ref="I11:N11"/>
    <mergeCell ref="O11:U11"/>
    <mergeCell ref="V11:AA11"/>
    <mergeCell ref="AB11:AG11"/>
    <mergeCell ref="B13:E14"/>
    <mergeCell ref="F13:K13"/>
    <mergeCell ref="L13:S13"/>
    <mergeCell ref="T13:Y13"/>
    <mergeCell ref="Z13:AG13"/>
    <mergeCell ref="B22:K22"/>
    <mergeCell ref="L22:U22"/>
    <mergeCell ref="V22:AE22"/>
    <mergeCell ref="B23:K23"/>
    <mergeCell ref="L23:U23"/>
    <mergeCell ref="V23:AC23"/>
    <mergeCell ref="AD23:AE23"/>
    <mergeCell ref="B19:K19"/>
    <mergeCell ref="L19:U19"/>
    <mergeCell ref="B20:U20"/>
    <mergeCell ref="V20:AE21"/>
    <mergeCell ref="B21:K21"/>
    <mergeCell ref="L21:U21"/>
    <mergeCell ref="B28:K28"/>
    <mergeCell ref="L28:U28"/>
    <mergeCell ref="V28:AE28"/>
    <mergeCell ref="B29:K29"/>
    <mergeCell ref="L29:U29"/>
    <mergeCell ref="V29:AC29"/>
    <mergeCell ref="AD29:AE29"/>
    <mergeCell ref="B25:K25"/>
    <mergeCell ref="L25:U25"/>
    <mergeCell ref="B26:U26"/>
    <mergeCell ref="V26:AE27"/>
    <mergeCell ref="B27:K27"/>
    <mergeCell ref="L27:U27"/>
    <mergeCell ref="B37:U37"/>
    <mergeCell ref="V37:AE38"/>
    <mergeCell ref="B38:K38"/>
    <mergeCell ref="L38:U38"/>
    <mergeCell ref="B39:K39"/>
    <mergeCell ref="L39:U39"/>
    <mergeCell ref="V39:AE39"/>
    <mergeCell ref="B31:F31"/>
    <mergeCell ref="H31:K31"/>
    <mergeCell ref="L31:O31"/>
    <mergeCell ref="Q31:U31"/>
    <mergeCell ref="V31:AE31"/>
    <mergeCell ref="C32:F33"/>
    <mergeCell ref="B42:E43"/>
    <mergeCell ref="Y44:AC45"/>
    <mergeCell ref="AD44:AH45"/>
    <mergeCell ref="B46:G49"/>
    <mergeCell ref="H46:M47"/>
    <mergeCell ref="Y46:AC50"/>
    <mergeCell ref="AD46:AH50"/>
    <mergeCell ref="H48:M49"/>
    <mergeCell ref="B40:K40"/>
    <mergeCell ref="L40:U40"/>
    <mergeCell ref="V40:AC40"/>
    <mergeCell ref="AD40:AE40"/>
    <mergeCell ref="B41:F41"/>
    <mergeCell ref="H41:K41"/>
    <mergeCell ref="L41:O41"/>
    <mergeCell ref="Q41:U41"/>
    <mergeCell ref="V41:AE41"/>
    <mergeCell ref="AD51:AH51"/>
    <mergeCell ref="A54:AC54"/>
    <mergeCell ref="AD54:AF54"/>
    <mergeCell ref="AG54:AH54"/>
    <mergeCell ref="A55:F55"/>
    <mergeCell ref="G55:Q55"/>
    <mergeCell ref="R55:W55"/>
    <mergeCell ref="X55:AH55"/>
    <mergeCell ref="A51:D51"/>
    <mergeCell ref="E51:I51"/>
    <mergeCell ref="J51:M51"/>
    <mergeCell ref="N51:Q51"/>
    <mergeCell ref="R51:X51"/>
    <mergeCell ref="Y51:AC51"/>
    <mergeCell ref="A58:F58"/>
    <mergeCell ref="G58:Q58"/>
    <mergeCell ref="R58:W58"/>
    <mergeCell ref="X58:Y58"/>
    <mergeCell ref="Z58:AC58"/>
    <mergeCell ref="AD58:AH58"/>
    <mergeCell ref="A56:F56"/>
    <mergeCell ref="G56:Q56"/>
    <mergeCell ref="R56:W56"/>
    <mergeCell ref="X56:AH56"/>
    <mergeCell ref="A57:F57"/>
    <mergeCell ref="G57:Q57"/>
    <mergeCell ref="R57:W57"/>
    <mergeCell ref="X57:AH57"/>
    <mergeCell ref="K65:N65"/>
    <mergeCell ref="O65:S65"/>
    <mergeCell ref="T65:X65"/>
    <mergeCell ref="Y65:AB65"/>
    <mergeCell ref="AC65:AG65"/>
    <mergeCell ref="B66:C66"/>
    <mergeCell ref="D66:E66"/>
    <mergeCell ref="F66:J66"/>
    <mergeCell ref="K66:N66"/>
    <mergeCell ref="O66:S66"/>
    <mergeCell ref="B63:E65"/>
    <mergeCell ref="F63:S63"/>
    <mergeCell ref="T63:AG63"/>
    <mergeCell ref="F64:J64"/>
    <mergeCell ref="K64:N64"/>
    <mergeCell ref="O64:S64"/>
    <mergeCell ref="T64:X64"/>
    <mergeCell ref="Y64:AB64"/>
    <mergeCell ref="AC64:AG64"/>
    <mergeCell ref="F65:J65"/>
    <mergeCell ref="T66:X66"/>
    <mergeCell ref="Y66:AB66"/>
    <mergeCell ref="AC66:AG66"/>
    <mergeCell ref="B67:E67"/>
    <mergeCell ref="F67:J67"/>
    <mergeCell ref="K67:N67"/>
    <mergeCell ref="O67:S67"/>
    <mergeCell ref="T67:X67"/>
    <mergeCell ref="Y67:AB67"/>
    <mergeCell ref="AC67:AG67"/>
    <mergeCell ref="AC68:AG68"/>
    <mergeCell ref="B69:E69"/>
    <mergeCell ref="F69:J69"/>
    <mergeCell ref="K69:N69"/>
    <mergeCell ref="O69:S69"/>
    <mergeCell ref="T69:X69"/>
    <mergeCell ref="Y69:AB69"/>
    <mergeCell ref="AC69:AG69"/>
    <mergeCell ref="B68:E68"/>
    <mergeCell ref="F68:J68"/>
    <mergeCell ref="K68:N68"/>
    <mergeCell ref="O68:S68"/>
    <mergeCell ref="T68:X68"/>
    <mergeCell ref="Y68:AB68"/>
    <mergeCell ref="AC70:AG70"/>
    <mergeCell ref="B71:E71"/>
    <mergeCell ref="G71:J71"/>
    <mergeCell ref="K71:N71"/>
    <mergeCell ref="O71:S71"/>
    <mergeCell ref="T71:AG71"/>
    <mergeCell ref="B70:E70"/>
    <mergeCell ref="F70:J70"/>
    <mergeCell ref="K70:N70"/>
    <mergeCell ref="O70:S70"/>
    <mergeCell ref="T70:X70"/>
    <mergeCell ref="Y70:AB70"/>
    <mergeCell ref="AD101:AH101"/>
    <mergeCell ref="A101:D101"/>
    <mergeCell ref="E101:I101"/>
    <mergeCell ref="J101:M101"/>
    <mergeCell ref="N101:Q101"/>
    <mergeCell ref="R101:X101"/>
    <mergeCell ref="Y101:AC101"/>
    <mergeCell ref="B72:E73"/>
    <mergeCell ref="Y94:AC95"/>
    <mergeCell ref="AD94:AH95"/>
    <mergeCell ref="B96:G99"/>
    <mergeCell ref="H96:M97"/>
    <mergeCell ref="Y96:AC100"/>
    <mergeCell ref="AD96:AH100"/>
    <mergeCell ref="H98:M99"/>
  </mergeCells>
  <pageMargins left="0.47244094488188981" right="0.37" top="0.4" bottom="0.19685039370078741" header="0.35433070866141736" footer="0.11811023622047245"/>
  <pageSetup paperSize="9" scale="94" firstPageNumber="4294963191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33793" r:id="rId4">
          <objectPr defaultSize="0" autoPict="0" r:id="rId5">
            <anchor moveWithCells="1">
              <from>
                <xdr:col>6</xdr:col>
                <xdr:colOff>142875</xdr:colOff>
                <xdr:row>31</xdr:row>
                <xdr:rowOff>38100</xdr:rowOff>
              </from>
              <to>
                <xdr:col>9</xdr:col>
                <xdr:colOff>19050</xdr:colOff>
                <xdr:row>32</xdr:row>
                <xdr:rowOff>152400</xdr:rowOff>
              </to>
            </anchor>
          </objectPr>
        </oleObject>
      </mc:Choice>
      <mc:Fallback>
        <oleObject progId="Equation.3" shapeId="33793" r:id="rId4"/>
      </mc:Fallback>
    </mc:AlternateContent>
    <mc:AlternateContent xmlns:mc="http://schemas.openxmlformats.org/markup-compatibility/2006">
      <mc:Choice Requires="x14">
        <oleObject progId="Equation.3" shapeId="33794" r:id="rId6">
          <objectPr defaultSize="0" autoPict="0" r:id="rId7">
            <anchor moveWithCells="1">
              <from>
                <xdr:col>6</xdr:col>
                <xdr:colOff>95250</xdr:colOff>
                <xdr:row>41</xdr:row>
                <xdr:rowOff>180975</xdr:rowOff>
              </from>
              <to>
                <xdr:col>9</xdr:col>
                <xdr:colOff>123825</xdr:colOff>
                <xdr:row>43</xdr:row>
                <xdr:rowOff>104775</xdr:rowOff>
              </to>
            </anchor>
          </objectPr>
        </oleObject>
      </mc:Choice>
      <mc:Fallback>
        <oleObject progId="Equation.3" shapeId="33794" r:id="rId6"/>
      </mc:Fallback>
    </mc:AlternateContent>
    <mc:AlternateContent xmlns:mc="http://schemas.openxmlformats.org/markup-compatibility/2006">
      <mc:Choice Requires="x14">
        <oleObject progId="Equation.3" shapeId="33795" r:id="rId8">
          <objectPr defaultSize="0" autoPict="0" r:id="rId9">
            <anchor moveWithCells="1">
              <from>
                <xdr:col>5</xdr:col>
                <xdr:colOff>0</xdr:colOff>
                <xdr:row>72</xdr:row>
                <xdr:rowOff>85725</xdr:rowOff>
              </from>
              <to>
                <xdr:col>7</xdr:col>
                <xdr:colOff>114300</xdr:colOff>
                <xdr:row>74</xdr:row>
                <xdr:rowOff>19050</xdr:rowOff>
              </to>
            </anchor>
          </objectPr>
        </oleObject>
      </mc:Choice>
      <mc:Fallback>
        <oleObject progId="Equation.3" shapeId="33795" r:id="rId8"/>
      </mc:Fallback>
    </mc:AlternateContent>
  </oleObjec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01"/>
  <sheetViews>
    <sheetView zoomScale="130" zoomScaleNormal="130" workbookViewId="0">
      <selection activeCell="T68" sqref="T68:X68"/>
    </sheetView>
  </sheetViews>
  <sheetFormatPr defaultColWidth="2.5" defaultRowHeight="15"/>
  <cols>
    <col min="1" max="16384" width="2.5" style="1"/>
  </cols>
  <sheetData>
    <row r="1" spans="1:60" ht="27" customHeight="1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7"/>
      <c r="AD1" s="48" t="s">
        <v>1</v>
      </c>
      <c r="AE1" s="49"/>
      <c r="AF1" s="49"/>
      <c r="AG1" s="50" t="s">
        <v>2</v>
      </c>
      <c r="AH1" s="51"/>
    </row>
    <row r="2" spans="1:60" ht="19.5" customHeight="1">
      <c r="A2" s="52" t="s">
        <v>3</v>
      </c>
      <c r="B2" s="53"/>
      <c r="C2" s="53"/>
      <c r="D2" s="53"/>
      <c r="E2" s="53"/>
      <c r="F2" s="53"/>
      <c r="G2" s="54" t="s">
        <v>85</v>
      </c>
      <c r="H2" s="55"/>
      <c r="I2" s="55"/>
      <c r="J2" s="55"/>
      <c r="K2" s="55"/>
      <c r="L2" s="55"/>
      <c r="M2" s="55"/>
      <c r="N2" s="55"/>
      <c r="O2" s="55"/>
      <c r="P2" s="55"/>
      <c r="Q2" s="56"/>
      <c r="R2" s="28" t="s">
        <v>4</v>
      </c>
      <c r="S2" s="29"/>
      <c r="T2" s="29"/>
      <c r="U2" s="29"/>
      <c r="V2" s="29"/>
      <c r="W2" s="30"/>
      <c r="X2" s="31">
        <v>42886</v>
      </c>
      <c r="Y2" s="32"/>
      <c r="Z2" s="32"/>
      <c r="AA2" s="32"/>
      <c r="AB2" s="32"/>
      <c r="AC2" s="32"/>
      <c r="AD2" s="32"/>
      <c r="AE2" s="32"/>
      <c r="AF2" s="32"/>
      <c r="AG2" s="32"/>
      <c r="AH2" s="33"/>
    </row>
    <row r="3" spans="1:60" ht="19.5" customHeight="1">
      <c r="A3" s="23" t="s">
        <v>5</v>
      </c>
      <c r="B3" s="24"/>
      <c r="C3" s="24"/>
      <c r="D3" s="24"/>
      <c r="E3" s="24"/>
      <c r="F3" s="24"/>
      <c r="G3" s="25" t="s">
        <v>83</v>
      </c>
      <c r="H3" s="26"/>
      <c r="I3" s="26"/>
      <c r="J3" s="26"/>
      <c r="K3" s="26"/>
      <c r="L3" s="26"/>
      <c r="M3" s="26"/>
      <c r="N3" s="26"/>
      <c r="O3" s="26"/>
      <c r="P3" s="26"/>
      <c r="Q3" s="27"/>
      <c r="R3" s="28" t="s">
        <v>6</v>
      </c>
      <c r="S3" s="29"/>
      <c r="T3" s="29"/>
      <c r="U3" s="29"/>
      <c r="V3" s="29"/>
      <c r="W3" s="30"/>
      <c r="X3" s="31">
        <v>43251</v>
      </c>
      <c r="Y3" s="32"/>
      <c r="Z3" s="32"/>
      <c r="AA3" s="32"/>
      <c r="AB3" s="32"/>
      <c r="AC3" s="32"/>
      <c r="AD3" s="32"/>
      <c r="AE3" s="32"/>
      <c r="AF3" s="32"/>
      <c r="AG3" s="32"/>
      <c r="AH3" s="33"/>
    </row>
    <row r="4" spans="1:60" ht="19.5" customHeight="1">
      <c r="A4" s="34" t="s">
        <v>7</v>
      </c>
      <c r="B4" s="35"/>
      <c r="C4" s="35"/>
      <c r="D4" s="35"/>
      <c r="E4" s="35"/>
      <c r="F4" s="35"/>
      <c r="G4" s="36" t="s">
        <v>84</v>
      </c>
      <c r="H4" s="37"/>
      <c r="I4" s="37"/>
      <c r="J4" s="37"/>
      <c r="K4" s="37"/>
      <c r="L4" s="37"/>
      <c r="M4" s="37"/>
      <c r="N4" s="37"/>
      <c r="O4" s="37"/>
      <c r="P4" s="37"/>
      <c r="Q4" s="38"/>
      <c r="R4" s="39" t="s">
        <v>8</v>
      </c>
      <c r="S4" s="40"/>
      <c r="T4" s="40"/>
      <c r="U4" s="40"/>
      <c r="V4" s="40"/>
      <c r="W4" s="41"/>
      <c r="X4" s="42" t="s">
        <v>9</v>
      </c>
      <c r="Y4" s="43"/>
      <c r="Z4" s="43"/>
      <c r="AA4" s="43"/>
      <c r="AB4" s="43"/>
      <c r="AC4" s="43"/>
      <c r="AD4" s="43"/>
      <c r="AE4" s="43"/>
      <c r="AF4" s="43"/>
      <c r="AG4" s="43"/>
      <c r="AH4" s="44"/>
    </row>
    <row r="5" spans="1:60" ht="19.5" customHeight="1">
      <c r="A5" s="65" t="s">
        <v>10</v>
      </c>
      <c r="B5" s="66"/>
      <c r="C5" s="66"/>
      <c r="D5" s="66"/>
      <c r="E5" s="66"/>
      <c r="F5" s="67"/>
      <c r="G5" s="68" t="s">
        <v>120</v>
      </c>
      <c r="H5" s="68"/>
      <c r="I5" s="68"/>
      <c r="J5" s="68"/>
      <c r="K5" s="68"/>
      <c r="L5" s="68"/>
      <c r="M5" s="68"/>
      <c r="N5" s="68"/>
      <c r="O5" s="68"/>
      <c r="P5" s="68"/>
      <c r="Q5" s="68"/>
      <c r="R5" s="69" t="s">
        <v>11</v>
      </c>
      <c r="S5" s="69"/>
      <c r="T5" s="69"/>
      <c r="U5" s="69"/>
      <c r="V5" s="69"/>
      <c r="W5" s="69"/>
      <c r="X5" s="70" t="s">
        <v>12</v>
      </c>
      <c r="Y5" s="71"/>
      <c r="Z5" s="72">
        <v>500</v>
      </c>
      <c r="AA5" s="73"/>
      <c r="AB5" s="73"/>
      <c r="AC5" s="73"/>
      <c r="AD5" s="74" t="s">
        <v>13</v>
      </c>
      <c r="AE5" s="74"/>
      <c r="AF5" s="74"/>
      <c r="AG5" s="74"/>
      <c r="AH5" s="75"/>
    </row>
    <row r="6" spans="1:60" ht="15.75" thickBo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4"/>
    </row>
    <row r="7" spans="1:60" ht="15" customHeight="1">
      <c r="A7" s="2"/>
      <c r="B7" s="57" t="s">
        <v>14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9"/>
      <c r="AH7" s="4"/>
    </row>
    <row r="8" spans="1:60" ht="15" customHeight="1">
      <c r="A8" s="2"/>
      <c r="B8" s="60" t="s">
        <v>15</v>
      </c>
      <c r="C8" s="61"/>
      <c r="D8" s="61"/>
      <c r="E8" s="61"/>
      <c r="F8" s="61"/>
      <c r="G8" s="61"/>
      <c r="H8" s="61"/>
      <c r="I8" s="62" t="s">
        <v>3</v>
      </c>
      <c r="J8" s="62"/>
      <c r="K8" s="62"/>
      <c r="L8" s="62"/>
      <c r="M8" s="62"/>
      <c r="N8" s="62"/>
      <c r="O8" s="61" t="s">
        <v>16</v>
      </c>
      <c r="P8" s="61"/>
      <c r="Q8" s="61"/>
      <c r="R8" s="61"/>
      <c r="S8" s="61"/>
      <c r="T8" s="61"/>
      <c r="U8" s="61"/>
      <c r="V8" s="63" t="s">
        <v>17</v>
      </c>
      <c r="W8" s="63"/>
      <c r="X8" s="63"/>
      <c r="Y8" s="63"/>
      <c r="Z8" s="63"/>
      <c r="AA8" s="63"/>
      <c r="AB8" s="63" t="s">
        <v>18</v>
      </c>
      <c r="AC8" s="63"/>
      <c r="AD8" s="63"/>
      <c r="AE8" s="63"/>
      <c r="AF8" s="63"/>
      <c r="AG8" s="64"/>
      <c r="AH8" s="4"/>
    </row>
    <row r="9" spans="1:60" ht="19.5" customHeight="1">
      <c r="A9" s="2"/>
      <c r="B9" s="76" t="s">
        <v>19</v>
      </c>
      <c r="C9" s="77"/>
      <c r="D9" s="77"/>
      <c r="E9" s="77"/>
      <c r="F9" s="77"/>
      <c r="G9" s="77"/>
      <c r="H9" s="77"/>
      <c r="I9" s="78" t="s">
        <v>109</v>
      </c>
      <c r="J9" s="78"/>
      <c r="K9" s="78"/>
      <c r="L9" s="78"/>
      <c r="M9" s="78"/>
      <c r="N9" s="78"/>
      <c r="O9" s="78" t="s">
        <v>74</v>
      </c>
      <c r="P9" s="78"/>
      <c r="Q9" s="78"/>
      <c r="R9" s="78"/>
      <c r="S9" s="78"/>
      <c r="T9" s="78"/>
      <c r="U9" s="78"/>
      <c r="V9" s="78" t="s">
        <v>113</v>
      </c>
      <c r="W9" s="78"/>
      <c r="X9" s="78"/>
      <c r="Y9" s="78"/>
      <c r="Z9" s="78"/>
      <c r="AA9" s="78"/>
      <c r="AB9" s="79">
        <v>0.99999950000000004</v>
      </c>
      <c r="AC9" s="79"/>
      <c r="AD9" s="79"/>
      <c r="AE9" s="79"/>
      <c r="AF9" s="79"/>
      <c r="AG9" s="80"/>
      <c r="AH9" s="4"/>
    </row>
    <row r="10" spans="1:60" ht="19.5" customHeight="1">
      <c r="A10" s="2"/>
      <c r="B10" s="81" t="s">
        <v>108</v>
      </c>
      <c r="C10" s="82"/>
      <c r="D10" s="82"/>
      <c r="E10" s="82"/>
      <c r="F10" s="82"/>
      <c r="G10" s="82"/>
      <c r="H10" s="82"/>
      <c r="I10" s="78" t="s">
        <v>95</v>
      </c>
      <c r="J10" s="78"/>
      <c r="K10" s="78"/>
      <c r="L10" s="78"/>
      <c r="M10" s="78"/>
      <c r="N10" s="78"/>
      <c r="O10" s="78" t="s">
        <v>74</v>
      </c>
      <c r="P10" s="78"/>
      <c r="Q10" s="78"/>
      <c r="R10" s="78"/>
      <c r="S10" s="78"/>
      <c r="T10" s="78"/>
      <c r="U10" s="78"/>
      <c r="V10" s="78" t="s">
        <v>96</v>
      </c>
      <c r="W10" s="78"/>
      <c r="X10" s="78"/>
      <c r="Y10" s="78"/>
      <c r="Z10" s="78"/>
      <c r="AA10" s="78"/>
      <c r="AB10" s="266" t="s">
        <v>97</v>
      </c>
      <c r="AC10" s="266"/>
      <c r="AD10" s="266"/>
      <c r="AE10" s="266"/>
      <c r="AF10" s="266"/>
      <c r="AG10" s="267"/>
      <c r="AH10" s="4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0"/>
      <c r="BD10" s="20"/>
      <c r="BE10" s="20"/>
      <c r="BF10" s="20"/>
      <c r="BG10" s="20"/>
      <c r="BH10" s="20"/>
    </row>
    <row r="11" spans="1:60" ht="19.5" customHeight="1" thickBot="1">
      <c r="A11" s="2"/>
      <c r="B11" s="94" t="s">
        <v>21</v>
      </c>
      <c r="C11" s="95"/>
      <c r="D11" s="95"/>
      <c r="E11" s="95"/>
      <c r="F11" s="95"/>
      <c r="G11" s="95"/>
      <c r="H11" s="95"/>
      <c r="I11" s="96" t="s">
        <v>99</v>
      </c>
      <c r="J11" s="96"/>
      <c r="K11" s="96"/>
      <c r="L11" s="96"/>
      <c r="M11" s="96"/>
      <c r="N11" s="96"/>
      <c r="O11" s="96" t="s">
        <v>74</v>
      </c>
      <c r="P11" s="96"/>
      <c r="Q11" s="96"/>
      <c r="R11" s="96"/>
      <c r="S11" s="96"/>
      <c r="T11" s="96"/>
      <c r="U11" s="96"/>
      <c r="V11" s="96" t="s">
        <v>100</v>
      </c>
      <c r="W11" s="96"/>
      <c r="X11" s="96"/>
      <c r="Y11" s="96"/>
      <c r="Z11" s="96"/>
      <c r="AA11" s="96"/>
      <c r="AB11" s="268" t="s">
        <v>98</v>
      </c>
      <c r="AC11" s="268"/>
      <c r="AD11" s="268"/>
      <c r="AE11" s="268"/>
      <c r="AF11" s="268"/>
      <c r="AG11" s="269"/>
      <c r="AH11" s="4"/>
    </row>
    <row r="12" spans="1:60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4"/>
    </row>
    <row r="13" spans="1:60" ht="21" customHeight="1">
      <c r="A13" s="2"/>
      <c r="B13" s="89" t="s">
        <v>22</v>
      </c>
      <c r="C13" s="89"/>
      <c r="D13" s="89"/>
      <c r="E13" s="89"/>
      <c r="F13" s="103" t="s">
        <v>3</v>
      </c>
      <c r="G13" s="89"/>
      <c r="H13" s="89"/>
      <c r="I13" s="89"/>
      <c r="J13" s="89"/>
      <c r="K13" s="89"/>
      <c r="L13" s="78" t="s">
        <v>112</v>
      </c>
      <c r="M13" s="78"/>
      <c r="N13" s="78"/>
      <c r="O13" s="78"/>
      <c r="P13" s="78"/>
      <c r="Q13" s="78"/>
      <c r="R13" s="78"/>
      <c r="S13" s="78"/>
      <c r="T13" s="89" t="s">
        <v>7</v>
      </c>
      <c r="U13" s="89"/>
      <c r="V13" s="89"/>
      <c r="W13" s="89"/>
      <c r="X13" s="89"/>
      <c r="Y13" s="89"/>
      <c r="Z13" s="78">
        <v>93310021</v>
      </c>
      <c r="AA13" s="78"/>
      <c r="AB13" s="78"/>
      <c r="AC13" s="78"/>
      <c r="AD13" s="78"/>
      <c r="AE13" s="78"/>
      <c r="AF13" s="78"/>
      <c r="AG13" s="78"/>
      <c r="AH13" s="4"/>
    </row>
    <row r="14" spans="1:60" ht="21" customHeight="1">
      <c r="A14" s="2"/>
      <c r="B14" s="89"/>
      <c r="C14" s="89"/>
      <c r="D14" s="89"/>
      <c r="E14" s="89"/>
      <c r="F14" s="85" t="s">
        <v>5</v>
      </c>
      <c r="G14" s="85"/>
      <c r="H14" s="85"/>
      <c r="I14" s="85"/>
      <c r="J14" s="85"/>
      <c r="K14" s="85"/>
      <c r="L14" s="86" t="s">
        <v>75</v>
      </c>
      <c r="M14" s="87"/>
      <c r="N14" s="87"/>
      <c r="O14" s="87"/>
      <c r="P14" s="87"/>
      <c r="Q14" s="87"/>
      <c r="R14" s="87"/>
      <c r="S14" s="88"/>
      <c r="T14" s="89" t="s">
        <v>6</v>
      </c>
      <c r="U14" s="89"/>
      <c r="V14" s="89"/>
      <c r="W14" s="89"/>
      <c r="X14" s="89"/>
      <c r="Y14" s="89"/>
      <c r="Z14" s="90">
        <v>43008</v>
      </c>
      <c r="AA14" s="90"/>
      <c r="AB14" s="90"/>
      <c r="AC14" s="90"/>
      <c r="AD14" s="90"/>
      <c r="AE14" s="90"/>
      <c r="AF14" s="90"/>
      <c r="AG14" s="90"/>
      <c r="AH14" s="4"/>
    </row>
    <row r="15" spans="1:60" ht="17.25" customHeight="1">
      <c r="A15" s="2"/>
      <c r="B15" s="89" t="s">
        <v>23</v>
      </c>
      <c r="C15" s="89"/>
      <c r="D15" s="89"/>
      <c r="E15" s="89"/>
      <c r="F15" s="89"/>
      <c r="G15" s="89"/>
      <c r="H15" s="89"/>
      <c r="I15" s="89"/>
      <c r="J15" s="89"/>
      <c r="K15" s="89"/>
      <c r="L15" s="91">
        <v>15170</v>
      </c>
      <c r="M15" s="92"/>
      <c r="N15" s="92"/>
      <c r="O15" s="92"/>
      <c r="P15" s="92"/>
      <c r="Q15" s="92"/>
      <c r="R15" s="92"/>
      <c r="S15" s="93"/>
      <c r="T15" s="5"/>
      <c r="U15" s="5"/>
      <c r="V15" s="5"/>
      <c r="W15" s="5"/>
      <c r="X15" s="5"/>
      <c r="Y15" s="5"/>
      <c r="Z15" s="6"/>
      <c r="AA15" s="6"/>
      <c r="AB15" s="6"/>
      <c r="AC15" s="6"/>
      <c r="AD15" s="6"/>
      <c r="AE15" s="6"/>
      <c r="AF15" s="6"/>
      <c r="AG15" s="6"/>
      <c r="AH15" s="4"/>
    </row>
    <row r="16" spans="1:60" ht="5.25" customHeight="1">
      <c r="A16" s="2"/>
      <c r="B16" s="5"/>
      <c r="C16" s="5"/>
      <c r="D16" s="5"/>
      <c r="E16" s="5"/>
      <c r="F16" s="5"/>
      <c r="G16" s="5"/>
      <c r="H16" s="5"/>
      <c r="I16" s="5"/>
      <c r="J16" s="5"/>
      <c r="K16" s="5"/>
      <c r="L16" s="3"/>
      <c r="M16" s="3"/>
      <c r="N16" s="3"/>
      <c r="O16" s="3"/>
      <c r="P16" s="3"/>
      <c r="Q16" s="3"/>
      <c r="R16" s="3"/>
      <c r="S16" s="3"/>
      <c r="T16" s="5"/>
      <c r="U16" s="5"/>
      <c r="V16" s="5"/>
      <c r="W16" s="5"/>
      <c r="X16" s="5"/>
      <c r="Y16" s="5"/>
      <c r="Z16" s="3"/>
      <c r="AA16" s="3"/>
      <c r="AB16" s="3"/>
      <c r="AC16" s="3"/>
      <c r="AD16" s="3"/>
      <c r="AE16" s="3"/>
      <c r="AF16" s="3"/>
      <c r="AG16" s="3"/>
      <c r="AH16" s="4"/>
    </row>
    <row r="17" spans="1:34">
      <c r="A17" s="2"/>
      <c r="B17" s="7" t="s">
        <v>24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4"/>
    </row>
    <row r="18" spans="1:34" ht="7.5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4"/>
    </row>
    <row r="19" spans="1:34" ht="15" customHeight="1">
      <c r="A19" s="2"/>
      <c r="B19" s="118" t="s">
        <v>10</v>
      </c>
      <c r="C19" s="119"/>
      <c r="D19" s="119"/>
      <c r="E19" s="119"/>
      <c r="F19" s="119"/>
      <c r="G19" s="119"/>
      <c r="H19" s="119"/>
      <c r="I19" s="119"/>
      <c r="J19" s="119"/>
      <c r="K19" s="120"/>
      <c r="L19" s="89" t="s">
        <v>90</v>
      </c>
      <c r="M19" s="89"/>
      <c r="N19" s="89"/>
      <c r="O19" s="89"/>
      <c r="P19" s="89"/>
      <c r="Q19" s="89"/>
      <c r="R19" s="89"/>
      <c r="S19" s="89"/>
      <c r="T19" s="89"/>
      <c r="U19" s="89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4"/>
    </row>
    <row r="20" spans="1:34" ht="15" customHeight="1">
      <c r="A20" s="2"/>
      <c r="B20" s="121" t="s">
        <v>25</v>
      </c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3"/>
      <c r="V20" s="124" t="s">
        <v>26</v>
      </c>
      <c r="W20" s="125"/>
      <c r="X20" s="125"/>
      <c r="Y20" s="125"/>
      <c r="Z20" s="125"/>
      <c r="AA20" s="125"/>
      <c r="AB20" s="125"/>
      <c r="AC20" s="125"/>
      <c r="AD20" s="125"/>
      <c r="AE20" s="126"/>
      <c r="AF20" s="3"/>
      <c r="AG20" s="3"/>
      <c r="AH20" s="4"/>
    </row>
    <row r="21" spans="1:34" ht="15" customHeight="1">
      <c r="A21" s="2"/>
      <c r="B21" s="130" t="s">
        <v>27</v>
      </c>
      <c r="C21" s="131"/>
      <c r="D21" s="131"/>
      <c r="E21" s="131"/>
      <c r="F21" s="131"/>
      <c r="G21" s="131"/>
      <c r="H21" s="131"/>
      <c r="I21" s="131"/>
      <c r="J21" s="131"/>
      <c r="K21" s="131"/>
      <c r="L21" s="131" t="s">
        <v>28</v>
      </c>
      <c r="M21" s="131"/>
      <c r="N21" s="131"/>
      <c r="O21" s="131"/>
      <c r="P21" s="131"/>
      <c r="Q21" s="131"/>
      <c r="R21" s="131"/>
      <c r="S21" s="131"/>
      <c r="T21" s="131"/>
      <c r="U21" s="132"/>
      <c r="V21" s="127"/>
      <c r="W21" s="128"/>
      <c r="X21" s="128"/>
      <c r="Y21" s="128"/>
      <c r="Z21" s="128"/>
      <c r="AA21" s="128"/>
      <c r="AB21" s="128"/>
      <c r="AC21" s="128"/>
      <c r="AD21" s="128"/>
      <c r="AE21" s="129"/>
      <c r="AF21" s="3"/>
      <c r="AG21" s="3"/>
      <c r="AH21" s="4"/>
    </row>
    <row r="22" spans="1:34">
      <c r="A22" s="2"/>
      <c r="B22" s="104" t="s">
        <v>29</v>
      </c>
      <c r="C22" s="105"/>
      <c r="D22" s="105"/>
      <c r="E22" s="105"/>
      <c r="F22" s="105"/>
      <c r="G22" s="105"/>
      <c r="H22" s="105"/>
      <c r="I22" s="105"/>
      <c r="J22" s="105"/>
      <c r="K22" s="105"/>
      <c r="L22" s="105" t="s">
        <v>30</v>
      </c>
      <c r="M22" s="105"/>
      <c r="N22" s="105"/>
      <c r="O22" s="105"/>
      <c r="P22" s="105"/>
      <c r="Q22" s="105"/>
      <c r="R22" s="105"/>
      <c r="S22" s="105"/>
      <c r="T22" s="105"/>
      <c r="U22" s="106"/>
      <c r="V22" s="107" t="s">
        <v>31</v>
      </c>
      <c r="W22" s="108"/>
      <c r="X22" s="108"/>
      <c r="Y22" s="108"/>
      <c r="Z22" s="108"/>
      <c r="AA22" s="108"/>
      <c r="AB22" s="108"/>
      <c r="AC22" s="108"/>
      <c r="AD22" s="108"/>
      <c r="AE22" s="109"/>
      <c r="AF22" s="3"/>
      <c r="AG22" s="3"/>
      <c r="AH22" s="4"/>
    </row>
    <row r="23" spans="1:34" ht="21" customHeight="1">
      <c r="A23" s="2"/>
      <c r="B23" s="293">
        <v>425.3</v>
      </c>
      <c r="C23" s="273"/>
      <c r="D23" s="273"/>
      <c r="E23" s="273"/>
      <c r="F23" s="273"/>
      <c r="G23" s="273"/>
      <c r="H23" s="273"/>
      <c r="I23" s="273"/>
      <c r="J23" s="273"/>
      <c r="K23" s="273"/>
      <c r="L23" s="273">
        <v>428.7</v>
      </c>
      <c r="M23" s="273"/>
      <c r="N23" s="273"/>
      <c r="O23" s="273"/>
      <c r="P23" s="273"/>
      <c r="Q23" s="273"/>
      <c r="R23" s="273"/>
      <c r="S23" s="273"/>
      <c r="T23" s="273"/>
      <c r="U23" s="274"/>
      <c r="V23" s="114">
        <f>B23/L23*100</f>
        <v>99.20690459528808</v>
      </c>
      <c r="W23" s="115"/>
      <c r="X23" s="115"/>
      <c r="Y23" s="115"/>
      <c r="Z23" s="115"/>
      <c r="AA23" s="115"/>
      <c r="AB23" s="115"/>
      <c r="AC23" s="115"/>
      <c r="AD23" s="116" t="s">
        <v>32</v>
      </c>
      <c r="AE23" s="117"/>
      <c r="AF23" s="3"/>
      <c r="AG23" s="3"/>
      <c r="AH23" s="4"/>
    </row>
    <row r="24" spans="1:34" ht="7.5" customHeight="1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4"/>
    </row>
    <row r="25" spans="1:34" ht="15" customHeight="1">
      <c r="A25" s="2"/>
      <c r="B25" s="118" t="s">
        <v>10</v>
      </c>
      <c r="C25" s="119"/>
      <c r="D25" s="119"/>
      <c r="E25" s="119"/>
      <c r="F25" s="119"/>
      <c r="G25" s="119"/>
      <c r="H25" s="119"/>
      <c r="I25" s="119"/>
      <c r="J25" s="119"/>
      <c r="K25" s="120"/>
      <c r="L25" s="89" t="s">
        <v>81</v>
      </c>
      <c r="M25" s="89"/>
      <c r="N25" s="89"/>
      <c r="O25" s="89"/>
      <c r="P25" s="89"/>
      <c r="Q25" s="89"/>
      <c r="R25" s="89"/>
      <c r="S25" s="89"/>
      <c r="T25" s="89"/>
      <c r="U25" s="89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4"/>
    </row>
    <row r="26" spans="1:34" ht="15" customHeight="1">
      <c r="A26" s="2"/>
      <c r="B26" s="138" t="s">
        <v>25</v>
      </c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3"/>
      <c r="V26" s="124" t="s">
        <v>26</v>
      </c>
      <c r="W26" s="125"/>
      <c r="X26" s="125"/>
      <c r="Y26" s="125"/>
      <c r="Z26" s="125"/>
      <c r="AA26" s="125"/>
      <c r="AB26" s="125"/>
      <c r="AC26" s="125"/>
      <c r="AD26" s="125"/>
      <c r="AE26" s="126"/>
      <c r="AF26" s="3"/>
      <c r="AG26" s="3"/>
      <c r="AH26" s="4"/>
    </row>
    <row r="27" spans="1:34" ht="15" customHeight="1">
      <c r="A27" s="2"/>
      <c r="B27" s="130" t="s">
        <v>34</v>
      </c>
      <c r="C27" s="131"/>
      <c r="D27" s="131"/>
      <c r="E27" s="131"/>
      <c r="F27" s="131"/>
      <c r="G27" s="131"/>
      <c r="H27" s="131"/>
      <c r="I27" s="131"/>
      <c r="J27" s="131"/>
      <c r="K27" s="131"/>
      <c r="L27" s="131" t="s">
        <v>35</v>
      </c>
      <c r="M27" s="131"/>
      <c r="N27" s="131"/>
      <c r="O27" s="131"/>
      <c r="P27" s="131"/>
      <c r="Q27" s="131"/>
      <c r="R27" s="131"/>
      <c r="S27" s="131"/>
      <c r="T27" s="131"/>
      <c r="U27" s="132"/>
      <c r="V27" s="127"/>
      <c r="W27" s="128"/>
      <c r="X27" s="128"/>
      <c r="Y27" s="128"/>
      <c r="Z27" s="128"/>
      <c r="AA27" s="128"/>
      <c r="AB27" s="128"/>
      <c r="AC27" s="128"/>
      <c r="AD27" s="128"/>
      <c r="AE27" s="129"/>
      <c r="AF27" s="3"/>
      <c r="AG27" s="3"/>
      <c r="AH27" s="4"/>
    </row>
    <row r="28" spans="1:34" ht="15" customHeight="1">
      <c r="A28" s="2"/>
      <c r="B28" s="104" t="s">
        <v>29</v>
      </c>
      <c r="C28" s="105"/>
      <c r="D28" s="105"/>
      <c r="E28" s="105"/>
      <c r="F28" s="105"/>
      <c r="G28" s="105"/>
      <c r="H28" s="105"/>
      <c r="I28" s="105"/>
      <c r="J28" s="105"/>
      <c r="K28" s="105"/>
      <c r="L28" s="105" t="s">
        <v>30</v>
      </c>
      <c r="M28" s="105"/>
      <c r="N28" s="105"/>
      <c r="O28" s="105"/>
      <c r="P28" s="105"/>
      <c r="Q28" s="105"/>
      <c r="R28" s="105"/>
      <c r="S28" s="105"/>
      <c r="T28" s="105"/>
      <c r="U28" s="106"/>
      <c r="V28" s="107" t="s">
        <v>31</v>
      </c>
      <c r="W28" s="108"/>
      <c r="X28" s="108"/>
      <c r="Y28" s="108"/>
      <c r="Z28" s="108"/>
      <c r="AA28" s="108"/>
      <c r="AB28" s="108"/>
      <c r="AC28" s="108"/>
      <c r="AD28" s="108"/>
      <c r="AE28" s="109"/>
      <c r="AF28" s="3"/>
      <c r="AG28" s="3"/>
      <c r="AH28" s="4"/>
    </row>
    <row r="29" spans="1:34" ht="21" customHeight="1">
      <c r="A29" s="2"/>
      <c r="B29" s="192"/>
      <c r="C29" s="193"/>
      <c r="D29" s="193"/>
      <c r="E29" s="193"/>
      <c r="F29" s="193"/>
      <c r="G29" s="193"/>
      <c r="H29" s="193"/>
      <c r="I29" s="193"/>
      <c r="J29" s="193"/>
      <c r="K29" s="193"/>
      <c r="L29" s="112"/>
      <c r="M29" s="112"/>
      <c r="N29" s="112"/>
      <c r="O29" s="112"/>
      <c r="P29" s="112"/>
      <c r="Q29" s="112"/>
      <c r="R29" s="112"/>
      <c r="S29" s="112"/>
      <c r="T29" s="112"/>
      <c r="U29" s="113"/>
      <c r="V29" s="114"/>
      <c r="W29" s="115"/>
      <c r="X29" s="115"/>
      <c r="Y29" s="115"/>
      <c r="Z29" s="115"/>
      <c r="AA29" s="115"/>
      <c r="AB29" s="115"/>
      <c r="AC29" s="115"/>
      <c r="AD29" s="116"/>
      <c r="AE29" s="117"/>
      <c r="AF29" s="3"/>
      <c r="AG29" s="3"/>
      <c r="AH29" s="4"/>
    </row>
    <row r="30" spans="1:34" ht="7.5" customHeight="1">
      <c r="A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4"/>
    </row>
    <row r="31" spans="1:34" ht="21" customHeight="1">
      <c r="A31" s="2"/>
      <c r="B31" s="136" t="s">
        <v>36</v>
      </c>
      <c r="C31" s="137"/>
      <c r="D31" s="137"/>
      <c r="E31" s="137"/>
      <c r="F31" s="103"/>
      <c r="G31" s="8"/>
      <c r="H31" s="137" t="s">
        <v>37</v>
      </c>
      <c r="I31" s="137"/>
      <c r="J31" s="137"/>
      <c r="K31" s="137"/>
      <c r="L31" s="137" t="s">
        <v>38</v>
      </c>
      <c r="M31" s="137"/>
      <c r="N31" s="137"/>
      <c r="O31" s="137"/>
      <c r="P31" s="9"/>
      <c r="Q31" s="118" t="s">
        <v>39</v>
      </c>
      <c r="R31" s="119"/>
      <c r="S31" s="119"/>
      <c r="T31" s="119"/>
      <c r="U31" s="120"/>
      <c r="V31" s="136" t="s">
        <v>40</v>
      </c>
      <c r="W31" s="137"/>
      <c r="X31" s="137"/>
      <c r="Y31" s="137"/>
      <c r="Z31" s="137"/>
      <c r="AA31" s="137"/>
      <c r="AB31" s="137"/>
      <c r="AC31" s="137"/>
      <c r="AD31" s="137"/>
      <c r="AE31" s="103"/>
      <c r="AF31" s="3"/>
      <c r="AG31" s="3"/>
      <c r="AH31" s="4"/>
    </row>
    <row r="32" spans="1:34">
      <c r="A32" s="2"/>
      <c r="C32" s="148" t="s">
        <v>41</v>
      </c>
      <c r="D32" s="148"/>
      <c r="E32" s="148"/>
      <c r="F32" s="148"/>
      <c r="G32" s="18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4"/>
    </row>
    <row r="33" spans="1:34">
      <c r="A33" s="2"/>
      <c r="C33" s="149"/>
      <c r="D33" s="149"/>
      <c r="E33" s="149"/>
      <c r="F33" s="149"/>
      <c r="G33" s="18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4"/>
    </row>
    <row r="34" spans="1:34">
      <c r="A34" s="2"/>
      <c r="B34" s="3"/>
      <c r="C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4"/>
    </row>
    <row r="35" spans="1:34">
      <c r="A35" s="2"/>
      <c r="B35" s="11" t="s">
        <v>42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4"/>
    </row>
    <row r="36" spans="1:34" ht="7.5" customHeight="1">
      <c r="A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4"/>
    </row>
    <row r="37" spans="1:34" ht="15" customHeight="1">
      <c r="A37" s="2"/>
      <c r="B37" s="138" t="s">
        <v>43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3"/>
      <c r="V37" s="139" t="s">
        <v>44</v>
      </c>
      <c r="W37" s="140"/>
      <c r="X37" s="140"/>
      <c r="Y37" s="140"/>
      <c r="Z37" s="140"/>
      <c r="AA37" s="140"/>
      <c r="AB37" s="140"/>
      <c r="AC37" s="140"/>
      <c r="AD37" s="140"/>
      <c r="AE37" s="141"/>
      <c r="AF37" s="3"/>
      <c r="AG37" s="3"/>
      <c r="AH37" s="4"/>
    </row>
    <row r="38" spans="1:34" ht="15" customHeight="1">
      <c r="A38" s="2"/>
      <c r="B38" s="130" t="s">
        <v>18</v>
      </c>
      <c r="C38" s="131"/>
      <c r="D38" s="131"/>
      <c r="E38" s="131"/>
      <c r="F38" s="131"/>
      <c r="G38" s="131"/>
      <c r="H38" s="131"/>
      <c r="I38" s="131"/>
      <c r="J38" s="131"/>
      <c r="K38" s="131"/>
      <c r="L38" s="131" t="s">
        <v>45</v>
      </c>
      <c r="M38" s="131"/>
      <c r="N38" s="131"/>
      <c r="O38" s="131"/>
      <c r="P38" s="131"/>
      <c r="Q38" s="131"/>
      <c r="R38" s="131"/>
      <c r="S38" s="131"/>
      <c r="T38" s="131"/>
      <c r="U38" s="132"/>
      <c r="V38" s="142"/>
      <c r="W38" s="143"/>
      <c r="X38" s="143"/>
      <c r="Y38" s="143"/>
      <c r="Z38" s="143"/>
      <c r="AA38" s="143"/>
      <c r="AB38" s="143"/>
      <c r="AC38" s="143"/>
      <c r="AD38" s="143"/>
      <c r="AE38" s="144"/>
      <c r="AF38" s="3"/>
      <c r="AG38" s="3"/>
      <c r="AH38" s="4"/>
    </row>
    <row r="39" spans="1:34" ht="15" customHeight="1">
      <c r="A39" s="2"/>
      <c r="B39" s="145" t="s">
        <v>46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 t="s">
        <v>47</v>
      </c>
      <c r="M39" s="146"/>
      <c r="N39" s="146"/>
      <c r="O39" s="146"/>
      <c r="P39" s="146"/>
      <c r="Q39" s="146"/>
      <c r="R39" s="146"/>
      <c r="S39" s="146"/>
      <c r="T39" s="146"/>
      <c r="U39" s="147"/>
      <c r="V39" s="145" t="s">
        <v>31</v>
      </c>
      <c r="W39" s="146"/>
      <c r="X39" s="146"/>
      <c r="Y39" s="146"/>
      <c r="Z39" s="146"/>
      <c r="AA39" s="146"/>
      <c r="AB39" s="146"/>
      <c r="AC39" s="146"/>
      <c r="AD39" s="146"/>
      <c r="AE39" s="147"/>
      <c r="AF39" s="3"/>
      <c r="AG39" s="3"/>
      <c r="AH39" s="4"/>
    </row>
    <row r="40" spans="1:34" ht="21" customHeight="1">
      <c r="A40" s="2"/>
      <c r="B40" s="110">
        <v>225.9</v>
      </c>
      <c r="C40" s="111"/>
      <c r="D40" s="111"/>
      <c r="E40" s="111"/>
      <c r="F40" s="111"/>
      <c r="G40" s="111"/>
      <c r="H40" s="111"/>
      <c r="I40" s="111"/>
      <c r="J40" s="111"/>
      <c r="K40" s="111"/>
      <c r="L40" s="273">
        <v>227.1</v>
      </c>
      <c r="M40" s="273"/>
      <c r="N40" s="273"/>
      <c r="O40" s="273"/>
      <c r="P40" s="273"/>
      <c r="Q40" s="273"/>
      <c r="R40" s="273"/>
      <c r="S40" s="273"/>
      <c r="T40" s="273"/>
      <c r="U40" s="274"/>
      <c r="V40" s="192">
        <f>100*(L40-B40)/Z5</f>
        <v>0.23999999999999772</v>
      </c>
      <c r="W40" s="193"/>
      <c r="X40" s="193"/>
      <c r="Y40" s="193"/>
      <c r="Z40" s="193"/>
      <c r="AA40" s="193"/>
      <c r="AB40" s="193"/>
      <c r="AC40" s="194"/>
      <c r="AD40" s="195" t="s">
        <v>32</v>
      </c>
      <c r="AE40" s="196"/>
      <c r="AF40" s="3"/>
      <c r="AG40" s="3"/>
      <c r="AH40" s="4"/>
    </row>
    <row r="41" spans="1:34" ht="21" customHeight="1">
      <c r="A41" s="2"/>
      <c r="B41" s="136" t="s">
        <v>36</v>
      </c>
      <c r="C41" s="137"/>
      <c r="D41" s="137"/>
      <c r="E41" s="137"/>
      <c r="F41" s="103"/>
      <c r="G41" s="8"/>
      <c r="H41" s="137" t="s">
        <v>37</v>
      </c>
      <c r="I41" s="137"/>
      <c r="J41" s="137"/>
      <c r="K41" s="137"/>
      <c r="L41" s="137" t="s">
        <v>38</v>
      </c>
      <c r="M41" s="137"/>
      <c r="N41" s="137"/>
      <c r="O41" s="137"/>
      <c r="P41" s="9"/>
      <c r="Q41" s="118" t="s">
        <v>39</v>
      </c>
      <c r="R41" s="119"/>
      <c r="S41" s="119"/>
      <c r="T41" s="119"/>
      <c r="U41" s="120"/>
      <c r="V41" s="136" t="s">
        <v>48</v>
      </c>
      <c r="W41" s="137"/>
      <c r="X41" s="137"/>
      <c r="Y41" s="137"/>
      <c r="Z41" s="137"/>
      <c r="AA41" s="137"/>
      <c r="AB41" s="137"/>
      <c r="AC41" s="137"/>
      <c r="AD41" s="137"/>
      <c r="AE41" s="103"/>
      <c r="AF41" s="3"/>
      <c r="AG41" s="3"/>
      <c r="AH41" s="4"/>
    </row>
    <row r="42" spans="1:34">
      <c r="A42" s="2"/>
      <c r="B42" s="150" t="s">
        <v>41</v>
      </c>
      <c r="C42" s="150"/>
      <c r="D42" s="150"/>
      <c r="E42" s="150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4"/>
    </row>
    <row r="43" spans="1:34" ht="15.75" thickBot="1">
      <c r="A43" s="2"/>
      <c r="B43" s="150"/>
      <c r="C43" s="150"/>
      <c r="D43" s="150"/>
      <c r="E43" s="150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4"/>
    </row>
    <row r="44" spans="1:34" ht="10.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151" t="s">
        <v>49</v>
      </c>
      <c r="Z44" s="152"/>
      <c r="AA44" s="152"/>
      <c r="AB44" s="152"/>
      <c r="AC44" s="153"/>
      <c r="AD44" s="157" t="s">
        <v>50</v>
      </c>
      <c r="AE44" s="157"/>
      <c r="AF44" s="157"/>
      <c r="AG44" s="157"/>
      <c r="AH44" s="158"/>
    </row>
    <row r="45" spans="1:34" ht="15.75" thickBot="1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154"/>
      <c r="Z45" s="155"/>
      <c r="AA45" s="155"/>
      <c r="AB45" s="155"/>
      <c r="AC45" s="156"/>
      <c r="AD45" s="159"/>
      <c r="AE45" s="159"/>
      <c r="AF45" s="159"/>
      <c r="AG45" s="159"/>
      <c r="AH45" s="160"/>
    </row>
    <row r="46" spans="1:34" ht="15" customHeight="1">
      <c r="A46" s="2"/>
      <c r="B46" s="161" t="s">
        <v>51</v>
      </c>
      <c r="C46" s="162"/>
      <c r="D46" s="162"/>
      <c r="E46" s="162"/>
      <c r="F46" s="162"/>
      <c r="G46" s="163"/>
      <c r="H46" s="170" t="s">
        <v>37</v>
      </c>
      <c r="I46" s="171"/>
      <c r="J46" s="171"/>
      <c r="K46" s="171"/>
      <c r="L46" s="171"/>
      <c r="M46" s="172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176"/>
      <c r="Z46" s="177"/>
      <c r="AA46" s="177"/>
      <c r="AB46" s="177"/>
      <c r="AC46" s="178"/>
      <c r="AD46" s="183"/>
      <c r="AE46" s="184"/>
      <c r="AF46" s="184"/>
      <c r="AG46" s="184"/>
      <c r="AH46" s="185"/>
    </row>
    <row r="47" spans="1:34" ht="15" customHeight="1">
      <c r="A47" s="2"/>
      <c r="B47" s="164"/>
      <c r="C47" s="165"/>
      <c r="D47" s="165"/>
      <c r="E47" s="165"/>
      <c r="F47" s="165"/>
      <c r="G47" s="166"/>
      <c r="H47" s="173"/>
      <c r="I47" s="174"/>
      <c r="J47" s="174"/>
      <c r="K47" s="174"/>
      <c r="L47" s="174"/>
      <c r="M47" s="175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179"/>
      <c r="Z47" s="177"/>
      <c r="AA47" s="177"/>
      <c r="AB47" s="177"/>
      <c r="AC47" s="178"/>
      <c r="AD47" s="184"/>
      <c r="AE47" s="184"/>
      <c r="AF47" s="184"/>
      <c r="AG47" s="184"/>
      <c r="AH47" s="185"/>
    </row>
    <row r="48" spans="1:34" ht="15" customHeight="1">
      <c r="A48" s="2"/>
      <c r="B48" s="164"/>
      <c r="C48" s="165"/>
      <c r="D48" s="165"/>
      <c r="E48" s="165"/>
      <c r="F48" s="165"/>
      <c r="G48" s="166"/>
      <c r="H48" s="173" t="s">
        <v>38</v>
      </c>
      <c r="I48" s="174"/>
      <c r="J48" s="174"/>
      <c r="K48" s="174"/>
      <c r="L48" s="174"/>
      <c r="M48" s="175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179"/>
      <c r="Z48" s="177"/>
      <c r="AA48" s="177"/>
      <c r="AB48" s="177"/>
      <c r="AC48" s="178"/>
      <c r="AD48" s="184"/>
      <c r="AE48" s="184"/>
      <c r="AF48" s="184"/>
      <c r="AG48" s="184"/>
      <c r="AH48" s="185"/>
    </row>
    <row r="49" spans="1:34" ht="15" customHeight="1" thickBot="1">
      <c r="A49" s="2"/>
      <c r="B49" s="167"/>
      <c r="C49" s="168"/>
      <c r="D49" s="168"/>
      <c r="E49" s="168"/>
      <c r="F49" s="168"/>
      <c r="G49" s="169"/>
      <c r="H49" s="188"/>
      <c r="I49" s="189"/>
      <c r="J49" s="189"/>
      <c r="K49" s="189"/>
      <c r="L49" s="189"/>
      <c r="M49" s="190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179"/>
      <c r="Z49" s="177"/>
      <c r="AA49" s="177"/>
      <c r="AB49" s="177"/>
      <c r="AC49" s="178"/>
      <c r="AD49" s="184"/>
      <c r="AE49" s="184"/>
      <c r="AF49" s="184"/>
      <c r="AG49" s="184"/>
      <c r="AH49" s="185"/>
    </row>
    <row r="50" spans="1:34" ht="10.5" customHeight="1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180"/>
      <c r="Z50" s="181"/>
      <c r="AA50" s="181"/>
      <c r="AB50" s="181"/>
      <c r="AC50" s="182"/>
      <c r="AD50" s="186"/>
      <c r="AE50" s="186"/>
      <c r="AF50" s="186"/>
      <c r="AG50" s="186"/>
      <c r="AH50" s="187"/>
    </row>
    <row r="51" spans="1:34" s="13" customFormat="1" ht="22.5" customHeight="1" thickBot="1">
      <c r="A51" s="199" t="s">
        <v>76</v>
      </c>
      <c r="B51" s="200"/>
      <c r="C51" s="200"/>
      <c r="D51" s="200"/>
      <c r="E51" s="200" t="s">
        <v>52</v>
      </c>
      <c r="F51" s="200"/>
      <c r="G51" s="200"/>
      <c r="H51" s="200"/>
      <c r="I51" s="201"/>
      <c r="J51" s="202" t="s">
        <v>77</v>
      </c>
      <c r="K51" s="200"/>
      <c r="L51" s="200"/>
      <c r="M51" s="200"/>
      <c r="N51" s="200" t="s">
        <v>78</v>
      </c>
      <c r="O51" s="200"/>
      <c r="P51" s="200"/>
      <c r="Q51" s="201"/>
      <c r="R51" s="203"/>
      <c r="S51" s="204"/>
      <c r="T51" s="204"/>
      <c r="U51" s="204"/>
      <c r="V51" s="204"/>
      <c r="W51" s="204"/>
      <c r="X51" s="205"/>
      <c r="Y51" s="202" t="s">
        <v>79</v>
      </c>
      <c r="Z51" s="200"/>
      <c r="AA51" s="200"/>
      <c r="AB51" s="200"/>
      <c r="AC51" s="200"/>
      <c r="AD51" s="197">
        <v>41883</v>
      </c>
      <c r="AE51" s="197"/>
      <c r="AF51" s="197"/>
      <c r="AG51" s="197"/>
      <c r="AH51" s="198"/>
    </row>
    <row r="53" spans="1:34" ht="15.75" thickBot="1"/>
    <row r="54" spans="1:34" ht="27" customHeight="1">
      <c r="A54" s="45" t="s">
        <v>53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7"/>
      <c r="AD54" s="48" t="s">
        <v>54</v>
      </c>
      <c r="AE54" s="49"/>
      <c r="AF54" s="49"/>
      <c r="AG54" s="50" t="s">
        <v>2</v>
      </c>
      <c r="AH54" s="51"/>
    </row>
    <row r="55" spans="1:34" ht="19.5" customHeight="1">
      <c r="A55" s="52" t="s">
        <v>3</v>
      </c>
      <c r="B55" s="53"/>
      <c r="C55" s="53"/>
      <c r="D55" s="53"/>
      <c r="E55" s="53"/>
      <c r="F55" s="53"/>
      <c r="G55" s="54" t="s">
        <v>85</v>
      </c>
      <c r="H55" s="55"/>
      <c r="I55" s="55"/>
      <c r="J55" s="55"/>
      <c r="K55" s="55"/>
      <c r="L55" s="55"/>
      <c r="M55" s="55"/>
      <c r="N55" s="55"/>
      <c r="O55" s="55"/>
      <c r="P55" s="55"/>
      <c r="Q55" s="56"/>
      <c r="R55" s="28" t="s">
        <v>4</v>
      </c>
      <c r="S55" s="29"/>
      <c r="T55" s="29"/>
      <c r="U55" s="29"/>
      <c r="V55" s="29"/>
      <c r="W55" s="30"/>
      <c r="X55" s="31">
        <f>X2</f>
        <v>42886</v>
      </c>
      <c r="Y55" s="32"/>
      <c r="Z55" s="32"/>
      <c r="AA55" s="32"/>
      <c r="AB55" s="32"/>
      <c r="AC55" s="32"/>
      <c r="AD55" s="32"/>
      <c r="AE55" s="32"/>
      <c r="AF55" s="32"/>
      <c r="AG55" s="32"/>
      <c r="AH55" s="33"/>
    </row>
    <row r="56" spans="1:34" ht="19.5" customHeight="1">
      <c r="A56" s="34" t="s">
        <v>55</v>
      </c>
      <c r="B56" s="35"/>
      <c r="C56" s="35"/>
      <c r="D56" s="35"/>
      <c r="E56" s="35"/>
      <c r="F56" s="35"/>
      <c r="G56" s="25" t="s">
        <v>83</v>
      </c>
      <c r="H56" s="26"/>
      <c r="I56" s="26"/>
      <c r="J56" s="26"/>
      <c r="K56" s="26"/>
      <c r="L56" s="26"/>
      <c r="M56" s="26"/>
      <c r="N56" s="26"/>
      <c r="O56" s="26"/>
      <c r="P56" s="26"/>
      <c r="Q56" s="27"/>
      <c r="R56" s="28" t="s">
        <v>6</v>
      </c>
      <c r="S56" s="29"/>
      <c r="T56" s="29"/>
      <c r="U56" s="29"/>
      <c r="V56" s="29"/>
      <c r="W56" s="30"/>
      <c r="X56" s="31">
        <f>X3</f>
        <v>43251</v>
      </c>
      <c r="Y56" s="32"/>
      <c r="Z56" s="32"/>
      <c r="AA56" s="32"/>
      <c r="AB56" s="32"/>
      <c r="AC56" s="32"/>
      <c r="AD56" s="32"/>
      <c r="AE56" s="32"/>
      <c r="AF56" s="32"/>
      <c r="AG56" s="32"/>
      <c r="AH56" s="33"/>
    </row>
    <row r="57" spans="1:34" ht="19.5" customHeight="1">
      <c r="A57" s="34" t="s">
        <v>7</v>
      </c>
      <c r="B57" s="35"/>
      <c r="C57" s="35"/>
      <c r="D57" s="35"/>
      <c r="E57" s="35"/>
      <c r="F57" s="35"/>
      <c r="G57" s="36" t="s">
        <v>84</v>
      </c>
      <c r="H57" s="37"/>
      <c r="I57" s="37"/>
      <c r="J57" s="37"/>
      <c r="K57" s="37"/>
      <c r="L57" s="37"/>
      <c r="M57" s="37"/>
      <c r="N57" s="37"/>
      <c r="O57" s="37"/>
      <c r="P57" s="37"/>
      <c r="Q57" s="38"/>
      <c r="R57" s="39" t="s">
        <v>8</v>
      </c>
      <c r="S57" s="40"/>
      <c r="T57" s="40"/>
      <c r="U57" s="40"/>
      <c r="V57" s="40"/>
      <c r="W57" s="41"/>
      <c r="X57" s="42" t="s">
        <v>9</v>
      </c>
      <c r="Y57" s="43"/>
      <c r="Z57" s="43"/>
      <c r="AA57" s="43"/>
      <c r="AB57" s="43"/>
      <c r="AC57" s="43"/>
      <c r="AD57" s="43"/>
      <c r="AE57" s="43"/>
      <c r="AF57" s="43"/>
      <c r="AG57" s="43"/>
      <c r="AH57" s="44"/>
    </row>
    <row r="58" spans="1:34" ht="19.5" customHeight="1">
      <c r="A58" s="65" t="s">
        <v>10</v>
      </c>
      <c r="B58" s="66"/>
      <c r="C58" s="66"/>
      <c r="D58" s="66"/>
      <c r="E58" s="66"/>
      <c r="F58" s="67"/>
      <c r="G58" s="68" t="s">
        <v>120</v>
      </c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9" t="s">
        <v>11</v>
      </c>
      <c r="S58" s="69"/>
      <c r="T58" s="69"/>
      <c r="U58" s="69"/>
      <c r="V58" s="69"/>
      <c r="W58" s="69"/>
      <c r="X58" s="70" t="s">
        <v>12</v>
      </c>
      <c r="Y58" s="71"/>
      <c r="Z58" s="72">
        <f>Z5</f>
        <v>500</v>
      </c>
      <c r="AA58" s="73"/>
      <c r="AB58" s="73"/>
      <c r="AC58" s="73"/>
      <c r="AD58" s="74" t="s">
        <v>56</v>
      </c>
      <c r="AE58" s="74"/>
      <c r="AF58" s="74"/>
      <c r="AG58" s="74"/>
      <c r="AH58" s="75"/>
    </row>
    <row r="59" spans="1:34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4"/>
    </row>
    <row r="60" spans="1:34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4"/>
    </row>
    <row r="61" spans="1:34">
      <c r="A61" s="2"/>
      <c r="B61" s="7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4"/>
    </row>
    <row r="62" spans="1:34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4"/>
    </row>
    <row r="63" spans="1:34" ht="15" customHeight="1">
      <c r="A63" s="2"/>
      <c r="B63" s="213"/>
      <c r="C63" s="214"/>
      <c r="D63" s="214"/>
      <c r="E63" s="215"/>
      <c r="F63" s="138" t="s">
        <v>58</v>
      </c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3"/>
      <c r="T63" s="138" t="s">
        <v>20</v>
      </c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3"/>
      <c r="AH63" s="4"/>
    </row>
    <row r="64" spans="1:34" ht="39.75" customHeight="1">
      <c r="A64" s="2"/>
      <c r="B64" s="216"/>
      <c r="C64" s="217"/>
      <c r="D64" s="217"/>
      <c r="E64" s="218"/>
      <c r="F64" s="130" t="s">
        <v>45</v>
      </c>
      <c r="G64" s="131"/>
      <c r="H64" s="131"/>
      <c r="I64" s="131"/>
      <c r="J64" s="131"/>
      <c r="K64" s="219" t="s">
        <v>59</v>
      </c>
      <c r="L64" s="220"/>
      <c r="M64" s="220"/>
      <c r="N64" s="220"/>
      <c r="O64" s="221" t="s">
        <v>60</v>
      </c>
      <c r="P64" s="131"/>
      <c r="Q64" s="131"/>
      <c r="R64" s="131"/>
      <c r="S64" s="132"/>
      <c r="T64" s="130" t="s">
        <v>45</v>
      </c>
      <c r="U64" s="131"/>
      <c r="V64" s="131"/>
      <c r="W64" s="131"/>
      <c r="X64" s="131"/>
      <c r="Y64" s="219" t="s">
        <v>59</v>
      </c>
      <c r="Z64" s="220"/>
      <c r="AA64" s="220"/>
      <c r="AB64" s="220"/>
      <c r="AC64" s="221" t="s">
        <v>60</v>
      </c>
      <c r="AD64" s="131"/>
      <c r="AE64" s="131"/>
      <c r="AF64" s="131"/>
      <c r="AG64" s="132"/>
      <c r="AH64" s="4"/>
    </row>
    <row r="65" spans="1:34" ht="15" customHeight="1">
      <c r="A65" s="2"/>
      <c r="B65" s="216"/>
      <c r="C65" s="217"/>
      <c r="D65" s="217"/>
      <c r="E65" s="218"/>
      <c r="F65" s="130" t="s">
        <v>61</v>
      </c>
      <c r="G65" s="131"/>
      <c r="H65" s="131"/>
      <c r="I65" s="131"/>
      <c r="J65" s="131"/>
      <c r="K65" s="131" t="s">
        <v>62</v>
      </c>
      <c r="L65" s="131"/>
      <c r="M65" s="131"/>
      <c r="N65" s="131"/>
      <c r="O65" s="131" t="s">
        <v>63</v>
      </c>
      <c r="P65" s="131"/>
      <c r="Q65" s="131"/>
      <c r="R65" s="131"/>
      <c r="S65" s="132"/>
      <c r="T65" s="130" t="s">
        <v>64</v>
      </c>
      <c r="U65" s="131"/>
      <c r="V65" s="131"/>
      <c r="W65" s="131"/>
      <c r="X65" s="131"/>
      <c r="Y65" s="131" t="s">
        <v>65</v>
      </c>
      <c r="Z65" s="131"/>
      <c r="AA65" s="131"/>
      <c r="AB65" s="131"/>
      <c r="AC65" s="131" t="s">
        <v>66</v>
      </c>
      <c r="AD65" s="131"/>
      <c r="AE65" s="131"/>
      <c r="AF65" s="131"/>
      <c r="AG65" s="132"/>
      <c r="AH65" s="4"/>
    </row>
    <row r="66" spans="1:34" ht="15" customHeight="1">
      <c r="A66" s="2"/>
      <c r="B66" s="206"/>
      <c r="C66" s="207"/>
      <c r="D66" s="208" t="s">
        <v>67</v>
      </c>
      <c r="E66" s="209"/>
      <c r="F66" s="210"/>
      <c r="G66" s="211"/>
      <c r="H66" s="211"/>
      <c r="I66" s="211"/>
      <c r="J66" s="211"/>
      <c r="K66" s="211"/>
      <c r="L66" s="211"/>
      <c r="M66" s="211"/>
      <c r="N66" s="211"/>
      <c r="O66" s="211" t="s">
        <v>32</v>
      </c>
      <c r="P66" s="211"/>
      <c r="Q66" s="211"/>
      <c r="R66" s="211"/>
      <c r="S66" s="212"/>
      <c r="T66" s="210"/>
      <c r="U66" s="211"/>
      <c r="V66" s="211"/>
      <c r="W66" s="211"/>
      <c r="X66" s="211"/>
      <c r="Y66" s="211"/>
      <c r="Z66" s="211"/>
      <c r="AA66" s="211"/>
      <c r="AB66" s="211"/>
      <c r="AC66" s="211" t="s">
        <v>32</v>
      </c>
      <c r="AD66" s="211"/>
      <c r="AE66" s="211"/>
      <c r="AF66" s="211"/>
      <c r="AG66" s="212"/>
      <c r="AH66" s="4"/>
    </row>
    <row r="67" spans="1:34" ht="21" customHeight="1">
      <c r="A67" s="2"/>
      <c r="B67" s="124" t="s">
        <v>68</v>
      </c>
      <c r="C67" s="125"/>
      <c r="D67" s="125"/>
      <c r="E67" s="126"/>
      <c r="F67" s="275">
        <v>0.3</v>
      </c>
      <c r="G67" s="276"/>
      <c r="H67" s="276"/>
      <c r="I67" s="276"/>
      <c r="J67" s="277"/>
      <c r="K67" s="316">
        <f>F67-$F$70</f>
        <v>-0.13</v>
      </c>
      <c r="L67" s="316"/>
      <c r="M67" s="316"/>
      <c r="N67" s="317"/>
      <c r="O67" s="225">
        <f>K67/$Z$58*100</f>
        <v>-2.6000000000000002E-2</v>
      </c>
      <c r="P67" s="225"/>
      <c r="Q67" s="225"/>
      <c r="R67" s="225"/>
      <c r="S67" s="227"/>
      <c r="T67" s="278">
        <v>442.2</v>
      </c>
      <c r="U67" s="279"/>
      <c r="V67" s="279"/>
      <c r="W67" s="279"/>
      <c r="X67" s="280"/>
      <c r="Y67" s="279">
        <f>T67-$T$70</f>
        <v>-0.69999999999998863</v>
      </c>
      <c r="Z67" s="279"/>
      <c r="AA67" s="279"/>
      <c r="AB67" s="279"/>
      <c r="AC67" s="231">
        <f>Y67/$Z$58*100</f>
        <v>-0.13999999999999771</v>
      </c>
      <c r="AD67" s="231"/>
      <c r="AE67" s="231"/>
      <c r="AF67" s="231"/>
      <c r="AG67" s="232"/>
      <c r="AH67" s="4"/>
    </row>
    <row r="68" spans="1:34" ht="21" customHeight="1">
      <c r="A68" s="2"/>
      <c r="B68" s="124" t="s">
        <v>69</v>
      </c>
      <c r="C68" s="125"/>
      <c r="D68" s="125"/>
      <c r="E68" s="126"/>
      <c r="F68" s="284">
        <v>0.5</v>
      </c>
      <c r="G68" s="285"/>
      <c r="H68" s="285"/>
      <c r="I68" s="285"/>
      <c r="J68" s="286"/>
      <c r="K68" s="288">
        <f>F68-$F$70</f>
        <v>7.0000000000000007E-2</v>
      </c>
      <c r="L68" s="288"/>
      <c r="M68" s="288"/>
      <c r="N68" s="288"/>
      <c r="O68" s="231">
        <f>K68/$Z$58*100</f>
        <v>1.4000000000000002E-2</v>
      </c>
      <c r="P68" s="231"/>
      <c r="Q68" s="231"/>
      <c r="R68" s="231"/>
      <c r="S68" s="232"/>
      <c r="T68" s="287">
        <v>443.5</v>
      </c>
      <c r="U68" s="288"/>
      <c r="V68" s="288"/>
      <c r="W68" s="288"/>
      <c r="X68" s="289"/>
      <c r="Y68" s="288">
        <f>T68-$T$70</f>
        <v>0.60000000000002274</v>
      </c>
      <c r="Z68" s="288"/>
      <c r="AA68" s="288"/>
      <c r="AB68" s="288"/>
      <c r="AC68" s="231">
        <f>Y68/$Z$58*100</f>
        <v>0.12000000000000455</v>
      </c>
      <c r="AD68" s="231"/>
      <c r="AE68" s="231"/>
      <c r="AF68" s="231"/>
      <c r="AG68" s="232"/>
      <c r="AH68" s="4"/>
    </row>
    <row r="69" spans="1:34" ht="21" customHeight="1">
      <c r="A69" s="2"/>
      <c r="B69" s="124" t="s">
        <v>70</v>
      </c>
      <c r="C69" s="125"/>
      <c r="D69" s="125"/>
      <c r="E69" s="126"/>
      <c r="F69" s="281">
        <v>0.5</v>
      </c>
      <c r="G69" s="282"/>
      <c r="H69" s="282"/>
      <c r="I69" s="282"/>
      <c r="J69" s="283"/>
      <c r="K69" s="318">
        <f>F69-$F$70</f>
        <v>7.0000000000000007E-2</v>
      </c>
      <c r="L69" s="318"/>
      <c r="M69" s="318"/>
      <c r="N69" s="319"/>
      <c r="O69" s="238">
        <f>K69/$Z$58*100</f>
        <v>1.4000000000000002E-2</v>
      </c>
      <c r="P69" s="238"/>
      <c r="Q69" s="238"/>
      <c r="R69" s="238"/>
      <c r="S69" s="239"/>
      <c r="T69" s="281">
        <v>443</v>
      </c>
      <c r="U69" s="282"/>
      <c r="V69" s="282"/>
      <c r="W69" s="282"/>
      <c r="X69" s="282"/>
      <c r="Y69" s="320">
        <f>T69-$T$70</f>
        <v>0.10000000000002274</v>
      </c>
      <c r="Z69" s="320"/>
      <c r="AA69" s="320"/>
      <c r="AB69" s="320"/>
      <c r="AC69" s="231">
        <f>Y69/$Z$58*100</f>
        <v>2.0000000000004545E-2</v>
      </c>
      <c r="AD69" s="231"/>
      <c r="AE69" s="231"/>
      <c r="AF69" s="231"/>
      <c r="AG69" s="232"/>
      <c r="AH69" s="4"/>
    </row>
    <row r="70" spans="1:34" ht="21" customHeight="1">
      <c r="A70" s="2"/>
      <c r="B70" s="249" t="s">
        <v>71</v>
      </c>
      <c r="C70" s="137"/>
      <c r="D70" s="137"/>
      <c r="E70" s="103"/>
      <c r="F70" s="275">
        <f>ROUND(AVERAGE(F67:J69),2)</f>
        <v>0.43</v>
      </c>
      <c r="G70" s="276"/>
      <c r="H70" s="276"/>
      <c r="I70" s="276"/>
      <c r="J70" s="277"/>
      <c r="K70" s="327" t="s">
        <v>72</v>
      </c>
      <c r="L70" s="328"/>
      <c r="M70" s="328"/>
      <c r="N70" s="329"/>
      <c r="O70" s="253">
        <f>ROUND(AVERAGE(O67:S69),2)</f>
        <v>0</v>
      </c>
      <c r="P70" s="254"/>
      <c r="Q70" s="254"/>
      <c r="R70" s="254"/>
      <c r="S70" s="255"/>
      <c r="T70" s="270">
        <f>ROUND(AVERAGE(T67:X69),2)</f>
        <v>442.9</v>
      </c>
      <c r="U70" s="271"/>
      <c r="V70" s="271"/>
      <c r="W70" s="271"/>
      <c r="X70" s="271"/>
      <c r="Y70" s="327" t="s">
        <v>72</v>
      </c>
      <c r="Z70" s="328"/>
      <c r="AA70" s="328"/>
      <c r="AB70" s="329"/>
      <c r="AC70" s="112">
        <f>ROUND(AVERAGE(AC67:AG69),2)</f>
        <v>0</v>
      </c>
      <c r="AD70" s="112"/>
      <c r="AE70" s="112"/>
      <c r="AF70" s="112"/>
      <c r="AG70" s="113"/>
      <c r="AH70" s="4"/>
    </row>
    <row r="71" spans="1:34" ht="27" customHeight="1">
      <c r="A71" s="2"/>
      <c r="B71" s="136" t="s">
        <v>36</v>
      </c>
      <c r="C71" s="137"/>
      <c r="D71" s="137"/>
      <c r="E71" s="103"/>
      <c r="F71" s="12"/>
      <c r="G71" s="137" t="s">
        <v>37</v>
      </c>
      <c r="H71" s="137"/>
      <c r="I71" s="137"/>
      <c r="J71" s="137"/>
      <c r="K71" s="137" t="s">
        <v>38</v>
      </c>
      <c r="L71" s="137"/>
      <c r="M71" s="137"/>
      <c r="N71" s="137"/>
      <c r="O71" s="246" t="s">
        <v>39</v>
      </c>
      <c r="P71" s="247"/>
      <c r="Q71" s="247"/>
      <c r="R71" s="247"/>
      <c r="S71" s="248"/>
      <c r="T71" s="89" t="s">
        <v>73</v>
      </c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4"/>
    </row>
    <row r="72" spans="1:34">
      <c r="A72" s="2"/>
      <c r="B72" s="150" t="s">
        <v>41</v>
      </c>
      <c r="C72" s="150"/>
      <c r="D72" s="150"/>
      <c r="E72" s="15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4"/>
    </row>
    <row r="73" spans="1:34">
      <c r="A73" s="2"/>
      <c r="B73" s="150"/>
      <c r="C73" s="150"/>
      <c r="D73" s="150"/>
      <c r="E73" s="15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4"/>
    </row>
    <row r="74" spans="1:34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4"/>
    </row>
    <row r="75" spans="1:34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4"/>
    </row>
    <row r="76" spans="1:34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4"/>
    </row>
    <row r="77" spans="1:34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4"/>
    </row>
    <row r="78" spans="1:34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4"/>
    </row>
    <row r="79" spans="1:34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4"/>
    </row>
    <row r="80" spans="1:34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4"/>
    </row>
    <row r="81" spans="1:34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4"/>
    </row>
    <row r="82" spans="1:34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4"/>
    </row>
    <row r="83" spans="1:34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4"/>
    </row>
    <row r="84" spans="1:34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4"/>
    </row>
    <row r="85" spans="1:34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4"/>
    </row>
    <row r="86" spans="1:34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4"/>
    </row>
    <row r="87" spans="1:34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4"/>
    </row>
    <row r="88" spans="1:34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4"/>
    </row>
    <row r="89" spans="1:34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4"/>
    </row>
    <row r="90" spans="1:34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4"/>
    </row>
    <row r="91" spans="1:34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4"/>
    </row>
    <row r="92" spans="1:34" ht="4.5" customHeight="1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4"/>
    </row>
    <row r="93" spans="1:34" ht="15.75" thickBot="1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4"/>
    </row>
    <row r="94" spans="1:34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151" t="s">
        <v>49</v>
      </c>
      <c r="Z94" s="152"/>
      <c r="AA94" s="152"/>
      <c r="AB94" s="152"/>
      <c r="AC94" s="153"/>
      <c r="AD94" s="157" t="s">
        <v>50</v>
      </c>
      <c r="AE94" s="157"/>
      <c r="AF94" s="157"/>
      <c r="AG94" s="157"/>
      <c r="AH94" s="158"/>
    </row>
    <row r="95" spans="1:34" ht="15.75" thickBot="1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154"/>
      <c r="Z95" s="155"/>
      <c r="AA95" s="155"/>
      <c r="AB95" s="155"/>
      <c r="AC95" s="156"/>
      <c r="AD95" s="159"/>
      <c r="AE95" s="159"/>
      <c r="AF95" s="159"/>
      <c r="AG95" s="159"/>
      <c r="AH95" s="160"/>
    </row>
    <row r="96" spans="1:34" ht="15" customHeight="1">
      <c r="A96" s="2"/>
      <c r="B96" s="161" t="s">
        <v>51</v>
      </c>
      <c r="C96" s="171"/>
      <c r="D96" s="171"/>
      <c r="E96" s="171"/>
      <c r="F96" s="171"/>
      <c r="G96" s="171"/>
      <c r="H96" s="170" t="s">
        <v>37</v>
      </c>
      <c r="I96" s="171"/>
      <c r="J96" s="171"/>
      <c r="K96" s="171"/>
      <c r="L96" s="171"/>
      <c r="M96" s="172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176"/>
      <c r="Z96" s="177"/>
      <c r="AA96" s="177"/>
      <c r="AB96" s="177"/>
      <c r="AC96" s="178"/>
      <c r="AD96" s="183"/>
      <c r="AE96" s="184"/>
      <c r="AF96" s="184"/>
      <c r="AG96" s="184"/>
      <c r="AH96" s="185"/>
    </row>
    <row r="97" spans="1:34" ht="15" customHeight="1">
      <c r="A97" s="2"/>
      <c r="B97" s="173"/>
      <c r="C97" s="174"/>
      <c r="D97" s="174"/>
      <c r="E97" s="174"/>
      <c r="F97" s="174"/>
      <c r="G97" s="174"/>
      <c r="H97" s="173"/>
      <c r="I97" s="174"/>
      <c r="J97" s="174"/>
      <c r="K97" s="174"/>
      <c r="L97" s="174"/>
      <c r="M97" s="175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179"/>
      <c r="Z97" s="177"/>
      <c r="AA97" s="177"/>
      <c r="AB97" s="177"/>
      <c r="AC97" s="178"/>
      <c r="AD97" s="184"/>
      <c r="AE97" s="184"/>
      <c r="AF97" s="184"/>
      <c r="AG97" s="184"/>
      <c r="AH97" s="185"/>
    </row>
    <row r="98" spans="1:34" ht="15" customHeight="1">
      <c r="A98" s="2"/>
      <c r="B98" s="173"/>
      <c r="C98" s="174"/>
      <c r="D98" s="174"/>
      <c r="E98" s="174"/>
      <c r="F98" s="174"/>
      <c r="G98" s="174"/>
      <c r="H98" s="173" t="s">
        <v>38</v>
      </c>
      <c r="I98" s="174"/>
      <c r="J98" s="174"/>
      <c r="K98" s="174"/>
      <c r="L98" s="174"/>
      <c r="M98" s="175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179"/>
      <c r="Z98" s="177"/>
      <c r="AA98" s="177"/>
      <c r="AB98" s="177"/>
      <c r="AC98" s="178"/>
      <c r="AD98" s="184"/>
      <c r="AE98" s="184"/>
      <c r="AF98" s="184"/>
      <c r="AG98" s="184"/>
      <c r="AH98" s="185"/>
    </row>
    <row r="99" spans="1:34" ht="15.75" customHeight="1" thickBot="1">
      <c r="A99" s="2"/>
      <c r="B99" s="188"/>
      <c r="C99" s="189"/>
      <c r="D99" s="189"/>
      <c r="E99" s="189"/>
      <c r="F99" s="189"/>
      <c r="G99" s="189"/>
      <c r="H99" s="188"/>
      <c r="I99" s="189"/>
      <c r="J99" s="189"/>
      <c r="K99" s="189"/>
      <c r="L99" s="189"/>
      <c r="M99" s="190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179"/>
      <c r="Z99" s="177"/>
      <c r="AA99" s="177"/>
      <c r="AB99" s="177"/>
      <c r="AC99" s="178"/>
      <c r="AD99" s="184"/>
      <c r="AE99" s="184"/>
      <c r="AF99" s="184"/>
      <c r="AG99" s="184"/>
      <c r="AH99" s="185"/>
    </row>
    <row r="100" spans="1:34" ht="9" customHeight="1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180"/>
      <c r="Z100" s="181"/>
      <c r="AA100" s="181"/>
      <c r="AB100" s="181"/>
      <c r="AC100" s="182"/>
      <c r="AD100" s="186"/>
      <c r="AE100" s="186"/>
      <c r="AF100" s="186"/>
      <c r="AG100" s="186"/>
      <c r="AH100" s="187"/>
    </row>
    <row r="101" spans="1:34" s="13" customFormat="1" ht="22.5" customHeight="1" thickBot="1">
      <c r="A101" s="199" t="s">
        <v>76</v>
      </c>
      <c r="B101" s="200"/>
      <c r="C101" s="200"/>
      <c r="D101" s="200"/>
      <c r="E101" s="200" t="s">
        <v>52</v>
      </c>
      <c r="F101" s="200"/>
      <c r="G101" s="200"/>
      <c r="H101" s="200"/>
      <c r="I101" s="201"/>
      <c r="J101" s="202" t="s">
        <v>77</v>
      </c>
      <c r="K101" s="200"/>
      <c r="L101" s="200"/>
      <c r="M101" s="200"/>
      <c r="N101" s="200" t="s">
        <v>78</v>
      </c>
      <c r="O101" s="200"/>
      <c r="P101" s="200"/>
      <c r="Q101" s="201"/>
      <c r="R101" s="203"/>
      <c r="S101" s="204"/>
      <c r="T101" s="204"/>
      <c r="U101" s="204"/>
      <c r="V101" s="204"/>
      <c r="W101" s="204"/>
      <c r="X101" s="205"/>
      <c r="Y101" s="202" t="s">
        <v>79</v>
      </c>
      <c r="Z101" s="200"/>
      <c r="AA101" s="200"/>
      <c r="AB101" s="200"/>
      <c r="AC101" s="200"/>
      <c r="AD101" s="197">
        <v>41883</v>
      </c>
      <c r="AE101" s="197"/>
      <c r="AF101" s="197"/>
      <c r="AG101" s="197"/>
      <c r="AH101" s="198"/>
    </row>
  </sheetData>
  <mergeCells count="208">
    <mergeCell ref="AD101:AH101"/>
    <mergeCell ref="A101:D101"/>
    <mergeCell ref="E101:I101"/>
    <mergeCell ref="J101:M101"/>
    <mergeCell ref="N101:Q101"/>
    <mergeCell ref="R101:X101"/>
    <mergeCell ref="Y101:AC101"/>
    <mergeCell ref="B72:E73"/>
    <mergeCell ref="Y94:AC95"/>
    <mergeCell ref="AD94:AH95"/>
    <mergeCell ref="B96:G99"/>
    <mergeCell ref="H96:M97"/>
    <mergeCell ref="Y96:AC100"/>
    <mergeCell ref="AD96:AH100"/>
    <mergeCell ref="H98:M99"/>
    <mergeCell ref="AC70:AG70"/>
    <mergeCell ref="B71:E71"/>
    <mergeCell ref="G71:J71"/>
    <mergeCell ref="K71:N71"/>
    <mergeCell ref="O71:S71"/>
    <mergeCell ref="T71:AG71"/>
    <mergeCell ref="B70:E70"/>
    <mergeCell ref="F70:J70"/>
    <mergeCell ref="K70:N70"/>
    <mergeCell ref="O70:S70"/>
    <mergeCell ref="T70:X70"/>
    <mergeCell ref="Y70:AB70"/>
    <mergeCell ref="B67:E67"/>
    <mergeCell ref="F67:J67"/>
    <mergeCell ref="K67:N67"/>
    <mergeCell ref="O67:S67"/>
    <mergeCell ref="T67:X67"/>
    <mergeCell ref="Y67:AB67"/>
    <mergeCell ref="AC67:AG67"/>
    <mergeCell ref="AC68:AG68"/>
    <mergeCell ref="B69:E69"/>
    <mergeCell ref="F69:J69"/>
    <mergeCell ref="K69:N69"/>
    <mergeCell ref="O69:S69"/>
    <mergeCell ref="T69:X69"/>
    <mergeCell ref="Y69:AB69"/>
    <mergeCell ref="AC69:AG69"/>
    <mergeCell ref="B68:E68"/>
    <mergeCell ref="F68:J68"/>
    <mergeCell ref="K68:N68"/>
    <mergeCell ref="O68:S68"/>
    <mergeCell ref="T68:X68"/>
    <mergeCell ref="Y68:AB68"/>
    <mergeCell ref="K65:N65"/>
    <mergeCell ref="O65:S65"/>
    <mergeCell ref="T65:X65"/>
    <mergeCell ref="Y65:AB65"/>
    <mergeCell ref="AC65:AG65"/>
    <mergeCell ref="B66:C66"/>
    <mergeCell ref="D66:E66"/>
    <mergeCell ref="F66:J66"/>
    <mergeCell ref="K66:N66"/>
    <mergeCell ref="O66:S66"/>
    <mergeCell ref="B63:E65"/>
    <mergeCell ref="F63:S63"/>
    <mergeCell ref="T63:AG63"/>
    <mergeCell ref="F64:J64"/>
    <mergeCell ref="K64:N64"/>
    <mergeCell ref="O64:S64"/>
    <mergeCell ref="T64:X64"/>
    <mergeCell ref="Y64:AB64"/>
    <mergeCell ref="AC64:AG64"/>
    <mergeCell ref="F65:J65"/>
    <mergeCell ref="T66:X66"/>
    <mergeCell ref="Y66:AB66"/>
    <mergeCell ref="AC66:AG66"/>
    <mergeCell ref="A58:F58"/>
    <mergeCell ref="G58:Q58"/>
    <mergeCell ref="R58:W58"/>
    <mergeCell ref="X58:Y58"/>
    <mergeCell ref="Z58:AC58"/>
    <mergeCell ref="AD58:AH58"/>
    <mergeCell ref="A56:F56"/>
    <mergeCell ref="G56:Q56"/>
    <mergeCell ref="R56:W56"/>
    <mergeCell ref="X56:AH56"/>
    <mergeCell ref="A57:F57"/>
    <mergeCell ref="G57:Q57"/>
    <mergeCell ref="R57:W57"/>
    <mergeCell ref="X57:AH57"/>
    <mergeCell ref="AD51:AH51"/>
    <mergeCell ref="A54:AC54"/>
    <mergeCell ref="AD54:AF54"/>
    <mergeCell ref="AG54:AH54"/>
    <mergeCell ref="A55:F55"/>
    <mergeCell ref="G55:Q55"/>
    <mergeCell ref="R55:W55"/>
    <mergeCell ref="X55:AH55"/>
    <mergeCell ref="A51:D51"/>
    <mergeCell ref="E51:I51"/>
    <mergeCell ref="J51:M51"/>
    <mergeCell ref="N51:Q51"/>
    <mergeCell ref="R51:X51"/>
    <mergeCell ref="Y51:AC51"/>
    <mergeCell ref="B42:E43"/>
    <mergeCell ref="Y44:AC45"/>
    <mergeCell ref="AD44:AH45"/>
    <mergeCell ref="B46:G49"/>
    <mergeCell ref="H46:M47"/>
    <mergeCell ref="Y46:AC50"/>
    <mergeCell ref="AD46:AH50"/>
    <mergeCell ref="H48:M49"/>
    <mergeCell ref="B40:K40"/>
    <mergeCell ref="L40:U40"/>
    <mergeCell ref="V40:AC40"/>
    <mergeCell ref="AD40:AE40"/>
    <mergeCell ref="B41:F41"/>
    <mergeCell ref="H41:K41"/>
    <mergeCell ref="L41:O41"/>
    <mergeCell ref="Q41:U41"/>
    <mergeCell ref="V41:AE41"/>
    <mergeCell ref="B37:U37"/>
    <mergeCell ref="V37:AE38"/>
    <mergeCell ref="B38:K38"/>
    <mergeCell ref="L38:U38"/>
    <mergeCell ref="B39:K39"/>
    <mergeCell ref="L39:U39"/>
    <mergeCell ref="V39:AE39"/>
    <mergeCell ref="B31:F31"/>
    <mergeCell ref="H31:K31"/>
    <mergeCell ref="L31:O31"/>
    <mergeCell ref="Q31:U31"/>
    <mergeCell ref="V31:AE31"/>
    <mergeCell ref="C32:F33"/>
    <mergeCell ref="B28:K28"/>
    <mergeCell ref="L28:U28"/>
    <mergeCell ref="V28:AE28"/>
    <mergeCell ref="B29:K29"/>
    <mergeCell ref="L29:U29"/>
    <mergeCell ref="V29:AC29"/>
    <mergeCell ref="AD29:AE29"/>
    <mergeCell ref="B25:K25"/>
    <mergeCell ref="L25:U25"/>
    <mergeCell ref="B26:U26"/>
    <mergeCell ref="V26:AE27"/>
    <mergeCell ref="B27:K27"/>
    <mergeCell ref="L27:U27"/>
    <mergeCell ref="B22:K22"/>
    <mergeCell ref="L22:U22"/>
    <mergeCell ref="V22:AE22"/>
    <mergeCell ref="B23:K23"/>
    <mergeCell ref="L23:U23"/>
    <mergeCell ref="V23:AC23"/>
    <mergeCell ref="AD23:AE23"/>
    <mergeCell ref="B19:K19"/>
    <mergeCell ref="L19:U19"/>
    <mergeCell ref="B20:U20"/>
    <mergeCell ref="V20:AE21"/>
    <mergeCell ref="B21:K21"/>
    <mergeCell ref="L21:U21"/>
    <mergeCell ref="F14:K14"/>
    <mergeCell ref="L14:S14"/>
    <mergeCell ref="T14:Y14"/>
    <mergeCell ref="Z14:AG14"/>
    <mergeCell ref="B15:K15"/>
    <mergeCell ref="L15:S15"/>
    <mergeCell ref="B11:H11"/>
    <mergeCell ref="I11:N11"/>
    <mergeCell ref="O11:U11"/>
    <mergeCell ref="V11:AA11"/>
    <mergeCell ref="AB11:AG11"/>
    <mergeCell ref="B13:E14"/>
    <mergeCell ref="F13:K13"/>
    <mergeCell ref="L13:S13"/>
    <mergeCell ref="T13:Y13"/>
    <mergeCell ref="Z13:AG13"/>
    <mergeCell ref="B9:H9"/>
    <mergeCell ref="I9:N9"/>
    <mergeCell ref="O9:U9"/>
    <mergeCell ref="V9:AA9"/>
    <mergeCell ref="AB9:AG9"/>
    <mergeCell ref="B10:H10"/>
    <mergeCell ref="I10:N10"/>
    <mergeCell ref="O10:U10"/>
    <mergeCell ref="V10:AA10"/>
    <mergeCell ref="AB10:AG10"/>
    <mergeCell ref="B7:AG7"/>
    <mergeCell ref="B8:H8"/>
    <mergeCell ref="I8:N8"/>
    <mergeCell ref="O8:U8"/>
    <mergeCell ref="V8:AA8"/>
    <mergeCell ref="AB8:AG8"/>
    <mergeCell ref="A5:F5"/>
    <mergeCell ref="G5:Q5"/>
    <mergeCell ref="R5:W5"/>
    <mergeCell ref="X5:Y5"/>
    <mergeCell ref="Z5:AC5"/>
    <mergeCell ref="AD5:AH5"/>
    <mergeCell ref="A3:F3"/>
    <mergeCell ref="G3:Q3"/>
    <mergeCell ref="R3:W3"/>
    <mergeCell ref="X3:AH3"/>
    <mergeCell ref="A4:F4"/>
    <mergeCell ref="G4:Q4"/>
    <mergeCell ref="R4:W4"/>
    <mergeCell ref="X4:AH4"/>
    <mergeCell ref="A1:AC1"/>
    <mergeCell ref="AD1:AF1"/>
    <mergeCell ref="AG1:AH1"/>
    <mergeCell ref="A2:F2"/>
    <mergeCell ref="G2:Q2"/>
    <mergeCell ref="R2:W2"/>
    <mergeCell ref="X2:AH2"/>
  </mergeCells>
  <pageMargins left="0.47244094488188981" right="0.37" top="0.4" bottom="0.19685039370078741" header="0.35433070866141736" footer="0.11811023622047245"/>
  <pageSetup paperSize="9" scale="94" firstPageNumber="4294963191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31745" r:id="rId4">
          <objectPr defaultSize="0" autoPict="0" r:id="rId5">
            <anchor moveWithCells="1">
              <from>
                <xdr:col>6</xdr:col>
                <xdr:colOff>142875</xdr:colOff>
                <xdr:row>31</xdr:row>
                <xdr:rowOff>38100</xdr:rowOff>
              </from>
              <to>
                <xdr:col>9</xdr:col>
                <xdr:colOff>19050</xdr:colOff>
                <xdr:row>32</xdr:row>
                <xdr:rowOff>152400</xdr:rowOff>
              </to>
            </anchor>
          </objectPr>
        </oleObject>
      </mc:Choice>
      <mc:Fallback>
        <oleObject progId="Equation.3" shapeId="31745" r:id="rId4"/>
      </mc:Fallback>
    </mc:AlternateContent>
    <mc:AlternateContent xmlns:mc="http://schemas.openxmlformats.org/markup-compatibility/2006">
      <mc:Choice Requires="x14">
        <oleObject progId="Equation.3" shapeId="31746" r:id="rId6">
          <objectPr defaultSize="0" autoPict="0" r:id="rId7">
            <anchor moveWithCells="1">
              <from>
                <xdr:col>6</xdr:col>
                <xdr:colOff>95250</xdr:colOff>
                <xdr:row>41</xdr:row>
                <xdr:rowOff>180975</xdr:rowOff>
              </from>
              <to>
                <xdr:col>9</xdr:col>
                <xdr:colOff>123825</xdr:colOff>
                <xdr:row>43</xdr:row>
                <xdr:rowOff>104775</xdr:rowOff>
              </to>
            </anchor>
          </objectPr>
        </oleObject>
      </mc:Choice>
      <mc:Fallback>
        <oleObject progId="Equation.3" shapeId="31746" r:id="rId6"/>
      </mc:Fallback>
    </mc:AlternateContent>
    <mc:AlternateContent xmlns:mc="http://schemas.openxmlformats.org/markup-compatibility/2006">
      <mc:Choice Requires="x14">
        <oleObject progId="Equation.3" shapeId="31747" r:id="rId8">
          <objectPr defaultSize="0" autoPict="0" r:id="rId9">
            <anchor moveWithCells="1">
              <from>
                <xdr:col>5</xdr:col>
                <xdr:colOff>0</xdr:colOff>
                <xdr:row>72</xdr:row>
                <xdr:rowOff>85725</xdr:rowOff>
              </from>
              <to>
                <xdr:col>7</xdr:col>
                <xdr:colOff>114300</xdr:colOff>
                <xdr:row>74</xdr:row>
                <xdr:rowOff>19050</xdr:rowOff>
              </to>
            </anchor>
          </objectPr>
        </oleObject>
      </mc:Choice>
      <mc:Fallback>
        <oleObject progId="Equation.3" shapeId="31747" r:id="rId8"/>
      </mc:Fallback>
    </mc:AlternateContent>
  </oleObjec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101"/>
  <sheetViews>
    <sheetView topLeftCell="A61" zoomScale="130" zoomScaleNormal="130" workbookViewId="0">
      <selection activeCell="T68" sqref="T68:X68"/>
    </sheetView>
  </sheetViews>
  <sheetFormatPr defaultColWidth="2.5" defaultRowHeight="15"/>
  <cols>
    <col min="1" max="16384" width="2.5" style="1"/>
  </cols>
  <sheetData>
    <row r="1" spans="1:34" ht="27" customHeight="1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7"/>
      <c r="AD1" s="48" t="s">
        <v>1</v>
      </c>
      <c r="AE1" s="49"/>
      <c r="AF1" s="49"/>
      <c r="AG1" s="50" t="s">
        <v>2</v>
      </c>
      <c r="AH1" s="51"/>
    </row>
    <row r="2" spans="1:34" ht="19.5" customHeight="1">
      <c r="A2" s="52" t="s">
        <v>3</v>
      </c>
      <c r="B2" s="53"/>
      <c r="C2" s="53"/>
      <c r="D2" s="53"/>
      <c r="E2" s="53"/>
      <c r="F2" s="53"/>
      <c r="G2" s="54" t="s">
        <v>85</v>
      </c>
      <c r="H2" s="55"/>
      <c r="I2" s="55"/>
      <c r="J2" s="55"/>
      <c r="K2" s="55"/>
      <c r="L2" s="55"/>
      <c r="M2" s="55"/>
      <c r="N2" s="55"/>
      <c r="O2" s="55"/>
      <c r="P2" s="55"/>
      <c r="Q2" s="56"/>
      <c r="R2" s="28" t="s">
        <v>4</v>
      </c>
      <c r="S2" s="29"/>
      <c r="T2" s="29"/>
      <c r="U2" s="29"/>
      <c r="V2" s="29"/>
      <c r="W2" s="30"/>
      <c r="X2" s="31">
        <v>42886</v>
      </c>
      <c r="Y2" s="32"/>
      <c r="Z2" s="32"/>
      <c r="AA2" s="32"/>
      <c r="AB2" s="32"/>
      <c r="AC2" s="32"/>
      <c r="AD2" s="32"/>
      <c r="AE2" s="32"/>
      <c r="AF2" s="32"/>
      <c r="AG2" s="32"/>
      <c r="AH2" s="33"/>
    </row>
    <row r="3" spans="1:34" ht="19.5" customHeight="1">
      <c r="A3" s="23" t="s">
        <v>5</v>
      </c>
      <c r="B3" s="24"/>
      <c r="C3" s="24"/>
      <c r="D3" s="24"/>
      <c r="E3" s="24"/>
      <c r="F3" s="24"/>
      <c r="G3" s="25" t="s">
        <v>83</v>
      </c>
      <c r="H3" s="26"/>
      <c r="I3" s="26"/>
      <c r="J3" s="26"/>
      <c r="K3" s="26"/>
      <c r="L3" s="26"/>
      <c r="M3" s="26"/>
      <c r="N3" s="26"/>
      <c r="O3" s="26"/>
      <c r="P3" s="26"/>
      <c r="Q3" s="27"/>
      <c r="R3" s="28" t="s">
        <v>6</v>
      </c>
      <c r="S3" s="29"/>
      <c r="T3" s="29"/>
      <c r="U3" s="29"/>
      <c r="V3" s="29"/>
      <c r="W3" s="30"/>
      <c r="X3" s="31">
        <v>43251</v>
      </c>
      <c r="Y3" s="32"/>
      <c r="Z3" s="32"/>
      <c r="AA3" s="32"/>
      <c r="AB3" s="32"/>
      <c r="AC3" s="32"/>
      <c r="AD3" s="32"/>
      <c r="AE3" s="32"/>
      <c r="AF3" s="32"/>
      <c r="AG3" s="32"/>
      <c r="AH3" s="33"/>
    </row>
    <row r="4" spans="1:34" ht="19.5" customHeight="1">
      <c r="A4" s="34" t="s">
        <v>7</v>
      </c>
      <c r="B4" s="35"/>
      <c r="C4" s="35"/>
      <c r="D4" s="35"/>
      <c r="E4" s="35"/>
      <c r="F4" s="35"/>
      <c r="G4" s="36" t="s">
        <v>84</v>
      </c>
      <c r="H4" s="37"/>
      <c r="I4" s="37"/>
      <c r="J4" s="37"/>
      <c r="K4" s="37"/>
      <c r="L4" s="37"/>
      <c r="M4" s="37"/>
      <c r="N4" s="37"/>
      <c r="O4" s="37"/>
      <c r="P4" s="37"/>
      <c r="Q4" s="38"/>
      <c r="R4" s="39" t="s">
        <v>8</v>
      </c>
      <c r="S4" s="40"/>
      <c r="T4" s="40"/>
      <c r="U4" s="40"/>
      <c r="V4" s="40"/>
      <c r="W4" s="41"/>
      <c r="X4" s="42" t="s">
        <v>9</v>
      </c>
      <c r="Y4" s="43"/>
      <c r="Z4" s="43"/>
      <c r="AA4" s="43"/>
      <c r="AB4" s="43"/>
      <c r="AC4" s="43"/>
      <c r="AD4" s="43"/>
      <c r="AE4" s="43"/>
      <c r="AF4" s="43"/>
      <c r="AG4" s="43"/>
      <c r="AH4" s="44"/>
    </row>
    <row r="5" spans="1:34" ht="19.5" customHeight="1">
      <c r="A5" s="65" t="s">
        <v>10</v>
      </c>
      <c r="B5" s="66"/>
      <c r="C5" s="66"/>
      <c r="D5" s="66"/>
      <c r="E5" s="66"/>
      <c r="F5" s="67"/>
      <c r="G5" s="68" t="s">
        <v>120</v>
      </c>
      <c r="H5" s="68"/>
      <c r="I5" s="68"/>
      <c r="J5" s="68"/>
      <c r="K5" s="68"/>
      <c r="L5" s="68"/>
      <c r="M5" s="68"/>
      <c r="N5" s="68"/>
      <c r="O5" s="68"/>
      <c r="P5" s="68"/>
      <c r="Q5" s="68"/>
      <c r="R5" s="69" t="s">
        <v>11</v>
      </c>
      <c r="S5" s="69"/>
      <c r="T5" s="69"/>
      <c r="U5" s="69"/>
      <c r="V5" s="69"/>
      <c r="W5" s="69"/>
      <c r="X5" s="70" t="s">
        <v>12</v>
      </c>
      <c r="Y5" s="71"/>
      <c r="Z5" s="72">
        <v>2500</v>
      </c>
      <c r="AA5" s="73"/>
      <c r="AB5" s="73"/>
      <c r="AC5" s="73"/>
      <c r="AD5" s="74" t="s">
        <v>13</v>
      </c>
      <c r="AE5" s="74"/>
      <c r="AF5" s="74"/>
      <c r="AG5" s="74"/>
      <c r="AH5" s="75"/>
    </row>
    <row r="6" spans="1:34" ht="15.75" thickBo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4"/>
    </row>
    <row r="7" spans="1:34" ht="15" customHeight="1">
      <c r="A7" s="2"/>
      <c r="B7" s="57" t="s">
        <v>14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9"/>
      <c r="AH7" s="4"/>
    </row>
    <row r="8" spans="1:34" ht="15" customHeight="1">
      <c r="A8" s="2"/>
      <c r="B8" s="60" t="s">
        <v>15</v>
      </c>
      <c r="C8" s="61"/>
      <c r="D8" s="61"/>
      <c r="E8" s="61"/>
      <c r="F8" s="61"/>
      <c r="G8" s="61"/>
      <c r="H8" s="61"/>
      <c r="I8" s="62" t="s">
        <v>3</v>
      </c>
      <c r="J8" s="62"/>
      <c r="K8" s="62"/>
      <c r="L8" s="62"/>
      <c r="M8" s="62"/>
      <c r="N8" s="62"/>
      <c r="O8" s="61" t="s">
        <v>16</v>
      </c>
      <c r="P8" s="61"/>
      <c r="Q8" s="61"/>
      <c r="R8" s="61"/>
      <c r="S8" s="61"/>
      <c r="T8" s="61"/>
      <c r="U8" s="61"/>
      <c r="V8" s="63" t="s">
        <v>17</v>
      </c>
      <c r="W8" s="63"/>
      <c r="X8" s="63"/>
      <c r="Y8" s="63"/>
      <c r="Z8" s="63"/>
      <c r="AA8" s="63"/>
      <c r="AB8" s="63" t="s">
        <v>18</v>
      </c>
      <c r="AC8" s="63"/>
      <c r="AD8" s="63"/>
      <c r="AE8" s="63"/>
      <c r="AF8" s="63"/>
      <c r="AG8" s="64"/>
      <c r="AH8" s="4"/>
    </row>
    <row r="9" spans="1:34" ht="19.5" customHeight="1">
      <c r="A9" s="2"/>
      <c r="B9" s="76" t="s">
        <v>19</v>
      </c>
      <c r="C9" s="77"/>
      <c r="D9" s="77"/>
      <c r="E9" s="77"/>
      <c r="F9" s="77"/>
      <c r="G9" s="77"/>
      <c r="H9" s="77"/>
      <c r="I9" s="78" t="s">
        <v>109</v>
      </c>
      <c r="J9" s="78"/>
      <c r="K9" s="78"/>
      <c r="L9" s="78"/>
      <c r="M9" s="78"/>
      <c r="N9" s="78"/>
      <c r="O9" s="78" t="s">
        <v>74</v>
      </c>
      <c r="P9" s="78"/>
      <c r="Q9" s="78"/>
      <c r="R9" s="78"/>
      <c r="S9" s="78"/>
      <c r="T9" s="78"/>
      <c r="U9" s="78"/>
      <c r="V9" s="78" t="s">
        <v>113</v>
      </c>
      <c r="W9" s="78"/>
      <c r="X9" s="78"/>
      <c r="Y9" s="78"/>
      <c r="Z9" s="78"/>
      <c r="AA9" s="78"/>
      <c r="AB9" s="79">
        <v>0.99999950000000004</v>
      </c>
      <c r="AC9" s="79"/>
      <c r="AD9" s="79"/>
      <c r="AE9" s="79"/>
      <c r="AF9" s="79"/>
      <c r="AG9" s="80"/>
      <c r="AH9" s="4"/>
    </row>
    <row r="10" spans="1:34" ht="19.5" customHeight="1">
      <c r="A10" s="2"/>
      <c r="B10" s="81" t="s">
        <v>108</v>
      </c>
      <c r="C10" s="82"/>
      <c r="D10" s="82"/>
      <c r="E10" s="82"/>
      <c r="F10" s="82"/>
      <c r="G10" s="82"/>
      <c r="H10" s="82"/>
      <c r="I10" s="78" t="s">
        <v>101</v>
      </c>
      <c r="J10" s="78"/>
      <c r="K10" s="78"/>
      <c r="L10" s="78"/>
      <c r="M10" s="78"/>
      <c r="N10" s="78"/>
      <c r="O10" s="78" t="s">
        <v>74</v>
      </c>
      <c r="P10" s="78"/>
      <c r="Q10" s="78"/>
      <c r="R10" s="78"/>
      <c r="S10" s="78"/>
      <c r="T10" s="78"/>
      <c r="U10" s="78"/>
      <c r="V10" s="78" t="s">
        <v>102</v>
      </c>
      <c r="W10" s="78"/>
      <c r="X10" s="78"/>
      <c r="Y10" s="78"/>
      <c r="Z10" s="78"/>
      <c r="AA10" s="78"/>
      <c r="AB10" s="266" t="s">
        <v>103</v>
      </c>
      <c r="AC10" s="266"/>
      <c r="AD10" s="266"/>
      <c r="AE10" s="266"/>
      <c r="AF10" s="266"/>
      <c r="AG10" s="267"/>
      <c r="AH10" s="4"/>
    </row>
    <row r="11" spans="1:34" ht="19.5" customHeight="1" thickBot="1">
      <c r="A11" s="2"/>
      <c r="B11" s="94" t="s">
        <v>21</v>
      </c>
      <c r="C11" s="95"/>
      <c r="D11" s="95"/>
      <c r="E11" s="95"/>
      <c r="F11" s="95"/>
      <c r="G11" s="95"/>
      <c r="H11" s="95"/>
      <c r="I11" s="96" t="s">
        <v>101</v>
      </c>
      <c r="J11" s="96"/>
      <c r="K11" s="96"/>
      <c r="L11" s="96"/>
      <c r="M11" s="96"/>
      <c r="N11" s="96"/>
      <c r="O11" s="96" t="s">
        <v>74</v>
      </c>
      <c r="P11" s="96"/>
      <c r="Q11" s="96"/>
      <c r="R11" s="96"/>
      <c r="S11" s="96"/>
      <c r="T11" s="96"/>
      <c r="U11" s="96"/>
      <c r="V11" s="96" t="s">
        <v>102</v>
      </c>
      <c r="W11" s="96"/>
      <c r="X11" s="96"/>
      <c r="Y11" s="96"/>
      <c r="Z11" s="96"/>
      <c r="AA11" s="96"/>
      <c r="AB11" s="268" t="s">
        <v>103</v>
      </c>
      <c r="AC11" s="268"/>
      <c r="AD11" s="268"/>
      <c r="AE11" s="268"/>
      <c r="AF11" s="268"/>
      <c r="AG11" s="269"/>
      <c r="AH11" s="4"/>
    </row>
    <row r="12" spans="1:34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4"/>
    </row>
    <row r="13" spans="1:34" ht="21" customHeight="1">
      <c r="A13" s="2"/>
      <c r="B13" s="89" t="s">
        <v>22</v>
      </c>
      <c r="C13" s="89"/>
      <c r="D13" s="89"/>
      <c r="E13" s="89"/>
      <c r="F13" s="103" t="s">
        <v>3</v>
      </c>
      <c r="G13" s="89"/>
      <c r="H13" s="89"/>
      <c r="I13" s="89"/>
      <c r="J13" s="89"/>
      <c r="K13" s="89"/>
      <c r="L13" s="78" t="s">
        <v>112</v>
      </c>
      <c r="M13" s="78"/>
      <c r="N13" s="78"/>
      <c r="O13" s="78"/>
      <c r="P13" s="78"/>
      <c r="Q13" s="78"/>
      <c r="R13" s="78"/>
      <c r="S13" s="78"/>
      <c r="T13" s="89" t="s">
        <v>7</v>
      </c>
      <c r="U13" s="89"/>
      <c r="V13" s="89"/>
      <c r="W13" s="89"/>
      <c r="X13" s="89"/>
      <c r="Y13" s="89"/>
      <c r="Z13" s="78">
        <v>93310021</v>
      </c>
      <c r="AA13" s="78"/>
      <c r="AB13" s="78"/>
      <c r="AC13" s="78"/>
      <c r="AD13" s="78"/>
      <c r="AE13" s="78"/>
      <c r="AF13" s="78"/>
      <c r="AG13" s="78"/>
      <c r="AH13" s="4"/>
    </row>
    <row r="14" spans="1:34" ht="21" customHeight="1">
      <c r="A14" s="2"/>
      <c r="B14" s="89"/>
      <c r="C14" s="89"/>
      <c r="D14" s="89"/>
      <c r="E14" s="89"/>
      <c r="F14" s="85" t="s">
        <v>5</v>
      </c>
      <c r="G14" s="85"/>
      <c r="H14" s="85"/>
      <c r="I14" s="85"/>
      <c r="J14" s="85"/>
      <c r="K14" s="85"/>
      <c r="L14" s="86" t="s">
        <v>75</v>
      </c>
      <c r="M14" s="87"/>
      <c r="N14" s="87"/>
      <c r="O14" s="87"/>
      <c r="P14" s="87"/>
      <c r="Q14" s="87"/>
      <c r="R14" s="87"/>
      <c r="S14" s="88"/>
      <c r="T14" s="89" t="s">
        <v>6</v>
      </c>
      <c r="U14" s="89"/>
      <c r="V14" s="89"/>
      <c r="W14" s="89"/>
      <c r="X14" s="89"/>
      <c r="Y14" s="89"/>
      <c r="Z14" s="90">
        <v>43008</v>
      </c>
      <c r="AA14" s="90"/>
      <c r="AB14" s="90"/>
      <c r="AC14" s="90"/>
      <c r="AD14" s="90"/>
      <c r="AE14" s="90"/>
      <c r="AF14" s="90"/>
      <c r="AG14" s="90"/>
      <c r="AH14" s="4"/>
    </row>
    <row r="15" spans="1:34" ht="17.25" customHeight="1">
      <c r="A15" s="2"/>
      <c r="B15" s="89" t="s">
        <v>23</v>
      </c>
      <c r="C15" s="89"/>
      <c r="D15" s="89"/>
      <c r="E15" s="89"/>
      <c r="F15" s="89"/>
      <c r="G15" s="89"/>
      <c r="H15" s="89"/>
      <c r="I15" s="89"/>
      <c r="J15" s="89"/>
      <c r="K15" s="89"/>
      <c r="L15" s="91">
        <v>15170</v>
      </c>
      <c r="M15" s="92"/>
      <c r="N15" s="92"/>
      <c r="O15" s="92"/>
      <c r="P15" s="92"/>
      <c r="Q15" s="92"/>
      <c r="R15" s="92"/>
      <c r="S15" s="93"/>
      <c r="T15" s="5"/>
      <c r="U15" s="5"/>
      <c r="V15" s="5"/>
      <c r="W15" s="5"/>
      <c r="X15" s="5"/>
      <c r="Y15" s="5"/>
      <c r="Z15" s="6"/>
      <c r="AA15" s="6"/>
      <c r="AB15" s="6"/>
      <c r="AC15" s="6"/>
      <c r="AD15" s="6"/>
      <c r="AE15" s="6"/>
      <c r="AF15" s="6"/>
      <c r="AG15" s="6"/>
      <c r="AH15" s="4"/>
    </row>
    <row r="16" spans="1:34" ht="5.25" customHeight="1">
      <c r="A16" s="2"/>
      <c r="B16" s="5"/>
      <c r="C16" s="5"/>
      <c r="D16" s="5"/>
      <c r="E16" s="5"/>
      <c r="F16" s="5"/>
      <c r="G16" s="5"/>
      <c r="H16" s="5"/>
      <c r="I16" s="5"/>
      <c r="J16" s="5"/>
      <c r="K16" s="5"/>
      <c r="L16" s="3"/>
      <c r="M16" s="3"/>
      <c r="N16" s="3"/>
      <c r="O16" s="3"/>
      <c r="P16" s="3"/>
      <c r="Q16" s="3"/>
      <c r="R16" s="3"/>
      <c r="S16" s="3"/>
      <c r="T16" s="5"/>
      <c r="U16" s="5"/>
      <c r="V16" s="5"/>
      <c r="W16" s="5"/>
      <c r="X16" s="5"/>
      <c r="Y16" s="5"/>
      <c r="Z16" s="3"/>
      <c r="AA16" s="3"/>
      <c r="AB16" s="3"/>
      <c r="AC16" s="3"/>
      <c r="AD16" s="3"/>
      <c r="AE16" s="3"/>
      <c r="AF16" s="3"/>
      <c r="AG16" s="3"/>
      <c r="AH16" s="4"/>
    </row>
    <row r="17" spans="1:34">
      <c r="A17" s="2"/>
      <c r="B17" s="7" t="s">
        <v>24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4"/>
    </row>
    <row r="18" spans="1:34" ht="7.5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4"/>
    </row>
    <row r="19" spans="1:34" ht="15" customHeight="1">
      <c r="A19" s="2"/>
      <c r="B19" s="118" t="s">
        <v>10</v>
      </c>
      <c r="C19" s="119"/>
      <c r="D19" s="119"/>
      <c r="E19" s="119"/>
      <c r="F19" s="119"/>
      <c r="G19" s="119"/>
      <c r="H19" s="119"/>
      <c r="I19" s="119"/>
      <c r="J19" s="119"/>
      <c r="K19" s="120"/>
      <c r="L19" s="89" t="s">
        <v>90</v>
      </c>
      <c r="M19" s="89"/>
      <c r="N19" s="89"/>
      <c r="O19" s="89"/>
      <c r="P19" s="89"/>
      <c r="Q19" s="89"/>
      <c r="R19" s="89"/>
      <c r="S19" s="89"/>
      <c r="T19" s="89"/>
      <c r="U19" s="89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4"/>
    </row>
    <row r="20" spans="1:34" ht="15" customHeight="1">
      <c r="A20" s="2"/>
      <c r="B20" s="121" t="s">
        <v>25</v>
      </c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3"/>
      <c r="V20" s="124" t="s">
        <v>26</v>
      </c>
      <c r="W20" s="125"/>
      <c r="X20" s="125"/>
      <c r="Y20" s="125"/>
      <c r="Z20" s="125"/>
      <c r="AA20" s="125"/>
      <c r="AB20" s="125"/>
      <c r="AC20" s="125"/>
      <c r="AD20" s="125"/>
      <c r="AE20" s="126"/>
      <c r="AF20" s="3"/>
      <c r="AG20" s="3"/>
      <c r="AH20" s="4"/>
    </row>
    <row r="21" spans="1:34" ht="15" customHeight="1">
      <c r="A21" s="2"/>
      <c r="B21" s="130" t="s">
        <v>27</v>
      </c>
      <c r="C21" s="131"/>
      <c r="D21" s="131"/>
      <c r="E21" s="131"/>
      <c r="F21" s="131"/>
      <c r="G21" s="131"/>
      <c r="H21" s="131"/>
      <c r="I21" s="131"/>
      <c r="J21" s="131"/>
      <c r="K21" s="131"/>
      <c r="L21" s="131" t="s">
        <v>28</v>
      </c>
      <c r="M21" s="131"/>
      <c r="N21" s="131"/>
      <c r="O21" s="131"/>
      <c r="P21" s="131"/>
      <c r="Q21" s="131"/>
      <c r="R21" s="131"/>
      <c r="S21" s="131"/>
      <c r="T21" s="131"/>
      <c r="U21" s="132"/>
      <c r="V21" s="127"/>
      <c r="W21" s="128"/>
      <c r="X21" s="128"/>
      <c r="Y21" s="128"/>
      <c r="Z21" s="128"/>
      <c r="AA21" s="128"/>
      <c r="AB21" s="128"/>
      <c r="AC21" s="128"/>
      <c r="AD21" s="128"/>
      <c r="AE21" s="129"/>
      <c r="AF21" s="3"/>
      <c r="AG21" s="3"/>
      <c r="AH21" s="4"/>
    </row>
    <row r="22" spans="1:34">
      <c r="A22" s="2"/>
      <c r="B22" s="104" t="s">
        <v>29</v>
      </c>
      <c r="C22" s="105"/>
      <c r="D22" s="105"/>
      <c r="E22" s="105"/>
      <c r="F22" s="105"/>
      <c r="G22" s="105"/>
      <c r="H22" s="105"/>
      <c r="I22" s="105"/>
      <c r="J22" s="105"/>
      <c r="K22" s="105"/>
      <c r="L22" s="105" t="s">
        <v>30</v>
      </c>
      <c r="M22" s="105"/>
      <c r="N22" s="105"/>
      <c r="O22" s="105"/>
      <c r="P22" s="105"/>
      <c r="Q22" s="105"/>
      <c r="R22" s="105"/>
      <c r="S22" s="105"/>
      <c r="T22" s="105"/>
      <c r="U22" s="106"/>
      <c r="V22" s="107" t="s">
        <v>31</v>
      </c>
      <c r="W22" s="108"/>
      <c r="X22" s="108"/>
      <c r="Y22" s="108"/>
      <c r="Z22" s="108"/>
      <c r="AA22" s="108"/>
      <c r="AB22" s="108"/>
      <c r="AC22" s="108"/>
      <c r="AD22" s="108"/>
      <c r="AE22" s="109"/>
      <c r="AF22" s="3"/>
      <c r="AG22" s="3"/>
      <c r="AH22" s="4"/>
    </row>
    <row r="23" spans="1:34" ht="21" customHeight="1">
      <c r="A23" s="2"/>
      <c r="B23" s="311">
        <v>2038</v>
      </c>
      <c r="C23" s="309"/>
      <c r="D23" s="309"/>
      <c r="E23" s="309"/>
      <c r="F23" s="309"/>
      <c r="G23" s="309"/>
      <c r="H23" s="309"/>
      <c r="I23" s="309"/>
      <c r="J23" s="309"/>
      <c r="K23" s="309"/>
      <c r="L23" s="312">
        <v>2053</v>
      </c>
      <c r="M23" s="312"/>
      <c r="N23" s="312"/>
      <c r="O23" s="312"/>
      <c r="P23" s="312"/>
      <c r="Q23" s="312"/>
      <c r="R23" s="312"/>
      <c r="S23" s="312"/>
      <c r="T23" s="312"/>
      <c r="U23" s="313"/>
      <c r="V23" s="114">
        <f>B23/L23*100</f>
        <v>99.269361909400871</v>
      </c>
      <c r="W23" s="115"/>
      <c r="X23" s="115"/>
      <c r="Y23" s="115"/>
      <c r="Z23" s="115"/>
      <c r="AA23" s="115"/>
      <c r="AB23" s="115"/>
      <c r="AC23" s="115"/>
      <c r="AD23" s="116" t="s">
        <v>32</v>
      </c>
      <c r="AE23" s="117"/>
      <c r="AF23" s="3"/>
      <c r="AG23" s="3"/>
      <c r="AH23" s="4"/>
    </row>
    <row r="24" spans="1:34" ht="7.5" customHeight="1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4"/>
    </row>
    <row r="25" spans="1:34" ht="15" customHeight="1">
      <c r="A25" s="2"/>
      <c r="B25" s="118" t="s">
        <v>10</v>
      </c>
      <c r="C25" s="119"/>
      <c r="D25" s="119"/>
      <c r="E25" s="119"/>
      <c r="F25" s="119"/>
      <c r="G25" s="119"/>
      <c r="H25" s="119"/>
      <c r="I25" s="119"/>
      <c r="J25" s="119"/>
      <c r="K25" s="120"/>
      <c r="L25" s="89" t="s">
        <v>81</v>
      </c>
      <c r="M25" s="89"/>
      <c r="N25" s="89"/>
      <c r="O25" s="89"/>
      <c r="P25" s="89"/>
      <c r="Q25" s="89"/>
      <c r="R25" s="89"/>
      <c r="S25" s="89"/>
      <c r="T25" s="89"/>
      <c r="U25" s="89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4"/>
    </row>
    <row r="26" spans="1:34" ht="15" customHeight="1">
      <c r="A26" s="2"/>
      <c r="B26" s="138" t="s">
        <v>25</v>
      </c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3"/>
      <c r="V26" s="124" t="s">
        <v>26</v>
      </c>
      <c r="W26" s="125"/>
      <c r="X26" s="125"/>
      <c r="Y26" s="125"/>
      <c r="Z26" s="125"/>
      <c r="AA26" s="125"/>
      <c r="AB26" s="125"/>
      <c r="AC26" s="125"/>
      <c r="AD26" s="125"/>
      <c r="AE26" s="126"/>
      <c r="AF26" s="3"/>
      <c r="AG26" s="3"/>
      <c r="AH26" s="4"/>
    </row>
    <row r="27" spans="1:34" ht="15" customHeight="1">
      <c r="A27" s="2"/>
      <c r="B27" s="130" t="s">
        <v>34</v>
      </c>
      <c r="C27" s="131"/>
      <c r="D27" s="131"/>
      <c r="E27" s="131"/>
      <c r="F27" s="131"/>
      <c r="G27" s="131"/>
      <c r="H27" s="131"/>
      <c r="I27" s="131"/>
      <c r="J27" s="131"/>
      <c r="K27" s="131"/>
      <c r="L27" s="131" t="s">
        <v>35</v>
      </c>
      <c r="M27" s="131"/>
      <c r="N27" s="131"/>
      <c r="O27" s="131"/>
      <c r="P27" s="131"/>
      <c r="Q27" s="131"/>
      <c r="R27" s="131"/>
      <c r="S27" s="131"/>
      <c r="T27" s="131"/>
      <c r="U27" s="132"/>
      <c r="V27" s="127"/>
      <c r="W27" s="128"/>
      <c r="X27" s="128"/>
      <c r="Y27" s="128"/>
      <c r="Z27" s="128"/>
      <c r="AA27" s="128"/>
      <c r="AB27" s="128"/>
      <c r="AC27" s="128"/>
      <c r="AD27" s="128"/>
      <c r="AE27" s="129"/>
      <c r="AF27" s="3"/>
      <c r="AG27" s="3"/>
      <c r="AH27" s="4"/>
    </row>
    <row r="28" spans="1:34" ht="15" customHeight="1">
      <c r="A28" s="2"/>
      <c r="B28" s="104" t="s">
        <v>29</v>
      </c>
      <c r="C28" s="105"/>
      <c r="D28" s="105"/>
      <c r="E28" s="105"/>
      <c r="F28" s="105"/>
      <c r="G28" s="105"/>
      <c r="H28" s="105"/>
      <c r="I28" s="105"/>
      <c r="J28" s="105"/>
      <c r="K28" s="105"/>
      <c r="L28" s="105" t="s">
        <v>30</v>
      </c>
      <c r="M28" s="105"/>
      <c r="N28" s="105"/>
      <c r="O28" s="105"/>
      <c r="P28" s="105"/>
      <c r="Q28" s="105"/>
      <c r="R28" s="105"/>
      <c r="S28" s="105"/>
      <c r="T28" s="105"/>
      <c r="U28" s="106"/>
      <c r="V28" s="107" t="s">
        <v>31</v>
      </c>
      <c r="W28" s="108"/>
      <c r="X28" s="108"/>
      <c r="Y28" s="108"/>
      <c r="Z28" s="108"/>
      <c r="AA28" s="108"/>
      <c r="AB28" s="108"/>
      <c r="AC28" s="108"/>
      <c r="AD28" s="108"/>
      <c r="AE28" s="109"/>
      <c r="AF28" s="3"/>
      <c r="AG28" s="3"/>
      <c r="AH28" s="4"/>
    </row>
    <row r="29" spans="1:34" ht="21" customHeight="1">
      <c r="A29" s="2"/>
      <c r="B29" s="192"/>
      <c r="C29" s="193"/>
      <c r="D29" s="193"/>
      <c r="E29" s="193"/>
      <c r="F29" s="193"/>
      <c r="G29" s="193"/>
      <c r="H29" s="193"/>
      <c r="I29" s="193"/>
      <c r="J29" s="193"/>
      <c r="K29" s="193"/>
      <c r="L29" s="112"/>
      <c r="M29" s="112"/>
      <c r="N29" s="112"/>
      <c r="O29" s="112"/>
      <c r="P29" s="112"/>
      <c r="Q29" s="112"/>
      <c r="R29" s="112"/>
      <c r="S29" s="112"/>
      <c r="T29" s="112"/>
      <c r="U29" s="113"/>
      <c r="V29" s="114"/>
      <c r="W29" s="115"/>
      <c r="X29" s="115"/>
      <c r="Y29" s="115"/>
      <c r="Z29" s="115"/>
      <c r="AA29" s="115"/>
      <c r="AB29" s="115"/>
      <c r="AC29" s="115"/>
      <c r="AD29" s="116"/>
      <c r="AE29" s="117"/>
      <c r="AF29" s="3"/>
      <c r="AG29" s="3"/>
      <c r="AH29" s="4"/>
    </row>
    <row r="30" spans="1:34" ht="7.5" customHeight="1">
      <c r="A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4"/>
    </row>
    <row r="31" spans="1:34" ht="21" customHeight="1">
      <c r="A31" s="2"/>
      <c r="B31" s="136" t="s">
        <v>36</v>
      </c>
      <c r="C31" s="137"/>
      <c r="D31" s="137"/>
      <c r="E31" s="137"/>
      <c r="F31" s="103"/>
      <c r="G31" s="8"/>
      <c r="H31" s="137" t="s">
        <v>37</v>
      </c>
      <c r="I31" s="137"/>
      <c r="J31" s="137"/>
      <c r="K31" s="137"/>
      <c r="L31" s="137" t="s">
        <v>38</v>
      </c>
      <c r="M31" s="137"/>
      <c r="N31" s="137"/>
      <c r="O31" s="137"/>
      <c r="P31" s="9"/>
      <c r="Q31" s="118" t="s">
        <v>39</v>
      </c>
      <c r="R31" s="119"/>
      <c r="S31" s="119"/>
      <c r="T31" s="119"/>
      <c r="U31" s="120"/>
      <c r="V31" s="136" t="s">
        <v>40</v>
      </c>
      <c r="W31" s="137"/>
      <c r="X31" s="137"/>
      <c r="Y31" s="137"/>
      <c r="Z31" s="137"/>
      <c r="AA31" s="137"/>
      <c r="AB31" s="137"/>
      <c r="AC31" s="137"/>
      <c r="AD31" s="137"/>
      <c r="AE31" s="103"/>
      <c r="AF31" s="3"/>
      <c r="AG31" s="3"/>
      <c r="AH31" s="4"/>
    </row>
    <row r="32" spans="1:34">
      <c r="A32" s="2"/>
      <c r="C32" s="148" t="s">
        <v>41</v>
      </c>
      <c r="D32" s="148"/>
      <c r="E32" s="148"/>
      <c r="F32" s="148"/>
      <c r="G32" s="18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4"/>
    </row>
    <row r="33" spans="1:34">
      <c r="A33" s="2"/>
      <c r="C33" s="149"/>
      <c r="D33" s="149"/>
      <c r="E33" s="149"/>
      <c r="F33" s="149"/>
      <c r="G33" s="18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4"/>
    </row>
    <row r="34" spans="1:34">
      <c r="A34" s="2"/>
      <c r="B34" s="3"/>
      <c r="C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4"/>
    </row>
    <row r="35" spans="1:34">
      <c r="A35" s="2"/>
      <c r="B35" s="11" t="s">
        <v>42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4"/>
    </row>
    <row r="36" spans="1:34" ht="7.5" customHeight="1">
      <c r="A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4"/>
    </row>
    <row r="37" spans="1:34" ht="15" customHeight="1">
      <c r="A37" s="2"/>
      <c r="B37" s="138" t="s">
        <v>43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3"/>
      <c r="V37" s="139" t="s">
        <v>44</v>
      </c>
      <c r="W37" s="140"/>
      <c r="X37" s="140"/>
      <c r="Y37" s="140"/>
      <c r="Z37" s="140"/>
      <c r="AA37" s="140"/>
      <c r="AB37" s="140"/>
      <c r="AC37" s="140"/>
      <c r="AD37" s="140"/>
      <c r="AE37" s="141"/>
      <c r="AF37" s="3"/>
      <c r="AG37" s="3"/>
      <c r="AH37" s="4"/>
    </row>
    <row r="38" spans="1:34" ht="15" customHeight="1">
      <c r="A38" s="2"/>
      <c r="B38" s="130" t="s">
        <v>18</v>
      </c>
      <c r="C38" s="131"/>
      <c r="D38" s="131"/>
      <c r="E38" s="131"/>
      <c r="F38" s="131"/>
      <c r="G38" s="131"/>
      <c r="H38" s="131"/>
      <c r="I38" s="131"/>
      <c r="J38" s="131"/>
      <c r="K38" s="131"/>
      <c r="L38" s="131" t="s">
        <v>45</v>
      </c>
      <c r="M38" s="131"/>
      <c r="N38" s="131"/>
      <c r="O38" s="131"/>
      <c r="P38" s="131"/>
      <c r="Q38" s="131"/>
      <c r="R38" s="131"/>
      <c r="S38" s="131"/>
      <c r="T38" s="131"/>
      <c r="U38" s="132"/>
      <c r="V38" s="142"/>
      <c r="W38" s="143"/>
      <c r="X38" s="143"/>
      <c r="Y38" s="143"/>
      <c r="Z38" s="143"/>
      <c r="AA38" s="143"/>
      <c r="AB38" s="143"/>
      <c r="AC38" s="143"/>
      <c r="AD38" s="143"/>
      <c r="AE38" s="144"/>
      <c r="AF38" s="3"/>
      <c r="AG38" s="3"/>
      <c r="AH38" s="4"/>
    </row>
    <row r="39" spans="1:34" ht="15" customHeight="1">
      <c r="A39" s="2"/>
      <c r="B39" s="145" t="s">
        <v>46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 t="s">
        <v>47</v>
      </c>
      <c r="M39" s="146"/>
      <c r="N39" s="146"/>
      <c r="O39" s="146"/>
      <c r="P39" s="146"/>
      <c r="Q39" s="146"/>
      <c r="R39" s="146"/>
      <c r="S39" s="146"/>
      <c r="T39" s="146"/>
      <c r="U39" s="147"/>
      <c r="V39" s="145" t="s">
        <v>31</v>
      </c>
      <c r="W39" s="146"/>
      <c r="X39" s="146"/>
      <c r="Y39" s="146"/>
      <c r="Z39" s="146"/>
      <c r="AA39" s="146"/>
      <c r="AB39" s="146"/>
      <c r="AC39" s="146"/>
      <c r="AD39" s="146"/>
      <c r="AE39" s="147"/>
      <c r="AF39" s="3"/>
      <c r="AG39" s="3"/>
      <c r="AH39" s="4"/>
    </row>
    <row r="40" spans="1:34" ht="21" customHeight="1">
      <c r="A40" s="2"/>
      <c r="B40" s="110">
        <v>1908</v>
      </c>
      <c r="C40" s="111"/>
      <c r="D40" s="111"/>
      <c r="E40" s="111"/>
      <c r="F40" s="111"/>
      <c r="G40" s="111"/>
      <c r="H40" s="111"/>
      <c r="I40" s="111"/>
      <c r="J40" s="111"/>
      <c r="K40" s="111"/>
      <c r="L40" s="309">
        <v>1912</v>
      </c>
      <c r="M40" s="309"/>
      <c r="N40" s="309"/>
      <c r="O40" s="309"/>
      <c r="P40" s="309"/>
      <c r="Q40" s="309"/>
      <c r="R40" s="309"/>
      <c r="S40" s="309"/>
      <c r="T40" s="309"/>
      <c r="U40" s="310"/>
      <c r="V40" s="192">
        <f>100*(L40-B40)/Z5</f>
        <v>0.16</v>
      </c>
      <c r="W40" s="193"/>
      <c r="X40" s="193"/>
      <c r="Y40" s="193"/>
      <c r="Z40" s="193"/>
      <c r="AA40" s="193"/>
      <c r="AB40" s="193"/>
      <c r="AC40" s="194"/>
      <c r="AD40" s="195" t="s">
        <v>32</v>
      </c>
      <c r="AE40" s="196"/>
      <c r="AF40" s="3"/>
      <c r="AG40" s="3"/>
      <c r="AH40" s="4"/>
    </row>
    <row r="41" spans="1:34" ht="21" customHeight="1">
      <c r="A41" s="2"/>
      <c r="B41" s="136" t="s">
        <v>36</v>
      </c>
      <c r="C41" s="137"/>
      <c r="D41" s="137"/>
      <c r="E41" s="137"/>
      <c r="F41" s="103"/>
      <c r="G41" s="8"/>
      <c r="H41" s="137" t="s">
        <v>37</v>
      </c>
      <c r="I41" s="137"/>
      <c r="J41" s="137"/>
      <c r="K41" s="137"/>
      <c r="L41" s="137" t="s">
        <v>38</v>
      </c>
      <c r="M41" s="137"/>
      <c r="N41" s="137"/>
      <c r="O41" s="137"/>
      <c r="P41" s="9"/>
      <c r="Q41" s="118" t="s">
        <v>39</v>
      </c>
      <c r="R41" s="119"/>
      <c r="S41" s="119"/>
      <c r="T41" s="119"/>
      <c r="U41" s="120"/>
      <c r="V41" s="136" t="s">
        <v>48</v>
      </c>
      <c r="W41" s="137"/>
      <c r="X41" s="137"/>
      <c r="Y41" s="137"/>
      <c r="Z41" s="137"/>
      <c r="AA41" s="137"/>
      <c r="AB41" s="137"/>
      <c r="AC41" s="137"/>
      <c r="AD41" s="137"/>
      <c r="AE41" s="103"/>
      <c r="AF41" s="3"/>
      <c r="AG41" s="3"/>
      <c r="AH41" s="4"/>
    </row>
    <row r="42" spans="1:34">
      <c r="A42" s="2"/>
      <c r="B42" s="150" t="s">
        <v>41</v>
      </c>
      <c r="C42" s="150"/>
      <c r="D42" s="150"/>
      <c r="E42" s="150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4"/>
    </row>
    <row r="43" spans="1:34" ht="15.75" thickBot="1">
      <c r="A43" s="2"/>
      <c r="B43" s="150"/>
      <c r="C43" s="150"/>
      <c r="D43" s="150"/>
      <c r="E43" s="150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4"/>
    </row>
    <row r="44" spans="1:34" ht="10.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151" t="s">
        <v>49</v>
      </c>
      <c r="Z44" s="152"/>
      <c r="AA44" s="152"/>
      <c r="AB44" s="152"/>
      <c r="AC44" s="153"/>
      <c r="AD44" s="157" t="s">
        <v>50</v>
      </c>
      <c r="AE44" s="157"/>
      <c r="AF44" s="157"/>
      <c r="AG44" s="157"/>
      <c r="AH44" s="158"/>
    </row>
    <row r="45" spans="1:34" ht="15.75" thickBot="1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154"/>
      <c r="Z45" s="155"/>
      <c r="AA45" s="155"/>
      <c r="AB45" s="155"/>
      <c r="AC45" s="156"/>
      <c r="AD45" s="159"/>
      <c r="AE45" s="159"/>
      <c r="AF45" s="159"/>
      <c r="AG45" s="159"/>
      <c r="AH45" s="160"/>
    </row>
    <row r="46" spans="1:34" ht="15" customHeight="1">
      <c r="A46" s="2"/>
      <c r="B46" s="161" t="s">
        <v>51</v>
      </c>
      <c r="C46" s="162"/>
      <c r="D46" s="162"/>
      <c r="E46" s="162"/>
      <c r="F46" s="162"/>
      <c r="G46" s="163"/>
      <c r="H46" s="170" t="s">
        <v>37</v>
      </c>
      <c r="I46" s="171"/>
      <c r="J46" s="171"/>
      <c r="K46" s="171"/>
      <c r="L46" s="171"/>
      <c r="M46" s="172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176"/>
      <c r="Z46" s="177"/>
      <c r="AA46" s="177"/>
      <c r="AB46" s="177"/>
      <c r="AC46" s="178"/>
      <c r="AD46" s="183"/>
      <c r="AE46" s="184"/>
      <c r="AF46" s="184"/>
      <c r="AG46" s="184"/>
      <c r="AH46" s="185"/>
    </row>
    <row r="47" spans="1:34" ht="15" customHeight="1">
      <c r="A47" s="2"/>
      <c r="B47" s="164"/>
      <c r="C47" s="165"/>
      <c r="D47" s="165"/>
      <c r="E47" s="165"/>
      <c r="F47" s="165"/>
      <c r="G47" s="166"/>
      <c r="H47" s="173"/>
      <c r="I47" s="174"/>
      <c r="J47" s="174"/>
      <c r="K47" s="174"/>
      <c r="L47" s="174"/>
      <c r="M47" s="175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179"/>
      <c r="Z47" s="177"/>
      <c r="AA47" s="177"/>
      <c r="AB47" s="177"/>
      <c r="AC47" s="178"/>
      <c r="AD47" s="184"/>
      <c r="AE47" s="184"/>
      <c r="AF47" s="184"/>
      <c r="AG47" s="184"/>
      <c r="AH47" s="185"/>
    </row>
    <row r="48" spans="1:34" ht="15" customHeight="1">
      <c r="A48" s="2"/>
      <c r="B48" s="164"/>
      <c r="C48" s="165"/>
      <c r="D48" s="165"/>
      <c r="E48" s="165"/>
      <c r="F48" s="165"/>
      <c r="G48" s="166"/>
      <c r="H48" s="173" t="s">
        <v>38</v>
      </c>
      <c r="I48" s="174"/>
      <c r="J48" s="174"/>
      <c r="K48" s="174"/>
      <c r="L48" s="174"/>
      <c r="M48" s="175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179"/>
      <c r="Z48" s="177"/>
      <c r="AA48" s="177"/>
      <c r="AB48" s="177"/>
      <c r="AC48" s="178"/>
      <c r="AD48" s="184"/>
      <c r="AE48" s="184"/>
      <c r="AF48" s="184"/>
      <c r="AG48" s="184"/>
      <c r="AH48" s="185"/>
    </row>
    <row r="49" spans="1:34" ht="15" customHeight="1" thickBot="1">
      <c r="A49" s="2"/>
      <c r="B49" s="167"/>
      <c r="C49" s="168"/>
      <c r="D49" s="168"/>
      <c r="E49" s="168"/>
      <c r="F49" s="168"/>
      <c r="G49" s="169"/>
      <c r="H49" s="188"/>
      <c r="I49" s="189"/>
      <c r="J49" s="189"/>
      <c r="K49" s="189"/>
      <c r="L49" s="189"/>
      <c r="M49" s="190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179"/>
      <c r="Z49" s="177"/>
      <c r="AA49" s="177"/>
      <c r="AB49" s="177"/>
      <c r="AC49" s="178"/>
      <c r="AD49" s="184"/>
      <c r="AE49" s="184"/>
      <c r="AF49" s="184"/>
      <c r="AG49" s="184"/>
      <c r="AH49" s="185"/>
    </row>
    <row r="50" spans="1:34" ht="10.5" customHeight="1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180"/>
      <c r="Z50" s="181"/>
      <c r="AA50" s="181"/>
      <c r="AB50" s="181"/>
      <c r="AC50" s="182"/>
      <c r="AD50" s="186"/>
      <c r="AE50" s="186"/>
      <c r="AF50" s="186"/>
      <c r="AG50" s="186"/>
      <c r="AH50" s="187"/>
    </row>
    <row r="51" spans="1:34" s="13" customFormat="1" ht="22.5" customHeight="1" thickBot="1">
      <c r="A51" s="199" t="s">
        <v>76</v>
      </c>
      <c r="B51" s="200"/>
      <c r="C51" s="200"/>
      <c r="D51" s="200"/>
      <c r="E51" s="200" t="s">
        <v>52</v>
      </c>
      <c r="F51" s="200"/>
      <c r="G51" s="200"/>
      <c r="H51" s="200"/>
      <c r="I51" s="201"/>
      <c r="J51" s="202" t="s">
        <v>77</v>
      </c>
      <c r="K51" s="200"/>
      <c r="L51" s="200"/>
      <c r="M51" s="200"/>
      <c r="N51" s="200" t="s">
        <v>78</v>
      </c>
      <c r="O51" s="200"/>
      <c r="P51" s="200"/>
      <c r="Q51" s="201"/>
      <c r="R51" s="203"/>
      <c r="S51" s="204"/>
      <c r="T51" s="204"/>
      <c r="U51" s="204"/>
      <c r="V51" s="204"/>
      <c r="W51" s="204"/>
      <c r="X51" s="205"/>
      <c r="Y51" s="202" t="s">
        <v>79</v>
      </c>
      <c r="Z51" s="200"/>
      <c r="AA51" s="200"/>
      <c r="AB51" s="200"/>
      <c r="AC51" s="200"/>
      <c r="AD51" s="197">
        <v>41883</v>
      </c>
      <c r="AE51" s="197"/>
      <c r="AF51" s="197"/>
      <c r="AG51" s="197"/>
      <c r="AH51" s="198"/>
    </row>
    <row r="53" spans="1:34" ht="15.75" thickBot="1"/>
    <row r="54" spans="1:34" ht="27" customHeight="1">
      <c r="A54" s="45" t="s">
        <v>53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7"/>
      <c r="AD54" s="48" t="s">
        <v>54</v>
      </c>
      <c r="AE54" s="49"/>
      <c r="AF54" s="49"/>
      <c r="AG54" s="50" t="s">
        <v>2</v>
      </c>
      <c r="AH54" s="51"/>
    </row>
    <row r="55" spans="1:34" ht="19.5" customHeight="1">
      <c r="A55" s="52" t="s">
        <v>3</v>
      </c>
      <c r="B55" s="53"/>
      <c r="C55" s="53"/>
      <c r="D55" s="53"/>
      <c r="E55" s="53"/>
      <c r="F55" s="53"/>
      <c r="G55" s="54" t="s">
        <v>85</v>
      </c>
      <c r="H55" s="55"/>
      <c r="I55" s="55"/>
      <c r="J55" s="55"/>
      <c r="K55" s="55"/>
      <c r="L55" s="55"/>
      <c r="M55" s="55"/>
      <c r="N55" s="55"/>
      <c r="O55" s="55"/>
      <c r="P55" s="55"/>
      <c r="Q55" s="56"/>
      <c r="R55" s="28" t="s">
        <v>4</v>
      </c>
      <c r="S55" s="29"/>
      <c r="T55" s="29"/>
      <c r="U55" s="29"/>
      <c r="V55" s="29"/>
      <c r="W55" s="30"/>
      <c r="X55" s="31">
        <f>X2</f>
        <v>42886</v>
      </c>
      <c r="Y55" s="32"/>
      <c r="Z55" s="32"/>
      <c r="AA55" s="32"/>
      <c r="AB55" s="32"/>
      <c r="AC55" s="32"/>
      <c r="AD55" s="32"/>
      <c r="AE55" s="32"/>
      <c r="AF55" s="32"/>
      <c r="AG55" s="32"/>
      <c r="AH55" s="33"/>
    </row>
    <row r="56" spans="1:34" ht="19.5" customHeight="1">
      <c r="A56" s="34" t="s">
        <v>55</v>
      </c>
      <c r="B56" s="35"/>
      <c r="C56" s="35"/>
      <c r="D56" s="35"/>
      <c r="E56" s="35"/>
      <c r="F56" s="35"/>
      <c r="G56" s="25" t="s">
        <v>83</v>
      </c>
      <c r="H56" s="26"/>
      <c r="I56" s="26"/>
      <c r="J56" s="26"/>
      <c r="K56" s="26"/>
      <c r="L56" s="26"/>
      <c r="M56" s="26"/>
      <c r="N56" s="26"/>
      <c r="O56" s="26"/>
      <c r="P56" s="26"/>
      <c r="Q56" s="27"/>
      <c r="R56" s="28" t="s">
        <v>6</v>
      </c>
      <c r="S56" s="29"/>
      <c r="T56" s="29"/>
      <c r="U56" s="29"/>
      <c r="V56" s="29"/>
      <c r="W56" s="30"/>
      <c r="X56" s="31">
        <f>X3</f>
        <v>43251</v>
      </c>
      <c r="Y56" s="32"/>
      <c r="Z56" s="32"/>
      <c r="AA56" s="32"/>
      <c r="AB56" s="32"/>
      <c r="AC56" s="32"/>
      <c r="AD56" s="32"/>
      <c r="AE56" s="32"/>
      <c r="AF56" s="32"/>
      <c r="AG56" s="32"/>
      <c r="AH56" s="33"/>
    </row>
    <row r="57" spans="1:34" ht="19.5" customHeight="1">
      <c r="A57" s="34" t="s">
        <v>7</v>
      </c>
      <c r="B57" s="35"/>
      <c r="C57" s="35"/>
      <c r="D57" s="35"/>
      <c r="E57" s="35"/>
      <c r="F57" s="35"/>
      <c r="G57" s="36" t="s">
        <v>84</v>
      </c>
      <c r="H57" s="37"/>
      <c r="I57" s="37"/>
      <c r="J57" s="37"/>
      <c r="K57" s="37"/>
      <c r="L57" s="37"/>
      <c r="M57" s="37"/>
      <c r="N57" s="37"/>
      <c r="O57" s="37"/>
      <c r="P57" s="37"/>
      <c r="Q57" s="38"/>
      <c r="R57" s="39" t="s">
        <v>8</v>
      </c>
      <c r="S57" s="40"/>
      <c r="T57" s="40"/>
      <c r="U57" s="40"/>
      <c r="V57" s="40"/>
      <c r="W57" s="41"/>
      <c r="X57" s="42" t="s">
        <v>9</v>
      </c>
      <c r="Y57" s="43"/>
      <c r="Z57" s="43"/>
      <c r="AA57" s="43"/>
      <c r="AB57" s="43"/>
      <c r="AC57" s="43"/>
      <c r="AD57" s="43"/>
      <c r="AE57" s="43"/>
      <c r="AF57" s="43"/>
      <c r="AG57" s="43"/>
      <c r="AH57" s="44"/>
    </row>
    <row r="58" spans="1:34" ht="19.5" customHeight="1">
      <c r="A58" s="65" t="s">
        <v>10</v>
      </c>
      <c r="B58" s="66"/>
      <c r="C58" s="66"/>
      <c r="D58" s="66"/>
      <c r="E58" s="66"/>
      <c r="F58" s="67"/>
      <c r="G58" s="68" t="s">
        <v>120</v>
      </c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9" t="s">
        <v>11</v>
      </c>
      <c r="S58" s="69"/>
      <c r="T58" s="69"/>
      <c r="U58" s="69"/>
      <c r="V58" s="69"/>
      <c r="W58" s="69"/>
      <c r="X58" s="70" t="s">
        <v>12</v>
      </c>
      <c r="Y58" s="71"/>
      <c r="Z58" s="72">
        <f>Z5</f>
        <v>2500</v>
      </c>
      <c r="AA58" s="73"/>
      <c r="AB58" s="73"/>
      <c r="AC58" s="73"/>
      <c r="AD58" s="74" t="s">
        <v>56</v>
      </c>
      <c r="AE58" s="74"/>
      <c r="AF58" s="74"/>
      <c r="AG58" s="74"/>
      <c r="AH58" s="75"/>
    </row>
    <row r="59" spans="1:34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4"/>
    </row>
    <row r="60" spans="1:34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4"/>
    </row>
    <row r="61" spans="1:34">
      <c r="A61" s="2"/>
      <c r="B61" s="7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4"/>
    </row>
    <row r="62" spans="1:34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4"/>
    </row>
    <row r="63" spans="1:34" ht="15" customHeight="1">
      <c r="A63" s="2"/>
      <c r="B63" s="213"/>
      <c r="C63" s="214"/>
      <c r="D63" s="214"/>
      <c r="E63" s="215"/>
      <c r="F63" s="138" t="s">
        <v>58</v>
      </c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3"/>
      <c r="T63" s="138" t="s">
        <v>20</v>
      </c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3"/>
      <c r="AH63" s="4"/>
    </row>
    <row r="64" spans="1:34" ht="39.75" customHeight="1">
      <c r="A64" s="2"/>
      <c r="B64" s="216"/>
      <c r="C64" s="217"/>
      <c r="D64" s="217"/>
      <c r="E64" s="218"/>
      <c r="F64" s="130" t="s">
        <v>45</v>
      </c>
      <c r="G64" s="131"/>
      <c r="H64" s="131"/>
      <c r="I64" s="131"/>
      <c r="J64" s="131"/>
      <c r="K64" s="219" t="s">
        <v>59</v>
      </c>
      <c r="L64" s="220"/>
      <c r="M64" s="220"/>
      <c r="N64" s="220"/>
      <c r="O64" s="221" t="s">
        <v>60</v>
      </c>
      <c r="P64" s="131"/>
      <c r="Q64" s="131"/>
      <c r="R64" s="131"/>
      <c r="S64" s="132"/>
      <c r="T64" s="130" t="s">
        <v>45</v>
      </c>
      <c r="U64" s="131"/>
      <c r="V64" s="131"/>
      <c r="W64" s="131"/>
      <c r="X64" s="131"/>
      <c r="Y64" s="219" t="s">
        <v>59</v>
      </c>
      <c r="Z64" s="220"/>
      <c r="AA64" s="220"/>
      <c r="AB64" s="220"/>
      <c r="AC64" s="221" t="s">
        <v>60</v>
      </c>
      <c r="AD64" s="131"/>
      <c r="AE64" s="131"/>
      <c r="AF64" s="131"/>
      <c r="AG64" s="132"/>
      <c r="AH64" s="4"/>
    </row>
    <row r="65" spans="1:34" ht="15" customHeight="1">
      <c r="A65" s="2"/>
      <c r="B65" s="216"/>
      <c r="C65" s="217"/>
      <c r="D65" s="217"/>
      <c r="E65" s="218"/>
      <c r="F65" s="130" t="s">
        <v>61</v>
      </c>
      <c r="G65" s="131"/>
      <c r="H65" s="131"/>
      <c r="I65" s="131"/>
      <c r="J65" s="131"/>
      <c r="K65" s="131" t="s">
        <v>62</v>
      </c>
      <c r="L65" s="131"/>
      <c r="M65" s="131"/>
      <c r="N65" s="131"/>
      <c r="O65" s="131" t="s">
        <v>63</v>
      </c>
      <c r="P65" s="131"/>
      <c r="Q65" s="131"/>
      <c r="R65" s="131"/>
      <c r="S65" s="132"/>
      <c r="T65" s="130" t="s">
        <v>64</v>
      </c>
      <c r="U65" s="131"/>
      <c r="V65" s="131"/>
      <c r="W65" s="131"/>
      <c r="X65" s="131"/>
      <c r="Y65" s="131" t="s">
        <v>65</v>
      </c>
      <c r="Z65" s="131"/>
      <c r="AA65" s="131"/>
      <c r="AB65" s="131"/>
      <c r="AC65" s="131" t="s">
        <v>66</v>
      </c>
      <c r="AD65" s="131"/>
      <c r="AE65" s="131"/>
      <c r="AF65" s="131"/>
      <c r="AG65" s="132"/>
      <c r="AH65" s="4"/>
    </row>
    <row r="66" spans="1:34" ht="15" customHeight="1">
      <c r="A66" s="2"/>
      <c r="B66" s="206"/>
      <c r="C66" s="207"/>
      <c r="D66" s="208" t="s">
        <v>67</v>
      </c>
      <c r="E66" s="209"/>
      <c r="F66" s="210"/>
      <c r="G66" s="211"/>
      <c r="H66" s="211"/>
      <c r="I66" s="211"/>
      <c r="J66" s="211"/>
      <c r="K66" s="211"/>
      <c r="L66" s="211"/>
      <c r="M66" s="211"/>
      <c r="N66" s="211"/>
      <c r="O66" s="211" t="s">
        <v>32</v>
      </c>
      <c r="P66" s="211"/>
      <c r="Q66" s="211"/>
      <c r="R66" s="211"/>
      <c r="S66" s="212"/>
      <c r="T66" s="210"/>
      <c r="U66" s="211"/>
      <c r="V66" s="211"/>
      <c r="W66" s="211"/>
      <c r="X66" s="211"/>
      <c r="Y66" s="211"/>
      <c r="Z66" s="211"/>
      <c r="AA66" s="211"/>
      <c r="AB66" s="211"/>
      <c r="AC66" s="211" t="s">
        <v>32</v>
      </c>
      <c r="AD66" s="211"/>
      <c r="AE66" s="211"/>
      <c r="AF66" s="211"/>
      <c r="AG66" s="212"/>
      <c r="AH66" s="4"/>
    </row>
    <row r="67" spans="1:34" ht="21" customHeight="1">
      <c r="A67" s="2"/>
      <c r="B67" s="124" t="s">
        <v>68</v>
      </c>
      <c r="C67" s="125"/>
      <c r="D67" s="125"/>
      <c r="E67" s="126"/>
      <c r="F67" s="294">
        <v>3</v>
      </c>
      <c r="G67" s="295"/>
      <c r="H67" s="295"/>
      <c r="I67" s="295"/>
      <c r="J67" s="296"/>
      <c r="K67" s="321">
        <f>F67-$F$70</f>
        <v>-0.33000000000000007</v>
      </c>
      <c r="L67" s="321"/>
      <c r="M67" s="321"/>
      <c r="N67" s="322"/>
      <c r="O67" s="225">
        <f>K67/$Z$58*100</f>
        <v>-1.3200000000000003E-2</v>
      </c>
      <c r="P67" s="225"/>
      <c r="Q67" s="225"/>
      <c r="R67" s="225"/>
      <c r="S67" s="227"/>
      <c r="T67" s="297">
        <v>1914</v>
      </c>
      <c r="U67" s="298"/>
      <c r="V67" s="298"/>
      <c r="W67" s="298"/>
      <c r="X67" s="299"/>
      <c r="Y67" s="298">
        <f>T67-$T$70</f>
        <v>-4.6700000000000728</v>
      </c>
      <c r="Z67" s="298"/>
      <c r="AA67" s="298"/>
      <c r="AB67" s="298"/>
      <c r="AC67" s="231">
        <f>Y67/$Z$58*100</f>
        <v>-0.18680000000000291</v>
      </c>
      <c r="AD67" s="231"/>
      <c r="AE67" s="231"/>
      <c r="AF67" s="231"/>
      <c r="AG67" s="232"/>
      <c r="AH67" s="4"/>
    </row>
    <row r="68" spans="1:34" ht="21" customHeight="1">
      <c r="A68" s="2"/>
      <c r="B68" s="124" t="s">
        <v>69</v>
      </c>
      <c r="C68" s="125"/>
      <c r="D68" s="125"/>
      <c r="E68" s="126"/>
      <c r="F68" s="303">
        <v>3</v>
      </c>
      <c r="G68" s="304"/>
      <c r="H68" s="304"/>
      <c r="I68" s="304"/>
      <c r="J68" s="305"/>
      <c r="K68" s="307">
        <f>F68-$F$70</f>
        <v>-0.33000000000000007</v>
      </c>
      <c r="L68" s="307"/>
      <c r="M68" s="307"/>
      <c r="N68" s="307"/>
      <c r="O68" s="231">
        <f>K68/$Z$58*100</f>
        <v>-1.3200000000000003E-2</v>
      </c>
      <c r="P68" s="231"/>
      <c r="Q68" s="231"/>
      <c r="R68" s="231"/>
      <c r="S68" s="232"/>
      <c r="T68" s="306">
        <v>1920</v>
      </c>
      <c r="U68" s="307"/>
      <c r="V68" s="307"/>
      <c r="W68" s="307"/>
      <c r="X68" s="308"/>
      <c r="Y68" s="307">
        <f>T68-$T$70</f>
        <v>1.3299999999999272</v>
      </c>
      <c r="Z68" s="307"/>
      <c r="AA68" s="307"/>
      <c r="AB68" s="307"/>
      <c r="AC68" s="231">
        <f>Y68/$Z$58*100</f>
        <v>5.3199999999997083E-2</v>
      </c>
      <c r="AD68" s="231"/>
      <c r="AE68" s="231"/>
      <c r="AF68" s="231"/>
      <c r="AG68" s="232"/>
      <c r="AH68" s="4"/>
    </row>
    <row r="69" spans="1:34" ht="21" customHeight="1">
      <c r="A69" s="2"/>
      <c r="B69" s="124" t="s">
        <v>70</v>
      </c>
      <c r="C69" s="125"/>
      <c r="D69" s="125"/>
      <c r="E69" s="126"/>
      <c r="F69" s="300">
        <v>4</v>
      </c>
      <c r="G69" s="301"/>
      <c r="H69" s="301"/>
      <c r="I69" s="301"/>
      <c r="J69" s="302"/>
      <c r="K69" s="323">
        <f>F69-$F$70</f>
        <v>0.66999999999999993</v>
      </c>
      <c r="L69" s="323"/>
      <c r="M69" s="323"/>
      <c r="N69" s="324"/>
      <c r="O69" s="238">
        <f>K69/$Z$58*100</f>
        <v>2.6799999999999994E-2</v>
      </c>
      <c r="P69" s="238"/>
      <c r="Q69" s="238"/>
      <c r="R69" s="238"/>
      <c r="S69" s="239"/>
      <c r="T69" s="300">
        <v>1922</v>
      </c>
      <c r="U69" s="301"/>
      <c r="V69" s="301"/>
      <c r="W69" s="301"/>
      <c r="X69" s="301"/>
      <c r="Y69" s="326">
        <f>T69-$T$70</f>
        <v>3.3299999999999272</v>
      </c>
      <c r="Z69" s="326"/>
      <c r="AA69" s="326"/>
      <c r="AB69" s="326"/>
      <c r="AC69" s="231">
        <f>Y69/$Z$58*100</f>
        <v>0.13319999999999707</v>
      </c>
      <c r="AD69" s="231"/>
      <c r="AE69" s="231"/>
      <c r="AF69" s="231"/>
      <c r="AG69" s="232"/>
      <c r="AH69" s="4"/>
    </row>
    <row r="70" spans="1:34" ht="21" customHeight="1">
      <c r="A70" s="2"/>
      <c r="B70" s="249" t="s">
        <v>71</v>
      </c>
      <c r="C70" s="137"/>
      <c r="D70" s="137"/>
      <c r="E70" s="103"/>
      <c r="F70" s="294">
        <f>ROUND(AVERAGE(F67:J69),2)</f>
        <v>3.33</v>
      </c>
      <c r="G70" s="295"/>
      <c r="H70" s="295"/>
      <c r="I70" s="295"/>
      <c r="J70" s="296"/>
      <c r="K70" s="250" t="s">
        <v>72</v>
      </c>
      <c r="L70" s="251"/>
      <c r="M70" s="251"/>
      <c r="N70" s="252"/>
      <c r="O70" s="253">
        <f>ROUND(AVERAGE(O67:S69),2)</f>
        <v>0</v>
      </c>
      <c r="P70" s="254"/>
      <c r="Q70" s="254"/>
      <c r="R70" s="254"/>
      <c r="S70" s="255"/>
      <c r="T70" s="325">
        <f>ROUND(AVERAGE(T67:X69),2)</f>
        <v>1918.67</v>
      </c>
      <c r="U70" s="312"/>
      <c r="V70" s="312"/>
      <c r="W70" s="312"/>
      <c r="X70" s="312"/>
      <c r="Y70" s="330" t="s">
        <v>72</v>
      </c>
      <c r="Z70" s="331"/>
      <c r="AA70" s="331"/>
      <c r="AB70" s="332"/>
      <c r="AC70" s="112">
        <f>ROUND(AVERAGE(AC67:AG69),2)</f>
        <v>0</v>
      </c>
      <c r="AD70" s="112"/>
      <c r="AE70" s="112"/>
      <c r="AF70" s="112"/>
      <c r="AG70" s="113"/>
      <c r="AH70" s="4"/>
    </row>
    <row r="71" spans="1:34" ht="27" customHeight="1">
      <c r="A71" s="2"/>
      <c r="B71" s="136" t="s">
        <v>36</v>
      </c>
      <c r="C71" s="137"/>
      <c r="D71" s="137"/>
      <c r="E71" s="103"/>
      <c r="F71" s="12"/>
      <c r="G71" s="137" t="s">
        <v>37</v>
      </c>
      <c r="H71" s="137"/>
      <c r="I71" s="137"/>
      <c r="J71" s="137"/>
      <c r="K71" s="137" t="s">
        <v>38</v>
      </c>
      <c r="L71" s="137"/>
      <c r="M71" s="137"/>
      <c r="N71" s="137"/>
      <c r="O71" s="246" t="s">
        <v>39</v>
      </c>
      <c r="P71" s="247"/>
      <c r="Q71" s="247"/>
      <c r="R71" s="247"/>
      <c r="S71" s="248"/>
      <c r="T71" s="89" t="s">
        <v>73</v>
      </c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4"/>
    </row>
    <row r="72" spans="1:34">
      <c r="A72" s="2"/>
      <c r="B72" s="150" t="s">
        <v>41</v>
      </c>
      <c r="C72" s="150"/>
      <c r="D72" s="150"/>
      <c r="E72" s="15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4"/>
    </row>
    <row r="73" spans="1:34">
      <c r="A73" s="2"/>
      <c r="B73" s="150"/>
      <c r="C73" s="150"/>
      <c r="D73" s="150"/>
      <c r="E73" s="15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4"/>
    </row>
    <row r="74" spans="1:34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4"/>
    </row>
    <row r="75" spans="1:34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4"/>
    </row>
    <row r="76" spans="1:34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4"/>
    </row>
    <row r="77" spans="1:34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4"/>
    </row>
    <row r="78" spans="1:34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4"/>
    </row>
    <row r="79" spans="1:34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4"/>
    </row>
    <row r="80" spans="1:34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4"/>
    </row>
    <row r="81" spans="1:34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4"/>
    </row>
    <row r="82" spans="1:34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4"/>
    </row>
    <row r="83" spans="1:34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4"/>
    </row>
    <row r="84" spans="1:34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4"/>
    </row>
    <row r="85" spans="1:34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4"/>
    </row>
    <row r="86" spans="1:34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4"/>
    </row>
    <row r="87" spans="1:34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4"/>
    </row>
    <row r="88" spans="1:34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4"/>
    </row>
    <row r="89" spans="1:34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4"/>
    </row>
    <row r="90" spans="1:34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4"/>
    </row>
    <row r="91" spans="1:34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4"/>
    </row>
    <row r="92" spans="1:34" ht="4.5" customHeight="1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4"/>
    </row>
    <row r="93" spans="1:34" ht="15.75" thickBot="1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4"/>
    </row>
    <row r="94" spans="1:34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151" t="s">
        <v>49</v>
      </c>
      <c r="Z94" s="152"/>
      <c r="AA94" s="152"/>
      <c r="AB94" s="152"/>
      <c r="AC94" s="153"/>
      <c r="AD94" s="157" t="s">
        <v>50</v>
      </c>
      <c r="AE94" s="157"/>
      <c r="AF94" s="157"/>
      <c r="AG94" s="157"/>
      <c r="AH94" s="158"/>
    </row>
    <row r="95" spans="1:34" ht="15.75" thickBot="1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154"/>
      <c r="Z95" s="155"/>
      <c r="AA95" s="155"/>
      <c r="AB95" s="155"/>
      <c r="AC95" s="156"/>
      <c r="AD95" s="159"/>
      <c r="AE95" s="159"/>
      <c r="AF95" s="159"/>
      <c r="AG95" s="159"/>
      <c r="AH95" s="160"/>
    </row>
    <row r="96" spans="1:34" ht="15" customHeight="1">
      <c r="A96" s="2"/>
      <c r="B96" s="161" t="s">
        <v>51</v>
      </c>
      <c r="C96" s="171"/>
      <c r="D96" s="171"/>
      <c r="E96" s="171"/>
      <c r="F96" s="171"/>
      <c r="G96" s="171"/>
      <c r="H96" s="170" t="s">
        <v>37</v>
      </c>
      <c r="I96" s="171"/>
      <c r="J96" s="171"/>
      <c r="K96" s="171"/>
      <c r="L96" s="171"/>
      <c r="M96" s="172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176"/>
      <c r="Z96" s="177"/>
      <c r="AA96" s="177"/>
      <c r="AB96" s="177"/>
      <c r="AC96" s="178"/>
      <c r="AD96" s="183"/>
      <c r="AE96" s="184"/>
      <c r="AF96" s="184"/>
      <c r="AG96" s="184"/>
      <c r="AH96" s="185"/>
    </row>
    <row r="97" spans="1:34" ht="15" customHeight="1">
      <c r="A97" s="2"/>
      <c r="B97" s="173"/>
      <c r="C97" s="174"/>
      <c r="D97" s="174"/>
      <c r="E97" s="174"/>
      <c r="F97" s="174"/>
      <c r="G97" s="174"/>
      <c r="H97" s="173"/>
      <c r="I97" s="174"/>
      <c r="J97" s="174"/>
      <c r="K97" s="174"/>
      <c r="L97" s="174"/>
      <c r="M97" s="175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179"/>
      <c r="Z97" s="177"/>
      <c r="AA97" s="177"/>
      <c r="AB97" s="177"/>
      <c r="AC97" s="178"/>
      <c r="AD97" s="184"/>
      <c r="AE97" s="184"/>
      <c r="AF97" s="184"/>
      <c r="AG97" s="184"/>
      <c r="AH97" s="185"/>
    </row>
    <row r="98" spans="1:34" ht="15" customHeight="1">
      <c r="A98" s="2"/>
      <c r="B98" s="173"/>
      <c r="C98" s="174"/>
      <c r="D98" s="174"/>
      <c r="E98" s="174"/>
      <c r="F98" s="174"/>
      <c r="G98" s="174"/>
      <c r="H98" s="173" t="s">
        <v>38</v>
      </c>
      <c r="I98" s="174"/>
      <c r="J98" s="174"/>
      <c r="K98" s="174"/>
      <c r="L98" s="174"/>
      <c r="M98" s="175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179"/>
      <c r="Z98" s="177"/>
      <c r="AA98" s="177"/>
      <c r="AB98" s="177"/>
      <c r="AC98" s="178"/>
      <c r="AD98" s="184"/>
      <c r="AE98" s="184"/>
      <c r="AF98" s="184"/>
      <c r="AG98" s="184"/>
      <c r="AH98" s="185"/>
    </row>
    <row r="99" spans="1:34" ht="15.75" customHeight="1" thickBot="1">
      <c r="A99" s="2"/>
      <c r="B99" s="188"/>
      <c r="C99" s="189"/>
      <c r="D99" s="189"/>
      <c r="E99" s="189"/>
      <c r="F99" s="189"/>
      <c r="G99" s="189"/>
      <c r="H99" s="188"/>
      <c r="I99" s="189"/>
      <c r="J99" s="189"/>
      <c r="K99" s="189"/>
      <c r="L99" s="189"/>
      <c r="M99" s="190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179"/>
      <c r="Z99" s="177"/>
      <c r="AA99" s="177"/>
      <c r="AB99" s="177"/>
      <c r="AC99" s="178"/>
      <c r="AD99" s="184"/>
      <c r="AE99" s="184"/>
      <c r="AF99" s="184"/>
      <c r="AG99" s="184"/>
      <c r="AH99" s="185"/>
    </row>
    <row r="100" spans="1:34" ht="9" customHeight="1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180"/>
      <c r="Z100" s="181"/>
      <c r="AA100" s="181"/>
      <c r="AB100" s="181"/>
      <c r="AC100" s="182"/>
      <c r="AD100" s="186"/>
      <c r="AE100" s="186"/>
      <c r="AF100" s="186"/>
      <c r="AG100" s="186"/>
      <c r="AH100" s="187"/>
    </row>
    <row r="101" spans="1:34" s="13" customFormat="1" ht="22.5" customHeight="1" thickBot="1">
      <c r="A101" s="199" t="s">
        <v>76</v>
      </c>
      <c r="B101" s="200"/>
      <c r="C101" s="200"/>
      <c r="D101" s="200"/>
      <c r="E101" s="200" t="s">
        <v>52</v>
      </c>
      <c r="F101" s="200"/>
      <c r="G101" s="200"/>
      <c r="H101" s="200"/>
      <c r="I101" s="201"/>
      <c r="J101" s="202" t="s">
        <v>77</v>
      </c>
      <c r="K101" s="200"/>
      <c r="L101" s="200"/>
      <c r="M101" s="200"/>
      <c r="N101" s="200" t="s">
        <v>78</v>
      </c>
      <c r="O101" s="200"/>
      <c r="P101" s="200"/>
      <c r="Q101" s="201"/>
      <c r="R101" s="203"/>
      <c r="S101" s="204"/>
      <c r="T101" s="204"/>
      <c r="U101" s="204"/>
      <c r="V101" s="204"/>
      <c r="W101" s="204"/>
      <c r="X101" s="205"/>
      <c r="Y101" s="202" t="s">
        <v>79</v>
      </c>
      <c r="Z101" s="200"/>
      <c r="AA101" s="200"/>
      <c r="AB101" s="200"/>
      <c r="AC101" s="200"/>
      <c r="AD101" s="197">
        <v>41883</v>
      </c>
      <c r="AE101" s="197"/>
      <c r="AF101" s="197"/>
      <c r="AG101" s="197"/>
      <c r="AH101" s="198"/>
    </row>
  </sheetData>
  <mergeCells count="208">
    <mergeCell ref="AD101:AH101"/>
    <mergeCell ref="A101:D101"/>
    <mergeCell ref="E101:I101"/>
    <mergeCell ref="J101:M101"/>
    <mergeCell ref="N101:Q101"/>
    <mergeCell ref="R101:X101"/>
    <mergeCell ref="Y101:AC101"/>
    <mergeCell ref="B72:E73"/>
    <mergeCell ref="Y94:AC95"/>
    <mergeCell ref="AD94:AH95"/>
    <mergeCell ref="B96:G99"/>
    <mergeCell ref="H96:M97"/>
    <mergeCell ref="Y96:AC100"/>
    <mergeCell ref="AD96:AH100"/>
    <mergeCell ref="H98:M99"/>
    <mergeCell ref="AC70:AG70"/>
    <mergeCell ref="B71:E71"/>
    <mergeCell ref="G71:J71"/>
    <mergeCell ref="K71:N71"/>
    <mergeCell ref="O71:S71"/>
    <mergeCell ref="T71:AG71"/>
    <mergeCell ref="B70:E70"/>
    <mergeCell ref="F70:J70"/>
    <mergeCell ref="K70:N70"/>
    <mergeCell ref="O70:S70"/>
    <mergeCell ref="T70:X70"/>
    <mergeCell ref="Y70:AB70"/>
    <mergeCell ref="B67:E67"/>
    <mergeCell ref="F67:J67"/>
    <mergeCell ref="K67:N67"/>
    <mergeCell ref="O67:S67"/>
    <mergeCell ref="T67:X67"/>
    <mergeCell ref="Y67:AB67"/>
    <mergeCell ref="AC67:AG67"/>
    <mergeCell ref="AC68:AG68"/>
    <mergeCell ref="B69:E69"/>
    <mergeCell ref="F69:J69"/>
    <mergeCell ref="K69:N69"/>
    <mergeCell ref="O69:S69"/>
    <mergeCell ref="T69:X69"/>
    <mergeCell ref="Y69:AB69"/>
    <mergeCell ref="AC69:AG69"/>
    <mergeCell ref="B68:E68"/>
    <mergeCell ref="F68:J68"/>
    <mergeCell ref="K68:N68"/>
    <mergeCell ref="O68:S68"/>
    <mergeCell ref="T68:X68"/>
    <mergeCell ref="Y68:AB68"/>
    <mergeCell ref="K65:N65"/>
    <mergeCell ref="O65:S65"/>
    <mergeCell ref="T65:X65"/>
    <mergeCell ref="Y65:AB65"/>
    <mergeCell ref="AC65:AG65"/>
    <mergeCell ref="B66:C66"/>
    <mergeCell ref="D66:E66"/>
    <mergeCell ref="F66:J66"/>
    <mergeCell ref="K66:N66"/>
    <mergeCell ref="O66:S66"/>
    <mergeCell ref="B63:E65"/>
    <mergeCell ref="F63:S63"/>
    <mergeCell ref="T63:AG63"/>
    <mergeCell ref="F64:J64"/>
    <mergeCell ref="K64:N64"/>
    <mergeCell ref="O64:S64"/>
    <mergeCell ref="T64:X64"/>
    <mergeCell ref="Y64:AB64"/>
    <mergeCell ref="AC64:AG64"/>
    <mergeCell ref="F65:J65"/>
    <mergeCell ref="T66:X66"/>
    <mergeCell ref="Y66:AB66"/>
    <mergeCell ref="AC66:AG66"/>
    <mergeCell ref="A58:F58"/>
    <mergeCell ref="G58:Q58"/>
    <mergeCell ref="R58:W58"/>
    <mergeCell ref="X58:Y58"/>
    <mergeCell ref="Z58:AC58"/>
    <mergeCell ref="AD58:AH58"/>
    <mergeCell ref="A56:F56"/>
    <mergeCell ref="G56:Q56"/>
    <mergeCell ref="R56:W56"/>
    <mergeCell ref="X56:AH56"/>
    <mergeCell ref="A57:F57"/>
    <mergeCell ref="G57:Q57"/>
    <mergeCell ref="R57:W57"/>
    <mergeCell ref="X57:AH57"/>
    <mergeCell ref="AD51:AH51"/>
    <mergeCell ref="A54:AC54"/>
    <mergeCell ref="AD54:AF54"/>
    <mergeCell ref="AG54:AH54"/>
    <mergeCell ref="A55:F55"/>
    <mergeCell ref="G55:Q55"/>
    <mergeCell ref="R55:W55"/>
    <mergeCell ref="X55:AH55"/>
    <mergeCell ref="A51:D51"/>
    <mergeCell ref="E51:I51"/>
    <mergeCell ref="J51:M51"/>
    <mergeCell ref="N51:Q51"/>
    <mergeCell ref="R51:X51"/>
    <mergeCell ref="Y51:AC51"/>
    <mergeCell ref="B42:E43"/>
    <mergeCell ref="Y44:AC45"/>
    <mergeCell ref="AD44:AH45"/>
    <mergeCell ref="B46:G49"/>
    <mergeCell ref="H46:M47"/>
    <mergeCell ref="Y46:AC50"/>
    <mergeCell ref="AD46:AH50"/>
    <mergeCell ref="H48:M49"/>
    <mergeCell ref="B40:K40"/>
    <mergeCell ref="L40:U40"/>
    <mergeCell ref="V40:AC40"/>
    <mergeCell ref="AD40:AE40"/>
    <mergeCell ref="B41:F41"/>
    <mergeCell ref="H41:K41"/>
    <mergeCell ref="L41:O41"/>
    <mergeCell ref="Q41:U41"/>
    <mergeCell ref="V41:AE41"/>
    <mergeCell ref="B37:U37"/>
    <mergeCell ref="V37:AE38"/>
    <mergeCell ref="B38:K38"/>
    <mergeCell ref="L38:U38"/>
    <mergeCell ref="B39:K39"/>
    <mergeCell ref="L39:U39"/>
    <mergeCell ref="V39:AE39"/>
    <mergeCell ref="B31:F31"/>
    <mergeCell ref="H31:K31"/>
    <mergeCell ref="L31:O31"/>
    <mergeCell ref="Q31:U31"/>
    <mergeCell ref="V31:AE31"/>
    <mergeCell ref="C32:F33"/>
    <mergeCell ref="B28:K28"/>
    <mergeCell ref="L28:U28"/>
    <mergeCell ref="V28:AE28"/>
    <mergeCell ref="B29:K29"/>
    <mergeCell ref="L29:U29"/>
    <mergeCell ref="V29:AC29"/>
    <mergeCell ref="AD29:AE29"/>
    <mergeCell ref="B25:K25"/>
    <mergeCell ref="L25:U25"/>
    <mergeCell ref="B26:U26"/>
    <mergeCell ref="V26:AE27"/>
    <mergeCell ref="B27:K27"/>
    <mergeCell ref="L27:U27"/>
    <mergeCell ref="B22:K22"/>
    <mergeCell ref="L22:U22"/>
    <mergeCell ref="V22:AE22"/>
    <mergeCell ref="B23:K23"/>
    <mergeCell ref="L23:U23"/>
    <mergeCell ref="V23:AC23"/>
    <mergeCell ref="AD23:AE23"/>
    <mergeCell ref="B19:K19"/>
    <mergeCell ref="L19:U19"/>
    <mergeCell ref="B20:U20"/>
    <mergeCell ref="V20:AE21"/>
    <mergeCell ref="B21:K21"/>
    <mergeCell ref="L21:U21"/>
    <mergeCell ref="F14:K14"/>
    <mergeCell ref="L14:S14"/>
    <mergeCell ref="T14:Y14"/>
    <mergeCell ref="Z14:AG14"/>
    <mergeCell ref="B15:K15"/>
    <mergeCell ref="L15:S15"/>
    <mergeCell ref="B11:H11"/>
    <mergeCell ref="I11:N11"/>
    <mergeCell ref="O11:U11"/>
    <mergeCell ref="V11:AA11"/>
    <mergeCell ref="AB11:AG11"/>
    <mergeCell ref="B13:E14"/>
    <mergeCell ref="F13:K13"/>
    <mergeCell ref="L13:S13"/>
    <mergeCell ref="T13:Y13"/>
    <mergeCell ref="Z13:AG13"/>
    <mergeCell ref="B9:H9"/>
    <mergeCell ref="I9:N9"/>
    <mergeCell ref="O9:U9"/>
    <mergeCell ref="V9:AA9"/>
    <mergeCell ref="AB9:AG9"/>
    <mergeCell ref="B10:H10"/>
    <mergeCell ref="I10:N10"/>
    <mergeCell ref="O10:U10"/>
    <mergeCell ref="V10:AA10"/>
    <mergeCell ref="AB10:AG10"/>
    <mergeCell ref="B7:AG7"/>
    <mergeCell ref="B8:H8"/>
    <mergeCell ref="I8:N8"/>
    <mergeCell ref="O8:U8"/>
    <mergeCell ref="V8:AA8"/>
    <mergeCell ref="AB8:AG8"/>
    <mergeCell ref="A5:F5"/>
    <mergeCell ref="G5:Q5"/>
    <mergeCell ref="R5:W5"/>
    <mergeCell ref="X5:Y5"/>
    <mergeCell ref="Z5:AC5"/>
    <mergeCell ref="AD5:AH5"/>
    <mergeCell ref="A3:F3"/>
    <mergeCell ref="G3:Q3"/>
    <mergeCell ref="R3:W3"/>
    <mergeCell ref="X3:AH3"/>
    <mergeCell ref="A4:F4"/>
    <mergeCell ref="G4:Q4"/>
    <mergeCell ref="R4:W4"/>
    <mergeCell ref="X4:AH4"/>
    <mergeCell ref="A1:AC1"/>
    <mergeCell ref="AD1:AF1"/>
    <mergeCell ref="AG1:AH1"/>
    <mergeCell ref="A2:F2"/>
    <mergeCell ref="G2:Q2"/>
    <mergeCell ref="R2:W2"/>
    <mergeCell ref="X2:AH2"/>
  </mergeCells>
  <pageMargins left="0.47244094488188981" right="0.26" top="0.39" bottom="0.19685039370078741" header="0.35433070866141736" footer="0.11811023622047245"/>
  <pageSetup paperSize="9" scale="94" firstPageNumber="4294963191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30721" r:id="rId4">
          <objectPr defaultSize="0" autoPict="0" r:id="rId5">
            <anchor moveWithCells="1">
              <from>
                <xdr:col>6</xdr:col>
                <xdr:colOff>142875</xdr:colOff>
                <xdr:row>31</xdr:row>
                <xdr:rowOff>38100</xdr:rowOff>
              </from>
              <to>
                <xdr:col>9</xdr:col>
                <xdr:colOff>19050</xdr:colOff>
                <xdr:row>32</xdr:row>
                <xdr:rowOff>152400</xdr:rowOff>
              </to>
            </anchor>
          </objectPr>
        </oleObject>
      </mc:Choice>
      <mc:Fallback>
        <oleObject progId="Equation.3" shapeId="30721" r:id="rId4"/>
      </mc:Fallback>
    </mc:AlternateContent>
    <mc:AlternateContent xmlns:mc="http://schemas.openxmlformats.org/markup-compatibility/2006">
      <mc:Choice Requires="x14">
        <oleObject progId="Equation.3" shapeId="30722" r:id="rId6">
          <objectPr defaultSize="0" autoPict="0" r:id="rId7">
            <anchor moveWithCells="1">
              <from>
                <xdr:col>6</xdr:col>
                <xdr:colOff>95250</xdr:colOff>
                <xdr:row>41</xdr:row>
                <xdr:rowOff>180975</xdr:rowOff>
              </from>
              <to>
                <xdr:col>9</xdr:col>
                <xdr:colOff>123825</xdr:colOff>
                <xdr:row>43</xdr:row>
                <xdr:rowOff>104775</xdr:rowOff>
              </to>
            </anchor>
          </objectPr>
        </oleObject>
      </mc:Choice>
      <mc:Fallback>
        <oleObject progId="Equation.3" shapeId="30722" r:id="rId6"/>
      </mc:Fallback>
    </mc:AlternateContent>
    <mc:AlternateContent xmlns:mc="http://schemas.openxmlformats.org/markup-compatibility/2006">
      <mc:Choice Requires="x14">
        <oleObject progId="Equation.3" shapeId="30723" r:id="rId8">
          <objectPr defaultSize="0" autoPict="0" r:id="rId9">
            <anchor moveWithCells="1">
              <from>
                <xdr:col>5</xdr:col>
                <xdr:colOff>0</xdr:colOff>
                <xdr:row>72</xdr:row>
                <xdr:rowOff>85725</xdr:rowOff>
              </from>
              <to>
                <xdr:col>7</xdr:col>
                <xdr:colOff>114300</xdr:colOff>
                <xdr:row>74</xdr:row>
                <xdr:rowOff>19050</xdr:rowOff>
              </to>
            </anchor>
          </objectPr>
        </oleObject>
      </mc:Choice>
      <mc:Fallback>
        <oleObject progId="Equation.3" shapeId="30723" r:id="rId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O2 - 10%</vt:lpstr>
      <vt:lpstr>O2 - 25%</vt:lpstr>
      <vt:lpstr>SO2 - 200ppm</vt:lpstr>
      <vt:lpstr>SO2 - 500ppm</vt:lpstr>
      <vt:lpstr>SO2 - 1000ppm</vt:lpstr>
      <vt:lpstr>NO - 50ppm</vt:lpstr>
      <vt:lpstr>NO - 100ppm</vt:lpstr>
      <vt:lpstr>NO - 250ppm</vt:lpstr>
      <vt:lpstr>NO - 500ppm</vt:lpstr>
      <vt:lpstr>NO - 2500ppm</vt:lpstr>
      <vt:lpstr>NOx - 50ppm</vt:lpstr>
      <vt:lpstr>NOx - 100ppm</vt:lpstr>
      <vt:lpstr>NOx - 250ppm</vt:lpstr>
      <vt:lpstr>NOx - 500ppm</vt:lpstr>
      <vt:lpstr>NOx - 2500ppm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 Hoai</dc:creator>
  <cp:lastModifiedBy>user04</cp:lastModifiedBy>
  <cp:lastPrinted>2016-05-25T06:44:40Z</cp:lastPrinted>
  <dcterms:created xsi:type="dcterms:W3CDTF">2014-10-26T03:15:15Z</dcterms:created>
  <dcterms:modified xsi:type="dcterms:W3CDTF">2017-06-01T07:58:12Z</dcterms:modified>
</cp:coreProperties>
</file>