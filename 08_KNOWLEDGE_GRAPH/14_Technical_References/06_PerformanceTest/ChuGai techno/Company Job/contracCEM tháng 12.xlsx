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45" windowWidth="20490" windowHeight="7110" activeTab="2"/>
  </bookViews>
  <sheets>
    <sheet name="1.Hợp đồng" sheetId="1" r:id="rId1"/>
    <sheet name="2.Báo giá" sheetId="4" r:id="rId2"/>
    <sheet name="3.Nhiệm thu" sheetId="2" r:id="rId3"/>
    <sheet name="4.yêu cầu thanh toán" sheetId="3" r:id="rId4"/>
  </sheets>
  <externalReferences>
    <externalReference r:id="rId5"/>
    <externalReference r:id="rId6"/>
    <externalReference r:id="rId7"/>
    <externalReference r:id="rId8"/>
    <externalReference r:id="rId9"/>
    <externalReference r:id="rId10"/>
  </externalReferences>
  <definedNames>
    <definedName name="__IntlFixup" hidden="1">TRUE</definedName>
    <definedName name="__IntlFixupTable" localSheetId="0" hidden="1">#REF!</definedName>
    <definedName name="__IntlFixupTable" hidden="1">#REF!</definedName>
    <definedName name="_1W_一" localSheetId="0">#REF!,#REF!,#REF!,#REF!</definedName>
    <definedName name="_1W_一">#REF!,#REF!,#REF!,#REF!</definedName>
    <definedName name="_Order1" hidden="1">0</definedName>
    <definedName name="\z" localSheetId="0">#REF!</definedName>
    <definedName name="\z">#REF!</definedName>
    <definedName name="A" localSheetId="0">#REF!</definedName>
    <definedName name="A">#REF!</definedName>
    <definedName name="AA.Report.Files" localSheetId="0" hidden="1">#REF!</definedName>
    <definedName name="AA.Report.Files" hidden="1">#REF!</definedName>
    <definedName name="AA.Reports.Available" localSheetId="0" hidden="1">#REF!</definedName>
    <definedName name="AA.Reports.Available" hidden="1">#REF!</definedName>
    <definedName name="Cl2入力">[1]Cl2!$C$8:$C$9,[1]Cl2!$F$9:$F$14,[1]Cl2!$H$9:$H$14,[1]Cl2!$C$7</definedName>
    <definedName name="d" localSheetId="0">#REF!</definedName>
    <definedName name="d">#REF!</definedName>
    <definedName name="Data.Dump" localSheetId="0" hidden="1">OFFSET([0]!Data.Top.Left,1,0)</definedName>
    <definedName name="Data.Dump" hidden="1">OFFSET([0]!Data.Top.Left,1,0)</definedName>
    <definedName name="Database.File" localSheetId="0" hidden="1">#REF!</definedName>
    <definedName name="Database.File" hidden="1">#REF!</definedName>
    <definedName name="File.Type" localSheetId="0" hidden="1">#REF!</definedName>
    <definedName name="File.Type" hidden="1">#REF!</definedName>
    <definedName name="FLOW" localSheetId="0">#REF!</definedName>
    <definedName name="FLOW">#REF!</definedName>
    <definedName name="HCl入力">[1]HCl!$C$8:$C$9,[1]HCl!$F$9:$F$14,[1]HCl!$H$9:$H$14,[1]HCl!$C$7</definedName>
    <definedName name="HTML_CodePage" hidden="1">1252</definedName>
    <definedName name="HTML_Control" localSheetId="0" hidden="1">{"'Leverage'!$B$2:$M$418"}</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"C:\my documents\lever.htm"</definedName>
    <definedName name="HTML_Title" hidden="1">"leverage"</definedName>
    <definedName name="Limit" localSheetId="0">#REF!</definedName>
    <definedName name="Limit">#REF!</definedName>
    <definedName name="ly">#REF!</definedName>
    <definedName name="NH3入力">[2]NH3!$C$8:$C$9,[2]NH3!$F$9:$F$14,[2]NH3!$H$9:$H$14,[2]NH3!$C$7</definedName>
    <definedName name="Ownership" localSheetId="0" hidden="1">OFFSET([0]!Data.Top.Left,1,0)</definedName>
    <definedName name="Ownership" hidden="1">OFFSET([0]!Data.Top.Left,1,0)</definedName>
    <definedName name="Pa" localSheetId="0">#REF!</definedName>
    <definedName name="Pa">#REF!</definedName>
    <definedName name="PDS入力">[1]PDS!$C$8:$C$9,[1]PDS!$F$9:$F$14,[1]PDS!$H$9:$H$14,[1]PDS!$C$7</definedName>
    <definedName name="Po" localSheetId="0">#REF!</definedName>
    <definedName name="Po">#REF!</definedName>
    <definedName name="Print_Area" localSheetId="0">'1.Hợp đồng'!$A$1:$J$165</definedName>
    <definedName name="Print_Area" localSheetId="1">'2.Báo giá'!$A$1:$J$41</definedName>
    <definedName name="Print_Area" localSheetId="2">'3.Nhiệm thu'!$A$1:$J$53</definedName>
    <definedName name="Print_Area" localSheetId="3">'4.yêu cầu thanh toán'!$A$1:$J$55</definedName>
    <definedName name="Print_Area_MI" localSheetId="0">#REF!</definedName>
    <definedName name="Print_Area_MI">#REF!</definedName>
    <definedName name="Ps" localSheetId="0">#REF!</definedName>
    <definedName name="Ps">#REF!</definedName>
    <definedName name="Ｐv" localSheetId="0">#REF!</definedName>
    <definedName name="Ｐv">#REF!</definedName>
    <definedName name="Request" localSheetId="0">#REF!</definedName>
    <definedName name="Request">#REF!</definedName>
    <definedName name="S0x50入力">'[1]SOx 50'!$C$8:$C$9,'[1]SOx 50'!$C$12,'[1]SOx 50'!$F$9:$F$14,'[1]SOx 50'!$H$9:$H$14,'[1]SOx 50'!$C$7</definedName>
    <definedName name="Show.Acct.Update.Warning" localSheetId="0" hidden="1">#REF!</definedName>
    <definedName name="Show.Acct.Update.Warning" hidden="1">#REF!</definedName>
    <definedName name="Show.MDB.Update.Warning" localSheetId="0" hidden="1">#REF!</definedName>
    <definedName name="Show.MDB.Update.Warning" hidden="1">#REF!</definedName>
    <definedName name="SOx入力">'[1]SOx 10'!$C$8:$C$9,'[1]SOx 10'!$C$12,'[1]SOx 10'!$F$9:$F$14,'[1]SOx 10'!$H$9:$H$14,'[1]SOx 10'!$C$7</definedName>
    <definedName name="ｔ" localSheetId="0">#REF!</definedName>
    <definedName name="ｔ">#REF!</definedName>
    <definedName name="To" localSheetId="0">#REF!</definedName>
    <definedName name="To">#REF!</definedName>
    <definedName name="_xlnm.Print_Area" localSheetId="0">'1.Hợp đồng'!$A$1:$J$162</definedName>
    <definedName name="Xw" localSheetId="0">#REF!</definedName>
    <definedName name="Xw">#REF!</definedName>
    <definedName name="Zn入力">'[1]Zn NEDA'!$C$8:$C$9,'[1]Zn NEDA'!$F$9:$F$14,'[1]Zn NEDA'!$H$9:$H$14,'[1]Zn NEDA'!$C$7</definedName>
    <definedName name="γ" localSheetId="0">#REF!</definedName>
    <definedName name="γ">#REF!</definedName>
    <definedName name="γ0" localSheetId="0">#REF!</definedName>
    <definedName name="γ0">#REF!</definedName>
    <definedName name="θm" localSheetId="0">#REF!</definedName>
    <definedName name="θm">#REF!</definedName>
    <definedName name="θs" localSheetId="0">#REF!</definedName>
    <definedName name="θs">#REF!</definedName>
    <definedName name="あ" localSheetId="0">#REF!,#REF!,#REF!,#REF!</definedName>
    <definedName name="あ">#REF!,#REF!,#REF!,#REF!</definedName>
    <definedName name="あいう">[3]受注予算書（入力用）!$AE$79</definedName>
    <definedName name="一般入寮">[4]証明!$M$2:$M$9,[4]証明!$N$11:$N$13,[4]証明!$I$25:$I$31,[4]証明!$M$1</definedName>
    <definedName name="一般入力" localSheetId="0">#REF!,#REF!,#REF!,#REF!</definedName>
    <definedName name="一般入力">#REF!,#REF!,#REF!,#REF!</definedName>
    <definedName name="技師" localSheetId="0">#REF!</definedName>
    <definedName name="技師">#REF!</definedName>
    <definedName name="技師Ａ" localSheetId="0">#REF!</definedName>
    <definedName name="技師Ａ">#REF!</definedName>
    <definedName name="技師Ｂ" localSheetId="0">#REF!</definedName>
    <definedName name="技師Ｂ">#REF!</definedName>
    <definedName name="技師Ｃ" localSheetId="0">#REF!</definedName>
    <definedName name="技師Ｃ">#REF!</definedName>
    <definedName name="技師長" localSheetId="0">#REF!</definedName>
    <definedName name="技師長">#REF!</definedName>
    <definedName name="技師長ｂ" localSheetId="0">#REF!</definedName>
    <definedName name="技師長ｂ">#REF!</definedName>
    <definedName name="技師補ｂ" localSheetId="0">#REF!</definedName>
    <definedName name="技師補ｂ">#REF!</definedName>
    <definedName name="技術員" localSheetId="0">#REF!</definedName>
    <definedName name="技術員">#REF!</definedName>
    <definedName name="金属入力" localSheetId="0">#REF!,#REF!</definedName>
    <definedName name="金属入力">#REF!,#REF!</definedName>
    <definedName name="係数C" localSheetId="0">#REF!</definedName>
    <definedName name="係数C">#REF!</definedName>
    <definedName name="主任技師" localSheetId="0">#REF!</definedName>
    <definedName name="主任技師">#REF!</definedName>
    <definedName name="主任技師ｂ" localSheetId="0">#REF!</definedName>
    <definedName name="主任技師ｂ">#REF!</definedName>
    <definedName name="助手ｂ" localSheetId="0">#REF!</definedName>
    <definedName name="助手ｂ">#REF!</definedName>
    <definedName name="分析利益" localSheetId="0">#REF!</definedName>
    <definedName name="分析利益">#REF!</definedName>
    <definedName name="報告台帳" localSheetId="0">#REF!</definedName>
    <definedName name="報告台帳">#REF!</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 i="4" l="1"/>
  <c r="B13" i="3" l="1"/>
  <c r="A46" i="3"/>
  <c r="D37" i="3"/>
  <c r="D36" i="3"/>
  <c r="D29" i="3"/>
  <c r="D27" i="3"/>
  <c r="G40" i="4"/>
  <c r="J39" i="4"/>
  <c r="J30" i="4"/>
  <c r="J25" i="4"/>
  <c r="J24" i="4"/>
  <c r="J23" i="4"/>
  <c r="J22" i="4"/>
  <c r="J21" i="4"/>
  <c r="J20" i="4"/>
  <c r="J18" i="4"/>
  <c r="J17" i="4"/>
  <c r="N16" i="4"/>
  <c r="Q16" i="4" s="1"/>
  <c r="Q15" i="4"/>
  <c r="N15" i="4"/>
  <c r="T15" i="4" s="1"/>
  <c r="I13" i="4"/>
  <c r="G7" i="4" s="1"/>
  <c r="C12" i="4"/>
  <c r="B31" i="3"/>
  <c r="R16" i="4" l="1"/>
  <c r="R15" i="4"/>
  <c r="O16" i="4"/>
  <c r="S16" i="4"/>
  <c r="O15" i="4"/>
  <c r="S15" i="4"/>
  <c r="P16" i="4"/>
  <c r="T16" i="4"/>
  <c r="J40" i="4"/>
  <c r="J41" i="4" s="1"/>
  <c r="P15" i="4"/>
  <c r="C20" i="3" l="1"/>
  <c r="C19" i="3"/>
  <c r="C18" i="3"/>
  <c r="B17" i="3"/>
  <c r="A55" i="3"/>
  <c r="D38" i="3"/>
  <c r="H39" i="2" l="1"/>
  <c r="H38" i="2"/>
  <c r="D36" i="2"/>
  <c r="D29" i="2"/>
  <c r="C18" i="2"/>
  <c r="C20" i="2"/>
  <c r="C19" i="2"/>
  <c r="B17" i="2"/>
  <c r="B15" i="2"/>
  <c r="B15" i="3" s="1"/>
  <c r="F44" i="2"/>
  <c r="A17" i="1" l="1"/>
  <c r="F129" i="1" l="1"/>
  <c r="C129" i="1"/>
  <c r="B129" i="1"/>
  <c r="J66" i="1"/>
  <c r="I66" i="1"/>
  <c r="H66" i="1"/>
  <c r="G66" i="1"/>
  <c r="F66" i="1"/>
  <c r="E66" i="1"/>
  <c r="D66" i="1"/>
  <c r="C66" i="1"/>
  <c r="B66" i="1"/>
  <c r="J65" i="1"/>
  <c r="I65" i="1"/>
  <c r="H65" i="1"/>
  <c r="G65" i="1"/>
  <c r="F65" i="1"/>
  <c r="E65" i="1"/>
  <c r="D65" i="1"/>
  <c r="C65" i="1"/>
</calcChain>
</file>

<file path=xl/sharedStrings.xml><?xml version="1.0" encoding="utf-8"?>
<sst xmlns="http://schemas.openxmlformats.org/spreadsheetml/2006/main" count="303" uniqueCount="227">
  <si>
    <t>CÔNG TY TNHH CHUGAI TECHNOS VIỆT NAM</t>
  </si>
  <si>
    <t>CỘNG HÒA XÃ HỘI CHỦ NGHĨA VIỆT NAM</t>
  </si>
  <si>
    <t>ĐỘC LẬP - TỰ DO - HẠNH PHÚC</t>
  </si>
  <si>
    <t>HỢP ĐỒNG DỊCH VỤ</t>
  </si>
  <si>
    <t>-Căn cứ bộ Luật dân sự số 33/2005/QH11 được Quốc hội nước Cộng Hòa Xã Hội Chủ Nghĩa Việt Nam thông qua ngày 14/06/2005.
-Căn cứ Luật thương mại số 36/2005 /QH11 ban hành ngày 14/06/2005 của Quốc Hội nước Cộng Hoà Xã Hội Chủ Nghĩa Việt Nam.</t>
  </si>
  <si>
    <t>Căn cứ vào nhu cầu và khả năng của hai bên.</t>
  </si>
  <si>
    <t>Bên A</t>
  </si>
  <si>
    <t>：</t>
  </si>
  <si>
    <t>Đại diện bởi</t>
  </si>
  <si>
    <t>Chức vụ</t>
  </si>
  <si>
    <t>Tổng giám đốc</t>
  </si>
  <si>
    <t>Địa chỉ</t>
  </si>
  <si>
    <t>Điện thoại</t>
  </si>
  <si>
    <t>Fax</t>
    <phoneticPr fontId="0"/>
  </si>
  <si>
    <t>Mã số thuế</t>
  </si>
  <si>
    <t>Sau đây được gọi tắt là bên A.</t>
  </si>
  <si>
    <t>Bên B</t>
  </si>
  <si>
    <t>Ông Masami Oue</t>
  </si>
  <si>
    <t>66 Cao Triều Phát, Khu phố Hưng Gia 4, Phường Tân Phong, Quận 7, TP.HCM</t>
  </si>
  <si>
    <t>+84-8-5410-9111</t>
    <phoneticPr fontId="0"/>
  </si>
  <si>
    <t>+84-8-5410-9222</t>
    <phoneticPr fontId="0"/>
  </si>
  <si>
    <t>0312737198</t>
    <phoneticPr fontId="0"/>
  </si>
  <si>
    <t>Chủ tài khoản</t>
  </si>
  <si>
    <t>:</t>
  </si>
  <si>
    <t>CHUGAI TECHNOS VIETNAM COMPANY LIMITED</t>
    <phoneticPr fontId="0"/>
  </si>
  <si>
    <t>Số tài khoản</t>
  </si>
  <si>
    <t>Ngân hàng</t>
  </si>
  <si>
    <t>Ngân hàng Sumitomo Mitsui chi nhánh Hồ Chí Minh</t>
  </si>
  <si>
    <t>Sau đây được gọi tắt là bên B.</t>
  </si>
  <si>
    <t>Hai bên đồng ý ký kết hợp đồng cung cấp dịch vụ với các điều khoản như sau:</t>
  </si>
  <si>
    <t>Điều I ： THÔNG TIN DỊCH VỤ</t>
  </si>
  <si>
    <t>1．1</t>
  </si>
  <si>
    <t>Bên B đồng ý cung cấp cho bên A các dịch vụ có nội dung như sau:</t>
  </si>
  <si>
    <t>Tên dịch vụ</t>
  </si>
  <si>
    <t>Đo đạc khí thải</t>
  </si>
  <si>
    <t>Tại nước</t>
  </si>
  <si>
    <t>Việt Nam</t>
  </si>
  <si>
    <t>Ngày đo</t>
  </si>
  <si>
    <t>1．2</t>
  </si>
  <si>
    <t>Tất cả các dịch vụ bên B cung cấp cho bên A được nêu đầy đủ trong báo giá đính kèm dưới đây. Báo giá này cũng là một phần của hợp đồng này.</t>
  </si>
  <si>
    <t>Điều II: GIÁ TRỊ HỢP ĐỒNG</t>
  </si>
  <si>
    <t>2．1</t>
  </si>
  <si>
    <t>2．2</t>
  </si>
  <si>
    <t>Điều III: ĐIỀU KHOẢN THANH TOÁN</t>
  </si>
  <si>
    <t>Việc thanh toán được thực hiện bằng chuyển khoản vào tài khoản Việt Nam đồng như sau:</t>
  </si>
  <si>
    <t>3．1</t>
  </si>
  <si>
    <t>3．2</t>
  </si>
  <si>
    <t>Trong trường hợp chậm thanh toán, ngoài tổng giá trị hợp đồng, bên A phải trả cho bên B một khoản tiền phạt tăng thêm bằng lãi suất của ngân hàng Sumitomo Mitsui Việt Nam trong khoảng thời gian chậm thanh toán.</t>
  </si>
  <si>
    <t>Điều IV: ĐIỀU KHOẢN DI CHUYỂN</t>
  </si>
  <si>
    <t>4．1</t>
  </si>
  <si>
    <t>Mọi nhân công và trang thiết bị bao gồm hàng tiêu dùng và thiết bị phân tích được chuyển đến địa điểm đo đạc vào đúng thời gian như được mô tả trong báo giá đính kèm.</t>
  </si>
  <si>
    <t>Điều V: ĐIỀU KHOẢN BẢO ĐẢM</t>
  </si>
  <si>
    <t>5．1</t>
  </si>
  <si>
    <t>Trong trường hợp có bất kỳ thay đổi gì về thời điểm thực hiện dịch vụ, nội dung phân tích, số lượng kỹ sư, trang thiết bị, vân vân, bên A liên hệ trực tiếp với bên B  theo số điện thoại ( +84-8-5410-9111 ) hoặc Fax：( +84-8-5410-9222 ). Bên B có trách nhiệm giải quyết các thay đổi trên.</t>
  </si>
  <si>
    <t>Điều VI: TRÁCH NHIỆM CÁC BÊN</t>
  </si>
  <si>
    <t>Điều khoản này mô tả trách nhiệm cụ thể của từng bên như sau:</t>
  </si>
  <si>
    <t>Bên A có trách nhiệm:</t>
  </si>
  <si>
    <t>-</t>
    <phoneticPr fontId="0"/>
  </si>
  <si>
    <t>Cung cấp các điều kiện thuận lợi để bên B thực hiện dịch vụ, bao gồm dọn dẹp mặt bằng, hàng hóa hay vật liệu cản trở công việc của bên B.</t>
  </si>
  <si>
    <t>Cung cấp nơi bảo quản an toàn cho các trang thiết bị của bên B, tránh hỏng hóc, mất cắp.</t>
  </si>
  <si>
    <t>Cung cấp hồ sơ, giấy chứng nhận cho phép bên B mang nhân công, thiết bị vào khu vực đo đạc.</t>
  </si>
  <si>
    <t>Chấp thuận và giữ các thiết bị do bên B chuyển đến ở nơi an toàn.</t>
  </si>
  <si>
    <t>Cung cấp đầy đủ nguồn điện và các điều kiện liên quan.</t>
  </si>
  <si>
    <t>Phối hợp với bên B kiểm tra trong quá trình thực hiện dịch vụ.</t>
  </si>
  <si>
    <t>Cả bên A và bên B đều không được tiết lộ cho bất cứ bên thứ ba nào những thông tin mật của nhau (bao gồm tất cả nội dung của hợp đồng này) trước và sau khi hợp đồng này hết hạn hoặc chấm dứt.</t>
  </si>
  <si>
    <t>Bên B có trách nhiệm:</t>
  </si>
  <si>
    <t>Chuyên chở nhân công và phương tiện đến địa điểm đo đạc đúng giờ, tuân thủ các yêu cầu được thỏa thuận trong hợp đồng này.</t>
  </si>
  <si>
    <t>Chịu tất cả các chi phí liên quan đến dịch vụ, bao gồm phí nhân công, phí chuyên chở tất cả các nhân công và thiết bị đến địa điểm đo đạc, phí thuê máy móc, dụng cụ.</t>
  </si>
  <si>
    <t>Quản lý mọi thành viên của bên B trong quá trình thực hiện dịch vụ, tuân thủ quy định về an toàn lao động và phòng cháy chữa cháy tại địa điểm đo đạc, bồi thường mọi thiệt hại và tổn thất gây ra bởi việc làm việc thiếu an toàn của bên B.</t>
  </si>
  <si>
    <t>Hoàn toàn tuân thủ hợp đồng sơ cấp và hợp đồng thứ cấp về thời khóa biểu làm việc.
Báo cáo các vấn đề phát sinh trong quá trình thực hiện dịch vụ cho bên A để tìm cách khắc phục.</t>
  </si>
  <si>
    <t>-</t>
  </si>
  <si>
    <t>Điều VII: KIỂM TRA VÀ BÀN GIAO</t>
  </si>
  <si>
    <t>7．1</t>
  </si>
  <si>
    <t>Sau khi hoàn thành dịch vụ, bên B phải báo cho bên A lịch trình gửi báo cáo cuối cùng và biên bản bàn giao.</t>
  </si>
  <si>
    <t>7．2</t>
  </si>
  <si>
    <t>Nếu bên A, với bất kỳ lý do nào, không thực hiện trách nhiệm kiểm tra và bàn giao trong vòng 10 (mười) ngày kể từ ngày nhận được thông báo của bên B, báo cáo cuối cùng được mặc nhiên xem như đã được kiểm tra và bàn giao cho bên A.</t>
  </si>
  <si>
    <t>Điều VIII: ĐỊA ĐIỂM NHẬN THÔNG BÁO</t>
  </si>
  <si>
    <t>Tất cả các thông báo cho 02 (hai) bên cần được chuyển đến các địa chỉ sau:</t>
  </si>
  <si>
    <t xml:space="preserve">Người nhận: </t>
  </si>
  <si>
    <t>Bên B:</t>
  </si>
  <si>
    <t>Điều IX: Giải quyết tranh chấp</t>
  </si>
  <si>
    <t>9．1</t>
  </si>
  <si>
    <t>Hai bên phải thông báo cho nhau về tiến độ thực hiện công việc. Bất cứ vấn đề gì phát sinh từ thỏa thuận này sẽ được giải quyết trước hết bằng thái độ hợp tác. Việc chấm dứt đơn phương hợp đồng này là không được chấp nhận.</t>
  </si>
  <si>
    <t>9．2</t>
  </si>
  <si>
    <t>Trong trường hợp 02 (hai) bên không tự giải quyết được tranh chấp, vụ việc sẽ được đưa ra Trung Tâm Trọng Tài Quốc Tế Việt Nam, trực thuộc Phòng Thương Mại và Công Nghiệp Việt Nam giải quyết.</t>
  </si>
  <si>
    <t>9．3</t>
  </si>
  <si>
    <t>Nếu trọng tài nêu trên không giải quyết được tranh chấp giữa 02 (hai) bên, bên A hoặc bên B hoặc cả hai bên có quyền yêu cầu Tòa Án Kinh Tế thành phố Hồ Chí Minh giải quyết. Phán quyết của toàn án được xem như phán quyết cuối cùng và được 02 (hai) bên tuân thủ.</t>
  </si>
  <si>
    <t>Điều X: ĐIỀU KHOẢN CHUNG</t>
  </si>
  <si>
    <t>10．1</t>
  </si>
  <si>
    <t>Hai bên hoàn toàn đồng ý với các điều khoản và điều kiện quy định trong hợp đồng này. Mọi thay đổi cần được hai bên đồng thuận và được thể hiện bằng văn bản với chữ ký hợp pháp từ đại diện có thẩm quyền của hai bên.</t>
  </si>
  <si>
    <t>10．2</t>
  </si>
  <si>
    <t>Toàn bộ giá trị hợp đồng này là 13,970,000 VNĐ</t>
  </si>
  <si>
    <t>(Bằng chữ: mười ba triệu chín trăm bảy mươi ngàn Việt Nam đồng chẵn)</t>
  </si>
  <si>
    <t>Toàn bộ giá trị hợp đồng này bao gồm chi phí nhân công, chi phí chung, phí phân tích, vân vân. Giá trị hợp đồng đã bao gồm thuế VAT 10%</t>
  </si>
  <si>
    <t>VND</t>
  </si>
  <si>
    <t>Tên nhà máy cần đo</t>
  </si>
  <si>
    <t>Nhà máy Hóa chất Đồng Nai - Công ty Cổ phần Hóa chất Cơ bản</t>
  </si>
  <si>
    <t>KCN Biên Hòa 1, phường An Bình, Tp. Biên Hòa, tỉnh Đồng Nai</t>
  </si>
  <si>
    <t>Bên A:</t>
  </si>
  <si>
    <t>Báo giá số:</t>
  </si>
  <si>
    <t>SỐ:</t>
  </si>
  <si>
    <t>Hợp đồng này được viết bằng tiếng Việt, và được biên thành 02 (hai) bản, mỗi bên giữ 01 (một) tất cả đều có giá trị ngang nhau.</t>
  </si>
  <si>
    <t>TRUNG TÂM QUAN TRẮC VÀ KỸ THUẬT MÔI TRƯỜNG</t>
  </si>
  <si>
    <t xml:space="preserve">061.3895672-3     </t>
  </si>
  <si>
    <t>061.3895669</t>
  </si>
  <si>
    <t xml:space="preserve">Bà Lê Thị Thanh Thủy </t>
  </si>
  <si>
    <t>Giám Đốc</t>
  </si>
  <si>
    <t xml:space="preserve">Hợp đồng có hiệu lực kể từ ngày ký và sẽ tự động thanh lý sau khi 02 bên thực hiện đầy đủ các điều </t>
  </si>
  <si>
    <t>khoản trong hợp đồng mà không có bất kỳ khiếu nại nào</t>
  </si>
  <si>
    <t>Sản phẩm hợp đồng là 03 (ba) bộ kết quả (hoặc báo cáo phân tích) / 01 mẫu phân tích chất lượng mẫu khí thải.</t>
  </si>
  <si>
    <t>CCTVN-DCEM-201612-02</t>
  </si>
  <si>
    <t>QCTVN201612-02</t>
  </si>
  <si>
    <t>Bên A chuyển cho bên B 100% giá trị hợp đồng trước ngày 31/12/2016.</t>
  </si>
  <si>
    <t>CÔNG TY TNHH CHUGAI TECHNOS VIỆT NAM</t>
    <phoneticPr fontId="3"/>
  </si>
  <si>
    <t>Số 66 Cao Triều Phát, Khu phố Hưng Gia 4, phường Tân Phong, quận 7, thành phố Hồ Chí Minh</t>
    <phoneticPr fontId="3"/>
  </si>
  <si>
    <t>BIÊN BẢN NGHIỆM THU</t>
    <phoneticPr fontId="3"/>
  </si>
  <si>
    <t>Ngày:</t>
    <phoneticPr fontId="3"/>
  </si>
  <si>
    <t>Nếu quý công ty có bất kì phản hồi nào, xin hãy liên hệ với chúng tôi</t>
    <phoneticPr fontId="3"/>
  </si>
  <si>
    <t>Chúng tôi luôn hoan nghênh mọi sự góp ý từ phía quý công ty.</t>
    <phoneticPr fontId="3"/>
  </si>
  <si>
    <t>Nội dung:</t>
    <phoneticPr fontId="3"/>
  </si>
  <si>
    <t>Nội dung dịch vụ</t>
    <phoneticPr fontId="3"/>
  </si>
  <si>
    <t>Điều kiện:</t>
    <phoneticPr fontId="3"/>
  </si>
  <si>
    <t xml:space="preserve">Ngày hoàn thành </t>
    <phoneticPr fontId="3"/>
  </si>
  <si>
    <t>Địa điểm</t>
    <phoneticPr fontId="3"/>
  </si>
  <si>
    <t>Ghi chú</t>
    <phoneticPr fontId="3"/>
  </si>
  <si>
    <t xml:space="preserve">Căn cứ </t>
    <phoneticPr fontId="3"/>
  </si>
  <si>
    <t>Báo giá/ đơn đặt hàng số</t>
    <phoneticPr fontId="3"/>
  </si>
  <si>
    <t>Chữ ký và con dấu công ty</t>
    <phoneticPr fontId="3"/>
  </si>
  <si>
    <t>Kính gửi quý trung tâm,</t>
  </si>
  <si>
    <t>Địa chỉ：</t>
  </si>
  <si>
    <t>MST:</t>
  </si>
  <si>
    <t>Số 520, đường Đồng Khởi, phường Tân Hiệp, Tp. Biên Hòa, tỉnh Đồng Nai.</t>
  </si>
  <si>
    <t>3 bản</t>
  </si>
  <si>
    <t xml:space="preserve">Báo caó phân tích: </t>
  </si>
  <si>
    <t>Hợp đồng số</t>
  </si>
  <si>
    <t>Số điện thoại：08-5410-9111 ；　Fax：08-5410-9222</t>
  </si>
  <si>
    <t>Website：http://www.chugai-tec.co.jp/</t>
  </si>
  <si>
    <t>Gửi đến：</t>
  </si>
  <si>
    <t>Điện thoại ：</t>
  </si>
  <si>
    <t>Fax：</t>
  </si>
  <si>
    <t xml:space="preserve">Chúng tôi đã hoàn thành dịch vụ của mình theo hợp đồng đã ký kết, dưới đây là những hạng mục báo cáo </t>
  </si>
  <si>
    <t>mà chúng tôi đã hoàn thành, xin hãy xác nhận bằng chữ ký vào biên bản này.</t>
  </si>
  <si>
    <t>Quốc gia</t>
  </si>
  <si>
    <t>XÁC NHẬN CỦA KHÁCH HÀNG</t>
  </si>
  <si>
    <t>YÊU CẦU THANH TOÁN</t>
    <phoneticPr fontId="3"/>
  </si>
  <si>
    <t>Gửi đến:</t>
    <phoneticPr fontId="3"/>
  </si>
  <si>
    <t>Địa chỉ:</t>
    <phoneticPr fontId="3"/>
  </si>
  <si>
    <t>Kính gửi quý công ty</t>
    <phoneticPr fontId="3"/>
  </si>
  <si>
    <t>Giá trị hợp đồng</t>
    <phoneticPr fontId="3"/>
  </si>
  <si>
    <t>：</t>
    <phoneticPr fontId="3"/>
  </si>
  <si>
    <t>Giá trị cần thanh toán</t>
    <phoneticPr fontId="3"/>
  </si>
  <si>
    <t>Xin hãy thanh toán cho chúng tôi bằng hình thức chuyển khoản vào tài khoản của Công ty TNHH Chugai Technos Việt Nam:</t>
    <phoneticPr fontId="3"/>
  </si>
  <si>
    <t>Tên tài khoản</t>
    <phoneticPr fontId="3"/>
  </si>
  <si>
    <t>Số tài khoản</t>
    <phoneticPr fontId="3"/>
  </si>
  <si>
    <t>Ngân hàng</t>
    <phoneticPr fontId="3"/>
  </si>
  <si>
    <t>Rất cảm ơn sự hợp tác của quý công ty</t>
    <phoneticPr fontId="3"/>
  </si>
  <si>
    <t>Trân trọng!</t>
    <phoneticPr fontId="3"/>
  </si>
  <si>
    <t>Điện thoại:</t>
  </si>
  <si>
    <t>Căn cứ vào hợp đồng kinh tế số: CCTVN-DCEM-201612-02 được lập ngày 6/12/2016 giữa CÔNG TY TNHH CHUGAI TECHNOS VIỆT NAM và TRUNG TÂM QUAN TRẮC VÀ KỸ THUẬT MÔI TRƯỜNG , xin hãy tiến hành thanh toán cho chúng tôi những khoản có giá trị như sau：</t>
  </si>
  <si>
    <t>BÁO GIÁ CHI TIẾT</t>
  </si>
  <si>
    <t>CHUGAI TECHNOS VIETNAM CO.,LTD</t>
    <phoneticPr fontId="17"/>
  </si>
  <si>
    <t>Dịch vụ:</t>
  </si>
  <si>
    <t>Kính gửi quý công ty, chúng tôi xin thông báo báo giá của 
công ty chúng tôi：</t>
  </si>
  <si>
    <t>Số 66 Cao Triều Phát, Khu phố Hưng Gia 4, phường Tân Phong, quận 7, tp.Hồ Chí Minh</t>
  </si>
  <si>
    <t>TEL +84-8-5410-9111   FAX +84-8-5410-9222</t>
    <phoneticPr fontId="14"/>
  </si>
  <si>
    <r>
      <t>B</t>
    </r>
    <r>
      <rPr>
        <b/>
        <sz val="12"/>
        <rFont val="ＭＳ ゴシック"/>
        <family val="3"/>
        <charset val="128"/>
      </rPr>
      <t>．</t>
    </r>
    <r>
      <rPr>
        <b/>
        <sz val="12"/>
        <rFont val="Arial"/>
        <family val="2"/>
      </rPr>
      <t>Overtime Money</t>
    </r>
  </si>
  <si>
    <r>
      <t>Địa điểm</t>
    </r>
    <r>
      <rPr>
        <sz val="11"/>
        <rFont val="ＭＳ Ｐゴシック"/>
        <family val="3"/>
        <charset val="128"/>
      </rPr>
      <t>：</t>
    </r>
  </si>
  <si>
    <r>
      <t>Currency</t>
    </r>
    <r>
      <rPr>
        <b/>
        <sz val="10"/>
        <rFont val="ＭＳ Ｐゴシック"/>
        <family val="3"/>
        <charset val="128"/>
      </rPr>
      <t>：</t>
    </r>
    <r>
      <rPr>
        <b/>
        <sz val="10"/>
        <rFont val="Arial"/>
        <family val="2"/>
      </rPr>
      <t>JPY</t>
    </r>
  </si>
  <si>
    <r>
      <t>Hiệu lực</t>
    </r>
    <r>
      <rPr>
        <sz val="11"/>
        <rFont val="ＭＳ Ｐゴシック"/>
        <family val="3"/>
        <charset val="128"/>
      </rPr>
      <t>：</t>
    </r>
  </si>
  <si>
    <t>30 ngày</t>
  </si>
  <si>
    <r>
      <t>Trách nhiệm báo giá</t>
    </r>
    <r>
      <rPr>
        <sz val="9"/>
        <rFont val="ＭＳ Ｐゴシック"/>
        <family val="3"/>
        <charset val="128"/>
      </rPr>
      <t>：</t>
    </r>
  </si>
  <si>
    <t>Total salary</t>
    <phoneticPr fontId="14"/>
  </si>
  <si>
    <t>Basic unit price(A)</t>
    <phoneticPr fontId="14"/>
  </si>
  <si>
    <t>Weekday</t>
    <phoneticPr fontId="14"/>
  </si>
  <si>
    <r>
      <t>Holiday(Sat and Sun</t>
    </r>
    <r>
      <rPr>
        <sz val="10"/>
        <rFont val="ＭＳ Ｐゴシック"/>
        <family val="3"/>
        <charset val="128"/>
      </rPr>
      <t>）</t>
    </r>
  </si>
  <si>
    <t>Public holiday</t>
    <phoneticPr fontId="14"/>
  </si>
  <si>
    <t>Day</t>
    <phoneticPr fontId="14"/>
  </si>
  <si>
    <t>Midnight</t>
    <phoneticPr fontId="14"/>
  </si>
  <si>
    <t>Mục</t>
  </si>
  <si>
    <t>Nội dung</t>
  </si>
  <si>
    <t>số lượng</t>
  </si>
  <si>
    <t>Đơn vị</t>
  </si>
  <si>
    <t>Đơn giá(VNĐ)</t>
  </si>
  <si>
    <t>Price</t>
    <phoneticPr fontId="17"/>
  </si>
  <si>
    <r>
      <t>1</t>
    </r>
    <r>
      <rPr>
        <sz val="11"/>
        <rFont val="ＭＳ Ｐゴシック"/>
        <family val="3"/>
        <charset val="128"/>
      </rPr>
      <t>．</t>
    </r>
  </si>
  <si>
    <t>Chi phí lấy mẫu hiện trường</t>
  </si>
  <si>
    <t>(1)</t>
  </si>
  <si>
    <t>HCl</t>
  </si>
  <si>
    <t>Mẫu</t>
  </si>
  <si>
    <r>
      <rPr>
        <sz val="10"/>
        <rFont val="ＭＳ Ｐゴシック"/>
        <family val="3"/>
        <charset val="128"/>
      </rPr>
      <t>※Ａ＝</t>
    </r>
    <r>
      <rPr>
        <sz val="10"/>
        <rFont val="Arial"/>
        <family val="2"/>
      </rPr>
      <t>Basic Salary</t>
    </r>
    <r>
      <rPr>
        <sz val="10"/>
        <rFont val="ＭＳ Ｐゴシック"/>
        <family val="3"/>
        <charset val="128"/>
      </rPr>
      <t>／</t>
    </r>
    <r>
      <rPr>
        <sz val="10"/>
        <rFont val="Arial"/>
        <family val="2"/>
      </rPr>
      <t>22days</t>
    </r>
    <r>
      <rPr>
        <sz val="10"/>
        <rFont val="ＭＳ Ｐゴシック"/>
        <family val="3"/>
        <charset val="128"/>
      </rPr>
      <t>／</t>
    </r>
    <r>
      <rPr>
        <sz val="10"/>
        <rFont val="Arial"/>
        <family val="2"/>
      </rPr>
      <t>8 hours</t>
    </r>
  </si>
  <si>
    <t>(2)</t>
  </si>
  <si>
    <t>NH3</t>
  </si>
  <si>
    <t>Midnight Overtime is between p.m 21:00 and a.m 5:00</t>
    <phoneticPr fontId="3"/>
  </si>
  <si>
    <r>
      <t>2</t>
    </r>
    <r>
      <rPr>
        <sz val="11"/>
        <rFont val="ＭＳ Ｐゴシック"/>
        <family val="3"/>
        <charset val="128"/>
      </rPr>
      <t>．</t>
    </r>
  </si>
  <si>
    <t>Chi phí phân tích</t>
  </si>
  <si>
    <t>3.</t>
  </si>
  <si>
    <t>Chi phí nhân công</t>
  </si>
  <si>
    <t>Người</t>
  </si>
  <si>
    <t>3.1</t>
  </si>
  <si>
    <t>Chi phí chuẩn bị thiết bị</t>
  </si>
  <si>
    <t>3.2</t>
  </si>
  <si>
    <t>Chi phí viết báo cáo</t>
  </si>
  <si>
    <t>5.</t>
  </si>
  <si>
    <t>Chi phí thiết bị, tiêu thụ phẩm</t>
  </si>
  <si>
    <t>Bộ</t>
  </si>
  <si>
    <t>※Accommodation fee is actual cost includind breakfast.</t>
    <phoneticPr fontId="17"/>
  </si>
  <si>
    <t>ống lấy mẫu,thiết bị đo lưu lượng, bơm</t>
  </si>
  <si>
    <t>※Daily allowance is from depature day to arrival day.</t>
    <phoneticPr fontId="17"/>
  </si>
  <si>
    <t>thiết bị đo nhiệt độ, áp suất, ống hấp thụ</t>
  </si>
  <si>
    <t>Giấy lấy bụi, dung dịch hấp thụ……..</t>
  </si>
  <si>
    <t>※Immunization shoud be charged an actual cost price including man-hour spent</t>
    <phoneticPr fontId="17"/>
  </si>
  <si>
    <t>Tổng giá trị thực hiện</t>
  </si>
  <si>
    <t xml:space="preserve">VAT  </t>
    <phoneticPr fontId="17"/>
  </si>
  <si>
    <r>
      <rPr>
        <sz val="11"/>
        <rFont val="ＭＳ Ｐゴシック"/>
        <family val="3"/>
        <charset val="128"/>
      </rPr>
      <t>％</t>
    </r>
  </si>
  <si>
    <t>VAT=</t>
    <phoneticPr fontId="3"/>
  </si>
  <si>
    <t>%</t>
    <phoneticPr fontId="3"/>
  </si>
  <si>
    <t>Tổng giá</t>
  </si>
  <si>
    <t>VAT need in Vietnam</t>
    <phoneticPr fontId="3"/>
  </si>
  <si>
    <t>VNĐ</t>
  </si>
  <si>
    <t>Bằng chữ:</t>
  </si>
  <si>
    <t>4</t>
  </si>
  <si>
    <t>Chi phí vận chuyển thiết bị</t>
  </si>
  <si>
    <t>Tới:  TRUNG TÂM QUAN TRẮC VÀ KỸ THUẬT MÔI TRƯỜNG</t>
  </si>
  <si>
    <t>6-12-2016</t>
  </si>
  <si>
    <t xml:space="preserve">Ngày đo </t>
  </si>
  <si>
    <t>14/12/2016</t>
  </si>
  <si>
    <t>20/12/2016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</si>
</sst>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409]d\-mmm\-yy;@"/>
    <numFmt numFmtId="165" formatCode="[$-409]dd\-mmm\-yy;@"/>
    <numFmt numFmtId="166" formatCode="#,###,###"/>
    <numFmt numFmtId="167" formatCode="[$-1010000]d/m/yyyy;@"/>
    <numFmt numFmtId="168" formatCode="&quot;¥&quot;#,###&quot;－&quot;"/>
    <numFmt numFmtId="169" formatCode="&quot;作番　&quot;@"/>
    <numFmt numFmtId="170" formatCode="&quot;購買依頼　NO．　&quot;@"/>
    <numFmt numFmtId="171" formatCode="0.0_ "/>
    <numFmt numFmtId="172" formatCode="0_ "/>
    <numFmt numFmtId="173" formatCode="0.0"/>
  </numFmts>
  <fonts count="36" x14ac:knownFonts="1">
    <font>
      <sz val="11"/>
      <color theme="1"/>
      <name val="Calibri"/>
      <family val="2"/>
      <scheme val="minor"/>
    </font>
    <font>
      <sz val="11"/>
      <color theme="1"/>
      <name val="Calibri"/>
      <family val="2"/>
      <scheme val="minor"/>
    </font>
    <font>
      <sz val="11"/>
      <name val="Times New Roman"/>
      <family val="1"/>
    </font>
    <font>
      <sz val="11"/>
      <name val="Arial"/>
      <family val="2"/>
    </font>
    <font>
      <sz val="10"/>
      <name val="Times New Roman"/>
      <family val="1"/>
    </font>
    <font>
      <sz val="20"/>
      <name val="Arial"/>
      <family val="2"/>
    </font>
    <font>
      <b/>
      <sz val="11"/>
      <name val="Times New Roman"/>
      <family val="1"/>
    </font>
    <font>
      <sz val="11"/>
      <name val="ＭＳ Ｐゴシック"/>
      <family val="3"/>
      <charset val="128"/>
    </font>
    <font>
      <b/>
      <sz val="11"/>
      <name val="Arial"/>
      <family val="2"/>
    </font>
    <font>
      <b/>
      <u/>
      <sz val="11"/>
      <name val="Times New Roman"/>
      <family val="1"/>
    </font>
    <font>
      <u/>
      <sz val="11"/>
      <name val="Times New Roman"/>
      <family val="1"/>
    </font>
    <font>
      <sz val="8.8000000000000007"/>
      <name val="Arial"/>
      <family val="2"/>
    </font>
    <font>
      <b/>
      <sz val="9"/>
      <name val="Times New Roman"/>
      <family val="1"/>
    </font>
    <font>
      <sz val="10.5"/>
      <name val="Times New Roman"/>
      <family val="1"/>
    </font>
    <font>
      <sz val="10.5"/>
      <name val="Arial"/>
      <family val="2"/>
    </font>
    <font>
      <b/>
      <sz val="10.5"/>
      <name val="Arial"/>
      <family val="2"/>
    </font>
    <font>
      <sz val="12"/>
      <color theme="1"/>
      <name val="Times New Roman"/>
      <family val="1"/>
    </font>
    <font>
      <sz val="22"/>
      <color theme="1"/>
      <name val="Times New Roman"/>
      <family val="1"/>
    </font>
    <font>
      <sz val="11"/>
      <color rgb="FFFF0000"/>
      <name val="Arial"/>
      <family val="2"/>
    </font>
    <font>
      <sz val="18"/>
      <name val="Arial"/>
      <family val="2"/>
    </font>
    <font>
      <b/>
      <sz val="12"/>
      <name val="Arial"/>
      <family val="2"/>
    </font>
    <font>
      <sz val="16"/>
      <name val="Arial"/>
      <family val="2"/>
    </font>
    <font>
      <sz val="10"/>
      <name val="Arial"/>
      <family val="2"/>
    </font>
    <font>
      <b/>
      <sz val="12"/>
      <name val="ＭＳ ゴシック"/>
      <family val="3"/>
      <charset val="128"/>
    </font>
    <font>
      <b/>
      <sz val="10"/>
      <name val="Arial"/>
      <family val="2"/>
    </font>
    <font>
      <b/>
      <sz val="10"/>
      <name val="ＭＳ Ｐゴシック"/>
      <family val="3"/>
      <charset val="128"/>
    </font>
    <font>
      <sz val="9"/>
      <name val="Arial"/>
      <family val="2"/>
    </font>
    <font>
      <sz val="9"/>
      <name val="ＭＳ Ｐゴシック"/>
      <family val="3"/>
      <charset val="128"/>
    </font>
    <font>
      <sz val="10"/>
      <name val="ＭＳ Ｐゴシック"/>
      <family val="3"/>
      <charset val="128"/>
    </font>
    <font>
      <sz val="11"/>
      <name val="Arial Unicode MS"/>
      <family val="3"/>
      <charset val="128"/>
    </font>
    <font>
      <b/>
      <sz val="11"/>
      <name val="ＭＳ Ｐゴシック"/>
      <family val="3"/>
      <charset val="128"/>
    </font>
    <font>
      <b/>
      <sz val="14"/>
      <name val="Times New Roman"/>
      <family val="1"/>
    </font>
    <font>
      <sz val="22"/>
      <name val="Times New Roman"/>
      <family val="1"/>
    </font>
    <font>
      <sz val="12"/>
      <name val="Times New Roman"/>
      <family val="1"/>
    </font>
    <font>
      <u/>
      <sz val="12"/>
      <name val="Times New Roman"/>
      <family val="1"/>
    </font>
    <font>
      <b/>
      <sz val="12"/>
      <name val="Times New Roman"/>
      <family val="1"/>
    </font>
  </fonts>
  <fills count="3">
    <fill>
      <patternFill patternType="none"/>
    </fill>
    <fill>
      <patternFill patternType="gray125"/>
    </fill>
    <fill>
      <patternFill patternType="solid">
        <fgColor theme="0"/>
        <bgColor indexed="64"/>
      </patternFill>
    </fill>
  </fills>
  <borders count="46">
    <border>
      <left/>
      <right/>
      <top/>
      <bottom/>
      <diagonal/>
    </border>
    <border>
      <left/>
      <right/>
      <top/>
      <bottom style="thin">
        <color indexed="64"/>
      </bottom>
      <diagonal/>
    </border>
    <border>
      <left/>
      <right/>
      <top style="thin">
        <color indexed="64"/>
      </top>
      <bottom/>
      <diagonal/>
    </border>
    <border>
      <left/>
      <right/>
      <top/>
      <bottom style="double">
        <color indexed="64"/>
      </bottom>
      <diagonal/>
    </border>
    <border>
      <left/>
      <right/>
      <top style="double">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hair">
        <color indexed="64"/>
      </bottom>
      <diagonal/>
    </border>
    <border>
      <left/>
      <right/>
      <top style="medium">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right style="double">
        <color indexed="64"/>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double">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38" fontId="1" fillId="0" borderId="0" applyFont="0" applyFill="0" applyBorder="0" applyAlignment="0" applyProtection="0">
      <alignment vertical="center"/>
    </xf>
    <xf numFmtId="0" fontId="7" fillId="0" borderId="0"/>
    <xf numFmtId="38" fontId="7" fillId="0" borderId="0" applyFont="0" applyFill="0" applyBorder="0" applyAlignment="0" applyProtection="0"/>
  </cellStyleXfs>
  <cellXfs count="286">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Border="1" applyAlignment="1">
      <alignment horizontal="center" vertical="center"/>
    </xf>
    <xf numFmtId="0" fontId="5" fillId="0" borderId="0" xfId="0" applyFont="1" applyAlignment="1">
      <alignment horizontal="center" vertical="center"/>
    </xf>
    <xf numFmtId="0" fontId="3" fillId="0" borderId="0" xfId="0" applyNumberFormat="1" applyFont="1" applyAlignment="1">
      <alignment horizontal="left" vertical="center"/>
    </xf>
    <xf numFmtId="0" fontId="2" fillId="0" borderId="0" xfId="0" applyNumberFormat="1" applyFont="1" applyAlignment="1">
      <alignment horizontal="center" vertical="center"/>
    </xf>
    <xf numFmtId="0" fontId="3" fillId="0" borderId="0" xfId="0" applyNumberFormat="1" applyFont="1" applyAlignment="1">
      <alignment vertical="center"/>
    </xf>
    <xf numFmtId="0" fontId="6" fillId="0" borderId="0" xfId="0" applyNumberFormat="1" applyFont="1" applyAlignment="1">
      <alignment vertical="center"/>
    </xf>
    <xf numFmtId="0" fontId="3" fillId="0" borderId="0" xfId="0" applyNumberFormat="1" applyFont="1" applyAlignment="1">
      <alignment horizontal="center" vertical="center"/>
    </xf>
    <xf numFmtId="0" fontId="3" fillId="0" borderId="0" xfId="0" applyNumberFormat="1" applyFont="1" applyAlignment="1">
      <alignment horizontal="right" vertical="center"/>
    </xf>
    <xf numFmtId="0" fontId="8" fillId="0" borderId="0" xfId="0" applyNumberFormat="1" applyFont="1" applyAlignment="1">
      <alignment vertical="center"/>
    </xf>
    <xf numFmtId="0" fontId="3" fillId="0" borderId="0" xfId="0" applyNumberFormat="1" applyFont="1" applyAlignment="1">
      <alignment horizontal="right" vertical="center" wrapText="1"/>
    </xf>
    <xf numFmtId="0" fontId="8" fillId="0" borderId="0" xfId="0" applyNumberFormat="1" applyFont="1" applyAlignment="1">
      <alignment horizontal="left" vertical="center"/>
    </xf>
    <xf numFmtId="49" fontId="8" fillId="0" borderId="0" xfId="0" applyNumberFormat="1" applyFont="1" applyAlignment="1">
      <alignment horizontal="left" vertical="center"/>
    </xf>
    <xf numFmtId="0" fontId="2" fillId="0" borderId="0" xfId="0" applyFont="1" applyAlignment="1">
      <alignment horizontal="center" vertical="center"/>
    </xf>
    <xf numFmtId="49" fontId="2" fillId="0" borderId="0" xfId="0" applyNumberFormat="1" applyFont="1" applyAlignment="1">
      <alignment vertical="center"/>
    </xf>
    <xf numFmtId="164" fontId="2" fillId="0" borderId="0" xfId="0" applyNumberFormat="1" applyFont="1" applyAlignment="1">
      <alignment vertical="center"/>
    </xf>
    <xf numFmtId="0" fontId="2" fillId="0" borderId="0" xfId="0" applyNumberFormat="1" applyFont="1" applyAlignment="1">
      <alignment vertical="center"/>
    </xf>
    <xf numFmtId="165" fontId="6" fillId="0" borderId="0" xfId="0" applyNumberFormat="1" applyFont="1" applyAlignment="1">
      <alignment vertical="center"/>
    </xf>
    <xf numFmtId="49" fontId="6" fillId="0" borderId="0" xfId="0" applyNumberFormat="1" applyFont="1" applyAlignment="1">
      <alignment vertical="center"/>
    </xf>
    <xf numFmtId="0" fontId="2" fillId="0" borderId="0" xfId="0" applyFont="1" applyAlignment="1">
      <alignment horizontal="right" vertical="center"/>
    </xf>
    <xf numFmtId="0" fontId="6" fillId="0" borderId="0" xfId="0" applyFont="1" applyAlignment="1">
      <alignment vertical="center"/>
    </xf>
    <xf numFmtId="49" fontId="3" fillId="0" borderId="0" xfId="0" applyNumberFormat="1" applyFont="1" applyAlignment="1">
      <alignment vertical="center"/>
    </xf>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Border="1" applyAlignment="1">
      <alignment vertical="center" shrinkToFit="1"/>
    </xf>
    <xf numFmtId="0" fontId="2" fillId="0" borderId="0" xfId="0" applyFont="1" applyAlignment="1">
      <alignment horizontal="left" vertical="center"/>
    </xf>
    <xf numFmtId="0" fontId="9" fillId="0" borderId="0" xfId="0" applyFont="1" applyAlignment="1">
      <alignment vertical="center"/>
    </xf>
    <xf numFmtId="0" fontId="10" fillId="0" borderId="0" xfId="0" applyFont="1" applyAlignment="1">
      <alignment vertical="center"/>
    </xf>
    <xf numFmtId="0" fontId="3" fillId="0" borderId="0" xfId="0" applyFont="1" applyBorder="1" applyAlignment="1">
      <alignment vertical="center"/>
    </xf>
    <xf numFmtId="49" fontId="2" fillId="0" borderId="0" xfId="0" applyNumberFormat="1" applyFont="1" applyAlignment="1">
      <alignment horizontal="left" vertical="center"/>
    </xf>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vertical="top" wrapText="1"/>
    </xf>
    <xf numFmtId="3" fontId="2" fillId="0" borderId="0" xfId="0" applyNumberFormat="1" applyFont="1" applyAlignment="1">
      <alignment vertical="top"/>
    </xf>
    <xf numFmtId="3" fontId="2" fillId="0" borderId="0" xfId="0" applyNumberFormat="1" applyFont="1" applyAlignment="1">
      <alignment vertical="top" shrinkToFit="1"/>
    </xf>
    <xf numFmtId="3" fontId="2" fillId="0" borderId="0" xfId="0" applyNumberFormat="1" applyFont="1" applyAlignment="1">
      <alignment horizontal="left" vertical="top"/>
    </xf>
    <xf numFmtId="3" fontId="2" fillId="0" borderId="0" xfId="0" applyNumberFormat="1" applyFont="1" applyAlignment="1">
      <alignment vertical="top" wrapText="1"/>
    </xf>
    <xf numFmtId="0" fontId="2" fillId="0" borderId="0" xfId="0" applyNumberFormat="1" applyFont="1" applyAlignment="1">
      <alignment vertical="top"/>
    </xf>
    <xf numFmtId="0" fontId="2" fillId="0" borderId="0" xfId="0" applyNumberFormat="1" applyFont="1" applyAlignment="1">
      <alignment horizontal="left" vertical="center"/>
    </xf>
    <xf numFmtId="0" fontId="3" fillId="0" borderId="0" xfId="0" applyFont="1" applyFill="1" applyBorder="1" applyAlignment="1">
      <alignment vertical="center"/>
    </xf>
    <xf numFmtId="0" fontId="3" fillId="0" borderId="0" xfId="0" applyFont="1" applyFill="1" applyBorder="1" applyAlignment="1">
      <alignment vertical="center" shrinkToFit="1"/>
    </xf>
    <xf numFmtId="0" fontId="3" fillId="0" borderId="0" xfId="0" applyFont="1" applyFill="1" applyBorder="1" applyAlignment="1">
      <alignment horizontal="center" vertical="center"/>
    </xf>
    <xf numFmtId="0" fontId="11" fillId="0" borderId="0" xfId="0" applyFont="1"/>
    <xf numFmtId="0" fontId="2" fillId="0" borderId="0" xfId="0" applyFont="1" applyAlignment="1">
      <alignment vertical="top"/>
    </xf>
    <xf numFmtId="0" fontId="2" fillId="0" borderId="0" xfId="0" applyFont="1" applyAlignment="1">
      <alignment horizontal="left" vertical="center"/>
    </xf>
    <xf numFmtId="0" fontId="6" fillId="0" borderId="0" xfId="0" applyFont="1" applyAlignment="1">
      <alignment horizontal="center" vertical="center" shrinkToFit="1"/>
    </xf>
    <xf numFmtId="0" fontId="2" fillId="0" borderId="0" xfId="0" applyFont="1" applyBorder="1" applyAlignment="1">
      <alignment vertical="center"/>
    </xf>
    <xf numFmtId="0" fontId="2" fillId="0" borderId="0" xfId="0" applyFont="1" applyBorder="1" applyAlignment="1">
      <alignment horizontal="right" vertical="center"/>
    </xf>
    <xf numFmtId="0" fontId="2" fillId="0" borderId="1" xfId="0" applyFont="1" applyBorder="1" applyAlignment="1">
      <alignment vertical="center"/>
    </xf>
    <xf numFmtId="0" fontId="13" fillId="0" borderId="2" xfId="0" applyFont="1" applyBorder="1" applyAlignment="1">
      <alignment vertical="center"/>
    </xf>
    <xf numFmtId="0" fontId="13" fillId="0" borderId="0" xfId="0" applyFont="1" applyAlignment="1">
      <alignment vertical="center"/>
    </xf>
    <xf numFmtId="0" fontId="14" fillId="0" borderId="0" xfId="0" applyFont="1" applyBorder="1" applyAlignment="1">
      <alignment vertical="center"/>
    </xf>
    <xf numFmtId="0" fontId="14" fillId="0" borderId="0" xfId="0" applyFont="1" applyAlignment="1">
      <alignment vertical="center"/>
    </xf>
    <xf numFmtId="167" fontId="2" fillId="0" borderId="0" xfId="0" applyNumberFormat="1" applyFont="1" applyAlignment="1">
      <alignment horizontal="left" vertical="center"/>
    </xf>
    <xf numFmtId="0" fontId="3" fillId="0" borderId="0" xfId="0" applyFont="1" applyFill="1" applyBorder="1"/>
    <xf numFmtId="0" fontId="3" fillId="0" borderId="0" xfId="0" applyFont="1" applyFill="1" applyBorder="1" applyAlignment="1">
      <alignment horizontal="right" vertical="center"/>
    </xf>
    <xf numFmtId="0" fontId="3" fillId="0" borderId="0" xfId="0" applyFont="1" applyFill="1" applyBorder="1" applyAlignment="1">
      <alignment horizontal="left" vertical="center"/>
    </xf>
    <xf numFmtId="0" fontId="3" fillId="0" borderId="0" xfId="0" applyNumberFormat="1" applyFont="1" applyFill="1" applyBorder="1" applyAlignment="1">
      <alignment horizontal="left" vertical="center"/>
    </xf>
    <xf numFmtId="49" fontId="8" fillId="0" borderId="0" xfId="0" applyNumberFormat="1" applyFont="1" applyFill="1" applyBorder="1" applyAlignment="1">
      <alignment vertical="center"/>
    </xf>
    <xf numFmtId="0" fontId="3" fillId="0" borderId="0" xfId="0" applyNumberFormat="1" applyFont="1" applyFill="1" applyBorder="1" applyAlignment="1">
      <alignment horizontal="right" vertical="center"/>
    </xf>
    <xf numFmtId="0" fontId="8" fillId="0" borderId="0" xfId="0" applyNumberFormat="1" applyFont="1" applyFill="1" applyBorder="1" applyAlignment="1">
      <alignment horizontal="left" vertical="center"/>
    </xf>
    <xf numFmtId="49" fontId="8" fillId="0" borderId="0" xfId="0" applyNumberFormat="1" applyFont="1" applyFill="1" applyBorder="1" applyAlignment="1">
      <alignment horizontal="left" vertical="center"/>
    </xf>
    <xf numFmtId="49" fontId="7" fillId="0" borderId="0" xfId="0" quotePrefix="1" applyNumberFormat="1" applyFont="1" applyFill="1" applyBorder="1" applyAlignment="1">
      <alignment vertical="center"/>
    </xf>
    <xf numFmtId="166" fontId="3" fillId="0" borderId="0" xfId="0" applyNumberFormat="1" applyFont="1" applyFill="1" applyBorder="1" applyAlignment="1">
      <alignment vertical="center"/>
    </xf>
    <xf numFmtId="0" fontId="3" fillId="0" borderId="0" xfId="0" applyFont="1" applyFill="1" applyBorder="1" applyAlignment="1">
      <alignment shrinkToFit="1"/>
    </xf>
    <xf numFmtId="0" fontId="6" fillId="0" borderId="0" xfId="0" applyNumberFormat="1" applyFont="1" applyAlignment="1">
      <alignment horizontal="right" vertical="center"/>
    </xf>
    <xf numFmtId="0" fontId="6" fillId="0" borderId="0" xfId="0" applyNumberFormat="1" applyFont="1" applyFill="1" applyAlignment="1">
      <alignment vertical="center"/>
    </xf>
    <xf numFmtId="0" fontId="6" fillId="0" borderId="0" xfId="0" applyFont="1" applyFill="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center"/>
    </xf>
    <xf numFmtId="0" fontId="6" fillId="2" borderId="0" xfId="0" applyFont="1" applyFill="1" applyAlignment="1">
      <alignment vertical="center"/>
    </xf>
    <xf numFmtId="0" fontId="2" fillId="2" borderId="0" xfId="0" applyFont="1" applyFill="1" applyAlignment="1">
      <alignment vertical="center"/>
    </xf>
    <xf numFmtId="49" fontId="2" fillId="2" borderId="0" xfId="0" applyNumberFormat="1" applyFont="1" applyFill="1" applyAlignment="1">
      <alignment vertical="center"/>
    </xf>
    <xf numFmtId="0" fontId="2" fillId="2" borderId="0" xfId="0" applyFont="1" applyFill="1" applyAlignment="1">
      <alignment vertical="top"/>
    </xf>
    <xf numFmtId="0" fontId="16" fillId="0" borderId="0" xfId="0" applyFont="1"/>
    <xf numFmtId="0" fontId="2" fillId="0" borderId="0" xfId="0" applyFont="1" applyFill="1" applyAlignment="1">
      <alignment vertical="center"/>
    </xf>
    <xf numFmtId="49" fontId="2" fillId="0" borderId="0" xfId="0" applyNumberFormat="1" applyFont="1" applyFill="1" applyAlignment="1">
      <alignment vertical="center"/>
    </xf>
    <xf numFmtId="0" fontId="6" fillId="0" borderId="0" xfId="0" applyFont="1" applyFill="1" applyAlignment="1">
      <alignment vertical="center"/>
    </xf>
    <xf numFmtId="0" fontId="3" fillId="0" borderId="0" xfId="0" applyFont="1" applyBorder="1" applyAlignment="1">
      <alignment horizontal="center" vertical="center" shrinkToFit="1"/>
    </xf>
    <xf numFmtId="0" fontId="3" fillId="0" borderId="0" xfId="0" applyFont="1" applyBorder="1" applyAlignment="1">
      <alignment horizontal="center"/>
    </xf>
    <xf numFmtId="0" fontId="3" fillId="0" borderId="0" xfId="1" applyNumberFormat="1" applyFont="1" applyBorder="1" applyAlignment="1">
      <alignment horizontal="right"/>
    </xf>
    <xf numFmtId="0" fontId="2" fillId="0" borderId="0" xfId="0" applyFont="1" applyAlignment="1">
      <alignment horizontal="left" vertical="center"/>
    </xf>
    <xf numFmtId="0" fontId="3" fillId="0" borderId="0" xfId="2" applyFont="1" applyAlignment="1">
      <alignment vertical="center"/>
    </xf>
    <xf numFmtId="0" fontId="21" fillId="0" borderId="0" xfId="2" applyFont="1" applyAlignment="1">
      <alignment vertical="center"/>
    </xf>
    <xf numFmtId="0" fontId="22" fillId="0" borderId="0" xfId="2" applyFont="1" applyAlignment="1">
      <alignment vertical="center"/>
    </xf>
    <xf numFmtId="0" fontId="3" fillId="0" borderId="0" xfId="2" applyFont="1" applyAlignment="1">
      <alignment horizontal="centerContinuous" vertical="center"/>
    </xf>
    <xf numFmtId="0" fontId="3" fillId="0" borderId="1" xfId="2" applyFont="1" applyBorder="1" applyAlignment="1">
      <alignment vertical="center"/>
    </xf>
    <xf numFmtId="0" fontId="20" fillId="0" borderId="0" xfId="2" applyFont="1" applyAlignment="1"/>
    <xf numFmtId="0" fontId="3" fillId="0" borderId="0" xfId="2" applyFont="1"/>
    <xf numFmtId="0" fontId="3" fillId="0" borderId="13" xfId="2" applyFont="1" applyBorder="1" applyAlignment="1">
      <alignment vertical="center" shrinkToFit="1"/>
    </xf>
    <xf numFmtId="0" fontId="24" fillId="0" borderId="0" xfId="2" applyFont="1"/>
    <xf numFmtId="0" fontId="3" fillId="0" borderId="13" xfId="2" applyFont="1" applyBorder="1" applyAlignment="1">
      <alignment vertical="center"/>
    </xf>
    <xf numFmtId="169" fontId="3" fillId="0" borderId="1" xfId="2" applyNumberFormat="1" applyFont="1" applyBorder="1" applyAlignment="1">
      <alignment vertical="center"/>
    </xf>
    <xf numFmtId="170" fontId="3" fillId="0" borderId="1" xfId="2" applyNumberFormat="1" applyFont="1" applyBorder="1" applyAlignment="1">
      <alignment vertical="center"/>
    </xf>
    <xf numFmtId="0" fontId="3" fillId="0" borderId="21" xfId="2" applyFont="1" applyBorder="1" applyAlignment="1">
      <alignment vertical="center"/>
    </xf>
    <xf numFmtId="0" fontId="3" fillId="0" borderId="0" xfId="2" applyFont="1" applyBorder="1" applyAlignment="1">
      <alignment vertical="center"/>
    </xf>
    <xf numFmtId="38" fontId="22" fillId="0" borderId="11" xfId="3" applyFont="1" applyBorder="1" applyAlignment="1">
      <alignment horizontal="center" vertical="center"/>
    </xf>
    <xf numFmtId="0" fontId="22" fillId="0" borderId="11" xfId="2" applyFont="1" applyBorder="1" applyAlignment="1">
      <alignment horizontal="center" vertical="center"/>
    </xf>
    <xf numFmtId="0" fontId="3" fillId="0" borderId="24" xfId="2" applyFont="1" applyBorder="1" applyAlignment="1">
      <alignment horizontal="centerContinuous" vertical="center"/>
    </xf>
    <xf numFmtId="0" fontId="3" fillId="0" borderId="25" xfId="2" applyFont="1" applyBorder="1" applyAlignment="1">
      <alignment horizontal="left" vertical="top"/>
    </xf>
    <xf numFmtId="0" fontId="3" fillId="0" borderId="25" xfId="2" applyFont="1" applyBorder="1" applyAlignment="1">
      <alignment horizontal="centerContinuous" vertical="center"/>
    </xf>
    <xf numFmtId="0" fontId="3" fillId="0" borderId="11" xfId="2" applyFont="1" applyBorder="1" applyAlignment="1">
      <alignment horizontal="center" vertical="center"/>
    </xf>
    <xf numFmtId="0" fontId="3" fillId="0" borderId="11" xfId="2" applyFont="1" applyBorder="1" applyAlignment="1">
      <alignment horizontal="centerContinuous" vertical="center"/>
    </xf>
    <xf numFmtId="0" fontId="3" fillId="0" borderId="26" xfId="2" applyFont="1" applyBorder="1" applyAlignment="1">
      <alignment horizontal="centerContinuous" vertical="center"/>
    </xf>
    <xf numFmtId="0" fontId="3" fillId="0" borderId="21" xfId="2" applyFont="1" applyBorder="1" applyAlignment="1">
      <alignment horizontal="centerContinuous" vertical="center"/>
    </xf>
    <xf numFmtId="38" fontId="22" fillId="0" borderId="27" xfId="3" applyFont="1" applyBorder="1"/>
    <xf numFmtId="38" fontId="22" fillId="0" borderId="11" xfId="3" applyFont="1" applyBorder="1"/>
    <xf numFmtId="38" fontId="22" fillId="0" borderId="28" xfId="3" applyFont="1" applyBorder="1"/>
    <xf numFmtId="49" fontId="3" fillId="0" borderId="29" xfId="2" applyNumberFormat="1" applyFont="1" applyBorder="1" applyAlignment="1">
      <alignment horizontal="right" vertical="center"/>
    </xf>
    <xf numFmtId="0" fontId="3" fillId="0" borderId="30" xfId="2" applyFont="1" applyBorder="1" applyAlignment="1">
      <alignment horizontal="left" vertical="center"/>
    </xf>
    <xf numFmtId="0" fontId="3" fillId="0" borderId="13" xfId="2" applyFont="1" applyBorder="1" applyAlignment="1">
      <alignment horizontal="left" vertical="center"/>
    </xf>
    <xf numFmtId="171" fontId="3" fillId="0" borderId="31" xfId="2" applyNumberFormat="1" applyFont="1" applyBorder="1" applyAlignment="1">
      <alignment vertical="center"/>
    </xf>
    <xf numFmtId="171" fontId="3" fillId="0" borderId="31" xfId="2" applyNumberFormat="1" applyFont="1" applyBorder="1" applyAlignment="1">
      <alignment horizontal="center" vertical="center"/>
    </xf>
    <xf numFmtId="3" fontId="3" fillId="2" borderId="32" xfId="2" applyNumberFormat="1" applyFont="1" applyFill="1" applyBorder="1" applyAlignment="1">
      <alignment vertical="center"/>
    </xf>
    <xf numFmtId="3" fontId="3" fillId="0" borderId="33" xfId="2" applyNumberFormat="1" applyFont="1" applyBorder="1" applyAlignment="1">
      <alignment vertical="center"/>
    </xf>
    <xf numFmtId="49" fontId="3" fillId="0" borderId="34" xfId="2" applyNumberFormat="1" applyFont="1" applyBorder="1" applyAlignment="1">
      <alignment horizontal="right" vertical="center"/>
    </xf>
    <xf numFmtId="49" fontId="3" fillId="0" borderId="35" xfId="2" quotePrefix="1" applyNumberFormat="1" applyFont="1" applyBorder="1" applyAlignment="1">
      <alignment horizontal="left" vertical="center"/>
    </xf>
    <xf numFmtId="171" fontId="3" fillId="0" borderId="38" xfId="2" applyNumberFormat="1" applyFont="1" applyBorder="1" applyAlignment="1">
      <alignment horizontal="right" vertical="center"/>
    </xf>
    <xf numFmtId="171" fontId="26" fillId="0" borderId="38" xfId="2" applyNumberFormat="1" applyFont="1" applyBorder="1" applyAlignment="1">
      <alignment horizontal="center" vertical="center" shrinkToFit="1"/>
    </xf>
    <xf numFmtId="3" fontId="3" fillId="0" borderId="39" xfId="2" applyNumberFormat="1" applyFont="1" applyFill="1" applyBorder="1" applyAlignment="1">
      <alignment horizontal="center" vertical="center"/>
    </xf>
    <xf numFmtId="3" fontId="3" fillId="0" borderId="37" xfId="2" applyNumberFormat="1" applyFont="1" applyFill="1" applyBorder="1" applyAlignment="1">
      <alignment vertical="center"/>
    </xf>
    <xf numFmtId="38" fontId="22" fillId="0" borderId="0" xfId="3" applyFont="1"/>
    <xf numFmtId="38" fontId="22" fillId="0" borderId="0" xfId="3" applyFont="1" applyAlignment="1">
      <alignment vertical="center"/>
    </xf>
    <xf numFmtId="0" fontId="3" fillId="0" borderId="36" xfId="2" applyFont="1" applyBorder="1" applyAlignment="1">
      <alignment vertical="center"/>
    </xf>
    <xf numFmtId="0" fontId="3" fillId="0" borderId="37" xfId="2" applyFont="1" applyBorder="1" applyAlignment="1">
      <alignment vertical="center"/>
    </xf>
    <xf numFmtId="0" fontId="3" fillId="0" borderId="35" xfId="2" applyFont="1" applyBorder="1" applyAlignment="1">
      <alignment vertical="center"/>
    </xf>
    <xf numFmtId="171" fontId="8" fillId="0" borderId="38" xfId="2" applyNumberFormat="1" applyFont="1" applyFill="1" applyBorder="1" applyAlignment="1">
      <alignment horizontal="right" vertical="center"/>
    </xf>
    <xf numFmtId="171" fontId="3" fillId="0" borderId="38" xfId="2" applyNumberFormat="1" applyFont="1" applyBorder="1" applyAlignment="1">
      <alignment horizontal="center" vertical="center"/>
    </xf>
    <xf numFmtId="3" fontId="3" fillId="0" borderId="39" xfId="2" applyNumberFormat="1" applyFont="1" applyBorder="1" applyAlignment="1">
      <alignment vertical="center"/>
    </xf>
    <xf numFmtId="38" fontId="22" fillId="0" borderId="0" xfId="3" applyFont="1" applyFill="1" applyBorder="1" applyAlignment="1">
      <alignment vertical="center"/>
    </xf>
    <xf numFmtId="0" fontId="3" fillId="0" borderId="0" xfId="2" applyFont="1" applyFill="1" applyBorder="1" applyAlignment="1">
      <alignment vertical="center"/>
    </xf>
    <xf numFmtId="172" fontId="29" fillId="0" borderId="38" xfId="2" applyNumberFormat="1" applyFont="1" applyBorder="1" applyAlignment="1">
      <alignment horizontal="right" vertical="center"/>
    </xf>
    <xf numFmtId="171" fontId="3" fillId="0" borderId="38" xfId="2" applyNumberFormat="1" applyFont="1" applyBorder="1" applyAlignment="1">
      <alignment horizontal="center" vertical="center" shrinkToFit="1"/>
    </xf>
    <xf numFmtId="173" fontId="29" fillId="0" borderId="38" xfId="2" applyNumberFormat="1" applyFont="1" applyBorder="1" applyAlignment="1">
      <alignment horizontal="right" vertical="center"/>
    </xf>
    <xf numFmtId="0" fontId="30" fillId="0" borderId="0" xfId="2" applyFont="1" applyAlignment="1">
      <alignment vertical="center"/>
    </xf>
    <xf numFmtId="0" fontId="8" fillId="0" borderId="0" xfId="2" applyFont="1" applyAlignment="1">
      <alignment vertical="center"/>
    </xf>
    <xf numFmtId="172" fontId="3" fillId="0" borderId="38" xfId="2" applyNumberFormat="1" applyFont="1" applyBorder="1" applyAlignment="1">
      <alignment horizontal="right" vertical="center"/>
    </xf>
    <xf numFmtId="3" fontId="3" fillId="0" borderId="37" xfId="2" applyNumberFormat="1" applyFont="1" applyBorder="1" applyAlignment="1">
      <alignment vertical="center"/>
    </xf>
    <xf numFmtId="171" fontId="3" fillId="0" borderId="38" xfId="2" applyNumberFormat="1" applyFont="1" applyBorder="1" applyAlignment="1">
      <alignment vertical="center"/>
    </xf>
    <xf numFmtId="0" fontId="3" fillId="0" borderId="34" xfId="2" applyFont="1" applyBorder="1" applyAlignment="1">
      <alignment vertical="center"/>
    </xf>
    <xf numFmtId="171" fontId="8" fillId="0" borderId="38" xfId="2" applyNumberFormat="1" applyFont="1" applyFill="1" applyBorder="1" applyAlignment="1">
      <alignment horizontal="center" vertical="center"/>
    </xf>
    <xf numFmtId="171" fontId="3" fillId="0" borderId="38" xfId="2" applyNumberFormat="1" applyFont="1" applyFill="1" applyBorder="1" applyAlignment="1">
      <alignment horizontal="center" vertical="center"/>
    </xf>
    <xf numFmtId="0" fontId="3" fillId="0" borderId="40" xfId="2" applyFont="1" applyBorder="1" applyAlignment="1">
      <alignment vertical="center"/>
    </xf>
    <xf numFmtId="171" fontId="8" fillId="0" borderId="44" xfId="2" applyNumberFormat="1" applyFont="1" applyFill="1" applyBorder="1" applyAlignment="1">
      <alignment horizontal="right" vertical="center"/>
    </xf>
    <xf numFmtId="0" fontId="18" fillId="0" borderId="0" xfId="2" applyFont="1" applyAlignment="1">
      <alignment horizontal="right" vertical="center"/>
    </xf>
    <xf numFmtId="0" fontId="18" fillId="0" borderId="0" xfId="2" applyFont="1" applyAlignment="1">
      <alignment vertical="center"/>
    </xf>
    <xf numFmtId="166" fontId="3" fillId="0" borderId="21" xfId="2" applyNumberFormat="1" applyFont="1" applyBorder="1" applyAlignment="1">
      <alignment vertical="center"/>
    </xf>
    <xf numFmtId="0" fontId="3" fillId="0" borderId="0" xfId="2" applyFont="1" applyAlignment="1">
      <alignment horizontal="left" vertical="center"/>
    </xf>
    <xf numFmtId="0" fontId="31" fillId="0" borderId="0" xfId="0" applyFont="1" applyAlignment="1">
      <alignment vertical="center"/>
    </xf>
    <xf numFmtId="0" fontId="2" fillId="0" borderId="3" xfId="0" applyFont="1" applyBorder="1" applyAlignment="1">
      <alignment vertical="center"/>
    </xf>
    <xf numFmtId="0" fontId="32" fillId="0" borderId="0" xfId="0" applyFont="1" applyBorder="1" applyAlignment="1">
      <alignment vertical="center"/>
    </xf>
    <xf numFmtId="0" fontId="32" fillId="0" borderId="0" xfId="0" applyFont="1" applyAlignment="1">
      <alignment vertical="center"/>
    </xf>
    <xf numFmtId="0" fontId="2" fillId="0" borderId="0" xfId="0" applyFont="1" applyAlignment="1">
      <alignment horizontal="right" vertical="top" wrapText="1"/>
    </xf>
    <xf numFmtId="3" fontId="6" fillId="0" borderId="0" xfId="0" applyNumberFormat="1" applyFont="1" applyAlignment="1">
      <alignment vertical="top" shrinkToFit="1"/>
    </xf>
    <xf numFmtId="0" fontId="6" fillId="0" borderId="0" xfId="0" applyFont="1" applyAlignment="1">
      <alignment vertical="top"/>
    </xf>
    <xf numFmtId="0" fontId="6" fillId="0" borderId="0" xfId="0" applyFont="1" applyAlignment="1">
      <alignment vertical="top" wrapText="1"/>
    </xf>
    <xf numFmtId="3" fontId="6" fillId="0" borderId="0" xfId="0" applyNumberFormat="1" applyFont="1" applyAlignment="1">
      <alignment vertical="top"/>
    </xf>
    <xf numFmtId="0" fontId="6" fillId="0" borderId="0" xfId="0" applyFont="1" applyBorder="1" applyAlignment="1">
      <alignment vertical="center"/>
    </xf>
    <xf numFmtId="0" fontId="6" fillId="0" borderId="0" xfId="0" applyFont="1" applyAlignment="1">
      <alignment vertical="center" shrinkToFit="1"/>
    </xf>
    <xf numFmtId="0" fontId="6" fillId="0" borderId="0"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right"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5" fillId="0" borderId="0" xfId="0" applyFont="1" applyAlignment="1">
      <alignment horizontal="center" vertical="center"/>
    </xf>
    <xf numFmtId="49" fontId="2" fillId="0" borderId="0" xfId="0" applyNumberFormat="1" applyFont="1" applyAlignment="1">
      <alignment horizontal="left" vertical="top" wrapText="1"/>
    </xf>
    <xf numFmtId="0" fontId="2" fillId="0" borderId="0" xfId="0" applyFont="1" applyAlignment="1">
      <alignment horizontal="left" vertical="top" wrapText="1"/>
    </xf>
    <xf numFmtId="49" fontId="2" fillId="0" borderId="0" xfId="0" applyNumberFormat="1" applyFont="1" applyAlignment="1">
      <alignment horizontal="left"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xf>
    <xf numFmtId="0" fontId="3" fillId="0" borderId="0" xfId="0" applyFont="1" applyFill="1" applyBorder="1" applyAlignment="1">
      <alignment horizontal="left" vertical="center"/>
    </xf>
    <xf numFmtId="165" fontId="2" fillId="0" borderId="0" xfId="0" applyNumberFormat="1" applyFont="1" applyAlignment="1">
      <alignment horizontal="left" vertical="top" wrapText="1"/>
    </xf>
    <xf numFmtId="0" fontId="2" fillId="0" borderId="0" xfId="0" applyFont="1" applyAlignment="1">
      <alignment horizontal="left" vertical="center" wrapText="1"/>
    </xf>
    <xf numFmtId="0" fontId="6" fillId="0" borderId="0" xfId="0" applyFont="1" applyAlignment="1">
      <alignment horizontal="right" vertical="center"/>
    </xf>
    <xf numFmtId="0" fontId="2" fillId="0" borderId="0" xfId="0" applyFont="1" applyAlignment="1">
      <alignment horizontal="center" vertical="top" wrapText="1"/>
    </xf>
    <xf numFmtId="0" fontId="15" fillId="0" borderId="0" xfId="0" applyFont="1" applyBorder="1" applyAlignment="1">
      <alignment horizontal="center" vertical="center"/>
    </xf>
    <xf numFmtId="0" fontId="2" fillId="0" borderId="0" xfId="0" applyFont="1" applyAlignment="1">
      <alignment horizontal="left" vertical="center"/>
    </xf>
    <xf numFmtId="0" fontId="6" fillId="0" borderId="0" xfId="0" applyFont="1" applyAlignment="1">
      <alignment horizontal="center" vertical="center"/>
    </xf>
    <xf numFmtId="0" fontId="12" fillId="0" borderId="0" xfId="0" applyFont="1" applyFill="1" applyAlignment="1">
      <alignment horizontal="center" vertical="center" wrapText="1"/>
    </xf>
    <xf numFmtId="0" fontId="12" fillId="0" borderId="0" xfId="0" applyFont="1" applyAlignment="1">
      <alignment horizontal="center" vertical="center" wrapText="1" shrinkToFit="1"/>
    </xf>
    <xf numFmtId="0" fontId="3" fillId="0" borderId="35" xfId="2" applyFont="1" applyBorder="1" applyAlignment="1">
      <alignment horizontal="right" vertical="center"/>
    </xf>
    <xf numFmtId="0" fontId="3" fillId="0" borderId="36" xfId="2" applyFont="1" applyBorder="1" applyAlignment="1">
      <alignment horizontal="right" vertical="center"/>
    </xf>
    <xf numFmtId="0" fontId="3" fillId="0" borderId="37" xfId="2" applyFont="1" applyBorder="1" applyAlignment="1">
      <alignment horizontal="right" vertical="center"/>
    </xf>
    <xf numFmtId="0" fontId="3" fillId="0" borderId="41" xfId="2" applyFont="1" applyBorder="1" applyAlignment="1">
      <alignment horizontal="right" vertical="center"/>
    </xf>
    <xf numFmtId="0" fontId="3" fillId="0" borderId="42" xfId="2" applyFont="1" applyBorder="1" applyAlignment="1">
      <alignment horizontal="right" vertical="center"/>
    </xf>
    <xf numFmtId="0" fontId="3" fillId="0" borderId="43" xfId="2" applyFont="1" applyBorder="1" applyAlignment="1">
      <alignment horizontal="right" vertical="center"/>
    </xf>
    <xf numFmtId="0" fontId="3" fillId="0" borderId="45" xfId="2" applyFont="1" applyBorder="1" applyAlignment="1">
      <alignment horizontal="center" vertical="center"/>
    </xf>
    <xf numFmtId="0" fontId="3" fillId="0" borderId="25" xfId="2" applyFont="1" applyBorder="1" applyAlignment="1">
      <alignment horizontal="center" vertical="center"/>
    </xf>
    <xf numFmtId="0" fontId="3" fillId="0" borderId="26" xfId="2" applyFont="1" applyBorder="1" applyAlignment="1">
      <alignment horizontal="center" vertical="center"/>
    </xf>
    <xf numFmtId="49" fontId="3" fillId="0" borderId="35" xfId="2" quotePrefix="1" applyNumberFormat="1" applyFont="1" applyBorder="1" applyAlignment="1">
      <alignment horizontal="left" vertical="center" wrapText="1"/>
    </xf>
    <xf numFmtId="49" fontId="3" fillId="0" borderId="36" xfId="2" quotePrefix="1" applyNumberFormat="1" applyFont="1" applyBorder="1" applyAlignment="1">
      <alignment horizontal="left" vertical="center" wrapText="1"/>
    </xf>
    <xf numFmtId="49" fontId="3" fillId="0" borderId="37" xfId="2" quotePrefix="1" applyNumberFormat="1" applyFont="1" applyBorder="1" applyAlignment="1">
      <alignment horizontal="left" vertical="center" wrapText="1"/>
    </xf>
    <xf numFmtId="49" fontId="3" fillId="0" borderId="35" xfId="2" quotePrefix="1" applyNumberFormat="1" applyFont="1" applyBorder="1" applyAlignment="1">
      <alignment horizontal="left" vertical="center"/>
    </xf>
    <xf numFmtId="49" fontId="3" fillId="0" borderId="36" xfId="2" quotePrefix="1" applyNumberFormat="1" applyFont="1" applyBorder="1" applyAlignment="1">
      <alignment horizontal="left" vertical="center"/>
    </xf>
    <xf numFmtId="49" fontId="3" fillId="0" borderId="37" xfId="2" quotePrefix="1" applyNumberFormat="1" applyFont="1" applyBorder="1" applyAlignment="1">
      <alignment horizontal="left" vertical="center"/>
    </xf>
    <xf numFmtId="0" fontId="3" fillId="0" borderId="35" xfId="2" applyFont="1" applyBorder="1" applyAlignment="1">
      <alignment horizontal="left" vertical="center"/>
    </xf>
    <xf numFmtId="0" fontId="3" fillId="0" borderId="36" xfId="2" applyFont="1" applyBorder="1" applyAlignment="1">
      <alignment horizontal="left" vertical="center"/>
    </xf>
    <xf numFmtId="0" fontId="3" fillId="0" borderId="37" xfId="2" applyFont="1" applyBorder="1" applyAlignment="1">
      <alignment horizontal="left" vertical="center"/>
    </xf>
    <xf numFmtId="0" fontId="22" fillId="0" borderId="18" xfId="2" applyFont="1" applyFill="1" applyBorder="1" applyAlignment="1">
      <alignment horizontal="center" vertical="center" wrapText="1"/>
    </xf>
    <xf numFmtId="0" fontId="22" fillId="0" borderId="20" xfId="2" applyFont="1" applyFill="1" applyBorder="1" applyAlignment="1">
      <alignment horizontal="center" vertical="center" wrapText="1"/>
    </xf>
    <xf numFmtId="0" fontId="3" fillId="0" borderId="21" xfId="2" applyFont="1" applyBorder="1" applyAlignment="1">
      <alignment horizontal="center" vertical="center"/>
    </xf>
    <xf numFmtId="0" fontId="3" fillId="0" borderId="36" xfId="2" applyFont="1" applyBorder="1" applyAlignment="1">
      <alignment horizontal="left" vertical="center" shrinkToFit="1"/>
    </xf>
    <xf numFmtId="0" fontId="3" fillId="0" borderId="37" xfId="2" applyFont="1" applyBorder="1" applyAlignment="1">
      <alignment horizontal="left" vertical="center" shrinkToFit="1"/>
    </xf>
    <xf numFmtId="0" fontId="22" fillId="0" borderId="17" xfId="2" applyFont="1" applyFill="1" applyBorder="1" applyAlignment="1">
      <alignment horizontal="center" vertical="center" wrapText="1"/>
    </xf>
    <xf numFmtId="0" fontId="22" fillId="0" borderId="19" xfId="2" applyFont="1" applyFill="1" applyBorder="1" applyAlignment="1">
      <alignment horizontal="center" vertical="center" wrapText="1"/>
    </xf>
    <xf numFmtId="0" fontId="26" fillId="0" borderId="1" xfId="2" applyFont="1" applyBorder="1" applyAlignment="1">
      <alignment horizontal="center" vertical="center"/>
    </xf>
    <xf numFmtId="0" fontId="3" fillId="0" borderId="1" xfId="2" applyFont="1" applyBorder="1" applyAlignment="1">
      <alignment horizontal="center" vertical="center"/>
    </xf>
    <xf numFmtId="0" fontId="22" fillId="0" borderId="15" xfId="2" applyFont="1" applyFill="1" applyBorder="1" applyAlignment="1">
      <alignment horizontal="center" vertical="center" wrapText="1"/>
    </xf>
    <xf numFmtId="0" fontId="22" fillId="0" borderId="22" xfId="2" applyFont="1" applyFill="1" applyBorder="1" applyAlignment="1">
      <alignment horizontal="center" vertical="center" wrapText="1"/>
    </xf>
    <xf numFmtId="0" fontId="26" fillId="0" borderId="16" xfId="2" applyFont="1" applyBorder="1" applyAlignment="1">
      <alignment horizontal="center" vertical="center" wrapText="1"/>
    </xf>
    <xf numFmtId="0" fontId="26" fillId="0" borderId="23" xfId="2" applyFont="1" applyBorder="1" applyAlignment="1">
      <alignment horizontal="center" vertical="center"/>
    </xf>
    <xf numFmtId="0" fontId="24" fillId="0" borderId="12" xfId="2" applyFont="1" applyBorder="1" applyAlignment="1">
      <alignment horizontal="center"/>
    </xf>
    <xf numFmtId="0" fontId="19" fillId="0" borderId="0" xfId="2" applyFont="1" applyBorder="1" applyAlignment="1">
      <alignment horizontal="center" vertical="center"/>
    </xf>
    <xf numFmtId="164" fontId="3" fillId="0" borderId="0" xfId="2" applyNumberFormat="1" applyFont="1" applyAlignment="1">
      <alignment horizontal="center" vertical="center"/>
    </xf>
    <xf numFmtId="0" fontId="3" fillId="0" borderId="0" xfId="2" applyFont="1" applyAlignment="1">
      <alignment horizontal="center" vertical="center"/>
    </xf>
    <xf numFmtId="0" fontId="20" fillId="0" borderId="0" xfId="2" applyFont="1" applyBorder="1" applyAlignment="1">
      <alignment horizontal="center" vertical="center" wrapText="1"/>
    </xf>
    <xf numFmtId="0" fontId="8" fillId="0" borderId="0" xfId="2" applyFont="1" applyAlignment="1">
      <alignment horizontal="right" vertical="center" shrinkToFit="1"/>
    </xf>
    <xf numFmtId="0" fontId="8" fillId="0" borderId="0" xfId="2" applyFont="1" applyBorder="1" applyAlignment="1">
      <alignment horizontal="center" vertical="top" wrapText="1" shrinkToFit="1"/>
    </xf>
    <xf numFmtId="0" fontId="22" fillId="0" borderId="0" xfId="2" applyFont="1" applyAlignment="1">
      <alignment horizontal="left" vertical="center" wrapText="1"/>
    </xf>
    <xf numFmtId="0" fontId="22" fillId="0" borderId="0" xfId="2" applyFont="1" applyAlignment="1">
      <alignment horizontal="left" vertical="center"/>
    </xf>
    <xf numFmtId="0" fontId="22" fillId="0" borderId="0" xfId="2" applyFont="1" applyAlignment="1">
      <alignment vertical="center" wrapText="1"/>
    </xf>
    <xf numFmtId="168" fontId="19" fillId="0" borderId="12" xfId="2" applyNumberFormat="1" applyFont="1" applyBorder="1" applyAlignment="1">
      <alignment horizontal="center" vertical="center"/>
    </xf>
    <xf numFmtId="0" fontId="3" fillId="0" borderId="0" xfId="2" applyFont="1" applyAlignment="1">
      <alignment horizontal="right" vertical="center"/>
    </xf>
    <xf numFmtId="0" fontId="3" fillId="0" borderId="14" xfId="2" applyFont="1" applyBorder="1" applyAlignment="1">
      <alignment horizontal="left" vertical="center"/>
    </xf>
    <xf numFmtId="0" fontId="9" fillId="0" borderId="0" xfId="0" applyFont="1" applyAlignment="1">
      <alignment horizontal="left" vertical="top" wrapText="1"/>
    </xf>
    <xf numFmtId="0" fontId="6" fillId="0" borderId="0" xfId="0" applyFont="1" applyAlignment="1">
      <alignment horizontal="center" vertical="center" shrinkToFit="1"/>
    </xf>
    <xf numFmtId="0" fontId="6" fillId="0" borderId="2" xfId="0" applyFont="1" applyBorder="1" applyAlignment="1">
      <alignment horizontal="center" vertical="center"/>
    </xf>
    <xf numFmtId="0" fontId="2" fillId="0" borderId="0" xfId="0" applyFont="1" applyAlignment="1">
      <alignment horizontal="left" vertical="top"/>
    </xf>
    <xf numFmtId="0" fontId="31" fillId="0" borderId="0" xfId="0" applyFont="1" applyAlignment="1">
      <alignment horizontal="right" vertical="center"/>
    </xf>
    <xf numFmtId="0" fontId="2" fillId="0" borderId="0" xfId="0" applyFont="1" applyAlignment="1">
      <alignment horizontal="right" vertical="center"/>
    </xf>
    <xf numFmtId="0" fontId="2" fillId="0" borderId="3" xfId="0" applyFont="1" applyBorder="1" applyAlignment="1">
      <alignment horizontal="right" vertical="center"/>
    </xf>
    <xf numFmtId="0" fontId="32" fillId="0" borderId="4" xfId="0" applyFont="1" applyBorder="1" applyAlignment="1">
      <alignment horizontal="center" vertical="center"/>
    </xf>
    <xf numFmtId="0" fontId="32" fillId="0" borderId="0" xfId="0" applyFont="1" applyBorder="1" applyAlignment="1">
      <alignment horizontal="center" vertical="center"/>
    </xf>
    <xf numFmtId="0" fontId="33" fillId="0" borderId="0" xfId="0" applyFont="1" applyAlignment="1">
      <alignment vertical="center"/>
    </xf>
    <xf numFmtId="164" fontId="33" fillId="0" borderId="0" xfId="0" applyNumberFormat="1" applyFont="1" applyAlignment="1">
      <alignment vertical="center"/>
    </xf>
    <xf numFmtId="0" fontId="34" fillId="0" borderId="0" xfId="0" applyFont="1" applyAlignment="1">
      <alignment vertical="center"/>
    </xf>
    <xf numFmtId="0" fontId="35" fillId="0" borderId="0" xfId="0" applyFont="1" applyAlignment="1">
      <alignment vertical="center"/>
    </xf>
    <xf numFmtId="49" fontId="33" fillId="0" borderId="0" xfId="0" applyNumberFormat="1" applyFont="1" applyAlignment="1">
      <alignment vertical="center"/>
    </xf>
    <xf numFmtId="3" fontId="33" fillId="0" borderId="0" xfId="0" applyNumberFormat="1" applyFont="1" applyAlignment="1">
      <alignment vertical="center" shrinkToFit="1"/>
    </xf>
    <xf numFmtId="0" fontId="33" fillId="0" borderId="0" xfId="0" applyFont="1" applyAlignment="1">
      <alignment horizontal="left" vertical="center"/>
    </xf>
    <xf numFmtId="0" fontId="33" fillId="0" borderId="0" xfId="0" applyFont="1" applyAlignment="1">
      <alignment horizontal="center" vertical="center"/>
    </xf>
    <xf numFmtId="0" fontId="33" fillId="0" borderId="5" xfId="0" applyFont="1" applyBorder="1" applyAlignment="1">
      <alignment horizontal="center" vertical="center"/>
    </xf>
    <xf numFmtId="0" fontId="33" fillId="0" borderId="2" xfId="0" applyFont="1" applyBorder="1" applyAlignment="1">
      <alignment horizontal="center" vertical="center"/>
    </xf>
    <xf numFmtId="0" fontId="33" fillId="0" borderId="6" xfId="0" applyFont="1" applyBorder="1" applyAlignment="1">
      <alignment horizontal="center" vertical="center"/>
    </xf>
    <xf numFmtId="0" fontId="35" fillId="0" borderId="2" xfId="0" applyFont="1" applyBorder="1" applyAlignment="1">
      <alignment vertical="center"/>
    </xf>
    <xf numFmtId="0" fontId="33" fillId="0" borderId="2" xfId="0" applyFont="1" applyBorder="1" applyAlignment="1">
      <alignment vertical="center"/>
    </xf>
    <xf numFmtId="0" fontId="33" fillId="0" borderId="6" xfId="0" applyFont="1" applyBorder="1" applyAlignment="1">
      <alignment vertical="center"/>
    </xf>
    <xf numFmtId="0" fontId="33" fillId="0" borderId="7" xfId="0" applyFont="1" applyBorder="1" applyAlignment="1">
      <alignment horizontal="center" vertical="center"/>
    </xf>
    <xf numFmtId="0" fontId="33" fillId="0" borderId="0" xfId="0" applyFont="1" applyBorder="1" applyAlignment="1">
      <alignment horizontal="center" vertical="center"/>
    </xf>
    <xf numFmtId="0" fontId="33" fillId="0" borderId="8" xfId="0" applyFont="1" applyBorder="1" applyAlignment="1">
      <alignment horizontal="center" vertical="center"/>
    </xf>
    <xf numFmtId="0" fontId="33" fillId="0" borderId="0" xfId="0" applyFont="1" applyBorder="1" applyAlignment="1">
      <alignment vertical="center"/>
    </xf>
    <xf numFmtId="38" fontId="33" fillId="0" borderId="0" xfId="0" applyNumberFormat="1" applyFont="1" applyBorder="1" applyAlignment="1">
      <alignment vertical="center" shrinkToFit="1"/>
    </xf>
    <xf numFmtId="0" fontId="33" fillId="0" borderId="8" xfId="0" applyFont="1" applyBorder="1" applyAlignment="1">
      <alignment vertical="center"/>
    </xf>
    <xf numFmtId="0" fontId="33" fillId="0" borderId="9" xfId="0" applyFont="1" applyBorder="1" applyAlignment="1">
      <alignment horizontal="center" vertical="center"/>
    </xf>
    <xf numFmtId="0" fontId="33" fillId="0" borderId="1" xfId="0" applyFont="1" applyBorder="1" applyAlignment="1">
      <alignment horizontal="center" vertical="center"/>
    </xf>
    <xf numFmtId="0" fontId="33" fillId="0" borderId="10" xfId="0" applyFont="1" applyBorder="1" applyAlignment="1">
      <alignment horizontal="center" vertical="center"/>
    </xf>
    <xf numFmtId="0" fontId="33" fillId="0" borderId="1" xfId="0" applyFont="1" applyBorder="1" applyAlignment="1">
      <alignment vertical="center"/>
    </xf>
    <xf numFmtId="0" fontId="33" fillId="0" borderId="1" xfId="0" applyFont="1" applyBorder="1" applyAlignment="1">
      <alignment horizontal="left" vertical="center"/>
    </xf>
    <xf numFmtId="0" fontId="33" fillId="0" borderId="10" xfId="0" applyFont="1" applyBorder="1" applyAlignment="1">
      <alignment vertical="center"/>
    </xf>
    <xf numFmtId="0" fontId="33" fillId="0" borderId="0" xfId="0" applyFont="1" applyAlignment="1">
      <alignment vertical="top" wrapText="1"/>
    </xf>
    <xf numFmtId="0" fontId="33" fillId="0" borderId="11" xfId="0" applyFont="1" applyBorder="1" applyAlignment="1">
      <alignment horizontal="center" vertical="center"/>
    </xf>
    <xf numFmtId="167" fontId="33" fillId="0" borderId="11" xfId="0" applyNumberFormat="1" applyFont="1" applyBorder="1" applyAlignment="1">
      <alignment horizontal="left" vertical="top" wrapText="1"/>
    </xf>
    <xf numFmtId="0" fontId="2" fillId="0" borderId="0" xfId="0" applyFont="1" applyAlignment="1">
      <alignment horizontal="center" vertical="center"/>
    </xf>
    <xf numFmtId="0" fontId="33" fillId="0" borderId="11" xfId="0" applyFont="1" applyBorder="1" applyAlignment="1">
      <alignment horizontal="left" vertical="top" wrapText="1"/>
    </xf>
    <xf numFmtId="0" fontId="33" fillId="0" borderId="2" xfId="0" applyFont="1" applyBorder="1" applyAlignment="1">
      <alignment horizontal="left" vertical="top" wrapText="1"/>
    </xf>
    <xf numFmtId="0" fontId="33" fillId="0" borderId="2" xfId="0" applyFont="1" applyBorder="1" applyAlignment="1">
      <alignment horizontal="left" vertical="top"/>
    </xf>
    <xf numFmtId="0" fontId="33" fillId="0" borderId="2" xfId="0" applyFont="1" applyBorder="1" applyAlignment="1">
      <alignment horizontal="right" vertical="top" wrapText="1"/>
    </xf>
    <xf numFmtId="0" fontId="33" fillId="0" borderId="6" xfId="0" applyFont="1" applyBorder="1" applyAlignment="1">
      <alignment horizontal="right" vertical="top" wrapText="1"/>
    </xf>
    <xf numFmtId="0" fontId="33" fillId="0" borderId="1" xfId="0" applyFont="1" applyBorder="1" applyAlignment="1">
      <alignment horizontal="left" vertical="top" wrapText="1"/>
    </xf>
    <xf numFmtId="0" fontId="33" fillId="0" borderId="1" xfId="0" applyFont="1" applyBorder="1" applyAlignment="1">
      <alignment horizontal="left" vertical="top"/>
    </xf>
    <xf numFmtId="0" fontId="33" fillId="0" borderId="1" xfId="0" applyFont="1" applyBorder="1" applyAlignment="1">
      <alignment horizontal="right" vertical="top" wrapText="1"/>
    </xf>
    <xf numFmtId="0" fontId="33" fillId="0" borderId="10" xfId="0" applyFont="1" applyBorder="1" applyAlignment="1">
      <alignment horizontal="right" vertical="top" wrapText="1"/>
    </xf>
    <xf numFmtId="0" fontId="35" fillId="0" borderId="0" xfId="0" applyFont="1" applyAlignment="1">
      <alignment horizontal="left" vertical="center"/>
    </xf>
    <xf numFmtId="0" fontId="35" fillId="0" borderId="0" xfId="0" applyFont="1" applyAlignment="1">
      <alignment horizontal="center" vertical="center" shrinkToFit="1"/>
    </xf>
    <xf numFmtId="0" fontId="35" fillId="0" borderId="0" xfId="0" applyFont="1" applyAlignment="1">
      <alignment horizontal="left" vertical="center"/>
    </xf>
    <xf numFmtId="0" fontId="35" fillId="0" borderId="0" xfId="0" applyFont="1" applyAlignment="1">
      <alignment horizontal="center" vertical="center" shrinkToFit="1"/>
    </xf>
    <xf numFmtId="0" fontId="35" fillId="0" borderId="0" xfId="0" applyFont="1" applyAlignment="1">
      <alignment vertical="center" shrinkToFit="1"/>
    </xf>
    <xf numFmtId="0" fontId="33" fillId="0" borderId="0" xfId="0" applyFont="1" applyAlignment="1">
      <alignment horizontal="right" vertical="center"/>
    </xf>
    <xf numFmtId="0" fontId="35" fillId="0" borderId="2" xfId="0" applyFont="1" applyBorder="1" applyAlignment="1">
      <alignment horizontal="center" vertical="center"/>
    </xf>
    <xf numFmtId="14" fontId="33" fillId="0" borderId="0" xfId="0" applyNumberFormat="1" applyFont="1" applyBorder="1" applyAlignment="1">
      <alignment vertical="center"/>
    </xf>
    <xf numFmtId="0" fontId="33" fillId="0" borderId="9" xfId="0" applyFont="1" applyBorder="1" applyAlignment="1">
      <alignment horizontal="left" vertical="center"/>
    </xf>
    <xf numFmtId="0" fontId="33" fillId="0" borderId="1" xfId="0" applyFont="1" applyBorder="1" applyAlignment="1">
      <alignment horizontal="left" vertical="center"/>
    </xf>
  </cellXfs>
  <cellStyles count="4">
    <cellStyle name="Bình thường" xfId="0" builtinId="0"/>
    <cellStyle name="Comma [0] 2" xfId="1"/>
    <cellStyle name="桁区切り 2" xfId="3"/>
    <cellStyle name="標準 2" xfId="2"/>
  </cellStyles>
  <dxfs count="1">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247650</xdr:colOff>
      <xdr:row>1</xdr:row>
      <xdr:rowOff>57150</xdr:rowOff>
    </xdr:from>
    <xdr:ext cx="1552575" cy="367078"/>
    <xdr:pic>
      <xdr:nvPicPr>
        <xdr:cNvPr id="2"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47650"/>
          <a:ext cx="1552575"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57151</xdr:colOff>
      <xdr:row>0</xdr:row>
      <xdr:rowOff>32972</xdr:rowOff>
    </xdr:from>
    <xdr:to>
      <xdr:col>2</xdr:col>
      <xdr:colOff>171451</xdr:colOff>
      <xdr:row>1</xdr:row>
      <xdr:rowOff>223570</xdr:rowOff>
    </xdr:to>
    <xdr:pic>
      <xdr:nvPicPr>
        <xdr:cNvPr id="2"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2972"/>
          <a:ext cx="1571625"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57151</xdr:colOff>
      <xdr:row>0</xdr:row>
      <xdr:rowOff>32972</xdr:rowOff>
    </xdr:from>
    <xdr:to>
      <xdr:col>2</xdr:col>
      <xdr:colOff>171451</xdr:colOff>
      <xdr:row>1</xdr:row>
      <xdr:rowOff>215660</xdr:rowOff>
    </xdr:to>
    <xdr:pic>
      <xdr:nvPicPr>
        <xdr:cNvPr id="2" name="Picture 5" descr="A3_2 シンボルマーク・ロゴ_基本形_欧文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32972"/>
          <a:ext cx="1571625" cy="367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a171\my%20documents\My%20Documents\5&#37329;&#23646;&#12481;&#12540;&#12512;\4&#28711;&#27827;&#35226;\&#37326;&#24115;&#65292;&#20381;&#38972;&#34920;&#12394;&#12393;\MSOffice\Template\&#19968;&#33324;\&#26908;&#37327;&#32218;.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A153\&#24179;&#25104;11&#24180;&#24230;\&#24746;&#33261;\&#12381;&#12398;&#20182;\&#24746;&#3326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g.takai/My%20Documents/takai/28&#26399;&#12288;2009.9.1&#65374;2010.8.31/28&#26399;&#12518;&#12540;&#12470;&#12540;/K09G008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A153\&#24179;&#25104;11&#24180;&#24230;\&#24746;&#33261;&#38306;&#20418;\&#26481;&#21644;&#31185;&#233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225;o%20Gi&#225;%20Kh&#237;%20Th&#7843;i%202016.11.1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k.v.dung/Documents/0.CHUGAI%20UPDATE/1.OFFICE%20WORK/3.HOP%20DONG/HOP%20DONG%20CONG%20TY/Contract%20Sheet-%20Vietname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x 10"/>
      <sheetName val="SOx 50"/>
      <sheetName val="Zn NEDA"/>
      <sheetName val="PDS"/>
      <sheetName val="HCl"/>
      <sheetName val="Cl2"/>
    </sheetNames>
    <sheetDataSet>
      <sheetData sheetId="0">
        <row r="9">
          <cell r="F9">
            <v>0</v>
          </cell>
          <cell r="H9">
            <v>0</v>
          </cell>
        </row>
        <row r="10">
          <cell r="F10">
            <v>5</v>
          </cell>
          <cell r="H10">
            <v>0.192</v>
          </cell>
        </row>
        <row r="11">
          <cell r="F11">
            <v>10</v>
          </cell>
          <cell r="H11">
            <v>0.378</v>
          </cell>
        </row>
        <row r="12">
          <cell r="C12">
            <v>1.024</v>
          </cell>
          <cell r="F12">
            <v>15</v>
          </cell>
          <cell r="H12">
            <v>0.56799999999999995</v>
          </cell>
        </row>
        <row r="13">
          <cell r="F13">
            <v>20</v>
          </cell>
          <cell r="H13">
            <v>0.72</v>
          </cell>
        </row>
      </sheetData>
      <sheetData sheetId="1">
        <row r="9">
          <cell r="F9">
            <v>0</v>
          </cell>
          <cell r="H9">
            <v>4.0000000000000001E-3</v>
          </cell>
        </row>
        <row r="10">
          <cell r="F10">
            <v>5</v>
          </cell>
          <cell r="H10">
            <v>0.14599999999999999</v>
          </cell>
        </row>
        <row r="11">
          <cell r="F11">
            <v>10</v>
          </cell>
          <cell r="H11">
            <v>0.32800000000000001</v>
          </cell>
        </row>
        <row r="12">
          <cell r="C12">
            <v>1.036</v>
          </cell>
          <cell r="F12">
            <v>15</v>
          </cell>
          <cell r="H12">
            <v>0.50900000000000001</v>
          </cell>
        </row>
        <row r="13">
          <cell r="F13">
            <v>20</v>
          </cell>
          <cell r="H13">
            <v>0.64700000000000002</v>
          </cell>
        </row>
      </sheetData>
      <sheetData sheetId="2">
        <row r="9">
          <cell r="F9">
            <v>0</v>
          </cell>
          <cell r="H9">
            <v>5.0000000000000001E-3</v>
          </cell>
        </row>
        <row r="10">
          <cell r="F10">
            <v>10</v>
          </cell>
          <cell r="H10">
            <v>0.16600000000000001</v>
          </cell>
        </row>
        <row r="11">
          <cell r="F11">
            <v>20</v>
          </cell>
          <cell r="H11">
            <v>0.32700000000000001</v>
          </cell>
        </row>
        <row r="12">
          <cell r="F12">
            <v>30</v>
          </cell>
          <cell r="H12">
            <v>0.50700000000000001</v>
          </cell>
        </row>
        <row r="13">
          <cell r="F13">
            <v>40</v>
          </cell>
          <cell r="H13">
            <v>0.66200000000000003</v>
          </cell>
        </row>
        <row r="14">
          <cell r="F14">
            <v>50</v>
          </cell>
          <cell r="H14">
            <v>0.82499999999999996</v>
          </cell>
        </row>
      </sheetData>
      <sheetData sheetId="3">
        <row r="9">
          <cell r="F9">
            <v>0</v>
          </cell>
          <cell r="H9">
            <v>0</v>
          </cell>
        </row>
        <row r="10">
          <cell r="F10">
            <v>5</v>
          </cell>
          <cell r="H10">
            <v>0.155</v>
          </cell>
        </row>
        <row r="11">
          <cell r="F11">
            <v>10</v>
          </cell>
          <cell r="H11">
            <v>0.27</v>
          </cell>
        </row>
        <row r="12">
          <cell r="F12">
            <v>15</v>
          </cell>
          <cell r="H12">
            <v>0.40200000000000002</v>
          </cell>
        </row>
        <row r="13">
          <cell r="F13">
            <v>20</v>
          </cell>
          <cell r="H13">
            <v>0.54300000000000004</v>
          </cell>
        </row>
        <row r="14">
          <cell r="F14">
            <v>25</v>
          </cell>
          <cell r="H14">
            <v>0.69599999999999995</v>
          </cell>
        </row>
      </sheetData>
      <sheetData sheetId="4">
        <row r="9">
          <cell r="F9">
            <v>0</v>
          </cell>
          <cell r="H9">
            <v>0</v>
          </cell>
        </row>
        <row r="10">
          <cell r="F10">
            <v>1</v>
          </cell>
          <cell r="H10">
            <v>8.7999999999999995E-2</v>
          </cell>
        </row>
        <row r="11">
          <cell r="F11">
            <v>2</v>
          </cell>
          <cell r="H11">
            <v>0.17100000000000001</v>
          </cell>
        </row>
        <row r="12">
          <cell r="F12">
            <v>3</v>
          </cell>
          <cell r="H12">
            <v>0.25900000000000001</v>
          </cell>
        </row>
        <row r="13">
          <cell r="F13">
            <v>4</v>
          </cell>
          <cell r="H13">
            <v>0.33600000000000002</v>
          </cell>
        </row>
        <row r="14">
          <cell r="F14">
            <v>5</v>
          </cell>
          <cell r="H14">
            <v>0.42499999999999999</v>
          </cell>
        </row>
      </sheetData>
      <sheetData sheetId="5">
        <row r="9">
          <cell r="F9">
            <v>0</v>
          </cell>
          <cell r="H9">
            <v>8.9999999999999993E-3</v>
          </cell>
        </row>
        <row r="10">
          <cell r="F10">
            <v>0.5</v>
          </cell>
          <cell r="H10">
            <v>7.8E-2</v>
          </cell>
        </row>
        <row r="11">
          <cell r="F11">
            <v>1</v>
          </cell>
          <cell r="H11">
            <v>0.14899999999999999</v>
          </cell>
        </row>
        <row r="12">
          <cell r="F12">
            <v>2</v>
          </cell>
          <cell r="H12">
            <v>0.28399999999999997</v>
          </cell>
        </row>
        <row r="13">
          <cell r="F13">
            <v>3</v>
          </cell>
          <cell r="H13">
            <v>0.42399999999999999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証明"/>
      <sheetName val="一覧 "/>
      <sheetName val="一覧  (2)"/>
      <sheetName val="流速結果"/>
      <sheetName val="流速"/>
      <sheetName val="採取表"/>
      <sheetName val="NH3"/>
      <sheetName val="データNo.1用"/>
      <sheetName val="ｱﾙﾃﾞﾋﾄﾞ類計算No.1用"/>
      <sheetName val="データNo.2用"/>
      <sheetName val="ｱﾙﾃﾞﾋﾄﾞ類計算No.2用"/>
      <sheetName val="採取表（臭気用）"/>
      <sheetName val="臭気（排出口）"/>
    </sheetNames>
    <sheetDataSet>
      <sheetData sheetId="0"/>
      <sheetData sheetId="1" refreshError="1"/>
      <sheetData sheetId="2" refreshError="1"/>
      <sheetData sheetId="3" refreshError="1"/>
      <sheetData sheetId="4"/>
      <sheetData sheetId="5"/>
      <sheetData sheetId="6" refreshError="1">
        <row r="9">
          <cell r="F9">
            <v>0</v>
          </cell>
          <cell r="H9">
            <v>0</v>
          </cell>
        </row>
        <row r="10">
          <cell r="F10">
            <v>2</v>
          </cell>
          <cell r="H10">
            <v>8.6999999999999994E-2</v>
          </cell>
        </row>
        <row r="11">
          <cell r="F11">
            <v>4</v>
          </cell>
          <cell r="H11">
            <v>0.17699999999999999</v>
          </cell>
        </row>
        <row r="12">
          <cell r="F12">
            <v>6</v>
          </cell>
          <cell r="H12">
            <v>0.26600000000000001</v>
          </cell>
        </row>
        <row r="13">
          <cell r="F13">
            <v>8</v>
          </cell>
          <cell r="H13">
            <v>0.36099999999999999</v>
          </cell>
        </row>
        <row r="14">
          <cell r="F14">
            <v>10</v>
          </cell>
          <cell r="H14">
            <v>0.44700000000000001</v>
          </cell>
        </row>
      </sheetData>
      <sheetData sheetId="7"/>
      <sheetData sheetId="8" refreshError="1"/>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ッセージ"/>
      <sheetName val="変更履歴"/>
      <sheetName val="入力用"/>
      <sheetName val="依頼書"/>
      <sheetName val="受注票"/>
      <sheetName val="見積書"/>
      <sheetName val="PCB"/>
      <sheetName val="特計シート"/>
      <sheetName val="基礎情報入力シート"/>
      <sheetName val="受注予算書（入力用）"/>
      <sheetName val="分析費（入力用）"/>
      <sheetName val="分析原価別表シート"/>
      <sheetName val="分析一覧"/>
      <sheetName val="システム反映"/>
      <sheetName val="社内依頼"/>
      <sheetName val="分析依頼"/>
      <sheetName val="初期(事)"/>
      <sheetName val="初期(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証明"/>
      <sheetName val="Sheet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Quotation Purchase Order"/>
      <sheetName val="3.Sales Contraction"/>
      <sheetName val="4.Handing Over"/>
      <sheetName val="5.Request for Payment"/>
      <sheetName val="6.Detail Quotation"/>
      <sheetName val="7.Quotaition ( Process Sheet ）"/>
      <sheetName val="8.Allowance and Others"/>
      <sheetName val="9.Instrument Breakdown Sheet"/>
      <sheetName val="10.Equipment depreciation table"/>
      <sheetName val="11.Consumbles Breakudown Sheet"/>
      <sheetName val="Balance sheet"/>
    </sheetNames>
    <sheetDataSet>
      <sheetData sheetId="0" refreshError="1"/>
      <sheetData sheetId="1">
        <row r="31">
          <cell r="D31" t="str">
            <v>Ông．MASAMI OUE</v>
          </cell>
        </row>
        <row r="51">
          <cell r="E51" t="str">
            <v>Vietnam</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Admission Management Book"/>
      <sheetName val="2.Quotation Purchase Order"/>
      <sheetName val="3.Sales Contraction"/>
      <sheetName val="4.Handing Over"/>
      <sheetName val="5.Request for Payment"/>
      <sheetName val="6.Detail Quotation"/>
      <sheetName val="7.Quotaition ( Process Sheet ）"/>
      <sheetName val="8.Allowance and Others"/>
      <sheetName val="9.Instrument Breakdown Sheet"/>
      <sheetName val="10.Equipment depreciation table"/>
      <sheetName val="11.Consumbles Breakudown Sheet"/>
      <sheetName val="Quatation inquest"/>
    </sheetNames>
    <sheetDataSet>
      <sheetData sheetId="0"/>
      <sheetData sheetId="1"/>
      <sheetData sheetId="2">
        <row r="29">
          <cell r="D29" t="str">
            <v>Ông MASAMI OUE</v>
          </cell>
        </row>
        <row r="38">
          <cell r="D38" t="str">
            <v>Ngân hàng Mitsu Sumitomo- CN Hồ Chí Minh</v>
          </cell>
        </row>
      </sheetData>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F176"/>
  <sheetViews>
    <sheetView view="pageBreakPreview" topLeftCell="A37" zoomScale="98" zoomScaleNormal="100" zoomScaleSheetLayoutView="98" workbookViewId="0">
      <selection activeCell="E52" sqref="E52"/>
    </sheetView>
  </sheetViews>
  <sheetFormatPr defaultColWidth="9" defaultRowHeight="14.25" x14ac:dyDescent="0.25"/>
  <cols>
    <col min="1" max="1" width="9" style="2"/>
    <col min="2" max="2" width="11.42578125" style="2" customWidth="1"/>
    <col min="3" max="3" width="9" style="2"/>
    <col min="4" max="4" width="11" style="2" bestFit="1" customWidth="1"/>
    <col min="5" max="5" width="13" style="2" customWidth="1"/>
    <col min="6" max="14" width="9" style="2"/>
    <col min="15" max="15" width="10.42578125" style="2" bestFit="1" customWidth="1"/>
    <col min="16" max="16" width="10.42578125" style="2" customWidth="1"/>
    <col min="17" max="17" width="16.5703125" style="2" bestFit="1" customWidth="1"/>
    <col min="18" max="16384" width="9" style="2"/>
  </cols>
  <sheetData>
    <row r="1" spans="1:21" ht="15" x14ac:dyDescent="0.25">
      <c r="A1" s="1" t="s">
        <v>0</v>
      </c>
      <c r="E1" s="1"/>
      <c r="F1" s="1"/>
      <c r="G1" s="166" t="s">
        <v>1</v>
      </c>
      <c r="H1" s="166"/>
      <c r="I1" s="166"/>
      <c r="J1" s="166"/>
      <c r="K1" s="3"/>
    </row>
    <row r="2" spans="1:21" ht="15" x14ac:dyDescent="0.25">
      <c r="E2" s="1"/>
      <c r="F2" s="1"/>
      <c r="G2" s="167" t="s">
        <v>2</v>
      </c>
      <c r="H2" s="167"/>
      <c r="I2" s="167"/>
      <c r="J2" s="167"/>
      <c r="K2" s="4"/>
    </row>
    <row r="5" spans="1:21" ht="25.5" x14ac:dyDescent="0.25">
      <c r="A5" s="168" t="s">
        <v>3</v>
      </c>
      <c r="B5" s="168"/>
      <c r="C5" s="168"/>
      <c r="D5" s="168"/>
      <c r="E5" s="168"/>
      <c r="F5" s="168"/>
      <c r="G5" s="168"/>
      <c r="H5" s="168"/>
      <c r="I5" s="168"/>
      <c r="J5" s="168"/>
      <c r="K5" s="5"/>
    </row>
    <row r="6" spans="1:21" ht="25.5" x14ac:dyDescent="0.25">
      <c r="A6" s="168"/>
      <c r="B6" s="168"/>
      <c r="C6" s="168"/>
      <c r="D6" s="168"/>
      <c r="E6" s="168"/>
      <c r="F6" s="168"/>
      <c r="G6" s="168"/>
      <c r="H6" s="168"/>
      <c r="I6" s="168"/>
      <c r="J6" s="168"/>
      <c r="K6" s="5"/>
    </row>
    <row r="7" spans="1:21" ht="25.5" x14ac:dyDescent="0.25">
      <c r="A7" s="168"/>
      <c r="B7" s="168"/>
      <c r="C7" s="168"/>
      <c r="D7" s="168"/>
      <c r="E7" s="168"/>
      <c r="F7" s="168"/>
      <c r="G7" s="168"/>
      <c r="H7" s="168"/>
      <c r="I7" s="168"/>
      <c r="J7" s="168"/>
      <c r="K7" s="5"/>
      <c r="N7" s="6"/>
    </row>
    <row r="8" spans="1:21" s="8" customFormat="1" ht="15" x14ac:dyDescent="0.25">
      <c r="A8" s="7"/>
      <c r="B8" s="7"/>
      <c r="D8" s="69" t="s">
        <v>100</v>
      </c>
      <c r="E8" s="70" t="s">
        <v>110</v>
      </c>
      <c r="F8" s="9"/>
      <c r="G8" s="9"/>
      <c r="H8" s="9"/>
      <c r="I8" s="7"/>
      <c r="J8" s="7"/>
      <c r="K8" s="10"/>
      <c r="N8" s="11"/>
      <c r="O8" s="12"/>
      <c r="P8" s="13"/>
      <c r="Q8" s="14"/>
      <c r="R8" s="11"/>
      <c r="S8" s="14"/>
      <c r="T8" s="11"/>
      <c r="U8" s="15"/>
    </row>
    <row r="9" spans="1:21" ht="15" x14ac:dyDescent="0.25">
      <c r="A9" s="16"/>
      <c r="B9" s="16"/>
      <c r="C9" s="16"/>
      <c r="D9" s="16"/>
      <c r="E9" s="16"/>
      <c r="F9" s="16"/>
      <c r="G9" s="16"/>
      <c r="H9" s="16"/>
      <c r="I9" s="16"/>
      <c r="J9" s="16"/>
      <c r="K9" s="3"/>
    </row>
    <row r="10" spans="1:21" ht="14.25" customHeight="1" x14ac:dyDescent="0.25">
      <c r="A10" s="169" t="s">
        <v>4</v>
      </c>
      <c r="B10" s="169"/>
      <c r="C10" s="169"/>
      <c r="D10" s="169"/>
      <c r="E10" s="169"/>
      <c r="F10" s="169"/>
      <c r="G10" s="169"/>
      <c r="H10" s="169"/>
      <c r="I10" s="169"/>
      <c r="J10" s="169"/>
    </row>
    <row r="11" spans="1:21" ht="14.25" customHeight="1" x14ac:dyDescent="0.25">
      <c r="A11" s="169"/>
      <c r="B11" s="169"/>
      <c r="C11" s="169"/>
      <c r="D11" s="169"/>
      <c r="E11" s="169"/>
      <c r="F11" s="169"/>
      <c r="G11" s="169"/>
      <c r="H11" s="169"/>
      <c r="I11" s="169"/>
      <c r="J11" s="169"/>
    </row>
    <row r="12" spans="1:21" ht="2.25" customHeight="1" x14ac:dyDescent="0.25">
      <c r="A12" s="169"/>
      <c r="B12" s="169"/>
      <c r="C12" s="169"/>
      <c r="D12" s="169"/>
      <c r="E12" s="169"/>
      <c r="F12" s="169"/>
      <c r="G12" s="169"/>
      <c r="H12" s="169"/>
      <c r="I12" s="169"/>
      <c r="J12" s="169"/>
    </row>
    <row r="13" spans="1:21" ht="29.25" customHeight="1" x14ac:dyDescent="0.25">
      <c r="A13" s="169"/>
      <c r="B13" s="169"/>
      <c r="C13" s="169"/>
      <c r="D13" s="169"/>
      <c r="E13" s="169"/>
      <c r="F13" s="169"/>
      <c r="G13" s="169"/>
      <c r="H13" s="169"/>
      <c r="I13" s="169"/>
      <c r="J13" s="169"/>
    </row>
    <row r="14" spans="1:21" ht="15" x14ac:dyDescent="0.25">
      <c r="A14" s="17"/>
      <c r="B14" s="1"/>
      <c r="C14" s="1"/>
      <c r="D14" s="1"/>
      <c r="E14" s="1"/>
      <c r="F14" s="1"/>
      <c r="G14" s="1"/>
      <c r="H14" s="1"/>
      <c r="I14" s="1"/>
      <c r="J14" s="1"/>
    </row>
    <row r="15" spans="1:21" ht="15" x14ac:dyDescent="0.25">
      <c r="A15" s="17" t="s">
        <v>5</v>
      </c>
      <c r="B15" s="1"/>
      <c r="C15" s="1"/>
      <c r="D15" s="1"/>
      <c r="E15" s="1"/>
      <c r="F15" s="1"/>
      <c r="G15" s="1"/>
      <c r="H15" s="1"/>
      <c r="I15" s="1"/>
      <c r="J15" s="1"/>
    </row>
    <row r="16" spans="1:21" ht="15" x14ac:dyDescent="0.25">
      <c r="A16" s="17"/>
      <c r="B16" s="1"/>
      <c r="C16" s="1"/>
      <c r="D16" s="1"/>
      <c r="E16" s="1"/>
      <c r="F16" s="1"/>
      <c r="G16" s="1"/>
      <c r="H16" s="1"/>
      <c r="I16" s="1"/>
      <c r="J16" s="1"/>
    </row>
    <row r="17" spans="1:18" ht="15" x14ac:dyDescent="0.25">
      <c r="A17" s="18" t="str">
        <f>"Hợp đồng này được ký ngày 6/12/2016 bởi các bên như sau："</f>
        <v>Hợp đồng này được ký ngày 6/12/2016 bởi các bên như sau：</v>
      </c>
      <c r="B17" s="19"/>
      <c r="C17" s="19"/>
      <c r="D17" s="20"/>
      <c r="E17" s="20"/>
      <c r="F17" s="1"/>
      <c r="G17" s="1"/>
      <c r="H17" s="1"/>
      <c r="I17" s="1"/>
      <c r="J17" s="1"/>
      <c r="P17" s="15"/>
    </row>
    <row r="18" spans="1:18" ht="15" x14ac:dyDescent="0.25">
      <c r="A18" s="17"/>
      <c r="B18" s="1"/>
      <c r="C18" s="1"/>
      <c r="D18" s="1"/>
      <c r="E18" s="1"/>
      <c r="F18" s="1"/>
      <c r="G18" s="1"/>
      <c r="H18" s="1"/>
      <c r="I18" s="1"/>
      <c r="J18" s="1"/>
    </row>
    <row r="19" spans="1:18" ht="15" x14ac:dyDescent="0.25">
      <c r="A19" s="21" t="s">
        <v>6</v>
      </c>
      <c r="B19" s="1"/>
      <c r="C19" s="22" t="s">
        <v>7</v>
      </c>
      <c r="D19" s="74" t="s">
        <v>102</v>
      </c>
      <c r="E19" s="75"/>
      <c r="F19" s="75"/>
      <c r="G19" s="75"/>
      <c r="H19" s="75"/>
      <c r="I19" s="75"/>
      <c r="J19" s="75"/>
    </row>
    <row r="20" spans="1:18" ht="15" x14ac:dyDescent="0.25">
      <c r="A20" s="17" t="s">
        <v>8</v>
      </c>
      <c r="B20" s="1"/>
      <c r="C20" s="22" t="s">
        <v>7</v>
      </c>
      <c r="D20" s="75" t="s">
        <v>105</v>
      </c>
      <c r="E20" s="75"/>
      <c r="F20" s="75"/>
      <c r="G20" s="75"/>
      <c r="H20" s="75"/>
      <c r="I20" s="75"/>
      <c r="J20" s="75"/>
      <c r="N20" s="24"/>
    </row>
    <row r="21" spans="1:18" ht="15" x14ac:dyDescent="0.25">
      <c r="A21" s="1" t="s">
        <v>9</v>
      </c>
      <c r="B21" s="1"/>
      <c r="C21" s="22" t="s">
        <v>7</v>
      </c>
      <c r="D21" s="75" t="s">
        <v>106</v>
      </c>
      <c r="E21" s="75"/>
      <c r="F21" s="75"/>
      <c r="G21" s="75"/>
      <c r="H21" s="75"/>
      <c r="I21" s="75"/>
      <c r="J21" s="75"/>
    </row>
    <row r="22" spans="1:18" ht="15" x14ac:dyDescent="0.25">
      <c r="A22" s="1" t="s">
        <v>11</v>
      </c>
      <c r="B22" s="1"/>
      <c r="C22" s="22" t="s">
        <v>7</v>
      </c>
      <c r="D22" s="77" t="s">
        <v>131</v>
      </c>
      <c r="E22" s="77"/>
      <c r="F22" s="77"/>
      <c r="G22" s="77"/>
      <c r="H22" s="77"/>
      <c r="I22" s="77"/>
      <c r="J22" s="77"/>
      <c r="K22" s="25"/>
      <c r="L22" s="26"/>
    </row>
    <row r="23" spans="1:18" ht="15" x14ac:dyDescent="0.25">
      <c r="A23" s="1" t="s">
        <v>12</v>
      </c>
      <c r="B23" s="1"/>
      <c r="C23" s="22" t="s">
        <v>7</v>
      </c>
      <c r="D23" s="76" t="s">
        <v>103</v>
      </c>
      <c r="E23" s="75"/>
      <c r="F23" s="75"/>
      <c r="G23" s="75"/>
      <c r="H23" s="75"/>
      <c r="I23" s="75"/>
      <c r="J23" s="75"/>
      <c r="P23" s="24"/>
    </row>
    <row r="24" spans="1:18" ht="15" x14ac:dyDescent="0.25">
      <c r="A24" s="1" t="s">
        <v>13</v>
      </c>
      <c r="B24" s="1"/>
      <c r="C24" s="22" t="s">
        <v>7</v>
      </c>
      <c r="D24" s="76" t="s">
        <v>104</v>
      </c>
      <c r="E24" s="75"/>
      <c r="F24" s="75"/>
      <c r="G24" s="75"/>
      <c r="H24" s="75"/>
      <c r="I24" s="75"/>
      <c r="J24" s="75"/>
      <c r="P24" s="24"/>
    </row>
    <row r="25" spans="1:18" ht="15" x14ac:dyDescent="0.25">
      <c r="A25" s="1" t="s">
        <v>14</v>
      </c>
      <c r="B25" s="1"/>
      <c r="C25" s="22" t="s">
        <v>7</v>
      </c>
      <c r="D25" s="75">
        <v>3600508577</v>
      </c>
      <c r="E25" s="75"/>
      <c r="F25" s="75"/>
      <c r="G25" s="75"/>
      <c r="H25" s="75"/>
      <c r="I25" s="75"/>
      <c r="J25" s="75"/>
      <c r="P25" s="24"/>
    </row>
    <row r="26" spans="1:18" ht="15" x14ac:dyDescent="0.25">
      <c r="A26" s="1"/>
      <c r="B26" s="1"/>
      <c r="C26" s="1"/>
      <c r="D26" s="1"/>
      <c r="E26" s="1"/>
      <c r="F26" s="1"/>
      <c r="G26" s="1"/>
      <c r="H26" s="1"/>
      <c r="I26" s="1"/>
      <c r="J26" s="1"/>
    </row>
    <row r="27" spans="1:18" ht="15" x14ac:dyDescent="0.25">
      <c r="A27" s="23" t="s">
        <v>15</v>
      </c>
      <c r="B27" s="23"/>
      <c r="C27" s="23"/>
      <c r="D27" s="1"/>
      <c r="E27" s="1"/>
      <c r="F27" s="1"/>
      <c r="G27" s="1"/>
      <c r="H27" s="1"/>
      <c r="I27" s="1"/>
      <c r="J27" s="1"/>
    </row>
    <row r="28" spans="1:18" ht="15" x14ac:dyDescent="0.25">
      <c r="A28" s="1"/>
      <c r="B28" s="1"/>
      <c r="C28" s="1"/>
      <c r="D28" s="1"/>
      <c r="E28" s="1"/>
      <c r="F28" s="1"/>
      <c r="G28" s="1"/>
      <c r="H28" s="1"/>
      <c r="I28" s="1"/>
      <c r="J28" s="1"/>
      <c r="N28" s="4"/>
      <c r="O28" s="4"/>
      <c r="P28" s="82"/>
      <c r="Q28" s="27"/>
      <c r="R28" s="27"/>
    </row>
    <row r="29" spans="1:18" ht="15" x14ac:dyDescent="0.2">
      <c r="A29" s="21" t="s">
        <v>16</v>
      </c>
      <c r="B29" s="1"/>
      <c r="C29" s="22" t="s">
        <v>7</v>
      </c>
      <c r="D29" s="23" t="s">
        <v>0</v>
      </c>
      <c r="E29" s="1"/>
      <c r="F29" s="1"/>
      <c r="G29" s="1"/>
      <c r="H29" s="1"/>
      <c r="I29" s="1"/>
      <c r="J29" s="1"/>
      <c r="N29" s="58"/>
      <c r="O29" s="83"/>
      <c r="P29" s="84"/>
      <c r="Q29" s="31"/>
    </row>
    <row r="30" spans="1:18" ht="15" x14ac:dyDescent="0.2">
      <c r="A30" s="17" t="s">
        <v>8</v>
      </c>
      <c r="B30" s="1"/>
      <c r="C30" s="22" t="s">
        <v>7</v>
      </c>
      <c r="D30" s="1" t="s">
        <v>17</v>
      </c>
      <c r="E30" s="1"/>
      <c r="F30" s="1"/>
      <c r="G30" s="1"/>
      <c r="H30" s="1"/>
      <c r="I30" s="1"/>
      <c r="J30" s="1"/>
      <c r="N30" s="58"/>
      <c r="O30" s="83"/>
      <c r="P30" s="84"/>
      <c r="Q30" s="31"/>
    </row>
    <row r="31" spans="1:18" ht="15" x14ac:dyDescent="0.2">
      <c r="A31" s="1" t="s">
        <v>9</v>
      </c>
      <c r="B31" s="1"/>
      <c r="C31" s="22" t="s">
        <v>7</v>
      </c>
      <c r="D31" s="1" t="s">
        <v>10</v>
      </c>
      <c r="E31" s="1"/>
      <c r="F31" s="1"/>
      <c r="G31" s="1"/>
      <c r="H31" s="1"/>
      <c r="I31" s="1"/>
      <c r="J31" s="1"/>
      <c r="N31" s="58"/>
      <c r="O31" s="83"/>
      <c r="P31" s="84"/>
      <c r="Q31" s="31"/>
    </row>
    <row r="32" spans="1:18" ht="15" x14ac:dyDescent="0.25">
      <c r="A32" s="1" t="s">
        <v>11</v>
      </c>
      <c r="B32" s="1"/>
      <c r="C32" s="22" t="s">
        <v>7</v>
      </c>
      <c r="D32" s="170" t="s">
        <v>18</v>
      </c>
      <c r="E32" s="170"/>
      <c r="F32" s="170"/>
      <c r="G32" s="170"/>
      <c r="H32" s="170"/>
      <c r="I32" s="170"/>
      <c r="J32" s="170"/>
      <c r="K32" s="25"/>
      <c r="L32" s="26"/>
    </row>
    <row r="33" spans="1:32" ht="15" x14ac:dyDescent="0.25">
      <c r="A33" s="1" t="s">
        <v>12</v>
      </c>
      <c r="B33" s="1"/>
      <c r="C33" s="22" t="s">
        <v>7</v>
      </c>
      <c r="D33" s="17" t="s">
        <v>19</v>
      </c>
      <c r="E33" s="1"/>
      <c r="F33" s="1"/>
      <c r="G33" s="1"/>
      <c r="H33" s="1"/>
      <c r="I33" s="1"/>
      <c r="J33" s="1"/>
    </row>
    <row r="34" spans="1:32" ht="15" x14ac:dyDescent="0.25">
      <c r="A34" s="1" t="s">
        <v>13</v>
      </c>
      <c r="B34" s="1"/>
      <c r="C34" s="22" t="s">
        <v>7</v>
      </c>
      <c r="D34" s="17" t="s">
        <v>20</v>
      </c>
      <c r="E34" s="1"/>
      <c r="F34" s="1"/>
      <c r="G34" s="1"/>
      <c r="H34" s="1"/>
      <c r="I34" s="1"/>
      <c r="J34" s="1"/>
    </row>
    <row r="35" spans="1:32" ht="15" x14ac:dyDescent="0.25">
      <c r="A35" s="1" t="s">
        <v>14</v>
      </c>
      <c r="B35" s="1"/>
      <c r="C35" s="22" t="s">
        <v>7</v>
      </c>
      <c r="D35" s="171" t="s">
        <v>21</v>
      </c>
      <c r="E35" s="171"/>
      <c r="F35" s="1"/>
      <c r="G35" s="1"/>
      <c r="H35" s="1"/>
      <c r="I35" s="1"/>
      <c r="J35" s="1"/>
    </row>
    <row r="36" spans="1:32" ht="15" x14ac:dyDescent="0.25">
      <c r="A36" s="1" t="s">
        <v>22</v>
      </c>
      <c r="B36" s="1"/>
      <c r="C36" s="22" t="s">
        <v>23</v>
      </c>
      <c r="D36" s="1" t="s">
        <v>24</v>
      </c>
      <c r="E36" s="1"/>
      <c r="F36" s="1"/>
      <c r="G36" s="1"/>
      <c r="H36" s="1"/>
      <c r="I36" s="1"/>
      <c r="J36" s="1"/>
    </row>
    <row r="37" spans="1:32" ht="15" x14ac:dyDescent="0.25">
      <c r="A37" s="1" t="s">
        <v>25</v>
      </c>
      <c r="B37" s="1"/>
      <c r="C37" s="1"/>
      <c r="D37" s="28">
        <v>10065702</v>
      </c>
      <c r="E37" s="28" t="s">
        <v>94</v>
      </c>
      <c r="F37" s="1"/>
      <c r="G37" s="1"/>
      <c r="H37" s="1"/>
      <c r="I37" s="1"/>
      <c r="J37" s="1"/>
    </row>
    <row r="38" spans="1:32" ht="15" x14ac:dyDescent="0.25">
      <c r="A38" s="1" t="s">
        <v>26</v>
      </c>
      <c r="B38" s="1"/>
      <c r="C38" s="1"/>
      <c r="D38" s="1" t="s">
        <v>27</v>
      </c>
      <c r="E38" s="1"/>
      <c r="F38" s="1"/>
      <c r="G38" s="1"/>
      <c r="H38" s="1"/>
      <c r="I38" s="1"/>
      <c r="J38" s="1"/>
    </row>
    <row r="39" spans="1:32" ht="15" x14ac:dyDescent="0.25">
      <c r="A39" s="1"/>
      <c r="B39" s="1"/>
      <c r="C39" s="1"/>
      <c r="D39" s="1"/>
      <c r="E39" s="1"/>
      <c r="F39" s="1"/>
      <c r="G39" s="1"/>
      <c r="H39" s="1"/>
      <c r="I39" s="1"/>
      <c r="J39" s="1"/>
    </row>
    <row r="40" spans="1:32" ht="15" x14ac:dyDescent="0.25">
      <c r="A40" s="23" t="s">
        <v>28</v>
      </c>
      <c r="B40" s="1"/>
      <c r="C40" s="1"/>
      <c r="D40" s="1"/>
      <c r="E40" s="1"/>
      <c r="F40" s="1"/>
      <c r="G40" s="1"/>
      <c r="H40" s="1"/>
      <c r="I40" s="1"/>
      <c r="J40" s="1"/>
    </row>
    <row r="41" spans="1:32" ht="15" x14ac:dyDescent="0.25">
      <c r="A41" s="1"/>
      <c r="B41" s="1"/>
      <c r="C41" s="1"/>
      <c r="D41" s="1"/>
      <c r="E41" s="1"/>
      <c r="F41" s="1"/>
      <c r="G41" s="1"/>
      <c r="H41" s="1"/>
      <c r="I41" s="1"/>
      <c r="J41" s="1"/>
    </row>
    <row r="42" spans="1:32" ht="15" x14ac:dyDescent="0.25">
      <c r="A42" s="1"/>
      <c r="B42" s="1"/>
      <c r="C42" s="1"/>
      <c r="D42" s="1"/>
      <c r="E42" s="1"/>
      <c r="F42" s="1"/>
      <c r="G42" s="1"/>
      <c r="H42" s="1"/>
      <c r="I42" s="1"/>
      <c r="J42" s="1"/>
      <c r="N42" s="43"/>
      <c r="O42" s="43"/>
      <c r="P42" s="43"/>
      <c r="Q42" s="43"/>
      <c r="R42" s="43"/>
      <c r="S42" s="43"/>
      <c r="T42" s="43"/>
      <c r="U42" s="43"/>
      <c r="V42" s="43"/>
      <c r="W42" s="43"/>
      <c r="X42" s="43"/>
      <c r="Y42" s="43"/>
      <c r="Z42" s="43"/>
      <c r="AA42" s="43"/>
      <c r="AB42" s="43"/>
      <c r="AC42" s="43"/>
      <c r="AD42" s="43"/>
      <c r="AE42" s="43"/>
      <c r="AF42" s="43"/>
    </row>
    <row r="43" spans="1:32" ht="15" x14ac:dyDescent="0.25">
      <c r="A43" s="1" t="s">
        <v>29</v>
      </c>
      <c r="B43" s="1"/>
      <c r="C43" s="1"/>
      <c r="D43" s="1"/>
      <c r="E43" s="1"/>
      <c r="F43" s="1"/>
      <c r="G43" s="1"/>
      <c r="H43" s="1"/>
      <c r="I43" s="1"/>
      <c r="J43" s="1"/>
      <c r="N43" s="45"/>
      <c r="O43" s="172"/>
      <c r="P43" s="172"/>
      <c r="Q43" s="172"/>
      <c r="R43" s="172"/>
      <c r="S43" s="172"/>
      <c r="T43" s="172"/>
      <c r="U43" s="172"/>
      <c r="V43" s="172"/>
      <c r="W43" s="172"/>
      <c r="X43" s="172"/>
      <c r="Y43" s="172"/>
      <c r="Z43" s="172"/>
      <c r="AA43" s="172"/>
      <c r="AB43" s="172"/>
      <c r="AC43" s="172"/>
      <c r="AD43" s="172"/>
      <c r="AE43" s="172"/>
      <c r="AF43" s="172"/>
    </row>
    <row r="44" spans="1:32" ht="15" x14ac:dyDescent="0.2">
      <c r="A44" s="1"/>
      <c r="B44" s="1"/>
      <c r="C44" s="1"/>
      <c r="D44" s="1"/>
      <c r="E44" s="1"/>
      <c r="F44" s="1"/>
      <c r="G44" s="1"/>
      <c r="H44" s="1"/>
      <c r="I44" s="1"/>
      <c r="J44" s="1"/>
      <c r="N44" s="58"/>
      <c r="O44" s="173"/>
      <c r="P44" s="173"/>
      <c r="Q44" s="173"/>
      <c r="R44" s="173"/>
      <c r="S44" s="174"/>
      <c r="T44" s="174"/>
      <c r="U44" s="174"/>
      <c r="V44" s="174"/>
      <c r="W44" s="174"/>
      <c r="X44" s="174"/>
      <c r="Y44" s="174"/>
      <c r="Z44" s="174"/>
      <c r="AA44" s="174"/>
      <c r="AB44" s="174"/>
      <c r="AC44" s="174"/>
      <c r="AD44" s="174"/>
      <c r="AE44" s="174"/>
      <c r="AF44" s="174"/>
    </row>
    <row r="45" spans="1:32" ht="15" x14ac:dyDescent="0.2">
      <c r="A45" s="29" t="s">
        <v>30</v>
      </c>
      <c r="B45" s="30"/>
      <c r="C45" s="1"/>
      <c r="D45" s="1"/>
      <c r="E45" s="1"/>
      <c r="F45" s="1"/>
      <c r="G45" s="1"/>
      <c r="H45" s="1"/>
      <c r="I45" s="1"/>
      <c r="J45" s="1"/>
      <c r="N45" s="58"/>
      <c r="O45" s="173"/>
      <c r="P45" s="173"/>
      <c r="Q45" s="173"/>
      <c r="R45" s="173"/>
      <c r="S45" s="174"/>
      <c r="T45" s="174"/>
      <c r="U45" s="174"/>
      <c r="V45" s="174"/>
      <c r="W45" s="174"/>
      <c r="X45" s="174"/>
      <c r="Y45" s="174"/>
      <c r="Z45" s="174"/>
      <c r="AA45" s="174"/>
      <c r="AB45" s="174"/>
      <c r="AC45" s="174"/>
      <c r="AD45" s="174"/>
      <c r="AE45" s="174"/>
      <c r="AF45" s="174"/>
    </row>
    <row r="46" spans="1:32" ht="15" x14ac:dyDescent="0.2">
      <c r="A46" s="1"/>
      <c r="B46" s="1"/>
      <c r="C46" s="1"/>
      <c r="D46" s="1"/>
      <c r="E46" s="1"/>
      <c r="F46" s="1"/>
      <c r="G46" s="1"/>
      <c r="H46" s="1"/>
      <c r="I46" s="1"/>
      <c r="J46" s="1"/>
      <c r="M46" s="31"/>
      <c r="N46" s="58"/>
      <c r="O46" s="173"/>
      <c r="P46" s="173"/>
      <c r="Q46" s="173"/>
      <c r="R46" s="173"/>
      <c r="S46" s="174"/>
      <c r="T46" s="174"/>
      <c r="U46" s="174"/>
      <c r="V46" s="174"/>
      <c r="W46" s="174"/>
      <c r="X46" s="174"/>
      <c r="Y46" s="174"/>
      <c r="Z46" s="174"/>
      <c r="AA46" s="174"/>
      <c r="AB46" s="174"/>
      <c r="AC46" s="174"/>
      <c r="AD46" s="174"/>
      <c r="AE46" s="174"/>
      <c r="AF46" s="174"/>
    </row>
    <row r="47" spans="1:32" ht="15" x14ac:dyDescent="0.25">
      <c r="A47" s="32" t="s">
        <v>31</v>
      </c>
      <c r="B47" s="28" t="s">
        <v>32</v>
      </c>
      <c r="C47" s="33"/>
      <c r="D47" s="33"/>
      <c r="E47" s="33"/>
      <c r="F47" s="33"/>
      <c r="G47" s="33"/>
      <c r="H47" s="33"/>
      <c r="I47" s="33"/>
      <c r="J47" s="33"/>
      <c r="K47" s="34"/>
      <c r="N47" s="43"/>
      <c r="O47" s="43"/>
      <c r="P47" s="43"/>
      <c r="Q47" s="43"/>
      <c r="R47" s="43"/>
      <c r="S47" s="43"/>
      <c r="T47" s="43"/>
      <c r="U47" s="43"/>
      <c r="V47" s="43"/>
      <c r="W47" s="43"/>
      <c r="X47" s="43"/>
      <c r="Y47" s="43"/>
      <c r="Z47" s="43"/>
      <c r="AA47" s="43"/>
      <c r="AB47" s="43"/>
      <c r="AC47" s="43"/>
      <c r="AD47" s="43"/>
      <c r="AE47" s="43"/>
      <c r="AF47" s="43"/>
    </row>
    <row r="48" spans="1:32" ht="15" x14ac:dyDescent="0.25">
      <c r="A48" s="1"/>
      <c r="B48" s="1" t="s">
        <v>33</v>
      </c>
      <c r="C48" s="1"/>
      <c r="D48" s="22" t="s">
        <v>7</v>
      </c>
      <c r="E48" s="28" t="s">
        <v>34</v>
      </c>
      <c r="F48" s="33"/>
      <c r="G48" s="33"/>
      <c r="H48" s="33"/>
      <c r="I48" s="33"/>
      <c r="J48" s="33"/>
      <c r="K48" s="34"/>
      <c r="N48" s="43"/>
      <c r="O48" s="43"/>
      <c r="P48" s="43"/>
      <c r="Q48" s="59"/>
      <c r="R48" s="60"/>
      <c r="S48" s="43"/>
      <c r="T48" s="43"/>
      <c r="U48" s="43"/>
      <c r="V48" s="43"/>
      <c r="W48" s="43"/>
      <c r="X48" s="43"/>
      <c r="Y48" s="43"/>
      <c r="Z48" s="43"/>
      <c r="AA48" s="43"/>
      <c r="AB48" s="43"/>
      <c r="AC48" s="43"/>
      <c r="AD48" s="43"/>
      <c r="AE48" s="43"/>
      <c r="AF48" s="43"/>
    </row>
    <row r="49" spans="1:32" ht="15" x14ac:dyDescent="0.25">
      <c r="A49" s="1"/>
      <c r="B49" s="1" t="s">
        <v>95</v>
      </c>
      <c r="C49" s="1"/>
      <c r="D49" s="22" t="s">
        <v>7</v>
      </c>
      <c r="E49" s="28" t="s">
        <v>96</v>
      </c>
      <c r="F49" s="35"/>
      <c r="G49" s="35"/>
      <c r="H49" s="35"/>
      <c r="I49" s="35"/>
      <c r="J49" s="35"/>
      <c r="K49" s="25"/>
      <c r="N49" s="43"/>
      <c r="O49" s="43"/>
      <c r="P49" s="43"/>
      <c r="Q49" s="59"/>
      <c r="R49" s="43"/>
      <c r="S49" s="43"/>
      <c r="T49" s="43"/>
      <c r="U49" s="43"/>
      <c r="V49" s="43"/>
      <c r="W49" s="43"/>
      <c r="X49" s="43"/>
      <c r="Y49" s="43"/>
      <c r="Z49" s="43"/>
      <c r="AA49" s="43"/>
      <c r="AB49" s="43"/>
      <c r="AC49" s="43"/>
      <c r="AD49" s="43"/>
      <c r="AE49" s="43"/>
      <c r="AF49" s="43"/>
    </row>
    <row r="50" spans="1:32" ht="15" x14ac:dyDescent="0.25">
      <c r="A50" s="1"/>
      <c r="B50" s="1" t="s">
        <v>11</v>
      </c>
      <c r="C50" s="1"/>
      <c r="D50" s="22" t="s">
        <v>7</v>
      </c>
      <c r="E50" s="28" t="s">
        <v>97</v>
      </c>
      <c r="F50" s="35"/>
      <c r="G50" s="35"/>
      <c r="H50" s="35"/>
      <c r="I50" s="35"/>
      <c r="J50" s="35"/>
      <c r="K50" s="25"/>
      <c r="N50" s="43"/>
      <c r="O50" s="43"/>
      <c r="P50" s="43"/>
      <c r="Q50" s="59"/>
      <c r="R50" s="43"/>
      <c r="S50" s="43"/>
      <c r="T50" s="43"/>
      <c r="U50" s="43"/>
      <c r="V50" s="43"/>
      <c r="W50" s="43"/>
      <c r="X50" s="43"/>
      <c r="Y50" s="43"/>
      <c r="Z50" s="43"/>
      <c r="AA50" s="43"/>
      <c r="AB50" s="43"/>
      <c r="AC50" s="43"/>
      <c r="AD50" s="43"/>
      <c r="AE50" s="43"/>
      <c r="AF50" s="43"/>
    </row>
    <row r="51" spans="1:32" ht="15" x14ac:dyDescent="0.25">
      <c r="A51" s="1"/>
      <c r="B51" s="1" t="s">
        <v>35</v>
      </c>
      <c r="C51" s="1"/>
      <c r="D51" s="22" t="s">
        <v>7</v>
      </c>
      <c r="E51" s="28" t="s">
        <v>36</v>
      </c>
      <c r="F51" s="35"/>
      <c r="G51" s="35"/>
      <c r="H51" s="35"/>
      <c r="I51" s="35"/>
      <c r="J51" s="35"/>
      <c r="K51" s="25"/>
      <c r="N51" s="43"/>
      <c r="O51" s="43"/>
      <c r="P51" s="43"/>
      <c r="Q51" s="59"/>
      <c r="R51" s="43"/>
      <c r="S51" s="43"/>
      <c r="T51" s="43"/>
      <c r="U51" s="43"/>
      <c r="V51" s="43"/>
      <c r="W51" s="43"/>
      <c r="X51" s="43"/>
      <c r="Y51" s="43"/>
      <c r="Z51" s="43"/>
      <c r="AA51" s="43"/>
      <c r="AB51" s="43"/>
      <c r="AC51" s="43"/>
      <c r="AD51" s="43"/>
      <c r="AE51" s="43"/>
      <c r="AF51" s="43"/>
    </row>
    <row r="52" spans="1:32" ht="15" x14ac:dyDescent="0.25">
      <c r="A52" s="1"/>
      <c r="B52" s="1" t="s">
        <v>37</v>
      </c>
      <c r="C52" s="1"/>
      <c r="D52" s="22" t="s">
        <v>7</v>
      </c>
      <c r="E52" s="57">
        <v>42718</v>
      </c>
      <c r="F52" s="175"/>
      <c r="G52" s="175"/>
      <c r="H52" s="36"/>
      <c r="I52" s="175"/>
      <c r="J52" s="175"/>
      <c r="K52" s="25"/>
      <c r="N52" s="43"/>
      <c r="O52" s="43"/>
      <c r="P52" s="43"/>
      <c r="Q52" s="59"/>
      <c r="R52" s="43"/>
      <c r="S52" s="43"/>
      <c r="T52" s="43"/>
      <c r="U52" s="43"/>
      <c r="V52" s="43"/>
      <c r="W52" s="43"/>
      <c r="X52" s="43"/>
      <c r="Y52" s="43"/>
      <c r="Z52" s="43"/>
      <c r="AA52" s="43"/>
      <c r="AB52" s="43"/>
      <c r="AC52" s="43"/>
      <c r="AD52" s="43"/>
      <c r="AE52" s="43"/>
      <c r="AF52" s="43"/>
    </row>
    <row r="53" spans="1:32" ht="15" x14ac:dyDescent="0.25">
      <c r="A53" s="1"/>
      <c r="B53" s="35"/>
      <c r="C53" s="35"/>
      <c r="D53" s="35"/>
      <c r="E53" s="35"/>
      <c r="F53" s="35"/>
      <c r="G53" s="35"/>
      <c r="H53" s="35"/>
      <c r="I53" s="35"/>
      <c r="J53" s="35"/>
      <c r="K53" s="25"/>
      <c r="N53" s="43"/>
      <c r="O53" s="43"/>
      <c r="P53" s="43"/>
      <c r="Q53" s="43"/>
      <c r="R53" s="43"/>
      <c r="S53" s="43"/>
      <c r="T53" s="43"/>
      <c r="U53" s="43"/>
      <c r="V53" s="43"/>
      <c r="W53" s="43"/>
      <c r="X53" s="43"/>
      <c r="Y53" s="43"/>
      <c r="Z53" s="43"/>
      <c r="AA53" s="43"/>
      <c r="AB53" s="43"/>
      <c r="AC53" s="43"/>
      <c r="AD53" s="43"/>
      <c r="AE53" s="43"/>
      <c r="AF53" s="43"/>
    </row>
    <row r="54" spans="1:32" ht="14.25" customHeight="1" x14ac:dyDescent="0.25">
      <c r="A54" s="1"/>
      <c r="B54" s="170" t="s">
        <v>109</v>
      </c>
      <c r="C54" s="170"/>
      <c r="D54" s="170"/>
      <c r="E54" s="170"/>
      <c r="F54" s="170"/>
      <c r="G54" s="170"/>
      <c r="H54" s="170"/>
      <c r="I54" s="170"/>
      <c r="J54" s="170"/>
      <c r="K54" s="25"/>
      <c r="N54" s="43"/>
      <c r="O54" s="43"/>
      <c r="P54" s="43"/>
      <c r="Q54" s="43"/>
      <c r="R54" s="43"/>
      <c r="S54" s="43"/>
      <c r="T54" s="43"/>
      <c r="U54" s="43"/>
      <c r="V54" s="43"/>
      <c r="W54" s="43"/>
      <c r="X54" s="43"/>
      <c r="Y54" s="43"/>
      <c r="Z54" s="43"/>
      <c r="AA54" s="43"/>
      <c r="AB54" s="43"/>
      <c r="AC54" s="43"/>
      <c r="AD54" s="43"/>
      <c r="AE54" s="43"/>
      <c r="AF54" s="43"/>
    </row>
    <row r="55" spans="1:32" ht="15" x14ac:dyDescent="0.25">
      <c r="A55" s="1"/>
      <c r="B55" s="170"/>
      <c r="C55" s="170"/>
      <c r="D55" s="170"/>
      <c r="E55" s="170"/>
      <c r="F55" s="170"/>
      <c r="G55" s="170"/>
      <c r="H55" s="170"/>
      <c r="I55" s="170"/>
      <c r="J55" s="170"/>
      <c r="K55" s="25"/>
      <c r="N55" s="43"/>
      <c r="O55" s="43"/>
      <c r="P55" s="43"/>
      <c r="Q55" s="43"/>
      <c r="R55" s="43"/>
      <c r="S55" s="43"/>
      <c r="T55" s="43"/>
      <c r="U55" s="43"/>
      <c r="V55" s="43"/>
      <c r="W55" s="43"/>
      <c r="X55" s="43"/>
      <c r="Y55" s="43"/>
      <c r="Z55" s="43"/>
      <c r="AA55" s="43"/>
      <c r="AB55" s="43"/>
      <c r="AC55" s="43"/>
      <c r="AD55" s="43"/>
      <c r="AE55" s="43"/>
      <c r="AF55" s="43"/>
    </row>
    <row r="56" spans="1:32" ht="15" x14ac:dyDescent="0.25">
      <c r="A56" s="32" t="s">
        <v>38</v>
      </c>
      <c r="B56" s="176" t="s">
        <v>39</v>
      </c>
      <c r="C56" s="176"/>
      <c r="D56" s="176"/>
      <c r="E56" s="176"/>
      <c r="F56" s="176"/>
      <c r="G56" s="176"/>
      <c r="H56" s="176"/>
      <c r="I56" s="176"/>
      <c r="J56" s="176"/>
      <c r="K56" s="25"/>
      <c r="N56" s="43"/>
      <c r="O56" s="43"/>
      <c r="P56" s="43"/>
      <c r="Q56" s="43"/>
      <c r="R56" s="43"/>
      <c r="S56" s="43"/>
      <c r="T56" s="43"/>
      <c r="U56" s="43"/>
      <c r="V56" s="43"/>
      <c r="W56" s="43"/>
      <c r="X56" s="43"/>
      <c r="Y56" s="43"/>
      <c r="Z56" s="43"/>
      <c r="AA56" s="43"/>
      <c r="AB56" s="43"/>
      <c r="AC56" s="43"/>
      <c r="AD56" s="43"/>
      <c r="AE56" s="43"/>
      <c r="AF56" s="43"/>
    </row>
    <row r="57" spans="1:32" ht="15" x14ac:dyDescent="0.25">
      <c r="A57" s="1"/>
      <c r="B57" s="176"/>
      <c r="C57" s="176"/>
      <c r="D57" s="176"/>
      <c r="E57" s="176"/>
      <c r="F57" s="176"/>
      <c r="G57" s="176"/>
      <c r="H57" s="176"/>
      <c r="I57" s="176"/>
      <c r="J57" s="176"/>
      <c r="K57" s="25"/>
      <c r="N57" s="61"/>
      <c r="O57" s="43"/>
      <c r="P57" s="43"/>
      <c r="Q57" s="43"/>
      <c r="R57" s="43"/>
      <c r="S57" s="43"/>
      <c r="T57" s="43"/>
      <c r="U57" s="43"/>
      <c r="V57" s="43"/>
      <c r="W57" s="43"/>
      <c r="X57" s="43"/>
      <c r="Y57" s="43"/>
      <c r="Z57" s="43"/>
      <c r="AA57" s="43"/>
      <c r="AB57" s="43"/>
      <c r="AC57" s="43"/>
      <c r="AD57" s="43"/>
      <c r="AE57" s="43"/>
      <c r="AF57" s="43"/>
    </row>
    <row r="58" spans="1:32" ht="15" x14ac:dyDescent="0.25">
      <c r="A58" s="1"/>
      <c r="B58" s="177" t="s">
        <v>99</v>
      </c>
      <c r="C58" s="177"/>
      <c r="D58" s="71" t="s">
        <v>111</v>
      </c>
      <c r="E58" s="33"/>
      <c r="F58" s="33"/>
      <c r="G58" s="33"/>
      <c r="H58" s="33"/>
      <c r="I58" s="33"/>
      <c r="J58" s="33"/>
      <c r="K58" s="34"/>
      <c r="N58" s="43"/>
      <c r="O58" s="62"/>
      <c r="P58" s="63"/>
      <c r="Q58" s="64"/>
      <c r="R58" s="63"/>
      <c r="S58" s="65"/>
      <c r="T58" s="43"/>
      <c r="U58" s="43"/>
      <c r="V58" s="43"/>
      <c r="W58" s="43"/>
      <c r="X58" s="43"/>
      <c r="Y58" s="43"/>
      <c r="Z58" s="43"/>
      <c r="AA58" s="43"/>
      <c r="AB58" s="43"/>
      <c r="AC58" s="43"/>
      <c r="AD58" s="43"/>
      <c r="AE58" s="43"/>
      <c r="AF58" s="43"/>
    </row>
    <row r="59" spans="1:32" ht="15" x14ac:dyDescent="0.25">
      <c r="A59" s="1"/>
      <c r="B59" s="178"/>
      <c r="C59" s="178"/>
      <c r="D59" s="35"/>
      <c r="E59" s="35"/>
      <c r="F59" s="35"/>
      <c r="G59" s="35"/>
      <c r="H59" s="35"/>
      <c r="I59" s="35"/>
      <c r="J59" s="35"/>
      <c r="K59" s="25"/>
      <c r="N59" s="43"/>
      <c r="O59" s="43"/>
      <c r="P59" s="43"/>
      <c r="Q59" s="43"/>
      <c r="R59" s="43"/>
      <c r="S59" s="43"/>
      <c r="T59" s="43"/>
      <c r="U59" s="43"/>
      <c r="V59" s="43"/>
      <c r="W59" s="43"/>
      <c r="X59" s="43"/>
      <c r="Y59" s="43"/>
      <c r="Z59" s="43"/>
      <c r="AA59" s="43"/>
      <c r="AB59" s="43"/>
      <c r="AC59" s="43"/>
      <c r="AD59" s="43"/>
      <c r="AE59" s="43"/>
      <c r="AF59" s="43"/>
    </row>
    <row r="60" spans="1:32" ht="15" x14ac:dyDescent="0.25">
      <c r="A60" s="29" t="s">
        <v>40</v>
      </c>
      <c r="B60" s="1"/>
      <c r="C60" s="22"/>
      <c r="D60" s="1"/>
      <c r="E60" s="1"/>
      <c r="F60" s="1"/>
      <c r="G60" s="1"/>
      <c r="H60" s="1"/>
      <c r="I60" s="1"/>
      <c r="J60" s="1"/>
      <c r="N60" s="43"/>
      <c r="O60" s="43"/>
      <c r="P60" s="43"/>
      <c r="Q60" s="43"/>
      <c r="R60" s="43"/>
      <c r="S60" s="43"/>
      <c r="T60" s="43"/>
      <c r="U60" s="43"/>
      <c r="V60" s="43"/>
      <c r="W60" s="43"/>
      <c r="X60" s="43"/>
      <c r="Y60" s="43"/>
      <c r="Z60" s="43"/>
      <c r="AA60" s="43"/>
      <c r="AB60" s="43"/>
      <c r="AC60" s="43"/>
      <c r="AD60" s="43"/>
      <c r="AE60" s="43"/>
      <c r="AF60" s="43"/>
    </row>
    <row r="61" spans="1:32" ht="15" x14ac:dyDescent="0.25">
      <c r="A61" s="1"/>
      <c r="B61" s="1"/>
      <c r="C61" s="22"/>
      <c r="D61" s="1"/>
      <c r="E61" s="1"/>
      <c r="F61" s="1"/>
      <c r="G61" s="1"/>
      <c r="H61" s="1"/>
      <c r="I61" s="1"/>
      <c r="J61" s="1"/>
      <c r="N61" s="43"/>
      <c r="O61" s="63"/>
      <c r="P61" s="43"/>
      <c r="Q61" s="43"/>
      <c r="R61" s="43"/>
      <c r="S61" s="43"/>
      <c r="T61" s="43"/>
      <c r="U61" s="43"/>
      <c r="V61" s="43"/>
      <c r="W61" s="43"/>
      <c r="X61" s="43"/>
      <c r="Y61" s="43"/>
      <c r="Z61" s="43"/>
      <c r="AA61" s="43"/>
      <c r="AB61" s="43"/>
      <c r="AC61" s="43"/>
      <c r="AD61" s="43"/>
      <c r="AE61" s="43"/>
      <c r="AF61" s="43"/>
    </row>
    <row r="62" spans="1:32" ht="14.25" customHeight="1" x14ac:dyDescent="0.25">
      <c r="A62" s="32" t="s">
        <v>41</v>
      </c>
      <c r="B62" s="37" t="s">
        <v>91</v>
      </c>
      <c r="C62" s="38"/>
      <c r="D62" s="39"/>
      <c r="E62" s="40"/>
      <c r="F62" s="40"/>
      <c r="G62" s="40"/>
      <c r="H62" s="40"/>
      <c r="I62" s="40"/>
      <c r="J62" s="40"/>
      <c r="N62" s="43"/>
      <c r="O62" s="66"/>
      <c r="P62" s="43"/>
      <c r="Q62" s="43"/>
      <c r="R62" s="43"/>
      <c r="S62" s="43"/>
      <c r="T62" s="43"/>
      <c r="U62" s="43"/>
      <c r="V62" s="43"/>
      <c r="W62" s="43"/>
      <c r="X62" s="43"/>
      <c r="Y62" s="43"/>
      <c r="Z62" s="43"/>
      <c r="AA62" s="43"/>
      <c r="AB62" s="43"/>
      <c r="AC62" s="43"/>
      <c r="AD62" s="43"/>
      <c r="AE62" s="43"/>
      <c r="AF62" s="43"/>
    </row>
    <row r="63" spans="1:32" ht="15" x14ac:dyDescent="0.25">
      <c r="A63" s="32"/>
      <c r="B63" s="41" t="s">
        <v>92</v>
      </c>
      <c r="C63" s="40"/>
      <c r="D63" s="40"/>
      <c r="E63" s="40"/>
      <c r="F63" s="40"/>
      <c r="G63" s="40"/>
      <c r="H63" s="40"/>
      <c r="I63" s="40"/>
      <c r="J63" s="40"/>
      <c r="N63" s="43"/>
      <c r="O63" s="67"/>
      <c r="P63" s="43"/>
      <c r="Q63" s="43"/>
      <c r="R63" s="43"/>
      <c r="S63" s="43"/>
      <c r="T63" s="43"/>
      <c r="U63" s="43"/>
      <c r="V63" s="43"/>
      <c r="W63" s="43"/>
      <c r="X63" s="43"/>
      <c r="Y63" s="43"/>
      <c r="Z63" s="43"/>
      <c r="AA63" s="43"/>
      <c r="AB63" s="43"/>
      <c r="AC63" s="43"/>
      <c r="AD63" s="43"/>
      <c r="AE63" s="43"/>
      <c r="AF63" s="43"/>
    </row>
    <row r="64" spans="1:32" ht="15" x14ac:dyDescent="0.25">
      <c r="A64" s="1"/>
      <c r="B64" s="37"/>
      <c r="C64" s="40"/>
      <c r="D64" s="40"/>
      <c r="E64" s="40"/>
      <c r="F64" s="40"/>
      <c r="G64" s="40"/>
      <c r="H64" s="40"/>
      <c r="I64" s="40"/>
      <c r="J64" s="40"/>
      <c r="N64" s="43"/>
      <c r="O64" s="43"/>
      <c r="P64" s="43"/>
      <c r="Q64" s="43"/>
      <c r="R64" s="43"/>
      <c r="S64" s="43"/>
      <c r="T64" s="43"/>
      <c r="U64" s="43"/>
      <c r="V64" s="43"/>
      <c r="W64" s="43"/>
      <c r="X64" s="43"/>
      <c r="Y64" s="43"/>
      <c r="Z64" s="43"/>
      <c r="AA64" s="43"/>
      <c r="AB64" s="43"/>
      <c r="AC64" s="43"/>
      <c r="AD64" s="43"/>
      <c r="AE64" s="43"/>
      <c r="AF64" s="43"/>
    </row>
    <row r="65" spans="1:32" ht="15" x14ac:dyDescent="0.25">
      <c r="A65" s="32" t="s">
        <v>42</v>
      </c>
      <c r="B65" s="170" t="s">
        <v>93</v>
      </c>
      <c r="C65" s="170" t="str">
        <f t="shared" ref="C65:J65" si="0">IF(N65="","",VLOOKUP(N65,M53:O57,3,TRUE))</f>
        <v/>
      </c>
      <c r="D65" s="170" t="str">
        <f t="shared" si="0"/>
        <v/>
      </c>
      <c r="E65" s="170" t="str">
        <f t="shared" si="0"/>
        <v/>
      </c>
      <c r="F65" s="170" t="str">
        <f t="shared" si="0"/>
        <v/>
      </c>
      <c r="G65" s="170" t="str">
        <f t="shared" si="0"/>
        <v/>
      </c>
      <c r="H65" s="170" t="str">
        <f t="shared" si="0"/>
        <v/>
      </c>
      <c r="I65" s="170" t="str">
        <f t="shared" si="0"/>
        <v/>
      </c>
      <c r="J65" s="170" t="str">
        <f t="shared" si="0"/>
        <v/>
      </c>
      <c r="N65" s="43"/>
      <c r="O65" s="43"/>
      <c r="P65" s="43"/>
      <c r="Q65" s="43"/>
      <c r="R65" s="43"/>
      <c r="S65" s="43"/>
      <c r="T65" s="43"/>
      <c r="U65" s="43"/>
      <c r="V65" s="43"/>
      <c r="W65" s="43"/>
      <c r="X65" s="43"/>
      <c r="Y65" s="43"/>
      <c r="Z65" s="43"/>
      <c r="AA65" s="43"/>
      <c r="AB65" s="43"/>
      <c r="AC65" s="43"/>
      <c r="AD65" s="43"/>
      <c r="AE65" s="43"/>
      <c r="AF65" s="43"/>
    </row>
    <row r="66" spans="1:32" ht="30.75" customHeight="1" x14ac:dyDescent="0.25">
      <c r="A66" s="1"/>
      <c r="B66" s="170" t="str">
        <f t="shared" ref="B66:J66" si="1">IF(M66="","",VLOOKUP(M66,L56:N58,3,TRUE))</f>
        <v/>
      </c>
      <c r="C66" s="170" t="str">
        <f t="shared" si="1"/>
        <v/>
      </c>
      <c r="D66" s="170" t="str">
        <f t="shared" si="1"/>
        <v/>
      </c>
      <c r="E66" s="170" t="str">
        <f t="shared" si="1"/>
        <v/>
      </c>
      <c r="F66" s="170" t="str">
        <f t="shared" si="1"/>
        <v/>
      </c>
      <c r="G66" s="170" t="str">
        <f t="shared" si="1"/>
        <v/>
      </c>
      <c r="H66" s="170" t="str">
        <f t="shared" si="1"/>
        <v/>
      </c>
      <c r="I66" s="170" t="str">
        <f t="shared" si="1"/>
        <v/>
      </c>
      <c r="J66" s="170" t="str">
        <f t="shared" si="1"/>
        <v/>
      </c>
      <c r="N66" s="43"/>
      <c r="O66" s="60"/>
      <c r="P66" s="43"/>
      <c r="Q66" s="43"/>
      <c r="R66" s="43"/>
      <c r="S66" s="43"/>
      <c r="T66" s="43"/>
      <c r="U66" s="43"/>
      <c r="V66" s="43"/>
      <c r="W66" s="43"/>
      <c r="X66" s="43"/>
      <c r="Y66" s="43"/>
      <c r="Z66" s="43"/>
      <c r="AA66" s="43"/>
      <c r="AB66" s="43"/>
      <c r="AC66" s="43"/>
      <c r="AD66" s="43"/>
      <c r="AE66" s="43"/>
      <c r="AF66" s="43"/>
    </row>
    <row r="67" spans="1:32" ht="15" x14ac:dyDescent="0.2">
      <c r="A67" s="29" t="s">
        <v>43</v>
      </c>
      <c r="B67" s="1"/>
      <c r="C67" s="1"/>
      <c r="D67" s="1"/>
      <c r="E67" s="1"/>
      <c r="F67" s="1"/>
      <c r="G67" s="1"/>
      <c r="H67" s="1"/>
      <c r="I67" s="1"/>
      <c r="J67" s="1"/>
      <c r="N67" s="45"/>
      <c r="O67" s="43"/>
      <c r="P67" s="68"/>
      <c r="Q67" s="174"/>
      <c r="R67" s="174"/>
      <c r="S67" s="174"/>
      <c r="T67" s="174"/>
      <c r="U67" s="174"/>
      <c r="V67" s="174"/>
      <c r="W67" s="174"/>
      <c r="X67" s="174"/>
      <c r="Y67" s="43"/>
      <c r="Z67" s="43"/>
      <c r="AA67" s="43"/>
      <c r="AB67" s="43"/>
      <c r="AC67" s="43"/>
      <c r="AD67" s="43"/>
      <c r="AE67" s="43"/>
      <c r="AF67" s="43"/>
    </row>
    <row r="68" spans="1:32" ht="15" x14ac:dyDescent="0.25">
      <c r="A68" s="1"/>
      <c r="B68" s="1"/>
      <c r="C68" s="1"/>
      <c r="D68" s="1"/>
      <c r="E68" s="1"/>
      <c r="F68" s="1"/>
      <c r="G68" s="1"/>
      <c r="H68" s="1"/>
      <c r="I68" s="1"/>
      <c r="J68" s="1"/>
      <c r="N68" s="45"/>
      <c r="O68" s="43"/>
      <c r="P68" s="174"/>
      <c r="Q68" s="174"/>
      <c r="R68" s="174"/>
      <c r="S68" s="174"/>
      <c r="T68" s="174"/>
      <c r="U68" s="43"/>
      <c r="V68" s="43"/>
      <c r="W68" s="43"/>
      <c r="X68" s="43"/>
      <c r="Y68" s="43"/>
      <c r="Z68" s="43"/>
      <c r="AA68" s="43"/>
      <c r="AB68" s="43"/>
      <c r="AC68" s="43"/>
      <c r="AD68" s="43"/>
      <c r="AE68" s="43"/>
      <c r="AF68" s="43"/>
    </row>
    <row r="69" spans="1:32" ht="15" x14ac:dyDescent="0.25">
      <c r="A69" s="42" t="s">
        <v>44</v>
      </c>
      <c r="B69" s="1"/>
      <c r="C69" s="1"/>
      <c r="D69" s="1"/>
      <c r="E69" s="1"/>
      <c r="F69" s="1"/>
      <c r="G69" s="1"/>
      <c r="H69" s="1"/>
      <c r="I69" s="1"/>
      <c r="J69" s="1"/>
      <c r="N69" s="43"/>
      <c r="O69" s="43"/>
      <c r="P69" s="172"/>
      <c r="Q69" s="172"/>
      <c r="R69" s="172"/>
      <c r="S69" s="172"/>
      <c r="T69" s="172"/>
      <c r="U69" s="43"/>
      <c r="V69" s="43"/>
      <c r="W69" s="43"/>
      <c r="X69" s="43"/>
      <c r="Y69" s="43"/>
      <c r="Z69" s="43"/>
      <c r="AA69" s="43"/>
      <c r="AB69" s="43"/>
      <c r="AC69" s="43"/>
      <c r="AD69" s="43"/>
      <c r="AE69" s="43"/>
      <c r="AF69" s="43"/>
    </row>
    <row r="70" spans="1:32" ht="15" x14ac:dyDescent="0.25">
      <c r="A70" s="1"/>
      <c r="B70" s="1"/>
      <c r="C70" s="1"/>
      <c r="D70" s="1"/>
      <c r="E70" s="1"/>
      <c r="F70" s="1"/>
      <c r="G70" s="1"/>
      <c r="H70" s="1"/>
      <c r="I70" s="1"/>
      <c r="J70" s="1"/>
      <c r="N70" s="43"/>
      <c r="O70" s="43"/>
      <c r="P70" s="43"/>
      <c r="Q70" s="43"/>
      <c r="R70" s="43"/>
      <c r="S70" s="43"/>
      <c r="T70" s="43"/>
      <c r="U70" s="43"/>
      <c r="V70" s="43"/>
      <c r="W70" s="43"/>
      <c r="X70" s="43"/>
      <c r="Y70" s="43"/>
      <c r="Z70" s="43"/>
      <c r="AA70" s="43"/>
      <c r="AB70" s="43"/>
      <c r="AC70" s="43"/>
      <c r="AD70" s="43"/>
      <c r="AE70" s="43"/>
      <c r="AF70" s="43"/>
    </row>
    <row r="71" spans="1:32" ht="15" x14ac:dyDescent="0.25">
      <c r="A71" s="32" t="s">
        <v>45</v>
      </c>
      <c r="B71" s="170" t="s">
        <v>112</v>
      </c>
      <c r="C71" s="170"/>
      <c r="D71" s="170"/>
      <c r="E71" s="170"/>
      <c r="F71" s="170"/>
      <c r="G71" s="170"/>
      <c r="H71" s="170"/>
      <c r="I71" s="170"/>
      <c r="J71" s="170"/>
      <c r="N71" s="43"/>
      <c r="O71" s="43"/>
      <c r="P71" s="43"/>
      <c r="Q71" s="43"/>
      <c r="R71" s="43"/>
      <c r="S71" s="43"/>
      <c r="T71" s="43"/>
      <c r="U71" s="43"/>
      <c r="V71" s="43"/>
      <c r="W71" s="43"/>
      <c r="X71" s="43"/>
      <c r="Y71" s="43"/>
      <c r="Z71" s="43"/>
      <c r="AA71" s="43"/>
      <c r="AB71" s="43"/>
      <c r="AC71" s="43"/>
      <c r="AD71" s="43"/>
      <c r="AE71" s="43"/>
      <c r="AF71" s="43"/>
    </row>
    <row r="72" spans="1:32" ht="15" x14ac:dyDescent="0.25">
      <c r="A72" s="1"/>
      <c r="B72" s="170"/>
      <c r="C72" s="170"/>
      <c r="D72" s="170"/>
      <c r="E72" s="170"/>
      <c r="F72" s="170"/>
      <c r="G72" s="170"/>
      <c r="H72" s="170"/>
      <c r="I72" s="170"/>
      <c r="J72" s="170"/>
      <c r="N72" s="43"/>
      <c r="O72" s="43"/>
      <c r="P72" s="44"/>
      <c r="Q72" s="43"/>
      <c r="R72" s="43"/>
      <c r="S72" s="43"/>
      <c r="T72" s="43"/>
      <c r="U72" s="43"/>
      <c r="V72" s="43"/>
      <c r="W72" s="43"/>
      <c r="X72" s="43"/>
      <c r="Y72" s="43"/>
      <c r="Z72" s="43"/>
      <c r="AA72" s="43"/>
      <c r="AB72" s="43"/>
      <c r="AC72" s="43"/>
      <c r="AD72" s="43"/>
      <c r="AE72" s="43"/>
      <c r="AF72" s="43"/>
    </row>
    <row r="73" spans="1:32" ht="15" x14ac:dyDescent="0.25">
      <c r="A73" s="1"/>
      <c r="B73" s="170"/>
      <c r="C73" s="170"/>
      <c r="D73" s="170"/>
      <c r="E73" s="170"/>
      <c r="F73" s="170"/>
      <c r="G73" s="170"/>
      <c r="H73" s="170"/>
      <c r="I73" s="170"/>
      <c r="J73" s="170"/>
      <c r="N73" s="45"/>
      <c r="O73" s="43"/>
      <c r="P73" s="43"/>
      <c r="Q73" s="43"/>
      <c r="R73" s="43"/>
      <c r="S73" s="43"/>
      <c r="T73" s="43"/>
      <c r="U73" s="43"/>
      <c r="V73" s="43"/>
      <c r="W73" s="43"/>
      <c r="X73" s="43"/>
      <c r="Y73" s="43"/>
      <c r="Z73" s="43"/>
      <c r="AA73" s="43"/>
      <c r="AB73" s="43"/>
      <c r="AC73" s="43"/>
      <c r="AD73" s="43"/>
      <c r="AE73" s="43"/>
      <c r="AF73" s="43"/>
    </row>
    <row r="74" spans="1:32" ht="15" x14ac:dyDescent="0.25">
      <c r="A74" s="32" t="s">
        <v>46</v>
      </c>
      <c r="B74" s="170" t="s">
        <v>47</v>
      </c>
      <c r="C74" s="170"/>
      <c r="D74" s="170"/>
      <c r="E74" s="170"/>
      <c r="F74" s="170"/>
      <c r="G74" s="170"/>
      <c r="H74" s="170"/>
      <c r="I74" s="170"/>
      <c r="J74" s="170"/>
      <c r="N74" s="45"/>
      <c r="O74" s="43"/>
      <c r="P74" s="174"/>
      <c r="Q74" s="174"/>
      <c r="R74" s="174"/>
      <c r="S74" s="174"/>
      <c r="T74" s="174"/>
    </row>
    <row r="75" spans="1:32" ht="29.25" customHeight="1" x14ac:dyDescent="0.25">
      <c r="A75" s="1"/>
      <c r="B75" s="170"/>
      <c r="C75" s="170"/>
      <c r="D75" s="170"/>
      <c r="E75" s="170"/>
      <c r="F75" s="170"/>
      <c r="G75" s="170"/>
      <c r="H75" s="170"/>
      <c r="I75" s="170"/>
      <c r="J75" s="170"/>
    </row>
    <row r="76" spans="1:32" ht="15" x14ac:dyDescent="0.25">
      <c r="A76" s="29" t="s">
        <v>48</v>
      </c>
      <c r="B76" s="1"/>
      <c r="C76" s="1"/>
      <c r="D76" s="1"/>
      <c r="E76" s="1"/>
      <c r="F76" s="1"/>
      <c r="G76" s="1"/>
      <c r="H76" s="1"/>
      <c r="I76" s="1"/>
      <c r="J76" s="1"/>
    </row>
    <row r="77" spans="1:32" ht="15" x14ac:dyDescent="0.25">
      <c r="A77" s="1"/>
      <c r="B77" s="1"/>
      <c r="C77" s="1"/>
      <c r="D77" s="1"/>
      <c r="E77" s="1"/>
      <c r="F77" s="1"/>
      <c r="G77" s="1"/>
      <c r="H77" s="1"/>
      <c r="I77" s="1"/>
      <c r="J77" s="1"/>
    </row>
    <row r="78" spans="1:32" ht="15" x14ac:dyDescent="0.25">
      <c r="A78" s="32" t="s">
        <v>49</v>
      </c>
      <c r="B78" s="170" t="s">
        <v>50</v>
      </c>
      <c r="C78" s="170"/>
      <c r="D78" s="170"/>
      <c r="E78" s="170"/>
      <c r="F78" s="170"/>
      <c r="G78" s="170"/>
      <c r="H78" s="170"/>
      <c r="I78" s="170"/>
      <c r="J78" s="170"/>
    </row>
    <row r="79" spans="1:32" ht="15" x14ac:dyDescent="0.25">
      <c r="A79" s="1"/>
      <c r="B79" s="170"/>
      <c r="C79" s="170"/>
      <c r="D79" s="170"/>
      <c r="E79" s="170"/>
      <c r="F79" s="170"/>
      <c r="G79" s="170"/>
      <c r="H79" s="170"/>
      <c r="I79" s="170"/>
      <c r="J79" s="170"/>
    </row>
    <row r="80" spans="1:32" ht="15" x14ac:dyDescent="0.25">
      <c r="A80" s="1"/>
      <c r="B80" s="1"/>
      <c r="C80" s="1"/>
      <c r="D80" s="1"/>
      <c r="E80" s="1"/>
      <c r="F80" s="1"/>
      <c r="G80" s="1"/>
      <c r="H80" s="1"/>
      <c r="I80" s="1"/>
      <c r="J80" s="1"/>
    </row>
    <row r="81" spans="1:10" ht="15" x14ac:dyDescent="0.25">
      <c r="A81" s="29" t="s">
        <v>51</v>
      </c>
      <c r="B81" s="1"/>
      <c r="C81" s="1"/>
      <c r="D81" s="1"/>
      <c r="E81" s="1"/>
      <c r="F81" s="1"/>
      <c r="G81" s="1"/>
      <c r="H81" s="1"/>
      <c r="I81" s="1"/>
      <c r="J81" s="1"/>
    </row>
    <row r="82" spans="1:10" ht="15" x14ac:dyDescent="0.25">
      <c r="A82" s="1"/>
      <c r="B82" s="1"/>
      <c r="C82" s="1"/>
      <c r="D82" s="1"/>
      <c r="E82" s="1"/>
      <c r="F82" s="1"/>
      <c r="G82" s="1"/>
      <c r="H82" s="1"/>
      <c r="I82" s="1"/>
      <c r="J82" s="1"/>
    </row>
    <row r="83" spans="1:10" ht="14.25" customHeight="1" x14ac:dyDescent="0.25">
      <c r="A83" s="32" t="s">
        <v>52</v>
      </c>
      <c r="B83" s="170" t="s">
        <v>53</v>
      </c>
      <c r="C83" s="170"/>
      <c r="D83" s="170"/>
      <c r="E83" s="170"/>
      <c r="F83" s="170"/>
      <c r="G83" s="170"/>
      <c r="H83" s="170"/>
      <c r="I83" s="170"/>
      <c r="J83" s="170"/>
    </row>
    <row r="84" spans="1:10" ht="15" x14ac:dyDescent="0.25">
      <c r="A84" s="28"/>
      <c r="B84" s="170"/>
      <c r="C84" s="170"/>
      <c r="D84" s="170"/>
      <c r="E84" s="170"/>
      <c r="F84" s="170"/>
      <c r="G84" s="170"/>
      <c r="H84" s="170"/>
      <c r="I84" s="170"/>
      <c r="J84" s="170"/>
    </row>
    <row r="85" spans="1:10" ht="15" x14ac:dyDescent="0.25">
      <c r="A85" s="28"/>
      <c r="B85" s="170"/>
      <c r="C85" s="170"/>
      <c r="D85" s="170"/>
      <c r="E85" s="170"/>
      <c r="F85" s="170"/>
      <c r="G85" s="170"/>
      <c r="H85" s="170"/>
      <c r="I85" s="170"/>
      <c r="J85" s="170"/>
    </row>
    <row r="86" spans="1:10" ht="16.5" customHeight="1" x14ac:dyDescent="0.25">
      <c r="A86" s="28"/>
      <c r="B86" s="170"/>
      <c r="C86" s="170"/>
      <c r="D86" s="170"/>
      <c r="E86" s="170"/>
      <c r="F86" s="170"/>
      <c r="G86" s="170"/>
      <c r="H86" s="170"/>
      <c r="I86" s="170"/>
      <c r="J86" s="170"/>
    </row>
    <row r="87" spans="1:10" ht="15" x14ac:dyDescent="0.25">
      <c r="A87" s="29" t="s">
        <v>54</v>
      </c>
      <c r="B87" s="1"/>
      <c r="C87" s="1"/>
      <c r="D87" s="1"/>
      <c r="E87" s="1"/>
      <c r="F87" s="1"/>
      <c r="G87" s="1"/>
      <c r="H87" s="1"/>
      <c r="I87" s="1"/>
      <c r="J87" s="1"/>
    </row>
    <row r="88" spans="1:10" ht="15" x14ac:dyDescent="0.25">
      <c r="A88" s="1"/>
      <c r="B88" s="1"/>
      <c r="C88" s="1"/>
      <c r="D88" s="1"/>
      <c r="E88" s="1"/>
      <c r="F88" s="1"/>
      <c r="G88" s="1"/>
      <c r="H88" s="1"/>
      <c r="I88" s="1"/>
      <c r="J88" s="1"/>
    </row>
    <row r="89" spans="1:10" ht="15" x14ac:dyDescent="0.25">
      <c r="A89" s="23" t="s">
        <v>55</v>
      </c>
      <c r="B89" s="1"/>
      <c r="C89" s="1"/>
      <c r="D89" s="1"/>
      <c r="E89" s="1"/>
      <c r="F89" s="1"/>
      <c r="G89" s="1"/>
      <c r="H89" s="1"/>
      <c r="I89" s="1"/>
      <c r="J89" s="1"/>
    </row>
    <row r="90" spans="1:10" ht="15" x14ac:dyDescent="0.25">
      <c r="A90" s="1"/>
      <c r="B90" s="1"/>
      <c r="C90" s="1"/>
      <c r="D90" s="1"/>
      <c r="E90" s="1"/>
      <c r="F90" s="1"/>
      <c r="G90" s="1"/>
      <c r="H90" s="1"/>
      <c r="I90" s="1"/>
      <c r="J90" s="1"/>
    </row>
    <row r="91" spans="1:10" ht="15" x14ac:dyDescent="0.25">
      <c r="A91" s="23" t="s">
        <v>56</v>
      </c>
      <c r="B91" s="1"/>
      <c r="C91" s="1"/>
      <c r="D91" s="1"/>
      <c r="E91" s="1"/>
      <c r="F91" s="1"/>
      <c r="G91" s="1"/>
      <c r="H91" s="1"/>
      <c r="I91" s="1"/>
      <c r="J91" s="1"/>
    </row>
    <row r="92" spans="1:10" ht="15" x14ac:dyDescent="0.25">
      <c r="A92" s="16" t="s">
        <v>57</v>
      </c>
      <c r="B92" s="170" t="s">
        <v>58</v>
      </c>
      <c r="C92" s="170"/>
      <c r="D92" s="170"/>
      <c r="E92" s="170"/>
      <c r="F92" s="170"/>
      <c r="G92" s="170"/>
      <c r="H92" s="170"/>
      <c r="I92" s="170"/>
      <c r="J92" s="170"/>
    </row>
    <row r="93" spans="1:10" ht="15" x14ac:dyDescent="0.25">
      <c r="A93" s="16"/>
      <c r="B93" s="170"/>
      <c r="C93" s="170"/>
      <c r="D93" s="170"/>
      <c r="E93" s="170"/>
      <c r="F93" s="170"/>
      <c r="G93" s="170"/>
      <c r="H93" s="170"/>
      <c r="I93" s="170"/>
      <c r="J93" s="170"/>
    </row>
    <row r="94" spans="1:10" ht="15" x14ac:dyDescent="0.25">
      <c r="A94" s="16" t="s">
        <v>57</v>
      </c>
      <c r="B94" s="1" t="s">
        <v>59</v>
      </c>
      <c r="C94" s="1"/>
      <c r="D94" s="1"/>
      <c r="E94" s="1"/>
      <c r="F94" s="1"/>
      <c r="G94" s="1"/>
      <c r="H94" s="1"/>
      <c r="I94" s="1"/>
      <c r="J94" s="1"/>
    </row>
    <row r="95" spans="1:10" ht="13.5" customHeight="1" x14ac:dyDescent="0.25">
      <c r="A95" s="16" t="s">
        <v>57</v>
      </c>
      <c r="B95" s="170" t="s">
        <v>60</v>
      </c>
      <c r="C95" s="170"/>
      <c r="D95" s="170"/>
      <c r="E95" s="170"/>
      <c r="F95" s="170"/>
      <c r="G95" s="170"/>
      <c r="H95" s="170"/>
      <c r="I95" s="170"/>
      <c r="J95" s="170"/>
    </row>
    <row r="96" spans="1:10" ht="15" x14ac:dyDescent="0.25">
      <c r="A96" s="16" t="s">
        <v>57</v>
      </c>
      <c r="B96" s="1" t="s">
        <v>61</v>
      </c>
      <c r="C96" s="1"/>
      <c r="D96" s="1"/>
      <c r="E96" s="1"/>
      <c r="F96" s="1"/>
      <c r="G96" s="1"/>
      <c r="H96" s="1"/>
      <c r="I96" s="1"/>
      <c r="J96" s="1"/>
    </row>
    <row r="97" spans="1:10" ht="15" x14ac:dyDescent="0.25">
      <c r="A97" s="16" t="s">
        <v>57</v>
      </c>
      <c r="B97" s="1" t="s">
        <v>62</v>
      </c>
      <c r="C97" s="1"/>
      <c r="D97" s="1"/>
      <c r="E97" s="1"/>
      <c r="F97" s="1"/>
      <c r="G97" s="1"/>
      <c r="H97" s="1"/>
      <c r="I97" s="1"/>
      <c r="J97" s="1"/>
    </row>
    <row r="98" spans="1:10" ht="15" x14ac:dyDescent="0.25">
      <c r="A98" s="16" t="s">
        <v>57</v>
      </c>
      <c r="B98" s="1" t="s">
        <v>63</v>
      </c>
      <c r="C98" s="1"/>
      <c r="D98" s="1"/>
      <c r="E98" s="1"/>
      <c r="F98" s="1"/>
      <c r="G98" s="1"/>
      <c r="H98" s="1"/>
      <c r="I98" s="1"/>
      <c r="J98" s="1"/>
    </row>
    <row r="99" spans="1:10" ht="15" x14ac:dyDescent="0.25">
      <c r="A99" s="16" t="s">
        <v>57</v>
      </c>
      <c r="B99" s="170" t="s">
        <v>64</v>
      </c>
      <c r="C99" s="170"/>
      <c r="D99" s="170"/>
      <c r="E99" s="170"/>
      <c r="F99" s="170"/>
      <c r="G99" s="170"/>
      <c r="H99" s="170"/>
      <c r="I99" s="170"/>
      <c r="J99" s="170"/>
    </row>
    <row r="100" spans="1:10" ht="18.75" customHeight="1" x14ac:dyDescent="0.25">
      <c r="A100" s="16"/>
      <c r="B100" s="170"/>
      <c r="C100" s="170"/>
      <c r="D100" s="170"/>
      <c r="E100" s="170"/>
      <c r="F100" s="170"/>
      <c r="G100" s="170"/>
      <c r="H100" s="170"/>
      <c r="I100" s="170"/>
      <c r="J100" s="170"/>
    </row>
    <row r="101" spans="1:10" ht="15" x14ac:dyDescent="0.25">
      <c r="A101" s="23" t="s">
        <v>65</v>
      </c>
      <c r="B101" s="1"/>
      <c r="C101" s="1"/>
      <c r="D101" s="1"/>
      <c r="E101" s="1"/>
      <c r="F101" s="1"/>
      <c r="G101" s="1"/>
      <c r="H101" s="1"/>
      <c r="I101" s="1"/>
      <c r="J101" s="1"/>
    </row>
    <row r="102" spans="1:10" ht="15" x14ac:dyDescent="0.25">
      <c r="A102" s="16" t="s">
        <v>57</v>
      </c>
      <c r="B102" s="170" t="s">
        <v>66</v>
      </c>
      <c r="C102" s="170"/>
      <c r="D102" s="170"/>
      <c r="E102" s="170"/>
      <c r="F102" s="170"/>
      <c r="G102" s="170"/>
      <c r="H102" s="170"/>
      <c r="I102" s="170"/>
      <c r="J102" s="170"/>
    </row>
    <row r="103" spans="1:10" ht="15" x14ac:dyDescent="0.25">
      <c r="A103" s="16"/>
      <c r="B103" s="170"/>
      <c r="C103" s="170"/>
      <c r="D103" s="170"/>
      <c r="E103" s="170"/>
      <c r="F103" s="170"/>
      <c r="G103" s="170"/>
      <c r="H103" s="170"/>
      <c r="I103" s="170"/>
      <c r="J103" s="170"/>
    </row>
    <row r="104" spans="1:10" ht="15" x14ac:dyDescent="0.25">
      <c r="A104" s="16" t="s">
        <v>57</v>
      </c>
      <c r="B104" s="170" t="s">
        <v>67</v>
      </c>
      <c r="C104" s="170"/>
      <c r="D104" s="170"/>
      <c r="E104" s="170"/>
      <c r="F104" s="170"/>
      <c r="G104" s="170"/>
      <c r="H104" s="170"/>
      <c r="I104" s="170"/>
      <c r="J104" s="170"/>
    </row>
    <row r="105" spans="1:10" ht="15" x14ac:dyDescent="0.25">
      <c r="A105" s="16"/>
      <c r="B105" s="170"/>
      <c r="C105" s="170"/>
      <c r="D105" s="170"/>
      <c r="E105" s="170"/>
      <c r="F105" s="170"/>
      <c r="G105" s="170"/>
      <c r="H105" s="170"/>
      <c r="I105" s="170"/>
      <c r="J105" s="170"/>
    </row>
    <row r="106" spans="1:10" ht="14.25" customHeight="1" x14ac:dyDescent="0.25">
      <c r="A106" s="16" t="s">
        <v>57</v>
      </c>
      <c r="B106" s="170" t="s">
        <v>68</v>
      </c>
      <c r="C106" s="170"/>
      <c r="D106" s="170"/>
      <c r="E106" s="170"/>
      <c r="F106" s="170"/>
      <c r="G106" s="170"/>
      <c r="H106" s="170"/>
      <c r="I106" s="170"/>
      <c r="J106" s="170"/>
    </row>
    <row r="107" spans="1:10" ht="29.25" customHeight="1" x14ac:dyDescent="0.25">
      <c r="A107" s="16"/>
      <c r="B107" s="170"/>
      <c r="C107" s="170"/>
      <c r="D107" s="170"/>
      <c r="E107" s="170"/>
      <c r="F107" s="170"/>
      <c r="G107" s="170"/>
      <c r="H107" s="170"/>
      <c r="I107" s="170"/>
      <c r="J107" s="170"/>
    </row>
    <row r="108" spans="1:10" ht="13.5" customHeight="1" x14ac:dyDescent="0.25">
      <c r="A108" s="16" t="s">
        <v>57</v>
      </c>
      <c r="B108" s="170" t="s">
        <v>69</v>
      </c>
      <c r="C108" s="170"/>
      <c r="D108" s="170"/>
      <c r="E108" s="170"/>
      <c r="F108" s="170"/>
      <c r="G108" s="170"/>
      <c r="H108" s="170"/>
      <c r="I108" s="170"/>
      <c r="J108" s="170"/>
    </row>
    <row r="109" spans="1:10" ht="14.25" customHeight="1" x14ac:dyDescent="0.25">
      <c r="A109" s="16" t="s">
        <v>70</v>
      </c>
      <c r="B109" s="170"/>
      <c r="C109" s="170"/>
      <c r="D109" s="170"/>
      <c r="E109" s="170"/>
      <c r="F109" s="170"/>
      <c r="G109" s="170"/>
      <c r="H109" s="170"/>
      <c r="I109" s="170"/>
      <c r="J109" s="170"/>
    </row>
    <row r="110" spans="1:10" ht="13.5" customHeight="1" x14ac:dyDescent="0.25">
      <c r="A110" s="16" t="s">
        <v>57</v>
      </c>
      <c r="B110" s="170" t="s">
        <v>64</v>
      </c>
      <c r="C110" s="170"/>
      <c r="D110" s="170"/>
      <c r="E110" s="170"/>
      <c r="F110" s="170"/>
      <c r="G110" s="170"/>
      <c r="H110" s="170"/>
      <c r="I110" s="170"/>
      <c r="J110" s="170"/>
    </row>
    <row r="111" spans="1:10" ht="20.25" customHeight="1" x14ac:dyDescent="0.25">
      <c r="A111" s="1"/>
      <c r="B111" s="170"/>
      <c r="C111" s="170"/>
      <c r="D111" s="170"/>
      <c r="E111" s="170"/>
      <c r="F111" s="170"/>
      <c r="G111" s="170"/>
      <c r="H111" s="170"/>
      <c r="I111" s="170"/>
      <c r="J111" s="170"/>
    </row>
    <row r="112" spans="1:10" ht="15" x14ac:dyDescent="0.25">
      <c r="A112" s="1"/>
      <c r="B112" s="1"/>
      <c r="C112" s="1"/>
      <c r="D112" s="1"/>
      <c r="E112" s="1"/>
      <c r="F112" s="1"/>
      <c r="G112" s="1"/>
      <c r="H112" s="1"/>
      <c r="I112" s="1"/>
      <c r="J112" s="1"/>
    </row>
    <row r="113" spans="1:15" ht="15" x14ac:dyDescent="0.25">
      <c r="A113" s="29" t="s">
        <v>71</v>
      </c>
      <c r="B113" s="1"/>
      <c r="C113" s="1"/>
      <c r="D113" s="1"/>
      <c r="E113" s="1"/>
      <c r="F113" s="1"/>
      <c r="G113" s="1"/>
      <c r="H113" s="1"/>
      <c r="I113" s="1"/>
      <c r="J113" s="1"/>
    </row>
    <row r="114" spans="1:15" ht="15" x14ac:dyDescent="0.25">
      <c r="A114" s="1"/>
      <c r="B114" s="1"/>
      <c r="C114" s="1"/>
      <c r="D114" s="1"/>
      <c r="E114" s="1"/>
      <c r="F114" s="1"/>
      <c r="G114" s="1"/>
      <c r="H114" s="1"/>
      <c r="I114" s="1"/>
      <c r="J114" s="1"/>
    </row>
    <row r="115" spans="1:15" ht="15" x14ac:dyDescent="0.25">
      <c r="A115" s="32" t="s">
        <v>72</v>
      </c>
      <c r="B115" s="170" t="s">
        <v>73</v>
      </c>
      <c r="C115" s="170"/>
      <c r="D115" s="170"/>
      <c r="E115" s="170"/>
      <c r="F115" s="170"/>
      <c r="G115" s="170"/>
      <c r="H115" s="170"/>
      <c r="I115" s="170"/>
      <c r="J115" s="170"/>
    </row>
    <row r="116" spans="1:15" ht="15" x14ac:dyDescent="0.25">
      <c r="A116" s="1"/>
      <c r="B116" s="170"/>
      <c r="C116" s="170"/>
      <c r="D116" s="170"/>
      <c r="E116" s="170"/>
      <c r="F116" s="170"/>
      <c r="G116" s="170"/>
      <c r="H116" s="170"/>
      <c r="I116" s="170"/>
      <c r="J116" s="170"/>
    </row>
    <row r="117" spans="1:15" ht="15" x14ac:dyDescent="0.2">
      <c r="A117" s="32" t="s">
        <v>74</v>
      </c>
      <c r="B117" s="170" t="s">
        <v>75</v>
      </c>
      <c r="C117" s="170"/>
      <c r="D117" s="170"/>
      <c r="E117" s="170"/>
      <c r="F117" s="170"/>
      <c r="G117" s="170"/>
      <c r="H117" s="170"/>
      <c r="I117" s="170"/>
      <c r="J117" s="170"/>
      <c r="N117" s="46"/>
    </row>
    <row r="118" spans="1:15" ht="15" x14ac:dyDescent="0.25">
      <c r="A118" s="1"/>
      <c r="B118" s="170"/>
      <c r="C118" s="170"/>
      <c r="D118" s="170"/>
      <c r="E118" s="170"/>
      <c r="F118" s="170"/>
      <c r="G118" s="170"/>
      <c r="H118" s="170"/>
      <c r="I118" s="170"/>
      <c r="J118" s="170"/>
    </row>
    <row r="119" spans="1:15" ht="15" x14ac:dyDescent="0.25">
      <c r="A119" s="1"/>
      <c r="B119" s="170"/>
      <c r="C119" s="170"/>
      <c r="D119" s="170"/>
      <c r="E119" s="170"/>
      <c r="F119" s="170"/>
      <c r="G119" s="170"/>
      <c r="H119" s="170"/>
      <c r="I119" s="170"/>
      <c r="J119" s="170"/>
    </row>
    <row r="120" spans="1:15" ht="15" x14ac:dyDescent="0.25">
      <c r="A120" s="1"/>
      <c r="B120" s="1"/>
      <c r="C120" s="1"/>
      <c r="D120" s="1"/>
      <c r="E120" s="1"/>
      <c r="F120" s="1"/>
      <c r="G120" s="1"/>
      <c r="H120" s="1"/>
      <c r="I120" s="1"/>
      <c r="J120" s="1"/>
    </row>
    <row r="121" spans="1:15" ht="15" x14ac:dyDescent="0.25">
      <c r="A121" s="29" t="s">
        <v>76</v>
      </c>
      <c r="B121" s="1"/>
      <c r="C121" s="1"/>
      <c r="D121" s="1"/>
      <c r="E121" s="1"/>
      <c r="F121" s="1"/>
      <c r="G121" s="1"/>
      <c r="H121" s="1"/>
      <c r="I121" s="1"/>
      <c r="J121" s="1"/>
    </row>
    <row r="122" spans="1:15" ht="15" x14ac:dyDescent="0.25">
      <c r="A122" s="1"/>
      <c r="B122" s="1"/>
      <c r="C122" s="1"/>
      <c r="D122" s="1"/>
      <c r="E122" s="1"/>
      <c r="F122" s="1"/>
      <c r="G122" s="1"/>
      <c r="H122" s="1"/>
      <c r="I122" s="1"/>
      <c r="J122" s="1"/>
    </row>
    <row r="123" spans="1:15" ht="15" x14ac:dyDescent="0.25">
      <c r="A123" s="1" t="s">
        <v>77</v>
      </c>
      <c r="B123" s="1"/>
      <c r="C123" s="1"/>
      <c r="D123" s="1"/>
      <c r="E123" s="1"/>
      <c r="F123" s="1"/>
      <c r="G123" s="1"/>
      <c r="H123" s="1"/>
      <c r="I123" s="1"/>
      <c r="J123" s="1"/>
    </row>
    <row r="124" spans="1:15" ht="15" x14ac:dyDescent="0.25">
      <c r="A124" s="1"/>
      <c r="B124" s="1"/>
      <c r="C124" s="1"/>
      <c r="D124" s="1"/>
      <c r="E124" s="1"/>
      <c r="F124" s="1"/>
      <c r="G124" s="1"/>
      <c r="H124" s="1"/>
      <c r="I124" s="1"/>
      <c r="J124" s="1"/>
    </row>
    <row r="125" spans="1:15" ht="15" x14ac:dyDescent="0.25">
      <c r="A125" s="23" t="s">
        <v>98</v>
      </c>
      <c r="B125" s="81" t="s">
        <v>102</v>
      </c>
      <c r="C125" s="79"/>
      <c r="D125" s="79"/>
      <c r="E125" s="79"/>
      <c r="F125" s="1"/>
      <c r="G125" s="1"/>
      <c r="H125" s="1"/>
      <c r="I125" s="1"/>
      <c r="J125" s="1"/>
    </row>
    <row r="126" spans="1:15" ht="15" x14ac:dyDescent="0.25">
      <c r="A126" s="1"/>
      <c r="B126" s="79" t="s">
        <v>78</v>
      </c>
      <c r="C126" s="79" t="s">
        <v>105</v>
      </c>
      <c r="D126" s="79"/>
      <c r="E126" s="79"/>
      <c r="F126" s="80" t="s">
        <v>103</v>
      </c>
      <c r="G126" s="1"/>
      <c r="H126" s="1"/>
      <c r="I126" s="1"/>
      <c r="J126" s="1"/>
      <c r="O126" s="24"/>
    </row>
    <row r="127" spans="1:15" ht="15" x14ac:dyDescent="0.25">
      <c r="A127" s="1"/>
      <c r="B127" s="1"/>
      <c r="C127" s="1"/>
      <c r="D127" s="1"/>
      <c r="E127" s="1"/>
      <c r="F127" s="17"/>
      <c r="G127" s="1"/>
      <c r="H127" s="1"/>
      <c r="I127" s="1"/>
      <c r="J127" s="1"/>
    </row>
    <row r="128" spans="1:15" ht="15" x14ac:dyDescent="0.25">
      <c r="A128" s="23" t="s">
        <v>79</v>
      </c>
      <c r="B128" s="23" t="s">
        <v>0</v>
      </c>
      <c r="C128" s="1"/>
      <c r="D128" s="1"/>
      <c r="E128" s="1"/>
      <c r="F128" s="1"/>
      <c r="G128" s="1"/>
      <c r="H128" s="1"/>
      <c r="I128" s="1"/>
      <c r="J128" s="47"/>
    </row>
    <row r="129" spans="1:10" ht="15" x14ac:dyDescent="0.25">
      <c r="A129" s="1"/>
      <c r="B129" s="1" t="str">
        <f>B126</f>
        <v xml:space="preserve">Người nhận: </v>
      </c>
      <c r="C129" s="1" t="str">
        <f>D30</f>
        <v>Ông Masami Oue</v>
      </c>
      <c r="D129" s="1"/>
      <c r="E129" s="1"/>
      <c r="F129" s="17" t="str">
        <f>D33</f>
        <v>+84-8-5410-9111</v>
      </c>
      <c r="G129" s="1"/>
      <c r="H129" s="1"/>
      <c r="I129" s="1"/>
      <c r="J129" s="1"/>
    </row>
    <row r="130" spans="1:10" ht="15" x14ac:dyDescent="0.25">
      <c r="A130" s="1"/>
      <c r="B130" s="1"/>
      <c r="C130" s="1"/>
      <c r="D130" s="1"/>
      <c r="E130" s="1"/>
      <c r="F130" s="1"/>
      <c r="G130" s="1"/>
      <c r="H130" s="1"/>
      <c r="I130" s="1"/>
      <c r="J130" s="1"/>
    </row>
    <row r="131" spans="1:10" ht="15" x14ac:dyDescent="0.25">
      <c r="A131" s="29" t="s">
        <v>80</v>
      </c>
      <c r="B131" s="1"/>
      <c r="C131" s="1"/>
      <c r="D131" s="1"/>
      <c r="E131" s="1"/>
      <c r="F131" s="1"/>
      <c r="G131" s="1"/>
      <c r="H131" s="1"/>
      <c r="I131" s="1"/>
      <c r="J131" s="1"/>
    </row>
    <row r="132" spans="1:10" ht="15" x14ac:dyDescent="0.25">
      <c r="A132" s="1"/>
      <c r="B132" s="1"/>
      <c r="C132" s="1"/>
      <c r="D132" s="1"/>
      <c r="E132" s="1"/>
      <c r="F132" s="1"/>
      <c r="G132" s="1"/>
      <c r="H132" s="1"/>
      <c r="I132" s="1"/>
      <c r="J132" s="1"/>
    </row>
    <row r="133" spans="1:10" ht="15" x14ac:dyDescent="0.25">
      <c r="A133" s="32" t="s">
        <v>81</v>
      </c>
      <c r="B133" s="170" t="s">
        <v>82</v>
      </c>
      <c r="C133" s="170"/>
      <c r="D133" s="170"/>
      <c r="E133" s="170"/>
      <c r="F133" s="170"/>
      <c r="G133" s="170"/>
      <c r="H133" s="170"/>
      <c r="I133" s="170"/>
      <c r="J133" s="170"/>
    </row>
    <row r="134" spans="1:10" ht="15" x14ac:dyDescent="0.25">
      <c r="A134" s="1"/>
      <c r="B134" s="170"/>
      <c r="C134" s="170"/>
      <c r="D134" s="170"/>
      <c r="E134" s="170"/>
      <c r="F134" s="170"/>
      <c r="G134" s="170"/>
      <c r="H134" s="170"/>
      <c r="I134" s="170"/>
      <c r="J134" s="170"/>
    </row>
    <row r="135" spans="1:10" ht="15" x14ac:dyDescent="0.25">
      <c r="A135" s="1"/>
      <c r="B135" s="170"/>
      <c r="C135" s="170"/>
      <c r="D135" s="170"/>
      <c r="E135" s="170"/>
      <c r="F135" s="170"/>
      <c r="G135" s="170"/>
      <c r="H135" s="170"/>
      <c r="I135" s="170"/>
      <c r="J135" s="170"/>
    </row>
    <row r="136" spans="1:10" ht="14.25" customHeight="1" x14ac:dyDescent="0.25">
      <c r="A136" s="32" t="s">
        <v>83</v>
      </c>
      <c r="B136" s="170" t="s">
        <v>84</v>
      </c>
      <c r="C136" s="170"/>
      <c r="D136" s="170"/>
      <c r="E136" s="170"/>
      <c r="F136" s="170"/>
      <c r="G136" s="170"/>
      <c r="H136" s="170"/>
      <c r="I136" s="170"/>
      <c r="J136" s="170"/>
    </row>
    <row r="137" spans="1:10" ht="30.75" customHeight="1" x14ac:dyDescent="0.25">
      <c r="A137" s="28"/>
      <c r="B137" s="170"/>
      <c r="C137" s="170"/>
      <c r="D137" s="170"/>
      <c r="E137" s="170"/>
      <c r="F137" s="170"/>
      <c r="G137" s="170"/>
      <c r="H137" s="170"/>
      <c r="I137" s="170"/>
      <c r="J137" s="170"/>
    </row>
    <row r="138" spans="1:10" ht="15" x14ac:dyDescent="0.25">
      <c r="A138" s="32" t="s">
        <v>85</v>
      </c>
      <c r="B138" s="170" t="s">
        <v>86</v>
      </c>
      <c r="C138" s="170"/>
      <c r="D138" s="170"/>
      <c r="E138" s="170"/>
      <c r="F138" s="170"/>
      <c r="G138" s="170"/>
      <c r="H138" s="170"/>
      <c r="I138" s="170"/>
      <c r="J138" s="170"/>
    </row>
    <row r="139" spans="1:10" ht="15" x14ac:dyDescent="0.25">
      <c r="A139" s="1"/>
      <c r="B139" s="170"/>
      <c r="C139" s="170"/>
      <c r="D139" s="170"/>
      <c r="E139" s="170"/>
      <c r="F139" s="170"/>
      <c r="G139" s="170"/>
      <c r="H139" s="170"/>
      <c r="I139" s="170"/>
      <c r="J139" s="170"/>
    </row>
    <row r="140" spans="1:10" ht="15" x14ac:dyDescent="0.25">
      <c r="A140" s="1"/>
      <c r="B140" s="170"/>
      <c r="C140" s="170"/>
      <c r="D140" s="170"/>
      <c r="E140" s="170"/>
      <c r="F140" s="170"/>
      <c r="G140" s="170"/>
      <c r="H140" s="170"/>
      <c r="I140" s="170"/>
      <c r="J140" s="170"/>
    </row>
    <row r="141" spans="1:10" ht="15" x14ac:dyDescent="0.25">
      <c r="A141" s="1"/>
      <c r="B141" s="1"/>
      <c r="C141" s="1"/>
      <c r="D141" s="1"/>
      <c r="E141" s="1"/>
      <c r="F141" s="1"/>
      <c r="G141" s="1"/>
      <c r="H141" s="1"/>
      <c r="I141" s="1"/>
      <c r="J141" s="1"/>
    </row>
    <row r="142" spans="1:10" ht="15" x14ac:dyDescent="0.25">
      <c r="A142" s="29" t="s">
        <v>87</v>
      </c>
      <c r="B142" s="1"/>
      <c r="C142" s="1"/>
      <c r="D142" s="1"/>
      <c r="E142" s="1"/>
      <c r="F142" s="1"/>
      <c r="G142" s="1"/>
      <c r="H142" s="1"/>
      <c r="I142" s="1"/>
      <c r="J142" s="1"/>
    </row>
    <row r="143" spans="1:10" ht="15" x14ac:dyDescent="0.25">
      <c r="A143" s="1"/>
      <c r="B143" s="1"/>
      <c r="C143" s="1"/>
      <c r="D143" s="1"/>
      <c r="E143" s="1"/>
      <c r="F143" s="1"/>
      <c r="G143" s="1"/>
      <c r="H143" s="1"/>
      <c r="I143" s="1"/>
      <c r="J143" s="1"/>
    </row>
    <row r="144" spans="1:10" ht="15" x14ac:dyDescent="0.25">
      <c r="A144" s="32" t="s">
        <v>88</v>
      </c>
      <c r="B144" s="176" t="s">
        <v>89</v>
      </c>
      <c r="C144" s="180"/>
      <c r="D144" s="180"/>
      <c r="E144" s="180"/>
      <c r="F144" s="180"/>
      <c r="G144" s="180"/>
      <c r="H144" s="180"/>
      <c r="I144" s="180"/>
      <c r="J144" s="180"/>
    </row>
    <row r="145" spans="1:10" ht="15" x14ac:dyDescent="0.25">
      <c r="A145" s="1"/>
      <c r="B145" s="180"/>
      <c r="C145" s="180"/>
      <c r="D145" s="180"/>
      <c r="E145" s="180"/>
      <c r="F145" s="180"/>
      <c r="G145" s="180"/>
      <c r="H145" s="180"/>
      <c r="I145" s="180"/>
      <c r="J145" s="180"/>
    </row>
    <row r="146" spans="1:10" ht="15" x14ac:dyDescent="0.25">
      <c r="A146" s="1"/>
      <c r="B146" s="180"/>
      <c r="C146" s="180"/>
      <c r="D146" s="180"/>
      <c r="E146" s="180"/>
      <c r="F146" s="180"/>
      <c r="G146" s="180"/>
      <c r="H146" s="180"/>
      <c r="I146" s="180"/>
      <c r="J146" s="180"/>
    </row>
    <row r="147" spans="1:10" ht="15" x14ac:dyDescent="0.25">
      <c r="A147" s="1"/>
      <c r="B147" s="1"/>
      <c r="C147" s="1"/>
      <c r="D147" s="1"/>
      <c r="E147" s="1"/>
      <c r="F147" s="1"/>
      <c r="G147" s="1"/>
      <c r="H147" s="1"/>
      <c r="I147" s="1"/>
      <c r="J147" s="1"/>
    </row>
    <row r="148" spans="1:10" ht="15" x14ac:dyDescent="0.25">
      <c r="A148" s="32" t="s">
        <v>90</v>
      </c>
      <c r="B148" s="170" t="s">
        <v>101</v>
      </c>
      <c r="C148" s="170"/>
      <c r="D148" s="170"/>
      <c r="E148" s="170"/>
      <c r="F148" s="170"/>
      <c r="G148" s="170"/>
      <c r="H148" s="170"/>
      <c r="I148" s="170"/>
      <c r="J148" s="170"/>
    </row>
    <row r="149" spans="1:10" ht="15" x14ac:dyDescent="0.25">
      <c r="A149" s="28"/>
      <c r="B149" s="170"/>
      <c r="C149" s="170"/>
      <c r="D149" s="170"/>
      <c r="E149" s="170"/>
      <c r="F149" s="170"/>
      <c r="G149" s="170"/>
      <c r="H149" s="170"/>
      <c r="I149" s="170"/>
      <c r="J149" s="170"/>
    </row>
    <row r="150" spans="1:10" ht="15" x14ac:dyDescent="0.25">
      <c r="A150" s="73"/>
      <c r="B150" s="72"/>
      <c r="C150" s="72"/>
      <c r="D150" s="72"/>
      <c r="E150" s="72"/>
      <c r="F150" s="72"/>
      <c r="G150" s="72"/>
      <c r="H150" s="72"/>
      <c r="I150" s="72"/>
      <c r="J150" s="72"/>
    </row>
    <row r="151" spans="1:10" ht="15.75" x14ac:dyDescent="0.25">
      <c r="A151" s="48"/>
      <c r="B151" s="78" t="s">
        <v>107</v>
      </c>
      <c r="C151" s="35"/>
      <c r="D151" s="35"/>
      <c r="E151" s="35"/>
      <c r="F151" s="35"/>
      <c r="G151" s="35"/>
      <c r="H151" s="35"/>
      <c r="I151" s="35"/>
      <c r="J151" s="35"/>
    </row>
    <row r="152" spans="1:10" ht="15.75" x14ac:dyDescent="0.25">
      <c r="A152" s="73"/>
      <c r="B152" s="78" t="s">
        <v>108</v>
      </c>
      <c r="C152" s="72"/>
      <c r="D152" s="72"/>
      <c r="E152" s="72"/>
      <c r="F152" s="72"/>
      <c r="G152" s="72"/>
      <c r="H152" s="72"/>
      <c r="I152" s="72"/>
      <c r="J152" s="72"/>
    </row>
    <row r="153" spans="1:10" ht="15" x14ac:dyDescent="0.25">
      <c r="A153" s="181" t="s">
        <v>6</v>
      </c>
      <c r="B153" s="181"/>
      <c r="C153" s="181"/>
      <c r="D153" s="181"/>
      <c r="E153" s="1"/>
      <c r="F153" s="1"/>
      <c r="G153" s="181" t="s">
        <v>16</v>
      </c>
      <c r="H153" s="181"/>
      <c r="I153" s="181"/>
      <c r="J153" s="181"/>
    </row>
    <row r="154" spans="1:10" ht="15" customHeight="1" x14ac:dyDescent="0.25">
      <c r="A154" s="182" t="s">
        <v>102</v>
      </c>
      <c r="B154" s="182"/>
      <c r="C154" s="182"/>
      <c r="D154" s="182"/>
      <c r="E154" s="1"/>
      <c r="F154" s="49"/>
      <c r="G154" s="183" t="s">
        <v>0</v>
      </c>
      <c r="H154" s="183"/>
      <c r="I154" s="183"/>
      <c r="J154" s="183"/>
    </row>
    <row r="155" spans="1:10" ht="15" x14ac:dyDescent="0.25">
      <c r="A155" s="182"/>
      <c r="B155" s="182"/>
      <c r="C155" s="182"/>
      <c r="D155" s="182"/>
      <c r="E155" s="1"/>
      <c r="F155" s="51"/>
      <c r="G155" s="183"/>
      <c r="H155" s="183"/>
      <c r="I155" s="183"/>
      <c r="J155" s="183"/>
    </row>
    <row r="156" spans="1:10" ht="15" x14ac:dyDescent="0.25">
      <c r="A156" s="1"/>
      <c r="B156" s="50"/>
      <c r="C156" s="50"/>
      <c r="D156" s="50"/>
      <c r="E156" s="1"/>
      <c r="F156" s="50"/>
      <c r="G156" s="50"/>
      <c r="H156" s="50"/>
      <c r="I156" s="50"/>
      <c r="J156" s="1"/>
    </row>
    <row r="157" spans="1:10" ht="15" x14ac:dyDescent="0.25">
      <c r="A157" s="1"/>
      <c r="B157" s="50"/>
      <c r="C157" s="50"/>
      <c r="D157" s="50"/>
      <c r="E157" s="1"/>
      <c r="F157" s="50"/>
      <c r="G157" s="50"/>
      <c r="H157" s="50"/>
      <c r="I157" s="50"/>
      <c r="J157" s="1"/>
    </row>
    <row r="158" spans="1:10" ht="15" x14ac:dyDescent="0.25">
      <c r="A158" s="1"/>
      <c r="B158" s="50"/>
      <c r="C158" s="50"/>
      <c r="D158" s="50"/>
      <c r="E158" s="1"/>
      <c r="F158" s="50"/>
      <c r="G158" s="50"/>
      <c r="H158" s="50"/>
      <c r="I158" s="50"/>
      <c r="J158" s="1"/>
    </row>
    <row r="159" spans="1:10" ht="15" x14ac:dyDescent="0.25">
      <c r="A159" s="1"/>
      <c r="B159" s="1"/>
      <c r="C159" s="1"/>
      <c r="D159" s="1"/>
      <c r="E159" s="1"/>
      <c r="F159" s="1"/>
      <c r="G159" s="1"/>
      <c r="H159" s="1"/>
      <c r="I159" s="1"/>
      <c r="J159" s="1"/>
    </row>
    <row r="160" spans="1:10" ht="15" x14ac:dyDescent="0.25">
      <c r="A160" s="1"/>
      <c r="B160" s="1"/>
      <c r="C160" s="1"/>
      <c r="D160" s="1"/>
      <c r="E160" s="1"/>
      <c r="F160" s="1"/>
      <c r="G160" s="1"/>
      <c r="H160" s="1"/>
      <c r="I160" s="1"/>
      <c r="J160" s="1"/>
    </row>
    <row r="161" spans="1:10" ht="15" x14ac:dyDescent="0.25">
      <c r="A161" s="1"/>
      <c r="B161" s="1"/>
      <c r="C161" s="1"/>
      <c r="D161" s="1"/>
      <c r="E161" s="1"/>
      <c r="F161" s="1"/>
      <c r="G161" s="1"/>
      <c r="H161" s="1"/>
      <c r="I161" s="1"/>
      <c r="J161" s="1"/>
    </row>
    <row r="162" spans="1:10" ht="15" x14ac:dyDescent="0.25">
      <c r="A162" s="52"/>
      <c r="B162" s="52"/>
      <c r="C162" s="52"/>
      <c r="D162" s="52"/>
      <c r="E162" s="1"/>
      <c r="F162" s="1"/>
      <c r="G162" s="52"/>
      <c r="H162" s="52"/>
      <c r="I162" s="52"/>
      <c r="J162" s="52"/>
    </row>
    <row r="163" spans="1:10" x14ac:dyDescent="0.25">
      <c r="A163" s="53"/>
      <c r="B163" s="53"/>
      <c r="C163" s="53"/>
      <c r="D163" s="53"/>
      <c r="E163" s="54"/>
      <c r="F163" s="54"/>
      <c r="G163" s="53"/>
      <c r="H163" s="53"/>
      <c r="I163" s="53"/>
      <c r="J163" s="53"/>
    </row>
    <row r="164" spans="1:10" x14ac:dyDescent="0.25">
      <c r="A164" s="55"/>
      <c r="B164" s="55"/>
      <c r="C164" s="55"/>
      <c r="D164" s="55"/>
      <c r="E164" s="55"/>
      <c r="F164" s="55"/>
      <c r="G164" s="55"/>
      <c r="H164" s="55"/>
      <c r="I164" s="55"/>
      <c r="J164" s="55"/>
    </row>
    <row r="165" spans="1:10" x14ac:dyDescent="0.25">
      <c r="A165" s="55"/>
      <c r="B165" s="179"/>
      <c r="C165" s="179"/>
      <c r="D165" s="179"/>
      <c r="E165" s="55"/>
      <c r="F165" s="55"/>
      <c r="G165" s="179"/>
      <c r="H165" s="179"/>
      <c r="I165" s="179"/>
      <c r="J165" s="55"/>
    </row>
    <row r="166" spans="1:10" x14ac:dyDescent="0.25">
      <c r="A166" s="55"/>
      <c r="B166" s="55"/>
      <c r="C166" s="55"/>
      <c r="D166" s="55"/>
      <c r="E166" s="55"/>
      <c r="F166" s="55"/>
      <c r="G166" s="55"/>
      <c r="H166" s="55"/>
      <c r="I166" s="55"/>
      <c r="J166" s="55"/>
    </row>
    <row r="167" spans="1:10" x14ac:dyDescent="0.25">
      <c r="A167" s="56"/>
      <c r="B167" s="56"/>
      <c r="C167" s="56"/>
      <c r="D167" s="56"/>
      <c r="E167" s="56"/>
      <c r="F167" s="56"/>
      <c r="G167" s="56"/>
      <c r="H167" s="56"/>
      <c r="I167" s="56"/>
      <c r="J167" s="56"/>
    </row>
    <row r="168" spans="1:10" x14ac:dyDescent="0.25">
      <c r="A168" s="56"/>
      <c r="B168" s="56"/>
      <c r="C168" s="56"/>
      <c r="D168" s="56"/>
      <c r="E168" s="56"/>
      <c r="F168" s="56"/>
      <c r="G168" s="56"/>
      <c r="H168" s="56"/>
      <c r="I168" s="56"/>
      <c r="J168" s="56"/>
    </row>
    <row r="169" spans="1:10" x14ac:dyDescent="0.25">
      <c r="A169" s="56"/>
      <c r="B169" s="56"/>
      <c r="C169" s="56"/>
      <c r="D169" s="56"/>
      <c r="E169" s="56"/>
      <c r="F169" s="56"/>
      <c r="G169" s="56"/>
      <c r="H169" s="56"/>
      <c r="I169" s="56"/>
      <c r="J169" s="56"/>
    </row>
    <row r="170" spans="1:10" x14ac:dyDescent="0.25">
      <c r="A170" s="56"/>
      <c r="B170" s="56"/>
      <c r="C170" s="56"/>
      <c r="D170" s="56"/>
      <c r="E170" s="56"/>
      <c r="F170" s="56"/>
      <c r="G170" s="56"/>
      <c r="H170" s="56"/>
      <c r="I170" s="56"/>
      <c r="J170" s="56"/>
    </row>
    <row r="171" spans="1:10" x14ac:dyDescent="0.25">
      <c r="A171" s="56"/>
      <c r="B171" s="56"/>
      <c r="C171" s="56"/>
      <c r="D171" s="56"/>
      <c r="E171" s="56"/>
      <c r="F171" s="56"/>
      <c r="G171" s="56"/>
      <c r="H171" s="56"/>
      <c r="I171" s="56"/>
      <c r="J171" s="56"/>
    </row>
    <row r="172" spans="1:10" x14ac:dyDescent="0.25">
      <c r="A172" s="56"/>
      <c r="B172" s="56"/>
      <c r="C172" s="56"/>
      <c r="D172" s="56"/>
      <c r="E172" s="56"/>
      <c r="F172" s="56"/>
      <c r="G172" s="56"/>
      <c r="H172" s="56"/>
      <c r="I172" s="56"/>
      <c r="J172" s="56"/>
    </row>
    <row r="173" spans="1:10" x14ac:dyDescent="0.25">
      <c r="A173" s="56"/>
      <c r="B173" s="56"/>
      <c r="C173" s="56"/>
      <c r="D173" s="56"/>
      <c r="E173" s="56"/>
      <c r="F173" s="56"/>
      <c r="G173" s="56"/>
      <c r="H173" s="56"/>
      <c r="I173" s="56"/>
      <c r="J173" s="56"/>
    </row>
    <row r="174" spans="1:10" x14ac:dyDescent="0.25">
      <c r="A174" s="56"/>
      <c r="B174" s="56"/>
      <c r="C174" s="56"/>
      <c r="D174" s="56"/>
      <c r="E174" s="56"/>
      <c r="F174" s="56"/>
      <c r="G174" s="56"/>
      <c r="H174" s="56"/>
      <c r="I174" s="56"/>
      <c r="J174" s="56"/>
    </row>
    <row r="175" spans="1:10" x14ac:dyDescent="0.25">
      <c r="A175" s="56"/>
      <c r="B175" s="56"/>
      <c r="C175" s="56"/>
      <c r="D175" s="56"/>
      <c r="E175" s="56"/>
      <c r="F175" s="56"/>
      <c r="G175" s="56"/>
      <c r="H175" s="56"/>
      <c r="I175" s="56"/>
      <c r="J175" s="56"/>
    </row>
    <row r="176" spans="1:10" x14ac:dyDescent="0.25">
      <c r="A176" s="56"/>
      <c r="B176" s="56"/>
      <c r="C176" s="56"/>
      <c r="D176" s="56"/>
      <c r="E176" s="56"/>
      <c r="F176" s="56"/>
      <c r="G176" s="56"/>
      <c r="H176" s="56"/>
      <c r="I176" s="56"/>
      <c r="J176" s="56"/>
    </row>
  </sheetData>
  <mergeCells count="51">
    <mergeCell ref="B165:D165"/>
    <mergeCell ref="G165:I165"/>
    <mergeCell ref="B110:J111"/>
    <mergeCell ref="B115:J116"/>
    <mergeCell ref="B117:J119"/>
    <mergeCell ref="B133:J135"/>
    <mergeCell ref="B136:J137"/>
    <mergeCell ref="B138:J140"/>
    <mergeCell ref="B144:J146"/>
    <mergeCell ref="B148:J149"/>
    <mergeCell ref="A153:D153"/>
    <mergeCell ref="G153:J153"/>
    <mergeCell ref="A154:D155"/>
    <mergeCell ref="G154:J155"/>
    <mergeCell ref="B108:J109"/>
    <mergeCell ref="B71:J73"/>
    <mergeCell ref="B74:J75"/>
    <mergeCell ref="P74:T74"/>
    <mergeCell ref="B78:J79"/>
    <mergeCell ref="B83:J86"/>
    <mergeCell ref="B92:J93"/>
    <mergeCell ref="B95:J95"/>
    <mergeCell ref="B99:J100"/>
    <mergeCell ref="B102:J103"/>
    <mergeCell ref="B104:J105"/>
    <mergeCell ref="B106:J107"/>
    <mergeCell ref="Q67:T67"/>
    <mergeCell ref="U67:X67"/>
    <mergeCell ref="P68:T68"/>
    <mergeCell ref="P69:T69"/>
    <mergeCell ref="B54:J55"/>
    <mergeCell ref="B56:J57"/>
    <mergeCell ref="B58:C58"/>
    <mergeCell ref="B59:C59"/>
    <mergeCell ref="B65:J66"/>
    <mergeCell ref="O45:R45"/>
    <mergeCell ref="S45:AF45"/>
    <mergeCell ref="O46:R46"/>
    <mergeCell ref="S46:AF46"/>
    <mergeCell ref="F52:G52"/>
    <mergeCell ref="I52:J52"/>
    <mergeCell ref="D35:E35"/>
    <mergeCell ref="O43:R43"/>
    <mergeCell ref="S43:AF43"/>
    <mergeCell ref="O44:R44"/>
    <mergeCell ref="S44:AF44"/>
    <mergeCell ref="G1:J1"/>
    <mergeCell ref="G2:J2"/>
    <mergeCell ref="A5:J7"/>
    <mergeCell ref="A10:J13"/>
    <mergeCell ref="D32:J32"/>
  </mergeCells>
  <printOptions horizontalCentered="1"/>
  <pageMargins left="0.7" right="0.7" top="0.75" bottom="0.75" header="0.3" footer="0.3"/>
  <pageSetup paperSize="9" scale="81" fitToWidth="0" orientation="portrait" r:id="rId1"/>
  <headerFooter>
    <oddFooter>&amp;CPage&amp;"Arial,標準"&amp;P/&amp;N</oddFooter>
  </headerFooter>
  <colBreaks count="1" manualBreakCount="1">
    <brk id="1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
  <sheetViews>
    <sheetView view="pageBreakPreview" zoomScale="96" zoomScaleNormal="100" zoomScaleSheetLayoutView="96" workbookViewId="0">
      <selection activeCell="H9" sqref="H9:J10"/>
    </sheetView>
  </sheetViews>
  <sheetFormatPr defaultColWidth="9" defaultRowHeight="14.25" x14ac:dyDescent="0.25"/>
  <cols>
    <col min="1" max="1" width="3.5703125" style="86" customWidth="1"/>
    <col min="2" max="2" width="10.85546875" style="86" customWidth="1"/>
    <col min="3" max="3" width="4" style="86" customWidth="1"/>
    <col min="4" max="4" width="8.42578125" style="86" customWidth="1"/>
    <col min="5" max="5" width="19" style="86" customWidth="1"/>
    <col min="6" max="6" width="6.7109375" style="86" customWidth="1"/>
    <col min="7" max="7" width="7.5703125" style="86" customWidth="1"/>
    <col min="8" max="8" width="9" style="86"/>
    <col min="9" max="9" width="13.140625" style="86" customWidth="1"/>
    <col min="10" max="10" width="14" style="86" customWidth="1"/>
    <col min="11" max="11" width="1.5703125" style="86" customWidth="1"/>
    <col min="12" max="12" width="5.140625" style="86" customWidth="1"/>
    <col min="13" max="16384" width="9" style="86"/>
  </cols>
  <sheetData>
    <row r="1" spans="2:20" ht="6" customHeight="1" x14ac:dyDescent="0.25"/>
    <row r="2" spans="2:20" ht="25.5" customHeight="1" x14ac:dyDescent="0.25">
      <c r="B2" s="216" t="s">
        <v>159</v>
      </c>
      <c r="C2" s="216"/>
      <c r="D2" s="216"/>
      <c r="E2" s="216"/>
      <c r="F2" s="216"/>
      <c r="G2" s="216"/>
      <c r="H2" s="216"/>
      <c r="I2" s="216"/>
      <c r="J2" s="216"/>
    </row>
    <row r="3" spans="2:20" x14ac:dyDescent="0.25">
      <c r="I3" s="217" t="s">
        <v>111</v>
      </c>
      <c r="J3" s="217"/>
    </row>
    <row r="4" spans="2:20" x14ac:dyDescent="0.25">
      <c r="I4" s="218" t="s">
        <v>223</v>
      </c>
      <c r="J4" s="218"/>
    </row>
    <row r="5" spans="2:20" ht="15" customHeight="1" x14ac:dyDescent="0.25">
      <c r="B5" s="219" t="s">
        <v>222</v>
      </c>
      <c r="C5" s="219"/>
      <c r="D5" s="219"/>
      <c r="E5" s="219"/>
      <c r="F5" s="219"/>
    </row>
    <row r="6" spans="2:20" s="87" customFormat="1" ht="20.25" x14ac:dyDescent="0.25">
      <c r="B6" s="219"/>
      <c r="C6" s="219"/>
      <c r="D6" s="219"/>
      <c r="E6" s="219"/>
      <c r="F6" s="219"/>
      <c r="G6" s="220" t="s">
        <v>160</v>
      </c>
      <c r="H6" s="220"/>
      <c r="I6" s="220"/>
      <c r="J6" s="220"/>
      <c r="M6" s="88"/>
    </row>
    <row r="7" spans="2:20" ht="14.25" customHeight="1" x14ac:dyDescent="0.25">
      <c r="B7" s="86" t="s">
        <v>161</v>
      </c>
      <c r="C7" s="221" t="str">
        <f>'1.Hợp đồng'!E48</f>
        <v>Đo đạc khí thải</v>
      </c>
      <c r="D7" s="221"/>
      <c r="E7" s="221"/>
      <c r="F7" s="221"/>
      <c r="G7" s="218" t="str">
        <f>I13</f>
        <v>Ông．MASAMI OUE</v>
      </c>
      <c r="H7" s="218"/>
      <c r="I7" s="218"/>
      <c r="J7" s="218"/>
      <c r="K7" s="89"/>
    </row>
    <row r="8" spans="2:20" x14ac:dyDescent="0.25">
      <c r="B8" s="90"/>
      <c r="C8" s="221"/>
      <c r="D8" s="221"/>
      <c r="E8" s="221"/>
      <c r="F8" s="221"/>
    </row>
    <row r="9" spans="2:20" ht="30.75" customHeight="1" x14ac:dyDescent="0.25">
      <c r="B9" s="222" t="s">
        <v>162</v>
      </c>
      <c r="C9" s="223"/>
      <c r="D9" s="223"/>
      <c r="E9" s="223"/>
      <c r="F9" s="223"/>
      <c r="G9" s="223"/>
      <c r="H9" s="224" t="s">
        <v>163</v>
      </c>
      <c r="I9" s="224"/>
      <c r="J9" s="224"/>
    </row>
    <row r="10" spans="2:20" ht="25.5" customHeight="1" x14ac:dyDescent="0.25">
      <c r="H10" s="224"/>
      <c r="I10" s="224"/>
      <c r="J10" s="224"/>
    </row>
    <row r="11" spans="2:20" ht="24" thickBot="1" x14ac:dyDescent="0.3">
      <c r="B11" s="225"/>
      <c r="C11" s="225"/>
      <c r="D11" s="225"/>
      <c r="E11" s="225"/>
      <c r="G11" s="226" t="s">
        <v>164</v>
      </c>
      <c r="H11" s="226"/>
      <c r="I11" s="226"/>
      <c r="J11" s="226"/>
      <c r="M11" s="91" t="s">
        <v>165</v>
      </c>
      <c r="N11" s="91"/>
      <c r="O11" s="92"/>
      <c r="P11" s="92"/>
      <c r="Q11" s="92"/>
      <c r="R11" s="92"/>
      <c r="S11" s="92"/>
      <c r="T11" s="92"/>
    </row>
    <row r="12" spans="2:20" ht="15" thickBot="1" x14ac:dyDescent="0.25">
      <c r="B12" s="93" t="s">
        <v>166</v>
      </c>
      <c r="C12" s="227" t="str">
        <f>'[5]3.Sales Contraction'!E51</f>
        <v>Vietnam</v>
      </c>
      <c r="D12" s="227"/>
      <c r="E12" s="227"/>
      <c r="M12" s="94"/>
      <c r="N12" s="94"/>
      <c r="O12" s="94"/>
      <c r="P12" s="94"/>
      <c r="Q12" s="94"/>
      <c r="R12" s="94"/>
      <c r="S12" s="215" t="s">
        <v>167</v>
      </c>
      <c r="T12" s="215"/>
    </row>
    <row r="13" spans="2:20" ht="14.25" customHeight="1" x14ac:dyDescent="0.25">
      <c r="B13" s="93" t="s">
        <v>168</v>
      </c>
      <c r="C13" s="95" t="s">
        <v>169</v>
      </c>
      <c r="D13" s="95"/>
      <c r="E13" s="95"/>
      <c r="G13" s="209" t="s">
        <v>170</v>
      </c>
      <c r="H13" s="209"/>
      <c r="I13" s="210" t="str">
        <f>'[5]3.Sales Contraction'!D31</f>
        <v>Ông．MASAMI OUE</v>
      </c>
      <c r="J13" s="210"/>
      <c r="M13" s="211" t="s">
        <v>171</v>
      </c>
      <c r="N13" s="213" t="s">
        <v>172</v>
      </c>
      <c r="O13" s="207" t="s">
        <v>173</v>
      </c>
      <c r="P13" s="207"/>
      <c r="Q13" s="202" t="s">
        <v>174</v>
      </c>
      <c r="R13" s="208"/>
      <c r="S13" s="202" t="s">
        <v>175</v>
      </c>
      <c r="T13" s="203"/>
    </row>
    <row r="14" spans="2:20" x14ac:dyDescent="0.25">
      <c r="B14" s="96"/>
      <c r="C14" s="96"/>
      <c r="D14" s="96"/>
      <c r="E14" s="96"/>
      <c r="F14" s="97"/>
      <c r="G14" s="97"/>
      <c r="H14" s="97"/>
      <c r="I14" s="90"/>
      <c r="J14" s="98"/>
      <c r="K14" s="99"/>
      <c r="M14" s="212"/>
      <c r="N14" s="214"/>
      <c r="O14" s="100" t="s">
        <v>176</v>
      </c>
      <c r="P14" s="101" t="s">
        <v>177</v>
      </c>
      <c r="Q14" s="100" t="s">
        <v>176</v>
      </c>
      <c r="R14" s="101" t="s">
        <v>177</v>
      </c>
      <c r="S14" s="100" t="s">
        <v>176</v>
      </c>
      <c r="T14" s="101" t="s">
        <v>177</v>
      </c>
    </row>
    <row r="15" spans="2:20" ht="15.75" customHeight="1" x14ac:dyDescent="0.2">
      <c r="B15" s="102" t="s">
        <v>178</v>
      </c>
      <c r="C15" s="103"/>
      <c r="D15" s="104"/>
      <c r="E15" s="191" t="s">
        <v>179</v>
      </c>
      <c r="F15" s="204"/>
      <c r="G15" s="105" t="s">
        <v>180</v>
      </c>
      <c r="H15" s="106" t="s">
        <v>181</v>
      </c>
      <c r="I15" s="107" t="s">
        <v>182</v>
      </c>
      <c r="J15" s="108" t="s">
        <v>183</v>
      </c>
      <c r="K15" s="99"/>
      <c r="M15" s="109">
        <v>35000</v>
      </c>
      <c r="N15" s="110">
        <f>M15/22/8</f>
        <v>198.86363636363637</v>
      </c>
      <c r="O15" s="110">
        <f>N15*1.5</f>
        <v>298.29545454545456</v>
      </c>
      <c r="P15" s="110">
        <f>N15*1.5+N15*0.3+N15*0.2</f>
        <v>397.72727272727275</v>
      </c>
      <c r="Q15" s="110">
        <f>N15*2</f>
        <v>397.72727272727275</v>
      </c>
      <c r="R15" s="110">
        <f>N15*2+N15*0.3+N15*2*0.2</f>
        <v>536.93181818181824</v>
      </c>
      <c r="S15" s="110">
        <f>N15*3</f>
        <v>596.59090909090912</v>
      </c>
      <c r="T15" s="111">
        <f>N15*3+N15*0.3+N15*3*0.2</f>
        <v>775.56818181818187</v>
      </c>
    </row>
    <row r="16" spans="2:20" ht="15.75" customHeight="1" x14ac:dyDescent="0.2">
      <c r="B16" s="112" t="s">
        <v>184</v>
      </c>
      <c r="C16" s="113" t="s">
        <v>185</v>
      </c>
      <c r="D16" s="95"/>
      <c r="E16" s="114"/>
      <c r="F16" s="114"/>
      <c r="G16" s="115"/>
      <c r="H16" s="116"/>
      <c r="I16" s="117"/>
      <c r="J16" s="118"/>
      <c r="K16" s="99"/>
      <c r="M16" s="109">
        <v>45000</v>
      </c>
      <c r="N16" s="110">
        <f>M16/22/8</f>
        <v>255.68181818181819</v>
      </c>
      <c r="O16" s="110">
        <f>N16*1.5</f>
        <v>383.52272727272725</v>
      </c>
      <c r="P16" s="110">
        <f t="shared" ref="P16" si="0">N16*1.5+N16*0.3+N16*0.2</f>
        <v>511.36363636363632</v>
      </c>
      <c r="Q16" s="110">
        <f>N16*2</f>
        <v>511.36363636363637</v>
      </c>
      <c r="R16" s="110">
        <f t="shared" ref="R16" si="1">N16*2+N16*0.3+N16*2*0.2</f>
        <v>690.34090909090912</v>
      </c>
      <c r="S16" s="110">
        <f>N16*3</f>
        <v>767.0454545454545</v>
      </c>
      <c r="T16" s="111">
        <f t="shared" ref="T16" si="2">N16*3+N16*0.3+N16*3*0.2</f>
        <v>997.15909090909088</v>
      </c>
    </row>
    <row r="17" spans="2:21" ht="15.75" customHeight="1" x14ac:dyDescent="0.2">
      <c r="B17" s="119"/>
      <c r="C17" s="120" t="s">
        <v>186</v>
      </c>
      <c r="D17" s="205" t="s">
        <v>187</v>
      </c>
      <c r="E17" s="205"/>
      <c r="F17" s="206"/>
      <c r="G17" s="121">
        <v>1</v>
      </c>
      <c r="H17" s="122" t="s">
        <v>188</v>
      </c>
      <c r="I17" s="123">
        <v>500000</v>
      </c>
      <c r="J17" s="124">
        <f t="shared" ref="J17:J25" si="3">G17*I17</f>
        <v>500000</v>
      </c>
      <c r="K17" s="99"/>
      <c r="M17" s="125" t="s">
        <v>189</v>
      </c>
      <c r="N17" s="125"/>
      <c r="O17" s="125"/>
      <c r="P17" s="125"/>
      <c r="Q17" s="125"/>
      <c r="R17" s="125"/>
      <c r="S17" s="125"/>
      <c r="T17" s="125"/>
      <c r="U17" s="126"/>
    </row>
    <row r="18" spans="2:21" ht="15.75" customHeight="1" x14ac:dyDescent="0.2">
      <c r="B18" s="119"/>
      <c r="C18" s="120" t="s">
        <v>190</v>
      </c>
      <c r="D18" s="127" t="s">
        <v>191</v>
      </c>
      <c r="E18" s="127"/>
      <c r="F18" s="128"/>
      <c r="G18" s="121">
        <v>3</v>
      </c>
      <c r="H18" s="122" t="s">
        <v>188</v>
      </c>
      <c r="I18" s="123">
        <v>500000</v>
      </c>
      <c r="J18" s="124">
        <f t="shared" si="3"/>
        <v>1500000</v>
      </c>
      <c r="K18" s="99"/>
      <c r="M18" s="125" t="s">
        <v>192</v>
      </c>
      <c r="N18" s="125"/>
      <c r="O18" s="125"/>
      <c r="P18" s="125"/>
      <c r="Q18" s="125"/>
      <c r="R18" s="125"/>
      <c r="S18" s="125"/>
      <c r="T18" s="125"/>
      <c r="U18" s="126"/>
    </row>
    <row r="19" spans="2:21" ht="15.75" customHeight="1" x14ac:dyDescent="0.25">
      <c r="B19" s="119" t="s">
        <v>193</v>
      </c>
      <c r="C19" s="129" t="s">
        <v>194</v>
      </c>
      <c r="D19" s="127"/>
      <c r="E19" s="127"/>
      <c r="F19" s="128"/>
      <c r="G19" s="130"/>
      <c r="H19" s="131"/>
      <c r="I19" s="132"/>
      <c r="J19" s="124"/>
      <c r="K19" s="99"/>
      <c r="M19" s="133"/>
      <c r="N19" s="133"/>
      <c r="O19" s="133"/>
      <c r="P19" s="133"/>
      <c r="Q19" s="133"/>
      <c r="R19" s="133"/>
      <c r="S19" s="133"/>
      <c r="T19" s="133"/>
      <c r="U19" s="133"/>
    </row>
    <row r="20" spans="2:21" ht="15.75" customHeight="1" x14ac:dyDescent="0.25">
      <c r="B20" s="119"/>
      <c r="C20" s="120" t="s">
        <v>186</v>
      </c>
      <c r="D20" s="205" t="s">
        <v>187</v>
      </c>
      <c r="E20" s="205"/>
      <c r="F20" s="206"/>
      <c r="G20" s="121">
        <v>1</v>
      </c>
      <c r="H20" s="122" t="s">
        <v>188</v>
      </c>
      <c r="I20" s="132">
        <v>300000</v>
      </c>
      <c r="J20" s="124">
        <f t="shared" si="3"/>
        <v>300000</v>
      </c>
      <c r="K20" s="99"/>
      <c r="M20" s="134"/>
      <c r="N20" s="134"/>
      <c r="O20" s="134"/>
      <c r="P20" s="134"/>
      <c r="Q20" s="134"/>
      <c r="R20" s="134"/>
      <c r="S20" s="134"/>
      <c r="T20" s="134"/>
      <c r="U20" s="134"/>
    </row>
    <row r="21" spans="2:21" ht="15.75" customHeight="1" x14ac:dyDescent="0.25">
      <c r="B21" s="119"/>
      <c r="C21" s="120" t="s">
        <v>190</v>
      </c>
      <c r="D21" s="127" t="s">
        <v>191</v>
      </c>
      <c r="E21" s="127"/>
      <c r="F21" s="128"/>
      <c r="G21" s="121">
        <v>3</v>
      </c>
      <c r="H21" s="122" t="s">
        <v>188</v>
      </c>
      <c r="I21" s="132">
        <v>300000</v>
      </c>
      <c r="J21" s="124">
        <f t="shared" si="3"/>
        <v>900000</v>
      </c>
      <c r="K21" s="99"/>
    </row>
    <row r="22" spans="2:21" ht="15.75" customHeight="1" x14ac:dyDescent="0.25">
      <c r="B22" s="119" t="s">
        <v>195</v>
      </c>
      <c r="C22" s="193" t="s">
        <v>196</v>
      </c>
      <c r="D22" s="194"/>
      <c r="E22" s="194"/>
      <c r="F22" s="195"/>
      <c r="G22" s="135">
        <v>2</v>
      </c>
      <c r="H22" s="136" t="s">
        <v>197</v>
      </c>
      <c r="I22" s="132">
        <v>2000000</v>
      </c>
      <c r="J22" s="124">
        <f t="shared" si="3"/>
        <v>4000000</v>
      </c>
      <c r="K22" s="99"/>
    </row>
    <row r="23" spans="2:21" ht="15.75" customHeight="1" x14ac:dyDescent="0.25">
      <c r="B23" s="119" t="s">
        <v>198</v>
      </c>
      <c r="C23" s="193" t="s">
        <v>199</v>
      </c>
      <c r="D23" s="194"/>
      <c r="E23" s="194"/>
      <c r="F23" s="195"/>
      <c r="G23" s="137">
        <v>0.5</v>
      </c>
      <c r="H23" s="136" t="s">
        <v>197</v>
      </c>
      <c r="I23" s="132">
        <v>2000000</v>
      </c>
      <c r="J23" s="124">
        <f>G23*I23</f>
        <v>1000000</v>
      </c>
      <c r="K23" s="99"/>
    </row>
    <row r="24" spans="2:21" ht="15.75" customHeight="1" x14ac:dyDescent="0.25">
      <c r="B24" s="119" t="s">
        <v>200</v>
      </c>
      <c r="C24" s="193" t="s">
        <v>201</v>
      </c>
      <c r="D24" s="194"/>
      <c r="E24" s="194"/>
      <c r="F24" s="195"/>
      <c r="G24" s="137">
        <v>0.5</v>
      </c>
      <c r="H24" s="136" t="s">
        <v>197</v>
      </c>
      <c r="I24" s="132">
        <v>2000000</v>
      </c>
      <c r="J24" s="124">
        <f>G24*I24</f>
        <v>1000000</v>
      </c>
      <c r="K24" s="99"/>
    </row>
    <row r="25" spans="2:21" ht="15.75" customHeight="1" x14ac:dyDescent="0.25">
      <c r="B25" s="119" t="s">
        <v>220</v>
      </c>
      <c r="C25" s="120" t="s">
        <v>203</v>
      </c>
      <c r="D25" s="127"/>
      <c r="E25" s="127"/>
      <c r="F25" s="128"/>
      <c r="G25" s="135">
        <v>1</v>
      </c>
      <c r="H25" s="122" t="s">
        <v>204</v>
      </c>
      <c r="I25" s="132">
        <v>1500000</v>
      </c>
      <c r="J25" s="124">
        <f t="shared" si="3"/>
        <v>1500000</v>
      </c>
      <c r="K25" s="99"/>
      <c r="M25" s="138" t="s">
        <v>205</v>
      </c>
    </row>
    <row r="26" spans="2:21" ht="15.75" customHeight="1" x14ac:dyDescent="0.25">
      <c r="B26" s="119"/>
      <c r="C26" s="196" t="s">
        <v>206</v>
      </c>
      <c r="D26" s="197"/>
      <c r="E26" s="197"/>
      <c r="F26" s="198"/>
      <c r="G26" s="135"/>
      <c r="H26" s="122"/>
      <c r="I26" s="132"/>
      <c r="J26" s="124"/>
      <c r="K26" s="99"/>
      <c r="M26" s="138" t="s">
        <v>207</v>
      </c>
    </row>
    <row r="27" spans="2:21" ht="15.75" customHeight="1" x14ac:dyDescent="0.25">
      <c r="B27" s="119"/>
      <c r="C27" s="196" t="s">
        <v>208</v>
      </c>
      <c r="D27" s="197"/>
      <c r="E27" s="197"/>
      <c r="F27" s="198"/>
      <c r="G27" s="135"/>
      <c r="H27" s="136"/>
      <c r="I27" s="132"/>
      <c r="J27" s="124"/>
      <c r="K27" s="99"/>
      <c r="M27" s="139"/>
    </row>
    <row r="28" spans="2:21" ht="15.75" customHeight="1" x14ac:dyDescent="0.25">
      <c r="B28" s="119"/>
      <c r="C28" s="196" t="s">
        <v>209</v>
      </c>
      <c r="D28" s="197"/>
      <c r="E28" s="197"/>
      <c r="F28" s="198"/>
      <c r="G28" s="135"/>
      <c r="H28" s="136"/>
      <c r="I28" s="132"/>
      <c r="J28" s="124"/>
      <c r="K28" s="99"/>
    </row>
    <row r="29" spans="2:21" ht="15.75" customHeight="1" x14ac:dyDescent="0.25">
      <c r="B29" s="119"/>
      <c r="C29" s="120"/>
      <c r="D29" s="127"/>
      <c r="E29" s="127"/>
      <c r="F29" s="128"/>
      <c r="G29" s="135"/>
      <c r="H29" s="136"/>
      <c r="I29" s="132"/>
      <c r="J29" s="124"/>
      <c r="K29" s="99"/>
    </row>
    <row r="30" spans="2:21" ht="15.75" customHeight="1" x14ac:dyDescent="0.25">
      <c r="B30" s="119" t="s">
        <v>202</v>
      </c>
      <c r="C30" s="196" t="s">
        <v>221</v>
      </c>
      <c r="D30" s="197"/>
      <c r="E30" s="197"/>
      <c r="F30" s="198"/>
      <c r="G30" s="135">
        <v>1</v>
      </c>
      <c r="H30" s="136"/>
      <c r="I30" s="132">
        <v>2000000</v>
      </c>
      <c r="J30" s="124">
        <f>I30</f>
        <v>2000000</v>
      </c>
      <c r="K30" s="99"/>
      <c r="M30" s="138" t="s">
        <v>210</v>
      </c>
    </row>
    <row r="31" spans="2:21" ht="15.75" customHeight="1" x14ac:dyDescent="0.25">
      <c r="B31" s="119"/>
      <c r="C31" s="199"/>
      <c r="D31" s="200"/>
      <c r="E31" s="200"/>
      <c r="F31" s="201"/>
      <c r="G31" s="135"/>
      <c r="H31" s="136"/>
      <c r="I31" s="132"/>
      <c r="J31" s="124"/>
      <c r="K31" s="99"/>
      <c r="M31" s="139"/>
    </row>
    <row r="32" spans="2:21" ht="15.75" customHeight="1" x14ac:dyDescent="0.25">
      <c r="B32" s="119"/>
      <c r="C32" s="120"/>
      <c r="D32" s="127"/>
      <c r="E32" s="127"/>
      <c r="F32" s="128"/>
      <c r="G32" s="140"/>
      <c r="H32" s="136"/>
      <c r="I32" s="132"/>
      <c r="J32" s="141"/>
      <c r="K32" s="99"/>
    </row>
    <row r="33" spans="1:16" ht="15.75" customHeight="1" x14ac:dyDescent="0.25">
      <c r="B33" s="119"/>
      <c r="C33" s="120"/>
      <c r="D33" s="127"/>
      <c r="E33" s="127"/>
      <c r="F33" s="128"/>
      <c r="G33" s="140"/>
      <c r="H33" s="136"/>
      <c r="I33" s="132"/>
      <c r="J33" s="141"/>
      <c r="K33" s="99"/>
    </row>
    <row r="34" spans="1:16" ht="15.75" customHeight="1" x14ac:dyDescent="0.25">
      <c r="B34" s="119"/>
      <c r="C34" s="184"/>
      <c r="D34" s="185"/>
      <c r="E34" s="185"/>
      <c r="F34" s="186"/>
      <c r="G34" s="131"/>
      <c r="H34" s="142"/>
      <c r="I34" s="132"/>
      <c r="J34" s="141"/>
      <c r="K34" s="99"/>
    </row>
    <row r="35" spans="1:16" ht="15.75" customHeight="1" x14ac:dyDescent="0.25">
      <c r="B35" s="119"/>
      <c r="C35" s="129"/>
      <c r="D35" s="127"/>
      <c r="E35" s="127"/>
      <c r="F35" s="128"/>
      <c r="G35" s="131"/>
      <c r="H35" s="142"/>
      <c r="I35" s="132"/>
      <c r="J35" s="141"/>
      <c r="K35" s="99"/>
    </row>
    <row r="36" spans="1:16" ht="15.75" customHeight="1" x14ac:dyDescent="0.25">
      <c r="B36" s="119"/>
      <c r="C36" s="129"/>
      <c r="D36" s="127"/>
      <c r="E36" s="127"/>
      <c r="F36" s="128"/>
      <c r="G36" s="130"/>
      <c r="H36" s="131"/>
      <c r="I36" s="132"/>
      <c r="J36" s="141"/>
      <c r="K36" s="99"/>
    </row>
    <row r="37" spans="1:16" ht="15.75" customHeight="1" x14ac:dyDescent="0.25">
      <c r="B37" s="143"/>
      <c r="C37" s="129"/>
      <c r="D37" s="127"/>
      <c r="E37" s="127"/>
      <c r="F37" s="128"/>
      <c r="G37" s="144"/>
      <c r="H37" s="131"/>
      <c r="I37" s="132"/>
      <c r="J37" s="141"/>
      <c r="K37" s="99"/>
    </row>
    <row r="38" spans="1:16" ht="15.75" customHeight="1" x14ac:dyDescent="0.25">
      <c r="B38" s="143"/>
      <c r="C38" s="129"/>
      <c r="D38" s="127"/>
      <c r="E38" s="127"/>
      <c r="F38" s="128"/>
      <c r="G38" s="145"/>
      <c r="H38" s="142"/>
      <c r="I38" s="132"/>
      <c r="J38" s="141"/>
      <c r="K38" s="99"/>
    </row>
    <row r="39" spans="1:16" ht="15.75" customHeight="1" x14ac:dyDescent="0.25">
      <c r="B39" s="143"/>
      <c r="C39" s="184" t="s">
        <v>211</v>
      </c>
      <c r="D39" s="185"/>
      <c r="E39" s="185"/>
      <c r="F39" s="186"/>
      <c r="G39" s="145"/>
      <c r="H39" s="142"/>
      <c r="I39" s="132"/>
      <c r="J39" s="141">
        <f>SUM(J17:J30)</f>
        <v>12700000</v>
      </c>
      <c r="K39" s="99"/>
    </row>
    <row r="40" spans="1:16" ht="15.75" customHeight="1" x14ac:dyDescent="0.25">
      <c r="B40" s="146"/>
      <c r="C40" s="187" t="s">
        <v>212</v>
      </c>
      <c r="D40" s="188"/>
      <c r="E40" s="188"/>
      <c r="F40" s="189"/>
      <c r="G40" s="147">
        <f>O40</f>
        <v>10</v>
      </c>
      <c r="H40" s="131" t="s">
        <v>213</v>
      </c>
      <c r="I40" s="132"/>
      <c r="J40" s="141">
        <f>J39*10%</f>
        <v>1270000</v>
      </c>
      <c r="K40" s="99"/>
      <c r="N40" s="148" t="s">
        <v>214</v>
      </c>
      <c r="O40" s="149">
        <v>10</v>
      </c>
      <c r="P40" s="149" t="s">
        <v>215</v>
      </c>
    </row>
    <row r="41" spans="1:16" ht="15.75" customHeight="1" x14ac:dyDescent="0.25">
      <c r="A41" s="99"/>
      <c r="B41" s="190" t="s">
        <v>216</v>
      </c>
      <c r="C41" s="191"/>
      <c r="D41" s="191"/>
      <c r="E41" s="191"/>
      <c r="F41" s="191"/>
      <c r="G41" s="191"/>
      <c r="H41" s="191"/>
      <c r="I41" s="192"/>
      <c r="J41" s="150">
        <f>J39+J40</f>
        <v>13970000</v>
      </c>
      <c r="K41" s="99"/>
      <c r="N41" s="151" t="s">
        <v>217</v>
      </c>
    </row>
  </sheetData>
  <mergeCells count="35">
    <mergeCell ref="S12:T12"/>
    <mergeCell ref="B2:J2"/>
    <mergeCell ref="I3:J3"/>
    <mergeCell ref="I4:J4"/>
    <mergeCell ref="B5:F6"/>
    <mergeCell ref="G6:J6"/>
    <mergeCell ref="C7:F8"/>
    <mergeCell ref="G7:J7"/>
    <mergeCell ref="B9:G9"/>
    <mergeCell ref="H9:J10"/>
    <mergeCell ref="B11:E11"/>
    <mergeCell ref="G11:J11"/>
    <mergeCell ref="C12:E12"/>
    <mergeCell ref="C23:F23"/>
    <mergeCell ref="G13:H13"/>
    <mergeCell ref="I13:J13"/>
    <mergeCell ref="M13:M14"/>
    <mergeCell ref="N13:N14"/>
    <mergeCell ref="S13:T13"/>
    <mergeCell ref="E15:F15"/>
    <mergeCell ref="D17:F17"/>
    <mergeCell ref="D20:F20"/>
    <mergeCell ref="C22:F22"/>
    <mergeCell ref="O13:P13"/>
    <mergeCell ref="Q13:R13"/>
    <mergeCell ref="C34:F34"/>
    <mergeCell ref="C39:F39"/>
    <mergeCell ref="C40:F40"/>
    <mergeCell ref="B41:I41"/>
    <mergeCell ref="C24:F24"/>
    <mergeCell ref="C26:F26"/>
    <mergeCell ref="C27:F27"/>
    <mergeCell ref="C28:F28"/>
    <mergeCell ref="C30:F30"/>
    <mergeCell ref="C31:F31"/>
  </mergeCells>
  <conditionalFormatting sqref="B11:E11">
    <cfRule type="cellIs" dxfId="0" priority="1" stopIfTrue="1" operator="notEqual">
      <formula>$J$41</formula>
    </cfRule>
  </conditionalFormatting>
  <pageMargins left="0.7" right="0.7" top="0.75" bottom="0.75" header="0.3" footer="0.3"/>
  <pageSetup paperSize="9" scale="90" orientation="portrait" r:id="rId1"/>
  <colBreaks count="1" manualBreakCount="1">
    <brk id="1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53"/>
  <sheetViews>
    <sheetView tabSelected="1" view="pageBreakPreview" topLeftCell="A7" zoomScale="89" zoomScaleNormal="100" zoomScaleSheetLayoutView="89" workbookViewId="0">
      <selection activeCell="B14" sqref="B14"/>
    </sheetView>
  </sheetViews>
  <sheetFormatPr defaultColWidth="9" defaultRowHeight="15" x14ac:dyDescent="0.25"/>
  <cols>
    <col min="1" max="1" width="9" style="1"/>
    <col min="2" max="2" width="12" style="1" bestFit="1" customWidth="1"/>
    <col min="3" max="3" width="12.42578125" style="1" bestFit="1" customWidth="1"/>
    <col min="4" max="4" width="9" style="1"/>
    <col min="5" max="5" width="11.42578125" style="1" bestFit="1" customWidth="1"/>
    <col min="6" max="6" width="9" style="1"/>
    <col min="7" max="7" width="9.42578125" style="1" bestFit="1" customWidth="1"/>
    <col min="8" max="9" width="9" style="1"/>
    <col min="10" max="10" width="9.42578125" style="1" bestFit="1" customWidth="1"/>
    <col min="11" max="13" width="9" style="1"/>
    <col min="14" max="14" width="12" style="1" bestFit="1" customWidth="1"/>
    <col min="15" max="16" width="10.42578125" style="1" bestFit="1" customWidth="1"/>
    <col min="17" max="16384" width="9" style="1"/>
  </cols>
  <sheetData>
    <row r="2" spans="1:16" ht="18.75" x14ac:dyDescent="0.25">
      <c r="D2" s="232" t="s">
        <v>113</v>
      </c>
      <c r="E2" s="232"/>
      <c r="F2" s="232"/>
      <c r="G2" s="232"/>
      <c r="H2" s="232"/>
      <c r="I2" s="232"/>
      <c r="J2" s="232"/>
      <c r="K2" s="152"/>
      <c r="L2" s="152"/>
    </row>
    <row r="3" spans="1:16" ht="14.25" customHeight="1" x14ac:dyDescent="0.25">
      <c r="E3" s="170" t="s">
        <v>114</v>
      </c>
      <c r="F3" s="170"/>
      <c r="G3" s="170"/>
      <c r="H3" s="170"/>
      <c r="I3" s="170"/>
      <c r="J3" s="170"/>
      <c r="K3" s="36"/>
      <c r="L3" s="36"/>
    </row>
    <row r="4" spans="1:16" x14ac:dyDescent="0.25">
      <c r="E4" s="170"/>
      <c r="F4" s="170"/>
      <c r="G4" s="170"/>
      <c r="H4" s="170"/>
      <c r="I4" s="170"/>
      <c r="J4" s="170"/>
      <c r="K4" s="36"/>
      <c r="L4" s="36"/>
    </row>
    <row r="6" spans="1:16" x14ac:dyDescent="0.25">
      <c r="E6" s="233" t="s">
        <v>135</v>
      </c>
      <c r="F6" s="233"/>
      <c r="G6" s="233"/>
      <c r="H6" s="233"/>
      <c r="I6" s="233"/>
      <c r="J6" s="233"/>
    </row>
    <row r="8" spans="1:16" ht="15.75" thickBot="1" x14ac:dyDescent="0.3">
      <c r="A8" s="153"/>
      <c r="B8" s="153"/>
      <c r="C8" s="153"/>
      <c r="D8" s="153"/>
      <c r="E8" s="153"/>
      <c r="F8" s="234" t="s">
        <v>136</v>
      </c>
      <c r="G8" s="234"/>
      <c r="H8" s="234"/>
      <c r="I8" s="234"/>
      <c r="J8" s="234"/>
      <c r="K8" s="50"/>
      <c r="L8" s="50"/>
    </row>
    <row r="9" spans="1:16" ht="15" customHeight="1" thickTop="1" x14ac:dyDescent="0.25">
      <c r="A9" s="235" t="s">
        <v>115</v>
      </c>
      <c r="B9" s="235"/>
      <c r="C9" s="235"/>
      <c r="D9" s="235"/>
      <c r="E9" s="235"/>
      <c r="F9" s="235"/>
      <c r="G9" s="235"/>
      <c r="H9" s="235"/>
      <c r="I9" s="235"/>
      <c r="J9" s="235"/>
      <c r="K9" s="154"/>
      <c r="L9" s="154"/>
    </row>
    <row r="10" spans="1:16" ht="14.25" customHeight="1" x14ac:dyDescent="0.25">
      <c r="A10" s="236"/>
      <c r="B10" s="236"/>
      <c r="C10" s="236"/>
      <c r="D10" s="236"/>
      <c r="E10" s="236"/>
      <c r="F10" s="236"/>
      <c r="G10" s="236"/>
      <c r="H10" s="236"/>
      <c r="I10" s="236"/>
      <c r="J10" s="236"/>
      <c r="K10" s="155"/>
      <c r="L10" s="155"/>
    </row>
    <row r="11" spans="1:16" ht="14.25" customHeight="1" x14ac:dyDescent="0.25">
      <c r="A11" s="236"/>
      <c r="B11" s="236"/>
      <c r="C11" s="236"/>
      <c r="D11" s="236"/>
      <c r="E11" s="236"/>
      <c r="F11" s="236"/>
      <c r="G11" s="236"/>
      <c r="H11" s="236"/>
      <c r="I11" s="236"/>
      <c r="J11" s="236"/>
      <c r="K11" s="155"/>
      <c r="L11" s="155"/>
    </row>
    <row r="13" spans="1:16" ht="15.75" x14ac:dyDescent="0.25">
      <c r="A13" s="237" t="s">
        <v>116</v>
      </c>
      <c r="B13" s="238" t="s">
        <v>226</v>
      </c>
      <c r="C13" s="238"/>
      <c r="D13" s="238"/>
      <c r="E13" s="237"/>
      <c r="F13" s="237"/>
      <c r="G13" s="237"/>
      <c r="H13" s="237"/>
      <c r="I13" s="237"/>
      <c r="J13" s="237"/>
      <c r="L13" s="165"/>
      <c r="N13" s="18"/>
      <c r="P13" s="18"/>
    </row>
    <row r="14" spans="1:16" ht="15.75" x14ac:dyDescent="0.25">
      <c r="A14" s="237"/>
      <c r="B14" s="237"/>
      <c r="C14" s="237"/>
      <c r="D14" s="237"/>
      <c r="E14" s="237"/>
      <c r="F14" s="237"/>
      <c r="G14" s="237"/>
      <c r="H14" s="237"/>
      <c r="I14" s="237"/>
      <c r="J14" s="237"/>
    </row>
    <row r="15" spans="1:16" ht="15.75" x14ac:dyDescent="0.25">
      <c r="A15" s="239" t="s">
        <v>137</v>
      </c>
      <c r="B15" s="240" t="str">
        <f>'1.Hợp đồng'!D19</f>
        <v>TRUNG TÂM QUAN TRẮC VÀ KỸ THUẬT MÔI TRƯỜNG</v>
      </c>
      <c r="C15" s="237"/>
      <c r="D15" s="237"/>
      <c r="E15" s="237"/>
      <c r="F15" s="237"/>
      <c r="G15" s="237"/>
      <c r="H15" s="237"/>
      <c r="I15" s="237"/>
      <c r="J15" s="237"/>
    </row>
    <row r="16" spans="1:16" ht="15.75" x14ac:dyDescent="0.25">
      <c r="A16" s="237"/>
      <c r="B16" s="237"/>
      <c r="C16" s="237"/>
      <c r="D16" s="237"/>
      <c r="E16" s="237"/>
      <c r="F16" s="237"/>
      <c r="G16" s="237"/>
      <c r="H16" s="237"/>
      <c r="I16" s="237"/>
      <c r="J16" s="237"/>
    </row>
    <row r="17" spans="1:16" ht="15.75" x14ac:dyDescent="0.25">
      <c r="A17" s="239" t="s">
        <v>129</v>
      </c>
      <c r="B17" s="237" t="str">
        <f>'1.Hợp đồng'!D22</f>
        <v>Số 520, đường Đồng Khởi, phường Tân Hiệp, Tp. Biên Hòa, tỉnh Đồng Nai.</v>
      </c>
      <c r="C17" s="237"/>
      <c r="D17" s="237"/>
      <c r="E17" s="237"/>
      <c r="F17" s="237"/>
      <c r="G17" s="237"/>
      <c r="H17" s="237"/>
      <c r="I17" s="237"/>
      <c r="J17" s="237"/>
    </row>
    <row r="18" spans="1:16" ht="15.75" x14ac:dyDescent="0.25">
      <c r="A18" s="237" t="s">
        <v>130</v>
      </c>
      <c r="B18" s="237"/>
      <c r="C18" s="237">
        <f>'1.Hợp đồng'!D25</f>
        <v>3600508577</v>
      </c>
      <c r="D18" s="237"/>
      <c r="E18" s="237"/>
      <c r="F18" s="237"/>
      <c r="G18" s="237"/>
      <c r="H18" s="237"/>
      <c r="I18" s="237"/>
      <c r="J18" s="237"/>
    </row>
    <row r="19" spans="1:16" ht="15.75" x14ac:dyDescent="0.25">
      <c r="A19" s="239" t="s">
        <v>138</v>
      </c>
      <c r="B19" s="241"/>
      <c r="C19" s="241" t="str">
        <f>'1.Hợp đồng'!D23</f>
        <v xml:space="preserve">061.3895672-3     </v>
      </c>
      <c r="D19" s="237"/>
      <c r="E19" s="237"/>
      <c r="F19" s="237"/>
      <c r="G19" s="237"/>
      <c r="H19" s="237"/>
      <c r="I19" s="237"/>
      <c r="J19" s="237"/>
      <c r="P19" s="17"/>
    </row>
    <row r="20" spans="1:16" ht="15.75" x14ac:dyDescent="0.25">
      <c r="A20" s="239" t="s">
        <v>139</v>
      </c>
      <c r="B20" s="241"/>
      <c r="C20" s="241" t="str">
        <f>'1.Hợp đồng'!D24</f>
        <v>061.3895669</v>
      </c>
      <c r="D20" s="237"/>
      <c r="E20" s="237"/>
      <c r="F20" s="237"/>
      <c r="G20" s="237"/>
      <c r="H20" s="237"/>
      <c r="I20" s="237"/>
      <c r="J20" s="237"/>
      <c r="P20" s="17"/>
    </row>
    <row r="21" spans="1:16" ht="15.75" x14ac:dyDescent="0.25">
      <c r="A21" s="237"/>
      <c r="B21" s="237"/>
      <c r="C21" s="237"/>
      <c r="D21" s="237"/>
      <c r="E21" s="237"/>
      <c r="F21" s="237"/>
      <c r="G21" s="237"/>
      <c r="H21" s="237"/>
      <c r="I21" s="237"/>
      <c r="J21" s="237"/>
    </row>
    <row r="22" spans="1:16" ht="15.75" x14ac:dyDescent="0.25">
      <c r="A22" s="240" t="s">
        <v>128</v>
      </c>
      <c r="B22" s="237"/>
      <c r="C22" s="237"/>
      <c r="D22" s="237"/>
      <c r="E22" s="237"/>
      <c r="F22" s="237"/>
      <c r="G22" s="237"/>
      <c r="H22" s="237"/>
      <c r="I22" s="237"/>
      <c r="J22" s="237"/>
    </row>
    <row r="23" spans="1:16" ht="15.75" x14ac:dyDescent="0.25">
      <c r="A23" s="237" t="s">
        <v>140</v>
      </c>
      <c r="B23" s="237"/>
      <c r="C23" s="237"/>
      <c r="D23" s="237"/>
      <c r="E23" s="237"/>
      <c r="F23" s="237"/>
      <c r="G23" s="237"/>
      <c r="H23" s="237"/>
      <c r="I23" s="237"/>
      <c r="J23" s="237"/>
    </row>
    <row r="24" spans="1:16" ht="15.75" customHeight="1" x14ac:dyDescent="0.25">
      <c r="A24" s="237" t="s">
        <v>141</v>
      </c>
      <c r="B24" s="240"/>
      <c r="C24" s="237"/>
      <c r="D24" s="237"/>
      <c r="E24" s="237"/>
      <c r="F24" s="237"/>
      <c r="G24" s="237"/>
      <c r="H24" s="237"/>
      <c r="I24" s="242"/>
      <c r="J24" s="243"/>
    </row>
    <row r="25" spans="1:16" ht="15.75" x14ac:dyDescent="0.25">
      <c r="A25" s="237" t="s">
        <v>117</v>
      </c>
      <c r="B25" s="244"/>
      <c r="C25" s="237"/>
      <c r="D25" s="237"/>
      <c r="E25" s="237"/>
      <c r="F25" s="237"/>
      <c r="G25" s="242"/>
      <c r="H25" s="237"/>
      <c r="I25" s="237"/>
      <c r="J25" s="237"/>
    </row>
    <row r="26" spans="1:16" ht="15.75" x14ac:dyDescent="0.25">
      <c r="A26" s="237" t="s">
        <v>118</v>
      </c>
      <c r="B26" s="244"/>
      <c r="C26" s="237"/>
      <c r="D26" s="237"/>
      <c r="E26" s="237"/>
      <c r="F26" s="237"/>
      <c r="G26" s="242"/>
      <c r="H26" s="237"/>
      <c r="I26" s="237"/>
      <c r="J26" s="237"/>
    </row>
    <row r="27" spans="1:16" ht="15.75" x14ac:dyDescent="0.25">
      <c r="A27" s="237"/>
      <c r="B27" s="244"/>
      <c r="C27" s="237"/>
      <c r="D27" s="237"/>
      <c r="E27" s="237"/>
      <c r="F27" s="237"/>
      <c r="G27" s="242"/>
      <c r="H27" s="237"/>
      <c r="I27" s="237"/>
      <c r="J27" s="237"/>
    </row>
    <row r="28" spans="1:16" ht="15.75" x14ac:dyDescent="0.25">
      <c r="A28" s="240" t="s">
        <v>119</v>
      </c>
      <c r="B28" s="244"/>
      <c r="C28" s="237"/>
      <c r="D28" s="237"/>
      <c r="E28" s="237"/>
      <c r="F28" s="237"/>
      <c r="G28" s="242"/>
      <c r="H28" s="237"/>
      <c r="I28" s="237"/>
      <c r="J28" s="237"/>
    </row>
    <row r="29" spans="1:16" ht="15.75" x14ac:dyDescent="0.25">
      <c r="A29" s="245" t="s">
        <v>120</v>
      </c>
      <c r="B29" s="246"/>
      <c r="C29" s="247"/>
      <c r="D29" s="248" t="str">
        <f>'1.Hợp đồng'!E48</f>
        <v>Đo đạc khí thải</v>
      </c>
      <c r="E29" s="249"/>
      <c r="F29" s="249"/>
      <c r="G29" s="249"/>
      <c r="H29" s="249"/>
      <c r="I29" s="249"/>
      <c r="J29" s="250"/>
    </row>
    <row r="30" spans="1:16" ht="15.75" x14ac:dyDescent="0.25">
      <c r="A30" s="251"/>
      <c r="B30" s="252"/>
      <c r="C30" s="253"/>
      <c r="D30" s="254" t="s">
        <v>224</v>
      </c>
      <c r="E30" s="283" t="s">
        <v>225</v>
      </c>
      <c r="F30" s="254"/>
      <c r="G30" s="255"/>
      <c r="H30" s="254"/>
      <c r="I30" s="254"/>
      <c r="J30" s="256"/>
    </row>
    <row r="31" spans="1:16" ht="15.75" x14ac:dyDescent="0.25">
      <c r="A31" s="257"/>
      <c r="B31" s="258"/>
      <c r="C31" s="259"/>
      <c r="D31" s="284" t="s">
        <v>133</v>
      </c>
      <c r="E31" s="285"/>
      <c r="F31" s="260" t="s">
        <v>132</v>
      </c>
      <c r="G31" s="261"/>
      <c r="H31" s="261"/>
      <c r="I31" s="260"/>
      <c r="J31" s="262"/>
      <c r="L31" s="165"/>
      <c r="M31" s="164"/>
      <c r="N31" s="165"/>
      <c r="O31" s="164"/>
    </row>
    <row r="32" spans="1:16" ht="15.75" x14ac:dyDescent="0.25">
      <c r="A32" s="237"/>
      <c r="B32" s="237"/>
      <c r="C32" s="237"/>
      <c r="D32" s="237"/>
      <c r="E32" s="237"/>
      <c r="F32" s="237"/>
      <c r="G32" s="237"/>
      <c r="H32" s="237"/>
      <c r="I32" s="237"/>
      <c r="J32" s="237"/>
    </row>
    <row r="33" spans="1:15" ht="15.75" x14ac:dyDescent="0.25">
      <c r="A33" s="237"/>
      <c r="B33" s="237"/>
      <c r="C33" s="237"/>
      <c r="D33" s="237"/>
      <c r="E33" s="237"/>
      <c r="F33" s="237"/>
      <c r="G33" s="237"/>
      <c r="H33" s="237"/>
      <c r="I33" s="237"/>
      <c r="J33" s="237"/>
    </row>
    <row r="34" spans="1:15" ht="14.25" customHeight="1" x14ac:dyDescent="0.25">
      <c r="A34" s="240" t="s">
        <v>121</v>
      </c>
      <c r="B34" s="237"/>
      <c r="C34" s="263"/>
      <c r="D34" s="263"/>
      <c r="E34" s="263"/>
      <c r="F34" s="263"/>
      <c r="G34" s="263"/>
      <c r="H34" s="263"/>
      <c r="I34" s="263"/>
      <c r="J34" s="263"/>
      <c r="K34" s="36"/>
      <c r="L34" s="36"/>
    </row>
    <row r="35" spans="1:15" ht="15.75" x14ac:dyDescent="0.25">
      <c r="A35" s="264" t="s">
        <v>122</v>
      </c>
      <c r="B35" s="264"/>
      <c r="C35" s="264"/>
      <c r="D35" s="265">
        <v>42724</v>
      </c>
      <c r="E35" s="265"/>
      <c r="F35" s="265"/>
      <c r="G35" s="265"/>
      <c r="H35" s="265"/>
      <c r="I35" s="265"/>
      <c r="J35" s="265"/>
      <c r="K35" s="36"/>
      <c r="L35" s="266"/>
      <c r="M35" s="266"/>
      <c r="N35" s="266"/>
      <c r="O35" s="18"/>
    </row>
    <row r="36" spans="1:15" ht="15.75" x14ac:dyDescent="0.25">
      <c r="A36" s="264" t="s">
        <v>123</v>
      </c>
      <c r="B36" s="264"/>
      <c r="C36" s="264"/>
      <c r="D36" s="267" t="str">
        <f>'1.Hợp đồng'!E49</f>
        <v>Nhà máy Hóa chất Đồng Nai - Công ty Cổ phần Hóa chất Cơ bản</v>
      </c>
      <c r="E36" s="267"/>
      <c r="F36" s="267"/>
      <c r="G36" s="267"/>
      <c r="H36" s="267"/>
      <c r="I36" s="267"/>
      <c r="J36" s="267"/>
      <c r="K36" s="36"/>
      <c r="L36" s="36"/>
    </row>
    <row r="37" spans="1:15" ht="15.75" x14ac:dyDescent="0.25">
      <c r="A37" s="264" t="s">
        <v>142</v>
      </c>
      <c r="B37" s="264"/>
      <c r="C37" s="264"/>
      <c r="D37" s="267" t="s">
        <v>36</v>
      </c>
      <c r="E37" s="267"/>
      <c r="F37" s="267"/>
      <c r="G37" s="267"/>
      <c r="H37" s="267"/>
      <c r="I37" s="267"/>
      <c r="J37" s="267"/>
      <c r="K37" s="36"/>
      <c r="L37" s="36"/>
    </row>
    <row r="38" spans="1:15" ht="15.75" x14ac:dyDescent="0.25">
      <c r="A38" s="245" t="s">
        <v>124</v>
      </c>
      <c r="B38" s="246"/>
      <c r="C38" s="247"/>
      <c r="D38" s="268" t="s">
        <v>125</v>
      </c>
      <c r="E38" s="269" t="s">
        <v>134</v>
      </c>
      <c r="F38" s="269"/>
      <c r="G38" s="268"/>
      <c r="H38" s="270" t="str">
        <f>'1.Hợp đồng'!E8</f>
        <v>CCTVN-DCEM-201612-02</v>
      </c>
      <c r="I38" s="270"/>
      <c r="J38" s="271"/>
      <c r="K38" s="36"/>
      <c r="L38" s="36"/>
    </row>
    <row r="39" spans="1:15" ht="15.75" x14ac:dyDescent="0.25">
      <c r="A39" s="257"/>
      <c r="B39" s="258"/>
      <c r="C39" s="259"/>
      <c r="D39" s="272"/>
      <c r="E39" s="273" t="s">
        <v>126</v>
      </c>
      <c r="F39" s="273"/>
      <c r="G39" s="272"/>
      <c r="H39" s="274" t="str">
        <f>'1.Hợp đồng'!D58</f>
        <v>QCTVN201612-02</v>
      </c>
      <c r="I39" s="274"/>
      <c r="J39" s="275"/>
      <c r="K39" s="36"/>
      <c r="L39" s="36"/>
    </row>
    <row r="40" spans="1:15" ht="15.75" x14ac:dyDescent="0.25">
      <c r="A40" s="237"/>
      <c r="B40" s="237"/>
      <c r="C40" s="237"/>
      <c r="D40" s="237"/>
      <c r="E40" s="237"/>
      <c r="F40" s="237"/>
      <c r="G40" s="237"/>
      <c r="H40" s="237"/>
      <c r="I40" s="237"/>
      <c r="J40" s="237"/>
    </row>
    <row r="41" spans="1:15" ht="15.75" x14ac:dyDescent="0.25">
      <c r="A41" s="237"/>
      <c r="B41" s="237"/>
      <c r="C41" s="237"/>
      <c r="D41" s="237"/>
      <c r="E41" s="237"/>
      <c r="F41" s="237"/>
      <c r="G41" s="237"/>
      <c r="H41" s="237"/>
      <c r="I41" s="237"/>
      <c r="J41" s="237"/>
    </row>
    <row r="42" spans="1:15" ht="15.75" x14ac:dyDescent="0.25">
      <c r="A42" s="237"/>
      <c r="B42" s="237"/>
      <c r="C42" s="237"/>
      <c r="D42" s="237"/>
      <c r="E42" s="237"/>
      <c r="F42" s="237"/>
      <c r="G42" s="237"/>
      <c r="H42" s="237"/>
      <c r="I42" s="237"/>
      <c r="J42" s="237"/>
    </row>
    <row r="43" spans="1:15" ht="15.75" x14ac:dyDescent="0.25">
      <c r="A43" s="237"/>
      <c r="B43" s="237"/>
      <c r="C43" s="237"/>
      <c r="D43" s="237"/>
      <c r="E43" s="237"/>
      <c r="F43" s="237"/>
      <c r="G43" s="237"/>
      <c r="H43" s="237"/>
      <c r="I43" s="237"/>
      <c r="J43" s="237"/>
    </row>
    <row r="44" spans="1:15" ht="15.75" x14ac:dyDescent="0.25">
      <c r="A44" s="276" t="s">
        <v>143</v>
      </c>
      <c r="B44" s="276"/>
      <c r="C44" s="276"/>
      <c r="D44" s="276"/>
      <c r="E44" s="237"/>
      <c r="F44" s="277" t="str">
        <f>D2</f>
        <v>CÔNG TY TNHH CHUGAI TECHNOS VIỆT NAM</v>
      </c>
      <c r="G44" s="277"/>
      <c r="H44" s="277"/>
      <c r="I44" s="277"/>
      <c r="J44" s="277"/>
    </row>
    <row r="45" spans="1:15" ht="15.75" x14ac:dyDescent="0.25">
      <c r="A45" s="278"/>
      <c r="B45" s="278"/>
      <c r="C45" s="278"/>
      <c r="D45" s="278"/>
      <c r="E45" s="237"/>
      <c r="F45" s="279"/>
      <c r="G45" s="279"/>
      <c r="H45" s="279"/>
      <c r="I45" s="279"/>
      <c r="J45" s="280"/>
    </row>
    <row r="46" spans="1:15" ht="15.75" x14ac:dyDescent="0.25">
      <c r="A46" s="281" t="s">
        <v>116</v>
      </c>
      <c r="B46" s="260"/>
      <c r="C46" s="260"/>
      <c r="D46" s="260"/>
      <c r="E46" s="237"/>
      <c r="F46" s="281" t="s">
        <v>116</v>
      </c>
      <c r="G46" s="260"/>
      <c r="H46" s="260"/>
      <c r="I46" s="260"/>
      <c r="J46" s="254"/>
    </row>
    <row r="47" spans="1:15" ht="15.75" x14ac:dyDescent="0.25">
      <c r="A47" s="237"/>
      <c r="B47" s="237"/>
      <c r="C47" s="237"/>
      <c r="D47" s="237"/>
      <c r="E47" s="237"/>
      <c r="F47" s="237"/>
      <c r="G47" s="237"/>
      <c r="H47" s="237"/>
      <c r="I47" s="237"/>
      <c r="J47" s="237"/>
    </row>
    <row r="48" spans="1:15" ht="15.75" x14ac:dyDescent="0.25">
      <c r="A48" s="237"/>
      <c r="B48" s="237"/>
      <c r="C48" s="237"/>
      <c r="D48" s="237"/>
      <c r="E48" s="237"/>
      <c r="F48" s="237"/>
      <c r="G48" s="237"/>
      <c r="H48" s="237"/>
      <c r="I48" s="237"/>
      <c r="J48" s="237"/>
    </row>
    <row r="49" spans="1:10" ht="15.75" x14ac:dyDescent="0.25">
      <c r="A49" s="237"/>
      <c r="B49" s="237"/>
      <c r="C49" s="237"/>
      <c r="D49" s="237"/>
      <c r="E49" s="237"/>
      <c r="F49" s="237"/>
      <c r="G49" s="237"/>
      <c r="H49" s="237"/>
      <c r="I49" s="237"/>
      <c r="J49" s="237"/>
    </row>
    <row r="50" spans="1:10" ht="15.75" x14ac:dyDescent="0.25">
      <c r="A50" s="237"/>
      <c r="B50" s="237"/>
      <c r="C50" s="237"/>
      <c r="D50" s="237"/>
      <c r="E50" s="237"/>
      <c r="F50" s="237"/>
      <c r="G50" s="237"/>
      <c r="H50" s="237"/>
      <c r="I50" s="237"/>
      <c r="J50" s="237"/>
    </row>
    <row r="51" spans="1:10" ht="15.75" x14ac:dyDescent="0.25">
      <c r="A51" s="237"/>
      <c r="B51" s="237"/>
      <c r="C51" s="237"/>
      <c r="D51" s="237"/>
      <c r="E51" s="237"/>
      <c r="F51" s="237"/>
      <c r="G51" s="237"/>
      <c r="H51" s="237"/>
      <c r="I51" s="237"/>
      <c r="J51" s="237"/>
    </row>
    <row r="52" spans="1:10" ht="15.75" x14ac:dyDescent="0.25">
      <c r="A52" s="260"/>
      <c r="B52" s="260"/>
      <c r="C52" s="260"/>
      <c r="D52" s="260"/>
      <c r="E52" s="237"/>
      <c r="F52" s="260"/>
      <c r="G52" s="260"/>
      <c r="H52" s="260"/>
      <c r="I52" s="260"/>
      <c r="J52" s="254"/>
    </row>
    <row r="53" spans="1:10" ht="15.75" x14ac:dyDescent="0.25">
      <c r="A53" s="237"/>
      <c r="B53" s="282" t="s">
        <v>127</v>
      </c>
      <c r="C53" s="282"/>
      <c r="D53" s="282"/>
      <c r="E53" s="237"/>
      <c r="F53" s="237"/>
      <c r="G53" s="282" t="s">
        <v>127</v>
      </c>
      <c r="H53" s="282"/>
      <c r="I53" s="282"/>
      <c r="J53" s="237"/>
    </row>
  </sheetData>
  <mergeCells count="21">
    <mergeCell ref="A44:D44"/>
    <mergeCell ref="B53:D53"/>
    <mergeCell ref="G53:I53"/>
    <mergeCell ref="F44:J44"/>
    <mergeCell ref="L35:N35"/>
    <mergeCell ref="A36:C36"/>
    <mergeCell ref="D36:J36"/>
    <mergeCell ref="A38:C39"/>
    <mergeCell ref="H38:J38"/>
    <mergeCell ref="H39:J39"/>
    <mergeCell ref="A37:C37"/>
    <mergeCell ref="D37:J37"/>
    <mergeCell ref="A29:C31"/>
    <mergeCell ref="D31:E31"/>
    <mergeCell ref="A35:C35"/>
    <mergeCell ref="D35:J35"/>
    <mergeCell ref="D2:J2"/>
    <mergeCell ref="E3:J4"/>
    <mergeCell ref="E6:J6"/>
    <mergeCell ref="F8:J8"/>
    <mergeCell ref="A9:J11"/>
  </mergeCells>
  <pageMargins left="0.7" right="0.7" top="0.75" bottom="0.75" header="0.3" footer="0.3"/>
  <pageSetup paperSize="9" scale="8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55"/>
  <sheetViews>
    <sheetView view="pageBreakPreview" zoomScale="106" zoomScaleNormal="100" zoomScaleSheetLayoutView="106" workbookViewId="0">
      <selection activeCell="B31" sqref="B31:H31"/>
    </sheetView>
  </sheetViews>
  <sheetFormatPr defaultColWidth="9" defaultRowHeight="15" x14ac:dyDescent="0.25"/>
  <cols>
    <col min="1" max="1" width="9" style="1"/>
    <col min="2" max="2" width="11.85546875" style="1" bestFit="1" customWidth="1"/>
    <col min="3" max="3" width="13.28515625" style="1" bestFit="1" customWidth="1"/>
    <col min="4" max="4" width="11.28515625" style="1" bestFit="1" customWidth="1"/>
    <col min="5" max="6" width="9" style="1"/>
    <col min="7" max="7" width="9.42578125" style="1" bestFit="1" customWidth="1"/>
    <col min="8" max="9" width="9" style="1"/>
    <col min="10" max="10" width="9.42578125" style="1" bestFit="1" customWidth="1"/>
    <col min="11" max="13" width="9" style="1"/>
    <col min="14" max="14" width="11.85546875" style="1" bestFit="1" customWidth="1"/>
    <col min="15" max="16" width="10.42578125" style="1" bestFit="1" customWidth="1"/>
    <col min="17" max="16384" width="9" style="1"/>
  </cols>
  <sheetData>
    <row r="2" spans="1:16" ht="18.75" x14ac:dyDescent="0.25">
      <c r="D2" s="232" t="s">
        <v>113</v>
      </c>
      <c r="E2" s="232"/>
      <c r="F2" s="232"/>
      <c r="G2" s="232"/>
      <c r="H2" s="232"/>
      <c r="I2" s="232"/>
      <c r="J2" s="232"/>
      <c r="K2" s="152"/>
      <c r="L2" s="152"/>
    </row>
    <row r="3" spans="1:16" ht="14.25" customHeight="1" x14ac:dyDescent="0.25">
      <c r="E3" s="170" t="s">
        <v>114</v>
      </c>
      <c r="F3" s="170"/>
      <c r="G3" s="170"/>
      <c r="H3" s="170"/>
      <c r="I3" s="170"/>
      <c r="J3" s="170"/>
      <c r="K3" s="36"/>
      <c r="L3" s="36"/>
    </row>
    <row r="4" spans="1:16" x14ac:dyDescent="0.25">
      <c r="E4" s="170"/>
      <c r="F4" s="170"/>
      <c r="G4" s="170"/>
      <c r="H4" s="170"/>
      <c r="I4" s="170"/>
      <c r="J4" s="170"/>
      <c r="K4" s="36"/>
      <c r="L4" s="36"/>
    </row>
    <row r="6" spans="1:16" x14ac:dyDescent="0.25">
      <c r="E6" s="233" t="s">
        <v>135</v>
      </c>
      <c r="F6" s="233"/>
      <c r="G6" s="233"/>
      <c r="H6" s="233"/>
      <c r="I6" s="233"/>
      <c r="J6" s="233"/>
    </row>
    <row r="8" spans="1:16" ht="15.75" thickBot="1" x14ac:dyDescent="0.3">
      <c r="A8" s="153"/>
      <c r="B8" s="153"/>
      <c r="C8" s="153"/>
      <c r="D8" s="153"/>
      <c r="E8" s="153"/>
      <c r="F8" s="234" t="s">
        <v>136</v>
      </c>
      <c r="G8" s="234"/>
      <c r="H8" s="234"/>
      <c r="I8" s="234"/>
      <c r="J8" s="234"/>
      <c r="K8" s="50"/>
      <c r="L8" s="50"/>
    </row>
    <row r="9" spans="1:16" ht="15" customHeight="1" thickTop="1" x14ac:dyDescent="0.25">
      <c r="A9" s="235" t="s">
        <v>144</v>
      </c>
      <c r="B9" s="235"/>
      <c r="C9" s="235"/>
      <c r="D9" s="235"/>
      <c r="E9" s="235"/>
      <c r="F9" s="235"/>
      <c r="G9" s="235"/>
      <c r="H9" s="235"/>
      <c r="I9" s="235"/>
      <c r="J9" s="235"/>
      <c r="K9" s="154"/>
      <c r="L9" s="154"/>
    </row>
    <row r="10" spans="1:16" ht="14.25" customHeight="1" x14ac:dyDescent="0.25">
      <c r="A10" s="236"/>
      <c r="B10" s="236"/>
      <c r="C10" s="236"/>
      <c r="D10" s="236"/>
      <c r="E10" s="236"/>
      <c r="F10" s="236"/>
      <c r="G10" s="236"/>
      <c r="H10" s="236"/>
      <c r="I10" s="236"/>
      <c r="J10" s="236"/>
      <c r="K10" s="155"/>
      <c r="L10" s="155"/>
    </row>
    <row r="11" spans="1:16" ht="14.25" customHeight="1" x14ac:dyDescent="0.25">
      <c r="A11" s="236"/>
      <c r="B11" s="236"/>
      <c r="C11" s="236"/>
      <c r="D11" s="236"/>
      <c r="E11" s="236"/>
      <c r="F11" s="236"/>
      <c r="G11" s="236"/>
      <c r="H11" s="236"/>
      <c r="I11" s="236"/>
      <c r="J11" s="236"/>
      <c r="K11" s="155"/>
      <c r="L11" s="155"/>
    </row>
    <row r="13" spans="1:16" x14ac:dyDescent="0.25">
      <c r="A13" s="1" t="s">
        <v>116</v>
      </c>
      <c r="B13" s="18" t="str">
        <f>'3.Nhiệm thu'!B13</f>
        <v>20/12/2016</v>
      </c>
      <c r="C13" s="18"/>
      <c r="D13" s="18"/>
      <c r="L13" s="22"/>
      <c r="N13" s="18"/>
      <c r="P13" s="18"/>
    </row>
    <row r="15" spans="1:16" x14ac:dyDescent="0.25">
      <c r="A15" s="30" t="s">
        <v>145</v>
      </c>
      <c r="B15" s="23" t="str">
        <f>'3.Nhiệm thu'!B15</f>
        <v>TRUNG TÂM QUAN TRẮC VÀ KỸ THUẬT MÔI TRƯỜNG</v>
      </c>
    </row>
    <row r="17" spans="1:16" x14ac:dyDescent="0.25">
      <c r="A17" s="30" t="s">
        <v>146</v>
      </c>
      <c r="B17" s="1" t="str">
        <f>'3.Nhiệm thu'!B17</f>
        <v>Số 520, đường Đồng Khởi, phường Tân Hiệp, Tp. Biên Hòa, tỉnh Đồng Nai.</v>
      </c>
    </row>
    <row r="18" spans="1:16" x14ac:dyDescent="0.25">
      <c r="A18" s="1" t="s">
        <v>130</v>
      </c>
      <c r="C18" s="85">
        <f>'3.Nhiệm thu'!C18</f>
        <v>3600508577</v>
      </c>
    </row>
    <row r="19" spans="1:16" x14ac:dyDescent="0.25">
      <c r="A19" s="30" t="s">
        <v>157</v>
      </c>
      <c r="B19" s="17"/>
      <c r="C19" s="17" t="str">
        <f>'3.Nhiệm thu'!C19</f>
        <v xml:space="preserve">061.3895672-3     </v>
      </c>
      <c r="P19" s="17"/>
    </row>
    <row r="20" spans="1:16" x14ac:dyDescent="0.25">
      <c r="A20" s="30" t="s">
        <v>139</v>
      </c>
      <c r="B20" s="17"/>
      <c r="C20" s="17" t="str">
        <f>'3.Nhiệm thu'!C20</f>
        <v>061.3895669</v>
      </c>
      <c r="P20" s="17"/>
    </row>
    <row r="22" spans="1:16" x14ac:dyDescent="0.25">
      <c r="A22" s="1" t="s">
        <v>147</v>
      </c>
    </row>
    <row r="23" spans="1:16" ht="14.25" customHeight="1" x14ac:dyDescent="0.25">
      <c r="A23" s="170" t="s">
        <v>158</v>
      </c>
      <c r="B23" s="170"/>
      <c r="C23" s="170"/>
      <c r="D23" s="170"/>
      <c r="E23" s="170"/>
      <c r="F23" s="170"/>
      <c r="G23" s="170"/>
      <c r="H23" s="170"/>
      <c r="I23" s="170"/>
      <c r="J23" s="170"/>
    </row>
    <row r="24" spans="1:16" ht="15" customHeight="1" x14ac:dyDescent="0.25">
      <c r="A24" s="170"/>
      <c r="B24" s="170"/>
      <c r="C24" s="170"/>
      <c r="D24" s="170"/>
      <c r="E24" s="170"/>
      <c r="F24" s="170"/>
      <c r="G24" s="170"/>
      <c r="H24" s="170"/>
      <c r="I24" s="170"/>
      <c r="J24" s="170"/>
    </row>
    <row r="25" spans="1:16" x14ac:dyDescent="0.25">
      <c r="A25" s="170"/>
      <c r="B25" s="170"/>
      <c r="C25" s="170"/>
      <c r="D25" s="170"/>
      <c r="E25" s="170"/>
      <c r="F25" s="170"/>
      <c r="G25" s="170"/>
      <c r="H25" s="170"/>
      <c r="I25" s="170"/>
      <c r="J25" s="170"/>
    </row>
    <row r="26" spans="1:16" x14ac:dyDescent="0.25">
      <c r="A26" s="36"/>
      <c r="B26" s="36"/>
      <c r="C26" s="36"/>
      <c r="D26" s="36"/>
      <c r="E26" s="36"/>
      <c r="F26" s="36"/>
      <c r="G26" s="36"/>
      <c r="H26" s="36"/>
      <c r="I26" s="36"/>
      <c r="J26" s="36"/>
    </row>
    <row r="27" spans="1:16" x14ac:dyDescent="0.25">
      <c r="A27" s="47" t="s">
        <v>148</v>
      </c>
      <c r="B27" s="36"/>
      <c r="C27" s="156" t="s">
        <v>149</v>
      </c>
      <c r="D27" s="157">
        <f>'2.Báo giá'!J41</f>
        <v>13970000</v>
      </c>
      <c r="E27" s="158" t="s">
        <v>218</v>
      </c>
      <c r="F27" s="36"/>
      <c r="G27" s="36"/>
      <c r="H27" s="36"/>
      <c r="I27" s="36"/>
      <c r="J27" s="36"/>
    </row>
    <row r="28" spans="1:16" x14ac:dyDescent="0.25">
      <c r="A28" s="47"/>
      <c r="B28" s="36"/>
      <c r="C28" s="36"/>
      <c r="D28" s="159"/>
      <c r="E28" s="159"/>
      <c r="F28" s="36"/>
      <c r="G28" s="36"/>
      <c r="H28" s="36"/>
      <c r="I28" s="36"/>
      <c r="J28" s="36"/>
    </row>
    <row r="29" spans="1:16" x14ac:dyDescent="0.25">
      <c r="A29" s="47" t="s">
        <v>150</v>
      </c>
      <c r="B29" s="36"/>
      <c r="C29" s="156" t="s">
        <v>149</v>
      </c>
      <c r="D29" s="160">
        <f>D27</f>
        <v>13970000</v>
      </c>
      <c r="E29" s="158" t="s">
        <v>94</v>
      </c>
      <c r="F29" s="36"/>
      <c r="G29" s="36"/>
      <c r="H29" s="36"/>
      <c r="I29" s="36"/>
      <c r="J29" s="36"/>
    </row>
    <row r="30" spans="1:16" x14ac:dyDescent="0.25">
      <c r="A30" s="47"/>
      <c r="B30" s="36"/>
      <c r="C30" s="36"/>
      <c r="D30" s="36"/>
      <c r="E30" s="36"/>
      <c r="F30" s="36"/>
      <c r="G30" s="36"/>
      <c r="H30" s="36"/>
      <c r="I30" s="36"/>
      <c r="J30" s="36"/>
    </row>
    <row r="31" spans="1:16" ht="20.25" customHeight="1" x14ac:dyDescent="0.25">
      <c r="A31" s="47" t="s">
        <v>219</v>
      </c>
      <c r="B31" s="231" t="str">
        <f>_xll.VND(D27)</f>
        <v>Mười ba triệu chín trăm bảy mươi nghìn đồng chẵn.</v>
      </c>
      <c r="C31" s="231"/>
      <c r="D31" s="231"/>
      <c r="E31" s="231"/>
      <c r="F31" s="231"/>
      <c r="G31" s="231"/>
      <c r="H31" s="231"/>
      <c r="I31" s="36"/>
      <c r="J31" s="36"/>
    </row>
    <row r="32" spans="1:16" x14ac:dyDescent="0.25">
      <c r="A32" s="47"/>
      <c r="B32" s="36"/>
      <c r="C32" s="36"/>
      <c r="D32" s="36"/>
      <c r="E32" s="36"/>
      <c r="F32" s="36"/>
      <c r="G32" s="36"/>
      <c r="H32" s="36"/>
      <c r="I32" s="36"/>
      <c r="J32" s="36"/>
    </row>
    <row r="33" spans="1:10" x14ac:dyDescent="0.25">
      <c r="A33" s="228" t="s">
        <v>151</v>
      </c>
      <c r="B33" s="228"/>
      <c r="C33" s="228"/>
      <c r="D33" s="228"/>
      <c r="E33" s="228"/>
      <c r="F33" s="228"/>
      <c r="G33" s="228"/>
      <c r="H33" s="228"/>
      <c r="I33" s="228"/>
      <c r="J33" s="228"/>
    </row>
    <row r="34" spans="1:10" x14ac:dyDescent="0.25">
      <c r="A34" s="228"/>
      <c r="B34" s="228"/>
      <c r="C34" s="228"/>
      <c r="D34" s="228"/>
      <c r="E34" s="228"/>
      <c r="F34" s="228"/>
      <c r="G34" s="228"/>
      <c r="H34" s="228"/>
      <c r="I34" s="228"/>
      <c r="J34" s="228"/>
    </row>
    <row r="35" spans="1:10" x14ac:dyDescent="0.25">
      <c r="A35" s="47"/>
      <c r="B35" s="36"/>
      <c r="C35" s="36"/>
      <c r="D35" s="36"/>
      <c r="E35" s="36"/>
      <c r="F35" s="36"/>
      <c r="G35" s="36"/>
      <c r="H35" s="36"/>
      <c r="I35" s="36"/>
      <c r="J35" s="36"/>
    </row>
    <row r="36" spans="1:10" x14ac:dyDescent="0.25">
      <c r="A36" s="1" t="s">
        <v>152</v>
      </c>
      <c r="B36" s="36"/>
      <c r="C36" s="156" t="s">
        <v>149</v>
      </c>
      <c r="D36" s="158" t="str">
        <f>'1.Hợp đồng'!D36</f>
        <v>CHUGAI TECHNOS VIETNAM COMPANY LIMITED</v>
      </c>
      <c r="E36" s="36"/>
      <c r="F36" s="36"/>
      <c r="G36" s="36"/>
      <c r="H36" s="36"/>
      <c r="I36" s="36"/>
      <c r="J36" s="36"/>
    </row>
    <row r="37" spans="1:10" x14ac:dyDescent="0.25">
      <c r="A37" s="1" t="s">
        <v>153</v>
      </c>
      <c r="B37" s="36"/>
      <c r="C37" s="156" t="s">
        <v>149</v>
      </c>
      <c r="D37" s="47">
        <f>'1.Hợp đồng'!D37</f>
        <v>10065702</v>
      </c>
      <c r="E37" s="36"/>
      <c r="F37" s="36"/>
      <c r="G37" s="36"/>
      <c r="H37" s="36"/>
      <c r="I37" s="36"/>
      <c r="J37" s="36"/>
    </row>
    <row r="38" spans="1:10" x14ac:dyDescent="0.25">
      <c r="A38" s="1" t="s">
        <v>154</v>
      </c>
      <c r="C38" s="156" t="s">
        <v>149</v>
      </c>
      <c r="D38" s="1" t="str">
        <f>'[6]3.Sales Contraction'!D38</f>
        <v>Ngân hàng Mitsu Sumitomo- CN Hồ Chí Minh</v>
      </c>
    </row>
    <row r="41" spans="1:10" x14ac:dyDescent="0.25">
      <c r="A41" s="161" t="s">
        <v>155</v>
      </c>
      <c r="B41" s="161"/>
      <c r="C41" s="161"/>
      <c r="D41" s="161"/>
      <c r="F41" s="229"/>
      <c r="G41" s="229"/>
      <c r="H41" s="229"/>
      <c r="I41" s="229"/>
      <c r="J41" s="162"/>
    </row>
    <row r="42" spans="1:10" x14ac:dyDescent="0.25">
      <c r="A42" s="163" t="s">
        <v>156</v>
      </c>
      <c r="B42" s="163"/>
      <c r="C42" s="163"/>
      <c r="D42" s="163"/>
      <c r="F42" s="49"/>
      <c r="G42" s="49"/>
      <c r="H42" s="49"/>
      <c r="I42" s="49"/>
      <c r="J42" s="162"/>
    </row>
    <row r="43" spans="1:10" x14ac:dyDescent="0.25">
      <c r="A43" s="51"/>
      <c r="B43" s="50"/>
      <c r="C43" s="50"/>
      <c r="D43" s="50"/>
      <c r="F43" s="51"/>
      <c r="G43" s="50"/>
      <c r="H43" s="50"/>
      <c r="I43" s="50"/>
      <c r="J43" s="50"/>
    </row>
    <row r="44" spans="1:10" x14ac:dyDescent="0.25">
      <c r="A44" s="50"/>
      <c r="B44" s="50"/>
      <c r="C44" s="50"/>
      <c r="D44" s="50"/>
      <c r="F44" s="50"/>
      <c r="G44" s="50"/>
      <c r="H44" s="50"/>
      <c r="I44" s="50"/>
    </row>
    <row r="45" spans="1:10" x14ac:dyDescent="0.25">
      <c r="F45" s="50"/>
      <c r="G45" s="50"/>
      <c r="H45" s="50"/>
      <c r="I45" s="50"/>
    </row>
    <row r="46" spans="1:10" x14ac:dyDescent="0.25">
      <c r="A46" s="23" t="str">
        <f>D36</f>
        <v>CHUGAI TECHNOS VIETNAM COMPANY LIMITED</v>
      </c>
      <c r="F46" s="50"/>
      <c r="G46" s="50"/>
      <c r="H46" s="50"/>
      <c r="I46" s="50"/>
    </row>
    <row r="47" spans="1:10" x14ac:dyDescent="0.25">
      <c r="F47" s="50"/>
      <c r="G47" s="50"/>
      <c r="H47" s="50"/>
      <c r="I47" s="50"/>
    </row>
    <row r="48" spans="1:10" x14ac:dyDescent="0.25">
      <c r="F48" s="50"/>
      <c r="G48" s="50"/>
      <c r="H48" s="50"/>
      <c r="I48" s="50"/>
    </row>
    <row r="49" spans="1:10" x14ac:dyDescent="0.25">
      <c r="F49" s="50"/>
      <c r="G49" s="50"/>
      <c r="H49" s="50"/>
      <c r="I49" s="50"/>
    </row>
    <row r="50" spans="1:10" x14ac:dyDescent="0.25">
      <c r="F50" s="50"/>
      <c r="G50" s="50"/>
      <c r="H50" s="50"/>
      <c r="I50" s="50"/>
    </row>
    <row r="54" spans="1:10" x14ac:dyDescent="0.25">
      <c r="A54" s="52"/>
      <c r="B54" s="52"/>
      <c r="C54" s="52"/>
      <c r="D54" s="52"/>
      <c r="F54" s="50"/>
      <c r="G54" s="50"/>
      <c r="H54" s="50"/>
      <c r="I54" s="50"/>
      <c r="J54" s="50"/>
    </row>
    <row r="55" spans="1:10" x14ac:dyDescent="0.25">
      <c r="A55" s="230" t="str">
        <f>'[6]3.Sales Contraction'!D29</f>
        <v>Ông MASAMI OUE</v>
      </c>
      <c r="B55" s="230"/>
      <c r="C55" s="230"/>
      <c r="D55" s="230"/>
      <c r="F55" s="50"/>
      <c r="G55" s="161"/>
      <c r="H55" s="161"/>
      <c r="I55" s="161"/>
    </row>
  </sheetData>
  <mergeCells count="10">
    <mergeCell ref="A33:J34"/>
    <mergeCell ref="F41:I41"/>
    <mergeCell ref="A55:D55"/>
    <mergeCell ref="B31:H31"/>
    <mergeCell ref="D2:J2"/>
    <mergeCell ref="E3:J4"/>
    <mergeCell ref="E6:J6"/>
    <mergeCell ref="F8:J8"/>
    <mergeCell ref="A9:J11"/>
    <mergeCell ref="A23:J25"/>
  </mergeCells>
  <pageMargins left="0.7" right="0.7" top="0.75" bottom="0.75" header="0.3" footer="0.3"/>
  <pageSetup paperSize="9" scale="8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4</vt:i4>
      </vt:variant>
      <vt:variant>
        <vt:lpstr>Phạm vi có Tên</vt:lpstr>
      </vt:variant>
      <vt:variant>
        <vt:i4>5</vt:i4>
      </vt:variant>
    </vt:vector>
  </HeadingPairs>
  <TitlesOfParts>
    <vt:vector size="9" baseType="lpstr">
      <vt:lpstr>1.Hợp đồng</vt:lpstr>
      <vt:lpstr>2.Báo giá</vt:lpstr>
      <vt:lpstr>3.Nhiệm thu</vt:lpstr>
      <vt:lpstr>4.yêu cầu thanh toán</vt:lpstr>
      <vt:lpstr>'1.Hợp đồng'!Print_Area</vt:lpstr>
      <vt:lpstr>'2.Báo giá'!Print_Area</vt:lpstr>
      <vt:lpstr>'3.Nhiệm thu'!Print_Area</vt:lpstr>
      <vt:lpstr>'4.yêu cầu thanh toán'!Print_Area</vt:lpstr>
      <vt:lpstr>'1.Hợp đồng'!Vùng_In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user03</dc:creator>
  <cp:lastModifiedBy>キン ン</cp:lastModifiedBy>
  <cp:lastPrinted>2016-12-08T03:53:05Z</cp:lastPrinted>
  <dcterms:created xsi:type="dcterms:W3CDTF">2016-10-03T08:07:03Z</dcterms:created>
  <dcterms:modified xsi:type="dcterms:W3CDTF">2016-12-20T03:09:27Z</dcterms:modified>
</cp:coreProperties>
</file>