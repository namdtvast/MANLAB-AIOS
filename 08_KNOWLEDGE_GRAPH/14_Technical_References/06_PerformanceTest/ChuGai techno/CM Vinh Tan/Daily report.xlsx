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M Vinh Tan\"/>
    </mc:Choice>
  </mc:AlternateContent>
  <bookViews>
    <workbookView xWindow="0" yWindow="0" windowWidth="20490" windowHeight="7905"/>
  </bookViews>
  <sheets>
    <sheet name="Mar-18" sheetId="1" r:id="rId1"/>
  </sheets>
  <externalReferences>
    <externalReference r:id="rId2"/>
  </externalReferences>
  <definedNames>
    <definedName name="e">#REF!,#REF!,#REF!,#REF!,#REF!,#REF!,#REF!,#REF!,#REF!,#REF!,#REF!,#REF!,#REF!,#REF!,#REF!,#REF!,#REF!,#REF!,#REF!,#REF!,#REF!,#REF!,#REF!,#REF!</definedName>
    <definedName name="_xlnm.Print_Area" localSheetId="0">'Mar-18'!$B$2:$AT$38,'Mar-18'!$AX$40:$BM$93</definedName>
    <definedName name="q">#REF!,#REF!,#REF!,#REF!,#REF!,#REF!,#REF!,#REF!,#REF!,#REF!,#REF!,#REF!,#REF!,#REF!,#REF!,#REF!,#REF!,#REF!,#REF!,#REF!,#REF!,#REF!,#REF!,#REF!</definedName>
    <definedName name="t">#REF!,#REF!,#REF!,#REF!,#REF!,#REF!,#REF!,#REF!,#REF!,#REF!,#REF!,#REF!,#REF!,#REF!,#REF!,#REF!,#REF!,#REF!,#REF!,#REF!,#REF!,#REF!,#REF!,#REF!</definedName>
    <definedName name="u">#REF!,#REF!,#REF!,#REF!,#REF!,#REF!,#REF!,#REF!,#REF!,#REF!,#REF!,#REF!,#REF!,#REF!,#REF!,#REF!,#REF!,#REF!,#REF!,#REF!,#REF!,#REF!,#REF!,#REF!</definedName>
    <definedName name="w">#REF!,#REF!,#REF!,#REF!,#REF!,#REF!,#REF!,#REF!,#REF!,#REF!,#REF!,#REF!,#REF!,#REF!,#REF!,#REF!,#REF!,#REF!,#REF!,#REF!,#REF!,#REF!,#REF!,#REF!,#REF!,#REF!</definedName>
    <definedName name="y">#REF!,#REF!,#REF!,#REF!,#REF!,#REF!,#REF!,#REF!,#REF!,#REF!,#REF!,#REF!,#REF!,#REF!,#REF!,#REF!,#REF!,#REF!,#REF!,#REF!,#REF!,#REF!,#REF!,#REF!</definedName>
    <definedName name="ｱﾙﾊﾞｲﾄ数量">#REF!,#REF!,#REF!,#REF!,#REF!,#REF!,#REF!,#REF!,#REF!,#REF!,#REF!,#REF!,#REF!,#REF!,#REF!,#REF!,#REF!,#REF!,#REF!,#REF!,#REF!,#REF!,#REF!,#REF!</definedName>
    <definedName name="ｱﾙﾊﾞｲﾄ金額">#REF!,#REF!,#REF!,#REF!,#REF!,#REF!,#REF!,#REF!,#REF!,#REF!,#REF!,#REF!,#REF!,#REF!,#REF!,#REF!,#REF!,#REF!,#REF!,#REF!,#REF!,#REF!,#REF!,#REF!</definedName>
    <definedName name="交通金額">#REF!,#REF!,#REF!,#REF!,#REF!,#REF!,#REF!,#REF!,#REF!,#REF!,#REF!,#REF!,#REF!,#REF!,#REF!,#REF!,#REF!,#REF!,#REF!</definedName>
    <definedName name="借入金額">#REF!,#REF!,#REF!,#REF!,#REF!,#REF!,#REF!,#REF!,#REF!,#REF!,#REF!,#REF!,#REF!,#REF!,#REF!,#REF!,#REF!,#REF!,#REF!,#REF!,#REF!,#REF!,#REF!,#REF!</definedName>
    <definedName name="宿泊数量">#REF!,#REF!,#REF!,#REF!,#REF!,#REF!,#REF!,#REF!,#REF!,#REF!,#REF!,#REF!,#REF!,#REF!,#REF!,#REF!,#REF!,#REF!,#REF!,#REF!,#REF!,#REF!,#REF!,#REF!</definedName>
    <definedName name="宿泊日当数">#REF!,#REF!,#REF!,#REF!,#REF!,#REF!,#REF!,#REF!,#REF!,#REF!,#REF!,#REF!,#REF!,#REF!,#REF!,#REF!,#REF!,#REF!,#REF!,#REF!,#REF!,#REF!,#REF!,#REF!</definedName>
    <definedName name="宿泊日当金">#REF!,#REF!,#REF!,#REF!,#REF!,#REF!,#REF!,#REF!,#REF!,#REF!,#REF!,#REF!,#REF!,#REF!,#REF!,#REF!,#REF!,#REF!,#REF!,#REF!,#REF!,#REF!,#REF!,#REF!</definedName>
    <definedName name="宿泊金額">#REF!,#REF!,#REF!,#REF!,#REF!,#REF!,#REF!,#REF!,#REF!,#REF!,#REF!,#REF!,#REF!,#REF!,#REF!,#REF!,#REF!,#REF!,#REF!,#REF!,#REF!,#REF!,#REF!,#REF!</definedName>
    <definedName name="消耗購入金額">#REF!,#REF!,#REF!,#REF!,#REF!,#REF!,#REF!,#REF!,#REF!,#REF!,#REF!,#REF!,#REF!,#REF!,#REF!,#REF!,#REF!,#REF!,#REF!,#REF!,#REF!,#REF!,#REF!,#REF!</definedName>
    <definedName name="燃料金額">#REF!,#REF!,#REF!,#REF!,#REF!,#REF!,#REF!,#REF!,#REF!,#REF!,#REF!,#REF!,#REF!,#REF!,#REF!,#REF!,#REF!,#REF!,#REF!,#REF!,#REF!,#REF!,#REF!,#REF!</definedName>
    <definedName name="現地数量">#REF!,#REF!,#REF!,#REF!,#REF!,#REF!,#REF!,#REF!,#REF!,#REF!,#REF!,#REF!,#REF!,#REF!,#REF!,#REF!,#REF!,#REF!,#REF!,#REF!,#REF!,#REF!,#REF!,#REF!,#REF!,#REF!</definedName>
    <definedName name="現地金額">#REF!,#REF!,#REF!,#REF!,#REF!,#REF!,#REF!,#REF!,#REF!,#REF!,#REF!,#REF!,#REF!,#REF!,#REF!,#REF!,#REF!,#REF!,#REF!,#REF!,#REF!,#REF!,#REF!,#REF!</definedName>
    <definedName name="社内数量">#REF!,#REF!,#REF!,#REF!,#REF!,#REF!,#REF!,#REF!,#REF!,#REF!,#REF!,#REF!,#REF!,#REF!,#REF!,#REF!,#REF!,#REF!,#REF!,#REF!,#REF!,#REF!,#REF!,#REF!</definedName>
    <definedName name="社内金額">#REF!,#REF!,#REF!,#REF!,#REF!,#REF!,#REF!,#REF!,#REF!,#REF!,#REF!,#REF!,#REF!,#REF!,#REF!,#REF!,#REF!,#REF!,#REF!,#REF!,#REF!,#REF!,#REF!,#REF!</definedName>
    <definedName name="船金額">#REF!,#REF!,#REF!,#REF!,#REF!,#REF!,#REF!,#REF!,#REF!,#REF!,#REF!,#REF!,#REF!,#REF!,#REF!,#REF!,#REF!,#REF!,#REF!,#REF!,#REF!,#REF!,#REF!,#REF!</definedName>
    <definedName name="購入金額">#REF!,#REF!,#REF!,#REF!,#REF!,#REF!,#REF!,#REF!,#REF!,#REF!,#REF!,#REF!,#REF!,#REF!,#REF!,#REF!,#REF!,#REF!,#REF!,#REF!,#REF!,#REF!,#REF!,#REF!</definedName>
    <definedName name="車両金額">#REF!,#REF!,#REF!,#REF!,#REF!,#REF!,#REF!,#REF!,#REF!,#REF!,#REF!,#REF!,#REF!,#REF!,#REF!,#REF!,#REF!,#REF!,#REF!,#REF!,#REF!,#REF!,#REF!,#REF!</definedName>
    <definedName name="近距離数量">#REF!,#REF!,#REF!,#REF!,#REF!,#REF!,#REF!,#REF!,#REF!,#REF!,#REF!,#REF!,#REF!,#REF!,#REF!,#REF!,#REF!,#REF!,#REF!,#REF!,#REF!,#REF!,#REF!,#REF!</definedName>
    <definedName name="近距離金額">#REF!,#REF!,#REF!,#REF!,#REF!,#REF!,#REF!,#REF!,#REF!,#REF!,#REF!,#REF!,#REF!,#REF!,#REF!,#REF!,#REF!,#REF!,#REF!,#REF!,#REF!,#REF!,#REF!,#REF!</definedName>
    <definedName name="通行金額">#REF!,#REF!,#REF!,#REF!,#REF!,#REF!,#REF!,#REF!,#REF!,#REF!,#REF!,#REF!,#REF!,#REF!,#REF!,#REF!,#REF!,#REF!,#REF!,#REF!,#REF!,#REF!,#REF!,#REF!</definedName>
    <definedName name="運搬金額">#REF!,#REF!,#REF!,#REF!,#REF!,#REF!,#REF!,#REF!,#REF!,#REF!,#REF!,#REF!,#REF!,#REF!,#REF!,#REF!,#REF!,#REF!,#REF!,#REF!,#REF!,#REF!,#REF!,#REF!</definedName>
    <definedName name="遠距離数量">#REF!,#REF!,#REF!,#REF!,#REF!,#REF!,#REF!,#REF!,#REF!,#REF!,#REF!,#REF!,#REF!,#REF!,#REF!,#REF!,#REF!,#REF!,#REF!,#REF!,#REF!,#REF!,#REF!,#REF!</definedName>
    <definedName name="遠距離金額">#REF!,#REF!,#REF!,#REF!,#REF!,#REF!,#REF!,#REF!,#REF!,#REF!,#REF!,#REF!,#REF!,#REF!,#REF!,#REF!,#REF!,#REF!,#REF!,#REF!,#REF!,#REF!,#REF!,#REF!</definedName>
    <definedName name="雑費金額">#REF!,#REF!,#REF!,#REF!,#REF!,#REF!,#REF!,#REF!,#REF!,#REF!,#REF!,#REF!,#REF!,#REF!,#REF!,#REF!,#REF!,#REF!,#REF!,#REF!,#REF!,#REF!,#REF!,#REF!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5" i="1" l="1"/>
  <c r="Z23" i="1"/>
  <c r="Z26" i="1" l="1"/>
  <c r="Z28" i="1"/>
  <c r="S28" i="1"/>
  <c r="Z24" i="1"/>
  <c r="Z22" i="1"/>
  <c r="S24" i="1" l="1"/>
  <c r="S23" i="1"/>
  <c r="Z32" i="1" l="1"/>
  <c r="S32" i="1"/>
  <c r="Z31" i="1"/>
  <c r="S31" i="1"/>
  <c r="S25" i="1" l="1"/>
  <c r="S29" i="1"/>
  <c r="Z29" i="1"/>
  <c r="Z33" i="1" l="1"/>
  <c r="S33" i="1"/>
  <c r="Z30" i="1"/>
  <c r="S30" i="1"/>
  <c r="AO19" i="1"/>
  <c r="AQ18" i="1"/>
  <c r="AO17" i="1"/>
  <c r="AQ16" i="1"/>
  <c r="AO15" i="1"/>
  <c r="AQ14" i="1"/>
</calcChain>
</file>

<file path=xl/comments1.xml><?xml version="1.0" encoding="utf-8"?>
<comments xmlns="http://schemas.openxmlformats.org/spreadsheetml/2006/main">
  <authors>
    <author>Masayoshi　Hiraoka</author>
  </authors>
  <commentList>
    <comment ref="AW6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>Hyper link to list of employee number</t>
        </r>
      </text>
    </comment>
    <comment ref="AW7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 xml:space="preserve">Input </t>
        </r>
        <r>
          <rPr>
            <b/>
            <sz val="14"/>
            <color indexed="81"/>
            <rFont val="ＭＳ Ｐゴシック"/>
            <family val="3"/>
            <charset val="128"/>
          </rPr>
          <t>left side number of employee number list sheet</t>
        </r>
      </text>
    </comment>
    <comment ref="BE8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数字のみ入れると自動的に”日”が表示されます
</t>
        </r>
      </text>
    </comment>
  </commentList>
</comments>
</file>

<file path=xl/sharedStrings.xml><?xml version="1.0" encoding="utf-8"?>
<sst xmlns="http://schemas.openxmlformats.org/spreadsheetml/2006/main" count="206" uniqueCount="115">
  <si>
    <t>Print both side</t>
    <phoneticPr fontId="0"/>
  </si>
  <si>
    <t>Back saide input</t>
    <phoneticPr fontId="0"/>
  </si>
  <si>
    <t>Chugai Technos
Vietnam</t>
    <phoneticPr fontId="0"/>
  </si>
  <si>
    <t>To input to reference number, employee number and name are input to member list</t>
    <phoneticPr fontId="0"/>
  </si>
  <si>
    <t>General Director</t>
    <phoneticPr fontId="0"/>
  </si>
  <si>
    <t>Section Leader</t>
    <phoneticPr fontId="0"/>
  </si>
  <si>
    <t>Sales</t>
    <phoneticPr fontId="0"/>
  </si>
  <si>
    <t>General Affairs</t>
    <phoneticPr fontId="0"/>
  </si>
  <si>
    <t>Chief</t>
    <phoneticPr fontId="0"/>
  </si>
  <si>
    <t>Reference Number</t>
    <phoneticPr fontId="0"/>
  </si>
  <si>
    <t>Job.No.</t>
    <phoneticPr fontId="0"/>
  </si>
  <si>
    <t>Client</t>
    <phoneticPr fontId="0"/>
  </si>
  <si>
    <r>
      <rPr>
        <sz val="11"/>
        <rFont val="ＭＳ Ｐゴシック"/>
        <family val="3"/>
        <charset val="128"/>
      </rPr>
      <t>①</t>
    </r>
  </si>
  <si>
    <t>Employee 
Code</t>
    <phoneticPr fontId="0"/>
  </si>
  <si>
    <r>
      <t>Name</t>
    </r>
    <r>
      <rPr>
        <sz val="9"/>
        <rFont val="ＭＳ Ｐゴシック"/>
        <family val="3"/>
        <charset val="128"/>
      </rPr>
      <t>（</t>
    </r>
    <r>
      <rPr>
        <sz val="9"/>
        <rFont val="Times New Roman"/>
        <family val="1"/>
      </rPr>
      <t>Chief</t>
    </r>
    <r>
      <rPr>
        <sz val="9"/>
        <rFont val="ＭＳ Ｐゴシック"/>
        <family val="3"/>
        <charset val="128"/>
      </rPr>
      <t>）</t>
    </r>
  </si>
  <si>
    <t>Site</t>
    <phoneticPr fontId="0"/>
  </si>
  <si>
    <r>
      <rPr>
        <sz val="11"/>
        <rFont val="ＭＳ Ｐゴシック"/>
        <family val="3"/>
        <charset val="128"/>
      </rPr>
      <t>②</t>
    </r>
  </si>
  <si>
    <t>Employee 
Code:</t>
    <phoneticPr fontId="0"/>
  </si>
  <si>
    <r>
      <rPr>
        <sz val="11"/>
        <rFont val="ＭＳ Ｐゴシック"/>
        <family val="3"/>
        <charset val="128"/>
      </rPr>
      <t>⑦</t>
    </r>
  </si>
  <si>
    <r>
      <rPr>
        <sz val="11"/>
        <rFont val="ＭＳ Ｐゴシック"/>
        <family val="3"/>
        <charset val="128"/>
      </rPr>
      <t>⑫</t>
    </r>
  </si>
  <si>
    <r>
      <rPr>
        <sz val="9"/>
        <rFont val="ＭＳ Ｐゴシック"/>
        <family val="3"/>
        <charset val="128"/>
      </rPr>
      <t>（</t>
    </r>
    <r>
      <rPr>
        <sz val="9"/>
        <rFont val="Times New Roman"/>
        <family val="1"/>
      </rPr>
      <t>Location</t>
    </r>
    <r>
      <rPr>
        <sz val="9"/>
        <rFont val="ＭＳ Ｐゴシック"/>
        <family val="3"/>
        <charset val="128"/>
      </rPr>
      <t>）</t>
    </r>
  </si>
  <si>
    <t>Subject
Line</t>
    <phoneticPr fontId="0"/>
  </si>
  <si>
    <r>
      <rPr>
        <sz val="11"/>
        <rFont val="ＭＳ Ｐゴシック"/>
        <family val="3"/>
        <charset val="128"/>
      </rPr>
      <t>③</t>
    </r>
  </si>
  <si>
    <r>
      <rPr>
        <sz val="11"/>
        <rFont val="ＭＳ Ｐゴシック"/>
        <family val="3"/>
        <charset val="128"/>
      </rPr>
      <t>⑧</t>
    </r>
  </si>
  <si>
    <r>
      <rPr>
        <sz val="11"/>
        <rFont val="ＭＳ Ｐゴシック"/>
        <family val="3"/>
        <charset val="128"/>
      </rPr>
      <t>⑬</t>
    </r>
  </si>
  <si>
    <r>
      <rPr>
        <sz val="16"/>
        <rFont val="ＭＳ Ｐゴシック"/>
        <family val="3"/>
        <charset val="128"/>
      </rPr>
      <t>⑥</t>
    </r>
  </si>
  <si>
    <r>
      <rPr>
        <sz val="16"/>
        <rFont val="ＭＳ Ｐゴシック"/>
        <family val="3"/>
        <charset val="128"/>
      </rPr>
      <t>⑦</t>
    </r>
  </si>
  <si>
    <r>
      <rPr>
        <sz val="12"/>
        <rFont val="ＭＳ Ｐゴシック"/>
        <family val="3"/>
        <charset val="128"/>
      </rPr>
      <t>（</t>
    </r>
    <r>
      <rPr>
        <sz val="12"/>
        <rFont val="Times New Roman"/>
        <family val="1"/>
      </rPr>
      <t>specifically</t>
    </r>
    <r>
      <rPr>
        <sz val="12"/>
        <rFont val="ＭＳ Ｐゴシック"/>
        <family val="3"/>
        <charset val="128"/>
      </rPr>
      <t>）</t>
    </r>
  </si>
  <si>
    <r>
      <rPr>
        <sz val="11"/>
        <rFont val="ＭＳ Ｐゴシック"/>
        <family val="3"/>
        <charset val="128"/>
      </rPr>
      <t>④</t>
    </r>
  </si>
  <si>
    <r>
      <rPr>
        <sz val="11"/>
        <rFont val="ＭＳ Ｐゴシック"/>
        <family val="3"/>
        <charset val="128"/>
      </rPr>
      <t>⑨</t>
    </r>
  </si>
  <si>
    <r>
      <rPr>
        <sz val="11"/>
        <rFont val="ＭＳ Ｐゴシック"/>
        <family val="3"/>
        <charset val="128"/>
      </rPr>
      <t>⑭</t>
    </r>
  </si>
  <si>
    <r>
      <rPr>
        <sz val="16"/>
        <rFont val="ＭＳ Ｐゴシック"/>
        <family val="3"/>
        <charset val="128"/>
      </rPr>
      <t>⑧</t>
    </r>
  </si>
  <si>
    <r>
      <rPr>
        <sz val="16"/>
        <rFont val="ＭＳ Ｐゴシック"/>
        <family val="3"/>
        <charset val="128"/>
      </rPr>
      <t>⑨</t>
    </r>
  </si>
  <si>
    <t>Business Trip 
Period</t>
    <phoneticPr fontId="0"/>
  </si>
  <si>
    <t>From</t>
    <phoneticPr fontId="0"/>
  </si>
  <si>
    <r>
      <rPr>
        <sz val="11"/>
        <rFont val="ＭＳ Ｐゴシック"/>
        <family val="3"/>
        <charset val="128"/>
      </rPr>
      <t>⑤</t>
    </r>
  </si>
  <si>
    <r>
      <rPr>
        <sz val="11"/>
        <rFont val="ＭＳ Ｐゴシック"/>
        <family val="3"/>
        <charset val="128"/>
      </rPr>
      <t>⑩</t>
    </r>
  </si>
  <si>
    <r>
      <rPr>
        <sz val="11"/>
        <rFont val="ＭＳ Ｐゴシック"/>
        <family val="3"/>
        <charset val="128"/>
      </rPr>
      <t>⑮</t>
    </r>
  </si>
  <si>
    <r>
      <rPr>
        <sz val="16"/>
        <rFont val="ＭＳ Ｐゴシック"/>
        <family val="3"/>
        <charset val="128"/>
      </rPr>
      <t>⑩</t>
    </r>
  </si>
  <si>
    <r>
      <rPr>
        <sz val="16"/>
        <rFont val="ＭＳ Ｐゴシック"/>
        <family val="3"/>
        <charset val="128"/>
      </rPr>
      <t>⑪</t>
    </r>
  </si>
  <si>
    <t>To</t>
    <phoneticPr fontId="0"/>
  </si>
  <si>
    <r>
      <rPr>
        <sz val="11"/>
        <rFont val="ＭＳ Ｐゴシック"/>
        <family val="3"/>
        <charset val="128"/>
      </rPr>
      <t>⑥</t>
    </r>
  </si>
  <si>
    <r>
      <rPr>
        <sz val="11"/>
        <rFont val="ＭＳ Ｐゴシック"/>
        <family val="3"/>
        <charset val="128"/>
      </rPr>
      <t>⑪</t>
    </r>
  </si>
  <si>
    <r>
      <rPr>
        <sz val="11"/>
        <rFont val="ＭＳ Ｐゴシック"/>
        <family val="3"/>
        <charset val="128"/>
      </rPr>
      <t>⑯</t>
    </r>
  </si>
  <si>
    <r>
      <rPr>
        <sz val="16"/>
        <rFont val="ＭＳ Ｐゴシック"/>
        <family val="3"/>
        <charset val="128"/>
      </rPr>
      <t>⑫</t>
    </r>
  </si>
  <si>
    <r>
      <rPr>
        <sz val="16"/>
        <rFont val="ＭＳ Ｐゴシック"/>
        <family val="3"/>
        <charset val="128"/>
      </rPr>
      <t>⑬</t>
    </r>
  </si>
  <si>
    <t>Date</t>
    <phoneticPr fontId="0"/>
  </si>
  <si>
    <t>Total Working Time</t>
    <phoneticPr fontId="0"/>
  </si>
  <si>
    <t>Work Contents</t>
    <phoneticPr fontId="0"/>
  </si>
  <si>
    <t>Staff
 Number</t>
    <phoneticPr fontId="0"/>
  </si>
  <si>
    <t>Lodgement</t>
    <phoneticPr fontId="0"/>
  </si>
  <si>
    <r>
      <rPr>
        <sz val="16"/>
        <rFont val="ＭＳ Ｐゴシック"/>
        <family val="3"/>
        <charset val="128"/>
      </rPr>
      <t>⑭</t>
    </r>
  </si>
  <si>
    <t>Working Time</t>
    <phoneticPr fontId="0"/>
  </si>
  <si>
    <r>
      <rPr>
        <sz val="12"/>
        <rFont val="ＭＳ Ｐゴシック"/>
        <family val="3"/>
        <charset val="128"/>
      </rPr>
      <t>（Ｈ）</t>
    </r>
  </si>
  <si>
    <t>Overtime</t>
    <phoneticPr fontId="0"/>
  </si>
  <si>
    <t>Approval</t>
    <phoneticPr fontId="0"/>
  </si>
  <si>
    <t>Specific Working</t>
    <phoneticPr fontId="0"/>
  </si>
  <si>
    <t>Allowance</t>
    <phoneticPr fontId="0"/>
  </si>
  <si>
    <r>
      <rPr>
        <sz val="12"/>
        <rFont val="ＭＳ Ｐゴシック"/>
        <family val="3"/>
        <charset val="128"/>
      </rPr>
      <t>（○</t>
    </r>
    <r>
      <rPr>
        <sz val="12"/>
        <rFont val="Times New Roman"/>
        <family val="1"/>
      </rPr>
      <t>Mark</t>
    </r>
    <r>
      <rPr>
        <sz val="12"/>
        <rFont val="ＭＳ Ｐゴシック"/>
        <family val="3"/>
        <charset val="128"/>
      </rPr>
      <t>）</t>
    </r>
  </si>
  <si>
    <t>Signature</t>
    <phoneticPr fontId="0"/>
  </si>
  <si>
    <r>
      <rPr>
        <sz val="16"/>
        <rFont val="ＭＳ Ｐゴシック"/>
        <family val="3"/>
        <charset val="128"/>
      </rPr>
      <t>⑮</t>
    </r>
  </si>
  <si>
    <r>
      <rPr>
        <sz val="12"/>
        <rFont val="ＭＳ Ｐゴシック"/>
        <family val="3"/>
        <charset val="128"/>
      </rPr>
      <t>～</t>
    </r>
  </si>
  <si>
    <r>
      <rPr>
        <sz val="16"/>
        <rFont val="ＭＳ Ｐゴシック"/>
        <family val="3"/>
        <charset val="128"/>
      </rPr>
      <t>⑯</t>
    </r>
  </si>
  <si>
    <t>Copy 
Delivery Address</t>
    <phoneticPr fontId="0"/>
  </si>
  <si>
    <r>
      <t>Tokyo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Kanto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Chube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Kansai center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Kansai branch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Hiroshima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Yamaguchi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Kyusyu</t>
    </r>
    <r>
      <rPr>
        <sz val="11"/>
        <rFont val="ＭＳ Ｐゴシック"/>
        <family val="3"/>
        <charset val="128"/>
      </rPr>
      <t>　・</t>
    </r>
    <r>
      <rPr>
        <sz val="11"/>
        <rFont val="Times New Roman"/>
        <family val="1"/>
      </rPr>
      <t xml:space="preserve"> </t>
    </r>
    <r>
      <rPr>
        <sz val="11"/>
        <rFont val="ＭＳ Ｐゴシック"/>
        <family val="3"/>
        <charset val="128"/>
      </rPr>
      <t>（　　　　　　）</t>
    </r>
  </si>
  <si>
    <t>Sending Date</t>
    <phoneticPr fontId="0"/>
  </si>
  <si>
    <t>Holiday 
Work</t>
    <phoneticPr fontId="0"/>
  </si>
  <si>
    <t>Compensating 
Holiday</t>
    <phoneticPr fontId="0"/>
  </si>
  <si>
    <t>Invoice</t>
    <phoneticPr fontId="0"/>
  </si>
  <si>
    <r>
      <rPr>
        <sz val="11"/>
        <rFont val="ＭＳ Ｐゴシック"/>
        <family val="3"/>
        <charset val="128"/>
      </rPr>
      <t>　</t>
    </r>
    <r>
      <rPr>
        <sz val="11"/>
        <rFont val="Times New Roman"/>
        <family val="1"/>
      </rPr>
      <t>No</t>
    </r>
    <r>
      <rPr>
        <sz val="11"/>
        <rFont val="ＭＳ Ｐゴシック"/>
        <family val="3"/>
        <charset val="128"/>
      </rPr>
      <t>．　　　　　　　　　　　　　　</t>
    </r>
  </si>
  <si>
    <t>Used Equioments Breakdown</t>
    <phoneticPr fontId="0"/>
  </si>
  <si>
    <t>Equipments for measurement and analysis</t>
    <phoneticPr fontId="0"/>
  </si>
  <si>
    <t>Cost Code</t>
    <phoneticPr fontId="0"/>
  </si>
  <si>
    <t>Unit</t>
    <phoneticPr fontId="0"/>
  </si>
  <si>
    <t>Days</t>
    <phoneticPr fontId="0"/>
  </si>
  <si>
    <t>Company's equipments wihtout left columns</t>
    <phoneticPr fontId="0"/>
  </si>
  <si>
    <t>Rental equipments</t>
    <phoneticPr fontId="0"/>
  </si>
  <si>
    <t>Comsumbles</t>
    <phoneticPr fontId="0"/>
  </si>
  <si>
    <t>Analysis Items</t>
    <phoneticPr fontId="0"/>
  </si>
  <si>
    <t>Method</t>
    <phoneticPr fontId="0"/>
  </si>
  <si>
    <t>Samples</t>
    <phoneticPr fontId="0"/>
  </si>
  <si>
    <r>
      <rPr>
        <sz val="11"/>
        <rFont val="ＭＳ ゴシック"/>
        <family val="3"/>
        <charset val="128"/>
      </rPr>
      <t>騒音・振動・気象ﾁｬｰﾄ</t>
    </r>
  </si>
  <si>
    <r>
      <rPr>
        <sz val="11"/>
        <rFont val="ＭＳ ゴシック"/>
        <family val="3"/>
        <charset val="128"/>
      </rPr>
      <t>原価コード</t>
    </r>
  </si>
  <si>
    <r>
      <rPr>
        <sz val="11"/>
        <rFont val="ＭＳ ゴシック"/>
        <family val="3"/>
        <charset val="128"/>
      </rPr>
      <t>数量</t>
    </r>
  </si>
  <si>
    <t>Car</t>
    <phoneticPr fontId="0"/>
  </si>
  <si>
    <r>
      <rPr>
        <sz val="11"/>
        <rFont val="ＭＳ ゴシック"/>
        <family val="3"/>
        <charset val="128"/>
      </rPr>
      <t>本</t>
    </r>
  </si>
  <si>
    <t>Car number</t>
    <phoneticPr fontId="0"/>
  </si>
  <si>
    <t>Driver Name</t>
    <phoneticPr fontId="0"/>
  </si>
  <si>
    <t>Drive Distance</t>
    <phoneticPr fontId="0"/>
  </si>
  <si>
    <t>Outward</t>
    <phoneticPr fontId="0"/>
  </si>
  <si>
    <t>Return</t>
    <phoneticPr fontId="0"/>
  </si>
  <si>
    <t>km</t>
    <phoneticPr fontId="0"/>
  </si>
  <si>
    <r>
      <rPr>
        <sz val="11"/>
        <rFont val="ＭＳ ゴシック"/>
        <family val="3"/>
        <charset val="128"/>
      </rPr>
      <t>枚</t>
    </r>
  </si>
  <si>
    <r>
      <t xml:space="preserve"> </t>
    </r>
    <r>
      <rPr>
        <sz val="10"/>
        <rFont val="ＭＳ ゴシック"/>
        <family val="3"/>
        <charset val="128"/>
      </rPr>
      <t>※使用日数は旅費精算日当の日数とする。</t>
    </r>
  </si>
  <si>
    <t>Chugai Technos Corporation</t>
  </si>
  <si>
    <t>①</t>
  </si>
  <si>
    <t>②</t>
  </si>
  <si>
    <r>
      <rPr>
        <sz val="6"/>
        <rFont val="ＭＳ Ｐゴシック"/>
        <family val="3"/>
        <charset val="128"/>
      </rPr>
      <t>（M</t>
    </r>
    <r>
      <rPr>
        <sz val="6"/>
        <rFont val="Times New Roman"/>
        <family val="1"/>
      </rPr>
      <t xml:space="preserve">ark </t>
    </r>
    <r>
      <rPr>
        <sz val="6"/>
        <rFont val="ＭＳ Ｐゴシック"/>
        <family val="3"/>
        <charset val="128"/>
      </rPr>
      <t>○</t>
    </r>
    <r>
      <rPr>
        <sz val="6"/>
        <rFont val="Times New Roman"/>
        <family val="1"/>
      </rPr>
      <t xml:space="preserve"> 
on holiday</t>
    </r>
    <r>
      <rPr>
        <sz val="6"/>
        <rFont val="ＭＳ Ｐゴシック"/>
        <family val="3"/>
        <charset val="128"/>
      </rPr>
      <t>）</t>
    </r>
  </si>
  <si>
    <t>Outward
(Transportation)</t>
  </si>
  <si>
    <t>Return
(Transportation)</t>
  </si>
  <si>
    <t>Overtime in Working Time</t>
  </si>
  <si>
    <t>～</t>
  </si>
  <si>
    <t>Measurement</t>
  </si>
  <si>
    <t>Nguyen Le Khanh</t>
  </si>
  <si>
    <t>③</t>
  </si>
  <si>
    <t>④</t>
  </si>
  <si>
    <t>⑤</t>
  </si>
  <si>
    <t>Rest time: 12:00~13:00</t>
  </si>
  <si>
    <t xml:space="preserve">Daily Report </t>
  </si>
  <si>
    <t>Vinh Tan 4 Thermal Power Plant</t>
  </si>
  <si>
    <t>Binh Thuan</t>
  </si>
  <si>
    <t xml:space="preserve">Measurement, monitoring at  Vinh Tan 4 Thermal Power Plant </t>
  </si>
  <si>
    <t>Transport from Ho Chi Minh to Binh Thuan</t>
  </si>
  <si>
    <t xml:space="preserve">① </t>
  </si>
  <si>
    <t>2018-VN-01-0011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</si>
</sst>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;@"/>
    <numFmt numFmtId="165" formatCode="#,##0.0;[Red]#,##0.0"/>
    <numFmt numFmtId="166" formatCode="h:mm;@"/>
    <numFmt numFmtId="167" formatCode="0&quot;日&quot;"/>
    <numFmt numFmtId="168" formatCode="[$-409]d\-mmm\-yyyy;@"/>
  </numFmts>
  <fonts count="25">
    <font>
      <sz val="11"/>
      <name val="ＭＳ Ｐゴシック"/>
      <family val="3"/>
      <charset val="128"/>
    </font>
    <font>
      <u/>
      <sz val="22"/>
      <name val="Times New Roman"/>
      <family val="1"/>
    </font>
    <font>
      <b/>
      <sz val="14"/>
      <color indexed="10"/>
      <name val="Times New Roman"/>
      <family val="1"/>
    </font>
    <font>
      <sz val="11"/>
      <name val="Times New Roman"/>
      <family val="1"/>
    </font>
    <font>
      <u/>
      <sz val="20"/>
      <name val="Times New Roman"/>
      <family val="1"/>
    </font>
    <font>
      <u/>
      <sz val="10"/>
      <color indexed="12"/>
      <name val="ＭＳ Ｐゴシック"/>
      <family val="3"/>
      <charset val="128"/>
    </font>
    <font>
      <u/>
      <sz val="12"/>
      <color indexed="12"/>
      <name val="Times New Roman"/>
      <family val="1"/>
    </font>
    <font>
      <sz val="16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6"/>
      <name val="ＭＳ Ｐゴシック"/>
      <family val="3"/>
      <charset val="128"/>
    </font>
    <font>
      <sz val="12"/>
      <name val="Times New Roman"/>
      <family val="1"/>
    </font>
    <font>
      <sz val="6"/>
      <name val="Times New Roman"/>
      <family val="1"/>
    </font>
    <font>
      <sz val="9"/>
      <name val="ＭＳ Ｐゴシック"/>
      <family val="3"/>
      <charset val="128"/>
    </font>
    <font>
      <b/>
      <sz val="12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Times New Roman"/>
      <family val="1"/>
    </font>
    <font>
      <u/>
      <sz val="14"/>
      <color indexed="12"/>
      <name val="Times New Roman"/>
      <family val="1"/>
    </font>
    <font>
      <u/>
      <sz val="10"/>
      <color indexed="12"/>
      <name val="Times New Roman"/>
      <family val="1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2"/>
      <color indexed="81"/>
      <name val="ＭＳ Ｐゴシック"/>
      <family val="3"/>
      <charset val="128"/>
    </font>
    <font>
      <b/>
      <sz val="14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7">
    <border>
      <left/>
      <right/>
      <top/>
      <bottom/>
      <diagonal/>
    </border>
    <border>
      <left style="double">
        <color indexed="14"/>
      </left>
      <right/>
      <top style="double">
        <color indexed="14"/>
      </top>
      <bottom style="double">
        <color indexed="14"/>
      </bottom>
      <diagonal/>
    </border>
    <border>
      <left/>
      <right style="double">
        <color indexed="14"/>
      </right>
      <top style="double">
        <color indexed="14"/>
      </top>
      <bottom style="double">
        <color indexed="1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right" shrinkToFit="1"/>
    </xf>
    <xf numFmtId="0" fontId="6" fillId="0" borderId="10" xfId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9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4" xfId="0" applyFont="1" applyFill="1" applyBorder="1"/>
    <xf numFmtId="0" fontId="3" fillId="0" borderId="13" xfId="0" applyFont="1" applyBorder="1" applyAlignment="1">
      <alignment horizontal="left"/>
    </xf>
    <xf numFmtId="0" fontId="8" fillId="0" borderId="9" xfId="0" applyFont="1" applyBorder="1" applyAlignment="1">
      <alignment horizontal="left" vertical="top"/>
    </xf>
    <xf numFmtId="0" fontId="3" fillId="0" borderId="9" xfId="0" applyFont="1" applyBorder="1" applyAlignment="1">
      <alignment vertical="center"/>
    </xf>
    <xf numFmtId="0" fontId="14" fillId="0" borderId="0" xfId="0" applyFont="1"/>
    <xf numFmtId="0" fontId="11" fillId="0" borderId="6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0" borderId="14" xfId="0" applyFont="1" applyFill="1" applyBorder="1"/>
    <xf numFmtId="0" fontId="11" fillId="0" borderId="0" xfId="0" applyFont="1"/>
    <xf numFmtId="0" fontId="11" fillId="0" borderId="0" xfId="0" applyFont="1" applyAlignme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7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3" fillId="0" borderId="6" xfId="0" applyFont="1" applyBorder="1" applyAlignment="1">
      <alignment vertical="center"/>
    </xf>
    <xf numFmtId="0" fontId="3" fillId="0" borderId="14" xfId="0" applyFont="1" applyBorder="1" applyAlignment="1"/>
    <xf numFmtId="0" fontId="3" fillId="0" borderId="0" xfId="0" applyFont="1" applyBorder="1" applyAlignment="1"/>
    <xf numFmtId="0" fontId="3" fillId="0" borderId="0" xfId="0" applyFont="1" applyBorder="1" applyAlignment="1">
      <alignment shrinkToFit="1"/>
    </xf>
    <xf numFmtId="0" fontId="3" fillId="0" borderId="11" xfId="0" applyFont="1" applyBorder="1" applyAlignment="1"/>
    <xf numFmtId="0" fontId="3" fillId="0" borderId="28" xfId="0" applyFont="1" applyBorder="1" applyAlignment="1">
      <alignment horizontal="left" vertical="center" shrinkToFit="1"/>
    </xf>
    <xf numFmtId="0" fontId="3" fillId="0" borderId="29" xfId="0" applyFont="1" applyBorder="1" applyAlignment="1">
      <alignment horizontal="left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vertical="center"/>
    </xf>
    <xf numFmtId="0" fontId="3" fillId="0" borderId="40" xfId="0" applyFont="1" applyFill="1" applyBorder="1" applyAlignment="1">
      <alignment vertical="center"/>
    </xf>
    <xf numFmtId="0" fontId="3" fillId="0" borderId="41" xfId="0" applyFont="1" applyFill="1" applyBorder="1" applyAlignment="1">
      <alignment vertical="center"/>
    </xf>
    <xf numFmtId="0" fontId="3" fillId="0" borderId="42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0" fontId="3" fillId="0" borderId="62" xfId="0" applyFont="1" applyFill="1" applyBorder="1" applyAlignment="1">
      <alignment horizontal="center" vertical="center"/>
    </xf>
    <xf numFmtId="0" fontId="17" fillId="0" borderId="40" xfId="0" applyFont="1" applyBorder="1" applyAlignment="1">
      <alignment horizontal="left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68" xfId="0" applyFont="1" applyBorder="1" applyAlignment="1">
      <alignment vertical="center"/>
    </xf>
    <xf numFmtId="0" fontId="3" fillId="0" borderId="68" xfId="0" applyFont="1" applyFill="1" applyBorder="1" applyAlignment="1">
      <alignment vertical="center"/>
    </xf>
    <xf numFmtId="0" fontId="3" fillId="0" borderId="63" xfId="0" applyFont="1" applyFill="1" applyBorder="1" applyAlignment="1">
      <alignment vertical="center"/>
    </xf>
    <xf numFmtId="0" fontId="3" fillId="0" borderId="69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distributed" vertical="center" justifyLastLine="1"/>
    </xf>
    <xf numFmtId="0" fontId="3" fillId="0" borderId="80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0" borderId="35" xfId="0" applyFont="1" applyFill="1" applyBorder="1" applyAlignment="1">
      <alignment vertical="center"/>
    </xf>
    <xf numFmtId="0" fontId="3" fillId="0" borderId="82" xfId="0" applyFont="1" applyFill="1" applyBorder="1" applyAlignment="1">
      <alignment horizontal="right" vertical="center"/>
    </xf>
    <xf numFmtId="0" fontId="3" fillId="0" borderId="39" xfId="0" applyFont="1" applyBorder="1" applyAlignment="1">
      <alignment vertical="center"/>
    </xf>
    <xf numFmtId="0" fontId="3" fillId="0" borderId="39" xfId="0" applyFont="1" applyFill="1" applyBorder="1" applyAlignment="1">
      <alignment vertical="center"/>
    </xf>
    <xf numFmtId="0" fontId="3" fillId="0" borderId="85" xfId="0" applyFont="1" applyFill="1" applyBorder="1" applyAlignment="1">
      <alignment horizontal="right" vertical="center"/>
    </xf>
    <xf numFmtId="167" fontId="3" fillId="0" borderId="10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89" xfId="0" applyFont="1" applyFill="1" applyBorder="1" applyAlignment="1">
      <alignment vertical="center"/>
    </xf>
    <xf numFmtId="0" fontId="17" fillId="0" borderId="2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distributed" vertical="center"/>
    </xf>
    <xf numFmtId="0" fontId="3" fillId="0" borderId="89" xfId="0" applyFont="1" applyFill="1" applyBorder="1" applyAlignment="1">
      <alignment horizontal="distributed" vertical="center"/>
    </xf>
    <xf numFmtId="0" fontId="3" fillId="0" borderId="3" xfId="0" applyFont="1" applyFill="1" applyBorder="1" applyAlignment="1">
      <alignment horizontal="right" vertical="center"/>
    </xf>
    <xf numFmtId="0" fontId="3" fillId="0" borderId="90" xfId="0" applyFont="1" applyBorder="1" applyAlignment="1">
      <alignment horizontal="center" vertical="center"/>
    </xf>
    <xf numFmtId="0" fontId="3" fillId="0" borderId="91" xfId="0" applyFont="1" applyBorder="1" applyAlignment="1">
      <alignment vertical="center"/>
    </xf>
    <xf numFmtId="0" fontId="3" fillId="0" borderId="92" xfId="0" applyFont="1" applyBorder="1" applyAlignment="1">
      <alignment vertical="center"/>
    </xf>
    <xf numFmtId="0" fontId="3" fillId="0" borderId="91" xfId="0" applyFont="1" applyFill="1" applyBorder="1" applyAlignment="1">
      <alignment vertical="center"/>
    </xf>
    <xf numFmtId="0" fontId="3" fillId="0" borderId="93" xfId="0" applyFont="1" applyFill="1" applyBorder="1" applyAlignment="1">
      <alignment horizontal="right" vertical="center"/>
    </xf>
    <xf numFmtId="0" fontId="17" fillId="0" borderId="94" xfId="0" applyFont="1" applyFill="1" applyBorder="1" applyAlignment="1">
      <alignment vertical="center"/>
    </xf>
    <xf numFmtId="0" fontId="17" fillId="0" borderId="24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/>
    </xf>
    <xf numFmtId="0" fontId="3" fillId="0" borderId="25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20" fontId="11" fillId="0" borderId="22" xfId="0" applyNumberFormat="1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 shrinkToFit="1"/>
    </xf>
    <xf numFmtId="0" fontId="6" fillId="0" borderId="2" xfId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 shrinkToFit="1"/>
    </xf>
    <xf numFmtId="0" fontId="3" fillId="0" borderId="16" xfId="0" applyFont="1" applyBorder="1" applyAlignment="1">
      <alignment horizontal="center" vertical="center" wrapText="1" shrinkToFi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top" wrapText="1" shrinkToFit="1"/>
    </xf>
    <xf numFmtId="0" fontId="12" fillId="0" borderId="7" xfId="0" applyFont="1" applyBorder="1" applyAlignment="1">
      <alignment horizontal="center" vertical="top" shrinkToFit="1"/>
    </xf>
    <xf numFmtId="0" fontId="8" fillId="0" borderId="7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shrinkToFit="1"/>
    </xf>
    <xf numFmtId="0" fontId="11" fillId="0" borderId="17" xfId="0" applyFont="1" applyBorder="1" applyAlignment="1">
      <alignment horizontal="center" shrinkToFit="1"/>
    </xf>
    <xf numFmtId="0" fontId="11" fillId="0" borderId="9" xfId="0" applyFont="1" applyBorder="1" applyAlignment="1">
      <alignment horizontal="center" shrinkToFit="1"/>
    </xf>
    <xf numFmtId="0" fontId="11" fillId="0" borderId="12" xfId="0" applyFont="1" applyBorder="1" applyAlignment="1">
      <alignment horizontal="center" shrinkToFit="1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8" xfId="0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168" fontId="11" fillId="0" borderId="7" xfId="0" applyNumberFormat="1" applyFont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168" fontId="11" fillId="0" borderId="9" xfId="0" applyNumberFormat="1" applyFont="1" applyBorder="1" applyAlignment="1">
      <alignment horizontal="center" vertical="center"/>
    </xf>
    <xf numFmtId="168" fontId="11" fillId="0" borderId="12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4" fontId="11" fillId="0" borderId="3" xfId="0" applyNumberFormat="1" applyFont="1" applyFill="1" applyBorder="1" applyAlignment="1">
      <alignment horizontal="center" vertical="center"/>
    </xf>
    <xf numFmtId="164" fontId="11" fillId="0" borderId="5" xfId="0" applyNumberFormat="1" applyFont="1" applyFill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20" fontId="11" fillId="0" borderId="21" xfId="0" applyNumberFormat="1" applyFont="1" applyBorder="1" applyAlignment="1">
      <alignment horizontal="center" vertical="center"/>
    </xf>
    <xf numFmtId="20" fontId="11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shrinkToFit="1"/>
    </xf>
    <xf numFmtId="0" fontId="11" fillId="0" borderId="7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shrinkToFit="1"/>
    </xf>
    <xf numFmtId="0" fontId="11" fillId="0" borderId="4" xfId="0" applyFont="1" applyBorder="1" applyAlignment="1">
      <alignment horizontal="center" vertical="center" shrinkToFit="1"/>
    </xf>
    <xf numFmtId="0" fontId="3" fillId="0" borderId="8" xfId="0" applyFont="1" applyBorder="1" applyAlignment="1">
      <alignment vertical="center" shrinkToFit="1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shrinkToFit="1"/>
    </xf>
    <xf numFmtId="0" fontId="11" fillId="0" borderId="18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165" fontId="11" fillId="0" borderId="21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vertical="center" shrinkToFit="1"/>
    </xf>
    <xf numFmtId="0" fontId="17" fillId="0" borderId="2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20" fontId="11" fillId="0" borderId="4" xfId="0" quotePrefix="1" applyNumberFormat="1" applyFont="1" applyBorder="1" applyAlignment="1">
      <alignment horizontal="center" vertical="center"/>
    </xf>
    <xf numFmtId="164" fontId="11" fillId="5" borderId="3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/>
    </xf>
    <xf numFmtId="0" fontId="11" fillId="0" borderId="9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20" fontId="11" fillId="0" borderId="95" xfId="0" applyNumberFormat="1" applyFont="1" applyBorder="1" applyAlignment="1">
      <alignment horizontal="center" vertical="center"/>
    </xf>
    <xf numFmtId="20" fontId="11" fillId="0" borderId="26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8" fontId="3" fillId="0" borderId="4" xfId="0" applyNumberFormat="1" applyFont="1" applyBorder="1" applyAlignment="1"/>
    <xf numFmtId="168" fontId="3" fillId="0" borderId="5" xfId="0" applyNumberFormat="1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left" vertical="center" wrapText="1" shrinkToFit="1"/>
    </xf>
    <xf numFmtId="0" fontId="3" fillId="0" borderId="4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11" xfId="0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  <xf numFmtId="168" fontId="17" fillId="0" borderId="3" xfId="0" applyNumberFormat="1" applyFont="1" applyBorder="1" applyAlignment="1">
      <alignment horizontal="center" vertical="center"/>
    </xf>
    <xf numFmtId="168" fontId="17" fillId="0" borderId="4" xfId="0" applyNumberFormat="1" applyFont="1" applyBorder="1" applyAlignment="1">
      <alignment horizontal="center" vertical="center"/>
    </xf>
    <xf numFmtId="168" fontId="17" fillId="0" borderId="5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34" xfId="0" applyFont="1" applyFill="1" applyBorder="1" applyAlignment="1">
      <alignment horizontal="left" vertical="center"/>
    </xf>
    <xf numFmtId="0" fontId="3" fillId="0" borderId="35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3" fillId="0" borderId="34" xfId="0" applyFont="1" applyFill="1" applyBorder="1" applyAlignment="1">
      <alignment horizontal="right" vertical="center"/>
    </xf>
    <xf numFmtId="0" fontId="3" fillId="0" borderId="36" xfId="0" applyFont="1" applyFill="1" applyBorder="1" applyAlignment="1">
      <alignment horizontal="right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8" fillId="0" borderId="0" xfId="1" applyFont="1" applyBorder="1" applyAlignment="1">
      <alignment horizontal="center" vertical="center"/>
    </xf>
    <xf numFmtId="0" fontId="19" fillId="0" borderId="0" xfId="1" applyFont="1" applyBorder="1" applyAlignment="1">
      <alignment horizontal="center" vertical="center" wrapText="1"/>
    </xf>
    <xf numFmtId="0" fontId="19" fillId="0" borderId="0" xfId="1" applyFont="1" applyBorder="1" applyAlignment="1">
      <alignment horizontal="center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horizontal="right" vertical="center"/>
    </xf>
    <xf numFmtId="0" fontId="3" fillId="0" borderId="43" xfId="0" applyFont="1" applyFill="1" applyBorder="1" applyAlignment="1">
      <alignment horizontal="right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left" vertical="center"/>
    </xf>
    <xf numFmtId="0" fontId="3" fillId="0" borderId="48" xfId="0" applyFont="1" applyFill="1" applyBorder="1" applyAlignment="1">
      <alignment horizontal="left" vertical="center"/>
    </xf>
    <xf numFmtId="0" fontId="3" fillId="0" borderId="49" xfId="0" applyFont="1" applyFill="1" applyBorder="1" applyAlignment="1">
      <alignment horizontal="left" vertical="center"/>
    </xf>
    <xf numFmtId="0" fontId="3" fillId="0" borderId="47" xfId="0" applyFont="1" applyFill="1" applyBorder="1" applyAlignment="1">
      <alignment horizontal="right" vertical="center"/>
    </xf>
    <xf numFmtId="0" fontId="3" fillId="0" borderId="49" xfId="0" applyFont="1" applyFill="1" applyBorder="1" applyAlignment="1">
      <alignment horizontal="right" vertical="center"/>
    </xf>
    <xf numFmtId="0" fontId="3" fillId="0" borderId="47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horizontal="left" vertical="center"/>
    </xf>
    <xf numFmtId="0" fontId="3" fillId="0" borderId="56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0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21" xfId="0" applyFont="1" applyFill="1" applyBorder="1" applyAlignment="1">
      <alignment horizontal="center" vertical="center" shrinkToFit="1"/>
    </xf>
    <xf numFmtId="0" fontId="3" fillId="0" borderId="63" xfId="0" applyFont="1" applyFill="1" applyBorder="1" applyAlignment="1">
      <alignment horizontal="left" vertical="center"/>
    </xf>
    <xf numFmtId="0" fontId="3" fillId="0" borderId="64" xfId="0" applyFont="1" applyFill="1" applyBorder="1" applyAlignment="1">
      <alignment horizontal="left" vertical="center"/>
    </xf>
    <xf numFmtId="0" fontId="3" fillId="0" borderId="65" xfId="0" applyFont="1" applyFill="1" applyBorder="1" applyAlignment="1">
      <alignment horizontal="left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left" vertical="center"/>
    </xf>
    <xf numFmtId="0" fontId="3" fillId="0" borderId="71" xfId="0" applyFont="1" applyFill="1" applyBorder="1" applyAlignment="1">
      <alignment horizontal="left" vertical="center"/>
    </xf>
    <xf numFmtId="0" fontId="3" fillId="0" borderId="72" xfId="0" applyFont="1" applyFill="1" applyBorder="1" applyAlignment="1">
      <alignment horizontal="left" vertical="center"/>
    </xf>
    <xf numFmtId="0" fontId="3" fillId="0" borderId="70" xfId="0" applyFont="1" applyFill="1" applyBorder="1" applyAlignment="1">
      <alignment horizontal="center" vertical="center"/>
    </xf>
    <xf numFmtId="0" fontId="3" fillId="0" borderId="73" xfId="0" applyFont="1" applyFill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7" xfId="0" applyFont="1" applyFill="1" applyBorder="1" applyAlignment="1">
      <alignment horizontal="distributed" vertical="center" justifyLastLine="1"/>
    </xf>
    <xf numFmtId="0" fontId="3" fillId="0" borderId="78" xfId="0" applyFont="1" applyFill="1" applyBorder="1" applyAlignment="1">
      <alignment horizontal="center" vertical="center"/>
    </xf>
    <xf numFmtId="0" fontId="3" fillId="0" borderId="77" xfId="0" applyFont="1" applyFill="1" applyBorder="1" applyAlignment="1">
      <alignment horizontal="center" vertical="center"/>
    </xf>
    <xf numFmtId="0" fontId="3" fillId="0" borderId="79" xfId="0" applyFont="1" applyFill="1" applyBorder="1" applyAlignment="1">
      <alignment horizontal="center" vertical="center"/>
    </xf>
    <xf numFmtId="0" fontId="3" fillId="0" borderId="8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0" fontId="3" fillId="0" borderId="8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4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28</xdr:row>
      <xdr:rowOff>76200</xdr:rowOff>
    </xdr:from>
    <xdr:to>
      <xdr:col>0</xdr:col>
      <xdr:colOff>514350</xdr:colOff>
      <xdr:row>28</xdr:row>
      <xdr:rowOff>419100</xdr:rowOff>
    </xdr:to>
    <xdr:sp macro="" textlink="">
      <xdr:nvSpPr>
        <xdr:cNvPr id="9" name="Oval 281"/>
        <xdr:cNvSpPr>
          <a:spLocks noChangeArrowheads="1"/>
        </xdr:cNvSpPr>
      </xdr:nvSpPr>
      <xdr:spPr bwMode="auto">
        <a:xfrm>
          <a:off x="161925" y="100774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29</xdr:row>
      <xdr:rowOff>76200</xdr:rowOff>
    </xdr:from>
    <xdr:to>
      <xdr:col>0</xdr:col>
      <xdr:colOff>514350</xdr:colOff>
      <xdr:row>29</xdr:row>
      <xdr:rowOff>419100</xdr:rowOff>
    </xdr:to>
    <xdr:sp macro="" textlink="">
      <xdr:nvSpPr>
        <xdr:cNvPr id="11" name="Oval 283"/>
        <xdr:cNvSpPr>
          <a:spLocks noChangeArrowheads="1"/>
        </xdr:cNvSpPr>
      </xdr:nvSpPr>
      <xdr:spPr bwMode="auto">
        <a:xfrm>
          <a:off x="161925" y="1058227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30</xdr:row>
      <xdr:rowOff>76200</xdr:rowOff>
    </xdr:from>
    <xdr:to>
      <xdr:col>0</xdr:col>
      <xdr:colOff>514350</xdr:colOff>
      <xdr:row>30</xdr:row>
      <xdr:rowOff>419100</xdr:rowOff>
    </xdr:to>
    <xdr:sp macro="" textlink="">
      <xdr:nvSpPr>
        <xdr:cNvPr id="12" name="Oval 284"/>
        <xdr:cNvSpPr>
          <a:spLocks noChangeArrowheads="1"/>
        </xdr:cNvSpPr>
      </xdr:nvSpPr>
      <xdr:spPr bwMode="auto">
        <a:xfrm>
          <a:off x="161925" y="1108710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32</xdr:row>
      <xdr:rowOff>76200</xdr:rowOff>
    </xdr:from>
    <xdr:to>
      <xdr:col>0</xdr:col>
      <xdr:colOff>514350</xdr:colOff>
      <xdr:row>32</xdr:row>
      <xdr:rowOff>419100</xdr:rowOff>
    </xdr:to>
    <xdr:sp macro="" textlink="">
      <xdr:nvSpPr>
        <xdr:cNvPr id="13" name="Oval 285"/>
        <xdr:cNvSpPr>
          <a:spLocks noChangeArrowheads="1"/>
        </xdr:cNvSpPr>
      </xdr:nvSpPr>
      <xdr:spPr bwMode="auto">
        <a:xfrm>
          <a:off x="161925" y="1159192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46</xdr:col>
      <xdr:colOff>85725</xdr:colOff>
      <xdr:row>0</xdr:row>
      <xdr:rowOff>28575</xdr:rowOff>
    </xdr:from>
    <xdr:to>
      <xdr:col>48</xdr:col>
      <xdr:colOff>619125</xdr:colOff>
      <xdr:row>1</xdr:row>
      <xdr:rowOff>104775</xdr:rowOff>
    </xdr:to>
    <xdr:sp macro="" textlink="">
      <xdr:nvSpPr>
        <xdr:cNvPr id="1025" name="CommandButton1" hidden="1">
          <a:extLst>
            <a:ext uri="{63B3BB69-23CF-44E3-9099-C40C66FF867C}">
              <a14:compatExt xmlns:a14="http://schemas.microsoft.com/office/drawing/2010/main" spid="_x0000_s102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>
    <xdr:from>
      <xdr:col>34</xdr:col>
      <xdr:colOff>95251</xdr:colOff>
      <xdr:row>21</xdr:row>
      <xdr:rowOff>142875</xdr:rowOff>
    </xdr:from>
    <xdr:to>
      <xdr:col>35</xdr:col>
      <xdr:colOff>104776</xdr:colOff>
      <xdr:row>21</xdr:row>
      <xdr:rowOff>346761</xdr:rowOff>
    </xdr:to>
    <xdr:sp macro="" textlink="">
      <xdr:nvSpPr>
        <xdr:cNvPr id="18" name="Oval 274"/>
        <xdr:cNvSpPr>
          <a:spLocks noChangeArrowheads="1"/>
        </xdr:cNvSpPr>
      </xdr:nvSpPr>
      <xdr:spPr bwMode="auto">
        <a:xfrm>
          <a:off x="9296401" y="61055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22</xdr:row>
      <xdr:rowOff>142875</xdr:rowOff>
    </xdr:from>
    <xdr:to>
      <xdr:col>35</xdr:col>
      <xdr:colOff>104776</xdr:colOff>
      <xdr:row>22</xdr:row>
      <xdr:rowOff>346761</xdr:rowOff>
    </xdr:to>
    <xdr:sp macro="" textlink="">
      <xdr:nvSpPr>
        <xdr:cNvPr id="29" name="Oval 274"/>
        <xdr:cNvSpPr>
          <a:spLocks noChangeArrowheads="1"/>
        </xdr:cNvSpPr>
      </xdr:nvSpPr>
      <xdr:spPr bwMode="auto">
        <a:xfrm>
          <a:off x="7991476" y="61055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31</xdr:row>
      <xdr:rowOff>76200</xdr:rowOff>
    </xdr:from>
    <xdr:to>
      <xdr:col>0</xdr:col>
      <xdr:colOff>514350</xdr:colOff>
      <xdr:row>31</xdr:row>
      <xdr:rowOff>419100</xdr:rowOff>
    </xdr:to>
    <xdr:sp macro="" textlink="">
      <xdr:nvSpPr>
        <xdr:cNvPr id="42" name="Oval 285"/>
        <xdr:cNvSpPr>
          <a:spLocks noChangeArrowheads="1"/>
        </xdr:cNvSpPr>
      </xdr:nvSpPr>
      <xdr:spPr bwMode="auto">
        <a:xfrm>
          <a:off x="161925" y="120967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21</xdr:row>
      <xdr:rowOff>142875</xdr:rowOff>
    </xdr:from>
    <xdr:to>
      <xdr:col>42</xdr:col>
      <xdr:colOff>114301</xdr:colOff>
      <xdr:row>21</xdr:row>
      <xdr:rowOff>346761</xdr:rowOff>
    </xdr:to>
    <xdr:sp macro="" textlink="">
      <xdr:nvSpPr>
        <xdr:cNvPr id="40" name="Oval 274"/>
        <xdr:cNvSpPr>
          <a:spLocks noChangeArrowheads="1"/>
        </xdr:cNvSpPr>
      </xdr:nvSpPr>
      <xdr:spPr bwMode="auto">
        <a:xfrm>
          <a:off x="9363076" y="60293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22</xdr:row>
      <xdr:rowOff>142875</xdr:rowOff>
    </xdr:from>
    <xdr:to>
      <xdr:col>42</xdr:col>
      <xdr:colOff>114301</xdr:colOff>
      <xdr:row>22</xdr:row>
      <xdr:rowOff>346761</xdr:rowOff>
    </xdr:to>
    <xdr:sp macro="" textlink="">
      <xdr:nvSpPr>
        <xdr:cNvPr id="41" name="Oval 274"/>
        <xdr:cNvSpPr>
          <a:spLocks noChangeArrowheads="1"/>
        </xdr:cNvSpPr>
      </xdr:nvSpPr>
      <xdr:spPr bwMode="auto">
        <a:xfrm>
          <a:off x="936307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23</xdr:row>
      <xdr:rowOff>142875</xdr:rowOff>
    </xdr:from>
    <xdr:to>
      <xdr:col>35</xdr:col>
      <xdr:colOff>104776</xdr:colOff>
      <xdr:row>23</xdr:row>
      <xdr:rowOff>346761</xdr:rowOff>
    </xdr:to>
    <xdr:sp macro="" textlink="">
      <xdr:nvSpPr>
        <xdr:cNvPr id="19" name="Oval 274"/>
        <xdr:cNvSpPr>
          <a:spLocks noChangeArrowheads="1"/>
        </xdr:cNvSpPr>
      </xdr:nvSpPr>
      <xdr:spPr bwMode="auto">
        <a:xfrm>
          <a:off x="804862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23</xdr:row>
      <xdr:rowOff>142875</xdr:rowOff>
    </xdr:from>
    <xdr:to>
      <xdr:col>42</xdr:col>
      <xdr:colOff>114301</xdr:colOff>
      <xdr:row>23</xdr:row>
      <xdr:rowOff>346761</xdr:rowOff>
    </xdr:to>
    <xdr:sp macro="" textlink="">
      <xdr:nvSpPr>
        <xdr:cNvPr id="20" name="Oval 274"/>
        <xdr:cNvSpPr>
          <a:spLocks noChangeArrowheads="1"/>
        </xdr:cNvSpPr>
      </xdr:nvSpPr>
      <xdr:spPr bwMode="auto">
        <a:xfrm>
          <a:off x="936307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46</xdr:col>
      <xdr:colOff>85725</xdr:colOff>
      <xdr:row>0</xdr:row>
      <xdr:rowOff>28575</xdr:rowOff>
    </xdr:from>
    <xdr:to>
      <xdr:col>48</xdr:col>
      <xdr:colOff>619125</xdr:colOff>
      <xdr:row>1</xdr:row>
      <xdr:rowOff>104775</xdr:rowOff>
    </xdr:to>
    <xdr:pic>
      <xdr:nvPicPr>
        <xdr:cNvPr id="6" name="CommandButton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4150" y="28575"/>
          <a:ext cx="1038225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ily%20report%20for%20Business%20trip\6.Daily%20Report%20of%20Chie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(Chief)"/>
      <sheetName val="Employee code"/>
      <sheetName val="Back side (Items)"/>
      <sheetName val="①"/>
      <sheetName val="②"/>
      <sheetName val="③"/>
      <sheetName val="④"/>
      <sheetName val="⑤"/>
      <sheetName val="⑥"/>
      <sheetName val="⑦"/>
      <sheetName val="⑧"/>
      <sheetName val="⑨"/>
      <sheetName val="⑩"/>
      <sheetName val="⑪"/>
      <sheetName val="⑫"/>
      <sheetName val="⑬"/>
      <sheetName val="⑭"/>
      <sheetName val="⑮"/>
      <sheetName val="⑯"/>
    </sheetNames>
    <sheetDataSet>
      <sheetData sheetId="0"/>
      <sheetData sheetId="1">
        <row r="1">
          <cell r="B1" t="str">
            <v>Reference Number</v>
          </cell>
          <cell r="C1" t="str">
            <v>Employee Number</v>
          </cell>
          <cell r="D1" t="str">
            <v>Name</v>
          </cell>
        </row>
        <row r="3">
          <cell r="B3">
            <v>1</v>
          </cell>
          <cell r="C3">
            <v>182015</v>
          </cell>
          <cell r="D3" t="str">
            <v>Masami Oue</v>
          </cell>
        </row>
        <row r="4">
          <cell r="B4">
            <v>2</v>
          </cell>
          <cell r="C4">
            <v>201403</v>
          </cell>
          <cell r="D4" t="str">
            <v>Kim Van Dung</v>
          </cell>
        </row>
        <row r="5">
          <cell r="B5">
            <v>3</v>
          </cell>
          <cell r="C5">
            <v>201404</v>
          </cell>
          <cell r="D5" t="str">
            <v>Nguyen Thien Hung</v>
          </cell>
        </row>
        <row r="6">
          <cell r="B6">
            <v>4</v>
          </cell>
          <cell r="C6">
            <v>201405</v>
          </cell>
          <cell r="D6" t="str">
            <v>Vo Quoc Bao</v>
          </cell>
        </row>
        <row r="7">
          <cell r="B7">
            <v>5</v>
          </cell>
          <cell r="C7">
            <v>201406</v>
          </cell>
          <cell r="D7" t="str">
            <v>Ta Tran Hoai</v>
          </cell>
        </row>
        <row r="8">
          <cell r="B8">
            <v>6</v>
          </cell>
          <cell r="C8">
            <v>201407</v>
          </cell>
          <cell r="D8" t="str">
            <v>Nguyen Hong Tinh</v>
          </cell>
        </row>
        <row r="9">
          <cell r="B9">
            <v>7</v>
          </cell>
          <cell r="C9">
            <v>201409</v>
          </cell>
          <cell r="D9" t="str">
            <v>Dang Van Dien</v>
          </cell>
        </row>
        <row r="10">
          <cell r="B10">
            <v>8</v>
          </cell>
          <cell r="C10">
            <v>201410</v>
          </cell>
          <cell r="D10" t="str">
            <v>Nguyen Thanh Loi</v>
          </cell>
        </row>
        <row r="11">
          <cell r="B11">
            <v>9</v>
          </cell>
          <cell r="C11">
            <v>201411</v>
          </cell>
          <cell r="D11" t="str">
            <v>Nguyen Tran Minh Toan</v>
          </cell>
        </row>
        <row r="12">
          <cell r="B12">
            <v>10</v>
          </cell>
          <cell r="C12">
            <v>201412</v>
          </cell>
          <cell r="D12" t="str">
            <v>Ha Cuong Tuyen</v>
          </cell>
        </row>
        <row r="13">
          <cell r="B13">
            <v>11</v>
          </cell>
          <cell r="C13">
            <v>201501</v>
          </cell>
          <cell r="D13" t="str">
            <v>Nguyen Minh Nhat</v>
          </cell>
        </row>
        <row r="14">
          <cell r="B14">
            <v>12</v>
          </cell>
          <cell r="C14">
            <v>201502</v>
          </cell>
          <cell r="D14" t="str">
            <v>Nguyen Minh Thanh</v>
          </cell>
        </row>
        <row r="15">
          <cell r="B15">
            <v>13</v>
          </cell>
          <cell r="C15">
            <v>201503</v>
          </cell>
          <cell r="D15" t="str">
            <v>Duong Thi Thu Yen</v>
          </cell>
        </row>
        <row r="16">
          <cell r="B16">
            <v>14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24</v>
          </cell>
        </row>
        <row r="27">
          <cell r="B27">
            <v>25</v>
          </cell>
        </row>
        <row r="28">
          <cell r="B28">
            <v>26</v>
          </cell>
        </row>
        <row r="29">
          <cell r="B29">
            <v>27</v>
          </cell>
        </row>
        <row r="30">
          <cell r="B30">
            <v>28</v>
          </cell>
        </row>
        <row r="31">
          <cell r="B31">
            <v>29</v>
          </cell>
        </row>
        <row r="32">
          <cell r="B32">
            <v>30</v>
          </cell>
        </row>
        <row r="33">
          <cell r="B33">
            <v>31</v>
          </cell>
        </row>
        <row r="34">
          <cell r="B34">
            <v>32</v>
          </cell>
        </row>
        <row r="35">
          <cell r="B35">
            <v>33</v>
          </cell>
        </row>
        <row r="36">
          <cell r="B36">
            <v>34</v>
          </cell>
        </row>
        <row r="37">
          <cell r="B37">
            <v>35</v>
          </cell>
        </row>
        <row r="38">
          <cell r="B38">
            <v>36</v>
          </cell>
        </row>
        <row r="39">
          <cell r="B39">
            <v>37</v>
          </cell>
        </row>
        <row r="40">
          <cell r="B40">
            <v>38</v>
          </cell>
        </row>
        <row r="41">
          <cell r="B41">
            <v>39</v>
          </cell>
        </row>
        <row r="42">
          <cell r="B42">
            <v>40</v>
          </cell>
        </row>
        <row r="43">
          <cell r="B43">
            <v>41</v>
          </cell>
        </row>
        <row r="44">
          <cell r="B44">
            <v>42</v>
          </cell>
        </row>
        <row r="45">
          <cell r="B45">
            <v>43</v>
          </cell>
        </row>
        <row r="46">
          <cell r="B46">
            <v>44</v>
          </cell>
        </row>
        <row r="47">
          <cell r="B47">
            <v>45</v>
          </cell>
        </row>
        <row r="48">
          <cell r="B48">
            <v>46</v>
          </cell>
        </row>
        <row r="49">
          <cell r="B49">
            <v>47</v>
          </cell>
        </row>
        <row r="50">
          <cell r="B50">
            <v>48</v>
          </cell>
        </row>
        <row r="51">
          <cell r="B51">
            <v>49</v>
          </cell>
        </row>
        <row r="52">
          <cell r="B52">
            <v>50</v>
          </cell>
        </row>
        <row r="53">
          <cell r="B53">
            <v>51</v>
          </cell>
        </row>
        <row r="54">
          <cell r="B54">
            <v>52</v>
          </cell>
        </row>
        <row r="55">
          <cell r="B55">
            <v>53</v>
          </cell>
        </row>
        <row r="56">
          <cell r="B56">
            <v>54</v>
          </cell>
        </row>
        <row r="57">
          <cell r="B57">
            <v>55</v>
          </cell>
        </row>
        <row r="58">
          <cell r="B58">
            <v>56</v>
          </cell>
        </row>
        <row r="59">
          <cell r="B59">
            <v>57</v>
          </cell>
        </row>
        <row r="60">
          <cell r="B60">
            <v>58</v>
          </cell>
        </row>
        <row r="61">
          <cell r="B61">
            <v>59</v>
          </cell>
        </row>
        <row r="62">
          <cell r="B62">
            <v>60</v>
          </cell>
        </row>
        <row r="63">
          <cell r="B63">
            <v>61</v>
          </cell>
        </row>
        <row r="64">
          <cell r="B64">
            <v>62</v>
          </cell>
        </row>
        <row r="65">
          <cell r="B65">
            <v>63</v>
          </cell>
        </row>
        <row r="66">
          <cell r="B66">
            <v>64</v>
          </cell>
        </row>
        <row r="67">
          <cell r="B67">
            <v>65</v>
          </cell>
        </row>
        <row r="68">
          <cell r="B68">
            <v>66</v>
          </cell>
        </row>
        <row r="69">
          <cell r="B69">
            <v>67</v>
          </cell>
        </row>
        <row r="70">
          <cell r="B70">
            <v>68</v>
          </cell>
        </row>
        <row r="71">
          <cell r="B71">
            <v>69</v>
          </cell>
        </row>
        <row r="72">
          <cell r="B72">
            <v>70</v>
          </cell>
        </row>
        <row r="73">
          <cell r="B73">
            <v>71</v>
          </cell>
        </row>
        <row r="74">
          <cell r="B74">
            <v>72</v>
          </cell>
        </row>
        <row r="75">
          <cell r="B75">
            <v>73</v>
          </cell>
        </row>
        <row r="76">
          <cell r="B76">
            <v>74</v>
          </cell>
        </row>
        <row r="77">
          <cell r="B77">
            <v>75</v>
          </cell>
        </row>
        <row r="78">
          <cell r="B78">
            <v>76</v>
          </cell>
        </row>
        <row r="79">
          <cell r="B79">
            <v>77</v>
          </cell>
        </row>
        <row r="80">
          <cell r="B80">
            <v>78</v>
          </cell>
        </row>
        <row r="81">
          <cell r="B81">
            <v>79</v>
          </cell>
        </row>
        <row r="82">
          <cell r="B82">
            <v>80</v>
          </cell>
        </row>
        <row r="83">
          <cell r="B83">
            <v>81</v>
          </cell>
        </row>
        <row r="84">
          <cell r="B84">
            <v>82</v>
          </cell>
        </row>
        <row r="85">
          <cell r="B85">
            <v>83</v>
          </cell>
        </row>
        <row r="86">
          <cell r="B86">
            <v>84</v>
          </cell>
        </row>
        <row r="87">
          <cell r="B87">
            <v>85</v>
          </cell>
        </row>
        <row r="88">
          <cell r="B88">
            <v>86</v>
          </cell>
        </row>
        <row r="89">
          <cell r="B89">
            <v>87</v>
          </cell>
        </row>
        <row r="90">
          <cell r="B90">
            <v>88</v>
          </cell>
        </row>
        <row r="91">
          <cell r="B91">
            <v>89</v>
          </cell>
        </row>
        <row r="92">
          <cell r="B92">
            <v>90</v>
          </cell>
        </row>
        <row r="93">
          <cell r="B93">
            <v>91</v>
          </cell>
        </row>
        <row r="94">
          <cell r="B94">
            <v>92</v>
          </cell>
        </row>
        <row r="95">
          <cell r="B95">
            <v>93</v>
          </cell>
        </row>
        <row r="96">
          <cell r="B96">
            <v>94</v>
          </cell>
        </row>
        <row r="97">
          <cell r="B97">
            <v>95</v>
          </cell>
        </row>
        <row r="98">
          <cell r="B98">
            <v>96</v>
          </cell>
        </row>
        <row r="99">
          <cell r="B99">
            <v>97</v>
          </cell>
        </row>
        <row r="100">
          <cell r="B100">
            <v>98</v>
          </cell>
        </row>
        <row r="101">
          <cell r="B101">
            <v>99</v>
          </cell>
        </row>
        <row r="102">
          <cell r="B102">
            <v>100</v>
          </cell>
        </row>
        <row r="103">
          <cell r="B103">
            <v>101</v>
          </cell>
        </row>
        <row r="104">
          <cell r="B104">
            <v>102</v>
          </cell>
        </row>
        <row r="105">
          <cell r="B105">
            <v>103</v>
          </cell>
        </row>
        <row r="106">
          <cell r="B106">
            <v>104</v>
          </cell>
        </row>
        <row r="107">
          <cell r="B107">
            <v>105</v>
          </cell>
        </row>
        <row r="108">
          <cell r="B108">
            <v>106</v>
          </cell>
        </row>
        <row r="109">
          <cell r="B109">
            <v>107</v>
          </cell>
        </row>
        <row r="110">
          <cell r="B110">
            <v>108</v>
          </cell>
        </row>
        <row r="111">
          <cell r="B111">
            <v>109</v>
          </cell>
        </row>
        <row r="112">
          <cell r="B112">
            <v>110</v>
          </cell>
        </row>
        <row r="113">
          <cell r="B113">
            <v>111</v>
          </cell>
        </row>
        <row r="114">
          <cell r="B114">
            <v>112</v>
          </cell>
        </row>
        <row r="115">
          <cell r="B115">
            <v>113</v>
          </cell>
        </row>
        <row r="116">
          <cell r="B116">
            <v>114</v>
          </cell>
        </row>
        <row r="117">
          <cell r="B117">
            <v>115</v>
          </cell>
        </row>
        <row r="118">
          <cell r="B118">
            <v>116</v>
          </cell>
        </row>
        <row r="119">
          <cell r="B119">
            <v>117</v>
          </cell>
        </row>
        <row r="120">
          <cell r="B120">
            <v>118</v>
          </cell>
        </row>
        <row r="121">
          <cell r="B121">
            <v>119</v>
          </cell>
        </row>
        <row r="122">
          <cell r="B122">
            <v>120</v>
          </cell>
        </row>
        <row r="123">
          <cell r="B123">
            <v>121</v>
          </cell>
        </row>
        <row r="124">
          <cell r="B124">
            <v>122</v>
          </cell>
        </row>
        <row r="125">
          <cell r="B125">
            <v>123</v>
          </cell>
        </row>
        <row r="126">
          <cell r="B126">
            <v>124</v>
          </cell>
        </row>
        <row r="127">
          <cell r="B127">
            <v>125</v>
          </cell>
        </row>
        <row r="128">
          <cell r="B128">
            <v>126</v>
          </cell>
        </row>
        <row r="129">
          <cell r="B129">
            <v>127</v>
          </cell>
        </row>
        <row r="130">
          <cell r="B130">
            <v>128</v>
          </cell>
        </row>
        <row r="131">
          <cell r="B131">
            <v>129</v>
          </cell>
        </row>
        <row r="132">
          <cell r="B132">
            <v>130</v>
          </cell>
        </row>
        <row r="133">
          <cell r="B133">
            <v>131</v>
          </cell>
        </row>
        <row r="134">
          <cell r="B134">
            <v>132</v>
          </cell>
        </row>
        <row r="135">
          <cell r="B135">
            <v>133</v>
          </cell>
        </row>
        <row r="136">
          <cell r="B136">
            <v>134</v>
          </cell>
        </row>
        <row r="137">
          <cell r="B137">
            <v>135</v>
          </cell>
        </row>
        <row r="138">
          <cell r="B138">
            <v>136</v>
          </cell>
        </row>
        <row r="139">
          <cell r="B139">
            <v>137</v>
          </cell>
        </row>
        <row r="140">
          <cell r="B140">
            <v>138</v>
          </cell>
        </row>
        <row r="141">
          <cell r="B141">
            <v>139</v>
          </cell>
        </row>
        <row r="142">
          <cell r="B142">
            <v>140</v>
          </cell>
        </row>
        <row r="143">
          <cell r="B143">
            <v>141</v>
          </cell>
        </row>
        <row r="144">
          <cell r="B144">
            <v>142</v>
          </cell>
        </row>
        <row r="145">
          <cell r="B145">
            <v>143</v>
          </cell>
        </row>
        <row r="146">
          <cell r="B146">
            <v>144</v>
          </cell>
        </row>
        <row r="147">
          <cell r="B147">
            <v>145</v>
          </cell>
        </row>
        <row r="148">
          <cell r="B148">
            <v>146</v>
          </cell>
        </row>
        <row r="149">
          <cell r="B149">
            <v>147</v>
          </cell>
        </row>
        <row r="150">
          <cell r="B150">
            <v>148</v>
          </cell>
        </row>
        <row r="151">
          <cell r="B151">
            <v>149</v>
          </cell>
        </row>
        <row r="152">
          <cell r="B152">
            <v>150</v>
          </cell>
        </row>
        <row r="153">
          <cell r="B153">
            <v>151</v>
          </cell>
        </row>
        <row r="154">
          <cell r="B154">
            <v>152</v>
          </cell>
        </row>
        <row r="155">
          <cell r="B155">
            <v>153</v>
          </cell>
        </row>
        <row r="156">
          <cell r="B156">
            <v>154</v>
          </cell>
        </row>
        <row r="157">
          <cell r="B157">
            <v>155</v>
          </cell>
        </row>
        <row r="158">
          <cell r="B158">
            <v>156</v>
          </cell>
        </row>
        <row r="159">
          <cell r="B159">
            <v>157</v>
          </cell>
        </row>
        <row r="160">
          <cell r="B160">
            <v>158</v>
          </cell>
        </row>
        <row r="161">
          <cell r="B161">
            <v>159</v>
          </cell>
        </row>
        <row r="162">
          <cell r="B162">
            <v>160</v>
          </cell>
        </row>
        <row r="163">
          <cell r="B163">
            <v>161</v>
          </cell>
        </row>
        <row r="164">
          <cell r="B164">
            <v>162</v>
          </cell>
        </row>
        <row r="165">
          <cell r="B165">
            <v>163</v>
          </cell>
        </row>
        <row r="166">
          <cell r="B166">
            <v>164</v>
          </cell>
        </row>
        <row r="167">
          <cell r="B167">
            <v>165</v>
          </cell>
        </row>
        <row r="168">
          <cell r="B168">
            <v>166</v>
          </cell>
        </row>
        <row r="169">
          <cell r="B169">
            <v>167</v>
          </cell>
        </row>
        <row r="170">
          <cell r="B170">
            <v>168</v>
          </cell>
        </row>
        <row r="171">
          <cell r="B171">
            <v>169</v>
          </cell>
        </row>
        <row r="172">
          <cell r="B172">
            <v>170</v>
          </cell>
        </row>
        <row r="173">
          <cell r="B173">
            <v>171</v>
          </cell>
        </row>
        <row r="174">
          <cell r="B174">
            <v>172</v>
          </cell>
        </row>
        <row r="175">
          <cell r="B175">
            <v>173</v>
          </cell>
        </row>
        <row r="176">
          <cell r="B176">
            <v>174</v>
          </cell>
        </row>
        <row r="177">
          <cell r="B177">
            <v>175</v>
          </cell>
        </row>
        <row r="178">
          <cell r="B178">
            <v>176</v>
          </cell>
        </row>
        <row r="179">
          <cell r="B179">
            <v>177</v>
          </cell>
        </row>
        <row r="180">
          <cell r="B180">
            <v>178</v>
          </cell>
        </row>
        <row r="181">
          <cell r="B181">
            <v>179</v>
          </cell>
        </row>
        <row r="182">
          <cell r="B182">
            <v>180</v>
          </cell>
        </row>
        <row r="183">
          <cell r="B183">
            <v>181</v>
          </cell>
        </row>
        <row r="184">
          <cell r="B184">
            <v>182</v>
          </cell>
        </row>
        <row r="185">
          <cell r="B185">
            <v>183</v>
          </cell>
        </row>
        <row r="186">
          <cell r="B186">
            <v>184</v>
          </cell>
        </row>
        <row r="187">
          <cell r="B187">
            <v>185</v>
          </cell>
        </row>
        <row r="188">
          <cell r="B188">
            <v>186</v>
          </cell>
        </row>
        <row r="189">
          <cell r="B189">
            <v>187</v>
          </cell>
        </row>
        <row r="190">
          <cell r="B190">
            <v>188</v>
          </cell>
        </row>
        <row r="191">
          <cell r="B191">
            <v>189</v>
          </cell>
        </row>
        <row r="192">
          <cell r="B192">
            <v>190</v>
          </cell>
        </row>
        <row r="193">
          <cell r="B193">
            <v>191</v>
          </cell>
        </row>
        <row r="194">
          <cell r="B194">
            <v>192</v>
          </cell>
        </row>
        <row r="195">
          <cell r="B195">
            <v>193</v>
          </cell>
        </row>
        <row r="196">
          <cell r="B196">
            <v>194</v>
          </cell>
        </row>
        <row r="197">
          <cell r="B197">
            <v>195</v>
          </cell>
        </row>
        <row r="198">
          <cell r="B198">
            <v>196</v>
          </cell>
        </row>
        <row r="199">
          <cell r="B199">
            <v>197</v>
          </cell>
        </row>
        <row r="200">
          <cell r="B200">
            <v>198</v>
          </cell>
        </row>
        <row r="201">
          <cell r="B201">
            <v>199</v>
          </cell>
        </row>
        <row r="202">
          <cell r="B202">
            <v>200</v>
          </cell>
        </row>
        <row r="203">
          <cell r="B203">
            <v>201</v>
          </cell>
        </row>
        <row r="204">
          <cell r="B204">
            <v>202</v>
          </cell>
        </row>
        <row r="205">
          <cell r="B205">
            <v>203</v>
          </cell>
        </row>
        <row r="206">
          <cell r="B206">
            <v>204</v>
          </cell>
        </row>
        <row r="207">
          <cell r="B207">
            <v>205</v>
          </cell>
        </row>
        <row r="208">
          <cell r="B208">
            <v>206</v>
          </cell>
        </row>
        <row r="209">
          <cell r="B209">
            <v>207</v>
          </cell>
        </row>
        <row r="210">
          <cell r="B210">
            <v>208</v>
          </cell>
        </row>
        <row r="211">
          <cell r="B211">
            <v>209</v>
          </cell>
        </row>
        <row r="212">
          <cell r="B212">
            <v>210</v>
          </cell>
        </row>
        <row r="213">
          <cell r="B213">
            <v>211</v>
          </cell>
        </row>
        <row r="214">
          <cell r="B214">
            <v>212</v>
          </cell>
        </row>
        <row r="215">
          <cell r="B215">
            <v>213</v>
          </cell>
        </row>
        <row r="216">
          <cell r="B216">
            <v>214</v>
          </cell>
        </row>
        <row r="217">
          <cell r="B217">
            <v>215</v>
          </cell>
        </row>
        <row r="218">
          <cell r="B218">
            <v>216</v>
          </cell>
        </row>
        <row r="219">
          <cell r="B219">
            <v>217</v>
          </cell>
        </row>
        <row r="220">
          <cell r="B220">
            <v>218</v>
          </cell>
        </row>
        <row r="221">
          <cell r="B221">
            <v>219</v>
          </cell>
        </row>
        <row r="222">
          <cell r="B222">
            <v>220</v>
          </cell>
        </row>
        <row r="223">
          <cell r="B223">
            <v>221</v>
          </cell>
        </row>
        <row r="224">
          <cell r="B224">
            <v>222</v>
          </cell>
        </row>
        <row r="225">
          <cell r="B225">
            <v>223</v>
          </cell>
        </row>
        <row r="226">
          <cell r="B226">
            <v>224</v>
          </cell>
        </row>
        <row r="227">
          <cell r="B227">
            <v>225</v>
          </cell>
        </row>
        <row r="228">
          <cell r="B228">
            <v>226</v>
          </cell>
        </row>
        <row r="229">
          <cell r="B229">
            <v>227</v>
          </cell>
        </row>
        <row r="230">
          <cell r="B230">
            <v>228</v>
          </cell>
        </row>
        <row r="231">
          <cell r="B231">
            <v>229</v>
          </cell>
        </row>
        <row r="232">
          <cell r="B232">
            <v>230</v>
          </cell>
        </row>
        <row r="233">
          <cell r="B233">
            <v>231</v>
          </cell>
        </row>
        <row r="234">
          <cell r="B234">
            <v>232</v>
          </cell>
        </row>
        <row r="235">
          <cell r="B235">
            <v>233</v>
          </cell>
        </row>
        <row r="236">
          <cell r="B236">
            <v>234</v>
          </cell>
        </row>
        <row r="237">
          <cell r="B237">
            <v>235</v>
          </cell>
        </row>
        <row r="238">
          <cell r="B238">
            <v>236</v>
          </cell>
        </row>
        <row r="239">
          <cell r="B239">
            <v>237</v>
          </cell>
        </row>
        <row r="240">
          <cell r="B240">
            <v>238</v>
          </cell>
        </row>
        <row r="241">
          <cell r="B241">
            <v>239</v>
          </cell>
        </row>
        <row r="242">
          <cell r="B242">
            <v>240</v>
          </cell>
        </row>
        <row r="243">
          <cell r="B243">
            <v>241</v>
          </cell>
        </row>
        <row r="244">
          <cell r="B244">
            <v>242</v>
          </cell>
        </row>
        <row r="245">
          <cell r="B245">
            <v>243</v>
          </cell>
        </row>
        <row r="246">
          <cell r="B246">
            <v>244</v>
          </cell>
        </row>
        <row r="247">
          <cell r="B247">
            <v>245</v>
          </cell>
        </row>
        <row r="248">
          <cell r="B248">
            <v>246</v>
          </cell>
        </row>
        <row r="249">
          <cell r="B249">
            <v>247</v>
          </cell>
        </row>
        <row r="250">
          <cell r="B250">
            <v>248</v>
          </cell>
        </row>
        <row r="251">
          <cell r="B251">
            <v>249</v>
          </cell>
        </row>
        <row r="252">
          <cell r="B252">
            <v>250</v>
          </cell>
        </row>
        <row r="253">
          <cell r="B253">
            <v>251</v>
          </cell>
        </row>
        <row r="254">
          <cell r="B254">
            <v>252</v>
          </cell>
        </row>
        <row r="255">
          <cell r="B255">
            <v>253</v>
          </cell>
        </row>
        <row r="256">
          <cell r="B256">
            <v>254</v>
          </cell>
        </row>
        <row r="257">
          <cell r="B257">
            <v>255</v>
          </cell>
        </row>
        <row r="258">
          <cell r="B258">
            <v>256</v>
          </cell>
        </row>
        <row r="259">
          <cell r="B259">
            <v>257</v>
          </cell>
        </row>
        <row r="260">
          <cell r="B260">
            <v>258</v>
          </cell>
        </row>
        <row r="261">
          <cell r="B261">
            <v>259</v>
          </cell>
        </row>
        <row r="262">
          <cell r="B262">
            <v>260</v>
          </cell>
        </row>
        <row r="263">
          <cell r="B263">
            <v>261</v>
          </cell>
        </row>
        <row r="264">
          <cell r="B264">
            <v>262</v>
          </cell>
        </row>
        <row r="265">
          <cell r="B265">
            <v>263</v>
          </cell>
        </row>
        <row r="266">
          <cell r="B266">
            <v>264</v>
          </cell>
        </row>
        <row r="267">
          <cell r="B267">
            <v>265</v>
          </cell>
        </row>
        <row r="268">
          <cell r="B268">
            <v>266</v>
          </cell>
        </row>
        <row r="269">
          <cell r="B269">
            <v>267</v>
          </cell>
        </row>
        <row r="270">
          <cell r="B270">
            <v>268</v>
          </cell>
        </row>
        <row r="271">
          <cell r="B271">
            <v>269</v>
          </cell>
        </row>
        <row r="272">
          <cell r="B272">
            <v>270</v>
          </cell>
        </row>
        <row r="273">
          <cell r="B273">
            <v>271</v>
          </cell>
        </row>
        <row r="274">
          <cell r="B274">
            <v>272</v>
          </cell>
        </row>
        <row r="275">
          <cell r="B275">
            <v>273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2016/JAPAN/Daily%20report/Chief/&#26989;&#21209;&#26085;&#22577;&#65288;&#65409;&#65392;&#65420;&#12539;&#20491;&#20154;&#65289;&#21407;&#32025;.xls" TargetMode="External"/><Relationship Id="rId1" Type="http://schemas.openxmlformats.org/officeDocument/2006/relationships/hyperlink" Target="../../2016/JAPAN/Daily%20report/Chief/&#26989;&#21209;&#26085;&#22577;&#65288;&#65409;&#65392;&#65420;&#12539;&#20491;&#20154;&#65289;&#21407;&#32025;.xl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45"/>
    <pageSetUpPr fitToPage="1"/>
  </sheetPr>
  <dimension ref="B2:DN94"/>
  <sheetViews>
    <sheetView tabSelected="1" zoomScaleNormal="100" zoomScaleSheetLayoutView="100" workbookViewId="0">
      <selection activeCell="AJ12" sqref="AJ12:AM12"/>
    </sheetView>
  </sheetViews>
  <sheetFormatPr defaultRowHeight="15"/>
  <cols>
    <col min="1" max="1" width="9" style="6" customWidth="1"/>
    <col min="2" max="5" width="3.125" style="6" customWidth="1"/>
    <col min="6" max="6" width="2.625" style="6" customWidth="1"/>
    <col min="7" max="10" width="3.125" style="6" customWidth="1"/>
    <col min="11" max="11" width="2.625" style="6" customWidth="1"/>
    <col min="12" max="15" width="3.125" style="6" customWidth="1"/>
    <col min="16" max="16" width="2.625" style="6" customWidth="1"/>
    <col min="17" max="18" width="3.125" style="6" customWidth="1"/>
    <col min="19" max="19" width="2.125" style="6" customWidth="1"/>
    <col min="20" max="20" width="2.875" style="6" customWidth="1"/>
    <col min="21" max="22" width="3.125" style="6" customWidth="1"/>
    <col min="23" max="23" width="2.625" style="6" customWidth="1"/>
    <col min="24" max="25" width="3.125" style="6" customWidth="1"/>
    <col min="26" max="26" width="2.875" style="6" customWidth="1"/>
    <col min="27" max="31" width="2.625" style="6" customWidth="1"/>
    <col min="32" max="32" width="1.625" style="6" customWidth="1"/>
    <col min="33" max="33" width="3" style="6" customWidth="1"/>
    <col min="34" max="34" width="3.5" style="6" customWidth="1"/>
    <col min="35" max="36" width="2.625" style="6" customWidth="1"/>
    <col min="37" max="39" width="2.375" style="6" customWidth="1"/>
    <col min="40" max="40" width="2.875" style="6" customWidth="1"/>
    <col min="41" max="41" width="2.375" style="6" customWidth="1"/>
    <col min="42" max="47" width="2.625" style="6" customWidth="1"/>
    <col min="48" max="48" width="4" style="9" customWidth="1"/>
    <col min="49" max="49" width="9" style="9"/>
    <col min="50" max="50" width="3.5" style="4" customWidth="1"/>
    <col min="51" max="51" width="38.125" style="4" customWidth="1"/>
    <col min="52" max="52" width="10.625" style="4" customWidth="1"/>
    <col min="53" max="54" width="4.875" style="4" customWidth="1"/>
    <col min="55" max="55" width="3" style="5" customWidth="1"/>
    <col min="56" max="56" width="7.625" style="5" customWidth="1"/>
    <col min="57" max="57" width="9.625" style="5" customWidth="1"/>
    <col min="58" max="58" width="5.625" style="5" customWidth="1"/>
    <col min="59" max="59" width="2.625" style="5" customWidth="1"/>
    <col min="60" max="60" width="3" style="5" customWidth="1"/>
    <col min="61" max="62" width="5.375" style="5" customWidth="1"/>
    <col min="63" max="63" width="3.25" style="5" customWidth="1"/>
    <col min="64" max="64" width="2.375" style="5" customWidth="1"/>
    <col min="65" max="65" width="5.125" style="5" customWidth="1"/>
    <col min="66" max="67" width="9" style="6"/>
    <col min="68" max="118" width="9" style="7"/>
    <col min="119" max="16384" width="9" style="6"/>
  </cols>
  <sheetData>
    <row r="2" spans="2:69" ht="28.5" thickBot="1">
      <c r="B2" s="146" t="s">
        <v>108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"/>
      <c r="AV2" s="2" t="s">
        <v>0</v>
      </c>
      <c r="AW2" s="3"/>
    </row>
    <row r="3" spans="2:69" ht="21.75" customHeight="1" thickTop="1" thickBo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147" t="s">
        <v>1</v>
      </c>
      <c r="AW3" s="148"/>
    </row>
    <row r="4" spans="2:69" ht="21" customHeight="1" thickTop="1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149" t="s">
        <v>2</v>
      </c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8"/>
      <c r="AU4" s="8"/>
      <c r="AV4" s="6" t="s">
        <v>3</v>
      </c>
    </row>
    <row r="5" spans="2:69" ht="13.5" customHeight="1">
      <c r="B5" s="151" t="s">
        <v>4</v>
      </c>
      <c r="C5" s="152"/>
      <c r="D5" s="152"/>
      <c r="E5" s="153"/>
      <c r="F5" s="151" t="s">
        <v>5</v>
      </c>
      <c r="G5" s="152"/>
      <c r="H5" s="152"/>
      <c r="I5" s="153"/>
      <c r="J5" s="151" t="s">
        <v>6</v>
      </c>
      <c r="K5" s="152"/>
      <c r="L5" s="152"/>
      <c r="M5" s="153"/>
      <c r="N5" s="151" t="s">
        <v>7</v>
      </c>
      <c r="O5" s="154"/>
      <c r="P5" s="154"/>
      <c r="Q5" s="155"/>
      <c r="R5" s="156" t="s">
        <v>8</v>
      </c>
      <c r="S5" s="157"/>
      <c r="T5" s="157"/>
      <c r="U5" s="158"/>
      <c r="V5" s="10"/>
      <c r="W5" s="11"/>
      <c r="X5" s="11"/>
      <c r="Y5" s="12"/>
      <c r="Z5" s="13"/>
      <c r="AA5" s="13"/>
      <c r="AB5" s="13"/>
      <c r="AC5" s="14"/>
      <c r="AD5" s="14"/>
      <c r="AE5" s="14"/>
      <c r="AF5" s="14"/>
      <c r="AG5" s="14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"/>
      <c r="AU5" s="14"/>
      <c r="BP5" s="15"/>
      <c r="BQ5" s="16"/>
    </row>
    <row r="6" spans="2:69" ht="26.25" customHeight="1">
      <c r="B6" s="159"/>
      <c r="C6" s="160"/>
      <c r="D6" s="160"/>
      <c r="E6" s="161"/>
      <c r="F6" s="159"/>
      <c r="G6" s="160"/>
      <c r="H6" s="160"/>
      <c r="I6" s="161"/>
      <c r="J6" s="159"/>
      <c r="K6" s="160"/>
      <c r="L6" s="160"/>
      <c r="M6" s="161"/>
      <c r="N6" s="159"/>
      <c r="O6" s="160"/>
      <c r="P6" s="160"/>
      <c r="Q6" s="161"/>
      <c r="R6" s="159"/>
      <c r="S6" s="160"/>
      <c r="T6" s="160"/>
      <c r="U6" s="161"/>
      <c r="V6" s="17"/>
      <c r="W6" s="18"/>
      <c r="X6" s="18"/>
      <c r="Y6" s="19"/>
      <c r="Z6" s="14"/>
      <c r="AA6" s="14"/>
      <c r="AB6" s="14"/>
      <c r="AC6" s="14"/>
      <c r="AD6" s="14"/>
      <c r="AE6" s="14"/>
      <c r="AF6" s="14"/>
      <c r="AG6" s="14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4"/>
      <c r="AU6" s="14"/>
      <c r="AV6" s="20"/>
      <c r="AW6" s="21" t="s">
        <v>9</v>
      </c>
      <c r="BP6" s="22"/>
      <c r="BQ6" s="16"/>
    </row>
    <row r="7" spans="2:69" ht="24" customHeight="1">
      <c r="B7" s="162"/>
      <c r="C7" s="163"/>
      <c r="D7" s="163"/>
      <c r="E7" s="164"/>
      <c r="F7" s="162"/>
      <c r="G7" s="163"/>
      <c r="H7" s="163"/>
      <c r="I7" s="164"/>
      <c r="J7" s="162"/>
      <c r="K7" s="163"/>
      <c r="L7" s="163"/>
      <c r="M7" s="164"/>
      <c r="N7" s="162"/>
      <c r="O7" s="163"/>
      <c r="P7" s="163"/>
      <c r="Q7" s="164"/>
      <c r="R7" s="162"/>
      <c r="S7" s="163"/>
      <c r="T7" s="163"/>
      <c r="U7" s="164"/>
      <c r="V7" s="23"/>
      <c r="W7" s="24"/>
      <c r="X7" s="24"/>
      <c r="Y7" s="25"/>
      <c r="Z7" s="26" t="s">
        <v>10</v>
      </c>
      <c r="AA7" s="26"/>
      <c r="AB7" s="26"/>
      <c r="AC7" s="27"/>
      <c r="AD7" s="144" t="s">
        <v>114</v>
      </c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83"/>
      <c r="AU7" s="28"/>
      <c r="AV7" s="128" t="s">
        <v>95</v>
      </c>
      <c r="AW7" s="30">
        <v>1</v>
      </c>
      <c r="AX7" s="31"/>
      <c r="BQ7" s="16"/>
    </row>
    <row r="8" spans="2:69" ht="20.100000000000001" customHeight="1">
      <c r="B8" s="165" t="s">
        <v>11</v>
      </c>
      <c r="C8" s="166"/>
      <c r="D8" s="166"/>
      <c r="E8" s="167"/>
      <c r="F8" s="171" t="s">
        <v>94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7"/>
      <c r="Z8" s="172" t="s">
        <v>12</v>
      </c>
      <c r="AA8" s="184" t="s">
        <v>13</v>
      </c>
      <c r="AB8" s="185"/>
      <c r="AC8" s="185"/>
      <c r="AD8" s="18"/>
      <c r="AE8" s="18"/>
      <c r="AF8" s="18"/>
      <c r="AG8" s="186" t="s">
        <v>14</v>
      </c>
      <c r="AH8" s="186"/>
      <c r="AI8" s="186"/>
      <c r="AJ8" s="186"/>
      <c r="AK8" s="187" t="s">
        <v>103</v>
      </c>
      <c r="AL8" s="187"/>
      <c r="AM8" s="187"/>
      <c r="AN8" s="187"/>
      <c r="AO8" s="187"/>
      <c r="AP8" s="187"/>
      <c r="AQ8" s="187"/>
      <c r="AR8" s="187"/>
      <c r="AS8" s="187"/>
      <c r="AT8" s="188"/>
      <c r="AU8" s="32"/>
      <c r="AV8" s="128" t="s">
        <v>96</v>
      </c>
      <c r="AW8" s="30">
        <v>2</v>
      </c>
      <c r="AX8" s="31"/>
      <c r="BQ8" s="16"/>
    </row>
    <row r="9" spans="2:69" ht="20.100000000000001" customHeight="1">
      <c r="B9" s="168"/>
      <c r="C9" s="169"/>
      <c r="D9" s="169"/>
      <c r="E9" s="170"/>
      <c r="F9" s="168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70"/>
      <c r="Z9" s="173"/>
      <c r="AA9" s="197">
        <v>201601</v>
      </c>
      <c r="AB9" s="198"/>
      <c r="AC9" s="198"/>
      <c r="AD9" s="198"/>
      <c r="AE9" s="198"/>
      <c r="AF9" s="198"/>
      <c r="AG9" s="33"/>
      <c r="AH9" s="24"/>
      <c r="AJ9" s="34"/>
      <c r="AK9" s="189"/>
      <c r="AL9" s="189"/>
      <c r="AM9" s="189"/>
      <c r="AN9" s="189"/>
      <c r="AO9" s="189"/>
      <c r="AP9" s="189"/>
      <c r="AQ9" s="189"/>
      <c r="AR9" s="189"/>
      <c r="AS9" s="189"/>
      <c r="AT9" s="190"/>
      <c r="AU9" s="32"/>
      <c r="AV9" s="128" t="s">
        <v>104</v>
      </c>
      <c r="AW9" s="30">
        <v>3</v>
      </c>
      <c r="AX9" s="31"/>
    </row>
    <row r="10" spans="2:69" ht="20.100000000000001" customHeight="1">
      <c r="B10" s="165" t="s">
        <v>15</v>
      </c>
      <c r="C10" s="166"/>
      <c r="D10" s="166"/>
      <c r="E10" s="167"/>
      <c r="F10" s="171" t="s">
        <v>109</v>
      </c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 t="s">
        <v>110</v>
      </c>
      <c r="W10" s="166"/>
      <c r="X10" s="166"/>
      <c r="Y10" s="167"/>
      <c r="Z10" s="172" t="s">
        <v>16</v>
      </c>
      <c r="AA10" s="174" t="s">
        <v>17</v>
      </c>
      <c r="AB10" s="175"/>
      <c r="AC10" s="176"/>
      <c r="AD10" s="176"/>
      <c r="AE10" s="176"/>
      <c r="AF10" s="177"/>
      <c r="AG10" s="172" t="s">
        <v>18</v>
      </c>
      <c r="AH10" s="174" t="s">
        <v>17</v>
      </c>
      <c r="AI10" s="175"/>
      <c r="AJ10" s="176"/>
      <c r="AK10" s="176"/>
      <c r="AL10" s="176"/>
      <c r="AM10" s="177"/>
      <c r="AN10" s="172" t="s">
        <v>19</v>
      </c>
      <c r="AO10" s="174" t="s">
        <v>17</v>
      </c>
      <c r="AP10" s="175"/>
      <c r="AQ10" s="176"/>
      <c r="AR10" s="176"/>
      <c r="AS10" s="176"/>
      <c r="AT10" s="177"/>
      <c r="AU10" s="28"/>
      <c r="AV10" s="128" t="s">
        <v>105</v>
      </c>
      <c r="AW10" s="30">
        <v>4</v>
      </c>
      <c r="AX10" s="31"/>
      <c r="AY10" s="35"/>
    </row>
    <row r="11" spans="2:69" ht="20.100000000000001" customHeight="1">
      <c r="B11" s="168"/>
      <c r="C11" s="169"/>
      <c r="D11" s="169"/>
      <c r="E11" s="170"/>
      <c r="F11" s="168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78" t="s">
        <v>20</v>
      </c>
      <c r="W11" s="178"/>
      <c r="X11" s="178"/>
      <c r="Y11" s="179"/>
      <c r="Z11" s="173"/>
      <c r="AA11" s="180"/>
      <c r="AB11" s="181"/>
      <c r="AC11" s="181"/>
      <c r="AD11" s="181"/>
      <c r="AE11" s="181"/>
      <c r="AF11" s="182"/>
      <c r="AG11" s="173"/>
      <c r="AH11" s="180"/>
      <c r="AI11" s="181"/>
      <c r="AJ11" s="181"/>
      <c r="AK11" s="181"/>
      <c r="AL11" s="181"/>
      <c r="AM11" s="182"/>
      <c r="AN11" s="173"/>
      <c r="AO11" s="180"/>
      <c r="AP11" s="181"/>
      <c r="AQ11" s="181"/>
      <c r="AR11" s="181"/>
      <c r="AS11" s="181"/>
      <c r="AT11" s="182"/>
      <c r="AU11" s="28"/>
      <c r="AV11" s="128" t="s">
        <v>106</v>
      </c>
      <c r="AW11" s="30">
        <v>5</v>
      </c>
      <c r="AX11" s="31"/>
    </row>
    <row r="12" spans="2:69" ht="20.100000000000001" customHeight="1">
      <c r="B12" s="171" t="s">
        <v>21</v>
      </c>
      <c r="C12" s="166"/>
      <c r="D12" s="166"/>
      <c r="E12" s="167"/>
      <c r="F12" s="36"/>
      <c r="G12" s="215" t="s">
        <v>111</v>
      </c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6"/>
      <c r="Z12" s="172" t="s">
        <v>22</v>
      </c>
      <c r="AA12" s="174" t="s">
        <v>17</v>
      </c>
      <c r="AB12" s="175"/>
      <c r="AC12" s="176"/>
      <c r="AD12" s="176"/>
      <c r="AE12" s="176"/>
      <c r="AF12" s="177"/>
      <c r="AG12" s="172" t="s">
        <v>23</v>
      </c>
      <c r="AH12" s="174" t="s">
        <v>17</v>
      </c>
      <c r="AI12" s="175"/>
      <c r="AJ12" s="176"/>
      <c r="AK12" s="176"/>
      <c r="AL12" s="176"/>
      <c r="AM12" s="177"/>
      <c r="AN12" s="172" t="s">
        <v>24</v>
      </c>
      <c r="AO12" s="174" t="s">
        <v>17</v>
      </c>
      <c r="AP12" s="175"/>
      <c r="AQ12" s="176"/>
      <c r="AR12" s="176"/>
      <c r="AS12" s="176"/>
      <c r="AT12" s="177"/>
      <c r="AU12" s="28"/>
      <c r="AV12" s="29" t="s">
        <v>25</v>
      </c>
      <c r="AW12" s="30">
        <v>6</v>
      </c>
      <c r="AX12" s="31"/>
    </row>
    <row r="13" spans="2:69" ht="20.100000000000001" customHeight="1">
      <c r="B13" s="212"/>
      <c r="C13" s="213"/>
      <c r="D13" s="213"/>
      <c r="E13" s="214"/>
      <c r="F13" s="3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8"/>
      <c r="Z13" s="173"/>
      <c r="AA13" s="180"/>
      <c r="AB13" s="181"/>
      <c r="AC13" s="181"/>
      <c r="AD13" s="181"/>
      <c r="AE13" s="181"/>
      <c r="AF13" s="182"/>
      <c r="AG13" s="173"/>
      <c r="AH13" s="180"/>
      <c r="AI13" s="181"/>
      <c r="AJ13" s="181"/>
      <c r="AK13" s="181"/>
      <c r="AL13" s="181"/>
      <c r="AM13" s="182"/>
      <c r="AN13" s="173"/>
      <c r="AO13" s="180"/>
      <c r="AP13" s="181"/>
      <c r="AQ13" s="181"/>
      <c r="AR13" s="181"/>
      <c r="AS13" s="181"/>
      <c r="AT13" s="182"/>
      <c r="AU13" s="28"/>
      <c r="AV13" s="29" t="s">
        <v>26</v>
      </c>
      <c r="AW13" s="30">
        <v>7</v>
      </c>
      <c r="AX13" s="31"/>
    </row>
    <row r="14" spans="2:69" ht="20.100000000000001" customHeight="1">
      <c r="B14" s="212"/>
      <c r="C14" s="213"/>
      <c r="D14" s="213"/>
      <c r="E14" s="214"/>
      <c r="F14" s="37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3" t="s">
        <v>27</v>
      </c>
      <c r="W14" s="193"/>
      <c r="X14" s="193"/>
      <c r="Y14" s="194"/>
      <c r="Z14" s="172" t="s">
        <v>28</v>
      </c>
      <c r="AA14" s="174" t="s">
        <v>17</v>
      </c>
      <c r="AB14" s="175"/>
      <c r="AC14" s="176"/>
      <c r="AD14" s="176"/>
      <c r="AE14" s="176"/>
      <c r="AF14" s="177"/>
      <c r="AG14" s="172" t="s">
        <v>29</v>
      </c>
      <c r="AH14" s="174" t="s">
        <v>17</v>
      </c>
      <c r="AI14" s="175"/>
      <c r="AJ14" s="176"/>
      <c r="AK14" s="176"/>
      <c r="AL14" s="176"/>
      <c r="AM14" s="177"/>
      <c r="AN14" s="172" t="s">
        <v>30</v>
      </c>
      <c r="AO14" s="174" t="s">
        <v>17</v>
      </c>
      <c r="AP14" s="175"/>
      <c r="AQ14" s="176" t="str">
        <f>IF($AW20="","",LOOKUP($AW20,'[1]Employee code'!$B$1:$B$65536,'[1]Employee code'!$C$1:$C$65536))</f>
        <v/>
      </c>
      <c r="AR14" s="176"/>
      <c r="AS14" s="176"/>
      <c r="AT14" s="177"/>
      <c r="AU14" s="28"/>
      <c r="AV14" s="29" t="s">
        <v>31</v>
      </c>
      <c r="AW14" s="30">
        <v>8</v>
      </c>
      <c r="AX14" s="31"/>
    </row>
    <row r="15" spans="2:69" ht="20.100000000000001" customHeight="1">
      <c r="B15" s="168"/>
      <c r="C15" s="169"/>
      <c r="D15" s="169"/>
      <c r="E15" s="170"/>
      <c r="F15" s="37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5"/>
      <c r="W15" s="195"/>
      <c r="X15" s="195"/>
      <c r="Y15" s="196"/>
      <c r="Z15" s="173"/>
      <c r="AA15" s="180"/>
      <c r="AB15" s="181"/>
      <c r="AC15" s="181"/>
      <c r="AD15" s="181"/>
      <c r="AE15" s="181"/>
      <c r="AF15" s="182"/>
      <c r="AG15" s="173"/>
      <c r="AH15" s="180"/>
      <c r="AI15" s="181"/>
      <c r="AJ15" s="181"/>
      <c r="AK15" s="181"/>
      <c r="AL15" s="181"/>
      <c r="AM15" s="182"/>
      <c r="AN15" s="173"/>
      <c r="AO15" s="180" t="str">
        <f>IF($AW20="","",LOOKUP($AW20,'[1]Employee code'!$B$1:$B$65536,'[1]Employee code'!$D$1:$D$65536))</f>
        <v/>
      </c>
      <c r="AP15" s="181"/>
      <c r="AQ15" s="181"/>
      <c r="AR15" s="181"/>
      <c r="AS15" s="181"/>
      <c r="AT15" s="182"/>
      <c r="AU15" s="28"/>
      <c r="AV15" s="29" t="s">
        <v>32</v>
      </c>
      <c r="AW15" s="30">
        <v>9</v>
      </c>
      <c r="AX15" s="31"/>
    </row>
    <row r="16" spans="2:69" ht="20.100000000000001" customHeight="1">
      <c r="B16" s="199" t="s">
        <v>33</v>
      </c>
      <c r="C16" s="200"/>
      <c r="D16" s="200"/>
      <c r="E16" s="201"/>
      <c r="F16" s="165" t="s">
        <v>34</v>
      </c>
      <c r="G16" s="166"/>
      <c r="H16" s="166"/>
      <c r="I16" s="208">
        <v>43170</v>
      </c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9"/>
      <c r="Z16" s="172" t="s">
        <v>35</v>
      </c>
      <c r="AA16" s="174" t="s">
        <v>17</v>
      </c>
      <c r="AB16" s="175"/>
      <c r="AC16" s="176"/>
      <c r="AD16" s="176"/>
      <c r="AE16" s="176"/>
      <c r="AF16" s="177"/>
      <c r="AG16" s="172" t="s">
        <v>36</v>
      </c>
      <c r="AH16" s="174" t="s">
        <v>17</v>
      </c>
      <c r="AI16" s="175"/>
      <c r="AJ16" s="176"/>
      <c r="AK16" s="176"/>
      <c r="AL16" s="176"/>
      <c r="AM16" s="177"/>
      <c r="AN16" s="172" t="s">
        <v>37</v>
      </c>
      <c r="AO16" s="174" t="s">
        <v>17</v>
      </c>
      <c r="AP16" s="175"/>
      <c r="AQ16" s="176" t="str">
        <f>IF($AW21="","",LOOKUP($AW21,'[1]Employee code'!$B$1:$B$65536,'[1]Employee code'!$C$1:$C$65536))</f>
        <v/>
      </c>
      <c r="AR16" s="176"/>
      <c r="AS16" s="176"/>
      <c r="AT16" s="177"/>
      <c r="AU16" s="28"/>
      <c r="AV16" s="29" t="s">
        <v>38</v>
      </c>
      <c r="AW16" s="30">
        <v>10</v>
      </c>
      <c r="AX16" s="31"/>
    </row>
    <row r="17" spans="2:118" ht="20.100000000000001" customHeight="1">
      <c r="B17" s="202"/>
      <c r="C17" s="203"/>
      <c r="D17" s="203"/>
      <c r="E17" s="204"/>
      <c r="F17" s="168"/>
      <c r="G17" s="169"/>
      <c r="H17" s="169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1"/>
      <c r="Z17" s="173"/>
      <c r="AA17" s="180"/>
      <c r="AB17" s="181"/>
      <c r="AC17" s="181"/>
      <c r="AD17" s="181"/>
      <c r="AE17" s="181"/>
      <c r="AF17" s="182"/>
      <c r="AG17" s="173"/>
      <c r="AH17" s="180"/>
      <c r="AI17" s="181"/>
      <c r="AJ17" s="181"/>
      <c r="AK17" s="181"/>
      <c r="AL17" s="181"/>
      <c r="AM17" s="182"/>
      <c r="AN17" s="173"/>
      <c r="AO17" s="180" t="str">
        <f>IF($AW21="","",LOOKUP($AW21,'[1]Employee code'!$B$1:$B$65536,'[1]Employee code'!$D$1:$D$65536))</f>
        <v/>
      </c>
      <c r="AP17" s="181"/>
      <c r="AQ17" s="181"/>
      <c r="AR17" s="181"/>
      <c r="AS17" s="181"/>
      <c r="AT17" s="182"/>
      <c r="AU17" s="28"/>
      <c r="AV17" s="29" t="s">
        <v>39</v>
      </c>
      <c r="AW17" s="30">
        <v>11</v>
      </c>
      <c r="AX17" s="31"/>
    </row>
    <row r="18" spans="2:118" ht="20.100000000000001" customHeight="1">
      <c r="B18" s="202"/>
      <c r="C18" s="203"/>
      <c r="D18" s="203"/>
      <c r="E18" s="204"/>
      <c r="F18" s="165" t="s">
        <v>40</v>
      </c>
      <c r="G18" s="166"/>
      <c r="H18" s="166"/>
      <c r="I18" s="208">
        <v>43172</v>
      </c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9"/>
      <c r="Z18" s="172" t="s">
        <v>41</v>
      </c>
      <c r="AA18" s="174" t="s">
        <v>17</v>
      </c>
      <c r="AB18" s="175"/>
      <c r="AC18" s="176"/>
      <c r="AD18" s="176"/>
      <c r="AE18" s="176"/>
      <c r="AF18" s="177"/>
      <c r="AG18" s="172" t="s">
        <v>42</v>
      </c>
      <c r="AH18" s="174" t="s">
        <v>17</v>
      </c>
      <c r="AI18" s="175"/>
      <c r="AJ18" s="176"/>
      <c r="AK18" s="176"/>
      <c r="AL18" s="176"/>
      <c r="AM18" s="177"/>
      <c r="AN18" s="172" t="s">
        <v>43</v>
      </c>
      <c r="AO18" s="174" t="s">
        <v>17</v>
      </c>
      <c r="AP18" s="175"/>
      <c r="AQ18" s="176" t="str">
        <f>IF($AW22="","",LOOKUP($AW22,'[1]Employee code'!$B$1:$B$65536,'[1]Employee code'!$C$1:$C$65536))</f>
        <v/>
      </c>
      <c r="AR18" s="176"/>
      <c r="AS18" s="176"/>
      <c r="AT18" s="177"/>
      <c r="AU18" s="28"/>
      <c r="AV18" s="29" t="s">
        <v>44</v>
      </c>
      <c r="AW18" s="30">
        <v>12</v>
      </c>
      <c r="AX18" s="31"/>
    </row>
    <row r="19" spans="2:118" ht="20.100000000000001" customHeight="1">
      <c r="B19" s="205"/>
      <c r="C19" s="206"/>
      <c r="D19" s="206"/>
      <c r="E19" s="207"/>
      <c r="F19" s="168"/>
      <c r="G19" s="169"/>
      <c r="H19" s="169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1"/>
      <c r="Z19" s="173"/>
      <c r="AA19" s="180"/>
      <c r="AB19" s="181"/>
      <c r="AC19" s="181"/>
      <c r="AD19" s="181"/>
      <c r="AE19" s="181"/>
      <c r="AF19" s="182"/>
      <c r="AG19" s="173"/>
      <c r="AH19" s="180"/>
      <c r="AI19" s="181"/>
      <c r="AJ19" s="181"/>
      <c r="AK19" s="181"/>
      <c r="AL19" s="181"/>
      <c r="AM19" s="182"/>
      <c r="AN19" s="173"/>
      <c r="AO19" s="180" t="str">
        <f>IF($AW22="","",LOOKUP($AW22,'[1]Employee code'!$B$1:$B$65536,'[1]Employee code'!$D$1:$D$65536))</f>
        <v/>
      </c>
      <c r="AP19" s="181"/>
      <c r="AQ19" s="181"/>
      <c r="AR19" s="181"/>
      <c r="AS19" s="181"/>
      <c r="AT19" s="182"/>
      <c r="AU19" s="28"/>
      <c r="AV19" s="29" t="s">
        <v>45</v>
      </c>
      <c r="AW19" s="30">
        <v>13</v>
      </c>
      <c r="AX19" s="31"/>
    </row>
    <row r="20" spans="2:118" ht="39.950000000000003" customHeight="1" thickBot="1">
      <c r="B20" s="224" t="s">
        <v>46</v>
      </c>
      <c r="C20" s="237"/>
      <c r="D20" s="165" t="s">
        <v>47</v>
      </c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65" t="s">
        <v>100</v>
      </c>
      <c r="V20" s="160"/>
      <c r="W20" s="160"/>
      <c r="X20" s="160"/>
      <c r="Y20" s="160"/>
      <c r="Z20" s="238"/>
      <c r="AA20" s="163"/>
      <c r="AB20" s="163"/>
      <c r="AC20" s="164"/>
      <c r="AD20" s="168" t="s">
        <v>48</v>
      </c>
      <c r="AE20" s="239"/>
      <c r="AF20" s="239"/>
      <c r="AG20" s="239"/>
      <c r="AH20" s="239"/>
      <c r="AI20" s="240"/>
      <c r="AJ20" s="241"/>
      <c r="AK20" s="242" t="s">
        <v>49</v>
      </c>
      <c r="AL20" s="166"/>
      <c r="AM20" s="166"/>
      <c r="AN20" s="166"/>
      <c r="AO20" s="167"/>
      <c r="AP20" s="202" t="s">
        <v>50</v>
      </c>
      <c r="AQ20" s="243"/>
      <c r="AR20" s="224" t="s">
        <v>11</v>
      </c>
      <c r="AS20" s="200"/>
      <c r="AT20" s="201"/>
      <c r="AU20" s="38"/>
      <c r="AV20" s="29" t="s">
        <v>51</v>
      </c>
      <c r="AW20" s="30"/>
      <c r="AX20" s="31"/>
    </row>
    <row r="21" spans="2:118" ht="39.950000000000003" customHeight="1">
      <c r="B21" s="225" t="s">
        <v>97</v>
      </c>
      <c r="C21" s="226"/>
      <c r="D21" s="171" t="s">
        <v>98</v>
      </c>
      <c r="E21" s="227"/>
      <c r="F21" s="227"/>
      <c r="G21" s="227"/>
      <c r="H21" s="227"/>
      <c r="I21" s="228" t="s">
        <v>52</v>
      </c>
      <c r="J21" s="229"/>
      <c r="K21" s="229"/>
      <c r="L21" s="229"/>
      <c r="M21" s="230"/>
      <c r="N21" s="231" t="s">
        <v>99</v>
      </c>
      <c r="O21" s="232"/>
      <c r="P21" s="232"/>
      <c r="Q21" s="232"/>
      <c r="R21" s="233"/>
      <c r="S21" s="135" t="s">
        <v>53</v>
      </c>
      <c r="T21" s="136"/>
      <c r="U21" s="228" t="s">
        <v>54</v>
      </c>
      <c r="V21" s="229"/>
      <c r="W21" s="229"/>
      <c r="X21" s="229"/>
      <c r="Y21" s="230"/>
      <c r="Z21" s="136" t="s">
        <v>53</v>
      </c>
      <c r="AA21" s="233"/>
      <c r="AB21" s="234" t="s">
        <v>55</v>
      </c>
      <c r="AC21" s="235"/>
      <c r="AD21" s="234" t="s">
        <v>56</v>
      </c>
      <c r="AE21" s="236"/>
      <c r="AF21" s="236"/>
      <c r="AG21" s="236"/>
      <c r="AH21" s="236"/>
      <c r="AI21" s="244" t="s">
        <v>57</v>
      </c>
      <c r="AJ21" s="245"/>
      <c r="AK21" s="169"/>
      <c r="AL21" s="169"/>
      <c r="AM21" s="169"/>
      <c r="AN21" s="169"/>
      <c r="AO21" s="170"/>
      <c r="AP21" s="205" t="s">
        <v>58</v>
      </c>
      <c r="AQ21" s="253"/>
      <c r="AR21" s="205" t="s">
        <v>59</v>
      </c>
      <c r="AS21" s="206"/>
      <c r="AT21" s="207"/>
      <c r="AU21" s="38"/>
      <c r="AV21" s="29" t="s">
        <v>60</v>
      </c>
      <c r="AW21" s="30"/>
      <c r="AX21" s="31"/>
      <c r="AZ21" s="7"/>
      <c r="BA21" s="252"/>
      <c r="BB21" s="252"/>
      <c r="BC21" s="252"/>
      <c r="BD21" s="252"/>
      <c r="BE21" s="7"/>
    </row>
    <row r="22" spans="2:118" s="45" customFormat="1" ht="39.75" customHeight="1">
      <c r="B22" s="219">
        <v>43170</v>
      </c>
      <c r="C22" s="220"/>
      <c r="D22" s="221">
        <v>0.83333333333333337</v>
      </c>
      <c r="E22" s="140"/>
      <c r="F22" s="131" t="s">
        <v>101</v>
      </c>
      <c r="G22" s="140">
        <v>4.1666666666666664E-2</v>
      </c>
      <c r="H22" s="222"/>
      <c r="I22" s="139"/>
      <c r="J22" s="140"/>
      <c r="K22" s="39" t="s">
        <v>61</v>
      </c>
      <c r="L22" s="140"/>
      <c r="M22" s="222"/>
      <c r="N22" s="139"/>
      <c r="O22" s="140"/>
      <c r="P22" s="39" t="s">
        <v>61</v>
      </c>
      <c r="Q22" s="140"/>
      <c r="R22" s="223"/>
      <c r="S22" s="137">
        <v>5</v>
      </c>
      <c r="T22" s="246"/>
      <c r="U22" s="139"/>
      <c r="V22" s="140"/>
      <c r="W22" s="39" t="s">
        <v>61</v>
      </c>
      <c r="X22" s="140"/>
      <c r="Y22" s="222"/>
      <c r="Z22" s="247" t="str">
        <f>IF((X22-U22)*24=0,"　",(X22-U22)*24-1)</f>
        <v>　</v>
      </c>
      <c r="AA22" s="248"/>
      <c r="AB22" s="135"/>
      <c r="AC22" s="142"/>
      <c r="AD22" s="249" t="s">
        <v>112</v>
      </c>
      <c r="AE22" s="250"/>
      <c r="AF22" s="250"/>
      <c r="AG22" s="250"/>
      <c r="AH22" s="251"/>
      <c r="AI22" s="135"/>
      <c r="AJ22" s="142"/>
      <c r="AK22" s="254" t="s">
        <v>113</v>
      </c>
      <c r="AL22" s="255"/>
      <c r="AM22" s="255"/>
      <c r="AN22" s="255"/>
      <c r="AO22" s="256"/>
      <c r="AP22" s="135"/>
      <c r="AQ22" s="142"/>
      <c r="AR22" s="135"/>
      <c r="AS22" s="136"/>
      <c r="AT22" s="142"/>
      <c r="AU22" s="40"/>
      <c r="AV22" s="29" t="s">
        <v>62</v>
      </c>
      <c r="AW22" s="41"/>
      <c r="AX22" s="42"/>
      <c r="AY22" s="43"/>
      <c r="AZ22" s="43"/>
      <c r="BA22" s="134"/>
      <c r="BB22" s="134"/>
      <c r="BC22" s="134"/>
      <c r="BD22" s="134"/>
      <c r="BE22" s="44"/>
      <c r="BF22" s="44"/>
      <c r="BG22" s="44"/>
      <c r="BH22" s="44"/>
      <c r="BI22" s="44"/>
      <c r="BJ22" s="44"/>
      <c r="BK22" s="44"/>
      <c r="BL22" s="44"/>
      <c r="BM22" s="44"/>
      <c r="BP22" s="46"/>
      <c r="BQ22" s="46"/>
      <c r="BR22" s="46"/>
      <c r="BS22" s="47"/>
      <c r="BT22" s="48"/>
      <c r="BU22" s="48"/>
      <c r="BV22" s="48"/>
      <c r="BW22" s="48"/>
      <c r="BX22" s="48"/>
      <c r="BY22" s="48"/>
      <c r="BZ22" s="46"/>
      <c r="CA22" s="49"/>
      <c r="CB22" s="49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</row>
    <row r="23" spans="2:118" s="45" customFormat="1" ht="39.950000000000003" customHeight="1">
      <c r="B23" s="257">
        <v>43171</v>
      </c>
      <c r="C23" s="258"/>
      <c r="D23" s="221"/>
      <c r="E23" s="140"/>
      <c r="F23" s="131" t="s">
        <v>101</v>
      </c>
      <c r="G23" s="140"/>
      <c r="H23" s="222"/>
      <c r="I23" s="139">
        <v>0.33333333333333331</v>
      </c>
      <c r="J23" s="140"/>
      <c r="K23" s="127" t="s">
        <v>61</v>
      </c>
      <c r="L23" s="140">
        <v>0.79166666666666663</v>
      </c>
      <c r="M23" s="222"/>
      <c r="N23" s="139"/>
      <c r="O23" s="140"/>
      <c r="P23" s="127" t="s">
        <v>61</v>
      </c>
      <c r="Q23" s="140"/>
      <c r="R23" s="223"/>
      <c r="S23" s="137">
        <f t="shared" ref="S22:S27" si="0">IF(((D23-G23)+(I23-L23)+(N23-Q23))*24=0,"　",((G23-D23)+(L23-I23)+(Q23-N23))*24-1)</f>
        <v>10</v>
      </c>
      <c r="T23" s="246"/>
      <c r="U23" s="139">
        <v>0.70833333333333337</v>
      </c>
      <c r="V23" s="140"/>
      <c r="W23" s="127" t="s">
        <v>61</v>
      </c>
      <c r="X23" s="140">
        <v>0.79166666666666663</v>
      </c>
      <c r="Y23" s="222"/>
      <c r="Z23" s="247">
        <f>IF((X23-U23)*24=0,"　",(X23-U23)*24)</f>
        <v>1.9999999999999982</v>
      </c>
      <c r="AA23" s="248"/>
      <c r="AB23" s="135"/>
      <c r="AC23" s="142"/>
      <c r="AD23" s="135" t="s">
        <v>102</v>
      </c>
      <c r="AE23" s="136"/>
      <c r="AF23" s="136"/>
      <c r="AG23" s="136"/>
      <c r="AH23" s="141"/>
      <c r="AI23" s="135"/>
      <c r="AJ23" s="142"/>
      <c r="AK23" s="254" t="s">
        <v>113</v>
      </c>
      <c r="AL23" s="255"/>
      <c r="AM23" s="255"/>
      <c r="AN23" s="255"/>
      <c r="AO23" s="256"/>
      <c r="AP23" s="135"/>
      <c r="AQ23" s="142"/>
      <c r="AR23" s="135"/>
      <c r="AS23" s="136"/>
      <c r="AT23" s="142"/>
      <c r="AU23" s="126"/>
      <c r="AV23" s="51"/>
      <c r="AW23" s="51"/>
      <c r="AX23" s="43"/>
      <c r="AY23" s="43"/>
      <c r="AZ23" s="43"/>
      <c r="BA23" s="134"/>
      <c r="BB23" s="134"/>
      <c r="BC23" s="134"/>
      <c r="BD23" s="134"/>
      <c r="BE23" s="44"/>
      <c r="BF23" s="44"/>
      <c r="BG23" s="44"/>
      <c r="BH23" s="44"/>
      <c r="BI23" s="44"/>
      <c r="BJ23" s="44"/>
      <c r="BK23" s="44"/>
      <c r="BL23" s="44"/>
      <c r="BM23" s="44"/>
      <c r="BP23" s="46"/>
      <c r="BQ23" s="46"/>
      <c r="BR23" s="46"/>
      <c r="BS23" s="47"/>
      <c r="BT23" s="48"/>
      <c r="BU23" s="48"/>
      <c r="BV23" s="48"/>
      <c r="BW23" s="48"/>
      <c r="BX23" s="48"/>
      <c r="BY23" s="48"/>
      <c r="BZ23" s="46"/>
      <c r="CA23" s="49"/>
      <c r="CB23" s="49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</row>
    <row r="24" spans="2:118" s="45" customFormat="1" ht="39.950000000000003" customHeight="1">
      <c r="B24" s="257">
        <v>43162</v>
      </c>
      <c r="C24" s="258"/>
      <c r="D24" s="221"/>
      <c r="E24" s="140"/>
      <c r="F24" s="127" t="s">
        <v>61</v>
      </c>
      <c r="G24" s="140"/>
      <c r="H24" s="222"/>
      <c r="I24" s="139">
        <v>0.33333333333333331</v>
      </c>
      <c r="J24" s="140"/>
      <c r="K24" s="127" t="s">
        <v>61</v>
      </c>
      <c r="L24" s="140">
        <v>0.70833333333333337</v>
      </c>
      <c r="M24" s="222"/>
      <c r="N24" s="139"/>
      <c r="O24" s="140"/>
      <c r="P24" s="127" t="s">
        <v>61</v>
      </c>
      <c r="Q24" s="140"/>
      <c r="R24" s="223"/>
      <c r="S24" s="137">
        <f t="shared" si="0"/>
        <v>8.0000000000000018</v>
      </c>
      <c r="T24" s="246"/>
      <c r="U24" s="139"/>
      <c r="V24" s="140"/>
      <c r="W24" s="127" t="s">
        <v>61</v>
      </c>
      <c r="X24" s="140"/>
      <c r="Y24" s="222"/>
      <c r="Z24" s="247" t="str">
        <f t="shared" ref="Z24" si="1">IF((X24-U24)*24=0,"　",(X24-U24)*24-1)</f>
        <v>　</v>
      </c>
      <c r="AA24" s="248"/>
      <c r="AB24" s="135"/>
      <c r="AC24" s="142"/>
      <c r="AD24" s="135" t="s">
        <v>102</v>
      </c>
      <c r="AE24" s="136"/>
      <c r="AF24" s="136"/>
      <c r="AG24" s="136"/>
      <c r="AH24" s="141"/>
      <c r="AI24" s="135"/>
      <c r="AJ24" s="142"/>
      <c r="AK24" s="254" t="s">
        <v>113</v>
      </c>
      <c r="AL24" s="255"/>
      <c r="AM24" s="255"/>
      <c r="AN24" s="255"/>
      <c r="AO24" s="256"/>
      <c r="AP24" s="135"/>
      <c r="AQ24" s="142"/>
      <c r="AR24" s="135"/>
      <c r="AS24" s="136"/>
      <c r="AT24" s="142"/>
      <c r="AU24" s="126"/>
      <c r="AV24" s="51"/>
      <c r="AW24" s="51"/>
      <c r="AX24" s="43"/>
      <c r="AY24" s="43"/>
      <c r="AZ24" s="43"/>
      <c r="BA24" s="134"/>
      <c r="BB24" s="134"/>
      <c r="BC24" s="134"/>
      <c r="BD24" s="134"/>
      <c r="BE24" s="44"/>
      <c r="BF24" s="44"/>
      <c r="BG24" s="44"/>
      <c r="BH24" s="44"/>
      <c r="BI24" s="44"/>
      <c r="BJ24" s="44"/>
      <c r="BK24" s="44"/>
      <c r="BL24" s="44"/>
      <c r="BM24" s="44"/>
      <c r="BP24" s="46"/>
      <c r="BQ24" s="46"/>
      <c r="BR24" s="46"/>
      <c r="BS24" s="47"/>
      <c r="BT24" s="48"/>
      <c r="BU24" s="48"/>
      <c r="BV24" s="48"/>
      <c r="BW24" s="48"/>
      <c r="BX24" s="48"/>
      <c r="BY24" s="48"/>
      <c r="BZ24" s="46"/>
      <c r="CA24" s="49"/>
      <c r="CB24" s="49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</row>
    <row r="25" spans="2:118" s="45" customFormat="1" ht="39.950000000000003" customHeight="1">
      <c r="B25" s="257">
        <v>43166</v>
      </c>
      <c r="C25" s="258"/>
      <c r="D25" s="221"/>
      <c r="E25" s="140"/>
      <c r="F25" s="127" t="s">
        <v>61</v>
      </c>
      <c r="G25" s="140"/>
      <c r="H25" s="222"/>
      <c r="I25" s="139"/>
      <c r="J25" s="140"/>
      <c r="K25" s="127" t="s">
        <v>61</v>
      </c>
      <c r="L25" s="140"/>
      <c r="M25" s="222"/>
      <c r="N25" s="139"/>
      <c r="O25" s="140"/>
      <c r="P25" s="127" t="s">
        <v>61</v>
      </c>
      <c r="Q25" s="140"/>
      <c r="R25" s="223"/>
      <c r="S25" s="137" t="str">
        <f t="shared" si="0"/>
        <v>　</v>
      </c>
      <c r="T25" s="246"/>
      <c r="U25" s="139"/>
      <c r="V25" s="140"/>
      <c r="W25" s="127" t="s">
        <v>61</v>
      </c>
      <c r="X25" s="140"/>
      <c r="Y25" s="222"/>
      <c r="Z25" s="247" t="str">
        <f>IF((X25-U25)*24=0,"　",(X25-U25)*24)</f>
        <v>　</v>
      </c>
      <c r="AA25" s="248"/>
      <c r="AB25" s="135"/>
      <c r="AC25" s="142"/>
      <c r="AD25" s="135"/>
      <c r="AE25" s="136"/>
      <c r="AF25" s="136"/>
      <c r="AG25" s="136"/>
      <c r="AH25" s="141"/>
      <c r="AI25" s="135"/>
      <c r="AJ25" s="142"/>
      <c r="AK25" s="254"/>
      <c r="AL25" s="255"/>
      <c r="AM25" s="255"/>
      <c r="AN25" s="255"/>
      <c r="AO25" s="256"/>
      <c r="AP25" s="135"/>
      <c r="AQ25" s="142"/>
      <c r="AR25" s="135"/>
      <c r="AS25" s="136"/>
      <c r="AT25" s="142"/>
      <c r="AU25" s="126"/>
      <c r="AV25" s="51"/>
      <c r="AW25" s="51"/>
      <c r="AX25" s="43"/>
      <c r="AY25" s="43"/>
      <c r="AZ25" s="43"/>
      <c r="BA25" s="134"/>
      <c r="BB25" s="134"/>
      <c r="BC25" s="134"/>
      <c r="BD25" s="134"/>
      <c r="BE25" s="44"/>
      <c r="BF25" s="44"/>
      <c r="BG25" s="44"/>
      <c r="BH25" s="44"/>
      <c r="BI25" s="44"/>
      <c r="BJ25" s="44"/>
      <c r="BK25" s="44"/>
      <c r="BL25" s="44"/>
      <c r="BM25" s="44"/>
      <c r="BP25" s="46"/>
      <c r="BQ25" s="46"/>
      <c r="BR25" s="46"/>
      <c r="BS25" s="47"/>
      <c r="BT25" s="48"/>
      <c r="BU25" s="48"/>
      <c r="BV25" s="48"/>
      <c r="BW25" s="48"/>
      <c r="BX25" s="48"/>
      <c r="BY25" s="48"/>
      <c r="BZ25" s="46"/>
      <c r="CA25" s="49"/>
      <c r="CB25" s="49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</row>
    <row r="26" spans="2:118" s="45" customFormat="1" ht="39.950000000000003" customHeight="1">
      <c r="B26" s="219">
        <v>43167</v>
      </c>
      <c r="C26" s="220"/>
      <c r="D26" s="135"/>
      <c r="E26" s="136"/>
      <c r="F26" s="127" t="s">
        <v>61</v>
      </c>
      <c r="G26" s="136"/>
      <c r="H26" s="141"/>
      <c r="I26" s="139"/>
      <c r="J26" s="140"/>
      <c r="K26" s="127" t="s">
        <v>61</v>
      </c>
      <c r="L26" s="140"/>
      <c r="M26" s="222"/>
      <c r="N26" s="139"/>
      <c r="O26" s="136"/>
      <c r="P26" s="127" t="s">
        <v>61</v>
      </c>
      <c r="Q26" s="261"/>
      <c r="R26" s="142"/>
      <c r="S26" s="137"/>
      <c r="T26" s="246"/>
      <c r="U26" s="139"/>
      <c r="V26" s="136"/>
      <c r="W26" s="132" t="s">
        <v>61</v>
      </c>
      <c r="X26" s="261"/>
      <c r="Y26" s="141"/>
      <c r="Z26" s="247" t="str">
        <f>IF((X26-U26)*24=0,"　",(X26-U26)*24)</f>
        <v>　</v>
      </c>
      <c r="AA26" s="248"/>
      <c r="AB26" s="135"/>
      <c r="AC26" s="142"/>
      <c r="AD26" s="135"/>
      <c r="AE26" s="136"/>
      <c r="AF26" s="136"/>
      <c r="AG26" s="136"/>
      <c r="AH26" s="141"/>
      <c r="AI26" s="135"/>
      <c r="AJ26" s="142"/>
      <c r="AK26" s="254"/>
      <c r="AL26" s="255"/>
      <c r="AM26" s="255"/>
      <c r="AN26" s="255"/>
      <c r="AO26" s="256"/>
      <c r="AP26" s="135"/>
      <c r="AQ26" s="142"/>
      <c r="AR26" s="135"/>
      <c r="AS26" s="136"/>
      <c r="AT26" s="142"/>
      <c r="AU26" s="126"/>
      <c r="AV26" s="51"/>
      <c r="AW26" s="51"/>
      <c r="AX26" s="43"/>
      <c r="AY26" s="43"/>
      <c r="AZ26" s="43"/>
      <c r="BA26" s="134"/>
      <c r="BB26" s="134"/>
      <c r="BC26" s="134"/>
      <c r="BD26" s="134"/>
      <c r="BE26" s="44"/>
      <c r="BF26" s="44"/>
      <c r="BG26" s="44"/>
      <c r="BH26" s="44"/>
      <c r="BI26" s="44"/>
      <c r="BJ26" s="44"/>
      <c r="BK26" s="44"/>
      <c r="BL26" s="44"/>
      <c r="BM26" s="44"/>
      <c r="BP26" s="46"/>
      <c r="BQ26" s="46"/>
      <c r="BR26" s="46"/>
      <c r="BS26" s="47"/>
      <c r="BT26" s="48"/>
      <c r="BU26" s="48"/>
      <c r="BV26" s="48"/>
      <c r="BW26" s="48"/>
      <c r="BX26" s="48"/>
      <c r="BY26" s="48"/>
      <c r="BZ26" s="46"/>
      <c r="CA26" s="49"/>
      <c r="CB26" s="49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</row>
    <row r="27" spans="2:118" s="45" customFormat="1" ht="39.950000000000003" customHeight="1">
      <c r="B27" s="259">
        <v>43168</v>
      </c>
      <c r="C27" s="260"/>
      <c r="D27" s="135"/>
      <c r="E27" s="136"/>
      <c r="F27" s="132" t="s">
        <v>61</v>
      </c>
      <c r="G27" s="136"/>
      <c r="H27" s="141"/>
      <c r="I27" s="139"/>
      <c r="J27" s="140"/>
      <c r="K27" s="132" t="s">
        <v>61</v>
      </c>
      <c r="L27" s="140"/>
      <c r="M27" s="222"/>
      <c r="N27" s="139"/>
      <c r="O27" s="140"/>
      <c r="P27" s="132" t="s">
        <v>61</v>
      </c>
      <c r="Q27" s="140"/>
      <c r="R27" s="223"/>
      <c r="S27" s="138"/>
      <c r="T27" s="246"/>
      <c r="U27" s="139"/>
      <c r="V27" s="140"/>
      <c r="W27" s="132" t="s">
        <v>61</v>
      </c>
      <c r="X27" s="140"/>
      <c r="Y27" s="222"/>
      <c r="Z27" s="247"/>
      <c r="AA27" s="248"/>
      <c r="AB27" s="135"/>
      <c r="AC27" s="142"/>
      <c r="AD27" s="135"/>
      <c r="AE27" s="136"/>
      <c r="AF27" s="136"/>
      <c r="AG27" s="136"/>
      <c r="AH27" s="141"/>
      <c r="AI27" s="135"/>
      <c r="AJ27" s="142"/>
      <c r="AK27" s="254"/>
      <c r="AL27" s="255"/>
      <c r="AM27" s="255"/>
      <c r="AN27" s="255"/>
      <c r="AO27" s="256"/>
      <c r="AP27" s="135"/>
      <c r="AQ27" s="142"/>
      <c r="AR27" s="135"/>
      <c r="AS27" s="136"/>
      <c r="AT27" s="142"/>
      <c r="AU27" s="133"/>
      <c r="AV27" s="51"/>
      <c r="AW27" s="51"/>
      <c r="AX27" s="43"/>
      <c r="AY27" s="43"/>
      <c r="AZ27" s="43"/>
      <c r="BA27" s="134"/>
      <c r="BB27" s="134"/>
      <c r="BC27" s="134"/>
      <c r="BD27" s="134"/>
      <c r="BE27" s="44"/>
      <c r="BF27" s="44"/>
      <c r="BG27" s="44"/>
      <c r="BH27" s="44"/>
      <c r="BI27" s="44"/>
      <c r="BJ27" s="44"/>
      <c r="BK27" s="44"/>
      <c r="BL27" s="44"/>
      <c r="BM27" s="44"/>
      <c r="BP27" s="46"/>
      <c r="BQ27" s="46"/>
      <c r="BR27" s="46"/>
      <c r="BS27" s="47"/>
      <c r="BT27" s="48"/>
      <c r="BU27" s="48"/>
      <c r="BV27" s="48"/>
      <c r="BW27" s="48"/>
      <c r="BX27" s="48"/>
      <c r="BY27" s="48"/>
      <c r="BZ27" s="46"/>
      <c r="CA27" s="49"/>
      <c r="CB27" s="49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</row>
    <row r="28" spans="2:118" s="45" customFormat="1" ht="39.950000000000003" customHeight="1">
      <c r="B28" s="262">
        <v>43169</v>
      </c>
      <c r="C28" s="263"/>
      <c r="D28" s="221"/>
      <c r="E28" s="136"/>
      <c r="F28" s="132" t="s">
        <v>61</v>
      </c>
      <c r="G28" s="140"/>
      <c r="H28" s="141"/>
      <c r="I28" s="139"/>
      <c r="J28" s="140"/>
      <c r="K28" s="132" t="s">
        <v>61</v>
      </c>
      <c r="L28" s="140"/>
      <c r="M28" s="222"/>
      <c r="N28" s="139"/>
      <c r="O28" s="136"/>
      <c r="P28" s="132" t="s">
        <v>61</v>
      </c>
      <c r="Q28" s="140"/>
      <c r="R28" s="142"/>
      <c r="S28" s="137" t="str">
        <f t="shared" ref="S28" si="2">IF(((D28-G28)+(I28-L28)+(N28-Q28))*24=0,"　",((G28-D28)+(L28-I28)+(Q28-N28))*24-1)</f>
        <v>　</v>
      </c>
      <c r="T28" s="246"/>
      <c r="U28" s="139"/>
      <c r="V28" s="140"/>
      <c r="W28" s="132" t="s">
        <v>61</v>
      </c>
      <c r="X28" s="140"/>
      <c r="Y28" s="141"/>
      <c r="Z28" s="247" t="str">
        <f t="shared" ref="Z28" si="3">IF((X28-U28)*24=0,"　",(X28-U28)*24-1)</f>
        <v>　</v>
      </c>
      <c r="AA28" s="248"/>
      <c r="AB28" s="135"/>
      <c r="AC28" s="142"/>
      <c r="AD28" s="249"/>
      <c r="AE28" s="250"/>
      <c r="AF28" s="250"/>
      <c r="AG28" s="250"/>
      <c r="AH28" s="251"/>
      <c r="AI28" s="135"/>
      <c r="AJ28" s="142"/>
      <c r="AK28" s="254"/>
      <c r="AL28" s="255"/>
      <c r="AM28" s="255"/>
      <c r="AN28" s="255"/>
      <c r="AO28" s="256"/>
      <c r="AP28" s="135"/>
      <c r="AQ28" s="142"/>
      <c r="AR28" s="135"/>
      <c r="AS28" s="136"/>
      <c r="AT28" s="142"/>
      <c r="AU28" s="133"/>
      <c r="AV28" s="51"/>
      <c r="AW28" s="51"/>
      <c r="AX28" s="43"/>
      <c r="AY28" s="43"/>
      <c r="AZ28" s="43"/>
      <c r="BA28" s="134"/>
      <c r="BB28" s="134"/>
      <c r="BC28" s="134"/>
      <c r="BD28" s="134"/>
      <c r="BE28" s="44"/>
      <c r="BF28" s="44"/>
      <c r="BG28" s="44"/>
      <c r="BH28" s="44"/>
      <c r="BI28" s="44"/>
      <c r="BJ28" s="44"/>
      <c r="BK28" s="44"/>
      <c r="BL28" s="44"/>
      <c r="BM28" s="44"/>
      <c r="BP28" s="46"/>
      <c r="BQ28" s="46"/>
      <c r="BR28" s="46"/>
      <c r="BS28" s="47"/>
      <c r="BT28" s="48"/>
      <c r="BU28" s="48"/>
      <c r="BV28" s="48"/>
      <c r="BW28" s="48"/>
      <c r="BX28" s="48"/>
      <c r="BY28" s="48"/>
      <c r="BZ28" s="46"/>
      <c r="CA28" s="49"/>
      <c r="CB28" s="49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</row>
    <row r="29" spans="2:118" s="45" customFormat="1" ht="39.950000000000003" customHeight="1">
      <c r="B29" s="257"/>
      <c r="C29" s="258"/>
      <c r="D29" s="135"/>
      <c r="E29" s="136"/>
      <c r="F29" s="127" t="s">
        <v>61</v>
      </c>
      <c r="G29" s="136"/>
      <c r="H29" s="141"/>
      <c r="I29" s="139"/>
      <c r="J29" s="136"/>
      <c r="K29" s="127" t="s">
        <v>61</v>
      </c>
      <c r="L29" s="140"/>
      <c r="M29" s="141"/>
      <c r="N29" s="264"/>
      <c r="O29" s="136"/>
      <c r="P29" s="127" t="s">
        <v>61</v>
      </c>
      <c r="Q29" s="136"/>
      <c r="R29" s="142"/>
      <c r="S29" s="137" t="str">
        <f t="shared" ref="S29:S33" si="4">IF(((D29-G29)+(I29-L29)+(N29-Q29))*24=0,"　",((G29-D29)+(L29-I29)+(Q29-N29))*24-1)</f>
        <v>　</v>
      </c>
      <c r="T29" s="246"/>
      <c r="U29" s="264"/>
      <c r="V29" s="136"/>
      <c r="W29" s="127" t="s">
        <v>61</v>
      </c>
      <c r="X29" s="136"/>
      <c r="Y29" s="141"/>
      <c r="Z29" s="247" t="str">
        <f t="shared" ref="Z29:Z33" si="5">IF((X29-U29)*24=0,"　",(X29-U29)*24)</f>
        <v>　</v>
      </c>
      <c r="AA29" s="248"/>
      <c r="AB29" s="135"/>
      <c r="AC29" s="142"/>
      <c r="AD29" s="135"/>
      <c r="AE29" s="136"/>
      <c r="AF29" s="136"/>
      <c r="AG29" s="136"/>
      <c r="AH29" s="141"/>
      <c r="AI29" s="135"/>
      <c r="AJ29" s="142"/>
      <c r="AK29" s="264"/>
      <c r="AL29" s="136"/>
      <c r="AM29" s="136"/>
      <c r="AN29" s="136"/>
      <c r="AO29" s="142"/>
      <c r="AP29" s="135"/>
      <c r="AQ29" s="142"/>
      <c r="AR29" s="135"/>
      <c r="AS29" s="136"/>
      <c r="AT29" s="142"/>
      <c r="AU29" s="126"/>
      <c r="AV29" s="51"/>
      <c r="AW29" s="51"/>
      <c r="AX29" s="43"/>
      <c r="AY29" s="43"/>
      <c r="AZ29" s="43"/>
      <c r="BA29" s="134"/>
      <c r="BB29" s="134"/>
      <c r="BC29" s="134"/>
      <c r="BD29" s="134"/>
      <c r="BE29" s="44"/>
      <c r="BF29" s="44"/>
      <c r="BG29" s="44"/>
      <c r="BH29" s="44"/>
      <c r="BI29" s="44"/>
      <c r="BJ29" s="44"/>
      <c r="BK29" s="44"/>
      <c r="BL29" s="44"/>
      <c r="BM29" s="44"/>
      <c r="BP29" s="46"/>
      <c r="BQ29" s="46"/>
      <c r="BR29" s="46"/>
      <c r="BS29" s="47"/>
      <c r="BT29" s="48"/>
      <c r="BU29" s="48"/>
      <c r="BV29" s="48"/>
      <c r="BW29" s="48"/>
      <c r="BX29" s="48"/>
      <c r="BY29" s="48"/>
      <c r="BZ29" s="46"/>
      <c r="CA29" s="49"/>
      <c r="CB29" s="49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</row>
    <row r="30" spans="2:118" s="45" customFormat="1" ht="39.950000000000003" customHeight="1">
      <c r="B30" s="257"/>
      <c r="C30" s="265"/>
      <c r="D30" s="221"/>
      <c r="E30" s="136"/>
      <c r="F30" s="39" t="s">
        <v>61</v>
      </c>
      <c r="G30" s="140"/>
      <c r="H30" s="141"/>
      <c r="I30" s="221"/>
      <c r="J30" s="136"/>
      <c r="K30" s="39" t="s">
        <v>61</v>
      </c>
      <c r="L30" s="140"/>
      <c r="M30" s="141"/>
      <c r="N30" s="135"/>
      <c r="O30" s="136"/>
      <c r="P30" s="39" t="s">
        <v>61</v>
      </c>
      <c r="Q30" s="136"/>
      <c r="R30" s="136"/>
      <c r="S30" s="137" t="str">
        <f t="shared" si="4"/>
        <v>　</v>
      </c>
      <c r="T30" s="138"/>
      <c r="U30" s="139"/>
      <c r="V30" s="136"/>
      <c r="W30" s="39" t="s">
        <v>61</v>
      </c>
      <c r="X30" s="140"/>
      <c r="Y30" s="141"/>
      <c r="Z30" s="137" t="str">
        <f t="shared" si="5"/>
        <v>　</v>
      </c>
      <c r="AA30" s="138"/>
      <c r="AB30" s="135"/>
      <c r="AC30" s="142"/>
      <c r="AD30" s="143"/>
      <c r="AE30" s="144"/>
      <c r="AF30" s="144"/>
      <c r="AG30" s="144"/>
      <c r="AH30" s="145"/>
      <c r="AI30" s="135"/>
      <c r="AJ30" s="142"/>
      <c r="AK30" s="264"/>
      <c r="AL30" s="136"/>
      <c r="AM30" s="136"/>
      <c r="AN30" s="136"/>
      <c r="AO30" s="142"/>
      <c r="AP30" s="135"/>
      <c r="AQ30" s="142"/>
      <c r="AR30" s="135"/>
      <c r="AS30" s="136"/>
      <c r="AT30" s="142"/>
      <c r="AU30" s="50"/>
      <c r="AV30" s="51"/>
      <c r="AW30" s="51"/>
      <c r="AX30" s="43"/>
      <c r="AY30" s="43"/>
      <c r="AZ30" s="43"/>
      <c r="BA30" s="134"/>
      <c r="BB30" s="134"/>
      <c r="BC30" s="134"/>
      <c r="BD30" s="134"/>
      <c r="BE30" s="44"/>
      <c r="BF30" s="44"/>
      <c r="BG30" s="44"/>
      <c r="BH30" s="44"/>
      <c r="BI30" s="44"/>
      <c r="BJ30" s="44"/>
      <c r="BK30" s="44"/>
      <c r="BL30" s="44"/>
      <c r="BM30" s="44"/>
      <c r="BP30" s="46"/>
      <c r="BQ30" s="46"/>
      <c r="BR30" s="46"/>
      <c r="BS30" s="47"/>
      <c r="BT30" s="48"/>
      <c r="BU30" s="48"/>
      <c r="BV30" s="48"/>
      <c r="BW30" s="48"/>
      <c r="BX30" s="48"/>
      <c r="BY30" s="48"/>
      <c r="BZ30" s="46"/>
      <c r="CA30" s="49"/>
      <c r="CB30" s="49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</row>
    <row r="31" spans="2:118" s="45" customFormat="1" ht="39.75" customHeight="1">
      <c r="B31" s="257"/>
      <c r="C31" s="265"/>
      <c r="D31" s="221"/>
      <c r="E31" s="136"/>
      <c r="F31" s="130" t="s">
        <v>61</v>
      </c>
      <c r="G31" s="140"/>
      <c r="H31" s="141"/>
      <c r="I31" s="221"/>
      <c r="J31" s="136"/>
      <c r="K31" s="130" t="s">
        <v>61</v>
      </c>
      <c r="L31" s="140"/>
      <c r="M31" s="141"/>
      <c r="N31" s="135"/>
      <c r="O31" s="136"/>
      <c r="P31" s="130" t="s">
        <v>61</v>
      </c>
      <c r="Q31" s="136"/>
      <c r="R31" s="136"/>
      <c r="S31" s="137" t="str">
        <f t="shared" ref="S31:S32" si="6">IF(((D31-G31)+(I31-L31)+(N31-Q31))*24=0,"　",((G31-D31)+(L31-I31)+(Q31-N31))*24-1)</f>
        <v>　</v>
      </c>
      <c r="T31" s="138"/>
      <c r="U31" s="139"/>
      <c r="V31" s="136"/>
      <c r="W31" s="130" t="s">
        <v>61</v>
      </c>
      <c r="X31" s="140"/>
      <c r="Y31" s="141"/>
      <c r="Z31" s="137" t="str">
        <f t="shared" ref="Z31:Z32" si="7">IF((X31-U31)*24=0,"　",(X31-U31)*24)</f>
        <v>　</v>
      </c>
      <c r="AA31" s="138"/>
      <c r="AB31" s="135"/>
      <c r="AC31" s="142"/>
      <c r="AD31" s="143"/>
      <c r="AE31" s="144"/>
      <c r="AF31" s="144"/>
      <c r="AG31" s="144"/>
      <c r="AH31" s="145"/>
      <c r="AI31" s="135"/>
      <c r="AJ31" s="142"/>
      <c r="AK31" s="264"/>
      <c r="AL31" s="136"/>
      <c r="AM31" s="136"/>
      <c r="AN31" s="136"/>
      <c r="AO31" s="142"/>
      <c r="AP31" s="135"/>
      <c r="AQ31" s="142"/>
      <c r="AR31" s="135"/>
      <c r="AS31" s="136"/>
      <c r="AT31" s="142"/>
      <c r="AU31" s="50"/>
      <c r="AV31" s="51"/>
      <c r="AW31" s="51"/>
      <c r="AX31" s="43"/>
      <c r="AY31" s="43"/>
      <c r="AZ31" s="43"/>
      <c r="BA31" s="134"/>
      <c r="BB31" s="134"/>
      <c r="BC31" s="134"/>
      <c r="BD31" s="134"/>
      <c r="BE31" s="44"/>
      <c r="BF31" s="44"/>
      <c r="BG31" s="44"/>
      <c r="BH31" s="44"/>
      <c r="BI31" s="44"/>
      <c r="BJ31" s="44"/>
      <c r="BK31" s="44"/>
      <c r="BL31" s="44"/>
      <c r="BM31" s="44"/>
      <c r="BP31" s="46"/>
      <c r="BQ31" s="46"/>
      <c r="BR31" s="46"/>
      <c r="BS31" s="47"/>
      <c r="BT31" s="48"/>
      <c r="BU31" s="48"/>
      <c r="BV31" s="48"/>
      <c r="BW31" s="48"/>
      <c r="BX31" s="48"/>
      <c r="BY31" s="48"/>
      <c r="BZ31" s="46"/>
      <c r="CA31" s="49"/>
      <c r="CB31" s="49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</row>
    <row r="32" spans="2:118" s="45" customFormat="1" ht="39.950000000000003" customHeight="1">
      <c r="B32" s="257"/>
      <c r="C32" s="265"/>
      <c r="D32" s="221"/>
      <c r="E32" s="136"/>
      <c r="F32" s="130" t="s">
        <v>61</v>
      </c>
      <c r="G32" s="140"/>
      <c r="H32" s="141"/>
      <c r="I32" s="221"/>
      <c r="J32" s="136"/>
      <c r="K32" s="130" t="s">
        <v>61</v>
      </c>
      <c r="L32" s="140"/>
      <c r="M32" s="141"/>
      <c r="N32" s="135"/>
      <c r="O32" s="136"/>
      <c r="P32" s="130" t="s">
        <v>61</v>
      </c>
      <c r="Q32" s="136"/>
      <c r="R32" s="136"/>
      <c r="S32" s="137" t="str">
        <f t="shared" si="6"/>
        <v>　</v>
      </c>
      <c r="T32" s="138"/>
      <c r="U32" s="139"/>
      <c r="V32" s="136"/>
      <c r="W32" s="130" t="s">
        <v>61</v>
      </c>
      <c r="X32" s="140"/>
      <c r="Y32" s="141"/>
      <c r="Z32" s="137" t="str">
        <f t="shared" si="7"/>
        <v>　</v>
      </c>
      <c r="AA32" s="138"/>
      <c r="AB32" s="135"/>
      <c r="AC32" s="142"/>
      <c r="AD32" s="143"/>
      <c r="AE32" s="144"/>
      <c r="AF32" s="144"/>
      <c r="AG32" s="144"/>
      <c r="AH32" s="145"/>
      <c r="AI32" s="135"/>
      <c r="AJ32" s="142"/>
      <c r="AK32" s="264"/>
      <c r="AL32" s="136"/>
      <c r="AM32" s="136"/>
      <c r="AN32" s="136"/>
      <c r="AO32" s="142"/>
      <c r="AP32" s="135"/>
      <c r="AQ32" s="142"/>
      <c r="AR32" s="135"/>
      <c r="AS32" s="136"/>
      <c r="AT32" s="142"/>
      <c r="AU32" s="126"/>
      <c r="AV32" s="51"/>
      <c r="AW32" s="51"/>
      <c r="AX32" s="43"/>
      <c r="AY32" s="43"/>
      <c r="AZ32" s="43"/>
      <c r="BA32" s="134"/>
      <c r="BB32" s="134"/>
      <c r="BC32" s="134"/>
      <c r="BD32" s="134"/>
      <c r="BE32" s="44"/>
      <c r="BF32" s="44"/>
      <c r="BG32" s="44"/>
      <c r="BH32" s="44"/>
      <c r="BI32" s="44"/>
      <c r="BJ32" s="44"/>
      <c r="BK32" s="44"/>
      <c r="BL32" s="44"/>
      <c r="BM32" s="44"/>
      <c r="BP32" s="46"/>
      <c r="BQ32" s="46"/>
      <c r="BR32" s="46"/>
      <c r="BS32" s="47"/>
      <c r="BT32" s="48"/>
      <c r="BU32" s="48"/>
      <c r="BV32" s="48"/>
      <c r="BW32" s="48"/>
      <c r="BX32" s="48"/>
      <c r="BY32" s="48"/>
      <c r="BZ32" s="46"/>
      <c r="CA32" s="49"/>
      <c r="CB32" s="49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</row>
    <row r="33" spans="2:118" s="45" customFormat="1" ht="39.950000000000003" customHeight="1" thickBot="1">
      <c r="B33" s="257"/>
      <c r="C33" s="265"/>
      <c r="D33" s="135"/>
      <c r="E33" s="136"/>
      <c r="F33" s="39" t="s">
        <v>61</v>
      </c>
      <c r="G33" s="136"/>
      <c r="H33" s="141"/>
      <c r="I33" s="269"/>
      <c r="J33" s="267"/>
      <c r="K33" s="129" t="s">
        <v>61</v>
      </c>
      <c r="L33" s="270"/>
      <c r="M33" s="268"/>
      <c r="N33" s="168"/>
      <c r="O33" s="169"/>
      <c r="P33" s="125" t="s">
        <v>61</v>
      </c>
      <c r="Q33" s="169"/>
      <c r="R33" s="169"/>
      <c r="S33" s="295" t="str">
        <f t="shared" si="4"/>
        <v>　</v>
      </c>
      <c r="T33" s="296"/>
      <c r="U33" s="266"/>
      <c r="V33" s="267"/>
      <c r="W33" s="129" t="s">
        <v>61</v>
      </c>
      <c r="X33" s="267"/>
      <c r="Y33" s="268"/>
      <c r="Z33" s="137" t="str">
        <f t="shared" si="5"/>
        <v>　</v>
      </c>
      <c r="AA33" s="138"/>
      <c r="AB33" s="135"/>
      <c r="AC33" s="142"/>
      <c r="AD33" s="135"/>
      <c r="AE33" s="136"/>
      <c r="AF33" s="136"/>
      <c r="AG33" s="136"/>
      <c r="AH33" s="141"/>
      <c r="AI33" s="293"/>
      <c r="AJ33" s="294"/>
      <c r="AK33" s="264"/>
      <c r="AL33" s="136"/>
      <c r="AM33" s="136"/>
      <c r="AN33" s="136"/>
      <c r="AO33" s="142"/>
      <c r="AP33" s="135"/>
      <c r="AQ33" s="142"/>
      <c r="AR33" s="135"/>
      <c r="AS33" s="136"/>
      <c r="AT33" s="142"/>
      <c r="AU33" s="50"/>
      <c r="AV33" s="51"/>
      <c r="AW33" s="51"/>
      <c r="AX33" s="43"/>
      <c r="AY33" s="43"/>
      <c r="AZ33" s="43"/>
      <c r="BA33" s="134"/>
      <c r="BB33" s="134"/>
      <c r="BC33" s="134"/>
      <c r="BD33" s="134"/>
      <c r="BE33" s="44"/>
      <c r="BF33" s="44"/>
      <c r="BG33" s="44"/>
      <c r="BH33" s="44"/>
      <c r="BI33" s="44"/>
      <c r="BJ33" s="44"/>
      <c r="BK33" s="44"/>
      <c r="BL33" s="44"/>
      <c r="BM33" s="44"/>
      <c r="BP33" s="46"/>
      <c r="BQ33" s="46"/>
      <c r="BR33" s="46"/>
      <c r="BS33" s="47"/>
      <c r="BT33" s="48"/>
      <c r="BU33" s="48"/>
      <c r="BV33" s="48"/>
      <c r="BW33" s="48"/>
      <c r="BX33" s="48"/>
      <c r="BY33" s="48"/>
      <c r="BZ33" s="46"/>
      <c r="CA33" s="49"/>
      <c r="CB33" s="49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</row>
    <row r="34" spans="2:118" s="55" customFormat="1" ht="39.950000000000003" customHeight="1">
      <c r="B34" s="284" t="s">
        <v>63</v>
      </c>
      <c r="C34" s="285"/>
      <c r="D34" s="285"/>
      <c r="E34" s="286"/>
      <c r="F34" s="287" t="s">
        <v>64</v>
      </c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8"/>
      <c r="AE34" s="288"/>
      <c r="AF34" s="288"/>
      <c r="AG34" s="289"/>
      <c r="AH34" s="275" t="s">
        <v>65</v>
      </c>
      <c r="AI34" s="239"/>
      <c r="AJ34" s="239"/>
      <c r="AK34" s="154"/>
      <c r="AL34" s="155"/>
      <c r="AM34" s="290">
        <v>43144</v>
      </c>
      <c r="AN34" s="291"/>
      <c r="AO34" s="291"/>
      <c r="AP34" s="291"/>
      <c r="AQ34" s="291"/>
      <c r="AR34" s="291"/>
      <c r="AS34" s="291"/>
      <c r="AT34" s="292"/>
      <c r="AU34" s="52"/>
      <c r="AV34" s="53"/>
      <c r="AW34" s="53"/>
      <c r="AX34" s="4"/>
      <c r="AY34" s="4"/>
      <c r="AZ34" s="4"/>
      <c r="BA34" s="4"/>
      <c r="BB34" s="4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6"/>
      <c r="BO34" s="6"/>
      <c r="BP34" s="46"/>
      <c r="BQ34" s="7"/>
      <c r="BR34" s="7"/>
      <c r="BS34" s="7"/>
      <c r="BT34" s="7"/>
      <c r="BU34" s="7"/>
      <c r="BV34" s="7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</row>
    <row r="35" spans="2:118" ht="39.950000000000003" customHeight="1">
      <c r="B35" s="249" t="s">
        <v>66</v>
      </c>
      <c r="C35" s="278"/>
      <c r="D35" s="278"/>
      <c r="E35" s="279"/>
      <c r="F35" s="249" t="s">
        <v>67</v>
      </c>
      <c r="G35" s="278"/>
      <c r="H35" s="278"/>
      <c r="I35" s="279"/>
      <c r="J35" s="56"/>
      <c r="K35" s="176" t="s">
        <v>107</v>
      </c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8"/>
      <c r="AM35" s="18"/>
      <c r="AN35" s="18"/>
      <c r="AO35" s="18"/>
      <c r="AP35" s="18"/>
      <c r="AQ35" s="18"/>
      <c r="AR35" s="18"/>
      <c r="AS35" s="18"/>
      <c r="AT35" s="19"/>
      <c r="AU35" s="14"/>
      <c r="BP35" s="46"/>
    </row>
    <row r="36" spans="2:118" ht="39.950000000000003" customHeight="1">
      <c r="B36" s="271"/>
      <c r="C36" s="272"/>
      <c r="D36" s="272"/>
      <c r="E36" s="273"/>
      <c r="F36" s="271"/>
      <c r="G36" s="272"/>
      <c r="H36" s="272"/>
      <c r="I36" s="273"/>
      <c r="J36" s="57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M36" s="275" t="s">
        <v>68</v>
      </c>
      <c r="AN36" s="154"/>
      <c r="AO36" s="154"/>
      <c r="AP36" s="154"/>
      <c r="AQ36" s="154"/>
      <c r="AR36" s="154"/>
      <c r="AS36" s="154"/>
      <c r="AT36" s="155"/>
      <c r="AU36" s="58"/>
      <c r="BP36" s="46"/>
    </row>
    <row r="37" spans="2:118" ht="39.75" customHeight="1">
      <c r="B37" s="276"/>
      <c r="C37" s="277"/>
      <c r="D37" s="278"/>
      <c r="E37" s="279"/>
      <c r="F37" s="276"/>
      <c r="G37" s="154"/>
      <c r="H37" s="278"/>
      <c r="I37" s="279"/>
      <c r="J37" s="57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M37" s="281"/>
      <c r="AN37" s="282"/>
      <c r="AO37" s="282"/>
      <c r="AP37" s="282"/>
      <c r="AQ37" s="282"/>
      <c r="AR37" s="282"/>
      <c r="AS37" s="282"/>
      <c r="AT37" s="283"/>
      <c r="AU37" s="59"/>
      <c r="BP37" s="46"/>
    </row>
    <row r="38" spans="2:118" ht="39.950000000000003" customHeight="1">
      <c r="B38" s="276"/>
      <c r="C38" s="277"/>
      <c r="D38" s="278"/>
      <c r="E38" s="279"/>
      <c r="F38" s="276"/>
      <c r="G38" s="154"/>
      <c r="H38" s="278"/>
      <c r="I38" s="279"/>
      <c r="J38" s="60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24"/>
      <c r="AM38" s="310" t="s">
        <v>69</v>
      </c>
      <c r="AN38" s="311"/>
      <c r="AO38" s="311"/>
      <c r="AP38" s="311"/>
      <c r="AQ38" s="311"/>
      <c r="AR38" s="311"/>
      <c r="AS38" s="311"/>
      <c r="AT38" s="312"/>
      <c r="AU38" s="14"/>
      <c r="BD38" s="58"/>
      <c r="BE38" s="58"/>
      <c r="BF38" s="58"/>
      <c r="BG38" s="313"/>
      <c r="BH38" s="313"/>
      <c r="BI38" s="313"/>
      <c r="BJ38" s="58"/>
      <c r="BK38" s="314"/>
      <c r="BL38" s="315"/>
      <c r="BM38" s="315"/>
      <c r="BP38" s="46"/>
    </row>
    <row r="39" spans="2:118" ht="15.75" hidden="1">
      <c r="BP39" s="46"/>
    </row>
    <row r="40" spans="2:118" ht="16.5" hidden="1" thickBot="1">
      <c r="AX40" s="297" t="s">
        <v>70</v>
      </c>
      <c r="AY40" s="297"/>
      <c r="AZ40" s="297"/>
      <c r="BA40" s="297"/>
      <c r="BB40" s="297"/>
      <c r="BC40" s="297"/>
      <c r="BD40" s="297"/>
      <c r="BE40" s="297"/>
      <c r="BF40" s="297"/>
      <c r="BG40" s="297"/>
      <c r="BH40" s="297"/>
      <c r="BI40" s="297"/>
      <c r="BJ40" s="297"/>
      <c r="BK40" s="297"/>
      <c r="BL40" s="297"/>
      <c r="BM40" s="297"/>
      <c r="BP40" s="46"/>
    </row>
    <row r="41" spans="2:118" ht="21" hidden="1" customHeight="1">
      <c r="AX41" s="298" t="s">
        <v>71</v>
      </c>
      <c r="AY41" s="299"/>
      <c r="AZ41" s="61" t="s">
        <v>72</v>
      </c>
      <c r="BA41" s="61" t="s">
        <v>73</v>
      </c>
      <c r="BB41" s="62" t="s">
        <v>74</v>
      </c>
      <c r="BC41" s="300" t="s">
        <v>75</v>
      </c>
      <c r="BD41" s="301"/>
      <c r="BE41" s="301"/>
      <c r="BF41" s="301"/>
      <c r="BG41" s="301"/>
      <c r="BH41" s="301"/>
      <c r="BI41" s="302" t="s">
        <v>72</v>
      </c>
      <c r="BJ41" s="299"/>
      <c r="BK41" s="302" t="s">
        <v>73</v>
      </c>
      <c r="BL41" s="299"/>
      <c r="BM41" s="63" t="s">
        <v>74</v>
      </c>
      <c r="BP41" s="46"/>
    </row>
    <row r="42" spans="2:118" ht="21" hidden="1" customHeight="1">
      <c r="AX42" s="64">
        <v>1</v>
      </c>
      <c r="AY42" s="65"/>
      <c r="AZ42" s="66"/>
      <c r="BA42" s="67"/>
      <c r="BB42" s="68"/>
      <c r="BC42" s="69">
        <v>1</v>
      </c>
      <c r="BD42" s="303"/>
      <c r="BE42" s="304"/>
      <c r="BF42" s="304"/>
      <c r="BG42" s="304"/>
      <c r="BH42" s="305"/>
      <c r="BI42" s="306"/>
      <c r="BJ42" s="307"/>
      <c r="BK42" s="308"/>
      <c r="BL42" s="309"/>
      <c r="BM42" s="70"/>
      <c r="BP42" s="46"/>
    </row>
    <row r="43" spans="2:118" ht="21" hidden="1" customHeight="1">
      <c r="AX43" s="71">
        <v>2</v>
      </c>
      <c r="AY43" s="72"/>
      <c r="AZ43" s="73"/>
      <c r="BA43" s="74"/>
      <c r="BB43" s="75"/>
      <c r="BC43" s="76">
        <v>2</v>
      </c>
      <c r="BD43" s="316"/>
      <c r="BE43" s="317"/>
      <c r="BF43" s="317"/>
      <c r="BG43" s="317"/>
      <c r="BH43" s="318"/>
      <c r="BI43" s="319"/>
      <c r="BJ43" s="320"/>
      <c r="BK43" s="321"/>
      <c r="BL43" s="322"/>
      <c r="BM43" s="77"/>
    </row>
    <row r="44" spans="2:118" ht="21" hidden="1" customHeight="1">
      <c r="AX44" s="71">
        <v>3</v>
      </c>
      <c r="AY44" s="78"/>
      <c r="AZ44" s="73"/>
      <c r="BA44" s="74"/>
      <c r="BB44" s="75"/>
      <c r="BC44" s="76">
        <v>3</v>
      </c>
      <c r="BD44" s="316"/>
      <c r="BE44" s="317"/>
      <c r="BF44" s="317"/>
      <c r="BG44" s="317"/>
      <c r="BH44" s="318"/>
      <c r="BI44" s="319"/>
      <c r="BJ44" s="320"/>
      <c r="BK44" s="321"/>
      <c r="BL44" s="322"/>
      <c r="BM44" s="77"/>
    </row>
    <row r="45" spans="2:118" ht="21" hidden="1" customHeight="1">
      <c r="AX45" s="71">
        <v>4</v>
      </c>
      <c r="AY45" s="78"/>
      <c r="AZ45" s="73"/>
      <c r="BA45" s="74"/>
      <c r="BB45" s="75"/>
      <c r="BC45" s="76">
        <v>4</v>
      </c>
      <c r="BD45" s="316"/>
      <c r="BE45" s="317"/>
      <c r="BF45" s="317"/>
      <c r="BG45" s="317"/>
      <c r="BH45" s="318"/>
      <c r="BI45" s="319"/>
      <c r="BJ45" s="320"/>
      <c r="BK45" s="321"/>
      <c r="BL45" s="322"/>
      <c r="BM45" s="77"/>
    </row>
    <row r="46" spans="2:118" ht="21" hidden="1" customHeight="1">
      <c r="AX46" s="71">
        <v>5</v>
      </c>
      <c r="AY46" s="78"/>
      <c r="AZ46" s="73"/>
      <c r="BA46" s="74"/>
      <c r="BB46" s="75"/>
      <c r="BC46" s="76">
        <v>5</v>
      </c>
      <c r="BD46" s="316"/>
      <c r="BE46" s="317"/>
      <c r="BF46" s="317"/>
      <c r="BG46" s="317"/>
      <c r="BH46" s="318"/>
      <c r="BI46" s="319"/>
      <c r="BJ46" s="320"/>
      <c r="BK46" s="321"/>
      <c r="BL46" s="322"/>
      <c r="BM46" s="77"/>
    </row>
    <row r="47" spans="2:118" ht="21" hidden="1" customHeight="1">
      <c r="AX47" s="71">
        <v>6</v>
      </c>
      <c r="AY47" s="78"/>
      <c r="AZ47" s="73"/>
      <c r="BA47" s="74"/>
      <c r="BB47" s="75"/>
      <c r="BC47" s="76">
        <v>6</v>
      </c>
      <c r="BD47" s="316"/>
      <c r="BE47" s="317"/>
      <c r="BF47" s="317"/>
      <c r="BG47" s="317"/>
      <c r="BH47" s="318"/>
      <c r="BI47" s="319"/>
      <c r="BJ47" s="320"/>
      <c r="BK47" s="321"/>
      <c r="BL47" s="322"/>
      <c r="BM47" s="77"/>
    </row>
    <row r="48" spans="2:118" ht="21" hidden="1" customHeight="1">
      <c r="AX48" s="71">
        <v>7</v>
      </c>
      <c r="AY48" s="78"/>
      <c r="AZ48" s="73"/>
      <c r="BA48" s="74"/>
      <c r="BB48" s="75"/>
      <c r="BC48" s="76">
        <v>7</v>
      </c>
      <c r="BD48" s="316"/>
      <c r="BE48" s="317"/>
      <c r="BF48" s="317"/>
      <c r="BG48" s="317"/>
      <c r="BH48" s="318"/>
      <c r="BI48" s="319"/>
      <c r="BJ48" s="320"/>
      <c r="BK48" s="321"/>
      <c r="BL48" s="322"/>
      <c r="BM48" s="77"/>
    </row>
    <row r="49" spans="50:65" ht="21" hidden="1" customHeight="1">
      <c r="AX49" s="71">
        <v>8</v>
      </c>
      <c r="AY49" s="78"/>
      <c r="AZ49" s="73"/>
      <c r="BA49" s="74"/>
      <c r="BB49" s="75"/>
      <c r="BC49" s="76">
        <v>8</v>
      </c>
      <c r="BD49" s="316"/>
      <c r="BE49" s="317"/>
      <c r="BF49" s="317"/>
      <c r="BG49" s="317"/>
      <c r="BH49" s="318"/>
      <c r="BI49" s="319"/>
      <c r="BJ49" s="320"/>
      <c r="BK49" s="321"/>
      <c r="BL49" s="322"/>
      <c r="BM49" s="77"/>
    </row>
    <row r="50" spans="50:65" ht="21" hidden="1" customHeight="1">
      <c r="AX50" s="71">
        <v>9</v>
      </c>
      <c r="AY50" s="78"/>
      <c r="AZ50" s="73"/>
      <c r="BA50" s="74"/>
      <c r="BB50" s="75"/>
      <c r="BC50" s="76">
        <v>9</v>
      </c>
      <c r="BD50" s="316"/>
      <c r="BE50" s="317"/>
      <c r="BF50" s="317"/>
      <c r="BG50" s="317"/>
      <c r="BH50" s="318"/>
      <c r="BI50" s="319"/>
      <c r="BJ50" s="320"/>
      <c r="BK50" s="321"/>
      <c r="BL50" s="322"/>
      <c r="BM50" s="77"/>
    </row>
    <row r="51" spans="50:65" ht="21" hidden="1" customHeight="1">
      <c r="AX51" s="71">
        <v>10</v>
      </c>
      <c r="AY51" s="78"/>
      <c r="AZ51" s="73"/>
      <c r="BA51" s="74"/>
      <c r="BB51" s="75"/>
      <c r="BC51" s="76">
        <v>10</v>
      </c>
      <c r="BD51" s="316"/>
      <c r="BE51" s="317"/>
      <c r="BF51" s="317"/>
      <c r="BG51" s="317"/>
      <c r="BH51" s="318"/>
      <c r="BI51" s="319"/>
      <c r="BJ51" s="320"/>
      <c r="BK51" s="321"/>
      <c r="BL51" s="322"/>
      <c r="BM51" s="77"/>
    </row>
    <row r="52" spans="50:65" ht="21" hidden="1" customHeight="1">
      <c r="AX52" s="71">
        <v>11</v>
      </c>
      <c r="AY52" s="78"/>
      <c r="AZ52" s="73"/>
      <c r="BA52" s="74"/>
      <c r="BB52" s="75"/>
      <c r="BC52" s="76">
        <v>11</v>
      </c>
      <c r="BD52" s="316"/>
      <c r="BE52" s="317"/>
      <c r="BF52" s="317"/>
      <c r="BG52" s="317"/>
      <c r="BH52" s="318"/>
      <c r="BI52" s="319"/>
      <c r="BJ52" s="320"/>
      <c r="BK52" s="321"/>
      <c r="BL52" s="322"/>
      <c r="BM52" s="77"/>
    </row>
    <row r="53" spans="50:65" ht="21" hidden="1" customHeight="1">
      <c r="AX53" s="71">
        <v>12</v>
      </c>
      <c r="AY53" s="79"/>
      <c r="AZ53" s="73"/>
      <c r="BA53" s="74"/>
      <c r="BB53" s="75"/>
      <c r="BC53" s="76">
        <v>12</v>
      </c>
      <c r="BD53" s="316"/>
      <c r="BE53" s="317"/>
      <c r="BF53" s="317"/>
      <c r="BG53" s="317"/>
      <c r="BH53" s="318"/>
      <c r="BI53" s="319"/>
      <c r="BJ53" s="320"/>
      <c r="BK53" s="321"/>
      <c r="BL53" s="322"/>
      <c r="BM53" s="80"/>
    </row>
    <row r="54" spans="50:65" ht="21" hidden="1" customHeight="1">
      <c r="AX54" s="71">
        <v>13</v>
      </c>
      <c r="AY54" s="79"/>
      <c r="AZ54" s="73"/>
      <c r="BA54" s="74"/>
      <c r="BB54" s="75"/>
      <c r="BC54" s="81">
        <v>13</v>
      </c>
      <c r="BD54" s="323"/>
      <c r="BE54" s="324"/>
      <c r="BF54" s="324"/>
      <c r="BG54" s="324"/>
      <c r="BH54" s="325"/>
      <c r="BI54" s="326"/>
      <c r="BJ54" s="327"/>
      <c r="BK54" s="328"/>
      <c r="BL54" s="329"/>
      <c r="BM54" s="80"/>
    </row>
    <row r="55" spans="50:65" ht="21" hidden="1" customHeight="1">
      <c r="AX55" s="71">
        <v>14</v>
      </c>
      <c r="AY55" s="79"/>
      <c r="AZ55" s="73"/>
      <c r="BA55" s="74"/>
      <c r="BB55" s="75"/>
      <c r="BC55" s="334" t="s">
        <v>76</v>
      </c>
      <c r="BD55" s="335"/>
      <c r="BE55" s="335"/>
      <c r="BF55" s="335"/>
      <c r="BG55" s="335"/>
      <c r="BH55" s="335"/>
      <c r="BI55" s="335"/>
      <c r="BJ55" s="336"/>
      <c r="BK55" s="337" t="s">
        <v>73</v>
      </c>
      <c r="BL55" s="336"/>
      <c r="BM55" s="82" t="s">
        <v>74</v>
      </c>
    </row>
    <row r="56" spans="50:65" ht="21" hidden="1" customHeight="1">
      <c r="AX56" s="71">
        <v>15</v>
      </c>
      <c r="AY56" s="79"/>
      <c r="AZ56" s="73"/>
      <c r="BA56" s="74"/>
      <c r="BB56" s="75"/>
      <c r="BC56" s="83">
        <v>1</v>
      </c>
      <c r="BD56" s="303"/>
      <c r="BE56" s="304"/>
      <c r="BF56" s="304"/>
      <c r="BG56" s="304"/>
      <c r="BH56" s="304"/>
      <c r="BI56" s="304"/>
      <c r="BJ56" s="305"/>
      <c r="BK56" s="308"/>
      <c r="BL56" s="309"/>
      <c r="BM56" s="70"/>
    </row>
    <row r="57" spans="50:65" ht="21" hidden="1" customHeight="1">
      <c r="AX57" s="71">
        <v>16</v>
      </c>
      <c r="AY57" s="79"/>
      <c r="AZ57" s="73"/>
      <c r="BA57" s="74"/>
      <c r="BB57" s="75"/>
      <c r="BC57" s="76">
        <v>2</v>
      </c>
      <c r="BD57" s="316"/>
      <c r="BE57" s="317"/>
      <c r="BF57" s="317"/>
      <c r="BG57" s="317"/>
      <c r="BH57" s="317"/>
      <c r="BI57" s="317"/>
      <c r="BJ57" s="318"/>
      <c r="BK57" s="321"/>
      <c r="BL57" s="322"/>
      <c r="BM57" s="77"/>
    </row>
    <row r="58" spans="50:65" ht="21" hidden="1" customHeight="1">
      <c r="AX58" s="71">
        <v>17</v>
      </c>
      <c r="AY58" s="79"/>
      <c r="AZ58" s="73"/>
      <c r="BA58" s="74"/>
      <c r="BB58" s="75"/>
      <c r="BC58" s="76">
        <v>3</v>
      </c>
      <c r="BD58" s="316"/>
      <c r="BE58" s="317"/>
      <c r="BF58" s="317"/>
      <c r="BG58" s="317"/>
      <c r="BH58" s="317"/>
      <c r="BI58" s="317"/>
      <c r="BJ58" s="318"/>
      <c r="BK58" s="321"/>
      <c r="BL58" s="322"/>
      <c r="BM58" s="77"/>
    </row>
    <row r="59" spans="50:65" ht="21" hidden="1" customHeight="1">
      <c r="AX59" s="71">
        <v>18</v>
      </c>
      <c r="AY59" s="78"/>
      <c r="AZ59" s="73"/>
      <c r="BA59" s="74"/>
      <c r="BB59" s="75"/>
      <c r="BC59" s="76">
        <v>4</v>
      </c>
      <c r="BD59" s="316"/>
      <c r="BE59" s="317"/>
      <c r="BF59" s="317"/>
      <c r="BG59" s="317"/>
      <c r="BH59" s="317"/>
      <c r="BI59" s="317"/>
      <c r="BJ59" s="318"/>
      <c r="BK59" s="321"/>
      <c r="BL59" s="322"/>
      <c r="BM59" s="77"/>
    </row>
    <row r="60" spans="50:65" ht="21" hidden="1" customHeight="1">
      <c r="AX60" s="71">
        <v>19</v>
      </c>
      <c r="AY60" s="78"/>
      <c r="AZ60" s="73"/>
      <c r="BA60" s="74"/>
      <c r="BB60" s="75"/>
      <c r="BC60" s="84">
        <v>5</v>
      </c>
      <c r="BD60" s="323"/>
      <c r="BE60" s="324"/>
      <c r="BF60" s="324"/>
      <c r="BG60" s="324"/>
      <c r="BH60" s="324"/>
      <c r="BI60" s="330"/>
      <c r="BJ60" s="331"/>
      <c r="BK60" s="332"/>
      <c r="BL60" s="333"/>
      <c r="BM60" s="85"/>
    </row>
    <row r="61" spans="50:65" ht="21" hidden="1" customHeight="1">
      <c r="AX61" s="71">
        <v>20</v>
      </c>
      <c r="AY61" s="78"/>
      <c r="AZ61" s="73"/>
      <c r="BA61" s="74"/>
      <c r="BB61" s="75"/>
      <c r="BC61" s="338" t="s">
        <v>77</v>
      </c>
      <c r="BD61" s="339"/>
      <c r="BE61" s="339"/>
      <c r="BF61" s="339"/>
      <c r="BG61" s="339"/>
      <c r="BH61" s="339"/>
      <c r="BI61" s="340" t="s">
        <v>72</v>
      </c>
      <c r="BJ61" s="341"/>
      <c r="BK61" s="337" t="s">
        <v>73</v>
      </c>
      <c r="BL61" s="336"/>
      <c r="BM61" s="86"/>
    </row>
    <row r="62" spans="50:65" ht="21" hidden="1" customHeight="1">
      <c r="AX62" s="71">
        <v>21</v>
      </c>
      <c r="AY62" s="78"/>
      <c r="AZ62" s="73"/>
      <c r="BA62" s="74"/>
      <c r="BB62" s="75"/>
      <c r="BC62" s="83">
        <v>1</v>
      </c>
      <c r="BD62" s="303"/>
      <c r="BE62" s="304"/>
      <c r="BF62" s="304"/>
      <c r="BG62" s="304"/>
      <c r="BH62" s="305"/>
      <c r="BI62" s="306"/>
      <c r="BJ62" s="307"/>
      <c r="BK62" s="308"/>
      <c r="BL62" s="309"/>
      <c r="BM62" s="87"/>
    </row>
    <row r="63" spans="50:65" ht="21" hidden="1" customHeight="1">
      <c r="AX63" s="71">
        <v>22</v>
      </c>
      <c r="AY63" s="78"/>
      <c r="AZ63" s="73"/>
      <c r="BA63" s="74"/>
      <c r="BB63" s="75"/>
      <c r="BC63" s="76">
        <v>2</v>
      </c>
      <c r="BD63" s="316"/>
      <c r="BE63" s="317"/>
      <c r="BF63" s="317"/>
      <c r="BG63" s="317"/>
      <c r="BH63" s="318"/>
      <c r="BI63" s="319"/>
      <c r="BJ63" s="320"/>
      <c r="BK63" s="321"/>
      <c r="BL63" s="322"/>
      <c r="BM63" s="88"/>
    </row>
    <row r="64" spans="50:65" ht="21" hidden="1" customHeight="1">
      <c r="AX64" s="71">
        <v>23</v>
      </c>
      <c r="AY64" s="78"/>
      <c r="AZ64" s="73"/>
      <c r="BA64" s="74"/>
      <c r="BB64" s="75"/>
      <c r="BC64" s="76">
        <v>3</v>
      </c>
      <c r="BD64" s="316"/>
      <c r="BE64" s="317"/>
      <c r="BF64" s="317"/>
      <c r="BG64" s="317"/>
      <c r="BH64" s="318"/>
      <c r="BI64" s="319"/>
      <c r="BJ64" s="320"/>
      <c r="BK64" s="321"/>
      <c r="BL64" s="322"/>
      <c r="BM64" s="88"/>
    </row>
    <row r="65" spans="50:74" ht="21" hidden="1" customHeight="1">
      <c r="AX65" s="71">
        <v>24</v>
      </c>
      <c r="AY65" s="78"/>
      <c r="AZ65" s="73"/>
      <c r="BA65" s="74"/>
      <c r="BB65" s="75"/>
      <c r="BC65" s="76">
        <v>4</v>
      </c>
      <c r="BD65" s="316"/>
      <c r="BE65" s="317"/>
      <c r="BF65" s="317"/>
      <c r="BG65" s="317"/>
      <c r="BH65" s="318"/>
      <c r="BI65" s="319"/>
      <c r="BJ65" s="320"/>
      <c r="BK65" s="321"/>
      <c r="BL65" s="322"/>
      <c r="BM65" s="88"/>
    </row>
    <row r="66" spans="50:74" ht="21" hidden="1" customHeight="1">
      <c r="AX66" s="71">
        <v>25</v>
      </c>
      <c r="AY66" s="78"/>
      <c r="AZ66" s="73"/>
      <c r="BA66" s="74"/>
      <c r="BB66" s="75"/>
      <c r="BC66" s="76">
        <v>5</v>
      </c>
      <c r="BD66" s="316"/>
      <c r="BE66" s="317"/>
      <c r="BF66" s="317"/>
      <c r="BG66" s="317"/>
      <c r="BH66" s="318"/>
      <c r="BI66" s="319"/>
      <c r="BJ66" s="320"/>
      <c r="BK66" s="321"/>
      <c r="BL66" s="322"/>
      <c r="BM66" s="88"/>
    </row>
    <row r="67" spans="50:74" ht="21" hidden="1" customHeight="1">
      <c r="AX67" s="71">
        <v>26</v>
      </c>
      <c r="AY67" s="78"/>
      <c r="AZ67" s="73"/>
      <c r="BA67" s="74"/>
      <c r="BB67" s="75"/>
      <c r="BC67" s="76">
        <v>6</v>
      </c>
      <c r="BD67" s="316"/>
      <c r="BE67" s="317"/>
      <c r="BF67" s="317"/>
      <c r="BG67" s="317"/>
      <c r="BH67" s="318"/>
      <c r="BI67" s="319"/>
      <c r="BJ67" s="320"/>
      <c r="BK67" s="321"/>
      <c r="BL67" s="322"/>
      <c r="BM67" s="88"/>
    </row>
    <row r="68" spans="50:74" ht="21" hidden="1" customHeight="1">
      <c r="AX68" s="71">
        <v>27</v>
      </c>
      <c r="AY68" s="78"/>
      <c r="AZ68" s="73"/>
      <c r="BA68" s="74"/>
      <c r="BB68" s="75"/>
      <c r="BC68" s="76">
        <v>7</v>
      </c>
      <c r="BD68" s="316"/>
      <c r="BE68" s="317"/>
      <c r="BF68" s="317"/>
      <c r="BG68" s="317"/>
      <c r="BH68" s="318"/>
      <c r="BI68" s="319"/>
      <c r="BJ68" s="320"/>
      <c r="BK68" s="321"/>
      <c r="BL68" s="322"/>
      <c r="BM68" s="88"/>
      <c r="BN68" s="55"/>
      <c r="BO68" s="55"/>
      <c r="BP68" s="54"/>
      <c r="BQ68" s="54"/>
      <c r="BR68" s="54"/>
      <c r="BS68" s="54"/>
      <c r="BT68" s="54"/>
      <c r="BU68" s="54"/>
      <c r="BV68" s="54"/>
    </row>
    <row r="69" spans="50:74" ht="21" hidden="1" customHeight="1">
      <c r="AX69" s="71">
        <v>28</v>
      </c>
      <c r="AY69" s="78"/>
      <c r="AZ69" s="73"/>
      <c r="BA69" s="74"/>
      <c r="BB69" s="75"/>
      <c r="BC69" s="76">
        <v>8</v>
      </c>
      <c r="BD69" s="316"/>
      <c r="BE69" s="317"/>
      <c r="BF69" s="317"/>
      <c r="BG69" s="317"/>
      <c r="BH69" s="318"/>
      <c r="BI69" s="319"/>
      <c r="BJ69" s="320"/>
      <c r="BK69" s="321"/>
      <c r="BL69" s="322"/>
      <c r="BM69" s="88"/>
    </row>
    <row r="70" spans="50:74" ht="21" hidden="1" customHeight="1">
      <c r="AX70" s="71">
        <v>29</v>
      </c>
      <c r="AY70" s="78"/>
      <c r="AZ70" s="73"/>
      <c r="BA70" s="74"/>
      <c r="BB70" s="75"/>
      <c r="BC70" s="76">
        <v>9</v>
      </c>
      <c r="BD70" s="316"/>
      <c r="BE70" s="317"/>
      <c r="BF70" s="317"/>
      <c r="BG70" s="317"/>
      <c r="BH70" s="318"/>
      <c r="BI70" s="319"/>
      <c r="BJ70" s="320"/>
      <c r="BK70" s="321"/>
      <c r="BL70" s="322"/>
      <c r="BM70" s="88"/>
    </row>
    <row r="71" spans="50:74" ht="21" hidden="1" customHeight="1">
      <c r="AX71" s="71">
        <v>30</v>
      </c>
      <c r="AY71" s="78"/>
      <c r="AZ71" s="73"/>
      <c r="BA71" s="74"/>
      <c r="BB71" s="75"/>
      <c r="BC71" s="76">
        <v>10</v>
      </c>
      <c r="BD71" s="316"/>
      <c r="BE71" s="317"/>
      <c r="BF71" s="317"/>
      <c r="BG71" s="317"/>
      <c r="BH71" s="318"/>
      <c r="BI71" s="319"/>
      <c r="BJ71" s="320"/>
      <c r="BK71" s="321"/>
      <c r="BL71" s="322"/>
      <c r="BM71" s="88"/>
    </row>
    <row r="72" spans="50:74" ht="21" hidden="1" customHeight="1">
      <c r="AX72" s="71">
        <v>31</v>
      </c>
      <c r="AY72" s="78"/>
      <c r="AZ72" s="73"/>
      <c r="BA72" s="74"/>
      <c r="BB72" s="75"/>
      <c r="BC72" s="81">
        <v>11</v>
      </c>
      <c r="BD72" s="323"/>
      <c r="BE72" s="324"/>
      <c r="BF72" s="324"/>
      <c r="BG72" s="324"/>
      <c r="BH72" s="325"/>
      <c r="BI72" s="326"/>
      <c r="BJ72" s="327"/>
      <c r="BK72" s="328"/>
      <c r="BL72" s="329"/>
      <c r="BM72" s="89"/>
    </row>
    <row r="73" spans="50:74" ht="21" hidden="1" customHeight="1">
      <c r="AX73" s="71">
        <v>32</v>
      </c>
      <c r="AY73" s="78"/>
      <c r="AZ73" s="73"/>
      <c r="BA73" s="74"/>
      <c r="BB73" s="75"/>
      <c r="BC73" s="343" t="s">
        <v>78</v>
      </c>
      <c r="BD73" s="344"/>
      <c r="BE73" s="344"/>
      <c r="BF73" s="344"/>
      <c r="BG73" s="344"/>
      <c r="BH73" s="345"/>
      <c r="BI73" s="346" t="s">
        <v>79</v>
      </c>
      <c r="BJ73" s="344"/>
      <c r="BK73" s="345"/>
      <c r="BL73" s="346" t="s">
        <v>80</v>
      </c>
      <c r="BM73" s="347"/>
    </row>
    <row r="74" spans="50:74" ht="21" hidden="1" customHeight="1">
      <c r="AX74" s="71">
        <v>33</v>
      </c>
      <c r="AY74" s="78"/>
      <c r="AZ74" s="73"/>
      <c r="BA74" s="74"/>
      <c r="BB74" s="75"/>
      <c r="BC74" s="90">
        <v>1</v>
      </c>
      <c r="BD74" s="348"/>
      <c r="BE74" s="349"/>
      <c r="BF74" s="349"/>
      <c r="BG74" s="349"/>
      <c r="BH74" s="350"/>
      <c r="BI74" s="303"/>
      <c r="BJ74" s="304"/>
      <c r="BK74" s="305"/>
      <c r="BL74" s="308"/>
      <c r="BM74" s="351"/>
    </row>
    <row r="75" spans="50:74" ht="21" hidden="1" customHeight="1">
      <c r="AX75" s="71">
        <v>34</v>
      </c>
      <c r="AY75" s="91"/>
      <c r="AZ75" s="73"/>
      <c r="BA75" s="74"/>
      <c r="BB75" s="75"/>
      <c r="BC75" s="92">
        <v>2</v>
      </c>
      <c r="BD75" s="316"/>
      <c r="BE75" s="317"/>
      <c r="BF75" s="317"/>
      <c r="BG75" s="317"/>
      <c r="BH75" s="318"/>
      <c r="BI75" s="316"/>
      <c r="BJ75" s="317"/>
      <c r="BK75" s="318"/>
      <c r="BL75" s="321"/>
      <c r="BM75" s="342"/>
    </row>
    <row r="76" spans="50:74" ht="21" hidden="1" customHeight="1">
      <c r="AX76" s="71">
        <v>35</v>
      </c>
      <c r="AY76" s="78"/>
      <c r="AZ76" s="73"/>
      <c r="BA76" s="74"/>
      <c r="BB76" s="75"/>
      <c r="BC76" s="92">
        <v>3</v>
      </c>
      <c r="BD76" s="316"/>
      <c r="BE76" s="317"/>
      <c r="BF76" s="317"/>
      <c r="BG76" s="317"/>
      <c r="BH76" s="318"/>
      <c r="BI76" s="316"/>
      <c r="BJ76" s="317"/>
      <c r="BK76" s="318"/>
      <c r="BL76" s="321"/>
      <c r="BM76" s="342"/>
    </row>
    <row r="77" spans="50:74" ht="21" hidden="1" customHeight="1">
      <c r="AX77" s="71">
        <v>36</v>
      </c>
      <c r="AY77" s="78"/>
      <c r="AZ77" s="73"/>
      <c r="BA77" s="74"/>
      <c r="BB77" s="75"/>
      <c r="BC77" s="92">
        <v>4</v>
      </c>
      <c r="BD77" s="316"/>
      <c r="BE77" s="317"/>
      <c r="BF77" s="317"/>
      <c r="BG77" s="317"/>
      <c r="BH77" s="318"/>
      <c r="BI77" s="316"/>
      <c r="BJ77" s="317"/>
      <c r="BK77" s="318"/>
      <c r="BL77" s="321"/>
      <c r="BM77" s="342"/>
    </row>
    <row r="78" spans="50:74" ht="21" hidden="1" customHeight="1">
      <c r="AX78" s="71">
        <v>37</v>
      </c>
      <c r="AY78" s="78"/>
      <c r="AZ78" s="73"/>
      <c r="BA78" s="74"/>
      <c r="BB78" s="75"/>
      <c r="BC78" s="92">
        <v>5</v>
      </c>
      <c r="BD78" s="316"/>
      <c r="BE78" s="317"/>
      <c r="BF78" s="317"/>
      <c r="BG78" s="317"/>
      <c r="BH78" s="318"/>
      <c r="BI78" s="316"/>
      <c r="BJ78" s="317"/>
      <c r="BK78" s="318"/>
      <c r="BL78" s="321"/>
      <c r="BM78" s="342"/>
    </row>
    <row r="79" spans="50:74" ht="21" hidden="1" customHeight="1" thickBot="1">
      <c r="AX79" s="93">
        <v>38</v>
      </c>
      <c r="AY79" s="94"/>
      <c r="AZ79" s="95"/>
      <c r="BA79" s="96"/>
      <c r="BB79" s="97"/>
      <c r="BC79" s="98">
        <v>6</v>
      </c>
      <c r="BD79" s="352"/>
      <c r="BE79" s="353"/>
      <c r="BF79" s="353"/>
      <c r="BG79" s="353"/>
      <c r="BH79" s="354"/>
      <c r="BI79" s="352"/>
      <c r="BJ79" s="353"/>
      <c r="BK79" s="354"/>
      <c r="BL79" s="355"/>
      <c r="BM79" s="356"/>
    </row>
    <row r="80" spans="50:74" ht="21" hidden="1" customHeight="1" thickTop="1">
      <c r="AX80" s="357" t="s">
        <v>81</v>
      </c>
      <c r="AY80" s="358"/>
      <c r="AZ80" s="99" t="s">
        <v>82</v>
      </c>
      <c r="BA80" s="359" t="s">
        <v>83</v>
      </c>
      <c r="BB80" s="359"/>
      <c r="BC80" s="360" t="s">
        <v>84</v>
      </c>
      <c r="BD80" s="361"/>
      <c r="BE80" s="361"/>
      <c r="BF80" s="361"/>
      <c r="BG80" s="361"/>
      <c r="BH80" s="361"/>
      <c r="BI80" s="361"/>
      <c r="BJ80" s="361"/>
      <c r="BK80" s="361"/>
      <c r="BL80" s="361"/>
      <c r="BM80" s="362"/>
    </row>
    <row r="81" spans="50:65" ht="21" hidden="1" customHeight="1">
      <c r="AX81" s="100">
        <v>1</v>
      </c>
      <c r="AY81" s="101"/>
      <c r="AZ81" s="102"/>
      <c r="BA81" s="103"/>
      <c r="BB81" s="104" t="s">
        <v>85</v>
      </c>
      <c r="BC81" s="366" t="s">
        <v>86</v>
      </c>
      <c r="BD81" s="367"/>
      <c r="BE81" s="370" t="s">
        <v>74</v>
      </c>
      <c r="BF81" s="337" t="s">
        <v>87</v>
      </c>
      <c r="BG81" s="335"/>
      <c r="BH81" s="335"/>
      <c r="BI81" s="335"/>
      <c r="BJ81" s="336"/>
      <c r="BK81" s="372" t="s">
        <v>88</v>
      </c>
      <c r="BL81" s="373"/>
      <c r="BM81" s="374"/>
    </row>
    <row r="82" spans="50:65" ht="21" hidden="1" customHeight="1">
      <c r="AX82" s="71">
        <v>2</v>
      </c>
      <c r="AY82" s="105"/>
      <c r="AZ82" s="73"/>
      <c r="BA82" s="106"/>
      <c r="BB82" s="107" t="s">
        <v>85</v>
      </c>
      <c r="BC82" s="368"/>
      <c r="BD82" s="369"/>
      <c r="BE82" s="371"/>
      <c r="BF82" s="337" t="s">
        <v>89</v>
      </c>
      <c r="BG82" s="335"/>
      <c r="BH82" s="336"/>
      <c r="BI82" s="337" t="s">
        <v>90</v>
      </c>
      <c r="BJ82" s="336"/>
      <c r="BK82" s="375"/>
      <c r="BL82" s="376"/>
      <c r="BM82" s="377"/>
    </row>
    <row r="83" spans="50:65" ht="21" hidden="1" customHeight="1">
      <c r="AX83" s="71">
        <v>3</v>
      </c>
      <c r="AY83" s="105"/>
      <c r="AZ83" s="73"/>
      <c r="BA83" s="106"/>
      <c r="BB83" s="107" t="s">
        <v>85</v>
      </c>
      <c r="BC83" s="334"/>
      <c r="BD83" s="336"/>
      <c r="BE83" s="108"/>
      <c r="BF83" s="109"/>
      <c r="BG83" s="363"/>
      <c r="BH83" s="336"/>
      <c r="BI83" s="109"/>
      <c r="BJ83" s="110"/>
      <c r="BK83" s="364"/>
      <c r="BL83" s="365"/>
      <c r="BM83" s="111" t="s">
        <v>91</v>
      </c>
    </row>
    <row r="84" spans="50:65" ht="21" hidden="1" customHeight="1">
      <c r="AX84" s="71">
        <v>4</v>
      </c>
      <c r="AY84" s="105"/>
      <c r="AZ84" s="73"/>
      <c r="BA84" s="106"/>
      <c r="BB84" s="107" t="s">
        <v>92</v>
      </c>
      <c r="BC84" s="334"/>
      <c r="BD84" s="336"/>
      <c r="BE84" s="108"/>
      <c r="BF84" s="109"/>
      <c r="BG84" s="363"/>
      <c r="BH84" s="336"/>
      <c r="BI84" s="109"/>
      <c r="BJ84" s="110"/>
      <c r="BK84" s="364"/>
      <c r="BL84" s="365"/>
      <c r="BM84" s="111" t="s">
        <v>91</v>
      </c>
    </row>
    <row r="85" spans="50:65" ht="21" hidden="1" customHeight="1">
      <c r="AX85" s="71">
        <v>5</v>
      </c>
      <c r="AY85" s="105"/>
      <c r="AZ85" s="73"/>
      <c r="BA85" s="106"/>
      <c r="BB85" s="107" t="s">
        <v>92</v>
      </c>
      <c r="BC85" s="334"/>
      <c r="BD85" s="336"/>
      <c r="BE85" s="108"/>
      <c r="BF85" s="112"/>
      <c r="BG85" s="363"/>
      <c r="BH85" s="336"/>
      <c r="BI85" s="112"/>
      <c r="BJ85" s="113"/>
      <c r="BK85" s="364"/>
      <c r="BL85" s="365"/>
      <c r="BM85" s="111" t="s">
        <v>91</v>
      </c>
    </row>
    <row r="86" spans="50:65" ht="21" hidden="1" customHeight="1">
      <c r="AX86" s="71">
        <v>6</v>
      </c>
      <c r="AY86" s="105"/>
      <c r="AZ86" s="73"/>
      <c r="BA86" s="106"/>
      <c r="BB86" s="107" t="s">
        <v>92</v>
      </c>
      <c r="BC86" s="334"/>
      <c r="BD86" s="336"/>
      <c r="BE86" s="108"/>
      <c r="BF86" s="109"/>
      <c r="BG86" s="363"/>
      <c r="BH86" s="336"/>
      <c r="BI86" s="109"/>
      <c r="BJ86" s="110"/>
      <c r="BK86" s="364"/>
      <c r="BL86" s="365"/>
      <c r="BM86" s="111" t="s">
        <v>91</v>
      </c>
    </row>
    <row r="87" spans="50:65" ht="21" hidden="1" customHeight="1">
      <c r="AX87" s="71">
        <v>7</v>
      </c>
      <c r="AY87" s="105"/>
      <c r="AZ87" s="73"/>
      <c r="BA87" s="106"/>
      <c r="BB87" s="107" t="s">
        <v>92</v>
      </c>
      <c r="BC87" s="334"/>
      <c r="BD87" s="336"/>
      <c r="BE87" s="108"/>
      <c r="BF87" s="114"/>
      <c r="BG87" s="363"/>
      <c r="BH87" s="336"/>
      <c r="BI87" s="109"/>
      <c r="BJ87" s="110"/>
      <c r="BK87" s="364"/>
      <c r="BL87" s="365"/>
      <c r="BM87" s="111" t="s">
        <v>91</v>
      </c>
    </row>
    <row r="88" spans="50:65" ht="21" hidden="1" customHeight="1">
      <c r="AX88" s="71">
        <v>8</v>
      </c>
      <c r="AY88" s="105"/>
      <c r="AZ88" s="73"/>
      <c r="BA88" s="106"/>
      <c r="BB88" s="107" t="s">
        <v>85</v>
      </c>
      <c r="BC88" s="334"/>
      <c r="BD88" s="336"/>
      <c r="BE88" s="108"/>
      <c r="BF88" s="109"/>
      <c r="BG88" s="363"/>
      <c r="BH88" s="336"/>
      <c r="BI88" s="109"/>
      <c r="BJ88" s="110"/>
      <c r="BK88" s="364"/>
      <c r="BL88" s="365"/>
      <c r="BM88" s="111" t="s">
        <v>91</v>
      </c>
    </row>
    <row r="89" spans="50:65" ht="21" hidden="1" customHeight="1">
      <c r="AX89" s="71">
        <v>9</v>
      </c>
      <c r="AY89" s="105"/>
      <c r="AZ89" s="73"/>
      <c r="BA89" s="106"/>
      <c r="BB89" s="107" t="s">
        <v>85</v>
      </c>
      <c r="BC89" s="334"/>
      <c r="BD89" s="336"/>
      <c r="BE89" s="108"/>
      <c r="BF89" s="114"/>
      <c r="BG89" s="363"/>
      <c r="BH89" s="336"/>
      <c r="BI89" s="109"/>
      <c r="BJ89" s="110"/>
      <c r="BK89" s="364"/>
      <c r="BL89" s="365"/>
      <c r="BM89" s="111" t="s">
        <v>91</v>
      </c>
    </row>
    <row r="90" spans="50:65" ht="21" hidden="1" customHeight="1">
      <c r="AX90" s="71">
        <v>10</v>
      </c>
      <c r="AY90" s="105"/>
      <c r="AZ90" s="73"/>
      <c r="BA90" s="106"/>
      <c r="BB90" s="107" t="s">
        <v>85</v>
      </c>
      <c r="BC90" s="334"/>
      <c r="BD90" s="336"/>
      <c r="BE90" s="108"/>
      <c r="BF90" s="109"/>
      <c r="BG90" s="363"/>
      <c r="BH90" s="336"/>
      <c r="BI90" s="109"/>
      <c r="BJ90" s="110"/>
      <c r="BK90" s="364"/>
      <c r="BL90" s="365"/>
      <c r="BM90" s="111" t="s">
        <v>91</v>
      </c>
    </row>
    <row r="91" spans="50:65" ht="21" hidden="1" customHeight="1">
      <c r="AX91" s="71">
        <v>11</v>
      </c>
      <c r="AY91" s="105"/>
      <c r="AZ91" s="73"/>
      <c r="BA91" s="106"/>
      <c r="BB91" s="107" t="s">
        <v>85</v>
      </c>
      <c r="BC91" s="334"/>
      <c r="BD91" s="336"/>
      <c r="BE91" s="108"/>
      <c r="BF91" s="109"/>
      <c r="BG91" s="363"/>
      <c r="BH91" s="336"/>
      <c r="BI91" s="109"/>
      <c r="BJ91" s="110"/>
      <c r="BK91" s="364"/>
      <c r="BL91" s="365"/>
      <c r="BM91" s="111" t="s">
        <v>91</v>
      </c>
    </row>
    <row r="92" spans="50:65" ht="21" hidden="1" customHeight="1" thickBot="1">
      <c r="AX92" s="115">
        <v>12</v>
      </c>
      <c r="AY92" s="116"/>
      <c r="AZ92" s="117"/>
      <c r="BA92" s="118"/>
      <c r="BB92" s="119" t="s">
        <v>85</v>
      </c>
      <c r="BC92" s="120" t="s">
        <v>93</v>
      </c>
      <c r="BD92" s="121"/>
      <c r="BE92" s="121"/>
      <c r="BF92" s="121"/>
      <c r="BG92" s="121"/>
      <c r="BH92" s="121"/>
      <c r="BI92" s="121"/>
      <c r="BJ92" s="122"/>
      <c r="BK92" s="122"/>
      <c r="BL92" s="122"/>
      <c r="BM92" s="123"/>
    </row>
    <row r="93" spans="50:65" ht="21" hidden="1" customHeight="1">
      <c r="AX93" s="124"/>
    </row>
    <row r="94" spans="50:65" hidden="1"/>
  </sheetData>
  <sheetProtection formatCells="0" formatColumns="0" formatRows="0" insertColumns="0" insertRows="0" insertHyperlinks="0" deleteColumns="0" deleteRows="0" sort="0" autoFilter="0" pivotTables="0"/>
  <protectedRanges>
    <protectedRange sqref="AD7 F8 F10 G12 K16 Q16 U16 B36:I38 K35:AK38 BA42:BB79 BD42:BM54 BD56:BM60 BD62:BM72 BD74:BM79 BA81:BA92 BC83:BL91 AW7:AW22 K18 Q18 U18 G22:J33 L22:O33 B22:E33 Q22:V33 X22:AQ33" name="入力１"/>
  </protectedRanges>
  <mergeCells count="513">
    <mergeCell ref="BC91:BD91"/>
    <mergeCell ref="BG91:BH91"/>
    <mergeCell ref="BK91:BL91"/>
    <mergeCell ref="BC89:BD89"/>
    <mergeCell ref="BG89:BH89"/>
    <mergeCell ref="BK89:BL89"/>
    <mergeCell ref="BC90:BD90"/>
    <mergeCell ref="BG90:BH90"/>
    <mergeCell ref="BK90:BL90"/>
    <mergeCell ref="BC87:BD87"/>
    <mergeCell ref="BG87:BH87"/>
    <mergeCell ref="BK87:BL87"/>
    <mergeCell ref="BC88:BD88"/>
    <mergeCell ref="BG88:BH88"/>
    <mergeCell ref="BK88:BL88"/>
    <mergeCell ref="BC85:BD85"/>
    <mergeCell ref="BG85:BH85"/>
    <mergeCell ref="BK85:BL85"/>
    <mergeCell ref="BC86:BD86"/>
    <mergeCell ref="BG86:BH86"/>
    <mergeCell ref="BK86:BL86"/>
    <mergeCell ref="BC83:BD83"/>
    <mergeCell ref="BG83:BH83"/>
    <mergeCell ref="BK83:BL83"/>
    <mergeCell ref="BC84:BD84"/>
    <mergeCell ref="BG84:BH84"/>
    <mergeCell ref="BK84:BL84"/>
    <mergeCell ref="BC81:BD82"/>
    <mergeCell ref="BE81:BE82"/>
    <mergeCell ref="BF81:BJ81"/>
    <mergeCell ref="BK81:BM82"/>
    <mergeCell ref="BF82:BH82"/>
    <mergeCell ref="BI82:BJ82"/>
    <mergeCell ref="BD79:BH79"/>
    <mergeCell ref="BI79:BK79"/>
    <mergeCell ref="BL79:BM79"/>
    <mergeCell ref="AX80:AY80"/>
    <mergeCell ref="BA80:BB80"/>
    <mergeCell ref="BC80:BM80"/>
    <mergeCell ref="BD77:BH77"/>
    <mergeCell ref="BI77:BK77"/>
    <mergeCell ref="BL77:BM77"/>
    <mergeCell ref="BD78:BH78"/>
    <mergeCell ref="BI78:BK78"/>
    <mergeCell ref="BL78:BM78"/>
    <mergeCell ref="BD75:BH75"/>
    <mergeCell ref="BI75:BK75"/>
    <mergeCell ref="BL75:BM75"/>
    <mergeCell ref="BD76:BH76"/>
    <mergeCell ref="BI76:BK76"/>
    <mergeCell ref="BL76:BM76"/>
    <mergeCell ref="BC73:BH73"/>
    <mergeCell ref="BI73:BK73"/>
    <mergeCell ref="BL73:BM73"/>
    <mergeCell ref="BD74:BH74"/>
    <mergeCell ref="BI74:BK74"/>
    <mergeCell ref="BL74:BM74"/>
    <mergeCell ref="BD71:BH71"/>
    <mergeCell ref="BI71:BJ71"/>
    <mergeCell ref="BK71:BL71"/>
    <mergeCell ref="BD72:BH72"/>
    <mergeCell ref="BI72:BJ72"/>
    <mergeCell ref="BK72:BL72"/>
    <mergeCell ref="BD69:BH69"/>
    <mergeCell ref="BI69:BJ69"/>
    <mergeCell ref="BK69:BL69"/>
    <mergeCell ref="BD70:BH70"/>
    <mergeCell ref="BI70:BJ70"/>
    <mergeCell ref="BK70:BL70"/>
    <mergeCell ref="BD67:BH67"/>
    <mergeCell ref="BI67:BJ67"/>
    <mergeCell ref="BK67:BL67"/>
    <mergeCell ref="BD68:BH68"/>
    <mergeCell ref="BI68:BJ68"/>
    <mergeCell ref="BK68:BL68"/>
    <mergeCell ref="BD65:BH65"/>
    <mergeCell ref="BI65:BJ65"/>
    <mergeCell ref="BK65:BL65"/>
    <mergeCell ref="BD66:BH66"/>
    <mergeCell ref="BI66:BJ66"/>
    <mergeCell ref="BK66:BL66"/>
    <mergeCell ref="BD63:BH63"/>
    <mergeCell ref="BI63:BJ63"/>
    <mergeCell ref="BK63:BL63"/>
    <mergeCell ref="BD64:BH64"/>
    <mergeCell ref="BI64:BJ64"/>
    <mergeCell ref="BK64:BL64"/>
    <mergeCell ref="BC61:BH61"/>
    <mergeCell ref="BI61:BJ61"/>
    <mergeCell ref="BK61:BL61"/>
    <mergeCell ref="BD62:BH62"/>
    <mergeCell ref="BI62:BJ62"/>
    <mergeCell ref="BK62:BL62"/>
    <mergeCell ref="BD58:BJ58"/>
    <mergeCell ref="BK58:BL58"/>
    <mergeCell ref="BD59:BJ59"/>
    <mergeCell ref="BK59:BL59"/>
    <mergeCell ref="BD60:BJ60"/>
    <mergeCell ref="BK60:BL60"/>
    <mergeCell ref="BC55:BJ55"/>
    <mergeCell ref="BK55:BL55"/>
    <mergeCell ref="BD56:BJ56"/>
    <mergeCell ref="BK56:BL56"/>
    <mergeCell ref="BD57:BJ57"/>
    <mergeCell ref="BK57:BL57"/>
    <mergeCell ref="BD53:BH53"/>
    <mergeCell ref="BI53:BJ53"/>
    <mergeCell ref="BK53:BL53"/>
    <mergeCell ref="BD54:BH54"/>
    <mergeCell ref="BI54:BJ54"/>
    <mergeCell ref="BK54:BL54"/>
    <mergeCell ref="BD51:BH51"/>
    <mergeCell ref="BI51:BJ51"/>
    <mergeCell ref="BK51:BL51"/>
    <mergeCell ref="BD52:BH52"/>
    <mergeCell ref="BI52:BJ52"/>
    <mergeCell ref="BK52:BL52"/>
    <mergeCell ref="BD49:BH49"/>
    <mergeCell ref="BI49:BJ49"/>
    <mergeCell ref="BK49:BL49"/>
    <mergeCell ref="BD50:BH50"/>
    <mergeCell ref="BI50:BJ50"/>
    <mergeCell ref="BK50:BL50"/>
    <mergeCell ref="BD47:BH47"/>
    <mergeCell ref="BI47:BJ47"/>
    <mergeCell ref="BK47:BL47"/>
    <mergeCell ref="BD48:BH48"/>
    <mergeCell ref="BI48:BJ48"/>
    <mergeCell ref="BK48:BL48"/>
    <mergeCell ref="BD45:BH45"/>
    <mergeCell ref="BI45:BJ45"/>
    <mergeCell ref="BK45:BL45"/>
    <mergeCell ref="BD46:BH46"/>
    <mergeCell ref="BI46:BJ46"/>
    <mergeCell ref="BK46:BL46"/>
    <mergeCell ref="BD43:BH43"/>
    <mergeCell ref="BI43:BJ43"/>
    <mergeCell ref="BK43:BL43"/>
    <mergeCell ref="BD44:BH44"/>
    <mergeCell ref="BI44:BJ44"/>
    <mergeCell ref="BK44:BL44"/>
    <mergeCell ref="AX40:BM40"/>
    <mergeCell ref="AX41:AY41"/>
    <mergeCell ref="BC41:BH41"/>
    <mergeCell ref="BI41:BJ41"/>
    <mergeCell ref="BK41:BL41"/>
    <mergeCell ref="BD42:BH42"/>
    <mergeCell ref="BI42:BJ42"/>
    <mergeCell ref="BK42:BL42"/>
    <mergeCell ref="B38:E38"/>
    <mergeCell ref="F38:I38"/>
    <mergeCell ref="K38:AK38"/>
    <mergeCell ref="AM38:AT38"/>
    <mergeCell ref="BG38:BI38"/>
    <mergeCell ref="BK38:BM38"/>
    <mergeCell ref="B36:E36"/>
    <mergeCell ref="F36:I36"/>
    <mergeCell ref="K36:AK36"/>
    <mergeCell ref="AM36:AT36"/>
    <mergeCell ref="B37:E37"/>
    <mergeCell ref="F37:I37"/>
    <mergeCell ref="K37:AK37"/>
    <mergeCell ref="AM37:AT37"/>
    <mergeCell ref="BC33:BD33"/>
    <mergeCell ref="B34:E34"/>
    <mergeCell ref="F34:AG34"/>
    <mergeCell ref="AH34:AL34"/>
    <mergeCell ref="AM34:AT34"/>
    <mergeCell ref="B35:E35"/>
    <mergeCell ref="F35:I35"/>
    <mergeCell ref="K35:AK35"/>
    <mergeCell ref="AD33:AH33"/>
    <mergeCell ref="AI33:AJ33"/>
    <mergeCell ref="AK33:AO33"/>
    <mergeCell ref="AP33:AQ33"/>
    <mergeCell ref="AR33:AT33"/>
    <mergeCell ref="BA33:BB33"/>
    <mergeCell ref="Q33:R33"/>
    <mergeCell ref="S33:T33"/>
    <mergeCell ref="BC31:BD31"/>
    <mergeCell ref="B33:C33"/>
    <mergeCell ref="D33:E33"/>
    <mergeCell ref="G33:H33"/>
    <mergeCell ref="I33:J33"/>
    <mergeCell ref="L33:M33"/>
    <mergeCell ref="N33:O33"/>
    <mergeCell ref="X31:Y31"/>
    <mergeCell ref="Z31:AA31"/>
    <mergeCell ref="AB31:AC31"/>
    <mergeCell ref="AD31:AH31"/>
    <mergeCell ref="AI31:AJ31"/>
    <mergeCell ref="AK31:AO31"/>
    <mergeCell ref="B31:C31"/>
    <mergeCell ref="D31:E31"/>
    <mergeCell ref="G31:H31"/>
    <mergeCell ref="I31:J31"/>
    <mergeCell ref="L31:M31"/>
    <mergeCell ref="N31:O31"/>
    <mergeCell ref="B32:C32"/>
    <mergeCell ref="D32:E32"/>
    <mergeCell ref="G32:H32"/>
    <mergeCell ref="I32:J32"/>
    <mergeCell ref="L32:M32"/>
    <mergeCell ref="U33:V33"/>
    <mergeCell ref="X33:Y33"/>
    <mergeCell ref="Z33:AA33"/>
    <mergeCell ref="AB33:AC33"/>
    <mergeCell ref="AP31:AQ31"/>
    <mergeCell ref="AR31:AT31"/>
    <mergeCell ref="BA31:BB31"/>
    <mergeCell ref="Q31:R31"/>
    <mergeCell ref="S31:T31"/>
    <mergeCell ref="U31:V31"/>
    <mergeCell ref="AK32:AO32"/>
    <mergeCell ref="AP32:AQ32"/>
    <mergeCell ref="AR32:AT32"/>
    <mergeCell ref="BA32:BB32"/>
    <mergeCell ref="BC30:BD30"/>
    <mergeCell ref="AD30:AH30"/>
    <mergeCell ref="AI30:AJ30"/>
    <mergeCell ref="AK30:AO30"/>
    <mergeCell ref="AP30:AQ30"/>
    <mergeCell ref="B29:C29"/>
    <mergeCell ref="D29:E29"/>
    <mergeCell ref="G29:H29"/>
    <mergeCell ref="AR30:AT30"/>
    <mergeCell ref="BA30:BB30"/>
    <mergeCell ref="Q30:R30"/>
    <mergeCell ref="S30:T30"/>
    <mergeCell ref="U30:V30"/>
    <mergeCell ref="X30:Y30"/>
    <mergeCell ref="Z30:AA30"/>
    <mergeCell ref="AB30:AC30"/>
    <mergeCell ref="B30:C30"/>
    <mergeCell ref="D30:E30"/>
    <mergeCell ref="G30:H30"/>
    <mergeCell ref="I30:J30"/>
    <mergeCell ref="L30:M30"/>
    <mergeCell ref="N30:O30"/>
    <mergeCell ref="X29:Y29"/>
    <mergeCell ref="Z29:AA29"/>
    <mergeCell ref="AB29:AC29"/>
    <mergeCell ref="I29:J29"/>
    <mergeCell ref="L29:M29"/>
    <mergeCell ref="N29:O29"/>
    <mergeCell ref="Q29:R29"/>
    <mergeCell ref="S29:T29"/>
    <mergeCell ref="U29:V29"/>
    <mergeCell ref="BA28:BB28"/>
    <mergeCell ref="BC28:BD28"/>
    <mergeCell ref="X28:Y28"/>
    <mergeCell ref="Z28:AA28"/>
    <mergeCell ref="AB28:AC28"/>
    <mergeCell ref="AD28:AH28"/>
    <mergeCell ref="AI28:AJ28"/>
    <mergeCell ref="AK28:AO28"/>
    <mergeCell ref="AP29:AQ29"/>
    <mergeCell ref="AR29:AT29"/>
    <mergeCell ref="BA29:BB29"/>
    <mergeCell ref="BC29:BD29"/>
    <mergeCell ref="AD29:AH29"/>
    <mergeCell ref="AI29:AJ29"/>
    <mergeCell ref="AK29:AO29"/>
    <mergeCell ref="BC27:BD27"/>
    <mergeCell ref="B28:C28"/>
    <mergeCell ref="D28:E28"/>
    <mergeCell ref="G28:H28"/>
    <mergeCell ref="I28:J28"/>
    <mergeCell ref="L28:M28"/>
    <mergeCell ref="N28:O28"/>
    <mergeCell ref="Q28:R28"/>
    <mergeCell ref="S28:T28"/>
    <mergeCell ref="U28:V28"/>
    <mergeCell ref="AD27:AH27"/>
    <mergeCell ref="AI27:AJ27"/>
    <mergeCell ref="AK27:AO27"/>
    <mergeCell ref="AP27:AQ27"/>
    <mergeCell ref="AR27:AT27"/>
    <mergeCell ref="BA27:BB27"/>
    <mergeCell ref="Q27:R27"/>
    <mergeCell ref="S27:T27"/>
    <mergeCell ref="U27:V27"/>
    <mergeCell ref="X27:Y27"/>
    <mergeCell ref="Z27:AA27"/>
    <mergeCell ref="AB27:AC27"/>
    <mergeCell ref="AP28:AQ28"/>
    <mergeCell ref="AR28:AT28"/>
    <mergeCell ref="B27:C27"/>
    <mergeCell ref="D27:E27"/>
    <mergeCell ref="G27:H27"/>
    <mergeCell ref="I27:J27"/>
    <mergeCell ref="L27:M27"/>
    <mergeCell ref="N27:O27"/>
    <mergeCell ref="X26:Y26"/>
    <mergeCell ref="Z26:AA26"/>
    <mergeCell ref="AB26:AC26"/>
    <mergeCell ref="B26:C26"/>
    <mergeCell ref="D26:E26"/>
    <mergeCell ref="G26:H26"/>
    <mergeCell ref="I26:J26"/>
    <mergeCell ref="L26:M26"/>
    <mergeCell ref="N26:O26"/>
    <mergeCell ref="Q26:R26"/>
    <mergeCell ref="AP26:AQ26"/>
    <mergeCell ref="AR26:AT26"/>
    <mergeCell ref="BA26:BB26"/>
    <mergeCell ref="BC26:BD26"/>
    <mergeCell ref="AD26:AH26"/>
    <mergeCell ref="AI26:AJ26"/>
    <mergeCell ref="AK26:AO26"/>
    <mergeCell ref="S26:T26"/>
    <mergeCell ref="U26:V26"/>
    <mergeCell ref="AP25:AQ25"/>
    <mergeCell ref="AR25:AT25"/>
    <mergeCell ref="BA25:BB25"/>
    <mergeCell ref="Q25:R25"/>
    <mergeCell ref="S25:T25"/>
    <mergeCell ref="U25:V25"/>
    <mergeCell ref="X25:Y25"/>
    <mergeCell ref="Z25:AA25"/>
    <mergeCell ref="AB25:AC25"/>
    <mergeCell ref="Z23:AA23"/>
    <mergeCell ref="AB23:AC23"/>
    <mergeCell ref="B23:C23"/>
    <mergeCell ref="D23:E23"/>
    <mergeCell ref="AP24:AQ24"/>
    <mergeCell ref="AR24:AT24"/>
    <mergeCell ref="BA24:BB24"/>
    <mergeCell ref="BC24:BD24"/>
    <mergeCell ref="B25:C25"/>
    <mergeCell ref="D25:E25"/>
    <mergeCell ref="G25:H25"/>
    <mergeCell ref="I25:J25"/>
    <mergeCell ref="L25:M25"/>
    <mergeCell ref="N25:O25"/>
    <mergeCell ref="X24:Y24"/>
    <mergeCell ref="Z24:AA24"/>
    <mergeCell ref="AB24:AC24"/>
    <mergeCell ref="AD24:AH24"/>
    <mergeCell ref="AI24:AJ24"/>
    <mergeCell ref="AK24:AO24"/>
    <mergeCell ref="BC25:BD25"/>
    <mergeCell ref="AD25:AH25"/>
    <mergeCell ref="AI25:AJ25"/>
    <mergeCell ref="AK25:AO25"/>
    <mergeCell ref="G23:H23"/>
    <mergeCell ref="I23:J23"/>
    <mergeCell ref="L23:M23"/>
    <mergeCell ref="N23:O23"/>
    <mergeCell ref="BC23:BD23"/>
    <mergeCell ref="B24:C24"/>
    <mergeCell ref="D24:E24"/>
    <mergeCell ref="G24:H24"/>
    <mergeCell ref="I24:J24"/>
    <mergeCell ref="L24:M24"/>
    <mergeCell ref="N24:O24"/>
    <mergeCell ref="Q24:R24"/>
    <mergeCell ref="S24:T24"/>
    <mergeCell ref="U24:V24"/>
    <mergeCell ref="AD23:AH23"/>
    <mergeCell ref="AI23:AJ23"/>
    <mergeCell ref="AK23:AO23"/>
    <mergeCell ref="AP23:AQ23"/>
    <mergeCell ref="AR23:AT23"/>
    <mergeCell ref="BA23:BB23"/>
    <mergeCell ref="Q23:R23"/>
    <mergeCell ref="S23:T23"/>
    <mergeCell ref="U23:V23"/>
    <mergeCell ref="X23:Y23"/>
    <mergeCell ref="AD20:AJ20"/>
    <mergeCell ref="AK20:AO21"/>
    <mergeCell ref="AP20:AQ20"/>
    <mergeCell ref="AI21:AJ21"/>
    <mergeCell ref="BC22:BD22"/>
    <mergeCell ref="S22:T22"/>
    <mergeCell ref="U22:V22"/>
    <mergeCell ref="X22:Y22"/>
    <mergeCell ref="Z22:AA22"/>
    <mergeCell ref="AB22:AC22"/>
    <mergeCell ref="AD22:AH22"/>
    <mergeCell ref="AR21:AT21"/>
    <mergeCell ref="BA21:BB21"/>
    <mergeCell ref="BC21:BD21"/>
    <mergeCell ref="AP21:AQ21"/>
    <mergeCell ref="BA22:BB22"/>
    <mergeCell ref="AR22:AT22"/>
    <mergeCell ref="AP22:AQ22"/>
    <mergeCell ref="AK22:AO22"/>
    <mergeCell ref="AI22:AJ22"/>
    <mergeCell ref="AJ16:AM16"/>
    <mergeCell ref="AN16:AN17"/>
    <mergeCell ref="AO16:AP16"/>
    <mergeCell ref="AQ16:AT16"/>
    <mergeCell ref="B22:C22"/>
    <mergeCell ref="D22:E22"/>
    <mergeCell ref="G22:H22"/>
    <mergeCell ref="I22:J22"/>
    <mergeCell ref="L22:M22"/>
    <mergeCell ref="N22:O22"/>
    <mergeCell ref="Q22:R22"/>
    <mergeCell ref="AR20:AT20"/>
    <mergeCell ref="B21:C21"/>
    <mergeCell ref="D21:H21"/>
    <mergeCell ref="I21:M21"/>
    <mergeCell ref="N21:R21"/>
    <mergeCell ref="S21:T21"/>
    <mergeCell ref="U21:Y21"/>
    <mergeCell ref="Z21:AA21"/>
    <mergeCell ref="AB21:AC21"/>
    <mergeCell ref="AD21:AH21"/>
    <mergeCell ref="B20:C20"/>
    <mergeCell ref="D20:T20"/>
    <mergeCell ref="U20:AC20"/>
    <mergeCell ref="AJ18:AM18"/>
    <mergeCell ref="AN18:AN19"/>
    <mergeCell ref="AO18:AP18"/>
    <mergeCell ref="AQ18:AT18"/>
    <mergeCell ref="AA19:AF19"/>
    <mergeCell ref="AH19:AM19"/>
    <mergeCell ref="AO19:AT19"/>
    <mergeCell ref="AA17:AF17"/>
    <mergeCell ref="AH17:AM17"/>
    <mergeCell ref="AO17:AT17"/>
    <mergeCell ref="B16:E19"/>
    <mergeCell ref="F16:H17"/>
    <mergeCell ref="I16:Y17"/>
    <mergeCell ref="Z16:Z17"/>
    <mergeCell ref="AA16:AB16"/>
    <mergeCell ref="AC16:AF16"/>
    <mergeCell ref="AC14:AF14"/>
    <mergeCell ref="AG14:AG15"/>
    <mergeCell ref="AH14:AI14"/>
    <mergeCell ref="F18:H19"/>
    <mergeCell ref="I18:Y19"/>
    <mergeCell ref="Z18:Z19"/>
    <mergeCell ref="AA18:AB18"/>
    <mergeCell ref="B12:E15"/>
    <mergeCell ref="G12:Y13"/>
    <mergeCell ref="Z12:Z13"/>
    <mergeCell ref="AA12:AB12"/>
    <mergeCell ref="AC18:AF18"/>
    <mergeCell ref="AG18:AG19"/>
    <mergeCell ref="AH18:AI18"/>
    <mergeCell ref="AG16:AG17"/>
    <mergeCell ref="AH16:AI16"/>
    <mergeCell ref="AC12:AF12"/>
    <mergeCell ref="AG12:AG13"/>
    <mergeCell ref="G14:U15"/>
    <mergeCell ref="V14:Y15"/>
    <mergeCell ref="Z14:Z15"/>
    <mergeCell ref="AA14:AB14"/>
    <mergeCell ref="AH11:AM11"/>
    <mergeCell ref="AO11:AT11"/>
    <mergeCell ref="AA9:AF9"/>
    <mergeCell ref="AH12:AI12"/>
    <mergeCell ref="AJ12:AM12"/>
    <mergeCell ref="AN12:AN13"/>
    <mergeCell ref="AO12:AP12"/>
    <mergeCell ref="AQ12:AT12"/>
    <mergeCell ref="AA13:AF13"/>
    <mergeCell ref="AH13:AM13"/>
    <mergeCell ref="AO13:AT13"/>
    <mergeCell ref="AQ14:AT14"/>
    <mergeCell ref="AA15:AF15"/>
    <mergeCell ref="AH15:AM15"/>
    <mergeCell ref="AO15:AT15"/>
    <mergeCell ref="AJ14:AM14"/>
    <mergeCell ref="AN14:AN15"/>
    <mergeCell ref="AO14:AP14"/>
    <mergeCell ref="B10:E11"/>
    <mergeCell ref="F10:U11"/>
    <mergeCell ref="V10:Y10"/>
    <mergeCell ref="Z10:Z11"/>
    <mergeCell ref="AA10:AB10"/>
    <mergeCell ref="AC10:AF10"/>
    <mergeCell ref="V11:Y11"/>
    <mergeCell ref="AA11:AF11"/>
    <mergeCell ref="J6:M7"/>
    <mergeCell ref="N6:Q7"/>
    <mergeCell ref="R6:U7"/>
    <mergeCell ref="AD7:AT7"/>
    <mergeCell ref="B8:E9"/>
    <mergeCell ref="F8:Y9"/>
    <mergeCell ref="Z8:Z9"/>
    <mergeCell ref="AA8:AC8"/>
    <mergeCell ref="AG8:AJ8"/>
    <mergeCell ref="AK8:AT9"/>
    <mergeCell ref="AG10:AG11"/>
    <mergeCell ref="AH10:AI10"/>
    <mergeCell ref="AJ10:AM10"/>
    <mergeCell ref="AN10:AN11"/>
    <mergeCell ref="AO10:AP10"/>
    <mergeCell ref="AQ10:AT10"/>
    <mergeCell ref="B2:AT2"/>
    <mergeCell ref="AV3:AW3"/>
    <mergeCell ref="AH4:AS6"/>
    <mergeCell ref="B5:E5"/>
    <mergeCell ref="F5:I5"/>
    <mergeCell ref="J5:M5"/>
    <mergeCell ref="N5:Q5"/>
    <mergeCell ref="R5:U5"/>
    <mergeCell ref="B6:E7"/>
    <mergeCell ref="F6:I7"/>
    <mergeCell ref="BC32:BD32"/>
    <mergeCell ref="N32:O32"/>
    <mergeCell ref="Q32:R32"/>
    <mergeCell ref="S32:T32"/>
    <mergeCell ref="U32:V32"/>
    <mergeCell ref="X32:Y32"/>
    <mergeCell ref="Z32:AA32"/>
    <mergeCell ref="AB32:AC32"/>
    <mergeCell ref="AD32:AH32"/>
    <mergeCell ref="AI32:AJ32"/>
  </mergeCells>
  <hyperlinks>
    <hyperlink ref="AW6" r:id="rId1" location="社員番号一覧!A1" display="参照番号"/>
    <hyperlink ref="AV3:AW3" r:id="rId2" location="'業務日報（ﾁｰﾌ）'!BP74" display="裏面入力へ"/>
  </hyperlinks>
  <printOptions horizontalCentered="1"/>
  <pageMargins left="0.37" right="0.28000000000000003" top="0.5" bottom="0.28999999999999998" header="0.45" footer="0.35"/>
  <pageSetup paperSize="9" scale="76" orientation="portrait" horizontalDpi="4294967293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Mar-18</vt:lpstr>
      <vt:lpstr>'Mar-18'!Print_Area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2018-03-09T11:13:21Z</cp:lastPrinted>
  <dcterms:created xsi:type="dcterms:W3CDTF">2015-05-14T08:27:28Z</dcterms:created>
  <dcterms:modified xsi:type="dcterms:W3CDTF">2018-03-13T03:05:49Z</dcterms:modified>
</cp:coreProperties>
</file>