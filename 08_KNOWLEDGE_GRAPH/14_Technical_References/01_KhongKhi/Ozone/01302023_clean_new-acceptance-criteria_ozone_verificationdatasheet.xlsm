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https://usepa.sharepoint.com/sites/OAR_Custom/AmbientAirQualityAssurance/Shared Documents/O3 TAD/2021 TAD/Verification XLS Testing/"/>
    </mc:Choice>
  </mc:AlternateContent>
  <xr:revisionPtr revIDLastSave="5" documentId="8_{23AFF30A-5081-481B-ACB8-2F46895998E8}" xr6:coauthVersionLast="47" xr6:coauthVersionMax="47" xr10:uidLastSave="{C2D9D6D9-7209-405C-926F-C0EF57135F3F}"/>
  <bookViews>
    <workbookView xWindow="28680" yWindow="-120" windowWidth="29040" windowHeight="15720" activeTab="1" xr2:uid="{058C8E3C-C7A7-4D85-B64E-4B920753B5CD}"/>
  </bookViews>
  <sheets>
    <sheet name="Instructions" sheetId="13" r:id="rId1"/>
    <sheet name="Summary" sheetId="1" r:id="rId2"/>
    <sheet name="Graphs" sheetId="20" state="hidden" r:id="rId3"/>
    <sheet name="Verification" sheetId="8" r:id="rId4"/>
    <sheet name="Reverification" sheetId="21" r:id="rId5"/>
    <sheet name="Archive" sheetId="17" r:id="rId6"/>
    <sheet name="TS Role Table" sheetId="11" state="hidden" r:id="rId7"/>
  </sheets>
  <definedNames>
    <definedName name="_Toc33534445" localSheetId="1">Summary!$A$21</definedName>
    <definedName name="CandidateTransferStandardRole" localSheetId="1">Verification!$B$16</definedName>
    <definedName name="_xlnm.Print_Area" localSheetId="4">Reverification!$A$1:$E$42</definedName>
    <definedName name="_xlnm.Print_Area" localSheetId="1">Summary!$A$1:$G$49</definedName>
    <definedName name="_xlnm.Print_Area" localSheetId="3">Verification!$A$1:$E$83</definedName>
    <definedName name="TransferStandardRole" localSheetId="1">Verification!$B$7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 i="1" l="1"/>
  <c r="E8" i="1"/>
  <c r="D6" i="1"/>
  <c r="D5" i="1"/>
  <c r="D4" i="1"/>
  <c r="F6" i="1"/>
  <c r="F5" i="1"/>
  <c r="F4" i="1"/>
  <c r="E6" i="1"/>
  <c r="E5" i="1"/>
  <c r="E4" i="1"/>
  <c r="G4" i="1"/>
  <c r="G5" i="1"/>
  <c r="G7" i="1" l="1"/>
  <c r="H4" i="1"/>
  <c r="I4" i="1"/>
  <c r="J4" i="1"/>
  <c r="O5" i="20"/>
  <c r="O4" i="20"/>
  <c r="N5" i="20"/>
  <c r="N4" i="20"/>
  <c r="O3" i="20"/>
  <c r="N3" i="20"/>
  <c r="E11" i="8"/>
  <c r="E10" i="8"/>
  <c r="B19" i="21" l="1"/>
  <c r="B18" i="21"/>
  <c r="B17" i="21"/>
  <c r="B5" i="21"/>
  <c r="E8" i="8"/>
  <c r="E9" i="8"/>
  <c r="E7" i="8"/>
  <c r="B4" i="8"/>
  <c r="B6" i="1"/>
  <c r="B5" i="1"/>
  <c r="B4" i="1"/>
  <c r="Y1" i="1"/>
  <c r="E3" i="8" l="1"/>
  <c r="F35" i="8" l="1"/>
  <c r="F11" i="8" l="1"/>
  <c r="F10" i="8"/>
  <c r="E4" i="21"/>
  <c r="E7" i="21" l="1"/>
  <c r="E10" i="21"/>
  <c r="E9" i="21"/>
  <c r="E8" i="21"/>
  <c r="E6" i="21"/>
  <c r="E5" i="21"/>
  <c r="F42" i="21" l="1"/>
  <c r="E42" i="21"/>
  <c r="E41" i="21"/>
  <c r="F41" i="21" s="1"/>
  <c r="D41" i="21"/>
  <c r="E40" i="21"/>
  <c r="F40" i="21" s="1"/>
  <c r="D40" i="21"/>
  <c r="F39" i="21"/>
  <c r="E39" i="21"/>
  <c r="D39" i="21"/>
  <c r="E38" i="21"/>
  <c r="F38" i="21" s="1"/>
  <c r="D38" i="21"/>
  <c r="E37" i="21"/>
  <c r="F37" i="21" s="1"/>
  <c r="D37" i="21"/>
  <c r="E36" i="21"/>
  <c r="F36" i="21" s="1"/>
  <c r="D36" i="21"/>
  <c r="F35" i="21"/>
  <c r="E35" i="21"/>
  <c r="D35" i="21"/>
  <c r="E34" i="21"/>
  <c r="F34" i="21" s="1"/>
  <c r="D34" i="21"/>
  <c r="E33" i="21"/>
  <c r="F33" i="21" s="1"/>
  <c r="D33" i="21"/>
  <c r="E32" i="21"/>
  <c r="F32" i="21" s="1"/>
  <c r="D32" i="21"/>
  <c r="F31" i="21"/>
  <c r="E31" i="21"/>
  <c r="E29" i="21"/>
  <c r="E28" i="21"/>
  <c r="F83" i="8"/>
  <c r="E83" i="8"/>
  <c r="E82" i="8"/>
  <c r="F82" i="8" s="1"/>
  <c r="D82" i="8"/>
  <c r="E81" i="8"/>
  <c r="F81" i="8" s="1"/>
  <c r="D81" i="8"/>
  <c r="F80" i="8"/>
  <c r="E80" i="8"/>
  <c r="D80" i="8"/>
  <c r="E79" i="8"/>
  <c r="D79" i="8"/>
  <c r="E78" i="8"/>
  <c r="D78" i="8"/>
  <c r="E77" i="8"/>
  <c r="D77" i="8"/>
  <c r="F76" i="8"/>
  <c r="E76" i="8"/>
  <c r="D76" i="8"/>
  <c r="E75" i="8"/>
  <c r="D75" i="8"/>
  <c r="E74" i="8"/>
  <c r="D74" i="8"/>
  <c r="E73" i="8"/>
  <c r="D73" i="8"/>
  <c r="E72" i="8"/>
  <c r="F72" i="8" s="1"/>
  <c r="E70" i="8"/>
  <c r="E69" i="8"/>
  <c r="F64" i="8"/>
  <c r="E64" i="8"/>
  <c r="E63" i="8"/>
  <c r="F63" i="8" s="1"/>
  <c r="D63" i="8"/>
  <c r="E62" i="8"/>
  <c r="F62" i="8" s="1"/>
  <c r="D62" i="8"/>
  <c r="E61" i="8"/>
  <c r="D61" i="8"/>
  <c r="E60" i="8"/>
  <c r="D60" i="8"/>
  <c r="E59" i="8"/>
  <c r="D59" i="8"/>
  <c r="E58" i="8"/>
  <c r="D58" i="8"/>
  <c r="E57" i="8"/>
  <c r="D57" i="8"/>
  <c r="E56" i="8"/>
  <c r="D56" i="8"/>
  <c r="E55" i="8"/>
  <c r="D55" i="8"/>
  <c r="E54" i="8"/>
  <c r="D54" i="8"/>
  <c r="E53" i="8"/>
  <c r="F53" i="8" s="1"/>
  <c r="E51" i="8"/>
  <c r="E50" i="8"/>
  <c r="F45" i="8"/>
  <c r="E45" i="8"/>
  <c r="E44" i="8"/>
  <c r="F44" i="8" s="1"/>
  <c r="D44" i="8"/>
  <c r="E43" i="8"/>
  <c r="D43" i="8"/>
  <c r="F43" i="8" s="1"/>
  <c r="F42" i="8"/>
  <c r="E42" i="8"/>
  <c r="D42" i="8"/>
  <c r="E41" i="8"/>
  <c r="F41" i="8" s="1"/>
  <c r="D41" i="8"/>
  <c r="E40" i="8"/>
  <c r="D40" i="8"/>
  <c r="E39" i="8"/>
  <c r="D39" i="8"/>
  <c r="E38" i="8"/>
  <c r="F38" i="8" s="1"/>
  <c r="D38" i="8"/>
  <c r="E37" i="8"/>
  <c r="F37" i="8" s="1"/>
  <c r="D37" i="8"/>
  <c r="E36" i="8"/>
  <c r="D36" i="8"/>
  <c r="E35" i="8"/>
  <c r="D35" i="8"/>
  <c r="E34" i="8"/>
  <c r="F34" i="8" s="1"/>
  <c r="E32" i="8"/>
  <c r="E31" i="8"/>
  <c r="F56" i="8" l="1"/>
  <c r="F60" i="8"/>
  <c r="F61" i="8"/>
  <c r="F78" i="8"/>
  <c r="F59" i="8"/>
  <c r="F77" i="8"/>
  <c r="F79" i="8"/>
  <c r="F73" i="8"/>
  <c r="F75" i="8"/>
  <c r="F74" i="8"/>
  <c r="F54" i="8"/>
  <c r="F58" i="8"/>
  <c r="F55" i="8"/>
  <c r="F57" i="8"/>
  <c r="F36" i="8"/>
  <c r="F32" i="8"/>
  <c r="F40" i="8"/>
  <c r="F39" i="8"/>
  <c r="F29" i="21"/>
  <c r="F51" i="8" l="1"/>
  <c r="F70" i="8"/>
  <c r="B30" i="21" l="1"/>
  <c r="C30" i="21" l="1"/>
  <c r="BJ3" i="17" l="1"/>
  <c r="BJ4" i="17"/>
  <c r="BJ5" i="17"/>
  <c r="BJ6" i="17"/>
  <c r="BJ7" i="17"/>
  <c r="BJ8" i="17"/>
  <c r="BJ9" i="17"/>
  <c r="BJ10" i="17"/>
  <c r="BJ11" i="17"/>
  <c r="BJ12" i="17"/>
  <c r="BJ13" i="17"/>
  <c r="BJ14" i="17"/>
  <c r="BJ15" i="17"/>
  <c r="BJ16" i="17"/>
  <c r="BJ17" i="17"/>
  <c r="BJ18" i="17"/>
  <c r="BJ19" i="17"/>
  <c r="BJ20" i="17"/>
  <c r="BJ21" i="17"/>
  <c r="BJ22" i="17"/>
  <c r="BJ23" i="17"/>
  <c r="BJ24" i="17"/>
  <c r="BJ25" i="17"/>
  <c r="BJ26" i="17"/>
  <c r="BJ27" i="17"/>
  <c r="BJ28" i="17"/>
  <c r="BJ29" i="17"/>
  <c r="BJ30" i="17"/>
  <c r="BJ31" i="17"/>
  <c r="BJ32" i="17"/>
  <c r="BJ33" i="17"/>
  <c r="BJ34" i="17"/>
  <c r="BJ35" i="17"/>
  <c r="BJ36" i="17"/>
  <c r="BJ37" i="17"/>
  <c r="BJ38" i="17"/>
  <c r="BJ39" i="17"/>
  <c r="BJ40" i="17"/>
  <c r="BJ41" i="17"/>
  <c r="BJ42" i="17"/>
  <c r="BJ43" i="17"/>
  <c r="BJ44" i="17"/>
  <c r="BJ45" i="17"/>
  <c r="BJ46" i="17"/>
  <c r="BJ47" i="17"/>
  <c r="BJ48" i="17"/>
  <c r="BJ49" i="17"/>
  <c r="BJ50" i="17"/>
  <c r="BJ51" i="17"/>
  <c r="BJ52" i="17"/>
  <c r="BJ53" i="17"/>
  <c r="BJ54" i="17"/>
  <c r="BJ55" i="17"/>
  <c r="BJ56" i="17"/>
  <c r="BJ57" i="17"/>
  <c r="BJ58" i="17"/>
  <c r="BJ59" i="17"/>
  <c r="BJ60" i="17"/>
  <c r="BJ61" i="17"/>
  <c r="BJ62" i="17"/>
  <c r="BJ63" i="17"/>
  <c r="BJ64" i="17"/>
  <c r="BJ65" i="17"/>
  <c r="BJ66" i="17"/>
  <c r="BJ67" i="17"/>
  <c r="BJ68" i="17"/>
  <c r="BJ69" i="17"/>
  <c r="BJ70" i="17"/>
  <c r="BJ71" i="17"/>
  <c r="BJ72" i="17"/>
  <c r="BJ73" i="17"/>
  <c r="BJ74" i="17"/>
  <c r="BJ75" i="17"/>
  <c r="BJ76" i="17"/>
  <c r="BJ77" i="17"/>
  <c r="BJ78" i="17"/>
  <c r="BJ79" i="17"/>
  <c r="BJ80" i="17"/>
  <c r="BJ81" i="17"/>
  <c r="BJ82" i="17"/>
  <c r="BJ83" i="17"/>
  <c r="BJ84" i="17"/>
  <c r="BJ85" i="17"/>
  <c r="BJ86" i="17"/>
  <c r="BJ87" i="17"/>
  <c r="BJ88" i="17"/>
  <c r="BJ89" i="17"/>
  <c r="BJ90" i="17"/>
  <c r="BJ91" i="17"/>
  <c r="BJ92" i="17"/>
  <c r="BJ93" i="17"/>
  <c r="BJ94" i="17"/>
  <c r="BJ95" i="17"/>
  <c r="BJ96" i="17"/>
  <c r="BJ97" i="17"/>
  <c r="BJ98" i="17"/>
  <c r="BJ99" i="17"/>
  <c r="BJ100" i="17"/>
  <c r="BJ101" i="17"/>
  <c r="BJ102" i="17"/>
  <c r="BJ103" i="17"/>
  <c r="BJ104" i="17"/>
  <c r="BJ105" i="17"/>
  <c r="BJ106" i="17"/>
  <c r="BJ107" i="17"/>
  <c r="BJ108" i="17"/>
  <c r="BJ109" i="17"/>
  <c r="BJ110" i="17"/>
  <c r="BJ111" i="17"/>
  <c r="BJ112" i="17"/>
  <c r="BJ113" i="17"/>
  <c r="BJ114" i="17"/>
  <c r="BJ115" i="17"/>
  <c r="BJ116" i="17"/>
  <c r="BJ117" i="17"/>
  <c r="BJ118" i="17"/>
  <c r="BJ119" i="17"/>
  <c r="BJ120" i="17"/>
  <c r="BJ121" i="17"/>
  <c r="BJ122" i="17"/>
  <c r="BJ123" i="17"/>
  <c r="BJ124" i="17"/>
  <c r="BJ125" i="17"/>
  <c r="BJ126" i="17"/>
  <c r="BJ127" i="17"/>
  <c r="BJ128" i="17"/>
  <c r="BJ129" i="17"/>
  <c r="BJ130" i="17"/>
  <c r="BJ131" i="17"/>
  <c r="BJ132" i="17"/>
  <c r="BJ133" i="17"/>
  <c r="BJ134" i="17"/>
  <c r="BJ135" i="17"/>
  <c r="BJ136" i="17"/>
  <c r="BJ137" i="17"/>
  <c r="BJ138" i="17"/>
  <c r="BJ139" i="17"/>
  <c r="BJ140" i="17"/>
  <c r="BJ141" i="17"/>
  <c r="BJ142" i="17"/>
  <c r="BJ143" i="17"/>
  <c r="BJ144" i="17"/>
  <c r="BJ145" i="17"/>
  <c r="BJ146" i="17"/>
  <c r="BJ147" i="17"/>
  <c r="BJ148" i="17"/>
  <c r="BJ149" i="17"/>
  <c r="BJ150" i="17"/>
  <c r="BJ151" i="17"/>
  <c r="BJ152" i="17"/>
  <c r="BJ153" i="17"/>
  <c r="BJ154" i="17"/>
  <c r="BJ155" i="17"/>
  <c r="BJ156" i="17"/>
  <c r="BJ157" i="17"/>
  <c r="BJ158" i="17"/>
  <c r="BJ159" i="17"/>
  <c r="BJ160" i="17"/>
  <c r="BJ161" i="17"/>
  <c r="BJ162" i="17"/>
  <c r="BJ163" i="17"/>
  <c r="BJ164" i="17"/>
  <c r="BJ165" i="17"/>
  <c r="BJ166" i="17"/>
  <c r="BJ167" i="17"/>
  <c r="BJ168" i="17"/>
  <c r="BJ169" i="17"/>
  <c r="BJ170" i="17"/>
  <c r="BJ171" i="17"/>
  <c r="BJ172" i="17"/>
  <c r="BJ173" i="17"/>
  <c r="BJ174" i="17"/>
  <c r="BJ175" i="17"/>
  <c r="BJ176" i="17"/>
  <c r="BJ177" i="17"/>
  <c r="BJ178" i="17"/>
  <c r="BJ179" i="17"/>
  <c r="BJ180" i="17"/>
  <c r="BJ181" i="17"/>
  <c r="BJ182" i="17"/>
  <c r="BJ183" i="17"/>
  <c r="BJ184" i="17"/>
  <c r="BJ185" i="17"/>
  <c r="BJ186" i="17"/>
  <c r="BJ187" i="17"/>
  <c r="BJ188" i="17"/>
  <c r="BJ189" i="17"/>
  <c r="BJ190" i="17"/>
  <c r="BJ191" i="17"/>
  <c r="BJ192" i="17"/>
  <c r="BJ193" i="17"/>
  <c r="BJ194" i="17"/>
  <c r="BJ195" i="17"/>
  <c r="BJ196" i="17"/>
  <c r="BJ197" i="17"/>
  <c r="BJ198" i="17"/>
  <c r="BJ199" i="17"/>
  <c r="BJ200" i="17"/>
  <c r="BJ201" i="17"/>
  <c r="BJ202" i="17"/>
  <c r="BJ203" i="17"/>
  <c r="BJ204" i="17"/>
  <c r="BJ205" i="17"/>
  <c r="BJ206" i="17"/>
  <c r="BJ207" i="17"/>
  <c r="BJ208" i="17"/>
  <c r="BJ209" i="17"/>
  <c r="BJ210" i="17"/>
  <c r="BJ211" i="17"/>
  <c r="BJ212" i="17"/>
  <c r="BJ213" i="17"/>
  <c r="BJ214" i="17"/>
  <c r="BJ215" i="17"/>
  <c r="BJ216" i="17"/>
  <c r="BJ217" i="17"/>
  <c r="BJ218" i="17"/>
  <c r="BJ219" i="17"/>
  <c r="BJ220" i="17"/>
  <c r="BJ221" i="17"/>
  <c r="BJ222" i="17"/>
  <c r="BJ223" i="17"/>
  <c r="BJ224" i="17"/>
  <c r="BJ225" i="17"/>
  <c r="BJ226" i="17"/>
  <c r="BJ227" i="17"/>
  <c r="BJ228" i="17"/>
  <c r="BJ229" i="17"/>
  <c r="BJ230" i="17"/>
  <c r="BJ231" i="17"/>
  <c r="BJ232" i="17"/>
  <c r="BJ233" i="17"/>
  <c r="BJ234" i="17"/>
  <c r="BJ235" i="17"/>
  <c r="BJ236" i="17"/>
  <c r="BJ237" i="17"/>
  <c r="BJ238" i="17"/>
  <c r="BJ239" i="17"/>
  <c r="BJ240" i="17"/>
  <c r="BJ241" i="17"/>
  <c r="BJ242" i="17"/>
  <c r="BJ243" i="17"/>
  <c r="BJ244" i="17"/>
  <c r="BJ245" i="17"/>
  <c r="BJ246" i="17"/>
  <c r="BJ247" i="17"/>
  <c r="BJ248" i="17"/>
  <c r="BJ249" i="17"/>
  <c r="BJ250" i="17"/>
  <c r="BJ251" i="17"/>
  <c r="BJ252" i="17"/>
  <c r="BJ253" i="17"/>
  <c r="BJ254" i="17"/>
  <c r="BJ255" i="17"/>
  <c r="BJ256" i="17"/>
  <c r="BJ257" i="17"/>
  <c r="BJ258" i="17"/>
  <c r="BJ259" i="17"/>
  <c r="BJ260" i="17"/>
  <c r="BJ261" i="17"/>
  <c r="BJ262" i="17"/>
  <c r="BJ263" i="17"/>
  <c r="BJ264" i="17"/>
  <c r="BJ265" i="17"/>
  <c r="BJ266" i="17"/>
  <c r="BJ267" i="17"/>
  <c r="BJ268" i="17"/>
  <c r="BJ269" i="17"/>
  <c r="BJ270" i="17"/>
  <c r="BJ271" i="17"/>
  <c r="BJ272" i="17"/>
  <c r="BJ273" i="17"/>
  <c r="BJ274" i="17"/>
  <c r="BJ275" i="17"/>
  <c r="BJ276" i="17"/>
  <c r="BJ277" i="17"/>
  <c r="BJ278" i="17"/>
  <c r="BJ279" i="17"/>
  <c r="BJ280" i="17"/>
  <c r="BJ281" i="17"/>
  <c r="BJ282" i="17"/>
  <c r="BJ283" i="17"/>
  <c r="BJ284" i="17"/>
  <c r="BJ285" i="17"/>
  <c r="BJ286" i="17"/>
  <c r="BJ287" i="17"/>
  <c r="BJ288" i="17"/>
  <c r="BJ289" i="17"/>
  <c r="BJ290" i="17"/>
  <c r="BJ291" i="17"/>
  <c r="BJ292" i="17"/>
  <c r="BJ293" i="17"/>
  <c r="BJ294" i="17"/>
  <c r="BJ295" i="17"/>
  <c r="BJ296" i="17"/>
  <c r="BJ297" i="17"/>
  <c r="BJ298" i="17"/>
  <c r="BJ299" i="17"/>
  <c r="BJ300" i="17"/>
  <c r="BJ301" i="17"/>
  <c r="BJ302" i="17"/>
  <c r="BJ303" i="17"/>
  <c r="BJ304" i="17"/>
  <c r="BJ305" i="17"/>
  <c r="BJ306" i="17"/>
  <c r="BJ307" i="17"/>
  <c r="BJ308" i="17"/>
  <c r="BJ309" i="17"/>
  <c r="BJ310" i="17"/>
  <c r="BJ311" i="17"/>
  <c r="BJ312" i="17"/>
  <c r="BJ313" i="17"/>
  <c r="BJ314" i="17"/>
  <c r="BJ315" i="17"/>
  <c r="BJ316" i="17"/>
  <c r="BJ317" i="17"/>
  <c r="BJ318" i="17"/>
  <c r="BJ319" i="17"/>
  <c r="BJ320" i="17"/>
  <c r="BJ321" i="17"/>
  <c r="BJ322" i="17"/>
  <c r="BJ323" i="17"/>
  <c r="BJ324" i="17"/>
  <c r="BJ325" i="17"/>
  <c r="BJ326" i="17"/>
  <c r="BJ327" i="17"/>
  <c r="BJ328" i="17"/>
  <c r="BJ329" i="17"/>
  <c r="BJ330" i="17"/>
  <c r="BJ331" i="17"/>
  <c r="BJ332" i="17"/>
  <c r="BJ333" i="17"/>
  <c r="BJ334" i="17"/>
  <c r="BJ335" i="17"/>
  <c r="BJ336" i="17"/>
  <c r="BJ337" i="17"/>
  <c r="BJ338" i="17"/>
  <c r="BJ339" i="17"/>
  <c r="BJ340" i="17"/>
  <c r="BJ341" i="17"/>
  <c r="BJ342" i="17"/>
  <c r="BJ343" i="17"/>
  <c r="BJ344" i="17"/>
  <c r="BJ345" i="17"/>
  <c r="BJ346" i="17"/>
  <c r="BJ347" i="17"/>
  <c r="BJ348" i="17"/>
  <c r="BJ349" i="17"/>
  <c r="BJ350" i="17"/>
  <c r="BJ351" i="17"/>
  <c r="BJ352" i="17"/>
  <c r="BJ353" i="17"/>
  <c r="BJ354" i="17"/>
  <c r="BJ355" i="17"/>
  <c r="BJ356" i="17"/>
  <c r="BJ357" i="17"/>
  <c r="BJ358" i="17"/>
  <c r="BJ359" i="17"/>
  <c r="BJ360" i="17"/>
  <c r="BJ361" i="17"/>
  <c r="BJ362" i="17"/>
  <c r="BJ363" i="17"/>
  <c r="BJ364" i="17"/>
  <c r="BJ365" i="17"/>
  <c r="BJ366" i="17"/>
  <c r="BJ367" i="17"/>
  <c r="BJ368" i="17"/>
  <c r="BJ369" i="17"/>
  <c r="BJ370" i="17"/>
  <c r="BJ371" i="17"/>
  <c r="BJ372" i="17"/>
  <c r="BJ373" i="17"/>
  <c r="BJ374" i="17"/>
  <c r="BJ375" i="17"/>
  <c r="BJ376" i="17"/>
  <c r="BJ377" i="17"/>
  <c r="BJ378" i="17"/>
  <c r="BJ379" i="17"/>
  <c r="BJ380" i="17"/>
  <c r="BJ381" i="17"/>
  <c r="BJ382" i="17"/>
  <c r="BJ383" i="17"/>
  <c r="BJ384" i="17"/>
  <c r="BJ385" i="17"/>
  <c r="BJ386" i="17"/>
  <c r="BJ387" i="17"/>
  <c r="BJ388" i="17"/>
  <c r="BJ389" i="17"/>
  <c r="BJ390" i="17"/>
  <c r="BJ391" i="17"/>
  <c r="BJ392" i="17"/>
  <c r="BJ393" i="17"/>
  <c r="BJ394" i="17"/>
  <c r="BJ395" i="17"/>
  <c r="BJ396" i="17"/>
  <c r="BJ397" i="17"/>
  <c r="BJ398" i="17"/>
  <c r="BJ399" i="17"/>
  <c r="BJ400" i="17"/>
  <c r="BJ401" i="17"/>
  <c r="BJ402" i="17"/>
  <c r="BJ403" i="17"/>
  <c r="BJ404" i="17"/>
  <c r="BJ405" i="17"/>
  <c r="BJ406" i="17"/>
  <c r="BJ407" i="17"/>
  <c r="BJ408" i="17"/>
  <c r="BJ409" i="17"/>
  <c r="BJ410" i="17"/>
  <c r="BJ411" i="17"/>
  <c r="BJ412" i="17"/>
  <c r="BJ413" i="17"/>
  <c r="BJ414" i="17"/>
  <c r="BJ415" i="17"/>
  <c r="BJ416" i="17"/>
  <c r="BJ417" i="17"/>
  <c r="BJ418" i="17"/>
  <c r="BJ419" i="17"/>
  <c r="BJ420" i="17"/>
  <c r="BJ421" i="17"/>
  <c r="BJ422" i="17"/>
  <c r="BJ423" i="17"/>
  <c r="BJ424" i="17"/>
  <c r="BJ425" i="17"/>
  <c r="BJ426" i="17"/>
  <c r="BJ427" i="17"/>
  <c r="BJ428" i="17"/>
  <c r="BJ429" i="17"/>
  <c r="BJ430" i="17"/>
  <c r="BJ431" i="17"/>
  <c r="BJ432" i="17"/>
  <c r="BJ433" i="17"/>
  <c r="BJ434" i="17"/>
  <c r="BJ435" i="17"/>
  <c r="BJ436" i="17"/>
  <c r="BJ437" i="17"/>
  <c r="BJ438" i="17"/>
  <c r="BJ439" i="17"/>
  <c r="BJ440" i="17"/>
  <c r="BJ441" i="17"/>
  <c r="BJ442" i="17"/>
  <c r="BJ443" i="17"/>
  <c r="BJ444" i="17"/>
  <c r="BJ445" i="17"/>
  <c r="BJ446" i="17"/>
  <c r="BJ447" i="17"/>
  <c r="BJ448" i="17"/>
  <c r="BJ449" i="17"/>
  <c r="BJ450" i="17"/>
  <c r="BJ451" i="17"/>
  <c r="BJ452" i="17"/>
  <c r="BJ453" i="17"/>
  <c r="BJ454" i="17"/>
  <c r="BJ455" i="17"/>
  <c r="BJ456" i="17"/>
  <c r="BJ457" i="17"/>
  <c r="BJ458" i="17"/>
  <c r="BJ459" i="17"/>
  <c r="BJ460" i="17"/>
  <c r="BJ461" i="17"/>
  <c r="BJ462" i="17"/>
  <c r="BJ463" i="17"/>
  <c r="BJ464" i="17"/>
  <c r="BJ465" i="17"/>
  <c r="BJ466" i="17"/>
  <c r="BJ467" i="17"/>
  <c r="BJ468" i="17"/>
  <c r="BJ469" i="17"/>
  <c r="BJ470" i="17"/>
  <c r="BJ471" i="17"/>
  <c r="BJ472" i="17"/>
  <c r="BJ473" i="17"/>
  <c r="BJ474" i="17"/>
  <c r="BJ475" i="17"/>
  <c r="BJ476" i="17"/>
  <c r="BJ477" i="17"/>
  <c r="BJ478" i="17"/>
  <c r="BJ479" i="17"/>
  <c r="BJ480" i="17"/>
  <c r="BJ481" i="17"/>
  <c r="BJ482" i="17"/>
  <c r="BJ483" i="17"/>
  <c r="BJ484" i="17"/>
  <c r="BJ485" i="17"/>
  <c r="BJ486" i="17"/>
  <c r="BJ487" i="17"/>
  <c r="BJ488" i="17"/>
  <c r="BJ489" i="17"/>
  <c r="BJ490" i="17"/>
  <c r="BJ491" i="17"/>
  <c r="BJ492" i="17"/>
  <c r="BJ493" i="17"/>
  <c r="BJ494" i="17"/>
  <c r="BJ495" i="17"/>
  <c r="BJ496" i="17"/>
  <c r="BJ497" i="17"/>
  <c r="BJ498" i="17"/>
  <c r="BJ499" i="17"/>
  <c r="BJ500" i="17"/>
  <c r="BJ501" i="17"/>
  <c r="BJ502" i="17"/>
  <c r="BJ503" i="17"/>
  <c r="BJ504" i="17"/>
  <c r="BJ505" i="17"/>
  <c r="BJ506" i="17"/>
  <c r="BJ507" i="17"/>
  <c r="BJ508" i="17"/>
  <c r="BJ509" i="17"/>
  <c r="BJ510" i="17"/>
  <c r="BJ511" i="17"/>
  <c r="BJ512" i="17"/>
  <c r="BJ513" i="17"/>
  <c r="BJ514" i="17"/>
  <c r="BJ515" i="17"/>
  <c r="BJ516" i="17"/>
  <c r="BJ517" i="17"/>
  <c r="BJ518" i="17"/>
  <c r="BJ519" i="17"/>
  <c r="BJ520" i="17"/>
  <c r="BJ521" i="17"/>
  <c r="BJ522" i="17"/>
  <c r="BJ523" i="17"/>
  <c r="BJ524" i="17"/>
  <c r="BJ525" i="17"/>
  <c r="BJ526" i="17"/>
  <c r="BJ527" i="17"/>
  <c r="BJ528" i="17"/>
  <c r="BJ529" i="17"/>
  <c r="BJ530" i="17"/>
  <c r="BJ531" i="17"/>
  <c r="BJ532" i="17"/>
  <c r="BJ533" i="17"/>
  <c r="BJ534" i="17"/>
  <c r="BJ535" i="17"/>
  <c r="BJ536" i="17"/>
  <c r="BJ537" i="17"/>
  <c r="BJ538" i="17"/>
  <c r="BJ539" i="17"/>
  <c r="BJ540" i="17"/>
  <c r="BJ541" i="17"/>
  <c r="BJ542" i="17"/>
  <c r="BJ543" i="17"/>
  <c r="BJ544" i="17"/>
  <c r="BJ545" i="17"/>
  <c r="BJ546" i="17"/>
  <c r="BJ547" i="17"/>
  <c r="BJ548" i="17"/>
  <c r="BJ549" i="17"/>
  <c r="BJ550" i="17"/>
  <c r="BJ551" i="17"/>
  <c r="BJ552" i="17"/>
  <c r="BJ553" i="17"/>
  <c r="BJ554" i="17"/>
  <c r="BJ555" i="17"/>
  <c r="BJ556" i="17"/>
  <c r="BJ557" i="17"/>
  <c r="BJ558" i="17"/>
  <c r="BJ559" i="17"/>
  <c r="BJ560" i="17"/>
  <c r="BJ561" i="17"/>
  <c r="BJ562" i="17"/>
  <c r="BJ563" i="17"/>
  <c r="BJ564" i="17"/>
  <c r="BJ565" i="17"/>
  <c r="BJ566" i="17"/>
  <c r="BJ567" i="17"/>
  <c r="BJ568" i="17"/>
  <c r="BJ569" i="17"/>
  <c r="BJ570" i="17"/>
  <c r="BJ571" i="17"/>
  <c r="BJ572" i="17"/>
  <c r="BJ573" i="17"/>
  <c r="BJ574" i="17"/>
  <c r="BJ575" i="17"/>
  <c r="BJ576" i="17"/>
  <c r="BJ577" i="17"/>
  <c r="BJ578" i="17"/>
  <c r="BJ579" i="17"/>
  <c r="BJ580" i="17"/>
  <c r="BJ581" i="17"/>
  <c r="BJ582" i="17"/>
  <c r="BJ583" i="17"/>
  <c r="BJ584" i="17"/>
  <c r="BJ585" i="17"/>
  <c r="BJ586" i="17"/>
  <c r="BJ587" i="17"/>
  <c r="BJ588" i="17"/>
  <c r="BJ589" i="17"/>
  <c r="BJ590" i="17"/>
  <c r="BJ591" i="17"/>
  <c r="BJ592" i="17"/>
  <c r="BJ593" i="17"/>
  <c r="BJ594" i="17"/>
  <c r="BJ595" i="17"/>
  <c r="BJ596" i="17"/>
  <c r="BJ597" i="17"/>
  <c r="BJ598" i="17"/>
  <c r="BJ599" i="17"/>
  <c r="BJ600" i="17"/>
  <c r="BJ601" i="17"/>
  <c r="BJ602" i="17"/>
  <c r="BJ603" i="17"/>
  <c r="BJ604" i="17"/>
  <c r="BJ605" i="17"/>
  <c r="BJ606" i="17"/>
  <c r="BJ607" i="17"/>
  <c r="BJ608" i="17"/>
  <c r="BJ609" i="17"/>
  <c r="BJ610" i="17"/>
  <c r="BJ611" i="17"/>
  <c r="BJ612" i="17"/>
  <c r="BJ613" i="17"/>
  <c r="BJ614" i="17"/>
  <c r="BJ615" i="17"/>
  <c r="BJ616" i="17"/>
  <c r="BJ617" i="17"/>
  <c r="BJ618" i="17"/>
  <c r="BJ619" i="17"/>
  <c r="BJ620" i="17"/>
  <c r="BJ621" i="17"/>
  <c r="BJ622" i="17"/>
  <c r="BJ623" i="17"/>
  <c r="BJ624" i="17"/>
  <c r="BJ625" i="17"/>
  <c r="BJ626" i="17"/>
  <c r="BJ627" i="17"/>
  <c r="BJ628" i="17"/>
  <c r="BJ629" i="17"/>
  <c r="BJ630" i="17"/>
  <c r="BJ631" i="17"/>
  <c r="BJ632" i="17"/>
  <c r="BJ633" i="17"/>
  <c r="BJ634" i="17"/>
  <c r="BJ635" i="17"/>
  <c r="BJ636" i="17"/>
  <c r="BJ637" i="17"/>
  <c r="BJ638" i="17"/>
  <c r="BJ639" i="17"/>
  <c r="BJ640" i="17"/>
  <c r="BJ641" i="17"/>
  <c r="BJ642" i="17"/>
  <c r="BJ643" i="17"/>
  <c r="BJ644" i="17"/>
  <c r="BJ645" i="17"/>
  <c r="BJ646" i="17"/>
  <c r="BJ647" i="17"/>
  <c r="BJ648" i="17"/>
  <c r="BJ649" i="17"/>
  <c r="BJ650" i="17"/>
  <c r="BJ651" i="17"/>
  <c r="BJ652" i="17"/>
  <c r="BJ653" i="17"/>
  <c r="BJ654" i="17"/>
  <c r="BJ655" i="17"/>
  <c r="BJ656" i="17"/>
  <c r="BJ657" i="17"/>
  <c r="BJ658" i="17"/>
  <c r="BJ659" i="17"/>
  <c r="BJ660" i="17"/>
  <c r="BJ661" i="17"/>
  <c r="BJ662" i="17"/>
  <c r="BJ663" i="17"/>
  <c r="BJ664" i="17"/>
  <c r="BJ665" i="17"/>
  <c r="BJ666" i="17"/>
  <c r="BJ667" i="17"/>
  <c r="BJ668" i="17"/>
  <c r="BJ669" i="17"/>
  <c r="BJ670" i="17"/>
  <c r="BJ671" i="17"/>
  <c r="BJ672" i="17"/>
  <c r="BJ673" i="17"/>
  <c r="BJ674" i="17"/>
  <c r="BJ675" i="17"/>
  <c r="BJ676" i="17"/>
  <c r="BJ677" i="17"/>
  <c r="BJ678" i="17"/>
  <c r="BJ679" i="17"/>
  <c r="BJ680" i="17"/>
  <c r="BJ681" i="17"/>
  <c r="BJ682" i="17"/>
  <c r="BJ683" i="17"/>
  <c r="BJ684" i="17"/>
  <c r="BJ685" i="17"/>
  <c r="BJ686" i="17"/>
  <c r="BJ687" i="17"/>
  <c r="BJ688" i="17"/>
  <c r="BJ689" i="17"/>
  <c r="BJ690" i="17"/>
  <c r="BJ691" i="17"/>
  <c r="BJ692" i="17"/>
  <c r="BJ693" i="17"/>
  <c r="BJ694" i="17"/>
  <c r="BJ695" i="17"/>
  <c r="BJ696" i="17"/>
  <c r="BJ697" i="17"/>
  <c r="BJ698" i="17"/>
  <c r="BJ699" i="17"/>
  <c r="BJ700" i="17"/>
  <c r="BJ701" i="17"/>
  <c r="BJ702" i="17"/>
  <c r="BJ703" i="17"/>
  <c r="BJ704" i="17"/>
  <c r="BJ705" i="17"/>
  <c r="BJ706" i="17"/>
  <c r="BJ707" i="17"/>
  <c r="BJ708" i="17"/>
  <c r="BJ709" i="17"/>
  <c r="BJ710" i="17"/>
  <c r="BJ711" i="17"/>
  <c r="BJ712" i="17"/>
  <c r="BJ713" i="17"/>
  <c r="BJ714" i="17"/>
  <c r="BJ715" i="17"/>
  <c r="BJ716" i="17"/>
  <c r="BJ717" i="17"/>
  <c r="BJ718" i="17"/>
  <c r="BJ719" i="17"/>
  <c r="BJ720" i="17"/>
  <c r="BJ721" i="17"/>
  <c r="BJ722" i="17"/>
  <c r="BJ723" i="17"/>
  <c r="BJ724" i="17"/>
  <c r="BJ725" i="17"/>
  <c r="BJ726" i="17"/>
  <c r="BJ727" i="17"/>
  <c r="BJ728" i="17"/>
  <c r="BJ729" i="17"/>
  <c r="BJ730" i="17"/>
  <c r="BJ731" i="17"/>
  <c r="BJ732" i="17"/>
  <c r="BJ733" i="17"/>
  <c r="BJ734" i="17"/>
  <c r="BJ735" i="17"/>
  <c r="BJ736" i="17"/>
  <c r="BJ737" i="17"/>
  <c r="BJ738" i="17"/>
  <c r="BJ739" i="17"/>
  <c r="BJ740" i="17"/>
  <c r="BJ741" i="17"/>
  <c r="BJ742" i="17"/>
  <c r="BJ743" i="17"/>
  <c r="BJ744" i="17"/>
  <c r="BJ745" i="17"/>
  <c r="BJ746" i="17"/>
  <c r="BJ747" i="17"/>
  <c r="BJ748" i="17"/>
  <c r="BJ749" i="17"/>
  <c r="BJ750" i="17"/>
  <c r="BJ751" i="17"/>
  <c r="BJ752" i="17"/>
  <c r="BJ753" i="17"/>
  <c r="BJ754" i="17"/>
  <c r="BJ755" i="17"/>
  <c r="BJ756" i="17"/>
  <c r="BJ757" i="17"/>
  <c r="BJ758" i="17"/>
  <c r="BJ759" i="17"/>
  <c r="BJ760" i="17"/>
  <c r="BJ761" i="17"/>
  <c r="BJ762" i="17"/>
  <c r="BJ763" i="17"/>
  <c r="BJ764" i="17"/>
  <c r="BJ765" i="17"/>
  <c r="BJ766" i="17"/>
  <c r="BJ767" i="17"/>
  <c r="BJ768" i="17"/>
  <c r="BJ769" i="17"/>
  <c r="BJ770" i="17"/>
  <c r="BJ771" i="17"/>
  <c r="BJ772" i="17"/>
  <c r="BJ773" i="17"/>
  <c r="BJ774" i="17"/>
  <c r="BJ775" i="17"/>
  <c r="BJ776" i="17"/>
  <c r="BJ777" i="17"/>
  <c r="BJ778" i="17"/>
  <c r="BJ779" i="17"/>
  <c r="BJ780" i="17"/>
  <c r="BJ781" i="17"/>
  <c r="BJ782" i="17"/>
  <c r="BJ783" i="17"/>
  <c r="BJ784" i="17"/>
  <c r="BJ785" i="17"/>
  <c r="BJ786" i="17"/>
  <c r="BJ787" i="17"/>
  <c r="BJ788" i="17"/>
  <c r="BJ789" i="17"/>
  <c r="BJ790" i="17"/>
  <c r="BJ791" i="17"/>
  <c r="BJ792" i="17"/>
  <c r="BJ793" i="17"/>
  <c r="BJ794" i="17"/>
  <c r="BJ795" i="17"/>
  <c r="BJ796" i="17"/>
  <c r="BJ797" i="17"/>
  <c r="BJ798" i="17"/>
  <c r="BJ799" i="17"/>
  <c r="BJ800" i="17"/>
  <c r="BJ801" i="17"/>
  <c r="BJ802" i="17"/>
  <c r="BJ803" i="17"/>
  <c r="BJ804" i="17"/>
  <c r="BJ805" i="17"/>
  <c r="BJ806" i="17"/>
  <c r="BJ807" i="17"/>
  <c r="BJ808" i="17"/>
  <c r="BJ809" i="17"/>
  <c r="BJ810" i="17"/>
  <c r="BJ811" i="17"/>
  <c r="BJ812" i="17"/>
  <c r="BJ813" i="17"/>
  <c r="BJ814" i="17"/>
  <c r="BJ815" i="17"/>
  <c r="BJ816" i="17"/>
  <c r="BJ817" i="17"/>
  <c r="BJ818" i="17"/>
  <c r="BJ819" i="17"/>
  <c r="BJ820" i="17"/>
  <c r="BJ821" i="17"/>
  <c r="BJ822" i="17"/>
  <c r="BJ823" i="17"/>
  <c r="BJ824" i="17"/>
  <c r="BJ825" i="17"/>
  <c r="BJ826" i="17"/>
  <c r="BJ827" i="17"/>
  <c r="BJ828" i="17"/>
  <c r="BJ829" i="17"/>
  <c r="BJ830" i="17"/>
  <c r="BJ831" i="17"/>
  <c r="BJ832" i="17"/>
  <c r="BJ833" i="17"/>
  <c r="BJ834" i="17"/>
  <c r="BJ835" i="17"/>
  <c r="BJ836" i="17"/>
  <c r="BJ837" i="17"/>
  <c r="BJ838" i="17"/>
  <c r="BJ839" i="17"/>
  <c r="BJ840" i="17"/>
  <c r="BJ841" i="17"/>
  <c r="BJ842" i="17"/>
  <c r="BJ843" i="17"/>
  <c r="BJ844" i="17"/>
  <c r="BJ845" i="17"/>
  <c r="BJ846" i="17"/>
  <c r="BJ847" i="17"/>
  <c r="BJ848" i="17"/>
  <c r="BJ849" i="17"/>
  <c r="BJ850" i="17"/>
  <c r="BJ851" i="17"/>
  <c r="BJ852" i="17"/>
  <c r="BJ853" i="17"/>
  <c r="BJ854" i="17"/>
  <c r="BJ855" i="17"/>
  <c r="BJ856" i="17"/>
  <c r="BJ857" i="17"/>
  <c r="BJ858" i="17"/>
  <c r="BJ859" i="17"/>
  <c r="BJ860" i="17"/>
  <c r="BJ861" i="17"/>
  <c r="BJ862" i="17"/>
  <c r="BJ863" i="17"/>
  <c r="BJ864" i="17"/>
  <c r="BJ865" i="17"/>
  <c r="BJ866" i="17"/>
  <c r="BJ867" i="17"/>
  <c r="BJ868" i="17"/>
  <c r="BJ869" i="17"/>
  <c r="BJ870" i="17"/>
  <c r="BJ871" i="17"/>
  <c r="BJ872" i="17"/>
  <c r="BJ873" i="17"/>
  <c r="BJ874" i="17"/>
  <c r="BJ875" i="17"/>
  <c r="BJ876" i="17"/>
  <c r="BJ877" i="17"/>
  <c r="BJ878" i="17"/>
  <c r="BJ879" i="17"/>
  <c r="BJ880" i="17"/>
  <c r="BJ881" i="17"/>
  <c r="BJ882" i="17"/>
  <c r="BJ883" i="17"/>
  <c r="BJ884" i="17"/>
  <c r="BJ885" i="17"/>
  <c r="BJ886" i="17"/>
  <c r="BJ887" i="17"/>
  <c r="BJ888" i="17"/>
  <c r="BJ889" i="17"/>
  <c r="BJ890" i="17"/>
  <c r="BJ891" i="17"/>
  <c r="BJ892" i="17"/>
  <c r="BJ893" i="17"/>
  <c r="BJ894" i="17"/>
  <c r="BJ895" i="17"/>
  <c r="BJ896" i="17"/>
  <c r="BJ897" i="17"/>
  <c r="BJ898" i="17"/>
  <c r="BJ899" i="17"/>
  <c r="BJ900" i="17"/>
  <c r="BJ901" i="17"/>
  <c r="BJ902" i="17"/>
  <c r="BJ903" i="17"/>
  <c r="BJ904" i="17"/>
  <c r="BJ905" i="17"/>
  <c r="BJ906" i="17"/>
  <c r="BJ907" i="17"/>
  <c r="BJ908" i="17"/>
  <c r="BJ909" i="17"/>
  <c r="BJ910" i="17"/>
  <c r="BJ911" i="17"/>
  <c r="BJ912" i="17"/>
  <c r="BJ913" i="17"/>
  <c r="BJ914" i="17"/>
  <c r="BJ915" i="17"/>
  <c r="BJ916" i="17"/>
  <c r="BJ917" i="17"/>
  <c r="BJ918" i="17"/>
  <c r="BJ919" i="17"/>
  <c r="BJ920" i="17"/>
  <c r="BJ921" i="17"/>
  <c r="BJ922" i="17"/>
  <c r="BJ923" i="17"/>
  <c r="BJ924" i="17"/>
  <c r="BJ925" i="17"/>
  <c r="BJ926" i="17"/>
  <c r="BJ927" i="17"/>
  <c r="BJ928" i="17"/>
  <c r="BJ929" i="17"/>
  <c r="BJ930" i="17"/>
  <c r="BJ931" i="17"/>
  <c r="BJ932" i="17"/>
  <c r="BJ933" i="17"/>
  <c r="BJ934" i="17"/>
  <c r="BJ935" i="17"/>
  <c r="BJ936" i="17"/>
  <c r="BJ937" i="17"/>
  <c r="BJ938" i="17"/>
  <c r="BJ939" i="17"/>
  <c r="BJ940" i="17"/>
  <c r="BJ941" i="17"/>
  <c r="BJ942" i="17"/>
  <c r="BJ943" i="17"/>
  <c r="BJ944" i="17"/>
  <c r="BJ945" i="17"/>
  <c r="BJ946" i="17"/>
  <c r="BJ947" i="17"/>
  <c r="BJ948" i="17"/>
  <c r="BJ949" i="17"/>
  <c r="BJ950" i="17"/>
  <c r="BJ951" i="17"/>
  <c r="BJ952" i="17"/>
  <c r="BJ953" i="17"/>
  <c r="BJ954" i="17"/>
  <c r="BJ955" i="17"/>
  <c r="BJ956" i="17"/>
  <c r="BJ957" i="17"/>
  <c r="BJ958" i="17"/>
  <c r="BJ959" i="17"/>
  <c r="BJ960" i="17"/>
  <c r="BJ961" i="17"/>
  <c r="BJ962" i="17"/>
  <c r="BJ963" i="17"/>
  <c r="BJ964" i="17"/>
  <c r="BJ965" i="17"/>
  <c r="BJ966" i="17"/>
  <c r="BJ967" i="17"/>
  <c r="BJ968" i="17"/>
  <c r="BJ969" i="17"/>
  <c r="BJ970" i="17"/>
  <c r="BJ971" i="17"/>
  <c r="BJ972" i="17"/>
  <c r="BJ973" i="17"/>
  <c r="BJ974" i="17"/>
  <c r="BJ975" i="17"/>
  <c r="BJ976" i="17"/>
  <c r="BJ977" i="17"/>
  <c r="BJ978" i="17"/>
  <c r="BJ979" i="17"/>
  <c r="BJ980" i="17"/>
  <c r="BJ981" i="17"/>
  <c r="BJ982" i="17"/>
  <c r="BJ983" i="17"/>
  <c r="BJ984" i="17"/>
  <c r="BJ985" i="17"/>
  <c r="BJ986" i="17"/>
  <c r="BJ987" i="17"/>
  <c r="BJ988" i="17"/>
  <c r="BJ989" i="17"/>
  <c r="BJ990" i="17"/>
  <c r="BJ991" i="17"/>
  <c r="BJ992" i="17"/>
  <c r="BJ993" i="17"/>
  <c r="BJ994" i="17"/>
  <c r="BJ995" i="17"/>
  <c r="BJ996" i="17"/>
  <c r="BJ997" i="17"/>
  <c r="BJ998" i="17"/>
  <c r="BJ999" i="17"/>
  <c r="BJ1000" i="17"/>
  <c r="BJ1001" i="17"/>
  <c r="BJ1002" i="17"/>
  <c r="BJ1003" i="17"/>
  <c r="BJ1004" i="17"/>
  <c r="BJ1005" i="17"/>
  <c r="BJ1006" i="17"/>
  <c r="BJ1007" i="17"/>
  <c r="BJ1008" i="17"/>
  <c r="BJ1009" i="17"/>
  <c r="BJ1010" i="17"/>
  <c r="BJ1011" i="17"/>
  <c r="BJ1012" i="17"/>
  <c r="BJ1013" i="17"/>
  <c r="BJ1014" i="17"/>
  <c r="BJ1015" i="17"/>
  <c r="BJ1016" i="17"/>
  <c r="BJ1017" i="17"/>
  <c r="BJ1018" i="17"/>
  <c r="BJ1019" i="17"/>
  <c r="BJ1020" i="17"/>
  <c r="BJ1021" i="17"/>
  <c r="BJ1022" i="17"/>
  <c r="BJ1023" i="17"/>
  <c r="BJ1024" i="17"/>
  <c r="BJ1025" i="17"/>
  <c r="BJ1026" i="17"/>
  <c r="BJ1027" i="17"/>
  <c r="BJ1028" i="17"/>
  <c r="BJ1029" i="17"/>
  <c r="BJ1030" i="17"/>
  <c r="BJ1031" i="17"/>
  <c r="BJ1032" i="17"/>
  <c r="BJ1033" i="17"/>
  <c r="BJ1034" i="17"/>
  <c r="BJ1035" i="17"/>
  <c r="BJ1036" i="17"/>
  <c r="BJ1037" i="17"/>
  <c r="BJ1038" i="17"/>
  <c r="BJ1039" i="17"/>
  <c r="BJ1040" i="17"/>
  <c r="BJ1041" i="17"/>
  <c r="BJ1042" i="17"/>
  <c r="BJ1043" i="17"/>
  <c r="BJ1044" i="17"/>
  <c r="BJ1045" i="17"/>
  <c r="BJ1046" i="17"/>
  <c r="BJ1047" i="17"/>
  <c r="BJ1048" i="17"/>
  <c r="BJ1049" i="17"/>
  <c r="BJ1050" i="17"/>
  <c r="BJ1051" i="17"/>
  <c r="BJ1052" i="17"/>
  <c r="BJ1053" i="17"/>
  <c r="BJ1054" i="17"/>
  <c r="BJ1055" i="17"/>
  <c r="BJ1056" i="17"/>
  <c r="BJ1057" i="17"/>
  <c r="BJ1058" i="17"/>
  <c r="BJ1059" i="17"/>
  <c r="BJ1060" i="17"/>
  <c r="BJ1061" i="17"/>
  <c r="BJ1062" i="17"/>
  <c r="BJ1063" i="17"/>
  <c r="BJ1064" i="17"/>
  <c r="BJ1065" i="17"/>
  <c r="BJ1066" i="17"/>
  <c r="BJ1067" i="17"/>
  <c r="BJ1068" i="17"/>
  <c r="BJ1069" i="17"/>
  <c r="BJ1070" i="17"/>
  <c r="BJ1071" i="17"/>
  <c r="BJ1072" i="17"/>
  <c r="BJ1073" i="17"/>
  <c r="BJ1074" i="17"/>
  <c r="BJ1075" i="17"/>
  <c r="BJ1076" i="17"/>
  <c r="BJ1077" i="17"/>
  <c r="BJ1078" i="17"/>
  <c r="BJ1079" i="17"/>
  <c r="BJ1080" i="17"/>
  <c r="BJ1081" i="17"/>
  <c r="BJ1082" i="17"/>
  <c r="BJ1083" i="17"/>
  <c r="BJ1084" i="17"/>
  <c r="BJ1085" i="17"/>
  <c r="BJ1086" i="17"/>
  <c r="BJ1087" i="17"/>
  <c r="BJ1088" i="17"/>
  <c r="BJ1089" i="17"/>
  <c r="BJ1090" i="17"/>
  <c r="BJ1091" i="17"/>
  <c r="BJ1092" i="17"/>
  <c r="BJ1093" i="17"/>
  <c r="BJ1094" i="17"/>
  <c r="BJ1095" i="17"/>
  <c r="BJ1096" i="17"/>
  <c r="BJ1097" i="17"/>
  <c r="BJ1098" i="17"/>
  <c r="BJ1099" i="17"/>
  <c r="BJ1100" i="17"/>
  <c r="BJ1101" i="17"/>
  <c r="BJ1102" i="17"/>
  <c r="BJ1103" i="17"/>
  <c r="BJ1104" i="17"/>
  <c r="BJ1105" i="17"/>
  <c r="BJ1106" i="17"/>
  <c r="BJ1107" i="17"/>
  <c r="BJ1108" i="17"/>
  <c r="BJ1109" i="17"/>
  <c r="BJ1110" i="17"/>
  <c r="BJ1111" i="17"/>
  <c r="BJ1112" i="17"/>
  <c r="BJ1113" i="17"/>
  <c r="BJ1114" i="17"/>
  <c r="BJ1115" i="17"/>
  <c r="BJ1116" i="17"/>
  <c r="BJ1117" i="17"/>
  <c r="BJ1118" i="17"/>
  <c r="BJ1119" i="17"/>
  <c r="BJ1120" i="17"/>
  <c r="BJ1121" i="17"/>
  <c r="BJ1122" i="17"/>
  <c r="BJ1123" i="17"/>
  <c r="BJ1124" i="17"/>
  <c r="BJ1125" i="17"/>
  <c r="BJ1126" i="17"/>
  <c r="BJ1127" i="17"/>
  <c r="BJ1128" i="17"/>
  <c r="BJ1129" i="17"/>
  <c r="BJ1130" i="17"/>
  <c r="BJ1131" i="17"/>
  <c r="BJ1132" i="17"/>
  <c r="BJ1133" i="17"/>
  <c r="BJ1134" i="17"/>
  <c r="BJ1135" i="17"/>
  <c r="BJ1136" i="17"/>
  <c r="BJ1137" i="17"/>
  <c r="BJ1138" i="17"/>
  <c r="BJ1139" i="17"/>
  <c r="BJ1140" i="17"/>
  <c r="BJ1141" i="17"/>
  <c r="BJ1142" i="17"/>
  <c r="BJ1143" i="17"/>
  <c r="BJ1144" i="17"/>
  <c r="BJ1145" i="17"/>
  <c r="BJ1146" i="17"/>
  <c r="BJ1147" i="17"/>
  <c r="BJ1148" i="17"/>
  <c r="BJ1149" i="17"/>
  <c r="BJ1150" i="17"/>
  <c r="BJ1151" i="17"/>
  <c r="BJ1152" i="17"/>
  <c r="BJ1153" i="17"/>
  <c r="BJ1154" i="17"/>
  <c r="BJ1155" i="17"/>
  <c r="BJ1156" i="17"/>
  <c r="BJ1157" i="17"/>
  <c r="BJ1158" i="17"/>
  <c r="BJ1159" i="17"/>
  <c r="BJ1160" i="17"/>
  <c r="BJ1161" i="17"/>
  <c r="BJ1162" i="17"/>
  <c r="BJ1163" i="17"/>
  <c r="BJ1164" i="17"/>
  <c r="BJ1165" i="17"/>
  <c r="BJ1166" i="17"/>
  <c r="BJ1167" i="17"/>
  <c r="BJ1168" i="17"/>
  <c r="BJ1169" i="17"/>
  <c r="BJ1170" i="17"/>
  <c r="BJ1171" i="17"/>
  <c r="BJ1172" i="17"/>
  <c r="BJ1173" i="17"/>
  <c r="BJ1174" i="17"/>
  <c r="BG3" i="17" l="1"/>
  <c r="BG4" i="17"/>
  <c r="BG5" i="17"/>
  <c r="BI5" i="17" s="1"/>
  <c r="BG6" i="17"/>
  <c r="BG7" i="17"/>
  <c r="BG8" i="17"/>
  <c r="BG9" i="17"/>
  <c r="BG10" i="17"/>
  <c r="BG11" i="17"/>
  <c r="BG12" i="17"/>
  <c r="BG13" i="17"/>
  <c r="BG14" i="17"/>
  <c r="BG15" i="17"/>
  <c r="BG16" i="17"/>
  <c r="BI16" i="17" s="1"/>
  <c r="BG17" i="17"/>
  <c r="BI17" i="17" s="1"/>
  <c r="BG18" i="17"/>
  <c r="BG19" i="17"/>
  <c r="BG20" i="17"/>
  <c r="BG21" i="17"/>
  <c r="BG22" i="17"/>
  <c r="BG23" i="17"/>
  <c r="BG24" i="17"/>
  <c r="BG25" i="17"/>
  <c r="BG26" i="17"/>
  <c r="BI26" i="17" s="1"/>
  <c r="BG27" i="17"/>
  <c r="BG28" i="17"/>
  <c r="BG29" i="17"/>
  <c r="BG30" i="17"/>
  <c r="BG31" i="17"/>
  <c r="BG32" i="17"/>
  <c r="BG33" i="17"/>
  <c r="BG34" i="17"/>
  <c r="BI34" i="17" s="1"/>
  <c r="BG35" i="17"/>
  <c r="BI35" i="17" s="1"/>
  <c r="BG36" i="17"/>
  <c r="BG37" i="17"/>
  <c r="BG38" i="17"/>
  <c r="BG39" i="17"/>
  <c r="BG40" i="17"/>
  <c r="BG41" i="17"/>
  <c r="BG42" i="17"/>
  <c r="BI42" i="17" s="1"/>
  <c r="BG43" i="17"/>
  <c r="BI43" i="17" s="1"/>
  <c r="BG44" i="17"/>
  <c r="BI44" i="17" s="1"/>
  <c r="BG45" i="17"/>
  <c r="BG46" i="17"/>
  <c r="BG47" i="17"/>
  <c r="BG48" i="17"/>
  <c r="BG49" i="17"/>
  <c r="BG50" i="17"/>
  <c r="BG51" i="17"/>
  <c r="BI51" i="17" s="1"/>
  <c r="BG52" i="17"/>
  <c r="BI52" i="17" s="1"/>
  <c r="BG53" i="17"/>
  <c r="BI53" i="17" s="1"/>
  <c r="BG54" i="17"/>
  <c r="BG55" i="17"/>
  <c r="BG56" i="17"/>
  <c r="BG57" i="17"/>
  <c r="BG58" i="17"/>
  <c r="BG59" i="17"/>
  <c r="BG60" i="17"/>
  <c r="BI60" i="17" s="1"/>
  <c r="BG61" i="17"/>
  <c r="BI61" i="17" s="1"/>
  <c r="BG62" i="17"/>
  <c r="BG63" i="17"/>
  <c r="BI63" i="17" s="1"/>
  <c r="BG64" i="17"/>
  <c r="BG65" i="17"/>
  <c r="BG66" i="17"/>
  <c r="BG67" i="17"/>
  <c r="BG68" i="17"/>
  <c r="BG69" i="17"/>
  <c r="BI69" i="17" s="1"/>
  <c r="BG70" i="17"/>
  <c r="BG71" i="17"/>
  <c r="BG72" i="17"/>
  <c r="BG73" i="17"/>
  <c r="BG74" i="17"/>
  <c r="BG75" i="17"/>
  <c r="BG76" i="17"/>
  <c r="BG77" i="17"/>
  <c r="BG78" i="17"/>
  <c r="BG79" i="17"/>
  <c r="BG80" i="17"/>
  <c r="BG81" i="17"/>
  <c r="BG82" i="17"/>
  <c r="BG83" i="17"/>
  <c r="BG84" i="17"/>
  <c r="BG85" i="17"/>
  <c r="BG86" i="17"/>
  <c r="BG87" i="17"/>
  <c r="BG88" i="17"/>
  <c r="BG89" i="17"/>
  <c r="BI89" i="17" s="1"/>
  <c r="BG90" i="17"/>
  <c r="BI90" i="17" s="1"/>
  <c r="BG91" i="17"/>
  <c r="BG92" i="17"/>
  <c r="BG93" i="17"/>
  <c r="BG94" i="17"/>
  <c r="BG95" i="17"/>
  <c r="BG96" i="17"/>
  <c r="BG97" i="17"/>
  <c r="BG98" i="17"/>
  <c r="BI98" i="17" s="1"/>
  <c r="BG99" i="17"/>
  <c r="BI99" i="17" s="1"/>
  <c r="BG100" i="17"/>
  <c r="BG101" i="17"/>
  <c r="BG102" i="17"/>
  <c r="BG103" i="17"/>
  <c r="BG104" i="17"/>
  <c r="BG105" i="17"/>
  <c r="BG106" i="17"/>
  <c r="BI106" i="17" s="1"/>
  <c r="BG107" i="17"/>
  <c r="BI107" i="17" s="1"/>
  <c r="BG108" i="17"/>
  <c r="BI108" i="17" s="1"/>
  <c r="BG109" i="17"/>
  <c r="BG110" i="17"/>
  <c r="BG111" i="17"/>
  <c r="BG112" i="17"/>
  <c r="BG113" i="17"/>
  <c r="BI113" i="17" s="1"/>
  <c r="BG114" i="17"/>
  <c r="BG115" i="17"/>
  <c r="BI115" i="17" s="1"/>
  <c r="BG116" i="17"/>
  <c r="BI116" i="17" s="1"/>
  <c r="BG117" i="17"/>
  <c r="BI117" i="17" s="1"/>
  <c r="BG118" i="17"/>
  <c r="BG119" i="17"/>
  <c r="BG120" i="17"/>
  <c r="BG121" i="17"/>
  <c r="BG122" i="17"/>
  <c r="BI122" i="17" s="1"/>
  <c r="BG123" i="17"/>
  <c r="BG124" i="17"/>
  <c r="BI124" i="17" s="1"/>
  <c r="BG125" i="17"/>
  <c r="BI125" i="17" s="1"/>
  <c r="BG126" i="17"/>
  <c r="BG127" i="17"/>
  <c r="BG128" i="17"/>
  <c r="BG129" i="17"/>
  <c r="BG130" i="17"/>
  <c r="BG131" i="17"/>
  <c r="BI131" i="17" s="1"/>
  <c r="BG132" i="17"/>
  <c r="BG133" i="17"/>
  <c r="BI133" i="17" s="1"/>
  <c r="BG134" i="17"/>
  <c r="BG135" i="17"/>
  <c r="BG136" i="17"/>
  <c r="BG137" i="17"/>
  <c r="BG138" i="17"/>
  <c r="BG139" i="17"/>
  <c r="BG140" i="17"/>
  <c r="BI140" i="17" s="1"/>
  <c r="BG141" i="17"/>
  <c r="BG142" i="17"/>
  <c r="BG143" i="17"/>
  <c r="BG144" i="17"/>
  <c r="BG145" i="17"/>
  <c r="BG146" i="17"/>
  <c r="BG147" i="17"/>
  <c r="BG148" i="17"/>
  <c r="BG149" i="17"/>
  <c r="BI149" i="17" s="1"/>
  <c r="BG150" i="17"/>
  <c r="BG151" i="17"/>
  <c r="BG152" i="17"/>
  <c r="BI152" i="17" s="1"/>
  <c r="BG153" i="17"/>
  <c r="BG154" i="17"/>
  <c r="BI154" i="17" s="1"/>
  <c r="BG155" i="17"/>
  <c r="BG156" i="17"/>
  <c r="BG157" i="17"/>
  <c r="BG158" i="17"/>
  <c r="BI158" i="17" s="1"/>
  <c r="BG159" i="17"/>
  <c r="BG160" i="17"/>
  <c r="BG161" i="17"/>
  <c r="BG162" i="17"/>
  <c r="BI162" i="17" s="1"/>
  <c r="BG163" i="17"/>
  <c r="BG164" i="17"/>
  <c r="BG165" i="17"/>
  <c r="BG166" i="17"/>
  <c r="BI166" i="17" s="1"/>
  <c r="BG167" i="17"/>
  <c r="BG168" i="17"/>
  <c r="BI168" i="17" s="1"/>
  <c r="BG169" i="17"/>
  <c r="BG170" i="17"/>
  <c r="BI170" i="17" s="1"/>
  <c r="BG171" i="17"/>
  <c r="BG172" i="17"/>
  <c r="BG173" i="17"/>
  <c r="BG174" i="17"/>
  <c r="BI174" i="17" s="1"/>
  <c r="BG175" i="17"/>
  <c r="BG176" i="17"/>
  <c r="BG177" i="17"/>
  <c r="BG178" i="17"/>
  <c r="BI178" i="17" s="1"/>
  <c r="BG179" i="17"/>
  <c r="BG180" i="17"/>
  <c r="BG181" i="17"/>
  <c r="BG182" i="17"/>
  <c r="BI182" i="17" s="1"/>
  <c r="BG183" i="17"/>
  <c r="BG184" i="17"/>
  <c r="BI184" i="17" s="1"/>
  <c r="BG185" i="17"/>
  <c r="BG186" i="17"/>
  <c r="BI186" i="17" s="1"/>
  <c r="BG187" i="17"/>
  <c r="BG188" i="17"/>
  <c r="BG189" i="17"/>
  <c r="BG190" i="17"/>
  <c r="BH190" i="17" s="1"/>
  <c r="BG191" i="17"/>
  <c r="BG192" i="17"/>
  <c r="BG193" i="17"/>
  <c r="BG194" i="17"/>
  <c r="BI194" i="17" s="1"/>
  <c r="BG195" i="17"/>
  <c r="BG196" i="17"/>
  <c r="BG197" i="17"/>
  <c r="BG198" i="17"/>
  <c r="BI198" i="17" s="1"/>
  <c r="BG199" i="17"/>
  <c r="BG200" i="17"/>
  <c r="BI200" i="17" s="1"/>
  <c r="BG201" i="17"/>
  <c r="BG202" i="17"/>
  <c r="BI202" i="17" s="1"/>
  <c r="BG203" i="17"/>
  <c r="BG204" i="17"/>
  <c r="BG205" i="17"/>
  <c r="BG206" i="17"/>
  <c r="BI206" i="17" s="1"/>
  <c r="BG207" i="17"/>
  <c r="BG208" i="17"/>
  <c r="BH208" i="17" s="1"/>
  <c r="BG209" i="17"/>
  <c r="BG210" i="17"/>
  <c r="BI210" i="17" s="1"/>
  <c r="BG211" i="17"/>
  <c r="BG212" i="17"/>
  <c r="BG213" i="17"/>
  <c r="BG214" i="17"/>
  <c r="BI214" i="17" s="1"/>
  <c r="BG215" i="17"/>
  <c r="BG216" i="17"/>
  <c r="BI216" i="17" s="1"/>
  <c r="BG217" i="17"/>
  <c r="BG218" i="17"/>
  <c r="BI218" i="17" s="1"/>
  <c r="BG219" i="17"/>
  <c r="BG220" i="17"/>
  <c r="BG221" i="17"/>
  <c r="BG222" i="17"/>
  <c r="BI222" i="17" s="1"/>
  <c r="BG223" i="17"/>
  <c r="BG224" i="17"/>
  <c r="BG225" i="17"/>
  <c r="BG226" i="17"/>
  <c r="BI226" i="17" s="1"/>
  <c r="BG227" i="17"/>
  <c r="BG228" i="17"/>
  <c r="BG229" i="17"/>
  <c r="BG230" i="17"/>
  <c r="BI230" i="17" s="1"/>
  <c r="BG231" i="17"/>
  <c r="BG232" i="17"/>
  <c r="BI232" i="17" s="1"/>
  <c r="BG233" i="17"/>
  <c r="BG234" i="17"/>
  <c r="BI234" i="17" s="1"/>
  <c r="BG235" i="17"/>
  <c r="BG236" i="17"/>
  <c r="BG237" i="17"/>
  <c r="BG238" i="17"/>
  <c r="BI238" i="17" s="1"/>
  <c r="BG239" i="17"/>
  <c r="BG240" i="17"/>
  <c r="BG241" i="17"/>
  <c r="BG242" i="17"/>
  <c r="BI242" i="17" s="1"/>
  <c r="BG243" i="17"/>
  <c r="BG244" i="17"/>
  <c r="BG245" i="17"/>
  <c r="BG246" i="17"/>
  <c r="BI246" i="17" s="1"/>
  <c r="BG247" i="17"/>
  <c r="BG248" i="17"/>
  <c r="BI248" i="17" s="1"/>
  <c r="BG249" i="17"/>
  <c r="BG250" i="17"/>
  <c r="BI250" i="17" s="1"/>
  <c r="BG251" i="17"/>
  <c r="BG252" i="17"/>
  <c r="BG253" i="17"/>
  <c r="BG254" i="17"/>
  <c r="BI254" i="17" s="1"/>
  <c r="BG255" i="17"/>
  <c r="BG256" i="17"/>
  <c r="BG257" i="17"/>
  <c r="BG258" i="17"/>
  <c r="BI258" i="17" s="1"/>
  <c r="BG259" i="17"/>
  <c r="BG260" i="17"/>
  <c r="BG261" i="17"/>
  <c r="BG262" i="17"/>
  <c r="BI262" i="17" s="1"/>
  <c r="BG263" i="17"/>
  <c r="BG264" i="17"/>
  <c r="BI264" i="17" s="1"/>
  <c r="BG265" i="17"/>
  <c r="BG266" i="17"/>
  <c r="BI266" i="17" s="1"/>
  <c r="BG267" i="17"/>
  <c r="BG268" i="17"/>
  <c r="BG269" i="17"/>
  <c r="BI269" i="17" s="1"/>
  <c r="BG270" i="17"/>
  <c r="BI270" i="17" s="1"/>
  <c r="BG271" i="17"/>
  <c r="BG272" i="17"/>
  <c r="BG273" i="17"/>
  <c r="BG274" i="17"/>
  <c r="BI274" i="17" s="1"/>
  <c r="BG275" i="17"/>
  <c r="BG276" i="17"/>
  <c r="BG277" i="17"/>
  <c r="BI277" i="17" s="1"/>
  <c r="BG278" i="17"/>
  <c r="BI278" i="17" s="1"/>
  <c r="BG279" i="17"/>
  <c r="BG280" i="17"/>
  <c r="BG281" i="17"/>
  <c r="BG282" i="17"/>
  <c r="BI282" i="17" s="1"/>
  <c r="BG283" i="17"/>
  <c r="BG284" i="17"/>
  <c r="BG285" i="17"/>
  <c r="BI285" i="17" s="1"/>
  <c r="BG286" i="17"/>
  <c r="BI286" i="17" s="1"/>
  <c r="BG287" i="17"/>
  <c r="BG288" i="17"/>
  <c r="BI288" i="17" s="1"/>
  <c r="BG289" i="17"/>
  <c r="BI289" i="17" s="1"/>
  <c r="BG290" i="17"/>
  <c r="BI290" i="17" s="1"/>
  <c r="BG291" i="17"/>
  <c r="BG292" i="17"/>
  <c r="BG293" i="17"/>
  <c r="BI293" i="17" s="1"/>
  <c r="BG294" i="17"/>
  <c r="BI294" i="17" s="1"/>
  <c r="BG295" i="17"/>
  <c r="BG296" i="17"/>
  <c r="BG297" i="17"/>
  <c r="BG298" i="17"/>
  <c r="BI298" i="17" s="1"/>
  <c r="BG299" i="17"/>
  <c r="BG300" i="17"/>
  <c r="BG301" i="17"/>
  <c r="BI301" i="17" s="1"/>
  <c r="BG302" i="17"/>
  <c r="BI302" i="17" s="1"/>
  <c r="BG303" i="17"/>
  <c r="BG304" i="17"/>
  <c r="BG305" i="17"/>
  <c r="BG306" i="17"/>
  <c r="BI306" i="17" s="1"/>
  <c r="BG307" i="17"/>
  <c r="BG308" i="17"/>
  <c r="BG309" i="17"/>
  <c r="BI309" i="17" s="1"/>
  <c r="BG310" i="17"/>
  <c r="BI310" i="17" s="1"/>
  <c r="BG311" i="17"/>
  <c r="BG312" i="17"/>
  <c r="BG313" i="17"/>
  <c r="BI313" i="17" s="1"/>
  <c r="BG314" i="17"/>
  <c r="BI314" i="17" s="1"/>
  <c r="BG315" i="17"/>
  <c r="BG316" i="17"/>
  <c r="BG317" i="17"/>
  <c r="BI317" i="17" s="1"/>
  <c r="BG318" i="17"/>
  <c r="BI318" i="17" s="1"/>
  <c r="BG319" i="17"/>
  <c r="BG320" i="17"/>
  <c r="BG321" i="17"/>
  <c r="BG322" i="17"/>
  <c r="BI322" i="17" s="1"/>
  <c r="BG323" i="17"/>
  <c r="BG324" i="17"/>
  <c r="BG325" i="17"/>
  <c r="BI325" i="17" s="1"/>
  <c r="BG326" i="17"/>
  <c r="BI326" i="17" s="1"/>
  <c r="BG327" i="17"/>
  <c r="BG328" i="17"/>
  <c r="BI328" i="17" s="1"/>
  <c r="BG329" i="17"/>
  <c r="BG330" i="17"/>
  <c r="BI330" i="17" s="1"/>
  <c r="BG331" i="17"/>
  <c r="BG332" i="17"/>
  <c r="BG333" i="17"/>
  <c r="BI333" i="17" s="1"/>
  <c r="BG334" i="17"/>
  <c r="BI334" i="17" s="1"/>
  <c r="BG335" i="17"/>
  <c r="BG336" i="17"/>
  <c r="BG337" i="17"/>
  <c r="BI337" i="17" s="1"/>
  <c r="BG338" i="17"/>
  <c r="BI338" i="17" s="1"/>
  <c r="BG339" i="17"/>
  <c r="BI339" i="17" s="1"/>
  <c r="BG340" i="17"/>
  <c r="BG341" i="17"/>
  <c r="BI341" i="17" s="1"/>
  <c r="BG342" i="17"/>
  <c r="BI342" i="17" s="1"/>
  <c r="BG343" i="17"/>
  <c r="BG344" i="17"/>
  <c r="BG345" i="17"/>
  <c r="BG346" i="17"/>
  <c r="BI346" i="17" s="1"/>
  <c r="BG347" i="17"/>
  <c r="BI347" i="17" s="1"/>
  <c r="BG348" i="17"/>
  <c r="BG349" i="17"/>
  <c r="BI349" i="17" s="1"/>
  <c r="BG350" i="17"/>
  <c r="BI350" i="17" s="1"/>
  <c r="BG351" i="17"/>
  <c r="BG352" i="17"/>
  <c r="BG353" i="17"/>
  <c r="BG354" i="17"/>
  <c r="BI354" i="17" s="1"/>
  <c r="BG355" i="17"/>
  <c r="BI355" i="17" s="1"/>
  <c r="BG356" i="17"/>
  <c r="BG357" i="17"/>
  <c r="BI357" i="17" s="1"/>
  <c r="BG358" i="17"/>
  <c r="BI358" i="17" s="1"/>
  <c r="BG359" i="17"/>
  <c r="BG360" i="17"/>
  <c r="BG361" i="17"/>
  <c r="BG362" i="17"/>
  <c r="BI362" i="17" s="1"/>
  <c r="BG363" i="17"/>
  <c r="BI363" i="17" s="1"/>
  <c r="BG364" i="17"/>
  <c r="BG365" i="17"/>
  <c r="BI365" i="17" s="1"/>
  <c r="BG366" i="17"/>
  <c r="BI366" i="17" s="1"/>
  <c r="BG367" i="17"/>
  <c r="BG368" i="17"/>
  <c r="BG369" i="17"/>
  <c r="BH369" i="17" s="1"/>
  <c r="BG370" i="17"/>
  <c r="BI370" i="17" s="1"/>
  <c r="BG371" i="17"/>
  <c r="BI371" i="17" s="1"/>
  <c r="BG372" i="17"/>
  <c r="BG373" i="17"/>
  <c r="BI373" i="17" s="1"/>
  <c r="BG374" i="17"/>
  <c r="BI374" i="17" s="1"/>
  <c r="BG375" i="17"/>
  <c r="BI375" i="17" s="1"/>
  <c r="BG376" i="17"/>
  <c r="BG377" i="17"/>
  <c r="BG378" i="17"/>
  <c r="BI378" i="17" s="1"/>
  <c r="BG379" i="17"/>
  <c r="BI379" i="17" s="1"/>
  <c r="BG380" i="17"/>
  <c r="BG381" i="17"/>
  <c r="BI381" i="17" s="1"/>
  <c r="BG382" i="17"/>
  <c r="BI382" i="17" s="1"/>
  <c r="BG383" i="17"/>
  <c r="BI383" i="17" s="1"/>
  <c r="BG384" i="17"/>
  <c r="BI384" i="17" s="1"/>
  <c r="BG385" i="17"/>
  <c r="BG386" i="17"/>
  <c r="BI386" i="17" s="1"/>
  <c r="BG387" i="17"/>
  <c r="BI387" i="17" s="1"/>
  <c r="BG388" i="17"/>
  <c r="BG389" i="17"/>
  <c r="BI389" i="17" s="1"/>
  <c r="BG390" i="17"/>
  <c r="BI390" i="17" s="1"/>
  <c r="BG391" i="17"/>
  <c r="BG392" i="17"/>
  <c r="BI392" i="17" s="1"/>
  <c r="BG393" i="17"/>
  <c r="BI393" i="17" s="1"/>
  <c r="BG394" i="17"/>
  <c r="BI394" i="17" s="1"/>
  <c r="BG395" i="17"/>
  <c r="BI395" i="17" s="1"/>
  <c r="BG396" i="17"/>
  <c r="BI396" i="17" s="1"/>
  <c r="BG397" i="17"/>
  <c r="BI397" i="17" s="1"/>
  <c r="BG398" i="17"/>
  <c r="BI398" i="17" s="1"/>
  <c r="BG399" i="17"/>
  <c r="BG400" i="17"/>
  <c r="BI400" i="17" s="1"/>
  <c r="BG401" i="17"/>
  <c r="BI401" i="17" s="1"/>
  <c r="BG402" i="17"/>
  <c r="BI402" i="17" s="1"/>
  <c r="BG403" i="17"/>
  <c r="BI403" i="17" s="1"/>
  <c r="BG404" i="17"/>
  <c r="BI404" i="17" s="1"/>
  <c r="BG405" i="17"/>
  <c r="BI405" i="17" s="1"/>
  <c r="BG406" i="17"/>
  <c r="BI406" i="17" s="1"/>
  <c r="BG407" i="17"/>
  <c r="BG408" i="17"/>
  <c r="BI408" i="17" s="1"/>
  <c r="BG409" i="17"/>
  <c r="BI409" i="17" s="1"/>
  <c r="BG410" i="17"/>
  <c r="BI410" i="17" s="1"/>
  <c r="BG411" i="17"/>
  <c r="BI411" i="17" s="1"/>
  <c r="BG412" i="17"/>
  <c r="BI412" i="17" s="1"/>
  <c r="BG413" i="17"/>
  <c r="BI413" i="17" s="1"/>
  <c r="BG414" i="17"/>
  <c r="BI414" i="17" s="1"/>
  <c r="BG415" i="17"/>
  <c r="BG416" i="17"/>
  <c r="BI416" i="17" s="1"/>
  <c r="BG417" i="17"/>
  <c r="BI417" i="17" s="1"/>
  <c r="BG418" i="17"/>
  <c r="BI418" i="17" s="1"/>
  <c r="BG419" i="17"/>
  <c r="BI419" i="17" s="1"/>
  <c r="BG420" i="17"/>
  <c r="BI420" i="17" s="1"/>
  <c r="BG421" i="17"/>
  <c r="BI421" i="17" s="1"/>
  <c r="BG422" i="17"/>
  <c r="BI422" i="17" s="1"/>
  <c r="BG423" i="17"/>
  <c r="BG424" i="17"/>
  <c r="BI424" i="17" s="1"/>
  <c r="BG425" i="17"/>
  <c r="BI425" i="17" s="1"/>
  <c r="BG426" i="17"/>
  <c r="BI426" i="17" s="1"/>
  <c r="BG427" i="17"/>
  <c r="BI427" i="17" s="1"/>
  <c r="BG428" i="17"/>
  <c r="BI428" i="17" s="1"/>
  <c r="BG429" i="17"/>
  <c r="BI429" i="17" s="1"/>
  <c r="BG430" i="17"/>
  <c r="BI430" i="17" s="1"/>
  <c r="BG431" i="17"/>
  <c r="BG432" i="17"/>
  <c r="BI432" i="17" s="1"/>
  <c r="BG433" i="17"/>
  <c r="BI433" i="17" s="1"/>
  <c r="BG434" i="17"/>
  <c r="BI434" i="17" s="1"/>
  <c r="BG435" i="17"/>
  <c r="BI435" i="17" s="1"/>
  <c r="BG436" i="17"/>
  <c r="BI436" i="17" s="1"/>
  <c r="BG437" i="17"/>
  <c r="BH437" i="17" s="1"/>
  <c r="BG438" i="17"/>
  <c r="BI438" i="17" s="1"/>
  <c r="BG439" i="17"/>
  <c r="BG440" i="17"/>
  <c r="BI440" i="17" s="1"/>
  <c r="BG441" i="17"/>
  <c r="BI441" i="17" s="1"/>
  <c r="BG442" i="17"/>
  <c r="BI442" i="17" s="1"/>
  <c r="BG443" i="17"/>
  <c r="BI443" i="17" s="1"/>
  <c r="BG444" i="17"/>
  <c r="BI444" i="17" s="1"/>
  <c r="BG445" i="17"/>
  <c r="BI445" i="17" s="1"/>
  <c r="BG446" i="17"/>
  <c r="BI446" i="17" s="1"/>
  <c r="BG447" i="17"/>
  <c r="BG448" i="17"/>
  <c r="BI448" i="17" s="1"/>
  <c r="BG449" i="17"/>
  <c r="BI449" i="17" s="1"/>
  <c r="BG450" i="17"/>
  <c r="BI450" i="17" s="1"/>
  <c r="BG451" i="17"/>
  <c r="BI451" i="17" s="1"/>
  <c r="BG452" i="17"/>
  <c r="BI452" i="17" s="1"/>
  <c r="BG453" i="17"/>
  <c r="BI453" i="17" s="1"/>
  <c r="BG454" i="17"/>
  <c r="BI454" i="17" s="1"/>
  <c r="BG455" i="17"/>
  <c r="BG456" i="17"/>
  <c r="BI456" i="17" s="1"/>
  <c r="BG457" i="17"/>
  <c r="BI457" i="17" s="1"/>
  <c r="BG458" i="17"/>
  <c r="BI458" i="17" s="1"/>
  <c r="BG459" i="17"/>
  <c r="BI459" i="17" s="1"/>
  <c r="BG460" i="17"/>
  <c r="BI460" i="17" s="1"/>
  <c r="BG461" i="17"/>
  <c r="BI461" i="17" s="1"/>
  <c r="BG462" i="17"/>
  <c r="BI462" i="17" s="1"/>
  <c r="BG463" i="17"/>
  <c r="BG464" i="17"/>
  <c r="BI464" i="17" s="1"/>
  <c r="BG465" i="17"/>
  <c r="BI465" i="17" s="1"/>
  <c r="BG466" i="17"/>
  <c r="BI466" i="17" s="1"/>
  <c r="BG467" i="17"/>
  <c r="BI467" i="17" s="1"/>
  <c r="BG468" i="17"/>
  <c r="BI468" i="17" s="1"/>
  <c r="BG469" i="17"/>
  <c r="BI469" i="17" s="1"/>
  <c r="BG470" i="17"/>
  <c r="BI470" i="17" s="1"/>
  <c r="BG471" i="17"/>
  <c r="BG472" i="17"/>
  <c r="BI472" i="17" s="1"/>
  <c r="BG473" i="17"/>
  <c r="BI473" i="17" s="1"/>
  <c r="BG474" i="17"/>
  <c r="BI474" i="17" s="1"/>
  <c r="BG475" i="17"/>
  <c r="BI475" i="17" s="1"/>
  <c r="BG476" i="17"/>
  <c r="BI476" i="17" s="1"/>
  <c r="BG477" i="17"/>
  <c r="BH477" i="17" s="1"/>
  <c r="BG478" i="17"/>
  <c r="BI478" i="17" s="1"/>
  <c r="BG479" i="17"/>
  <c r="BG480" i="17"/>
  <c r="BI480" i="17" s="1"/>
  <c r="BG481" i="17"/>
  <c r="BI481" i="17" s="1"/>
  <c r="BG482" i="17"/>
  <c r="BI482" i="17" s="1"/>
  <c r="BG483" i="17"/>
  <c r="BI483" i="17" s="1"/>
  <c r="BG484" i="17"/>
  <c r="BI484" i="17" s="1"/>
  <c r="BG485" i="17"/>
  <c r="BH485" i="17" s="1"/>
  <c r="BG486" i="17"/>
  <c r="BI486" i="17" s="1"/>
  <c r="BG487" i="17"/>
  <c r="BG488" i="17"/>
  <c r="BI488" i="17" s="1"/>
  <c r="BG489" i="17"/>
  <c r="BI489" i="17" s="1"/>
  <c r="BG490" i="17"/>
  <c r="BI490" i="17" s="1"/>
  <c r="BG491" i="17"/>
  <c r="BI491" i="17" s="1"/>
  <c r="BG492" i="17"/>
  <c r="BI492" i="17" s="1"/>
  <c r="BG493" i="17"/>
  <c r="BI493" i="17" s="1"/>
  <c r="BG494" i="17"/>
  <c r="BI494" i="17" s="1"/>
  <c r="BG495" i="17"/>
  <c r="BG496" i="17"/>
  <c r="BI496" i="17" s="1"/>
  <c r="BG497" i="17"/>
  <c r="BI497" i="17" s="1"/>
  <c r="BG498" i="17"/>
  <c r="BI498" i="17" s="1"/>
  <c r="BG499" i="17"/>
  <c r="BI499" i="17" s="1"/>
  <c r="BG500" i="17"/>
  <c r="BI500" i="17" s="1"/>
  <c r="BG501" i="17"/>
  <c r="BI501" i="17" s="1"/>
  <c r="BG502" i="17"/>
  <c r="BI502" i="17" s="1"/>
  <c r="BG503" i="17"/>
  <c r="BG504" i="17"/>
  <c r="BI504" i="17" s="1"/>
  <c r="BG505" i="17"/>
  <c r="BI505" i="17" s="1"/>
  <c r="BG506" i="17"/>
  <c r="BI506" i="17" s="1"/>
  <c r="BG507" i="17"/>
  <c r="BI507" i="17" s="1"/>
  <c r="BG508" i="17"/>
  <c r="BI508" i="17" s="1"/>
  <c r="BG509" i="17"/>
  <c r="BI509" i="17" s="1"/>
  <c r="BG510" i="17"/>
  <c r="BI510" i="17" s="1"/>
  <c r="BG511" i="17"/>
  <c r="BG512" i="17"/>
  <c r="BI512" i="17" s="1"/>
  <c r="BG513" i="17"/>
  <c r="BI513" i="17" s="1"/>
  <c r="BG514" i="17"/>
  <c r="BI514" i="17" s="1"/>
  <c r="BG515" i="17"/>
  <c r="BI515" i="17" s="1"/>
  <c r="BG516" i="17"/>
  <c r="BI516" i="17" s="1"/>
  <c r="BG517" i="17"/>
  <c r="BI517" i="17" s="1"/>
  <c r="BG518" i="17"/>
  <c r="BI518" i="17" s="1"/>
  <c r="BG519" i="17"/>
  <c r="BG520" i="17"/>
  <c r="BI520" i="17" s="1"/>
  <c r="BG521" i="17"/>
  <c r="BI521" i="17" s="1"/>
  <c r="BG522" i="17"/>
  <c r="BI522" i="17" s="1"/>
  <c r="BG523" i="17"/>
  <c r="BI523" i="17" s="1"/>
  <c r="BG524" i="17"/>
  <c r="BI524" i="17" s="1"/>
  <c r="BG525" i="17"/>
  <c r="BI525" i="17" s="1"/>
  <c r="BG526" i="17"/>
  <c r="BI526" i="17" s="1"/>
  <c r="BG527" i="17"/>
  <c r="BG528" i="17"/>
  <c r="BI528" i="17" s="1"/>
  <c r="BG529" i="17"/>
  <c r="BI529" i="17" s="1"/>
  <c r="BG530" i="17"/>
  <c r="BI530" i="17" s="1"/>
  <c r="BG531" i="17"/>
  <c r="BI531" i="17" s="1"/>
  <c r="BG532" i="17"/>
  <c r="BI532" i="17" s="1"/>
  <c r="BG533" i="17"/>
  <c r="BI533" i="17" s="1"/>
  <c r="BG534" i="17"/>
  <c r="BI534" i="17" s="1"/>
  <c r="BG535" i="17"/>
  <c r="BG536" i="17"/>
  <c r="BI536" i="17" s="1"/>
  <c r="BG537" i="17"/>
  <c r="BI537" i="17" s="1"/>
  <c r="BG538" i="17"/>
  <c r="BI538" i="17" s="1"/>
  <c r="BG539" i="17"/>
  <c r="BI539" i="17" s="1"/>
  <c r="BG540" i="17"/>
  <c r="BI540" i="17" s="1"/>
  <c r="BG541" i="17"/>
  <c r="BI541" i="17" s="1"/>
  <c r="BG542" i="17"/>
  <c r="BI542" i="17" s="1"/>
  <c r="BG543" i="17"/>
  <c r="BG544" i="17"/>
  <c r="BI544" i="17" s="1"/>
  <c r="BG545" i="17"/>
  <c r="BI545" i="17" s="1"/>
  <c r="BG546" i="17"/>
  <c r="BI546" i="17" s="1"/>
  <c r="BG547" i="17"/>
  <c r="BI547" i="17" s="1"/>
  <c r="BG548" i="17"/>
  <c r="BI548" i="17" s="1"/>
  <c r="BG549" i="17"/>
  <c r="BI549" i="17" s="1"/>
  <c r="BG550" i="17"/>
  <c r="BI550" i="17" s="1"/>
  <c r="BG551" i="17"/>
  <c r="BG552" i="17"/>
  <c r="BI552" i="17" s="1"/>
  <c r="BG553" i="17"/>
  <c r="BI553" i="17" s="1"/>
  <c r="BG554" i="17"/>
  <c r="BI554" i="17" s="1"/>
  <c r="BG555" i="17"/>
  <c r="BI555" i="17" s="1"/>
  <c r="BG556" i="17"/>
  <c r="BI556" i="17" s="1"/>
  <c r="BG557" i="17"/>
  <c r="BI557" i="17" s="1"/>
  <c r="BG558" i="17"/>
  <c r="BI558" i="17" s="1"/>
  <c r="BG559" i="17"/>
  <c r="BG560" i="17"/>
  <c r="BI560" i="17" s="1"/>
  <c r="BG561" i="17"/>
  <c r="BI561" i="17" s="1"/>
  <c r="BG562" i="17"/>
  <c r="BI562" i="17" s="1"/>
  <c r="BG563" i="17"/>
  <c r="BI563" i="17" s="1"/>
  <c r="BG564" i="17"/>
  <c r="BI564" i="17" s="1"/>
  <c r="BG565" i="17"/>
  <c r="BH565" i="17" s="1"/>
  <c r="BG566" i="17"/>
  <c r="BI566" i="17" s="1"/>
  <c r="BG567" i="17"/>
  <c r="BG568" i="17"/>
  <c r="BI568" i="17" s="1"/>
  <c r="BG569" i="17"/>
  <c r="BI569" i="17" s="1"/>
  <c r="BG570" i="17"/>
  <c r="BI570" i="17" s="1"/>
  <c r="BG571" i="17"/>
  <c r="BI571" i="17" s="1"/>
  <c r="BG572" i="17"/>
  <c r="BI572" i="17" s="1"/>
  <c r="BG573" i="17"/>
  <c r="BI573" i="17" s="1"/>
  <c r="BG574" i="17"/>
  <c r="BI574" i="17" s="1"/>
  <c r="BG575" i="17"/>
  <c r="BG576" i="17"/>
  <c r="BI576" i="17" s="1"/>
  <c r="BG577" i="17"/>
  <c r="BI577" i="17" s="1"/>
  <c r="BG578" i="17"/>
  <c r="BI578" i="17" s="1"/>
  <c r="BG579" i="17"/>
  <c r="BI579" i="17" s="1"/>
  <c r="BG580" i="17"/>
  <c r="BI580" i="17" s="1"/>
  <c r="BG581" i="17"/>
  <c r="BI581" i="17" s="1"/>
  <c r="BG582" i="17"/>
  <c r="BI582" i="17" s="1"/>
  <c r="BG583" i="17"/>
  <c r="BG584" i="17"/>
  <c r="BI584" i="17" s="1"/>
  <c r="BG585" i="17"/>
  <c r="BI585" i="17" s="1"/>
  <c r="BG586" i="17"/>
  <c r="BI586" i="17" s="1"/>
  <c r="BG587" i="17"/>
  <c r="BI587" i="17" s="1"/>
  <c r="BG588" i="17"/>
  <c r="BI588" i="17" s="1"/>
  <c r="BG589" i="17"/>
  <c r="BI589" i="17" s="1"/>
  <c r="BG590" i="17"/>
  <c r="BI590" i="17" s="1"/>
  <c r="BG591" i="17"/>
  <c r="BG592" i="17"/>
  <c r="BI592" i="17" s="1"/>
  <c r="BG593" i="17"/>
  <c r="BI593" i="17" s="1"/>
  <c r="BG594" i="17"/>
  <c r="BI594" i="17" s="1"/>
  <c r="BG595" i="17"/>
  <c r="BI595" i="17" s="1"/>
  <c r="BG596" i="17"/>
  <c r="BI596" i="17" s="1"/>
  <c r="BG597" i="17"/>
  <c r="BI597" i="17" s="1"/>
  <c r="BG598" i="17"/>
  <c r="BI598" i="17" s="1"/>
  <c r="BG599" i="17"/>
  <c r="BG600" i="17"/>
  <c r="BI600" i="17" s="1"/>
  <c r="BG601" i="17"/>
  <c r="BH601" i="17" s="1"/>
  <c r="BG602" i="17"/>
  <c r="BI602" i="17" s="1"/>
  <c r="BG603" i="17"/>
  <c r="BH603" i="17" s="1"/>
  <c r="BG604" i="17"/>
  <c r="BI604" i="17" s="1"/>
  <c r="BG605" i="17"/>
  <c r="BI605" i="17" s="1"/>
  <c r="BG606" i="17"/>
  <c r="BI606" i="17" s="1"/>
  <c r="BG607" i="17"/>
  <c r="BG608" i="17"/>
  <c r="BI608" i="17" s="1"/>
  <c r="BG609" i="17"/>
  <c r="BI609" i="17" s="1"/>
  <c r="BG610" i="17"/>
  <c r="BI610" i="17" s="1"/>
  <c r="BG611" i="17"/>
  <c r="BI611" i="17" s="1"/>
  <c r="BG612" i="17"/>
  <c r="BI612" i="17" s="1"/>
  <c r="BG613" i="17"/>
  <c r="BI613" i="17" s="1"/>
  <c r="BG614" i="17"/>
  <c r="BI614" i="17" s="1"/>
  <c r="BG615" i="17"/>
  <c r="BG616" i="17"/>
  <c r="BI616" i="17" s="1"/>
  <c r="BG617" i="17"/>
  <c r="BI617" i="17" s="1"/>
  <c r="BG618" i="17"/>
  <c r="BI618" i="17" s="1"/>
  <c r="BG619" i="17"/>
  <c r="BI619" i="17" s="1"/>
  <c r="BG620" i="17"/>
  <c r="BI620" i="17" s="1"/>
  <c r="BG621" i="17"/>
  <c r="BI621" i="17" s="1"/>
  <c r="BG622" i="17"/>
  <c r="BI622" i="17" s="1"/>
  <c r="BG623" i="17"/>
  <c r="BG624" i="17"/>
  <c r="BI624" i="17" s="1"/>
  <c r="BG625" i="17"/>
  <c r="BI625" i="17" s="1"/>
  <c r="BG626" i="17"/>
  <c r="BI626" i="17" s="1"/>
  <c r="BG627" i="17"/>
  <c r="BI627" i="17" s="1"/>
  <c r="BG628" i="17"/>
  <c r="BI628" i="17" s="1"/>
  <c r="BG629" i="17"/>
  <c r="BI629" i="17" s="1"/>
  <c r="BG630" i="17"/>
  <c r="BI630" i="17" s="1"/>
  <c r="BG631" i="17"/>
  <c r="BG632" i="17"/>
  <c r="BI632" i="17" s="1"/>
  <c r="BG633" i="17"/>
  <c r="BI633" i="17" s="1"/>
  <c r="BG634" i="17"/>
  <c r="BI634" i="17" s="1"/>
  <c r="BG635" i="17"/>
  <c r="BI635" i="17" s="1"/>
  <c r="BG636" i="17"/>
  <c r="BI636" i="17" s="1"/>
  <c r="BG637" i="17"/>
  <c r="BI637" i="17" s="1"/>
  <c r="BG638" i="17"/>
  <c r="BI638" i="17" s="1"/>
  <c r="BG639" i="17"/>
  <c r="BG640" i="17"/>
  <c r="BI640" i="17" s="1"/>
  <c r="BG641" i="17"/>
  <c r="BI641" i="17" s="1"/>
  <c r="BG642" i="17"/>
  <c r="BI642" i="17" s="1"/>
  <c r="BG643" i="17"/>
  <c r="BI643" i="17" s="1"/>
  <c r="BG644" i="17"/>
  <c r="BI644" i="17" s="1"/>
  <c r="BG645" i="17"/>
  <c r="BI645" i="17" s="1"/>
  <c r="BG646" i="17"/>
  <c r="BI646" i="17" s="1"/>
  <c r="BG647" i="17"/>
  <c r="BG648" i="17"/>
  <c r="BI648" i="17" s="1"/>
  <c r="BG649" i="17"/>
  <c r="BI649" i="17" s="1"/>
  <c r="BG650" i="17"/>
  <c r="BI650" i="17" s="1"/>
  <c r="BG651" i="17"/>
  <c r="BI651" i="17" s="1"/>
  <c r="BG652" i="17"/>
  <c r="BI652" i="17" s="1"/>
  <c r="BG653" i="17"/>
  <c r="BI653" i="17" s="1"/>
  <c r="BG654" i="17"/>
  <c r="BI654" i="17" s="1"/>
  <c r="BG655" i="17"/>
  <c r="BG656" i="17"/>
  <c r="BI656" i="17" s="1"/>
  <c r="BG657" i="17"/>
  <c r="BI657" i="17" s="1"/>
  <c r="BG658" i="17"/>
  <c r="BI658" i="17" s="1"/>
  <c r="BG659" i="17"/>
  <c r="BH659" i="17" s="1"/>
  <c r="BG660" i="17"/>
  <c r="BH660" i="17" s="1"/>
  <c r="BG661" i="17"/>
  <c r="BI661" i="17" s="1"/>
  <c r="BG662" i="17"/>
  <c r="BI662" i="17" s="1"/>
  <c r="BG663" i="17"/>
  <c r="BG664" i="17"/>
  <c r="BI664" i="17" s="1"/>
  <c r="BG665" i="17"/>
  <c r="BI665" i="17" s="1"/>
  <c r="BG666" i="17"/>
  <c r="BI666" i="17" s="1"/>
  <c r="BG667" i="17"/>
  <c r="BI667" i="17" s="1"/>
  <c r="BG668" i="17"/>
  <c r="BI668" i="17" s="1"/>
  <c r="BG669" i="17"/>
  <c r="BI669" i="17" s="1"/>
  <c r="BG670" i="17"/>
  <c r="BH670" i="17" s="1"/>
  <c r="BG671" i="17"/>
  <c r="BG672" i="17"/>
  <c r="BI672" i="17" s="1"/>
  <c r="BG673" i="17"/>
  <c r="BI673" i="17" s="1"/>
  <c r="BG674" i="17"/>
  <c r="BI674" i="17" s="1"/>
  <c r="BG675" i="17"/>
  <c r="BI675" i="17" s="1"/>
  <c r="BG676" i="17"/>
  <c r="BI676" i="17" s="1"/>
  <c r="BG677" i="17"/>
  <c r="BI677" i="17" s="1"/>
  <c r="BG678" i="17"/>
  <c r="BI678" i="17" s="1"/>
  <c r="BG679" i="17"/>
  <c r="BG680" i="17"/>
  <c r="BI680" i="17" s="1"/>
  <c r="BG681" i="17"/>
  <c r="BI681" i="17" s="1"/>
  <c r="BG682" i="17"/>
  <c r="BI682" i="17" s="1"/>
  <c r="BG683" i="17"/>
  <c r="BI683" i="17" s="1"/>
  <c r="BG684" i="17"/>
  <c r="BI684" i="17" s="1"/>
  <c r="BG685" i="17"/>
  <c r="BI685" i="17" s="1"/>
  <c r="BG686" i="17"/>
  <c r="BI686" i="17" s="1"/>
  <c r="BG687" i="17"/>
  <c r="BG688" i="17"/>
  <c r="BI688" i="17" s="1"/>
  <c r="BG689" i="17"/>
  <c r="BI689" i="17" s="1"/>
  <c r="BG690" i="17"/>
  <c r="BI690" i="17" s="1"/>
  <c r="BG691" i="17"/>
  <c r="BH691" i="17" s="1"/>
  <c r="BG692" i="17"/>
  <c r="BI692" i="17" s="1"/>
  <c r="BG693" i="17"/>
  <c r="BI693" i="17" s="1"/>
  <c r="BG694" i="17"/>
  <c r="BI694" i="17" s="1"/>
  <c r="BG695" i="17"/>
  <c r="BG696" i="17"/>
  <c r="BI696" i="17" s="1"/>
  <c r="BG697" i="17"/>
  <c r="BI697" i="17" s="1"/>
  <c r="BG698" i="17"/>
  <c r="BI698" i="17" s="1"/>
  <c r="BG699" i="17"/>
  <c r="BI699" i="17" s="1"/>
  <c r="BG700" i="17"/>
  <c r="BI700" i="17" s="1"/>
  <c r="BG701" i="17"/>
  <c r="BI701" i="17" s="1"/>
  <c r="BG702" i="17"/>
  <c r="BI702" i="17" s="1"/>
  <c r="BG703" i="17"/>
  <c r="BG704" i="17"/>
  <c r="BI704" i="17" s="1"/>
  <c r="BG705" i="17"/>
  <c r="BI705" i="17" s="1"/>
  <c r="BG706" i="17"/>
  <c r="BI706" i="17" s="1"/>
  <c r="BG707" i="17"/>
  <c r="BI707" i="17" s="1"/>
  <c r="BG708" i="17"/>
  <c r="BI708" i="17" s="1"/>
  <c r="BG709" i="17"/>
  <c r="BI709" i="17" s="1"/>
  <c r="BG710" i="17"/>
  <c r="BI710" i="17" s="1"/>
  <c r="BG711" i="17"/>
  <c r="BG712" i="17"/>
  <c r="BI712" i="17" s="1"/>
  <c r="BG713" i="17"/>
  <c r="BI713" i="17" s="1"/>
  <c r="BG714" i="17"/>
  <c r="BI714" i="17" s="1"/>
  <c r="BG715" i="17"/>
  <c r="BI715" i="17" s="1"/>
  <c r="BG716" i="17"/>
  <c r="BI716" i="17" s="1"/>
  <c r="BG717" i="17"/>
  <c r="BI717" i="17" s="1"/>
  <c r="BG718" i="17"/>
  <c r="BI718" i="17" s="1"/>
  <c r="BG719" i="17"/>
  <c r="BG720" i="17"/>
  <c r="BI720" i="17" s="1"/>
  <c r="BG721" i="17"/>
  <c r="BI721" i="17" s="1"/>
  <c r="BG722" i="17"/>
  <c r="BI722" i="17" s="1"/>
  <c r="BG723" i="17"/>
  <c r="BI723" i="17" s="1"/>
  <c r="BG724" i="17"/>
  <c r="BH724" i="17" s="1"/>
  <c r="BG725" i="17"/>
  <c r="BI725" i="17" s="1"/>
  <c r="BG726" i="17"/>
  <c r="BI726" i="17" s="1"/>
  <c r="BG727" i="17"/>
  <c r="BG728" i="17"/>
  <c r="BI728" i="17" s="1"/>
  <c r="BG729" i="17"/>
  <c r="BI729" i="17" s="1"/>
  <c r="BG730" i="17"/>
  <c r="BI730" i="17" s="1"/>
  <c r="BG731" i="17"/>
  <c r="BI731" i="17" s="1"/>
  <c r="BG732" i="17"/>
  <c r="BI732" i="17" s="1"/>
  <c r="BG733" i="17"/>
  <c r="BI733" i="17" s="1"/>
  <c r="BG734" i="17"/>
  <c r="BI734" i="17" s="1"/>
  <c r="BG735" i="17"/>
  <c r="BG736" i="17"/>
  <c r="BI736" i="17" s="1"/>
  <c r="BG737" i="17"/>
  <c r="BI737" i="17" s="1"/>
  <c r="BG738" i="17"/>
  <c r="BI738" i="17" s="1"/>
  <c r="BG739" i="17"/>
  <c r="BI739" i="17" s="1"/>
  <c r="BG740" i="17"/>
  <c r="BI740" i="17" s="1"/>
  <c r="BG741" i="17"/>
  <c r="BH741" i="17" s="1"/>
  <c r="BG742" i="17"/>
  <c r="BI742" i="17" s="1"/>
  <c r="BG743" i="17"/>
  <c r="BH743" i="17" s="1"/>
  <c r="BG744" i="17"/>
  <c r="BI744" i="17" s="1"/>
  <c r="BG745" i="17"/>
  <c r="BI745" i="17" s="1"/>
  <c r="BG746" i="17"/>
  <c r="BI746" i="17" s="1"/>
  <c r="BG747" i="17"/>
  <c r="BG748" i="17"/>
  <c r="BI748" i="17" s="1"/>
  <c r="BG749" i="17"/>
  <c r="BI749" i="17" s="1"/>
  <c r="BG750" i="17"/>
  <c r="BH750" i="17" s="1"/>
  <c r="BG751" i="17"/>
  <c r="BG752" i="17"/>
  <c r="BI752" i="17" s="1"/>
  <c r="BG753" i="17"/>
  <c r="BI753" i="17" s="1"/>
  <c r="BG754" i="17"/>
  <c r="BI754" i="17" s="1"/>
  <c r="BG755" i="17"/>
  <c r="BG756" i="17"/>
  <c r="BG757" i="17"/>
  <c r="BI757" i="17" s="1"/>
  <c r="BG758" i="17"/>
  <c r="BI758" i="17" s="1"/>
  <c r="BG759" i="17"/>
  <c r="BG760" i="17"/>
  <c r="BI760" i="17" s="1"/>
  <c r="BG761" i="17"/>
  <c r="BI761" i="17" s="1"/>
  <c r="BG762" i="17"/>
  <c r="BI762" i="17" s="1"/>
  <c r="BG763" i="17"/>
  <c r="BG764" i="17"/>
  <c r="BG765" i="17"/>
  <c r="BG766" i="17"/>
  <c r="BI766" i="17" s="1"/>
  <c r="BG767" i="17"/>
  <c r="BG768" i="17"/>
  <c r="BI768" i="17" s="1"/>
  <c r="BG769" i="17"/>
  <c r="BI769" i="17" s="1"/>
  <c r="BG770" i="17"/>
  <c r="BI770" i="17" s="1"/>
  <c r="BG771" i="17"/>
  <c r="BG772" i="17"/>
  <c r="BG773" i="17"/>
  <c r="BG774" i="17"/>
  <c r="BI774" i="17" s="1"/>
  <c r="BG775" i="17"/>
  <c r="BG776" i="17"/>
  <c r="BI776" i="17" s="1"/>
  <c r="BG777" i="17"/>
  <c r="BI777" i="17" s="1"/>
  <c r="BG778" i="17"/>
  <c r="BI778" i="17" s="1"/>
  <c r="BG779" i="17"/>
  <c r="BG780" i="17"/>
  <c r="BG781" i="17"/>
  <c r="BG782" i="17"/>
  <c r="BI782" i="17" s="1"/>
  <c r="BG783" i="17"/>
  <c r="BG784" i="17"/>
  <c r="BI784" i="17" s="1"/>
  <c r="BG785" i="17"/>
  <c r="BI785" i="17" s="1"/>
  <c r="BG786" i="17"/>
  <c r="BG787" i="17"/>
  <c r="BG788" i="17"/>
  <c r="BG789" i="17"/>
  <c r="BG790" i="17"/>
  <c r="BG791" i="17"/>
  <c r="BG792" i="17"/>
  <c r="BI792" i="17" s="1"/>
  <c r="BG793" i="17"/>
  <c r="BI793" i="17" s="1"/>
  <c r="BG794" i="17"/>
  <c r="BG795" i="17"/>
  <c r="BG796" i="17"/>
  <c r="BG797" i="17"/>
  <c r="BG798" i="17"/>
  <c r="BG799" i="17"/>
  <c r="BG800" i="17"/>
  <c r="BI800" i="17" s="1"/>
  <c r="BG801" i="17"/>
  <c r="BI801" i="17" s="1"/>
  <c r="BG802" i="17"/>
  <c r="BG803" i="17"/>
  <c r="BG804" i="17"/>
  <c r="BG805" i="17"/>
  <c r="BG806" i="17"/>
  <c r="BG807" i="17"/>
  <c r="BG808" i="17"/>
  <c r="BI808" i="17" s="1"/>
  <c r="BG809" i="17"/>
  <c r="BI809" i="17" s="1"/>
  <c r="BG810" i="17"/>
  <c r="BH810" i="17" s="1"/>
  <c r="BG811" i="17"/>
  <c r="BH811" i="17" s="1"/>
  <c r="BG812" i="17"/>
  <c r="BG813" i="17"/>
  <c r="BG814" i="17"/>
  <c r="BG815" i="17"/>
  <c r="BG816" i="17"/>
  <c r="BI816" i="17" s="1"/>
  <c r="BG817" i="17"/>
  <c r="BI817" i="17" s="1"/>
  <c r="BG818" i="17"/>
  <c r="BG819" i="17"/>
  <c r="BG820" i="17"/>
  <c r="BG821" i="17"/>
  <c r="BG822" i="17"/>
  <c r="BG823" i="17"/>
  <c r="BG824" i="17"/>
  <c r="BI824" i="17" s="1"/>
  <c r="BG825" i="17"/>
  <c r="BI825" i="17" s="1"/>
  <c r="BG826" i="17"/>
  <c r="BG827" i="17"/>
  <c r="BG828" i="17"/>
  <c r="BG829" i="17"/>
  <c r="BG830" i="17"/>
  <c r="BG831" i="17"/>
  <c r="BG832" i="17"/>
  <c r="BI832" i="17" s="1"/>
  <c r="BG833" i="17"/>
  <c r="BI833" i="17" s="1"/>
  <c r="BG834" i="17"/>
  <c r="BG835" i="17"/>
  <c r="BG836" i="17"/>
  <c r="BG837" i="17"/>
  <c r="BG838" i="17"/>
  <c r="BG839" i="17"/>
  <c r="BG840" i="17"/>
  <c r="BI840" i="17" s="1"/>
  <c r="BG841" i="17"/>
  <c r="BI841" i="17" s="1"/>
  <c r="BG842" i="17"/>
  <c r="BG843" i="17"/>
  <c r="BG844" i="17"/>
  <c r="BG845" i="17"/>
  <c r="BG846" i="17"/>
  <c r="BG847" i="17"/>
  <c r="BG848" i="17"/>
  <c r="BI848" i="17" s="1"/>
  <c r="BG849" i="17"/>
  <c r="BH849" i="17" s="1"/>
  <c r="BG850" i="17"/>
  <c r="BG851" i="17"/>
  <c r="BG852" i="17"/>
  <c r="BG853" i="17"/>
  <c r="BG854" i="17"/>
  <c r="BG855" i="17"/>
  <c r="BG856" i="17"/>
  <c r="BI856" i="17" s="1"/>
  <c r="BG857" i="17"/>
  <c r="BI857" i="17" s="1"/>
  <c r="BG858" i="17"/>
  <c r="BG859" i="17"/>
  <c r="BG860" i="17"/>
  <c r="BG861" i="17"/>
  <c r="BG862" i="17"/>
  <c r="BH862" i="17" s="1"/>
  <c r="BG863" i="17"/>
  <c r="BG864" i="17"/>
  <c r="BI864" i="17" s="1"/>
  <c r="BG865" i="17"/>
  <c r="BI865" i="17" s="1"/>
  <c r="BG866" i="17"/>
  <c r="BG867" i="17"/>
  <c r="BG868" i="17"/>
  <c r="BG869" i="17"/>
  <c r="BG870" i="17"/>
  <c r="BG871" i="17"/>
  <c r="BI871" i="17" s="1"/>
  <c r="BG872" i="17"/>
  <c r="BI872" i="17" s="1"/>
  <c r="BG873" i="17"/>
  <c r="BI873" i="17" s="1"/>
  <c r="BG874" i="17"/>
  <c r="BG875" i="17"/>
  <c r="BG876" i="17"/>
  <c r="BG877" i="17"/>
  <c r="BG878" i="17"/>
  <c r="BG879" i="17"/>
  <c r="BI879" i="17" s="1"/>
  <c r="BG880" i="17"/>
  <c r="BI880" i="17" s="1"/>
  <c r="BG881" i="17"/>
  <c r="BI881" i="17" s="1"/>
  <c r="BG882" i="17"/>
  <c r="BG883" i="17"/>
  <c r="BG884" i="17"/>
  <c r="BG885" i="17"/>
  <c r="BG886" i="17"/>
  <c r="BG887" i="17"/>
  <c r="BI887" i="17" s="1"/>
  <c r="BG888" i="17"/>
  <c r="BI888" i="17" s="1"/>
  <c r="BG889" i="17"/>
  <c r="BI889" i="17" s="1"/>
  <c r="BG890" i="17"/>
  <c r="BG891" i="17"/>
  <c r="BG892" i="17"/>
  <c r="BG893" i="17"/>
  <c r="BG894" i="17"/>
  <c r="BG895" i="17"/>
  <c r="BI895" i="17" s="1"/>
  <c r="BG896" i="17"/>
  <c r="BI896" i="17" s="1"/>
  <c r="BG897" i="17"/>
  <c r="BI897" i="17" s="1"/>
  <c r="BG898" i="17"/>
  <c r="BG899" i="17"/>
  <c r="BG900" i="17"/>
  <c r="BH900" i="17" s="1"/>
  <c r="BG901" i="17"/>
  <c r="BH901" i="17" s="1"/>
  <c r="BG902" i="17"/>
  <c r="BG903" i="17"/>
  <c r="BI903" i="17" s="1"/>
  <c r="BG904" i="17"/>
  <c r="BI904" i="17" s="1"/>
  <c r="BG905" i="17"/>
  <c r="BI905" i="17" s="1"/>
  <c r="BG906" i="17"/>
  <c r="BG907" i="17"/>
  <c r="BG908" i="17"/>
  <c r="BG909" i="17"/>
  <c r="BG910" i="17"/>
  <c r="BG911" i="17"/>
  <c r="BI911" i="17" s="1"/>
  <c r="BG912" i="17"/>
  <c r="BI912" i="17" s="1"/>
  <c r="BG913" i="17"/>
  <c r="BI913" i="17" s="1"/>
  <c r="BG914" i="17"/>
  <c r="BG915" i="17"/>
  <c r="BG916" i="17"/>
  <c r="BG917" i="17"/>
  <c r="BG918" i="17"/>
  <c r="BG919" i="17"/>
  <c r="BI919" i="17" s="1"/>
  <c r="BG920" i="17"/>
  <c r="BI920" i="17" s="1"/>
  <c r="BG921" i="17"/>
  <c r="BI921" i="17" s="1"/>
  <c r="BG922" i="17"/>
  <c r="BG923" i="17"/>
  <c r="BG924" i="17"/>
  <c r="BG925" i="17"/>
  <c r="BG926" i="17"/>
  <c r="BG927" i="17"/>
  <c r="BI927" i="17" s="1"/>
  <c r="BG928" i="17"/>
  <c r="BI928" i="17" s="1"/>
  <c r="BG929" i="17"/>
  <c r="BI929" i="17" s="1"/>
  <c r="BG930" i="17"/>
  <c r="BG931" i="17"/>
  <c r="BG932" i="17"/>
  <c r="BG933" i="17"/>
  <c r="BG934" i="17"/>
  <c r="BG935" i="17"/>
  <c r="BI935" i="17" s="1"/>
  <c r="BG936" i="17"/>
  <c r="BI936" i="17" s="1"/>
  <c r="BG937" i="17"/>
  <c r="BI937" i="17" s="1"/>
  <c r="BG938" i="17"/>
  <c r="BG939" i="17"/>
  <c r="BG940" i="17"/>
  <c r="BG941" i="17"/>
  <c r="BG942" i="17"/>
  <c r="BG943" i="17"/>
  <c r="BI943" i="17" s="1"/>
  <c r="BG944" i="17"/>
  <c r="BI944" i="17" s="1"/>
  <c r="BG945" i="17"/>
  <c r="BI945" i="17" s="1"/>
  <c r="BG946" i="17"/>
  <c r="BG947" i="17"/>
  <c r="BG948" i="17"/>
  <c r="BG949" i="17"/>
  <c r="BH949" i="17" s="1"/>
  <c r="BG950" i="17"/>
  <c r="BH950" i="17" s="1"/>
  <c r="BG951" i="17"/>
  <c r="BI951" i="17" s="1"/>
  <c r="BG952" i="17"/>
  <c r="BI952" i="17" s="1"/>
  <c r="BG953" i="17"/>
  <c r="BI953" i="17" s="1"/>
  <c r="BG954" i="17"/>
  <c r="BG955" i="17"/>
  <c r="BG956" i="17"/>
  <c r="BG957" i="17"/>
  <c r="BG958" i="17"/>
  <c r="BG959" i="17"/>
  <c r="BI959" i="17" s="1"/>
  <c r="BG960" i="17"/>
  <c r="BI960" i="17" s="1"/>
  <c r="BG961" i="17"/>
  <c r="BI961" i="17" s="1"/>
  <c r="BG962" i="17"/>
  <c r="BG963" i="17"/>
  <c r="BG964" i="17"/>
  <c r="BG965" i="17"/>
  <c r="BG966" i="17"/>
  <c r="BG967" i="17"/>
  <c r="BI967" i="17" s="1"/>
  <c r="BG968" i="17"/>
  <c r="BI968" i="17" s="1"/>
  <c r="BG969" i="17"/>
  <c r="BI969" i="17" s="1"/>
  <c r="BG970" i="17"/>
  <c r="BG971" i="17"/>
  <c r="BG972" i="17"/>
  <c r="BG973" i="17"/>
  <c r="BG974" i="17"/>
  <c r="BG975" i="17"/>
  <c r="BI975" i="17" s="1"/>
  <c r="BG976" i="17"/>
  <c r="BI976" i="17" s="1"/>
  <c r="BG977" i="17"/>
  <c r="BI977" i="17" s="1"/>
  <c r="BG978" i="17"/>
  <c r="BG979" i="17"/>
  <c r="BG980" i="17"/>
  <c r="BG981" i="17"/>
  <c r="BG982" i="17"/>
  <c r="BH982" i="17" s="1"/>
  <c r="BG983" i="17"/>
  <c r="BI983" i="17" s="1"/>
  <c r="BG984" i="17"/>
  <c r="BI984" i="17" s="1"/>
  <c r="BG985" i="17"/>
  <c r="BI985" i="17" s="1"/>
  <c r="BG986" i="17"/>
  <c r="BG987" i="17"/>
  <c r="BG988" i="17"/>
  <c r="BG989" i="17"/>
  <c r="BG990" i="17"/>
  <c r="BG991" i="17"/>
  <c r="BI991" i="17" s="1"/>
  <c r="BG992" i="17"/>
  <c r="BI992" i="17" s="1"/>
  <c r="BG993" i="17"/>
  <c r="BH993" i="17" s="1"/>
  <c r="BG994" i="17"/>
  <c r="BG995" i="17"/>
  <c r="BG996" i="17"/>
  <c r="BG997" i="17"/>
  <c r="BG998" i="17"/>
  <c r="BG999" i="17"/>
  <c r="BI999" i="17" s="1"/>
  <c r="BG1000" i="17"/>
  <c r="BI1000" i="17" s="1"/>
  <c r="BG1001" i="17"/>
  <c r="BI1001" i="17" s="1"/>
  <c r="BG1002" i="17"/>
  <c r="BG1003" i="17"/>
  <c r="BG1004" i="17"/>
  <c r="BG1005" i="17"/>
  <c r="BG1006" i="17"/>
  <c r="BG1007" i="17"/>
  <c r="BI1007" i="17" s="1"/>
  <c r="BG1008" i="17"/>
  <c r="BI1008" i="17" s="1"/>
  <c r="BG1009" i="17"/>
  <c r="BI1009" i="17" s="1"/>
  <c r="BG1010" i="17"/>
  <c r="BG1011" i="17"/>
  <c r="BG1012" i="17"/>
  <c r="BG1013" i="17"/>
  <c r="BG1014" i="17"/>
  <c r="BG1015" i="17"/>
  <c r="BI1015" i="17" s="1"/>
  <c r="BG1016" i="17"/>
  <c r="BI1016" i="17" s="1"/>
  <c r="BG1017" i="17"/>
  <c r="BI1017" i="17" s="1"/>
  <c r="BG1018" i="17"/>
  <c r="BG1019" i="17"/>
  <c r="BG1020" i="17"/>
  <c r="BG1021" i="17"/>
  <c r="BG1022" i="17"/>
  <c r="BG1023" i="17"/>
  <c r="BI1023" i="17" s="1"/>
  <c r="BG1024" i="17"/>
  <c r="BI1024" i="17" s="1"/>
  <c r="BG1025" i="17"/>
  <c r="BH1025" i="17" s="1"/>
  <c r="BG1026" i="17"/>
  <c r="BG1027" i="17"/>
  <c r="BG1028" i="17"/>
  <c r="BG1029" i="17"/>
  <c r="BG1030" i="17"/>
  <c r="BG1031" i="17"/>
  <c r="BI1031" i="17" s="1"/>
  <c r="BG1032" i="17"/>
  <c r="BI1032" i="17" s="1"/>
  <c r="BG1033" i="17"/>
  <c r="BI1033" i="17" s="1"/>
  <c r="BG1034" i="17"/>
  <c r="BG1035" i="17"/>
  <c r="BG1036" i="17"/>
  <c r="BG1037" i="17"/>
  <c r="BG1038" i="17"/>
  <c r="BG1039" i="17"/>
  <c r="BI1039" i="17" s="1"/>
  <c r="BG1040" i="17"/>
  <c r="BI1040" i="17" s="1"/>
  <c r="BG1041" i="17"/>
  <c r="BI1041" i="17" s="1"/>
  <c r="BG1042" i="17"/>
  <c r="BG1043" i="17"/>
  <c r="BG1044" i="17"/>
  <c r="BG1045" i="17"/>
  <c r="BG1046" i="17"/>
  <c r="BG1047" i="17"/>
  <c r="BI1047" i="17" s="1"/>
  <c r="BG1048" i="17"/>
  <c r="BI1048" i="17" s="1"/>
  <c r="BG1049" i="17"/>
  <c r="BI1049" i="17" s="1"/>
  <c r="BG1050" i="17"/>
  <c r="BG1051" i="17"/>
  <c r="BG1052" i="17"/>
  <c r="BG1053" i="17"/>
  <c r="BG1054" i="17"/>
  <c r="BG1055" i="17"/>
  <c r="BI1055" i="17" s="1"/>
  <c r="BG1056" i="17"/>
  <c r="BI1056" i="17" s="1"/>
  <c r="BG1057" i="17"/>
  <c r="BI1057" i="17" s="1"/>
  <c r="BG1058" i="17"/>
  <c r="BG1059" i="17"/>
  <c r="BG1060" i="17"/>
  <c r="BG1061" i="17"/>
  <c r="BG1062" i="17"/>
  <c r="BG1063" i="17"/>
  <c r="BI1063" i="17" s="1"/>
  <c r="BG1064" i="17"/>
  <c r="BI1064" i="17" s="1"/>
  <c r="BG1065" i="17"/>
  <c r="BI1065" i="17" s="1"/>
  <c r="BG1066" i="17"/>
  <c r="BH1066" i="17" s="1"/>
  <c r="BG1067" i="17"/>
  <c r="BG1068" i="17"/>
  <c r="BG1069" i="17"/>
  <c r="BG1070" i="17"/>
  <c r="BG1071" i="17"/>
  <c r="BI1071" i="17" s="1"/>
  <c r="BG1072" i="17"/>
  <c r="BI1072" i="17" s="1"/>
  <c r="BG1073" i="17"/>
  <c r="BI1073" i="17" s="1"/>
  <c r="BG1074" i="17"/>
  <c r="BG1075" i="17"/>
  <c r="BG1076" i="17"/>
  <c r="BG1077" i="17"/>
  <c r="BG1078" i="17"/>
  <c r="BG1079" i="17"/>
  <c r="BI1079" i="17" s="1"/>
  <c r="BG1080" i="17"/>
  <c r="BI1080" i="17" s="1"/>
  <c r="BG1081" i="17"/>
  <c r="BI1081" i="17" s="1"/>
  <c r="BG1082" i="17"/>
  <c r="BG1083" i="17"/>
  <c r="BG1084" i="17"/>
  <c r="BG1085" i="17"/>
  <c r="BG1086" i="17"/>
  <c r="BG1087" i="17"/>
  <c r="BI1087" i="17" s="1"/>
  <c r="BG1088" i="17"/>
  <c r="BI1088" i="17" s="1"/>
  <c r="BG1089" i="17"/>
  <c r="BI1089" i="17" s="1"/>
  <c r="BG1090" i="17"/>
  <c r="BG1091" i="17"/>
  <c r="BG1092" i="17"/>
  <c r="BH1092" i="17" s="1"/>
  <c r="BG1093" i="17"/>
  <c r="BG1094" i="17"/>
  <c r="BG1095" i="17"/>
  <c r="BI1095" i="17" s="1"/>
  <c r="BG1096" i="17"/>
  <c r="BI1096" i="17" s="1"/>
  <c r="BG1097" i="17"/>
  <c r="BI1097" i="17" s="1"/>
  <c r="BG1098" i="17"/>
  <c r="BG1099" i="17"/>
  <c r="BH1099" i="17" s="1"/>
  <c r="BG1100" i="17"/>
  <c r="BG1101" i="17"/>
  <c r="BG1102" i="17"/>
  <c r="BG1103" i="17"/>
  <c r="BI1103" i="17" s="1"/>
  <c r="BG1104" i="17"/>
  <c r="BI1104" i="17" s="1"/>
  <c r="BG1105" i="17"/>
  <c r="BI1105" i="17" s="1"/>
  <c r="BG1106" i="17"/>
  <c r="BG1107" i="17"/>
  <c r="BG1108" i="17"/>
  <c r="BG1109" i="17"/>
  <c r="BG1110" i="17"/>
  <c r="BG1111" i="17"/>
  <c r="BI1111" i="17" s="1"/>
  <c r="BG1112" i="17"/>
  <c r="BI1112" i="17" s="1"/>
  <c r="BG1113" i="17"/>
  <c r="BI1113" i="17" s="1"/>
  <c r="BG1114" i="17"/>
  <c r="BG1115" i="17"/>
  <c r="BG1116" i="17"/>
  <c r="BG1117" i="17"/>
  <c r="BG1118" i="17"/>
  <c r="BG1119" i="17"/>
  <c r="BH1119" i="17" s="1"/>
  <c r="BG1120" i="17"/>
  <c r="BH1120" i="17" s="1"/>
  <c r="BG1121" i="17"/>
  <c r="BI1121" i="17" s="1"/>
  <c r="BG1122" i="17"/>
  <c r="BG1123" i="17"/>
  <c r="BG1124" i="17"/>
  <c r="BG1125" i="17"/>
  <c r="BG1126" i="17"/>
  <c r="BG1127" i="17"/>
  <c r="BI1127" i="17" s="1"/>
  <c r="BG1128" i="17"/>
  <c r="BI1128" i="17" s="1"/>
  <c r="BG1129" i="17"/>
  <c r="BI1129" i="17" s="1"/>
  <c r="BG1130" i="17"/>
  <c r="BG1131" i="17"/>
  <c r="BG1132" i="17"/>
  <c r="BG1133" i="17"/>
  <c r="BG1134" i="17"/>
  <c r="BG1135" i="17"/>
  <c r="BI1135" i="17" s="1"/>
  <c r="BG1136" i="17"/>
  <c r="BI1136" i="17" s="1"/>
  <c r="BG1137" i="17"/>
  <c r="BI1137" i="17" s="1"/>
  <c r="BG1138" i="17"/>
  <c r="BG1139" i="17"/>
  <c r="BG1140" i="17"/>
  <c r="BG1141" i="17"/>
  <c r="BG1142" i="17"/>
  <c r="BG1143" i="17"/>
  <c r="BI1143" i="17" s="1"/>
  <c r="BG1144" i="17"/>
  <c r="BI1144" i="17" s="1"/>
  <c r="BG1145" i="17"/>
  <c r="BH1145" i="17" s="1"/>
  <c r="BG1146" i="17"/>
  <c r="BH1146" i="17" s="1"/>
  <c r="BG1147" i="17"/>
  <c r="BG1148" i="17"/>
  <c r="BG1149" i="17"/>
  <c r="BG1150" i="17"/>
  <c r="BG1151" i="17"/>
  <c r="BI1151" i="17" s="1"/>
  <c r="BG1152" i="17"/>
  <c r="BI1152" i="17" s="1"/>
  <c r="BG1153" i="17"/>
  <c r="BI1153" i="17" s="1"/>
  <c r="BG1154" i="17"/>
  <c r="BG1155" i="17"/>
  <c r="BG1156" i="17"/>
  <c r="BG1157" i="17"/>
  <c r="BG1158" i="17"/>
  <c r="BG1159" i="17"/>
  <c r="BI1159" i="17" s="1"/>
  <c r="BG1160" i="17"/>
  <c r="BI1160" i="17" s="1"/>
  <c r="BG1161" i="17"/>
  <c r="BI1161" i="17" s="1"/>
  <c r="BG1162" i="17"/>
  <c r="BG1163" i="17"/>
  <c r="BG1164" i="17"/>
  <c r="BG1165" i="17"/>
  <c r="BH1165" i="17" s="1"/>
  <c r="BG1166" i="17"/>
  <c r="BG1167" i="17"/>
  <c r="BI1167" i="17" s="1"/>
  <c r="BG1168" i="17"/>
  <c r="BI1168" i="17" s="1"/>
  <c r="BG1169" i="17"/>
  <c r="BI1169" i="17" s="1"/>
  <c r="BG1170" i="17"/>
  <c r="BG1171" i="17"/>
  <c r="BG1172" i="17"/>
  <c r="BH1172" i="17" s="1"/>
  <c r="BG1173" i="17"/>
  <c r="BG1174" i="17"/>
  <c r="BG2" i="17"/>
  <c r="BI2" i="17" s="1"/>
  <c r="BH374" i="17" l="1"/>
  <c r="BH347" i="17"/>
  <c r="BH298" i="17"/>
  <c r="BH242" i="17"/>
  <c r="BH182" i="17"/>
  <c r="BH108" i="17"/>
  <c r="BI862" i="17"/>
  <c r="BH373" i="17"/>
  <c r="BH346" i="17"/>
  <c r="BH286" i="17"/>
  <c r="BH230" i="17"/>
  <c r="BH178" i="17"/>
  <c r="BH90" i="17"/>
  <c r="BI750" i="17"/>
  <c r="BH457" i="17"/>
  <c r="BH366" i="17"/>
  <c r="BH338" i="17"/>
  <c r="BH277" i="17"/>
  <c r="BH226" i="17"/>
  <c r="BH166" i="17"/>
  <c r="BH69" i="17"/>
  <c r="BI691" i="17"/>
  <c r="BH432" i="17"/>
  <c r="BH365" i="17"/>
  <c r="BH326" i="17"/>
  <c r="BH274" i="17"/>
  <c r="BH216" i="17"/>
  <c r="BH162" i="17"/>
  <c r="BH61" i="17"/>
  <c r="BI670" i="17"/>
  <c r="BH425" i="17"/>
  <c r="BH363" i="17"/>
  <c r="BH325" i="17"/>
  <c r="BH264" i="17"/>
  <c r="BH214" i="17"/>
  <c r="BH149" i="17"/>
  <c r="BH43" i="17"/>
  <c r="BI603" i="17"/>
  <c r="BH400" i="17"/>
  <c r="BH357" i="17"/>
  <c r="BH314" i="17"/>
  <c r="BH262" i="17"/>
  <c r="BH210" i="17"/>
  <c r="BH133" i="17"/>
  <c r="BH42" i="17"/>
  <c r="BI485" i="17"/>
  <c r="BH393" i="17"/>
  <c r="BH355" i="17"/>
  <c r="BH302" i="17"/>
  <c r="BH258" i="17"/>
  <c r="BH198" i="17"/>
  <c r="BH131" i="17"/>
  <c r="BH35" i="17"/>
  <c r="BH382" i="17"/>
  <c r="BH354" i="17"/>
  <c r="BH301" i="17"/>
  <c r="BH246" i="17"/>
  <c r="BH194" i="17"/>
  <c r="BH115" i="17"/>
  <c r="BI1146" i="17"/>
  <c r="BI190" i="17"/>
  <c r="BI863" i="17"/>
  <c r="BH863" i="17"/>
  <c r="BI839" i="17"/>
  <c r="BH839" i="17"/>
  <c r="BI815" i="17"/>
  <c r="BH815" i="17"/>
  <c r="BI791" i="17"/>
  <c r="BH791" i="17"/>
  <c r="BI767" i="17"/>
  <c r="BH767" i="17"/>
  <c r="BI751" i="17"/>
  <c r="BH751" i="17"/>
  <c r="BI727" i="17"/>
  <c r="BH727" i="17"/>
  <c r="BI695" i="17"/>
  <c r="BH695" i="17"/>
  <c r="BI671" i="17"/>
  <c r="BH671" i="17"/>
  <c r="BI647" i="17"/>
  <c r="BH647" i="17"/>
  <c r="BI631" i="17"/>
  <c r="BH631" i="17"/>
  <c r="BI615" i="17"/>
  <c r="BH615" i="17"/>
  <c r="BI591" i="17"/>
  <c r="BH591" i="17"/>
  <c r="BI567" i="17"/>
  <c r="BH567" i="17"/>
  <c r="BI543" i="17"/>
  <c r="BH543" i="17"/>
  <c r="BI519" i="17"/>
  <c r="BH519" i="17"/>
  <c r="BI495" i="17"/>
  <c r="BH495" i="17"/>
  <c r="BI471" i="17"/>
  <c r="BH471" i="17"/>
  <c r="BI447" i="17"/>
  <c r="BH447" i="17"/>
  <c r="BI423" i="17"/>
  <c r="BH423" i="17"/>
  <c r="BI399" i="17"/>
  <c r="BH399" i="17"/>
  <c r="BI391" i="17"/>
  <c r="BH391" i="17"/>
  <c r="BI367" i="17"/>
  <c r="BH367" i="17"/>
  <c r="BI343" i="17"/>
  <c r="BH343" i="17"/>
  <c r="BI319" i="17"/>
  <c r="BH319" i="17"/>
  <c r="BI303" i="17"/>
  <c r="BH303" i="17"/>
  <c r="BI287" i="17"/>
  <c r="BH287" i="17"/>
  <c r="BI263" i="17"/>
  <c r="BH263" i="17"/>
  <c r="BI239" i="17"/>
  <c r="BH239" i="17"/>
  <c r="BI215" i="17"/>
  <c r="BH215" i="17"/>
  <c r="BI199" i="17"/>
  <c r="BH199" i="17"/>
  <c r="BI175" i="17"/>
  <c r="BH175" i="17"/>
  <c r="BI159" i="17"/>
  <c r="BH159" i="17"/>
  <c r="BH135" i="17"/>
  <c r="BI135" i="17"/>
  <c r="BI111" i="17"/>
  <c r="BH111" i="17"/>
  <c r="BI87" i="17"/>
  <c r="BH87" i="17"/>
  <c r="BI79" i="17"/>
  <c r="BH79" i="17"/>
  <c r="BI55" i="17"/>
  <c r="BH55" i="17"/>
  <c r="BI31" i="17"/>
  <c r="BH31" i="17"/>
  <c r="BI15" i="17"/>
  <c r="BH15" i="17"/>
  <c r="BH1152" i="17"/>
  <c r="BH1088" i="17"/>
  <c r="BH1024" i="17"/>
  <c r="BH983" i="17"/>
  <c r="BH919" i="17"/>
  <c r="BH848" i="17"/>
  <c r="BH784" i="17"/>
  <c r="BH688" i="17"/>
  <c r="BH592" i="17"/>
  <c r="BH496" i="17"/>
  <c r="BI1166" i="17"/>
  <c r="BH1166" i="17"/>
  <c r="BI1142" i="17"/>
  <c r="BH1142" i="17"/>
  <c r="BI1118" i="17"/>
  <c r="BH1118" i="17"/>
  <c r="BI1094" i="17"/>
  <c r="BH1094" i="17"/>
  <c r="BI1070" i="17"/>
  <c r="BH1070" i="17"/>
  <c r="BI1046" i="17"/>
  <c r="BH1046" i="17"/>
  <c r="BI1030" i="17"/>
  <c r="BH1030" i="17"/>
  <c r="BI1006" i="17"/>
  <c r="BH1006" i="17"/>
  <c r="BI958" i="17"/>
  <c r="BH958" i="17"/>
  <c r="BI934" i="17"/>
  <c r="BH934" i="17"/>
  <c r="BI910" i="17"/>
  <c r="BH910" i="17"/>
  <c r="BI886" i="17"/>
  <c r="BH886" i="17"/>
  <c r="BI878" i="17"/>
  <c r="BH878" i="17"/>
  <c r="BI854" i="17"/>
  <c r="BH854" i="17"/>
  <c r="BI838" i="17"/>
  <c r="BH838" i="17"/>
  <c r="BI822" i="17"/>
  <c r="BH822" i="17"/>
  <c r="BI798" i="17"/>
  <c r="BH798" i="17"/>
  <c r="BH1128" i="17"/>
  <c r="BH1064" i="17"/>
  <c r="BH1023" i="17"/>
  <c r="BH977" i="17"/>
  <c r="BH936" i="17"/>
  <c r="BH872" i="17"/>
  <c r="BH809" i="17"/>
  <c r="BH745" i="17"/>
  <c r="BH681" i="17"/>
  <c r="BH617" i="17"/>
  <c r="BH553" i="17"/>
  <c r="BH521" i="17"/>
  <c r="BH489" i="17"/>
  <c r="BI1145" i="17"/>
  <c r="BI601" i="17"/>
  <c r="BI1173" i="17"/>
  <c r="BH1173" i="17"/>
  <c r="BI1157" i="17"/>
  <c r="BH1157" i="17"/>
  <c r="BI1149" i="17"/>
  <c r="BH1149" i="17"/>
  <c r="BI1141" i="17"/>
  <c r="BH1141" i="17"/>
  <c r="BI1133" i="17"/>
  <c r="BH1133" i="17"/>
  <c r="BI1125" i="17"/>
  <c r="BH1125" i="17"/>
  <c r="BH1117" i="17"/>
  <c r="BI1117" i="17"/>
  <c r="BI1109" i="17"/>
  <c r="BH1109" i="17"/>
  <c r="BI1101" i="17"/>
  <c r="BH1101" i="17"/>
  <c r="BI1093" i="17"/>
  <c r="BH1093" i="17"/>
  <c r="BI1085" i="17"/>
  <c r="BH1085" i="17"/>
  <c r="BI1077" i="17"/>
  <c r="BH1077" i="17"/>
  <c r="BI1069" i="17"/>
  <c r="BH1069" i="17"/>
  <c r="BI1061" i="17"/>
  <c r="BH1061" i="17"/>
  <c r="BI1053" i="17"/>
  <c r="BH1053" i="17"/>
  <c r="BI1045" i="17"/>
  <c r="BH1045" i="17"/>
  <c r="BI1037" i="17"/>
  <c r="BH1037" i="17"/>
  <c r="BI1029" i="17"/>
  <c r="BH1029" i="17"/>
  <c r="BI1021" i="17"/>
  <c r="BH1021" i="17"/>
  <c r="BI1013" i="17"/>
  <c r="BH1013" i="17"/>
  <c r="BI1005" i="17"/>
  <c r="BH1005" i="17"/>
  <c r="BI997" i="17"/>
  <c r="BH997" i="17"/>
  <c r="BI989" i="17"/>
  <c r="BH989" i="17"/>
  <c r="BH981" i="17"/>
  <c r="BI981" i="17"/>
  <c r="BI973" i="17"/>
  <c r="BH973" i="17"/>
  <c r="BI965" i="17"/>
  <c r="BH965" i="17"/>
  <c r="BI957" i="17"/>
  <c r="BH957" i="17"/>
  <c r="BI941" i="17"/>
  <c r="BH941" i="17"/>
  <c r="BI933" i="17"/>
  <c r="BH933" i="17"/>
  <c r="BI925" i="17"/>
  <c r="BH925" i="17"/>
  <c r="BI917" i="17"/>
  <c r="BH917" i="17"/>
  <c r="BI909" i="17"/>
  <c r="BH909" i="17"/>
  <c r="BI893" i="17"/>
  <c r="BH893" i="17"/>
  <c r="BH885" i="17"/>
  <c r="BI885" i="17"/>
  <c r="BI877" i="17"/>
  <c r="BH877" i="17"/>
  <c r="BI869" i="17"/>
  <c r="BH869" i="17"/>
  <c r="BI861" i="17"/>
  <c r="BH861" i="17"/>
  <c r="BI853" i="17"/>
  <c r="BH853" i="17"/>
  <c r="BI845" i="17"/>
  <c r="BH845" i="17"/>
  <c r="BI837" i="17"/>
  <c r="BH837" i="17"/>
  <c r="BI829" i="17"/>
  <c r="BH829" i="17"/>
  <c r="BI821" i="17"/>
  <c r="BH821" i="17"/>
  <c r="BI813" i="17"/>
  <c r="BH813" i="17"/>
  <c r="BI805" i="17"/>
  <c r="BH805" i="17"/>
  <c r="BI797" i="17"/>
  <c r="BH797" i="17"/>
  <c r="BI789" i="17"/>
  <c r="BH789" i="17"/>
  <c r="BI781" i="17"/>
  <c r="BH781" i="17"/>
  <c r="BI773" i="17"/>
  <c r="BH773" i="17"/>
  <c r="BI765" i="17"/>
  <c r="BH765" i="17"/>
  <c r="BH1168" i="17"/>
  <c r="BH1127" i="17"/>
  <c r="BH1104" i="17"/>
  <c r="BH1081" i="17"/>
  <c r="BH1063" i="17"/>
  <c r="BH1040" i="17"/>
  <c r="BH1017" i="17"/>
  <c r="BH999" i="17"/>
  <c r="BH976" i="17"/>
  <c r="BH953" i="17"/>
  <c r="BH935" i="17"/>
  <c r="BH912" i="17"/>
  <c r="BH889" i="17"/>
  <c r="BH871" i="17"/>
  <c r="BH840" i="17"/>
  <c r="BH808" i="17"/>
  <c r="BH776" i="17"/>
  <c r="BH744" i="17"/>
  <c r="BH712" i="17"/>
  <c r="BH680" i="17"/>
  <c r="BH648" i="17"/>
  <c r="BH616" i="17"/>
  <c r="BH584" i="17"/>
  <c r="BH552" i="17"/>
  <c r="BH520" i="17"/>
  <c r="BH488" i="17"/>
  <c r="BH456" i="17"/>
  <c r="BH424" i="17"/>
  <c r="BH392" i="17"/>
  <c r="BH337" i="17"/>
  <c r="BH168" i="17"/>
  <c r="BH113" i="17"/>
  <c r="BI1120" i="17"/>
  <c r="BI993" i="17"/>
  <c r="BI811" i="17"/>
  <c r="BI855" i="17"/>
  <c r="BH855" i="17"/>
  <c r="BI831" i="17"/>
  <c r="BH831" i="17"/>
  <c r="BI807" i="17"/>
  <c r="BH807" i="17"/>
  <c r="BI783" i="17"/>
  <c r="BH783" i="17"/>
  <c r="BI759" i="17"/>
  <c r="BH759" i="17"/>
  <c r="BI735" i="17"/>
  <c r="BH735" i="17"/>
  <c r="BI711" i="17"/>
  <c r="BH711" i="17"/>
  <c r="BI687" i="17"/>
  <c r="BH687" i="17"/>
  <c r="BI663" i="17"/>
  <c r="BH663" i="17"/>
  <c r="BI639" i="17"/>
  <c r="BH639" i="17"/>
  <c r="BI607" i="17"/>
  <c r="BH607" i="17"/>
  <c r="BI583" i="17"/>
  <c r="BH583" i="17"/>
  <c r="BI559" i="17"/>
  <c r="BH559" i="17"/>
  <c r="BI535" i="17"/>
  <c r="BH535" i="17"/>
  <c r="BI511" i="17"/>
  <c r="BH511" i="17"/>
  <c r="BI487" i="17"/>
  <c r="BH487" i="17"/>
  <c r="BI463" i="17"/>
  <c r="BH463" i="17"/>
  <c r="BI439" i="17"/>
  <c r="BH439" i="17"/>
  <c r="BI415" i="17"/>
  <c r="BH415" i="17"/>
  <c r="BI359" i="17"/>
  <c r="BH359" i="17"/>
  <c r="BI327" i="17"/>
  <c r="BH327" i="17"/>
  <c r="BI295" i="17"/>
  <c r="BH295" i="17"/>
  <c r="BH271" i="17"/>
  <c r="BI271" i="17"/>
  <c r="BI247" i="17"/>
  <c r="BH247" i="17"/>
  <c r="BI223" i="17"/>
  <c r="BH223" i="17"/>
  <c r="BI191" i="17"/>
  <c r="BH191" i="17"/>
  <c r="BI167" i="17"/>
  <c r="BH167" i="17"/>
  <c r="BI143" i="17"/>
  <c r="BH143" i="17"/>
  <c r="BI119" i="17"/>
  <c r="BH119" i="17"/>
  <c r="BI95" i="17"/>
  <c r="BH95" i="17"/>
  <c r="BH71" i="17"/>
  <c r="BI71" i="17"/>
  <c r="BH39" i="17"/>
  <c r="BI39" i="17"/>
  <c r="BI7" i="17"/>
  <c r="BH7" i="17"/>
  <c r="BH1111" i="17"/>
  <c r="BH1047" i="17"/>
  <c r="BH960" i="17"/>
  <c r="BH896" i="17"/>
  <c r="BH816" i="17"/>
  <c r="BH720" i="17"/>
  <c r="BH624" i="17"/>
  <c r="BH528" i="17"/>
  <c r="BH464" i="17"/>
  <c r="BI1158" i="17"/>
  <c r="BH1158" i="17"/>
  <c r="BI1134" i="17"/>
  <c r="BH1134" i="17"/>
  <c r="BI1102" i="17"/>
  <c r="BH1102" i="17"/>
  <c r="BI1078" i="17"/>
  <c r="BH1078" i="17"/>
  <c r="BH1054" i="17"/>
  <c r="BI1054" i="17"/>
  <c r="BH1022" i="17"/>
  <c r="BI1022" i="17"/>
  <c r="BI998" i="17"/>
  <c r="BH998" i="17"/>
  <c r="BI974" i="17"/>
  <c r="BH974" i="17"/>
  <c r="BI926" i="17"/>
  <c r="BH926" i="17"/>
  <c r="BI894" i="17"/>
  <c r="BH894" i="17"/>
  <c r="BI870" i="17"/>
  <c r="BH870" i="17"/>
  <c r="BI830" i="17"/>
  <c r="BH830" i="17"/>
  <c r="BI806" i="17"/>
  <c r="BH806" i="17"/>
  <c r="BI790" i="17"/>
  <c r="BH790" i="17"/>
  <c r="BH1169" i="17"/>
  <c r="BH1151" i="17"/>
  <c r="BH1105" i="17"/>
  <c r="BH1087" i="17"/>
  <c r="BH1041" i="17"/>
  <c r="BH1000" i="17"/>
  <c r="BH959" i="17"/>
  <c r="BH913" i="17"/>
  <c r="BH841" i="17"/>
  <c r="BH777" i="17"/>
  <c r="BH713" i="17"/>
  <c r="BH649" i="17"/>
  <c r="BH585" i="17"/>
  <c r="BI849" i="17"/>
  <c r="BH1164" i="17"/>
  <c r="BI1164" i="17"/>
  <c r="BH1156" i="17"/>
  <c r="BI1156" i="17"/>
  <c r="BI1148" i="17"/>
  <c r="BH1148" i="17"/>
  <c r="BI1140" i="17"/>
  <c r="BH1140" i="17"/>
  <c r="BI1132" i="17"/>
  <c r="BH1132" i="17"/>
  <c r="BI1124" i="17"/>
  <c r="BH1124" i="17"/>
  <c r="BI1116" i="17"/>
  <c r="BH1116" i="17"/>
  <c r="BI1108" i="17"/>
  <c r="BH1108" i="17"/>
  <c r="BI1100" i="17"/>
  <c r="BH1100" i="17"/>
  <c r="BI1084" i="17"/>
  <c r="BH1084" i="17"/>
  <c r="BI1076" i="17"/>
  <c r="BH1076" i="17"/>
  <c r="BI1068" i="17"/>
  <c r="BH1068" i="17"/>
  <c r="BI1060" i="17"/>
  <c r="BH1060" i="17"/>
  <c r="BI1052" i="17"/>
  <c r="BH1052" i="17"/>
  <c r="BI1044" i="17"/>
  <c r="BH1044" i="17"/>
  <c r="BI1036" i="17"/>
  <c r="BH1036" i="17"/>
  <c r="BI1028" i="17"/>
  <c r="BH1028" i="17"/>
  <c r="BI1020" i="17"/>
  <c r="BH1020" i="17"/>
  <c r="BH1012" i="17"/>
  <c r="BI1012" i="17"/>
  <c r="BI1004" i="17"/>
  <c r="BH1004" i="17"/>
  <c r="BI996" i="17"/>
  <c r="BH996" i="17"/>
  <c r="BI988" i="17"/>
  <c r="BH988" i="17"/>
  <c r="BH980" i="17"/>
  <c r="BI980" i="17"/>
  <c r="BI972" i="17"/>
  <c r="BH972" i="17"/>
  <c r="BI964" i="17"/>
  <c r="BH964" i="17"/>
  <c r="BI956" i="17"/>
  <c r="BH956" i="17"/>
  <c r="BI948" i="17"/>
  <c r="BH948" i="17"/>
  <c r="BI940" i="17"/>
  <c r="BH940" i="17"/>
  <c r="BI932" i="17"/>
  <c r="BH932" i="17"/>
  <c r="BI924" i="17"/>
  <c r="BH924" i="17"/>
  <c r="BI916" i="17"/>
  <c r="BH916" i="17"/>
  <c r="BI908" i="17"/>
  <c r="BH908" i="17"/>
  <c r="BI892" i="17"/>
  <c r="BH892" i="17"/>
  <c r="BH884" i="17"/>
  <c r="BI884" i="17"/>
  <c r="BI876" i="17"/>
  <c r="BH876" i="17"/>
  <c r="BI868" i="17"/>
  <c r="BH868" i="17"/>
  <c r="BI860" i="17"/>
  <c r="BH860" i="17"/>
  <c r="BI852" i="17"/>
  <c r="BH852" i="17"/>
  <c r="BI844" i="17"/>
  <c r="BH844" i="17"/>
  <c r="BI836" i="17"/>
  <c r="BH836" i="17"/>
  <c r="BI828" i="17"/>
  <c r="BH828" i="17"/>
  <c r="BI820" i="17"/>
  <c r="BH820" i="17"/>
  <c r="BI812" i="17"/>
  <c r="BH812" i="17"/>
  <c r="BI804" i="17"/>
  <c r="BH804" i="17"/>
  <c r="BI796" i="17"/>
  <c r="BH796" i="17"/>
  <c r="BI788" i="17"/>
  <c r="BH788" i="17"/>
  <c r="BI780" i="17"/>
  <c r="BH780" i="17"/>
  <c r="BI772" i="17"/>
  <c r="BH772" i="17"/>
  <c r="BI764" i="17"/>
  <c r="BH764" i="17"/>
  <c r="BI756" i="17"/>
  <c r="BH756" i="17"/>
  <c r="BH1167" i="17"/>
  <c r="BH1144" i="17"/>
  <c r="BH1121" i="17"/>
  <c r="BH1103" i="17"/>
  <c r="BH1080" i="17"/>
  <c r="BH1057" i="17"/>
  <c r="BH1039" i="17"/>
  <c r="BH1016" i="17"/>
  <c r="BH975" i="17"/>
  <c r="BH952" i="17"/>
  <c r="BH929" i="17"/>
  <c r="BH911" i="17"/>
  <c r="BH888" i="17"/>
  <c r="BH865" i="17"/>
  <c r="BH833" i="17"/>
  <c r="BH801" i="17"/>
  <c r="BH769" i="17"/>
  <c r="BH737" i="17"/>
  <c r="BH705" i="17"/>
  <c r="BH673" i="17"/>
  <c r="BH641" i="17"/>
  <c r="BH609" i="17"/>
  <c r="BH577" i="17"/>
  <c r="BH545" i="17"/>
  <c r="BH513" i="17"/>
  <c r="BH481" i="17"/>
  <c r="BH449" i="17"/>
  <c r="BH417" i="17"/>
  <c r="BH384" i="17"/>
  <c r="BH328" i="17"/>
  <c r="BH289" i="17"/>
  <c r="BH248" i="17"/>
  <c r="BI1119" i="17"/>
  <c r="BI982" i="17"/>
  <c r="BI810" i="17"/>
  <c r="BI1107" i="17"/>
  <c r="BH1107" i="17"/>
  <c r="BI1091" i="17"/>
  <c r="BH1091" i="17"/>
  <c r="BI1083" i="17"/>
  <c r="BH1083" i="17"/>
  <c r="BI1075" i="17"/>
  <c r="BH1075" i="17"/>
  <c r="BI1067" i="17"/>
  <c r="BH1067" i="17"/>
  <c r="BI1059" i="17"/>
  <c r="BH1059" i="17"/>
  <c r="BI1051" i="17"/>
  <c r="BH1051" i="17"/>
  <c r="BI1043" i="17"/>
  <c r="BH1043" i="17"/>
  <c r="BI1035" i="17"/>
  <c r="BH1035" i="17"/>
  <c r="BI1027" i="17"/>
  <c r="BH1027" i="17"/>
  <c r="BI1019" i="17"/>
  <c r="BH1019" i="17"/>
  <c r="BI1011" i="17"/>
  <c r="BH1011" i="17"/>
  <c r="BI1003" i="17"/>
  <c r="BH1003" i="17"/>
  <c r="BI995" i="17"/>
  <c r="BH995" i="17"/>
  <c r="BI987" i="17"/>
  <c r="BH987" i="17"/>
  <c r="BI979" i="17"/>
  <c r="BH979" i="17"/>
  <c r="BI971" i="17"/>
  <c r="BH971" i="17"/>
  <c r="BI963" i="17"/>
  <c r="BH963" i="17"/>
  <c r="BI955" i="17"/>
  <c r="BH955" i="17"/>
  <c r="BI947" i="17"/>
  <c r="BH947" i="17"/>
  <c r="BI939" i="17"/>
  <c r="BH939" i="17"/>
  <c r="BI931" i="17"/>
  <c r="BH931" i="17"/>
  <c r="BI923" i="17"/>
  <c r="BH923" i="17"/>
  <c r="BI915" i="17"/>
  <c r="BH915" i="17"/>
  <c r="BI907" i="17"/>
  <c r="BH907" i="17"/>
  <c r="BI899" i="17"/>
  <c r="BH899" i="17"/>
  <c r="BI891" i="17"/>
  <c r="BH891" i="17"/>
  <c r="BI883" i="17"/>
  <c r="BH883" i="17"/>
  <c r="BI875" i="17"/>
  <c r="BH875" i="17"/>
  <c r="BI867" i="17"/>
  <c r="BH867" i="17"/>
  <c r="BI859" i="17"/>
  <c r="BH859" i="17"/>
  <c r="BI851" i="17"/>
  <c r="BH851" i="17"/>
  <c r="BI843" i="17"/>
  <c r="BH843" i="17"/>
  <c r="BI835" i="17"/>
  <c r="BH835" i="17"/>
  <c r="BI827" i="17"/>
  <c r="BH827" i="17"/>
  <c r="BI819" i="17"/>
  <c r="BH819" i="17"/>
  <c r="BI803" i="17"/>
  <c r="BH803" i="17"/>
  <c r="BI795" i="17"/>
  <c r="BH795" i="17"/>
  <c r="BI787" i="17"/>
  <c r="BH787" i="17"/>
  <c r="BI779" i="17"/>
  <c r="BH779" i="17"/>
  <c r="BI771" i="17"/>
  <c r="BH771" i="17"/>
  <c r="BI763" i="17"/>
  <c r="BH763" i="17"/>
  <c r="BI755" i="17"/>
  <c r="BH755" i="17"/>
  <c r="BI747" i="17"/>
  <c r="BH747" i="17"/>
  <c r="BH1161" i="17"/>
  <c r="BH1143" i="17"/>
  <c r="BH1097" i="17"/>
  <c r="BH1079" i="17"/>
  <c r="BH1056" i="17"/>
  <c r="BH1033" i="17"/>
  <c r="BH1015" i="17"/>
  <c r="BH992" i="17"/>
  <c r="BH969" i="17"/>
  <c r="BH951" i="17"/>
  <c r="BH928" i="17"/>
  <c r="BH905" i="17"/>
  <c r="BH887" i="17"/>
  <c r="BH864" i="17"/>
  <c r="BH832" i="17"/>
  <c r="BH800" i="17"/>
  <c r="BH768" i="17"/>
  <c r="BH736" i="17"/>
  <c r="BH704" i="17"/>
  <c r="BH672" i="17"/>
  <c r="BH640" i="17"/>
  <c r="BH608" i="17"/>
  <c r="BH576" i="17"/>
  <c r="BH544" i="17"/>
  <c r="BH512" i="17"/>
  <c r="BH480" i="17"/>
  <c r="BH448" i="17"/>
  <c r="BH416" i="17"/>
  <c r="BH383" i="17"/>
  <c r="BH288" i="17"/>
  <c r="BH200" i="17"/>
  <c r="BH17" i="17"/>
  <c r="BI1099" i="17"/>
  <c r="BI950" i="17"/>
  <c r="BI369" i="17"/>
  <c r="BI847" i="17"/>
  <c r="BH847" i="17"/>
  <c r="BI823" i="17"/>
  <c r="BH823" i="17"/>
  <c r="BI799" i="17"/>
  <c r="BH799" i="17"/>
  <c r="BI775" i="17"/>
  <c r="BH775" i="17"/>
  <c r="BI719" i="17"/>
  <c r="BH719" i="17"/>
  <c r="BI703" i="17"/>
  <c r="BH703" i="17"/>
  <c r="BI679" i="17"/>
  <c r="BH679" i="17"/>
  <c r="BI655" i="17"/>
  <c r="BH655" i="17"/>
  <c r="BI623" i="17"/>
  <c r="BH623" i="17"/>
  <c r="BI599" i="17"/>
  <c r="BH599" i="17"/>
  <c r="BI575" i="17"/>
  <c r="BH575" i="17"/>
  <c r="BI551" i="17"/>
  <c r="BH551" i="17"/>
  <c r="BI527" i="17"/>
  <c r="BH527" i="17"/>
  <c r="BI503" i="17"/>
  <c r="BH503" i="17"/>
  <c r="BI479" i="17"/>
  <c r="BH479" i="17"/>
  <c r="BI455" i="17"/>
  <c r="BH455" i="17"/>
  <c r="BI431" i="17"/>
  <c r="BH431" i="17"/>
  <c r="BI407" i="17"/>
  <c r="BH407" i="17"/>
  <c r="BI351" i="17"/>
  <c r="BH351" i="17"/>
  <c r="BI335" i="17"/>
  <c r="BH335" i="17"/>
  <c r="BI311" i="17"/>
  <c r="BH311" i="17"/>
  <c r="BI279" i="17"/>
  <c r="BH279" i="17"/>
  <c r="BH255" i="17"/>
  <c r="BI255" i="17"/>
  <c r="BI231" i="17"/>
  <c r="BH231" i="17"/>
  <c r="BI207" i="17"/>
  <c r="BH207" i="17"/>
  <c r="BI183" i="17"/>
  <c r="BH183" i="17"/>
  <c r="BI151" i="17"/>
  <c r="BH151" i="17"/>
  <c r="BI127" i="17"/>
  <c r="BH127" i="17"/>
  <c r="BI103" i="17"/>
  <c r="BH103" i="17"/>
  <c r="BI47" i="17"/>
  <c r="BH47" i="17"/>
  <c r="BI23" i="17"/>
  <c r="BH23" i="17"/>
  <c r="BH2" i="17"/>
  <c r="BH1129" i="17"/>
  <c r="BH1065" i="17"/>
  <c r="BH1001" i="17"/>
  <c r="BH937" i="17"/>
  <c r="BH873" i="17"/>
  <c r="BH752" i="17"/>
  <c r="BH656" i="17"/>
  <c r="BH560" i="17"/>
  <c r="BI1025" i="17"/>
  <c r="BI1174" i="17"/>
  <c r="BH1174" i="17"/>
  <c r="BI1150" i="17"/>
  <c r="BH1150" i="17"/>
  <c r="BI1126" i="17"/>
  <c r="BH1126" i="17"/>
  <c r="BI1110" i="17"/>
  <c r="BH1110" i="17"/>
  <c r="BI1086" i="17"/>
  <c r="BH1086" i="17"/>
  <c r="BI1062" i="17"/>
  <c r="BH1062" i="17"/>
  <c r="BI1038" i="17"/>
  <c r="BH1038" i="17"/>
  <c r="BI1014" i="17"/>
  <c r="BH1014" i="17"/>
  <c r="BI990" i="17"/>
  <c r="BH990" i="17"/>
  <c r="BI966" i="17"/>
  <c r="BH966" i="17"/>
  <c r="BI942" i="17"/>
  <c r="BH942" i="17"/>
  <c r="BI918" i="17"/>
  <c r="BH918" i="17"/>
  <c r="BI902" i="17"/>
  <c r="BH902" i="17"/>
  <c r="BI846" i="17"/>
  <c r="BH846" i="17"/>
  <c r="BI814" i="17"/>
  <c r="BH814" i="17"/>
  <c r="BH895" i="17"/>
  <c r="BI1171" i="17"/>
  <c r="BH1171" i="17"/>
  <c r="BH1163" i="17"/>
  <c r="BI1163" i="17"/>
  <c r="BH1155" i="17"/>
  <c r="BI1155" i="17"/>
  <c r="BI1147" i="17"/>
  <c r="BH1147" i="17"/>
  <c r="BI1139" i="17"/>
  <c r="BH1139" i="17"/>
  <c r="BI1131" i="17"/>
  <c r="BH1131" i="17"/>
  <c r="BI1123" i="17"/>
  <c r="BH1123" i="17"/>
  <c r="BI1115" i="17"/>
  <c r="BH1115" i="17"/>
  <c r="BI1170" i="17"/>
  <c r="BH1170" i="17"/>
  <c r="BI1162" i="17"/>
  <c r="BH1162" i="17"/>
  <c r="BH1154" i="17"/>
  <c r="BI1154" i="17"/>
  <c r="BH1138" i="17"/>
  <c r="BI1138" i="17"/>
  <c r="BI1130" i="17"/>
  <c r="BH1130" i="17"/>
  <c r="BI1122" i="17"/>
  <c r="BH1122" i="17"/>
  <c r="BI1114" i="17"/>
  <c r="BH1114" i="17"/>
  <c r="BI1106" i="17"/>
  <c r="BH1106" i="17"/>
  <c r="BI1098" i="17"/>
  <c r="BH1098" i="17"/>
  <c r="BH1090" i="17"/>
  <c r="BI1090" i="17"/>
  <c r="BI1082" i="17"/>
  <c r="BH1082" i="17"/>
  <c r="BI1074" i="17"/>
  <c r="BH1074" i="17"/>
  <c r="BI1058" i="17"/>
  <c r="BH1058" i="17"/>
  <c r="BH1050" i="17"/>
  <c r="BI1050" i="17"/>
  <c r="BI1042" i="17"/>
  <c r="BH1042" i="17"/>
  <c r="BI1034" i="17"/>
  <c r="BH1034" i="17"/>
  <c r="BI1026" i="17"/>
  <c r="BH1026" i="17"/>
  <c r="BI1018" i="17"/>
  <c r="BH1018" i="17"/>
  <c r="BI1010" i="17"/>
  <c r="BH1010" i="17"/>
  <c r="BI1002" i="17"/>
  <c r="BH1002" i="17"/>
  <c r="BI994" i="17"/>
  <c r="BH994" i="17"/>
  <c r="BI986" i="17"/>
  <c r="BH986" i="17"/>
  <c r="BI978" i="17"/>
  <c r="BH978" i="17"/>
  <c r="BI970" i="17"/>
  <c r="BH970" i="17"/>
  <c r="BI962" i="17"/>
  <c r="BH962" i="17"/>
  <c r="BI954" i="17"/>
  <c r="BH954" i="17"/>
  <c r="BI946" i="17"/>
  <c r="BH946" i="17"/>
  <c r="BI938" i="17"/>
  <c r="BH938" i="17"/>
  <c r="BI930" i="17"/>
  <c r="BH930" i="17"/>
  <c r="BI922" i="17"/>
  <c r="BH922" i="17"/>
  <c r="BI914" i="17"/>
  <c r="BH914" i="17"/>
  <c r="BI906" i="17"/>
  <c r="BH906" i="17"/>
  <c r="BI898" i="17"/>
  <c r="BH898" i="17"/>
  <c r="BI890" i="17"/>
  <c r="BH890" i="17"/>
  <c r="BI882" i="17"/>
  <c r="BH882" i="17"/>
  <c r="BI874" i="17"/>
  <c r="BH874" i="17"/>
  <c r="BI866" i="17"/>
  <c r="BH866" i="17"/>
  <c r="BI858" i="17"/>
  <c r="BH858" i="17"/>
  <c r="BI850" i="17"/>
  <c r="BH850" i="17"/>
  <c r="BI842" i="17"/>
  <c r="BH842" i="17"/>
  <c r="BI834" i="17"/>
  <c r="BH834" i="17"/>
  <c r="BI826" i="17"/>
  <c r="BH826" i="17"/>
  <c r="BI818" i="17"/>
  <c r="BH818" i="17"/>
  <c r="BI802" i="17"/>
  <c r="BH802" i="17"/>
  <c r="BI794" i="17"/>
  <c r="BH794" i="17"/>
  <c r="BI786" i="17"/>
  <c r="BH786" i="17"/>
  <c r="BH1160" i="17"/>
  <c r="BH1137" i="17"/>
  <c r="BH1096" i="17"/>
  <c r="BH1073" i="17"/>
  <c r="BH1055" i="17"/>
  <c r="BH1032" i="17"/>
  <c r="BH1009" i="17"/>
  <c r="BH991" i="17"/>
  <c r="BH968" i="17"/>
  <c r="BH945" i="17"/>
  <c r="BH927" i="17"/>
  <c r="BH904" i="17"/>
  <c r="BH881" i="17"/>
  <c r="BH857" i="17"/>
  <c r="BH825" i="17"/>
  <c r="BH793" i="17"/>
  <c r="BH761" i="17"/>
  <c r="BH729" i="17"/>
  <c r="BH697" i="17"/>
  <c r="BH665" i="17"/>
  <c r="BH633" i="17"/>
  <c r="BH569" i="17"/>
  <c r="BH537" i="17"/>
  <c r="BH505" i="17"/>
  <c r="BH473" i="17"/>
  <c r="BH441" i="17"/>
  <c r="BH409" i="17"/>
  <c r="BH152" i="17"/>
  <c r="BH89" i="17"/>
  <c r="BH16" i="17"/>
  <c r="BI1092" i="17"/>
  <c r="BI949" i="17"/>
  <c r="BI743" i="17"/>
  <c r="BI385" i="17"/>
  <c r="BH385" i="17"/>
  <c r="BI377" i="17"/>
  <c r="BH377" i="17"/>
  <c r="BI361" i="17"/>
  <c r="BH361" i="17"/>
  <c r="BI353" i="17"/>
  <c r="BH353" i="17"/>
  <c r="BI345" i="17"/>
  <c r="BH345" i="17"/>
  <c r="BI329" i="17"/>
  <c r="BH329" i="17"/>
  <c r="BI321" i="17"/>
  <c r="BH321" i="17"/>
  <c r="BI305" i="17"/>
  <c r="BH305" i="17"/>
  <c r="BI297" i="17"/>
  <c r="BH297" i="17"/>
  <c r="BI281" i="17"/>
  <c r="BH281" i="17"/>
  <c r="BI273" i="17"/>
  <c r="BH273" i="17"/>
  <c r="BI265" i="17"/>
  <c r="BH265" i="17"/>
  <c r="BI257" i="17"/>
  <c r="BH257" i="17"/>
  <c r="BI249" i="17"/>
  <c r="BH249" i="17"/>
  <c r="BI241" i="17"/>
  <c r="BH241" i="17"/>
  <c r="BI233" i="17"/>
  <c r="BH233" i="17"/>
  <c r="BI225" i="17"/>
  <c r="BH225" i="17"/>
  <c r="BI217" i="17"/>
  <c r="BH217" i="17"/>
  <c r="BI209" i="17"/>
  <c r="BH209" i="17"/>
  <c r="BI201" i="17"/>
  <c r="BH201" i="17"/>
  <c r="BI193" i="17"/>
  <c r="BH193" i="17"/>
  <c r="BI185" i="17"/>
  <c r="BH185" i="17"/>
  <c r="BI177" i="17"/>
  <c r="BH177" i="17"/>
  <c r="BI169" i="17"/>
  <c r="BH169" i="17"/>
  <c r="BI161" i="17"/>
  <c r="BH161" i="17"/>
  <c r="BI153" i="17"/>
  <c r="BH153" i="17"/>
  <c r="BI145" i="17"/>
  <c r="BH145" i="17"/>
  <c r="BI137" i="17"/>
  <c r="BH137" i="17"/>
  <c r="BI129" i="17"/>
  <c r="BH129" i="17"/>
  <c r="BI121" i="17"/>
  <c r="BH121" i="17"/>
  <c r="BI105" i="17"/>
  <c r="BH105" i="17"/>
  <c r="BI97" i="17"/>
  <c r="BH97" i="17"/>
  <c r="BI81" i="17"/>
  <c r="BH81" i="17"/>
  <c r="BI73" i="17"/>
  <c r="BH73" i="17"/>
  <c r="BI65" i="17"/>
  <c r="BH65" i="17"/>
  <c r="BI57" i="17"/>
  <c r="BH57" i="17"/>
  <c r="BH49" i="17"/>
  <c r="BI49" i="17"/>
  <c r="BI41" i="17"/>
  <c r="BH41" i="17"/>
  <c r="BI33" i="17"/>
  <c r="BH33" i="17"/>
  <c r="BI25" i="17"/>
  <c r="BH25" i="17"/>
  <c r="BI9" i="17"/>
  <c r="BH9" i="17"/>
  <c r="BH1159" i="17"/>
  <c r="BH1136" i="17"/>
  <c r="BH1113" i="17"/>
  <c r="BH1095" i="17"/>
  <c r="BH1072" i="17"/>
  <c r="BH1049" i="17"/>
  <c r="BH1031" i="17"/>
  <c r="BH1008" i="17"/>
  <c r="BH985" i="17"/>
  <c r="BH967" i="17"/>
  <c r="BH944" i="17"/>
  <c r="BH921" i="17"/>
  <c r="BH903" i="17"/>
  <c r="BH880" i="17"/>
  <c r="BH856" i="17"/>
  <c r="BH824" i="17"/>
  <c r="BH792" i="17"/>
  <c r="BH760" i="17"/>
  <c r="BH728" i="17"/>
  <c r="BH696" i="17"/>
  <c r="BH664" i="17"/>
  <c r="BH632" i="17"/>
  <c r="BH600" i="17"/>
  <c r="BH568" i="17"/>
  <c r="BH536" i="17"/>
  <c r="BH504" i="17"/>
  <c r="BH472" i="17"/>
  <c r="BH440" i="17"/>
  <c r="BH408" i="17"/>
  <c r="BH375" i="17"/>
  <c r="BH232" i="17"/>
  <c r="BI1172" i="17"/>
  <c r="BI1066" i="17"/>
  <c r="BI901" i="17"/>
  <c r="BI208" i="17"/>
  <c r="BI376" i="17"/>
  <c r="BH376" i="17"/>
  <c r="BI368" i="17"/>
  <c r="BH368" i="17"/>
  <c r="BI360" i="17"/>
  <c r="BH360" i="17"/>
  <c r="BI352" i="17"/>
  <c r="BH352" i="17"/>
  <c r="BI344" i="17"/>
  <c r="BH344" i="17"/>
  <c r="BI336" i="17"/>
  <c r="BH336" i="17"/>
  <c r="BI320" i="17"/>
  <c r="BH320" i="17"/>
  <c r="BI312" i="17"/>
  <c r="BH312" i="17"/>
  <c r="BI304" i="17"/>
  <c r="BH304" i="17"/>
  <c r="BI296" i="17"/>
  <c r="BH296" i="17"/>
  <c r="BI280" i="17"/>
  <c r="BH280" i="17"/>
  <c r="BI272" i="17"/>
  <c r="BH272" i="17"/>
  <c r="BI256" i="17"/>
  <c r="BH256" i="17"/>
  <c r="BI240" i="17"/>
  <c r="BH240" i="17"/>
  <c r="BI224" i="17"/>
  <c r="BH224" i="17"/>
  <c r="BI192" i="17"/>
  <c r="BH192" i="17"/>
  <c r="BI176" i="17"/>
  <c r="BH176" i="17"/>
  <c r="BI160" i="17"/>
  <c r="BH160" i="17"/>
  <c r="BH144" i="17"/>
  <c r="BI144" i="17"/>
  <c r="BI136" i="17"/>
  <c r="BH136" i="17"/>
  <c r="BI128" i="17"/>
  <c r="BH128" i="17"/>
  <c r="BI120" i="17"/>
  <c r="BH120" i="17"/>
  <c r="BI112" i="17"/>
  <c r="BH112" i="17"/>
  <c r="BI104" i="17"/>
  <c r="BH104" i="17"/>
  <c r="BI96" i="17"/>
  <c r="BH96" i="17"/>
  <c r="BI88" i="17"/>
  <c r="BH88" i="17"/>
  <c r="BI80" i="17"/>
  <c r="BH80" i="17"/>
  <c r="BI72" i="17"/>
  <c r="BH72" i="17"/>
  <c r="BI64" i="17"/>
  <c r="BH64" i="17"/>
  <c r="BI56" i="17"/>
  <c r="BH56" i="17"/>
  <c r="BI48" i="17"/>
  <c r="BH48" i="17"/>
  <c r="BI40" i="17"/>
  <c r="BH40" i="17"/>
  <c r="BI32" i="17"/>
  <c r="BH32" i="17"/>
  <c r="BI24" i="17"/>
  <c r="BH24" i="17"/>
  <c r="BI8" i="17"/>
  <c r="BH8" i="17"/>
  <c r="BH1153" i="17"/>
  <c r="BH1135" i="17"/>
  <c r="BH1112" i="17"/>
  <c r="BH1089" i="17"/>
  <c r="BH1071" i="17"/>
  <c r="BH1048" i="17"/>
  <c r="BH1007" i="17"/>
  <c r="BH984" i="17"/>
  <c r="BH961" i="17"/>
  <c r="BH943" i="17"/>
  <c r="BH920" i="17"/>
  <c r="BH897" i="17"/>
  <c r="BH879" i="17"/>
  <c r="BH817" i="17"/>
  <c r="BH785" i="17"/>
  <c r="BH753" i="17"/>
  <c r="BH721" i="17"/>
  <c r="BH689" i="17"/>
  <c r="BH657" i="17"/>
  <c r="BH625" i="17"/>
  <c r="BH593" i="17"/>
  <c r="BH561" i="17"/>
  <c r="BH529" i="17"/>
  <c r="BH497" i="17"/>
  <c r="BH465" i="17"/>
  <c r="BH433" i="17"/>
  <c r="BH401" i="17"/>
  <c r="BH313" i="17"/>
  <c r="BH184" i="17"/>
  <c r="BH63" i="17"/>
  <c r="BI1165" i="17"/>
  <c r="BI900" i="17"/>
  <c r="BI741" i="17"/>
  <c r="BI660" i="17"/>
  <c r="BI477" i="17"/>
  <c r="BI150" i="17"/>
  <c r="BH150" i="17"/>
  <c r="BI142" i="17"/>
  <c r="BH142" i="17"/>
  <c r="BI134" i="17"/>
  <c r="BH134" i="17"/>
  <c r="BH126" i="17"/>
  <c r="BI126" i="17"/>
  <c r="BI118" i="17"/>
  <c r="BH118" i="17"/>
  <c r="BI110" i="17"/>
  <c r="BH110" i="17"/>
  <c r="BH102" i="17"/>
  <c r="BI102" i="17"/>
  <c r="BI94" i="17"/>
  <c r="BH94" i="17"/>
  <c r="BI86" i="17"/>
  <c r="BH86" i="17"/>
  <c r="BI78" i="17"/>
  <c r="BH78" i="17"/>
  <c r="BI70" i="17"/>
  <c r="BH70" i="17"/>
  <c r="BH62" i="17"/>
  <c r="BI62" i="17"/>
  <c r="BI54" i="17"/>
  <c r="BH54" i="17"/>
  <c r="BI46" i="17"/>
  <c r="BH46" i="17"/>
  <c r="BH38" i="17"/>
  <c r="BI38" i="17"/>
  <c r="BI30" i="17"/>
  <c r="BH30" i="17"/>
  <c r="BI22" i="17"/>
  <c r="BH22" i="17"/>
  <c r="BI14" i="17"/>
  <c r="BH14" i="17"/>
  <c r="BI6" i="17"/>
  <c r="BH6" i="17"/>
  <c r="BH782" i="17"/>
  <c r="BH774" i="17"/>
  <c r="BH766" i="17"/>
  <c r="BH758" i="17"/>
  <c r="BH742" i="17"/>
  <c r="BH734" i="17"/>
  <c r="BH726" i="17"/>
  <c r="BH718" i="17"/>
  <c r="BH710" i="17"/>
  <c r="BH702" i="17"/>
  <c r="BH694" i="17"/>
  <c r="BH686" i="17"/>
  <c r="BH678" i="17"/>
  <c r="BH662" i="17"/>
  <c r="BH654" i="17"/>
  <c r="BH646" i="17"/>
  <c r="BH638" i="17"/>
  <c r="BH630" i="17"/>
  <c r="BH622" i="17"/>
  <c r="BH614" i="17"/>
  <c r="BH606" i="17"/>
  <c r="BH598" i="17"/>
  <c r="BH590" i="17"/>
  <c r="BH582" i="17"/>
  <c r="BH574" i="17"/>
  <c r="BH566" i="17"/>
  <c r="BH558" i="17"/>
  <c r="BH550" i="17"/>
  <c r="BH542" i="17"/>
  <c r="BH534" i="17"/>
  <c r="BH526" i="17"/>
  <c r="BH518" i="17"/>
  <c r="BH510" i="17"/>
  <c r="BH502" i="17"/>
  <c r="BH494" i="17"/>
  <c r="BH486" i="17"/>
  <c r="BH478" i="17"/>
  <c r="BH470" i="17"/>
  <c r="BH462" i="17"/>
  <c r="BH454" i="17"/>
  <c r="BH446" i="17"/>
  <c r="BH438" i="17"/>
  <c r="BH430" i="17"/>
  <c r="BH422" i="17"/>
  <c r="BH414" i="17"/>
  <c r="BH406" i="17"/>
  <c r="BH398" i="17"/>
  <c r="BH390" i="17"/>
  <c r="BH381" i="17"/>
  <c r="BH371" i="17"/>
  <c r="BH362" i="17"/>
  <c r="BH322" i="17"/>
  <c r="BH310" i="17"/>
  <c r="BH285" i="17"/>
  <c r="BH125" i="17"/>
  <c r="BH107" i="17"/>
  <c r="BH60" i="17"/>
  <c r="BH34" i="17"/>
  <c r="BI724" i="17"/>
  <c r="BI659" i="17"/>
  <c r="BI565" i="17"/>
  <c r="BI437" i="17"/>
  <c r="BI261" i="17"/>
  <c r="BH261" i="17"/>
  <c r="BI253" i="17"/>
  <c r="BH253" i="17"/>
  <c r="BI245" i="17"/>
  <c r="BH245" i="17"/>
  <c r="BI237" i="17"/>
  <c r="BH237" i="17"/>
  <c r="BI229" i="17"/>
  <c r="BH229" i="17"/>
  <c r="BI221" i="17"/>
  <c r="BH221" i="17"/>
  <c r="BI213" i="17"/>
  <c r="BH213" i="17"/>
  <c r="BI205" i="17"/>
  <c r="BH205" i="17"/>
  <c r="BI197" i="17"/>
  <c r="BH197" i="17"/>
  <c r="BH189" i="17"/>
  <c r="BI189" i="17"/>
  <c r="BI181" i="17"/>
  <c r="BH181" i="17"/>
  <c r="BI173" i="17"/>
  <c r="BH173" i="17"/>
  <c r="BI165" i="17"/>
  <c r="BH165" i="17"/>
  <c r="BI157" i="17"/>
  <c r="BH157" i="17"/>
  <c r="BI141" i="17"/>
  <c r="BH141" i="17"/>
  <c r="BI109" i="17"/>
  <c r="BH109" i="17"/>
  <c r="BI101" i="17"/>
  <c r="BH101" i="17"/>
  <c r="BI93" i="17"/>
  <c r="BH93" i="17"/>
  <c r="BI85" i="17"/>
  <c r="BH85" i="17"/>
  <c r="BI77" i="17"/>
  <c r="BH77" i="17"/>
  <c r="BI45" i="17"/>
  <c r="BH45" i="17"/>
  <c r="BI37" i="17"/>
  <c r="BH37" i="17"/>
  <c r="BI29" i="17"/>
  <c r="BH29" i="17"/>
  <c r="BI21" i="17"/>
  <c r="BH21" i="17"/>
  <c r="BI13" i="17"/>
  <c r="BH13" i="17"/>
  <c r="BH757" i="17"/>
  <c r="BH749" i="17"/>
  <c r="BH733" i="17"/>
  <c r="BH725" i="17"/>
  <c r="BH717" i="17"/>
  <c r="BH709" i="17"/>
  <c r="BH701" i="17"/>
  <c r="BH693" i="17"/>
  <c r="BH685" i="17"/>
  <c r="BH677" i="17"/>
  <c r="BH669" i="17"/>
  <c r="BH661" i="17"/>
  <c r="BH653" i="17"/>
  <c r="BH645" i="17"/>
  <c r="BH637" i="17"/>
  <c r="BH629" i="17"/>
  <c r="BH621" i="17"/>
  <c r="BH613" i="17"/>
  <c r="BH605" i="17"/>
  <c r="BH597" i="17"/>
  <c r="BH589" i="17"/>
  <c r="BH581" i="17"/>
  <c r="BH573" i="17"/>
  <c r="BH557" i="17"/>
  <c r="BH549" i="17"/>
  <c r="BH541" i="17"/>
  <c r="BH533" i="17"/>
  <c r="BH525" i="17"/>
  <c r="BH517" i="17"/>
  <c r="BH509" i="17"/>
  <c r="BH501" i="17"/>
  <c r="BH493" i="17"/>
  <c r="BH469" i="17"/>
  <c r="BH461" i="17"/>
  <c r="BH453" i="17"/>
  <c r="BH445" i="17"/>
  <c r="BH429" i="17"/>
  <c r="BH421" i="17"/>
  <c r="BH413" i="17"/>
  <c r="BH405" i="17"/>
  <c r="BH397" i="17"/>
  <c r="BH389" i="17"/>
  <c r="BH379" i="17"/>
  <c r="BH370" i="17"/>
  <c r="BH334" i="17"/>
  <c r="BH309" i="17"/>
  <c r="BH282" i="17"/>
  <c r="BH270" i="17"/>
  <c r="BH124" i="17"/>
  <c r="BH106" i="17"/>
  <c r="BH53" i="17"/>
  <c r="BI388" i="17"/>
  <c r="BH388" i="17"/>
  <c r="BI380" i="17"/>
  <c r="BH380" i="17"/>
  <c r="BI372" i="17"/>
  <c r="BH372" i="17"/>
  <c r="BI364" i="17"/>
  <c r="BH364" i="17"/>
  <c r="BI356" i="17"/>
  <c r="BH356" i="17"/>
  <c r="BI348" i="17"/>
  <c r="BH348" i="17"/>
  <c r="BI340" i="17"/>
  <c r="BH340" i="17"/>
  <c r="BI332" i="17"/>
  <c r="BH332" i="17"/>
  <c r="BI324" i="17"/>
  <c r="BH324" i="17"/>
  <c r="BI316" i="17"/>
  <c r="BH316" i="17"/>
  <c r="BH308" i="17"/>
  <c r="BI308" i="17"/>
  <c r="BI300" i="17"/>
  <c r="BH300" i="17"/>
  <c r="BI292" i="17"/>
  <c r="BH292" i="17"/>
  <c r="BI284" i="17"/>
  <c r="BH284" i="17"/>
  <c r="BI276" i="17"/>
  <c r="BH276" i="17"/>
  <c r="BI268" i="17"/>
  <c r="BH268" i="17"/>
  <c r="BI260" i="17"/>
  <c r="BH260" i="17"/>
  <c r="BI252" i="17"/>
  <c r="BH252" i="17"/>
  <c r="BI244" i="17"/>
  <c r="BH244" i="17"/>
  <c r="BI236" i="17"/>
  <c r="BH236" i="17"/>
  <c r="BI228" i="17"/>
  <c r="BH228" i="17"/>
  <c r="BI220" i="17"/>
  <c r="BH220" i="17"/>
  <c r="BI212" i="17"/>
  <c r="BH212" i="17"/>
  <c r="BI204" i="17"/>
  <c r="BH204" i="17"/>
  <c r="BI196" i="17"/>
  <c r="BH196" i="17"/>
  <c r="BI188" i="17"/>
  <c r="BH188" i="17"/>
  <c r="BI180" i="17"/>
  <c r="BH180" i="17"/>
  <c r="BI172" i="17"/>
  <c r="BH172" i="17"/>
  <c r="BI164" i="17"/>
  <c r="BH164" i="17"/>
  <c r="BI156" i="17"/>
  <c r="BH156" i="17"/>
  <c r="BI148" i="17"/>
  <c r="BH148" i="17"/>
  <c r="BI132" i="17"/>
  <c r="BH132" i="17"/>
  <c r="BI100" i="17"/>
  <c r="BH100" i="17"/>
  <c r="BI92" i="17"/>
  <c r="BH92" i="17"/>
  <c r="BI84" i="17"/>
  <c r="BH84" i="17"/>
  <c r="BI76" i="17"/>
  <c r="BH76" i="17"/>
  <c r="BI68" i="17"/>
  <c r="BH68" i="17"/>
  <c r="BI36" i="17"/>
  <c r="BH36" i="17"/>
  <c r="BI28" i="17"/>
  <c r="BH28" i="17"/>
  <c r="BI20" i="17"/>
  <c r="BH20" i="17"/>
  <c r="BI12" i="17"/>
  <c r="BH12" i="17"/>
  <c r="BI4" i="17"/>
  <c r="BH4" i="17"/>
  <c r="BH748" i="17"/>
  <c r="BH740" i="17"/>
  <c r="BH732" i="17"/>
  <c r="BH716" i="17"/>
  <c r="BH708" i="17"/>
  <c r="BH700" i="17"/>
  <c r="BH692" i="17"/>
  <c r="BH684" i="17"/>
  <c r="BH676" i="17"/>
  <c r="BH668" i="17"/>
  <c r="BH652" i="17"/>
  <c r="BH644" i="17"/>
  <c r="BH636" i="17"/>
  <c r="BH628" i="17"/>
  <c r="BH620" i="17"/>
  <c r="BH612" i="17"/>
  <c r="BH604" i="17"/>
  <c r="BH596" i="17"/>
  <c r="BH588" i="17"/>
  <c r="BH580" i="17"/>
  <c r="BH572" i="17"/>
  <c r="BH564" i="17"/>
  <c r="BH556" i="17"/>
  <c r="BH548" i="17"/>
  <c r="BH540" i="17"/>
  <c r="BH532" i="17"/>
  <c r="BH524" i="17"/>
  <c r="BH516" i="17"/>
  <c r="BH508" i="17"/>
  <c r="BH500" i="17"/>
  <c r="BH492" i="17"/>
  <c r="BH484" i="17"/>
  <c r="BH476" i="17"/>
  <c r="BH468" i="17"/>
  <c r="BH460" i="17"/>
  <c r="BH452" i="17"/>
  <c r="BH444" i="17"/>
  <c r="BH436" i="17"/>
  <c r="BH428" i="17"/>
  <c r="BH420" i="17"/>
  <c r="BH412" i="17"/>
  <c r="BH404" i="17"/>
  <c r="BH396" i="17"/>
  <c r="BH387" i="17"/>
  <c r="BH378" i="17"/>
  <c r="BH342" i="17"/>
  <c r="BH333" i="17"/>
  <c r="BH306" i="17"/>
  <c r="BH294" i="17"/>
  <c r="BH269" i="17"/>
  <c r="BH254" i="17"/>
  <c r="BH238" i="17"/>
  <c r="BH222" i="17"/>
  <c r="BH206" i="17"/>
  <c r="BH174" i="17"/>
  <c r="BH158" i="17"/>
  <c r="BH140" i="17"/>
  <c r="BH122" i="17"/>
  <c r="BH99" i="17"/>
  <c r="BH52" i="17"/>
  <c r="BH26" i="17"/>
  <c r="BH5" i="17"/>
  <c r="BI331" i="17"/>
  <c r="BH331" i="17"/>
  <c r="BI323" i="17"/>
  <c r="BH323" i="17"/>
  <c r="BI315" i="17"/>
  <c r="BH315" i="17"/>
  <c r="BI307" i="17"/>
  <c r="BH307" i="17"/>
  <c r="BI299" i="17"/>
  <c r="BH299" i="17"/>
  <c r="BI291" i="17"/>
  <c r="BH291" i="17"/>
  <c r="BI283" i="17"/>
  <c r="BH283" i="17"/>
  <c r="BI275" i="17"/>
  <c r="BH275" i="17"/>
  <c r="BI267" i="17"/>
  <c r="BH267" i="17"/>
  <c r="BI259" i="17"/>
  <c r="BH259" i="17"/>
  <c r="BI251" i="17"/>
  <c r="BH251" i="17"/>
  <c r="BI243" i="17"/>
  <c r="BH243" i="17"/>
  <c r="BI235" i="17"/>
  <c r="BH235" i="17"/>
  <c r="BI227" i="17"/>
  <c r="BH227" i="17"/>
  <c r="BI219" i="17"/>
  <c r="BH219" i="17"/>
  <c r="BI211" i="17"/>
  <c r="BH211" i="17"/>
  <c r="BI203" i="17"/>
  <c r="BH203" i="17"/>
  <c r="BI195" i="17"/>
  <c r="BH195" i="17"/>
  <c r="BI187" i="17"/>
  <c r="BH187" i="17"/>
  <c r="BI179" i="17"/>
  <c r="BH179" i="17"/>
  <c r="BI171" i="17"/>
  <c r="BH171" i="17"/>
  <c r="BI163" i="17"/>
  <c r="BH163" i="17"/>
  <c r="BI155" i="17"/>
  <c r="BH155" i="17"/>
  <c r="BI147" i="17"/>
  <c r="BH147" i="17"/>
  <c r="BI139" i="17"/>
  <c r="BH139" i="17"/>
  <c r="BI123" i="17"/>
  <c r="BH123" i="17"/>
  <c r="BI91" i="17"/>
  <c r="BH91" i="17"/>
  <c r="BI83" i="17"/>
  <c r="BH83" i="17"/>
  <c r="BI75" i="17"/>
  <c r="BH75" i="17"/>
  <c r="BI67" i="17"/>
  <c r="BH67" i="17"/>
  <c r="BI59" i="17"/>
  <c r="BH59" i="17"/>
  <c r="BI27" i="17"/>
  <c r="BH27" i="17"/>
  <c r="BI19" i="17"/>
  <c r="BH19" i="17"/>
  <c r="BI11" i="17"/>
  <c r="BH11" i="17"/>
  <c r="BI3" i="17"/>
  <c r="BH3" i="17"/>
  <c r="BH739" i="17"/>
  <c r="BH731" i="17"/>
  <c r="BH723" i="17"/>
  <c r="BH715" i="17"/>
  <c r="BH707" i="17"/>
  <c r="BH699" i="17"/>
  <c r="BH683" i="17"/>
  <c r="BH675" i="17"/>
  <c r="BH667" i="17"/>
  <c r="BH651" i="17"/>
  <c r="BH643" i="17"/>
  <c r="BH635" i="17"/>
  <c r="BH627" i="17"/>
  <c r="BH619" i="17"/>
  <c r="BH611" i="17"/>
  <c r="BH595" i="17"/>
  <c r="BH587" i="17"/>
  <c r="BH579" i="17"/>
  <c r="BH571" i="17"/>
  <c r="BH563" i="17"/>
  <c r="BH555" i="17"/>
  <c r="BH547" i="17"/>
  <c r="BH539" i="17"/>
  <c r="BH531" i="17"/>
  <c r="BH523" i="17"/>
  <c r="BH515" i="17"/>
  <c r="BH507" i="17"/>
  <c r="BH499" i="17"/>
  <c r="BH491" i="17"/>
  <c r="BH483" i="17"/>
  <c r="BH475" i="17"/>
  <c r="BH467" i="17"/>
  <c r="BH459" i="17"/>
  <c r="BH451" i="17"/>
  <c r="BH443" i="17"/>
  <c r="BH435" i="17"/>
  <c r="BH427" i="17"/>
  <c r="BH419" i="17"/>
  <c r="BH411" i="17"/>
  <c r="BH403" i="17"/>
  <c r="BH395" i="17"/>
  <c r="BH386" i="17"/>
  <c r="BH350" i="17"/>
  <c r="BH341" i="17"/>
  <c r="BH330" i="17"/>
  <c r="BH318" i="17"/>
  <c r="BH293" i="17"/>
  <c r="BH266" i="17"/>
  <c r="BH250" i="17"/>
  <c r="BH234" i="17"/>
  <c r="BH218" i="17"/>
  <c r="BH202" i="17"/>
  <c r="BH186" i="17"/>
  <c r="BH170" i="17"/>
  <c r="BH154" i="17"/>
  <c r="BH117" i="17"/>
  <c r="BH98" i="17"/>
  <c r="BH51" i="17"/>
  <c r="BI146" i="17"/>
  <c r="BH146" i="17"/>
  <c r="BI138" i="17"/>
  <c r="BH138" i="17"/>
  <c r="BI130" i="17"/>
  <c r="BH130" i="17"/>
  <c r="BI114" i="17"/>
  <c r="BH114" i="17"/>
  <c r="BI82" i="17"/>
  <c r="BH82" i="17"/>
  <c r="BI74" i="17"/>
  <c r="BH74" i="17"/>
  <c r="BI66" i="17"/>
  <c r="BH66" i="17"/>
  <c r="BI58" i="17"/>
  <c r="BH58" i="17"/>
  <c r="BI50" i="17"/>
  <c r="BH50" i="17"/>
  <c r="BI18" i="17"/>
  <c r="BH18" i="17"/>
  <c r="BI10" i="17"/>
  <c r="BH10" i="17"/>
  <c r="BH778" i="17"/>
  <c r="BH770" i="17"/>
  <c r="BH762" i="17"/>
  <c r="BH754" i="17"/>
  <c r="BH746" i="17"/>
  <c r="BH738" i="17"/>
  <c r="BH730" i="17"/>
  <c r="BH722" i="17"/>
  <c r="BH714" i="17"/>
  <c r="BH706" i="17"/>
  <c r="BH698" i="17"/>
  <c r="BH690" i="17"/>
  <c r="BH682" i="17"/>
  <c r="BH674" i="17"/>
  <c r="BH666" i="17"/>
  <c r="BH658" i="17"/>
  <c r="BH650" i="17"/>
  <c r="BH642" i="17"/>
  <c r="BH634" i="17"/>
  <c r="BH626" i="17"/>
  <c r="BH618" i="17"/>
  <c r="BH610" i="17"/>
  <c r="BH602" i="17"/>
  <c r="BH594" i="17"/>
  <c r="BH586" i="17"/>
  <c r="BH578" i="17"/>
  <c r="BH570" i="17"/>
  <c r="BH562" i="17"/>
  <c r="BH554" i="17"/>
  <c r="BH546" i="17"/>
  <c r="BH538" i="17"/>
  <c r="BH530" i="17"/>
  <c r="BH522" i="17"/>
  <c r="BH514" i="17"/>
  <c r="BH506" i="17"/>
  <c r="BH498" i="17"/>
  <c r="BH490" i="17"/>
  <c r="BH482" i="17"/>
  <c r="BH474" i="17"/>
  <c r="BH466" i="17"/>
  <c r="BH458" i="17"/>
  <c r="BH450" i="17"/>
  <c r="BH442" i="17"/>
  <c r="BH434" i="17"/>
  <c r="BH426" i="17"/>
  <c r="BH418" i="17"/>
  <c r="BH410" i="17"/>
  <c r="BH402" i="17"/>
  <c r="BH394" i="17"/>
  <c r="BH358" i="17"/>
  <c r="BH349" i="17"/>
  <c r="BH339" i="17"/>
  <c r="BH317" i="17"/>
  <c r="BH290" i="17"/>
  <c r="BH278" i="17"/>
  <c r="BH116" i="17"/>
  <c r="BH44" i="17"/>
  <c r="BJ2" i="17"/>
  <c r="BF2" i="17" l="1"/>
  <c r="BB2" i="17" l="1"/>
  <c r="BC2" i="17"/>
  <c r="BD2" i="17"/>
  <c r="BE2" i="17"/>
  <c r="AY2" i="17" l="1"/>
  <c r="AZ2" i="17"/>
  <c r="BA2" i="17" l="1"/>
  <c r="A2" i="17" s="1"/>
  <c r="B3" i="1" s="1"/>
  <c r="Y2" i="1" s="1"/>
  <c r="O2" i="20"/>
  <c r="N2" i="20"/>
  <c r="I6" i="1" l="1"/>
  <c r="H6" i="1"/>
  <c r="G6" i="1"/>
  <c r="I5" i="1"/>
  <c r="H5" i="1"/>
  <c r="A20" i="1"/>
  <c r="A16" i="1"/>
  <c r="A12" i="1"/>
  <c r="A19" i="1"/>
  <c r="A15" i="1"/>
  <c r="A10" i="1"/>
  <c r="A18" i="1"/>
  <c r="A14" i="1"/>
  <c r="A11" i="1"/>
  <c r="A17" i="1"/>
  <c r="A13" i="1"/>
  <c r="C71" i="8"/>
  <c r="B71" i="8"/>
  <c r="C52" i="8"/>
  <c r="B52" i="8"/>
  <c r="C33" i="8"/>
  <c r="B33" i="8"/>
  <c r="E6" i="8"/>
  <c r="E5" i="8"/>
  <c r="E4" i="8"/>
  <c r="C14" i="1" l="1"/>
  <c r="B17" i="1"/>
  <c r="B16" i="1"/>
  <c r="B11" i="1"/>
  <c r="C18" i="1"/>
  <c r="B19" i="1"/>
  <c r="C13" i="1"/>
  <c r="C11" i="1"/>
  <c r="C16" i="1"/>
  <c r="C17" i="1"/>
  <c r="B20" i="1"/>
  <c r="C20" i="1"/>
  <c r="C19" i="1"/>
  <c r="C10" i="1"/>
  <c r="B7" i="1"/>
  <c r="B18" i="1"/>
  <c r="B10" i="1"/>
  <c r="B12" i="1"/>
  <c r="B15" i="1"/>
  <c r="B13" i="1"/>
  <c r="B14" i="1"/>
  <c r="C15" i="1"/>
  <c r="C12" i="1"/>
  <c r="E7" i="1" l="1"/>
  <c r="F7" i="1"/>
  <c r="F8" i="1" l="1"/>
  <c r="F9" i="1"/>
  <c r="E11" i="21" l="1"/>
  <c r="H20" i="1"/>
  <c r="H23" i="1"/>
  <c r="H18" i="1"/>
  <c r="H21" i="1"/>
  <c r="H16" i="1"/>
  <c r="H14" i="1"/>
  <c r="H22" i="1"/>
  <c r="H24" i="1"/>
  <c r="H26" i="1"/>
  <c r="H15" i="1"/>
  <c r="H17" i="1"/>
  <c r="H25" i="1"/>
  <c r="H19" i="1"/>
  <c r="G15" i="1"/>
  <c r="G23" i="1"/>
  <c r="G19" i="1"/>
  <c r="G22" i="1"/>
  <c r="G16" i="1"/>
  <c r="G24" i="1"/>
  <c r="G17" i="1"/>
  <c r="G25" i="1"/>
  <c r="G18" i="1"/>
  <c r="G26" i="1"/>
  <c r="G14" i="1"/>
  <c r="G20" i="1"/>
  <c r="G21" i="1"/>
  <c r="E12" i="21"/>
  <c r="J21" i="1"/>
  <c r="J26" i="1"/>
  <c r="J22" i="1"/>
  <c r="J17" i="1"/>
  <c r="J15" i="1"/>
  <c r="J23" i="1"/>
  <c r="J25" i="1"/>
  <c r="J16" i="1"/>
  <c r="J24" i="1"/>
  <c r="J20" i="1"/>
  <c r="J18" i="1"/>
  <c r="J14" i="1"/>
  <c r="J19" i="1"/>
  <c r="I16" i="1"/>
  <c r="I24" i="1"/>
  <c r="I20" i="1"/>
  <c r="I15" i="1"/>
  <c r="I17" i="1"/>
  <c r="I25" i="1"/>
  <c r="I22" i="1"/>
  <c r="I18" i="1"/>
  <c r="I14" i="1"/>
  <c r="I26" i="1"/>
  <c r="I23" i="1"/>
  <c r="I19" i="1"/>
  <c r="I21" i="1"/>
  <c r="E3" i="21" l="1"/>
</calcChain>
</file>

<file path=xl/sharedStrings.xml><?xml version="1.0" encoding="utf-8"?>
<sst xmlns="http://schemas.openxmlformats.org/spreadsheetml/2006/main" count="324" uniqueCount="205">
  <si>
    <t>Verification Data Spreadsheet Instructions</t>
  </si>
  <si>
    <t>This spreadsheet provides a standardized mechanism to input and archive verification data, calculate acceptance criteria, generate the verification summary sheet and automatically generate control charts.  The spreadsheet and spreadsheet instructions will be updated on AMTIC when improvements are made.  This spreadsheet is meant to provide support to users implementing this document.  Users may prefer to generate their own calculation and documentation procedures.</t>
  </si>
  <si>
    <t>Instructions:</t>
  </si>
  <si>
    <t>Cell Key</t>
  </si>
  <si>
    <t>Verification</t>
  </si>
  <si>
    <t>1.  Orange cells are calculated cells.</t>
  </si>
  <si>
    <t>1.) SAVE AS Document to new name and location.</t>
  </si>
  <si>
    <t>2.  Grey cells are automatically filled.</t>
  </si>
  <si>
    <t>3.  Blue cells are user fillable cells.</t>
  </si>
  <si>
    <t>3.) Complete all information in the blue cells.</t>
  </si>
  <si>
    <t xml:space="preserve">4.  All acceptance criteria are automatically calculated. </t>
  </si>
  <si>
    <t>4.) Run all points and fill in the data in cycle 1, 2 and 3 tables.</t>
  </si>
  <si>
    <t>5.) Review acceptance criteria table as the verification cycles are completed.</t>
  </si>
  <si>
    <t>6.)  After a final review of data, click the 'Submit Verification Data Form' button.  This will create a pdf of the verification form, write the verification data to the archive tab, protect the verification data sheet, and create the Transfer Standard Summary Sheet.</t>
  </si>
  <si>
    <t>8.)  Print pdf and affix the Transfer Standard Summary Sheet to the top of the transfer standard.</t>
  </si>
  <si>
    <t>2.)  Complete all information in the blue cells.</t>
  </si>
  <si>
    <t>3.)  Run all points and fill in the data in the reverification table.</t>
  </si>
  <si>
    <t>4.) Review acceptance criteria table as the reverification is completed.</t>
  </si>
  <si>
    <t>7.)  Print pdf and affix the Transfer Standard Summary Sheet to the top of the transfer standard.</t>
  </si>
  <si>
    <r>
      <t>O</t>
    </r>
    <r>
      <rPr>
        <b/>
        <vertAlign val="subscript"/>
        <sz val="24"/>
        <color theme="1"/>
        <rFont val="Calibri"/>
        <family val="2"/>
        <scheme val="minor"/>
      </rPr>
      <t>3</t>
    </r>
    <r>
      <rPr>
        <b/>
        <sz val="24"/>
        <color theme="1"/>
        <rFont val="Calibri"/>
        <family val="2"/>
        <scheme val="minor"/>
      </rPr>
      <t xml:space="preserve"> Transfer Standard Verification Summary Sheet</t>
    </r>
  </si>
  <si>
    <t>Candidate Transfer Standard Information</t>
  </si>
  <si>
    <t>Candidate Transfer Standard Role:</t>
  </si>
  <si>
    <t>Slope</t>
  </si>
  <si>
    <t>Intercept</t>
  </si>
  <si>
    <t>number of points</t>
  </si>
  <si>
    <r>
      <t>mSE</t>
    </r>
    <r>
      <rPr>
        <vertAlign val="superscript"/>
        <sz val="11"/>
        <color theme="1"/>
        <rFont val="Calibri"/>
        <family val="2"/>
        <scheme val="minor"/>
      </rPr>
      <t>2</t>
    </r>
  </si>
  <si>
    <r>
      <t>bSE</t>
    </r>
    <r>
      <rPr>
        <vertAlign val="superscript"/>
        <sz val="11"/>
        <color theme="1"/>
        <rFont val="Calibri"/>
        <family val="2"/>
        <scheme val="minor"/>
      </rPr>
      <t>2</t>
    </r>
  </si>
  <si>
    <t>Make:</t>
  </si>
  <si>
    <t>Model:</t>
  </si>
  <si>
    <t>Serial Number:</t>
  </si>
  <si>
    <t>Current Verification Expiration Date:</t>
  </si>
  <si>
    <t>Average</t>
  </si>
  <si>
    <t>Regression Slope/Intercept History</t>
  </si>
  <si>
    <t>Date</t>
  </si>
  <si>
    <t>Control Charts</t>
  </si>
  <si>
    <t xml:space="preserve"> </t>
  </si>
  <si>
    <t>Equation 10</t>
  </si>
  <si>
    <t>Label</t>
  </si>
  <si>
    <t>Point 1 - Y</t>
  </si>
  <si>
    <t>Point 1 - X</t>
  </si>
  <si>
    <t>Point 4 - Y</t>
  </si>
  <si>
    <t>Point 4 - X</t>
  </si>
  <si>
    <t>Reverification</t>
  </si>
  <si>
    <t>Point 1</t>
  </si>
  <si>
    <t>Point 4</t>
  </si>
  <si>
    <t>Verification Cycle 1</t>
  </si>
  <si>
    <t>Axis Starting Point</t>
  </si>
  <si>
    <t>Verification Cycle 2</t>
  </si>
  <si>
    <t>Deviation</t>
  </si>
  <si>
    <t>Verification Cycle 3</t>
  </si>
  <si>
    <t>Min</t>
  </si>
  <si>
    <t>Max</t>
  </si>
  <si>
    <t>Major Unit</t>
  </si>
  <si>
    <t>Minor Unit</t>
  </si>
  <si>
    <t>O3 Transfer Standard Verification Data Form</t>
  </si>
  <si>
    <t xml:space="preserve">Institute Conducting Verification: </t>
  </si>
  <si>
    <t>Acceptance Criteria Checklist</t>
  </si>
  <si>
    <t xml:space="preserve">Operator: </t>
  </si>
  <si>
    <t xml:space="preserve">Verification Results: </t>
  </si>
  <si>
    <t xml:space="preserve">Cycle 3 Date: </t>
  </si>
  <si>
    <t xml:space="preserve">Transfer Standard Role check: </t>
  </si>
  <si>
    <t>Naming Convention</t>
  </si>
  <si>
    <t xml:space="preserve">Preventive Maintenance Completed: </t>
  </si>
  <si>
    <t>Transfer Standard of Higher Authority</t>
  </si>
  <si>
    <t xml:space="preserve">Acceptance Testing Completed: </t>
  </si>
  <si>
    <t xml:space="preserve">Transfer Standard Role: </t>
  </si>
  <si>
    <t xml:space="preserve">Per Point Difference: </t>
  </si>
  <si>
    <t xml:space="preserve">Make: </t>
  </si>
  <si>
    <t xml:space="preserve">Regression Slope Check: </t>
  </si>
  <si>
    <t xml:space="preserve">Model: </t>
  </si>
  <si>
    <t xml:space="preserve">Regression Intercept Check: </t>
  </si>
  <si>
    <t xml:space="preserve">Serial Number: </t>
  </si>
  <si>
    <t xml:space="preserve">Std Deviation Slope: </t>
  </si>
  <si>
    <t xml:space="preserve">Verification Date: </t>
  </si>
  <si>
    <t xml:space="preserve">Std Deviation Intercept: </t>
  </si>
  <si>
    <t>Calibration Factors</t>
  </si>
  <si>
    <t xml:space="preserve">Span Setting: </t>
  </si>
  <si>
    <t xml:space="preserve">Zero Setting: </t>
  </si>
  <si>
    <t xml:space="preserve">Candidate Transfer Standard Role: </t>
  </si>
  <si>
    <t>Signature:</t>
  </si>
  <si>
    <t xml:space="preserve">Date: </t>
  </si>
  <si>
    <t xml:space="preserve">Preventive Maintenance Date: </t>
  </si>
  <si>
    <t xml:space="preserve">Acceptance Testing Date: </t>
  </si>
  <si>
    <r>
      <t xml:space="preserve">Calibration Factors </t>
    </r>
    <r>
      <rPr>
        <b/>
        <i/>
        <sz val="12"/>
        <color theme="3"/>
        <rFont val="Calibri"/>
        <family val="2"/>
        <scheme val="minor"/>
      </rPr>
      <t>(describe calibration factor changes in comments)</t>
    </r>
  </si>
  <si>
    <t>Span Setting</t>
  </si>
  <si>
    <t>Zero Setting</t>
  </si>
  <si>
    <t xml:space="preserve">As Found: </t>
  </si>
  <si>
    <t xml:space="preserve">As Left: </t>
  </si>
  <si>
    <t xml:space="preserve">Comments: </t>
  </si>
  <si>
    <t>Cycle 1 Verification Data</t>
  </si>
  <si>
    <t>Cycle 1  Date:</t>
  </si>
  <si>
    <t xml:space="preserve">Regression Slope: </t>
  </si>
  <si>
    <t>Higher Level Standard</t>
  </si>
  <si>
    <t>Candidate Transfer Standard</t>
  </si>
  <si>
    <t xml:space="preserve">Regression Intercept: </t>
  </si>
  <si>
    <t>Percent Difference</t>
  </si>
  <si>
    <t>Absolute Difference</t>
  </si>
  <si>
    <t>Per Point Difference</t>
  </si>
  <si>
    <t xml:space="preserve">Zero: </t>
  </si>
  <si>
    <t>NA</t>
  </si>
  <si>
    <t xml:space="preserve">Point 1: </t>
  </si>
  <si>
    <t xml:space="preserve">Point 2: </t>
  </si>
  <si>
    <t xml:space="preserve">Point 3: </t>
  </si>
  <si>
    <t xml:space="preserve">Point 4: </t>
  </si>
  <si>
    <t xml:space="preserve">Point 5: </t>
  </si>
  <si>
    <t xml:space="preserve">Point 6: </t>
  </si>
  <si>
    <t xml:space="preserve">Point 7: </t>
  </si>
  <si>
    <t xml:space="preserve">Point 8: </t>
  </si>
  <si>
    <t xml:space="preserve">Point 9: </t>
  </si>
  <si>
    <t xml:space="preserve">Point 10: </t>
  </si>
  <si>
    <t>Cycle 2 Verification Data</t>
  </si>
  <si>
    <t>Cycle 2 Date:</t>
  </si>
  <si>
    <t>Cycle 3 Verification Data</t>
  </si>
  <si>
    <t>Cycle 3 Date:</t>
  </si>
  <si>
    <t>O3 Transfer Standard Reverification Data Form</t>
  </si>
  <si>
    <t>TS Role Table</t>
  </si>
  <si>
    <t xml:space="preserve">Calibration Factor Check: </t>
  </si>
  <si>
    <r>
      <t xml:space="preserve">Calibration Factors </t>
    </r>
    <r>
      <rPr>
        <b/>
        <i/>
        <sz val="12"/>
        <color theme="3"/>
        <rFont val="Calibri"/>
        <family val="2"/>
        <scheme val="minor"/>
      </rPr>
      <t>(must match verification)</t>
    </r>
  </si>
  <si>
    <t>Reverification Data</t>
  </si>
  <si>
    <t>Regression Slope</t>
  </si>
  <si>
    <t>Regression Intercept</t>
  </si>
  <si>
    <t>Lookup</t>
  </si>
  <si>
    <t xml:space="preserve">Institute Conducting Verification </t>
  </si>
  <si>
    <t xml:space="preserve">Operator </t>
  </si>
  <si>
    <t xml:space="preserve">Date </t>
  </si>
  <si>
    <t xml:space="preserve">Transfer Standard Role </t>
  </si>
  <si>
    <t>Transfer Standard Make</t>
  </si>
  <si>
    <t>Transfer Standard Model</t>
  </si>
  <si>
    <t>Transfer Standard Serial Number</t>
  </si>
  <si>
    <t xml:space="preserve">Verification Date </t>
  </si>
  <si>
    <t xml:space="preserve">Calibration Factors Span Setting </t>
  </si>
  <si>
    <t xml:space="preserve">Calibration Factors Zero Setting </t>
  </si>
  <si>
    <t>Candidate Transfer Model</t>
  </si>
  <si>
    <t xml:space="preserve">Preventive Maintenance Date </t>
  </si>
  <si>
    <t xml:space="preserve">Acceptance Testing Date </t>
  </si>
  <si>
    <t>As Found - Span Setting</t>
  </si>
  <si>
    <t>As Left - Span Setting</t>
  </si>
  <si>
    <t>As Found - Zero Setting</t>
  </si>
  <si>
    <t>As Left - Zero Setting</t>
  </si>
  <si>
    <t>Calibration Factor Comments</t>
  </si>
  <si>
    <t>Type</t>
  </si>
  <si>
    <t>Higher Level Standard - Zero 1</t>
  </si>
  <si>
    <t>Higher Level Standard - Point 1</t>
  </si>
  <si>
    <t>Higher Level Standard - Point 2</t>
  </si>
  <si>
    <t>Higher Level Standard - Point 3</t>
  </si>
  <si>
    <t>Higher Level Standard - Point 4</t>
  </si>
  <si>
    <t>Higher Level Standard - Point 5</t>
  </si>
  <si>
    <t>Higher Level Standard - Point 6</t>
  </si>
  <si>
    <t>Higher Level Standard - Point 7</t>
  </si>
  <si>
    <t>Higher Level Standard - Point 8</t>
  </si>
  <si>
    <t>Higher Level Standard - Point 9</t>
  </si>
  <si>
    <t>Higher Level Standard - Point 10</t>
  </si>
  <si>
    <t>Higher Level Standard - Zero 2</t>
  </si>
  <si>
    <t>Candidate Transfer Standard - Zero 1</t>
  </si>
  <si>
    <t>Candidate Transfer Standard - Point 1</t>
  </si>
  <si>
    <t>Candidate Transfer Standard - Point 2</t>
  </si>
  <si>
    <t>Candidate Transfer Standard - Point 3</t>
  </si>
  <si>
    <t>Candidate Transfer Standard - Point 4</t>
  </si>
  <si>
    <t>Candidate Transfer Standard - Point 5</t>
  </si>
  <si>
    <t>Candidate Transfer Standard - Point 6</t>
  </si>
  <si>
    <t>Candidate Transfer Standard - Point 7</t>
  </si>
  <si>
    <t>Candidate Transfer Standard - Point 8</t>
  </si>
  <si>
    <t>Candidate Transfer Standard - Point 9</t>
  </si>
  <si>
    <t>Candidate Transfer Standard - Point 10</t>
  </si>
  <si>
    <t>Candidate Transfer Standard - Zero 2</t>
  </si>
  <si>
    <t>Cycle Date</t>
  </si>
  <si>
    <t>Date Number1</t>
  </si>
  <si>
    <t>Date Number2</t>
  </si>
  <si>
    <t>Final Date</t>
  </si>
  <si>
    <t>V1</t>
  </si>
  <si>
    <t>V2</t>
  </si>
  <si>
    <t>V3</t>
  </si>
  <si>
    <t>Cycle Date Calc</t>
  </si>
  <si>
    <t>0.00</t>
  </si>
  <si>
    <t>MSE</t>
  </si>
  <si>
    <r>
      <t>m SE</t>
    </r>
    <r>
      <rPr>
        <vertAlign val="superscript"/>
        <sz val="11"/>
        <color theme="1"/>
        <rFont val="Calibri"/>
        <family val="2"/>
        <scheme val="minor"/>
      </rPr>
      <t>2</t>
    </r>
  </si>
  <si>
    <r>
      <t>b SE</t>
    </r>
    <r>
      <rPr>
        <vertAlign val="superscript"/>
        <sz val="11"/>
        <color theme="1"/>
        <rFont val="Calibri"/>
        <family val="2"/>
        <scheme val="minor"/>
      </rPr>
      <t>2</t>
    </r>
  </si>
  <si>
    <t>count</t>
  </si>
  <si>
    <t>Cycle</t>
  </si>
  <si>
    <t>Rank</t>
  </si>
  <si>
    <t>Duration</t>
  </si>
  <si>
    <t>Level 1 SRP</t>
  </si>
  <si>
    <t>Bench</t>
  </si>
  <si>
    <t xml:space="preserve">Level 2 Bench </t>
  </si>
  <si>
    <t>Level 2 Field</t>
  </si>
  <si>
    <t>Field</t>
  </si>
  <si>
    <t>Level 3 Bench</t>
  </si>
  <si>
    <t>Level 3 Field</t>
  </si>
  <si>
    <t xml:space="preserve">5.  When an acceptance criteria passes, the cell turns green.  </t>
  </si>
  <si>
    <t>6.  When an acceptance criteria fails, the cell turns red.</t>
  </si>
  <si>
    <t>1.)  When a reverification is required, locate the Excel verification data sheet and open it.  All data except the Reverification tab will be protected.</t>
  </si>
  <si>
    <t>5.)  After a final review of data, click the 'Submit Reverification Data Form' button.  This will create a pdf of the reverification form, write the verification data to the archive tab, clear the reverification data sheet, and create the Transfer Standard Summary Sheet.</t>
  </si>
  <si>
    <t>8.) When the next reverification is required, locate the Excel verification data sheet and open it.  All data except the Reverification tab will be protected.</t>
  </si>
  <si>
    <t>9.) Repeat Reverification Steps 1-8 as needed.</t>
  </si>
  <si>
    <t>6.) Save File.</t>
  </si>
  <si>
    <t>7.) Save File.</t>
  </si>
  <si>
    <t>2.) Begin on the Verification Tab.</t>
  </si>
  <si>
    <t>Candidate Transfer Standard Role</t>
  </si>
  <si>
    <t>Candidate Transfer Serial Number</t>
  </si>
  <si>
    <t>Candidate Transfer Make</t>
  </si>
  <si>
    <t>ACCEPTANCE CRITERIA UPPER</t>
  </si>
  <si>
    <t>ACCEPTANCE CRITERIA LOWER</t>
  </si>
  <si>
    <t xml:space="preserve">Slope Acceptance Criteria: </t>
  </si>
  <si>
    <t xml:space="preserve">Intercept Acceptance Criteria: </t>
  </si>
  <si>
    <t>Regression Slope/Intercept Summary (3 Verification Cycles)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</si>
</sst>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
    <numFmt numFmtId="165" formatCode="0.000"/>
    <numFmt numFmtId="166" formatCode="0.0000"/>
    <numFmt numFmtId="167" formatCode="0.0%"/>
    <numFmt numFmtId="168" formatCode="m/d;@"/>
    <numFmt numFmtId="169" formatCode="yyyy\/mm\/dd"/>
    <numFmt numFmtId="170" formatCode="mm/dd/yyyy"/>
    <numFmt numFmtId="171" formatCode="m/d/yyyy;@"/>
    <numFmt numFmtId="172" formatCode="0.00000"/>
  </numFmts>
  <fonts count="25" x14ac:knownFonts="1">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4"/>
      <color theme="1"/>
      <name val="Calibri"/>
      <family val="2"/>
      <scheme val="minor"/>
    </font>
    <font>
      <b/>
      <vertAlign val="subscript"/>
      <sz val="24"/>
      <color theme="1"/>
      <name val="Calibri"/>
      <family val="2"/>
      <scheme val="minor"/>
    </font>
    <font>
      <sz val="11"/>
      <color theme="1"/>
      <name val="Calibri"/>
      <family val="2"/>
      <scheme val="minor"/>
    </font>
    <font>
      <b/>
      <sz val="12"/>
      <color theme="1"/>
      <name val="Times New Roman"/>
      <family val="1"/>
    </font>
    <font>
      <b/>
      <sz val="15"/>
      <color theme="3"/>
      <name val="Calibri"/>
      <family val="2"/>
      <scheme val="minor"/>
    </font>
    <font>
      <b/>
      <sz val="13"/>
      <color theme="3"/>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b/>
      <i/>
      <sz val="12"/>
      <color theme="3"/>
      <name val="Calibri"/>
      <family val="2"/>
      <scheme val="minor"/>
    </font>
    <font>
      <b/>
      <sz val="22"/>
      <color theme="3"/>
      <name val="Century Gothic"/>
      <family val="2"/>
      <scheme val="major"/>
    </font>
    <font>
      <sz val="11"/>
      <name val="Calibri"/>
      <family val="2"/>
      <scheme val="minor"/>
    </font>
    <font>
      <sz val="8"/>
      <name val="Calibri"/>
      <family val="2"/>
      <scheme val="minor"/>
    </font>
    <font>
      <sz val="26"/>
      <color theme="1"/>
      <name val="Calibri"/>
      <family val="2"/>
      <scheme val="minor"/>
    </font>
    <font>
      <sz val="11"/>
      <color theme="0"/>
      <name val="Calibri"/>
      <family val="2"/>
      <scheme val="minor"/>
    </font>
    <font>
      <sz val="11"/>
      <color rgb="FFFFFFFF"/>
      <name val="Calibri"/>
      <family val="2"/>
      <scheme val="minor"/>
    </font>
    <font>
      <b/>
      <sz val="11"/>
      <color theme="1" tint="0.499984740745262"/>
      <name val="Calibri"/>
      <family val="2"/>
      <scheme val="minor"/>
    </font>
    <font>
      <b/>
      <sz val="11"/>
      <name val="Calibri"/>
      <family val="2"/>
      <scheme val="minor"/>
    </font>
    <font>
      <vertAlign val="superscript"/>
      <sz val="11"/>
      <color theme="1"/>
      <name val="Calibri"/>
      <family val="2"/>
      <scheme val="minor"/>
    </font>
  </fonts>
  <fills count="12">
    <fill>
      <patternFill patternType="none"/>
    </fill>
    <fill>
      <patternFill patternType="gray125"/>
    </fill>
    <fill>
      <patternFill patternType="solid">
        <fgColor theme="2"/>
        <bgColor indexed="64"/>
      </patternFill>
    </fill>
    <fill>
      <patternFill patternType="solid">
        <fgColor theme="2" tint="-0.249977111117893"/>
        <bgColor indexed="64"/>
      </patternFill>
    </fill>
    <fill>
      <patternFill patternType="solid">
        <fgColor rgb="FFF2F2F2"/>
      </patternFill>
    </fill>
    <fill>
      <patternFill patternType="solid">
        <fgColor rgb="FFA5A5A5"/>
      </patternFill>
    </fill>
    <fill>
      <patternFill patternType="solid">
        <fgColor rgb="FFFFFFCC"/>
      </patternFill>
    </fill>
    <fill>
      <patternFill patternType="solid">
        <fgColor theme="5" tint="0.79998168889431442"/>
        <bgColor indexed="64"/>
      </patternFill>
    </fill>
    <fill>
      <patternFill patternType="solid">
        <fgColor theme="7" tint="0.39997558519241921"/>
        <bgColor indexed="64"/>
      </patternFill>
    </fill>
    <fill>
      <patternFill patternType="solid">
        <fgColor rgb="FFFFC7CE"/>
        <bgColor indexed="64"/>
      </patternFill>
    </fill>
    <fill>
      <patternFill patternType="solid">
        <fgColor rgb="FFC6EFCE"/>
        <bgColor indexed="64"/>
      </patternFill>
    </fill>
    <fill>
      <patternFill patternType="solid">
        <fgColor theme="0"/>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style="thin">
        <color rgb="FF7F7F7F"/>
      </right>
      <top/>
      <bottom style="thin">
        <color rgb="FF7F7F7F"/>
      </bottom>
      <diagonal/>
    </border>
    <border>
      <left/>
      <right/>
      <top/>
      <bottom style="double">
        <color auto="1"/>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indexed="64"/>
      </bottom>
      <diagonal/>
    </border>
    <border>
      <left/>
      <right style="thin">
        <color rgb="FFB2B2B2"/>
      </right>
      <top/>
      <bottom style="thin">
        <color indexed="64"/>
      </bottom>
      <diagonal/>
    </border>
    <border>
      <left style="thin">
        <color rgb="FFB2B2B2"/>
      </left>
      <right/>
      <top style="thin">
        <color indexed="64"/>
      </top>
      <bottom/>
      <diagonal/>
    </border>
    <border>
      <left/>
      <right style="thin">
        <color rgb="FFB2B2B2"/>
      </right>
      <top style="thin">
        <color indexed="64"/>
      </top>
      <bottom/>
      <diagonal/>
    </border>
    <border>
      <left/>
      <right/>
      <top style="thin">
        <color theme="1"/>
      </top>
      <bottom style="thin">
        <color theme="1"/>
      </bottom>
      <diagonal/>
    </border>
    <border>
      <left style="thin">
        <color indexed="64"/>
      </left>
      <right style="thin">
        <color indexed="64"/>
      </right>
      <top style="thin">
        <color indexed="64"/>
      </top>
      <bottom style="thin">
        <color indexed="64"/>
      </bottom>
      <diagonal/>
    </border>
    <border>
      <left/>
      <right/>
      <top/>
      <bottom style="thin">
        <color theme="1"/>
      </bottom>
      <diagonal/>
    </border>
    <border>
      <left style="thin">
        <color rgb="FF3F3F3F"/>
      </left>
      <right style="thin">
        <color rgb="FF3F3F3F"/>
      </right>
      <top style="thin">
        <color rgb="FF3F3F3F"/>
      </top>
      <bottom/>
      <diagonal/>
    </border>
    <border>
      <left style="double">
        <color auto="1"/>
      </left>
      <right style="double">
        <color auto="1"/>
      </right>
      <top style="double">
        <color rgb="FF3F3F3F"/>
      </top>
      <bottom style="double">
        <color auto="1"/>
      </bottom>
      <diagonal/>
    </border>
    <border>
      <left style="double">
        <color auto="1"/>
      </left>
      <right style="double">
        <color auto="1"/>
      </right>
      <top style="double">
        <color auto="1"/>
      </top>
      <bottom style="double">
        <color auto="1"/>
      </bottom>
      <diagonal/>
    </border>
    <border>
      <left style="thin">
        <color indexed="64"/>
      </left>
      <right/>
      <top/>
      <bottom/>
      <diagonal/>
    </border>
    <border>
      <left style="thin">
        <color indexed="64"/>
      </left>
      <right style="thin">
        <color indexed="64"/>
      </right>
      <top style="thin">
        <color rgb="FF7F7F7F"/>
      </top>
      <bottom style="thin">
        <color rgb="FF7F7F7F"/>
      </bottom>
      <diagonal/>
    </border>
    <border>
      <left style="thin">
        <color rgb="FF3F3F3F"/>
      </left>
      <right/>
      <top style="thin">
        <color rgb="FF3F3F3F"/>
      </top>
      <bottom style="thin">
        <color rgb="FF3F3F3F"/>
      </bottom>
      <diagonal/>
    </border>
  </borders>
  <cellStyleXfs count="13">
    <xf numFmtId="0" fontId="0" fillId="0" borderId="0"/>
    <xf numFmtId="0" fontId="16" fillId="2" borderId="8" applyNumberFormat="0" applyAlignment="0"/>
    <xf numFmtId="0" fontId="8" fillId="0" borderId="0" applyNumberFormat="0" applyFill="0" applyAlignment="0"/>
    <xf numFmtId="0" fontId="9" fillId="0" borderId="0" applyNumberFormat="0" applyFill="0" applyAlignment="0"/>
    <xf numFmtId="0" fontId="10" fillId="7" borderId="1" applyNumberFormat="0" applyAlignment="0" applyProtection="0"/>
    <xf numFmtId="0" fontId="11" fillId="4" borderId="2" applyNumberFormat="0" applyAlignment="0"/>
    <xf numFmtId="0" fontId="12" fillId="4" borderId="1" applyNumberFormat="0" applyAlignment="0"/>
    <xf numFmtId="0" fontId="13" fillId="5" borderId="3" applyNumberFormat="0" applyAlignment="0"/>
    <xf numFmtId="0" fontId="6" fillId="6" borderId="4" applyNumberFormat="0" applyFont="0" applyAlignment="0" applyProtection="0"/>
    <xf numFmtId="0" fontId="6" fillId="0" borderId="0">
      <alignment horizontal="right" vertical="center"/>
    </xf>
    <xf numFmtId="0" fontId="3" fillId="0" borderId="0">
      <alignment horizontal="center" wrapText="1"/>
    </xf>
    <xf numFmtId="0" fontId="14" fillId="0" borderId="0" applyNumberFormat="0" applyFill="0" applyBorder="0" applyAlignment="0" applyProtection="0"/>
    <xf numFmtId="9" fontId="6" fillId="0" borderId="0" applyFont="0" applyFill="0" applyBorder="0" applyAlignment="0" applyProtection="0"/>
  </cellStyleXfs>
  <cellXfs count="186">
    <xf numFmtId="0" fontId="0" fillId="0" borderId="0" xfId="0"/>
    <xf numFmtId="0" fontId="0" fillId="0" borderId="0" xfId="0" applyBorder="1" applyAlignment="1">
      <alignment vertical="center"/>
    </xf>
    <xf numFmtId="0" fontId="0" fillId="0" borderId="0" xfId="0" applyFill="1" applyBorder="1" applyAlignment="1">
      <alignment vertical="center"/>
    </xf>
    <xf numFmtId="0" fontId="2" fillId="0" borderId="0" xfId="0" applyFont="1" applyFill="1" applyBorder="1" applyAlignment="1">
      <alignment vertical="center"/>
    </xf>
    <xf numFmtId="0" fontId="1" fillId="0" borderId="0" xfId="0" applyFont="1" applyBorder="1" applyAlignment="1">
      <alignment horizontal="center" vertical="center"/>
    </xf>
    <xf numFmtId="0" fontId="1" fillId="0" borderId="0" xfId="0" applyFont="1" applyFill="1" applyBorder="1" applyAlignment="1">
      <alignment horizontal="center" vertical="center"/>
    </xf>
    <xf numFmtId="0" fontId="4" fillId="0" borderId="0" xfId="0" applyFont="1" applyFill="1" applyBorder="1" applyAlignment="1">
      <alignment vertical="center"/>
    </xf>
    <xf numFmtId="0" fontId="7" fillId="0" borderId="0" xfId="0" applyFont="1"/>
    <xf numFmtId="0" fontId="0" fillId="0" borderId="0" xfId="0" applyBorder="1" applyAlignment="1">
      <alignment horizontal="right" vertical="center"/>
    </xf>
    <xf numFmtId="164" fontId="12" fillId="4" borderId="1" xfId="6" applyNumberFormat="1" applyAlignment="1">
      <alignment horizontal="center" vertical="center"/>
    </xf>
    <xf numFmtId="0" fontId="11" fillId="4" borderId="2" xfId="5" applyAlignment="1">
      <alignment horizontal="center" vertical="center"/>
    </xf>
    <xf numFmtId="0" fontId="13" fillId="5" borderId="3" xfId="7" applyAlignment="1">
      <alignment vertical="center"/>
    </xf>
    <xf numFmtId="166" fontId="11" fillId="4" borderId="2" xfId="5" applyNumberFormat="1" applyAlignment="1">
      <alignment horizontal="left" vertical="center"/>
    </xf>
    <xf numFmtId="2" fontId="11" fillId="4" borderId="2" xfId="5" applyNumberFormat="1" applyAlignment="1">
      <alignment horizontal="left" vertical="center"/>
    </xf>
    <xf numFmtId="0" fontId="6" fillId="0" borderId="0" xfId="9">
      <alignment horizontal="right" vertical="center"/>
    </xf>
    <xf numFmtId="0" fontId="6" fillId="0" borderId="0" xfId="9" applyAlignment="1">
      <alignment horizontal="right" vertical="top"/>
    </xf>
    <xf numFmtId="0" fontId="3" fillId="0" borderId="0" xfId="10">
      <alignment horizontal="center" wrapText="1"/>
    </xf>
    <xf numFmtId="0" fontId="0" fillId="0" borderId="0" xfId="9" applyFont="1">
      <alignment horizontal="right" vertical="center"/>
    </xf>
    <xf numFmtId="0" fontId="0" fillId="0" borderId="0" xfId="0" applyFill="1" applyBorder="1" applyAlignment="1">
      <alignment horizontal="right" vertical="center"/>
    </xf>
    <xf numFmtId="0" fontId="11" fillId="4" borderId="2" xfId="5" applyNumberFormat="1" applyAlignment="1">
      <alignment horizontal="left" vertical="center"/>
    </xf>
    <xf numFmtId="0" fontId="0" fillId="0" borderId="0" xfId="0" applyAlignment="1">
      <alignment horizontal="right"/>
    </xf>
    <xf numFmtId="0" fontId="0" fillId="0" borderId="0" xfId="0" applyAlignment="1">
      <alignment wrapText="1"/>
    </xf>
    <xf numFmtId="0" fontId="0" fillId="0" borderId="0" xfId="0" applyAlignment="1"/>
    <xf numFmtId="0" fontId="1" fillId="0" borderId="17" xfId="0" applyFont="1" applyBorder="1" applyAlignment="1">
      <alignment horizontal="center" wrapText="1"/>
    </xf>
    <xf numFmtId="14" fontId="0" fillId="0" borderId="0" xfId="0" applyNumberFormat="1"/>
    <xf numFmtId="14" fontId="1" fillId="0" borderId="17" xfId="0" applyNumberFormat="1" applyFont="1" applyBorder="1" applyAlignment="1">
      <alignment horizontal="center" wrapText="1"/>
    </xf>
    <xf numFmtId="2" fontId="1" fillId="0" borderId="0" xfId="0" applyNumberFormat="1" applyFont="1" applyBorder="1" applyAlignment="1">
      <alignment horizontal="center" vertical="center"/>
    </xf>
    <xf numFmtId="2" fontId="0" fillId="0" borderId="0" xfId="0" applyNumberFormat="1"/>
    <xf numFmtId="2" fontId="1" fillId="0" borderId="15" xfId="0" applyNumberFormat="1" applyFont="1" applyBorder="1" applyAlignment="1">
      <alignment horizontal="center" wrapText="1"/>
    </xf>
    <xf numFmtId="2" fontId="0" fillId="0" borderId="0" xfId="0" applyNumberFormat="1" applyAlignment="1">
      <alignment horizontal="center" vertical="center"/>
    </xf>
    <xf numFmtId="166" fontId="11" fillId="4" borderId="2" xfId="5" applyNumberFormat="1" applyAlignment="1">
      <alignment horizontal="center" vertical="center"/>
    </xf>
    <xf numFmtId="2" fontId="11" fillId="4" borderId="2" xfId="5" applyNumberFormat="1" applyAlignment="1">
      <alignment horizontal="center" vertical="center"/>
    </xf>
    <xf numFmtId="166" fontId="11" fillId="4" borderId="18" xfId="5" applyNumberFormat="1" applyBorder="1" applyAlignment="1">
      <alignment horizontal="center" vertical="center"/>
    </xf>
    <xf numFmtId="2" fontId="11" fillId="4" borderId="18" xfId="5" applyNumberFormat="1" applyBorder="1" applyAlignment="1">
      <alignment horizontal="center" vertical="center"/>
    </xf>
    <xf numFmtId="167" fontId="12" fillId="4" borderId="1" xfId="12" applyNumberFormat="1" applyFont="1" applyFill="1" applyBorder="1" applyAlignment="1">
      <alignment horizontal="center" vertical="center"/>
    </xf>
    <xf numFmtId="0" fontId="11" fillId="4" borderId="2" xfId="5" applyAlignment="1">
      <alignment horizontal="left" vertical="center"/>
    </xf>
    <xf numFmtId="0" fontId="14" fillId="0" borderId="0" xfId="11" applyBorder="1" applyAlignment="1">
      <alignment wrapText="1"/>
    </xf>
    <xf numFmtId="0" fontId="0" fillId="0" borderId="0" xfId="0" applyAlignment="1">
      <alignment horizontal="left" indent="1"/>
    </xf>
    <xf numFmtId="0" fontId="0" fillId="0" borderId="0" xfId="0" applyAlignment="1">
      <alignment horizontal="left" wrapText="1" indent="1"/>
    </xf>
    <xf numFmtId="0" fontId="14" fillId="0" borderId="0" xfId="11" applyBorder="1" applyAlignment="1">
      <alignment horizontal="left" wrapText="1" indent="1"/>
    </xf>
    <xf numFmtId="0" fontId="0" fillId="0" borderId="0" xfId="0" applyAlignment="1">
      <alignment horizontal="left" indent="2"/>
    </xf>
    <xf numFmtId="0" fontId="0" fillId="0" borderId="0" xfId="0" applyAlignment="1">
      <alignment horizontal="left" wrapText="1" indent="2"/>
    </xf>
    <xf numFmtId="14" fontId="0" fillId="0" borderId="0" xfId="0" applyNumberFormat="1" applyAlignment="1">
      <alignment horizontal="center" vertical="center"/>
    </xf>
    <xf numFmtId="170" fontId="0" fillId="0" borderId="0" xfId="0" applyNumberFormat="1" applyFont="1" applyFill="1" applyBorder="1"/>
    <xf numFmtId="0" fontId="0" fillId="0" borderId="0" xfId="0" applyFont="1" applyFill="1" applyBorder="1" applyAlignment="1">
      <alignment horizontal="center" wrapText="1"/>
    </xf>
    <xf numFmtId="14" fontId="0" fillId="0" borderId="0" xfId="0" applyNumberFormat="1" applyFont="1" applyFill="1" applyBorder="1" applyAlignment="1">
      <alignment horizontal="center" wrapText="1"/>
    </xf>
    <xf numFmtId="165" fontId="0" fillId="0" borderId="0" xfId="0" applyNumberFormat="1" applyFont="1" applyFill="1" applyBorder="1" applyAlignment="1">
      <alignment horizontal="center" wrapText="1"/>
    </xf>
    <xf numFmtId="164" fontId="0" fillId="0" borderId="0" xfId="0" applyNumberFormat="1" applyFont="1" applyFill="1" applyBorder="1" applyAlignment="1">
      <alignment horizontal="center" wrapText="1"/>
    </xf>
    <xf numFmtId="0" fontId="0" fillId="0" borderId="0" xfId="0" applyNumberFormat="1" applyFont="1" applyFill="1" applyBorder="1" applyAlignment="1">
      <alignment horizontal="center" wrapText="1"/>
    </xf>
    <xf numFmtId="2" fontId="0" fillId="0" borderId="0" xfId="0" applyNumberFormat="1" applyFont="1" applyFill="1" applyBorder="1" applyAlignment="1">
      <alignment horizontal="center" wrapText="1"/>
    </xf>
    <xf numFmtId="170" fontId="0" fillId="0" borderId="0" xfId="0" applyNumberFormat="1" applyFont="1" applyFill="1" applyBorder="1" applyAlignment="1">
      <alignment horizontal="center" wrapText="1"/>
    </xf>
    <xf numFmtId="2" fontId="0" fillId="0" borderId="0" xfId="0" applyNumberFormat="1" applyFont="1" applyFill="1" applyBorder="1" applyAlignment="1">
      <alignment horizontal="center" vertical="center"/>
    </xf>
    <xf numFmtId="0" fontId="0" fillId="0" borderId="0" xfId="0" applyFont="1" applyFill="1" applyBorder="1" applyAlignment="1">
      <alignment horizontal="center" vertical="center"/>
    </xf>
    <xf numFmtId="14" fontId="0" fillId="0" borderId="0" xfId="0" applyNumberFormat="1" applyFont="1" applyFill="1" applyBorder="1" applyAlignment="1">
      <alignment horizontal="center" vertical="center"/>
    </xf>
    <xf numFmtId="165" fontId="0" fillId="0" borderId="0" xfId="0" applyNumberFormat="1" applyFont="1" applyFill="1" applyBorder="1" applyAlignment="1">
      <alignment horizontal="center" vertical="center"/>
    </xf>
    <xf numFmtId="164"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2" fontId="0" fillId="0" borderId="0" xfId="0" applyNumberFormat="1" applyFont="1" applyFill="1" applyBorder="1"/>
    <xf numFmtId="0" fontId="0" fillId="0" borderId="0" xfId="0" applyFont="1" applyFill="1" applyBorder="1"/>
    <xf numFmtId="14" fontId="0" fillId="0" borderId="0" xfId="0" applyNumberFormat="1" applyFont="1" applyFill="1" applyBorder="1"/>
    <xf numFmtId="165" fontId="0" fillId="0" borderId="0" xfId="0" applyNumberFormat="1" applyFont="1" applyFill="1" applyBorder="1"/>
    <xf numFmtId="164" fontId="0" fillId="0" borderId="0" xfId="0" applyNumberFormat="1" applyFont="1" applyFill="1" applyBorder="1"/>
    <xf numFmtId="0" fontId="0" fillId="0" borderId="0" xfId="0" applyNumberFormat="1" applyFont="1" applyFill="1" applyBorder="1"/>
    <xf numFmtId="0" fontId="17" fillId="0" borderId="0" xfId="0" applyFont="1" applyAlignment="1">
      <alignment wrapText="1"/>
    </xf>
    <xf numFmtId="0" fontId="17" fillId="0" borderId="0" xfId="0" applyFont="1"/>
    <xf numFmtId="0" fontId="20" fillId="0" borderId="0" xfId="0" applyFont="1" applyAlignment="1">
      <alignment wrapText="1"/>
    </xf>
    <xf numFmtId="0" fontId="20" fillId="0" borderId="0" xfId="0" applyFont="1"/>
    <xf numFmtId="170" fontId="21" fillId="0" borderId="0" xfId="0" applyNumberFormat="1" applyFont="1" applyFill="1" applyBorder="1"/>
    <xf numFmtId="170" fontId="21" fillId="0" borderId="0" xfId="0" applyNumberFormat="1" applyFont="1" applyFill="1" applyBorder="1" applyAlignment="1">
      <alignment horizontal="center" wrapText="1"/>
    </xf>
    <xf numFmtId="0" fontId="21" fillId="0" borderId="0" xfId="0" applyFont="1" applyFill="1" applyBorder="1" applyAlignment="1">
      <alignment wrapText="1"/>
    </xf>
    <xf numFmtId="1" fontId="21" fillId="0" borderId="0" xfId="0" applyNumberFormat="1" applyFont="1" applyFill="1" applyBorder="1" applyAlignment="1">
      <alignment horizontal="center" wrapText="1"/>
    </xf>
    <xf numFmtId="1" fontId="21" fillId="0" borderId="0" xfId="0" applyNumberFormat="1" applyFont="1" applyFill="1" applyBorder="1" applyAlignment="1">
      <alignment wrapText="1"/>
    </xf>
    <xf numFmtId="0" fontId="21" fillId="0" borderId="0" xfId="0" applyFont="1" applyFill="1" applyBorder="1"/>
    <xf numFmtId="1" fontId="21" fillId="0" borderId="0" xfId="0" applyNumberFormat="1" applyFont="1" applyFill="1" applyBorder="1"/>
    <xf numFmtId="171" fontId="11" fillId="4" borderId="2" xfId="5" applyNumberFormat="1" applyAlignment="1">
      <alignment horizontal="left" vertical="center"/>
    </xf>
    <xf numFmtId="171" fontId="11" fillId="4" borderId="2" xfId="5" applyNumberFormat="1" applyAlignment="1">
      <alignment horizontal="center" vertical="center"/>
    </xf>
    <xf numFmtId="164" fontId="12" fillId="4" borderId="5" xfId="6" applyNumberFormat="1" applyBorder="1" applyAlignment="1">
      <alignment horizontal="center" vertical="center"/>
    </xf>
    <xf numFmtId="164" fontId="22" fillId="4" borderId="22" xfId="6" applyNumberFormat="1" applyFont="1" applyBorder="1" applyAlignment="1">
      <alignment horizontal="center" vertical="center"/>
    </xf>
    <xf numFmtId="164" fontId="12" fillId="4" borderId="22" xfId="6" applyNumberFormat="1" applyBorder="1" applyAlignment="1">
      <alignment horizontal="center" vertical="center"/>
    </xf>
    <xf numFmtId="2" fontId="23" fillId="0" borderId="17" xfId="0" applyNumberFormat="1" applyFont="1" applyBorder="1" applyAlignment="1">
      <alignment horizontal="center" wrapText="1"/>
    </xf>
    <xf numFmtId="2" fontId="17" fillId="0" borderId="0" xfId="0" applyNumberFormat="1" applyFont="1" applyAlignment="1">
      <alignment horizontal="center" vertical="center"/>
    </xf>
    <xf numFmtId="2" fontId="17" fillId="0" borderId="0" xfId="0" applyNumberFormat="1" applyFont="1"/>
    <xf numFmtId="0" fontId="0" fillId="0" borderId="0" xfId="0" applyAlignment="1">
      <alignment horizontal="center" wrapText="1"/>
    </xf>
    <xf numFmtId="0" fontId="0" fillId="0" borderId="0" xfId="0" applyAlignment="1">
      <alignment vertical="center"/>
    </xf>
    <xf numFmtId="0" fontId="0" fillId="0" borderId="16" xfId="0" applyBorder="1" applyAlignment="1">
      <alignment horizontal="center" vertical="center"/>
    </xf>
    <xf numFmtId="0" fontId="4" fillId="0" borderId="0" xfId="0" applyFont="1" applyAlignment="1">
      <alignment vertical="center"/>
    </xf>
    <xf numFmtId="0" fontId="0" fillId="0" borderId="0" xfId="0" applyAlignment="1">
      <alignment horizontal="right" vertical="center"/>
    </xf>
    <xf numFmtId="0" fontId="2" fillId="0" borderId="0" xfId="0" applyFont="1" applyAlignment="1">
      <alignment vertical="center"/>
    </xf>
    <xf numFmtId="0" fontId="3" fillId="0" borderId="0" xfId="0" applyFont="1" applyAlignment="1">
      <alignment horizontal="center" vertical="center"/>
    </xf>
    <xf numFmtId="0" fontId="3" fillId="0" borderId="0" xfId="0" applyFont="1" applyAlignment="1">
      <alignment vertical="center"/>
    </xf>
    <xf numFmtId="14" fontId="0" fillId="0" borderId="0" xfId="0" applyNumberFormat="1" applyAlignment="1">
      <alignment vertical="center"/>
    </xf>
    <xf numFmtId="0" fontId="1" fillId="0" borderId="0" xfId="0" applyFont="1" applyAlignment="1">
      <alignment horizontal="center"/>
    </xf>
    <xf numFmtId="0" fontId="8" fillId="2" borderId="0" xfId="2" applyFill="1" applyAlignment="1">
      <alignment horizontal="center" vertical="center"/>
    </xf>
    <xf numFmtId="0" fontId="20" fillId="11" borderId="0" xfId="0" applyFont="1" applyFill="1" applyBorder="1" applyAlignment="1">
      <alignment vertical="center"/>
    </xf>
    <xf numFmtId="49" fontId="20" fillId="11" borderId="0" xfId="0" applyNumberFormat="1" applyFont="1" applyFill="1" applyBorder="1" applyAlignment="1">
      <alignment vertical="center"/>
    </xf>
    <xf numFmtId="0" fontId="17" fillId="8" borderId="16" xfId="6" applyFont="1" applyFill="1" applyBorder="1"/>
    <xf numFmtId="0" fontId="17" fillId="4" borderId="16" xfId="6" applyFont="1" applyBorder="1"/>
    <xf numFmtId="0" fontId="10" fillId="7" borderId="16" xfId="4" applyFont="1" applyBorder="1"/>
    <xf numFmtId="0" fontId="0" fillId="0" borderId="16" xfId="0" applyFont="1" applyBorder="1"/>
    <xf numFmtId="0" fontId="0" fillId="10" borderId="16" xfId="0" applyFill="1" applyBorder="1"/>
    <xf numFmtId="0" fontId="0" fillId="9" borderId="16" xfId="0" applyFill="1" applyBorder="1"/>
    <xf numFmtId="0" fontId="10" fillId="7" borderId="7" xfId="4" applyBorder="1" applyAlignment="1" applyProtection="1">
      <alignment vertical="center"/>
      <protection locked="0"/>
    </xf>
    <xf numFmtId="0" fontId="10" fillId="7" borderId="1" xfId="4" applyAlignment="1" applyProtection="1">
      <alignment vertical="center"/>
      <protection locked="0"/>
    </xf>
    <xf numFmtId="49" fontId="10" fillId="7" borderId="1" xfId="4" applyNumberFormat="1" applyAlignment="1" applyProtection="1">
      <alignment horizontal="left" vertical="center"/>
      <protection locked="0"/>
    </xf>
    <xf numFmtId="0" fontId="10" fillId="7" borderId="1" xfId="4" applyAlignment="1" applyProtection="1">
      <alignment horizontal="left" vertical="center"/>
      <protection locked="0"/>
    </xf>
    <xf numFmtId="171" fontId="10" fillId="7" borderId="1" xfId="4" applyNumberFormat="1" applyAlignment="1" applyProtection="1">
      <alignment horizontal="left" vertical="center"/>
      <protection locked="0"/>
    </xf>
    <xf numFmtId="165" fontId="10" fillId="7" borderId="1" xfId="4" applyNumberFormat="1" applyAlignment="1" applyProtection="1">
      <alignment horizontal="left" vertical="center"/>
      <protection locked="0"/>
    </xf>
    <xf numFmtId="164" fontId="10" fillId="7" borderId="1" xfId="4" applyNumberFormat="1" applyAlignment="1" applyProtection="1">
      <alignment horizontal="left" vertical="center"/>
      <protection locked="0"/>
    </xf>
    <xf numFmtId="165" fontId="10" fillId="7" borderId="1" xfId="4" applyNumberFormat="1" applyAlignment="1" applyProtection="1">
      <alignment horizontal="center" vertical="center"/>
      <protection locked="0"/>
    </xf>
    <xf numFmtId="164" fontId="10" fillId="7" borderId="1" xfId="4" applyNumberFormat="1" applyAlignment="1" applyProtection="1">
      <alignment horizontal="center" vertical="center"/>
      <protection locked="0"/>
    </xf>
    <xf numFmtId="171" fontId="11" fillId="4" borderId="2" xfId="5" applyNumberFormat="1" applyAlignment="1" applyProtection="1">
      <alignment horizontal="left" vertical="center"/>
    </xf>
    <xf numFmtId="0" fontId="0" fillId="0" borderId="0" xfId="0" applyProtection="1"/>
    <xf numFmtId="0" fontId="6" fillId="0" borderId="0" xfId="9" applyFont="1" applyProtection="1">
      <alignment horizontal="right" vertical="center"/>
    </xf>
    <xf numFmtId="0" fontId="13" fillId="5" borderId="3" xfId="7" applyAlignment="1" applyProtection="1">
      <alignment vertical="center"/>
    </xf>
    <xf numFmtId="0" fontId="6" fillId="0" borderId="0" xfId="9" applyProtection="1">
      <alignment horizontal="right" vertical="center"/>
    </xf>
    <xf numFmtId="0" fontId="0" fillId="0" borderId="0" xfId="9" applyFont="1" applyFill="1" applyProtection="1">
      <alignment horizontal="right" vertical="center"/>
    </xf>
    <xf numFmtId="165" fontId="12" fillId="4" borderId="19" xfId="6" applyNumberFormat="1" applyBorder="1" applyAlignment="1" applyProtection="1">
      <alignment horizontal="left" vertical="center"/>
    </xf>
    <xf numFmtId="172" fontId="0" fillId="8" borderId="20" xfId="0" applyNumberFormat="1" applyFill="1" applyBorder="1" applyProtection="1"/>
    <xf numFmtId="165" fontId="12" fillId="4" borderId="20" xfId="6" applyNumberFormat="1" applyBorder="1" applyAlignment="1" applyProtection="1">
      <alignment horizontal="left" vertical="center"/>
    </xf>
    <xf numFmtId="0" fontId="0" fillId="0" borderId="0" xfId="0" applyFill="1" applyBorder="1" applyAlignment="1" applyProtection="1">
      <alignment vertical="center"/>
    </xf>
    <xf numFmtId="0" fontId="2" fillId="0" borderId="0" xfId="0" applyFont="1" applyFill="1" applyBorder="1" applyAlignment="1" applyProtection="1">
      <alignment vertical="center"/>
    </xf>
    <xf numFmtId="0" fontId="1" fillId="0" borderId="0" xfId="0" applyFont="1" applyFill="1" applyBorder="1" applyAlignment="1" applyProtection="1">
      <alignment vertical="center"/>
    </xf>
    <xf numFmtId="0" fontId="0" fillId="0" borderId="0" xfId="0" applyFill="1" applyBorder="1" applyAlignment="1" applyProtection="1">
      <alignment vertical="center" wrapText="1"/>
    </xf>
    <xf numFmtId="0" fontId="0" fillId="0" borderId="0" xfId="0" applyFill="1" applyProtection="1"/>
    <xf numFmtId="166" fontId="11" fillId="4" borderId="2" xfId="5" applyNumberFormat="1" applyAlignment="1" applyProtection="1">
      <alignment horizontal="left" vertical="center"/>
    </xf>
    <xf numFmtId="0" fontId="0" fillId="0" borderId="0" xfId="0" applyBorder="1" applyAlignment="1" applyProtection="1">
      <alignment vertical="center"/>
    </xf>
    <xf numFmtId="2" fontId="11" fillId="4" borderId="23" xfId="5" applyNumberFormat="1" applyBorder="1" applyAlignment="1" applyProtection="1">
      <alignment horizontal="left" vertical="center"/>
    </xf>
    <xf numFmtId="0" fontId="0" fillId="0" borderId="16" xfId="0" applyBorder="1" applyAlignment="1" applyProtection="1">
      <alignment horizontal="center" vertical="center"/>
    </xf>
    <xf numFmtId="0" fontId="3" fillId="0" borderId="0" xfId="10" applyProtection="1">
      <alignment horizontal="center" wrapText="1"/>
    </xf>
    <xf numFmtId="0" fontId="1" fillId="0" borderId="0" xfId="0" applyFont="1" applyFill="1" applyBorder="1" applyAlignment="1" applyProtection="1">
      <alignment horizontal="center"/>
    </xf>
    <xf numFmtId="164" fontId="12" fillId="4" borderId="1" xfId="6" applyNumberFormat="1" applyAlignment="1" applyProtection="1">
      <alignment horizontal="center" vertical="center"/>
    </xf>
    <xf numFmtId="164" fontId="12" fillId="4" borderId="5" xfId="6" applyNumberFormat="1" applyBorder="1" applyAlignment="1" applyProtection="1">
      <alignment horizontal="center" vertical="center"/>
    </xf>
    <xf numFmtId="164" fontId="22" fillId="4" borderId="22" xfId="6" applyNumberFormat="1" applyFont="1" applyBorder="1" applyAlignment="1" applyProtection="1">
      <alignment horizontal="center" vertical="center"/>
    </xf>
    <xf numFmtId="167" fontId="12" fillId="4" borderId="1" xfId="12" applyNumberFormat="1" applyFont="1" applyFill="1" applyBorder="1" applyAlignment="1" applyProtection="1">
      <alignment horizontal="center" vertical="center"/>
    </xf>
    <xf numFmtId="164" fontId="12" fillId="4" borderId="22" xfId="6" applyNumberFormat="1" applyBorder="1" applyAlignment="1" applyProtection="1">
      <alignment horizontal="center" vertical="center"/>
    </xf>
    <xf numFmtId="0" fontId="4" fillId="0" borderId="0" xfId="0" applyFont="1" applyFill="1" applyBorder="1" applyAlignment="1" applyProtection="1">
      <alignment vertical="center"/>
    </xf>
    <xf numFmtId="14" fontId="0" fillId="0" borderId="0" xfId="0" applyNumberFormat="1" applyBorder="1" applyAlignment="1" applyProtection="1">
      <alignment vertical="center"/>
    </xf>
    <xf numFmtId="0" fontId="0" fillId="0" borderId="0" xfId="0" applyBorder="1" applyAlignment="1" applyProtection="1">
      <alignment horizontal="right" vertical="center"/>
    </xf>
    <xf numFmtId="14" fontId="0" fillId="0" borderId="0" xfId="0" applyNumberFormat="1" applyProtection="1"/>
    <xf numFmtId="0" fontId="0" fillId="0" borderId="0" xfId="0" applyFill="1" applyBorder="1" applyAlignment="1" applyProtection="1">
      <alignment horizontal="right" vertical="center"/>
    </xf>
    <xf numFmtId="0" fontId="6" fillId="0" borderId="0" xfId="9" applyAlignment="1" applyProtection="1">
      <alignment horizontal="right" vertical="top"/>
    </xf>
    <xf numFmtId="168" fontId="0" fillId="0" borderId="0" xfId="0" applyNumberFormat="1" applyProtection="1"/>
    <xf numFmtId="0" fontId="3" fillId="0" borderId="0" xfId="0" applyFont="1" applyFill="1" applyBorder="1" applyAlignment="1" applyProtection="1">
      <alignment horizontal="center" vertical="center"/>
    </xf>
    <xf numFmtId="0" fontId="3" fillId="0" borderId="0" xfId="0" applyFont="1" applyFill="1" applyBorder="1" applyAlignment="1" applyProtection="1">
      <alignment vertical="center"/>
    </xf>
    <xf numFmtId="0" fontId="3" fillId="0" borderId="0" xfId="0" applyFont="1" applyBorder="1" applyAlignment="1" applyProtection="1">
      <alignment vertical="center"/>
    </xf>
    <xf numFmtId="14" fontId="0" fillId="0" borderId="0" xfId="0" applyNumberFormat="1" applyFill="1" applyBorder="1" applyAlignment="1" applyProtection="1">
      <alignment vertical="center"/>
    </xf>
    <xf numFmtId="0" fontId="11" fillId="4" borderId="2" xfId="5" applyAlignment="1" applyProtection="1">
      <alignment horizontal="center" vertical="center"/>
    </xf>
    <xf numFmtId="164" fontId="0" fillId="0" borderId="0" xfId="0" applyNumberFormat="1" applyFill="1" applyBorder="1" applyAlignment="1" applyProtection="1">
      <alignment vertical="center"/>
    </xf>
    <xf numFmtId="0" fontId="0" fillId="0" borderId="0" xfId="0" applyAlignment="1" applyProtection="1">
      <alignment vertical="center"/>
    </xf>
    <xf numFmtId="169" fontId="0" fillId="0" borderId="0" xfId="0" applyNumberFormat="1" applyProtection="1"/>
    <xf numFmtId="166" fontId="0" fillId="0" borderId="0" xfId="0" applyNumberFormat="1" applyBorder="1" applyAlignment="1">
      <alignment vertical="center"/>
    </xf>
    <xf numFmtId="166" fontId="0" fillId="0" borderId="0" xfId="0" applyNumberFormat="1" applyFill="1" applyBorder="1" applyAlignment="1">
      <alignment vertical="center"/>
    </xf>
    <xf numFmtId="0" fontId="14" fillId="0" borderId="21" xfId="11" applyBorder="1" applyAlignment="1">
      <alignment horizontal="center" wrapText="1"/>
    </xf>
    <xf numFmtId="0" fontId="14" fillId="0" borderId="0" xfId="11" applyBorder="1" applyAlignment="1">
      <alignment horizontal="center" wrapText="1"/>
    </xf>
    <xf numFmtId="0" fontId="8" fillId="0" borderId="0" xfId="2" applyAlignment="1">
      <alignment horizontal="center"/>
    </xf>
    <xf numFmtId="0" fontId="4" fillId="3" borderId="0" xfId="0" applyFont="1" applyFill="1" applyBorder="1" applyAlignment="1">
      <alignment horizontal="center" vertical="center"/>
    </xf>
    <xf numFmtId="0" fontId="2" fillId="2" borderId="0" xfId="0" applyFont="1" applyFill="1" applyBorder="1" applyAlignment="1">
      <alignment horizontal="center" vertical="center"/>
    </xf>
    <xf numFmtId="0" fontId="16" fillId="2" borderId="8" xfId="1" applyFill="1" applyAlignment="1" applyProtection="1">
      <alignment horizontal="center" vertical="center"/>
    </xf>
    <xf numFmtId="0" fontId="8" fillId="2" borderId="0" xfId="2" applyFill="1" applyAlignment="1" applyProtection="1">
      <alignment horizontal="center" vertical="center"/>
    </xf>
    <xf numFmtId="0" fontId="9" fillId="2" borderId="0" xfId="3" applyFill="1" applyAlignment="1" applyProtection="1">
      <alignment horizontal="center" vertical="center"/>
    </xf>
    <xf numFmtId="0" fontId="9" fillId="2" borderId="0" xfId="3" applyFill="1" applyBorder="1" applyAlignment="1" applyProtection="1">
      <alignment horizontal="center" vertical="center"/>
    </xf>
    <xf numFmtId="0" fontId="10" fillId="7" borderId="5" xfId="4" applyBorder="1" applyAlignment="1" applyProtection="1">
      <alignment horizontal="left" vertical="center" wrapText="1"/>
      <protection locked="0"/>
    </xf>
    <xf numFmtId="0" fontId="10" fillId="7" borderId="6" xfId="4" applyBorder="1" applyAlignment="1" applyProtection="1">
      <alignment horizontal="left" vertical="center" wrapText="1"/>
      <protection locked="0"/>
    </xf>
    <xf numFmtId="0" fontId="0" fillId="6" borderId="9" xfId="8" applyFont="1" applyBorder="1" applyAlignment="1" applyProtection="1">
      <alignment horizontal="left" vertical="center" wrapText="1"/>
    </xf>
    <xf numFmtId="0" fontId="0" fillId="6" borderId="10" xfId="8" applyFont="1" applyBorder="1" applyAlignment="1" applyProtection="1">
      <alignment horizontal="left" vertical="center" wrapText="1"/>
    </xf>
    <xf numFmtId="0" fontId="0" fillId="6" borderId="11" xfId="8" applyFont="1" applyBorder="1" applyAlignment="1" applyProtection="1">
      <alignment horizontal="left" vertical="center" wrapText="1"/>
    </xf>
    <xf numFmtId="0" fontId="0" fillId="6" borderId="12" xfId="8" applyFont="1" applyBorder="1" applyAlignment="1" applyProtection="1">
      <alignment horizontal="left" vertical="center" wrapText="1"/>
    </xf>
    <xf numFmtId="0" fontId="17" fillId="6" borderId="13" xfId="8" applyFont="1" applyBorder="1" applyAlignment="1" applyProtection="1">
      <alignment horizontal="left" vertical="center"/>
    </xf>
    <xf numFmtId="0" fontId="17" fillId="6" borderId="14" xfId="8" applyFont="1" applyBorder="1" applyAlignment="1" applyProtection="1">
      <alignment horizontal="left" vertical="center"/>
    </xf>
    <xf numFmtId="0" fontId="17" fillId="6" borderId="11" xfId="8" applyFont="1" applyBorder="1" applyAlignment="1" applyProtection="1">
      <alignment horizontal="left" vertical="center"/>
    </xf>
    <xf numFmtId="0" fontId="17" fillId="6" borderId="12" xfId="8" applyFont="1" applyBorder="1" applyAlignment="1" applyProtection="1">
      <alignment horizontal="left" vertical="center"/>
    </xf>
    <xf numFmtId="0" fontId="19" fillId="0" borderId="0" xfId="0" applyFont="1" applyAlignment="1" applyProtection="1">
      <alignment horizontal="center" vertical="center" wrapText="1"/>
    </xf>
    <xf numFmtId="0" fontId="17" fillId="6" borderId="13" xfId="8" applyFont="1" applyBorder="1" applyAlignment="1">
      <alignment horizontal="left" vertical="center"/>
    </xf>
    <xf numFmtId="0" fontId="17" fillId="6" borderId="14" xfId="8" applyFont="1" applyBorder="1" applyAlignment="1">
      <alignment horizontal="left" vertical="center"/>
    </xf>
    <xf numFmtId="0" fontId="17" fillId="6" borderId="11" xfId="8" applyFont="1" applyBorder="1" applyAlignment="1">
      <alignment horizontal="left" vertical="center"/>
    </xf>
    <xf numFmtId="0" fontId="17" fillId="6" borderId="12" xfId="8" applyFont="1" applyBorder="1" applyAlignment="1">
      <alignment horizontal="left" vertical="center"/>
    </xf>
    <xf numFmtId="0" fontId="19" fillId="0" borderId="0" xfId="0" applyFont="1" applyAlignment="1">
      <alignment horizontal="center" vertical="center" wrapText="1"/>
    </xf>
    <xf numFmtId="0" fontId="9" fillId="2" borderId="0" xfId="3" applyFill="1" applyAlignment="1">
      <alignment horizontal="center" vertical="center"/>
    </xf>
    <xf numFmtId="165" fontId="10" fillId="7" borderId="5" xfId="4" applyNumberFormat="1" applyBorder="1" applyAlignment="1" applyProtection="1">
      <alignment horizontal="left" vertical="top"/>
      <protection locked="0"/>
    </xf>
    <xf numFmtId="165" fontId="10" fillId="7" borderId="6" xfId="4" applyNumberFormat="1" applyBorder="1" applyAlignment="1" applyProtection="1">
      <alignment horizontal="left" vertical="top"/>
      <protection locked="0"/>
    </xf>
    <xf numFmtId="0" fontId="16" fillId="2" borderId="8" xfId="1" applyAlignment="1">
      <alignment horizontal="center" vertical="center"/>
    </xf>
    <xf numFmtId="0" fontId="8" fillId="2" borderId="0" xfId="2" applyFill="1" applyAlignment="1">
      <alignment horizontal="center" vertical="center"/>
    </xf>
    <xf numFmtId="0" fontId="0" fillId="6" borderId="9" xfId="8" applyFont="1" applyBorder="1" applyAlignment="1">
      <alignment horizontal="left" vertical="center" wrapText="1"/>
    </xf>
    <xf numFmtId="0" fontId="0" fillId="6" borderId="10" xfId="8" applyFont="1" applyBorder="1" applyAlignment="1">
      <alignment horizontal="left" vertical="center" wrapText="1"/>
    </xf>
    <xf numFmtId="0" fontId="0" fillId="6" borderId="11" xfId="8" applyFont="1" applyBorder="1" applyAlignment="1">
      <alignment horizontal="left" vertical="center" wrapText="1"/>
    </xf>
    <xf numFmtId="0" fontId="0" fillId="6" borderId="12" xfId="8" applyFont="1" applyBorder="1" applyAlignment="1">
      <alignment horizontal="left" vertical="center" wrapText="1"/>
    </xf>
  </cellXfs>
  <cellStyles count="13">
    <cellStyle name="Calculation" xfId="6" builtinId="22" customBuiltin="1"/>
    <cellStyle name="Check Cell" xfId="7" builtinId="23" customBuiltin="1"/>
    <cellStyle name="Explanatory Text" xfId="11" builtinId="53"/>
    <cellStyle name="Field Column" xfId="10" xr:uid="{A8E1C8F3-DF7C-4EF1-8D76-5340EEC611F9}"/>
    <cellStyle name="Field Row" xfId="9" xr:uid="{FEDCEE6B-51FA-407B-AA68-188D85EA836C}"/>
    <cellStyle name="Heading 1" xfId="2" builtinId="16" customBuiltin="1"/>
    <cellStyle name="Heading 2" xfId="3" builtinId="17" customBuiltin="1"/>
    <cellStyle name="Input" xfId="4" builtinId="20" customBuiltin="1"/>
    <cellStyle name="Normal" xfId="0" builtinId="0"/>
    <cellStyle name="Note" xfId="8" builtinId="10"/>
    <cellStyle name="Output" xfId="5" builtinId="21" customBuiltin="1"/>
    <cellStyle name="Percent" xfId="12" builtinId="5"/>
    <cellStyle name="Title" xfId="1" builtinId="15" customBuiltin="1"/>
  </cellStyles>
  <dxfs count="134">
    <dxf>
      <font>
        <strike val="0"/>
        <outline val="0"/>
        <shadow val="0"/>
        <u val="none"/>
        <vertAlign val="baseline"/>
        <sz val="11"/>
        <color auto="1"/>
        <name val="Calibri"/>
        <family val="2"/>
        <scheme val="minor"/>
      </font>
      <numFmt numFmtId="2" formatCode="0.00"/>
      <alignment horizontal="center" vertical="center" textRotation="0" wrapText="0" indent="0" justifyLastLine="0" shrinkToFit="0" readingOrder="0"/>
    </dxf>
    <dxf>
      <numFmt numFmtId="173" formatCode="yyyy/mm/dd"/>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73" formatCode="yyyy/mm/dd"/>
      <alignment horizontal="center" vertical="center" textRotation="0" wrapText="0" indent="0" justifyLastLine="0" shrinkToFit="0" readingOrder="0"/>
    </dxf>
    <dxf>
      <numFmt numFmtId="173" formatCode="yyyy/mm/dd"/>
      <alignment horizontal="center" vertical="center" textRotation="0" wrapText="0" indent="0" justifyLastLine="0" shrinkToFit="0" readingOrder="0"/>
    </dxf>
    <dxf>
      <numFmt numFmtId="173" formatCode="yyyy/mm/dd"/>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0" formatCode="mm/dd/yyyy"/>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font>
        <b val="0"/>
      </font>
      <fill>
        <patternFill patternType="none">
          <bgColor auto="1"/>
        </patternFill>
      </fill>
      <alignment horizontal="center" vertical="center" textRotation="0" wrapText="0" indent="0" justifyLastLine="0" shrinkToFit="0" readingOrder="0"/>
    </dxf>
    <dxf>
      <font>
        <b val="0"/>
      </font>
      <fill>
        <patternFill patternType="none">
          <bgColor auto="1"/>
        </patternFill>
      </fill>
      <alignment horizontal="center" vertical="bottom" textRotation="0" wrapText="1" indent="0" justifyLastLine="0" shrinkToFit="0" readingOrder="0"/>
    </dxf>
    <dxf>
      <font>
        <b val="0"/>
      </font>
      <numFmt numFmtId="165" formatCode="0.000"/>
      <fill>
        <patternFill patternType="none">
          <bgColor auto="1"/>
        </patternFill>
      </fill>
      <alignment horizontal="center" vertical="center" textRotation="0" wrapText="0" indent="0" justifyLastLine="0" shrinkToFit="0" readingOrder="0"/>
    </dxf>
    <dxf>
      <font>
        <b val="0"/>
      </font>
      <numFmt numFmtId="165" formatCode="0.000"/>
      <fill>
        <patternFill patternType="none">
          <bgColor auto="1"/>
        </patternFill>
      </fill>
      <alignment horizontal="center" vertical="center" textRotation="0" wrapText="0" indent="0" justifyLastLine="0" shrinkToFit="0" readingOrder="0"/>
    </dxf>
    <dxf>
      <font>
        <b val="0"/>
      </font>
      <numFmt numFmtId="165" formatCode="0.000"/>
      <fill>
        <patternFill patternType="none">
          <bgColor auto="1"/>
        </patternFill>
      </fill>
      <alignment horizontal="center" vertical="center" textRotation="0" wrapText="0" indent="0" justifyLastLine="0" shrinkToFit="0" readingOrder="0"/>
    </dxf>
    <dxf>
      <font>
        <b val="0"/>
      </font>
      <numFmt numFmtId="165" formatCode="0.000"/>
      <fill>
        <patternFill patternType="none">
          <bgColor auto="1"/>
        </patternFill>
      </fill>
      <alignment horizontal="center" vertical="center" textRotation="0" wrapText="0" indent="0" justifyLastLine="0" shrinkToFit="0" readingOrder="0"/>
    </dxf>
    <dxf>
      <font>
        <b val="0"/>
      </font>
      <numFmt numFmtId="19" formatCode="m/d/yyyy"/>
      <fill>
        <patternFill patternType="none">
          <bgColor auto="1"/>
        </patternFill>
      </fill>
      <alignment horizontal="center" vertical="center" textRotation="0" wrapText="0" indent="0" justifyLastLine="0" shrinkToFit="0" readingOrder="0"/>
    </dxf>
    <dxf>
      <font>
        <b val="0"/>
      </font>
      <numFmt numFmtId="19" formatCode="m/d/yyyy"/>
      <fill>
        <patternFill patternType="none">
          <bgColor auto="1"/>
        </patternFill>
      </fill>
      <alignment horizontal="center" vertical="center" textRotation="0" wrapText="0" indent="0" justifyLastLine="0" shrinkToFit="0" readingOrder="0"/>
    </dxf>
    <dxf>
      <font>
        <b val="0"/>
      </font>
      <numFmt numFmtId="0" formatCode="General"/>
      <fill>
        <patternFill patternType="none">
          <bgColor auto="1"/>
        </patternFill>
      </fill>
      <alignment horizontal="center" vertical="center" textRotation="0" wrapText="0" indent="0" justifyLastLine="0" shrinkToFit="0" readingOrder="0"/>
    </dxf>
    <dxf>
      <font>
        <b val="0"/>
      </font>
      <fill>
        <patternFill patternType="none">
          <bgColor auto="1"/>
        </patternFill>
      </fill>
      <alignment horizontal="center" vertical="center" textRotation="0" wrapText="0" indent="0" justifyLastLine="0" shrinkToFit="0" readingOrder="0"/>
    </dxf>
    <dxf>
      <font>
        <b val="0"/>
      </font>
      <fill>
        <patternFill patternType="none">
          <bgColor auto="1"/>
        </patternFill>
      </fill>
      <alignment horizontal="center" vertical="center" textRotation="0" wrapText="0" indent="0" justifyLastLine="0" shrinkToFit="0" readingOrder="0"/>
    </dxf>
    <dxf>
      <font>
        <b val="0"/>
      </font>
      <fill>
        <patternFill patternType="none">
          <bgColor auto="1"/>
        </patternFill>
      </fill>
      <alignment horizontal="center" vertical="center" textRotation="0" wrapText="0" indent="0" justifyLastLine="0" shrinkToFit="0" readingOrder="0"/>
    </dxf>
    <dxf>
      <font>
        <b val="0"/>
      </font>
      <numFmt numFmtId="164" formatCode="0.0"/>
      <fill>
        <patternFill patternType="none">
          <bgColor auto="1"/>
        </patternFill>
      </fill>
      <alignment horizontal="center" vertical="center" textRotation="0" wrapText="0" indent="0" justifyLastLine="0" shrinkToFit="0" readingOrder="0"/>
    </dxf>
    <dxf>
      <font>
        <b val="0"/>
      </font>
      <numFmt numFmtId="165" formatCode="0.000"/>
      <fill>
        <patternFill patternType="none">
          <bgColor auto="1"/>
        </patternFill>
      </fill>
      <alignment horizontal="center" vertical="center" textRotation="0" wrapText="0" indent="0" justifyLastLine="0" shrinkToFit="0" readingOrder="0"/>
    </dxf>
    <dxf>
      <font>
        <b val="0"/>
      </font>
      <numFmt numFmtId="19" formatCode="m/d/yyyy"/>
      <fill>
        <patternFill patternType="none">
          <bgColor auto="1"/>
        </patternFill>
      </fill>
      <alignment horizontal="center" vertical="center" textRotation="0" wrapText="0" indent="0" justifyLastLine="0" shrinkToFit="0" readingOrder="0"/>
    </dxf>
    <dxf>
      <font>
        <b val="0"/>
      </font>
      <fill>
        <patternFill patternType="none">
          <bgColor auto="1"/>
        </patternFill>
      </fill>
      <alignment horizontal="center" vertical="center" textRotation="0" wrapText="0" indent="0" justifyLastLine="0" shrinkToFit="0" readingOrder="0"/>
    </dxf>
    <dxf>
      <font>
        <b val="0"/>
      </font>
      <fill>
        <patternFill patternType="none">
          <bgColor auto="1"/>
        </patternFill>
      </fill>
      <alignment horizontal="center" vertical="center" textRotation="0" wrapText="0" indent="0" justifyLastLine="0" shrinkToFit="0" readingOrder="0"/>
    </dxf>
    <dxf>
      <font>
        <b val="0"/>
      </font>
      <fill>
        <patternFill patternType="none">
          <bgColor auto="1"/>
        </patternFill>
      </fill>
      <alignment horizontal="center" vertical="center" textRotation="0" wrapText="0" indent="0" justifyLastLine="0" shrinkToFit="0" readingOrder="0"/>
    </dxf>
    <dxf>
      <font>
        <b val="0"/>
      </font>
      <fill>
        <patternFill patternType="none">
          <bgColor auto="1"/>
        </patternFill>
      </fill>
      <alignment horizontal="center" vertical="center" textRotation="0" wrapText="0" indent="0" justifyLastLine="0" shrinkToFit="0" readingOrder="0"/>
    </dxf>
    <dxf>
      <font>
        <b val="0"/>
      </font>
      <numFmt numFmtId="19" formatCode="m/d/yyyy"/>
      <fill>
        <patternFill patternType="none">
          <bgColor auto="1"/>
        </patternFill>
      </fill>
      <alignment horizontal="center" vertical="center" textRotation="0" wrapText="0" indent="0" justifyLastLine="0" shrinkToFit="0" readingOrder="0"/>
    </dxf>
    <dxf>
      <font>
        <b val="0"/>
      </font>
      <fill>
        <patternFill patternType="none">
          <bgColor auto="1"/>
        </patternFill>
      </fill>
      <alignment horizontal="center" vertical="center" textRotation="0" wrapText="0" indent="0" justifyLastLine="0" shrinkToFit="0" readingOrder="0"/>
    </dxf>
    <dxf>
      <font>
        <b val="0"/>
      </font>
      <fill>
        <patternFill patternType="none">
          <bgColor auto="1"/>
        </patternFill>
      </fill>
      <alignment horizontal="center" vertical="center" textRotation="0" wrapText="0" indent="0" justifyLastLine="0" shrinkToFit="0" readingOrder="0"/>
    </dxf>
    <dxf>
      <font>
        <b val="0"/>
      </font>
      <numFmt numFmtId="2" formatCode="0.00"/>
      <fill>
        <patternFill patternType="none">
          <bgColor auto="1"/>
        </patternFill>
      </fill>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family val="2"/>
        <scheme val="minor"/>
      </font>
      <alignment horizontal="center" vertical="bottom" textRotation="0" wrapText="1" indent="0" justifyLastLine="0" shrinkToFit="0" readingOrder="0"/>
    </dxf>
    <dxf>
      <font>
        <color theme="6" tint="-0.499984740745262"/>
      </font>
      <fill>
        <patternFill>
          <bgColor rgb="FFC6EFCE"/>
        </patternFill>
      </fill>
    </dxf>
    <dxf>
      <font>
        <color rgb="FFC00000"/>
      </font>
      <fill>
        <patternFill>
          <bgColor rgb="FFFFC7CE"/>
        </patternFill>
      </fill>
    </dxf>
    <dxf>
      <font>
        <b/>
        <i val="0"/>
        <color theme="6" tint="-0.499984740745262"/>
      </font>
      <fill>
        <patternFill>
          <bgColor rgb="FFC6EFCE"/>
        </patternFill>
      </fill>
    </dxf>
    <dxf>
      <font>
        <b/>
        <i val="0"/>
        <color rgb="FFC00000"/>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u/>
        <color theme="8" tint="-0.499984740745262"/>
      </font>
      <fill>
        <patternFill>
          <bgColor theme="8" tint="0.79998168889431442"/>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theme="6" tint="-0.499984740745262"/>
      </font>
      <fill>
        <patternFill>
          <bgColor rgb="FFC6EFCE"/>
        </patternFill>
      </fill>
    </dxf>
    <dxf>
      <font>
        <color rgb="FFC00000"/>
      </font>
      <fill>
        <patternFill>
          <bgColor rgb="FFFFC7CE"/>
        </patternFill>
      </fill>
    </dxf>
    <dxf>
      <font>
        <b/>
        <i val="0"/>
        <color theme="6" tint="-0.499984740745262"/>
      </font>
      <fill>
        <patternFill>
          <bgColor rgb="FFC6EFCE"/>
        </patternFill>
      </fill>
    </dxf>
    <dxf>
      <font>
        <b/>
        <i val="0"/>
        <color rgb="FFC00000"/>
      </font>
      <fill>
        <patternFill>
          <bgColor rgb="FFFFC7CE"/>
        </patternFill>
      </fill>
    </dxf>
    <dxf>
      <font>
        <color theme="6" tint="-0.499984740745262"/>
      </font>
      <fill>
        <patternFill>
          <bgColor rgb="FFC6EFCE"/>
        </patternFill>
      </fill>
    </dxf>
    <dxf>
      <font>
        <color rgb="FFC00000"/>
      </font>
      <fill>
        <patternFill>
          <bgColor rgb="FFFFC7CE"/>
        </patternFill>
      </fill>
    </dxf>
    <dxf>
      <font>
        <b/>
        <i val="0"/>
        <color theme="6" tint="-0.499984740745262"/>
      </font>
      <fill>
        <patternFill>
          <bgColor rgb="FFC6EFCE"/>
        </patternFill>
      </fill>
    </dxf>
    <dxf>
      <font>
        <b/>
        <i val="0"/>
        <color rgb="FFC00000"/>
      </font>
      <fill>
        <patternFill>
          <bgColor rgb="FFFFC7CE"/>
        </patternFill>
      </fill>
    </dxf>
    <dxf>
      <font>
        <color theme="6" tint="-0.499984740745262"/>
      </font>
      <fill>
        <patternFill>
          <bgColor rgb="FFC6EFCE"/>
        </patternFill>
      </fill>
    </dxf>
    <dxf>
      <font>
        <color rgb="FFC00000"/>
      </font>
      <fill>
        <patternFill>
          <bgColor rgb="FFFFC7CE"/>
        </patternFill>
      </fill>
    </dxf>
    <dxf>
      <font>
        <b/>
        <i val="0"/>
        <color theme="6" tint="-0.499984740745262"/>
      </font>
      <fill>
        <patternFill>
          <bgColor rgb="FFC6EFCE"/>
        </patternFill>
      </fill>
    </dxf>
    <dxf>
      <font>
        <b/>
        <i val="0"/>
        <color rgb="FFC00000"/>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i/>
        <u/>
        <color theme="8" tint="-0.499984740745262"/>
      </font>
      <fill>
        <patternFill>
          <bgColor theme="8" tint="0.79998168889431442"/>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numFmt numFmtId="19" formatCode="m/d/yyyy"/>
    </dxf>
    <dxf>
      <numFmt numFmtId="2" formatCode="0.00"/>
      <alignment horizontal="center" vertical="center" textRotation="0" wrapText="0" indent="0" justifyLastLine="0" shrinkToFit="0" readingOrder="0"/>
    </dxf>
    <dxf>
      <numFmt numFmtId="166" formatCode="0.0000"/>
      <alignment horizontal="center" vertical="center" textRotation="0" wrapText="0" indent="0" justifyLastLine="0" shrinkToFit="0" readingOrder="0"/>
      <border outline="0">
        <left style="thin">
          <color rgb="FF3F3F3F"/>
        </left>
      </border>
    </dxf>
    <dxf>
      <numFmt numFmtId="171" formatCode="m/d/yyyy;@"/>
      <alignment horizontal="center" vertical="center" textRotation="0" wrapText="0" indent="0" justifyLastLine="0" shrinkToFit="0" readingOrder="0"/>
    </dxf>
    <dxf>
      <border outline="0">
        <bottom style="thin">
          <color rgb="FF3F3F3F"/>
        </bottom>
      </border>
    </dxf>
    <dxf>
      <font>
        <color theme="0" tint="-4.9989318521683403E-2"/>
      </font>
    </dxf>
    <dxf>
      <font>
        <color theme="0" tint="-4.9989318521683403E-2"/>
      </font>
    </dxf>
    <dxf>
      <font>
        <color theme="0" tint="-4.9989318521683403E-2"/>
      </font>
    </dxf>
    <dxf>
      <font>
        <color theme="0" tint="-4.9989318521683403E-2"/>
      </font>
    </dxf>
  </dxfs>
  <tableStyles count="0" defaultTableStyle="TableStyleMedium2" defaultPivotStyle="PivotStyleLight16"/>
  <colors>
    <mruColors>
      <color rgb="FFFFC7CE"/>
      <color rgb="FFC6EFCE"/>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Reverification Control Chart</a:t>
            </a:r>
          </a:p>
        </c:rich>
      </c:tx>
      <c:overlay val="0"/>
      <c:spPr>
        <a:noFill/>
        <a:ln>
          <a:noFill/>
        </a:ln>
        <a:effectLst/>
      </c:spPr>
    </c:title>
    <c:autoTitleDeleted val="0"/>
    <c:plotArea>
      <c:layout/>
      <c:lineChart>
        <c:grouping val="standard"/>
        <c:varyColors val="0"/>
        <c:ser>
          <c:idx val="0"/>
          <c:order val="0"/>
          <c:tx>
            <c:strRef>
              <c:f>Summary!$B$9</c:f>
              <c:strCache>
                <c:ptCount val="1"/>
                <c:pt idx="0">
                  <c:v>Slope</c:v>
                </c:pt>
              </c:strCache>
            </c:strRef>
          </c:tx>
          <c:spPr>
            <a:ln w="22225" cap="rnd">
              <a:solidFill>
                <a:schemeClr val="accent6"/>
              </a:solidFill>
              <a:round/>
            </a:ln>
            <a:effectLst/>
          </c:spPr>
          <c:marker>
            <c:symbol val="circle"/>
            <c:size val="6"/>
            <c:spPr>
              <a:solidFill>
                <a:schemeClr val="lt1"/>
              </a:solidFill>
              <a:ln w="15875">
                <a:solidFill>
                  <a:schemeClr val="accent6"/>
                </a:solidFill>
                <a:round/>
              </a:ln>
              <a:effectLst/>
            </c:spPr>
          </c:marker>
          <c:cat>
            <c:strRef>
              <c:f>Summary!$A$10:$A$20</c:f>
              <c:strCache>
                <c:ptCount val="11"/>
                <c:pt idx="0">
                  <c:v>TBD</c:v>
                </c:pt>
                <c:pt idx="1">
                  <c:v>TBD</c:v>
                </c:pt>
                <c:pt idx="2">
                  <c:v>TBD</c:v>
                </c:pt>
                <c:pt idx="3">
                  <c:v>TBD</c:v>
                </c:pt>
                <c:pt idx="4">
                  <c:v>TBD</c:v>
                </c:pt>
                <c:pt idx="5">
                  <c:v>TBD</c:v>
                </c:pt>
                <c:pt idx="6">
                  <c:v>TBD</c:v>
                </c:pt>
                <c:pt idx="7">
                  <c:v>TBD</c:v>
                </c:pt>
                <c:pt idx="8">
                  <c:v>TBD</c:v>
                </c:pt>
                <c:pt idx="9">
                  <c:v>TBD</c:v>
                </c:pt>
                <c:pt idx="10">
                  <c:v>TBD</c:v>
                </c:pt>
              </c:strCache>
            </c:strRef>
          </c:cat>
          <c:val>
            <c:numRef>
              <c:f>Summary!$B$10:$B$20</c:f>
              <c:numCache>
                <c:formatCode>0.0000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3-EFF0-4CEF-BB9C-AFFF9B87B935}"/>
            </c:ext>
          </c:extLst>
        </c:ser>
        <c:ser>
          <c:idx val="2"/>
          <c:order val="2"/>
          <c:tx>
            <c:v>Upper Slope</c:v>
          </c:tx>
          <c:spPr>
            <a:ln>
              <a:solidFill>
                <a:schemeClr val="accent6"/>
              </a:solidFill>
              <a:prstDash val="sysDot"/>
            </a:ln>
          </c:spPr>
          <c:marker>
            <c:symbol val="none"/>
          </c:marker>
          <c:val>
            <c:numRef>
              <c:f>Summary!$G$14:$G$24</c:f>
              <c:numCache>
                <c:formatCode>0.0000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1-4392-430F-8B4F-7AA8A5034FB5}"/>
            </c:ext>
          </c:extLst>
        </c:ser>
        <c:ser>
          <c:idx val="3"/>
          <c:order val="3"/>
          <c:tx>
            <c:v>Lower Slope</c:v>
          </c:tx>
          <c:spPr>
            <a:ln>
              <a:solidFill>
                <a:schemeClr val="accent6"/>
              </a:solidFill>
              <a:prstDash val="sysDot"/>
            </a:ln>
          </c:spPr>
          <c:marker>
            <c:symbol val="none"/>
          </c:marker>
          <c:val>
            <c:numRef>
              <c:f>Summary!$H$14:$H$24</c:f>
              <c:numCache>
                <c:formatCode>0.0000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2-4392-430F-8B4F-7AA8A5034FB5}"/>
            </c:ext>
          </c:extLst>
        </c:ser>
        <c:dLbls>
          <c:showLegendKey val="0"/>
          <c:showVal val="0"/>
          <c:showCatName val="0"/>
          <c:showSerName val="0"/>
          <c:showPercent val="0"/>
          <c:showBubbleSize val="0"/>
        </c:dLbls>
        <c:marker val="1"/>
        <c:smooth val="0"/>
        <c:axId val="1626091935"/>
        <c:axId val="1496977711"/>
      </c:lineChart>
      <c:lineChart>
        <c:grouping val="standard"/>
        <c:varyColors val="0"/>
        <c:ser>
          <c:idx val="1"/>
          <c:order val="1"/>
          <c:tx>
            <c:strRef>
              <c:f>Summary!$C$9</c:f>
              <c:strCache>
                <c:ptCount val="1"/>
                <c:pt idx="0">
                  <c:v>Intercept</c:v>
                </c:pt>
              </c:strCache>
            </c:strRef>
          </c:tx>
          <c:spPr>
            <a:ln w="22225" cap="rnd">
              <a:solidFill>
                <a:schemeClr val="accent5"/>
              </a:solidFill>
              <a:round/>
            </a:ln>
            <a:effectLst/>
          </c:spPr>
          <c:marker>
            <c:symbol val="circle"/>
            <c:size val="6"/>
            <c:spPr>
              <a:solidFill>
                <a:schemeClr val="lt1"/>
              </a:solidFill>
              <a:ln w="15875">
                <a:solidFill>
                  <a:schemeClr val="accent5"/>
                </a:solidFill>
                <a:round/>
              </a:ln>
              <a:effectLst/>
            </c:spPr>
          </c:marker>
          <c:cat>
            <c:strRef>
              <c:f>Summary!$A$10:$A$20</c:f>
              <c:strCache>
                <c:ptCount val="11"/>
                <c:pt idx="0">
                  <c:v>TBD</c:v>
                </c:pt>
                <c:pt idx="1">
                  <c:v>TBD</c:v>
                </c:pt>
                <c:pt idx="2">
                  <c:v>TBD</c:v>
                </c:pt>
                <c:pt idx="3">
                  <c:v>TBD</c:v>
                </c:pt>
                <c:pt idx="4">
                  <c:v>TBD</c:v>
                </c:pt>
                <c:pt idx="5">
                  <c:v>TBD</c:v>
                </c:pt>
                <c:pt idx="6">
                  <c:v>TBD</c:v>
                </c:pt>
                <c:pt idx="7">
                  <c:v>TBD</c:v>
                </c:pt>
                <c:pt idx="8">
                  <c:v>TBD</c:v>
                </c:pt>
                <c:pt idx="9">
                  <c:v>TBD</c:v>
                </c:pt>
                <c:pt idx="10">
                  <c:v>TBD</c:v>
                </c:pt>
              </c:strCache>
            </c:strRef>
          </c:cat>
          <c:val>
            <c:numRef>
              <c:f>Summary!$C$10:$C$20</c:f>
              <c:numCache>
                <c:formatCode>0.00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4-EFF0-4CEF-BB9C-AFFF9B87B935}"/>
            </c:ext>
          </c:extLst>
        </c:ser>
        <c:ser>
          <c:idx val="5"/>
          <c:order val="4"/>
          <c:tx>
            <c:v>Lower Intercept</c:v>
          </c:tx>
          <c:spPr>
            <a:ln>
              <a:solidFill>
                <a:schemeClr val="accent5"/>
              </a:solidFill>
              <a:prstDash val="sysDot"/>
            </a:ln>
          </c:spPr>
          <c:marker>
            <c:symbol val="none"/>
          </c:marker>
          <c:val>
            <c:numRef>
              <c:f>Summary!$J$14:$J$24</c:f>
              <c:numCache>
                <c:formatCode>0.0000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4-4392-430F-8B4F-7AA8A5034FB5}"/>
            </c:ext>
          </c:extLst>
        </c:ser>
        <c:ser>
          <c:idx val="4"/>
          <c:order val="5"/>
          <c:tx>
            <c:v>Upper Intercept</c:v>
          </c:tx>
          <c:spPr>
            <a:ln>
              <a:solidFill>
                <a:schemeClr val="accent5"/>
              </a:solidFill>
              <a:prstDash val="sysDot"/>
            </a:ln>
          </c:spPr>
          <c:marker>
            <c:symbol val="none"/>
          </c:marker>
          <c:val>
            <c:numRef>
              <c:f>Summary!$I$14:$I$24</c:f>
              <c:numCache>
                <c:formatCode>0.0000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3-4392-430F-8B4F-7AA8A5034FB5}"/>
            </c:ext>
          </c:extLst>
        </c:ser>
        <c:dLbls>
          <c:showLegendKey val="0"/>
          <c:showVal val="0"/>
          <c:showCatName val="0"/>
          <c:showSerName val="0"/>
          <c:showPercent val="0"/>
          <c:showBubbleSize val="0"/>
        </c:dLbls>
        <c:marker val="1"/>
        <c:smooth val="0"/>
        <c:axId val="1705578048"/>
        <c:axId val="1535841520"/>
      </c:lineChart>
      <c:catAx>
        <c:axId val="1626091935"/>
        <c:scaling>
          <c:orientation val="minMax"/>
        </c:scaling>
        <c:delete val="0"/>
        <c:axPos val="b"/>
        <c:majorGridlines>
          <c:spPr>
            <a:ln w="9525" cap="flat" cmpd="sng" algn="ctr">
              <a:solidFill>
                <a:schemeClr val="dk1">
                  <a:lumMod val="15000"/>
                  <a:lumOff val="85000"/>
                </a:schemeClr>
              </a:solidFill>
              <a:round/>
            </a:ln>
            <a:effectLst/>
          </c:spPr>
        </c:majorGridlines>
        <c:numFmt formatCode="m/d/yyyy" sourceLinked="0"/>
        <c:majorTickMark val="out"/>
        <c:minorTickMark val="none"/>
        <c:tickLblPos val="nextTo"/>
        <c:spPr>
          <a:noFill/>
          <a:ln>
            <a:noFill/>
          </a:ln>
          <a:effectLst/>
        </c:spPr>
        <c:txPr>
          <a:bodyPr rot="27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496977711"/>
        <c:crosses val="autoZero"/>
        <c:auto val="1"/>
        <c:lblAlgn val="ctr"/>
        <c:lblOffset val="100"/>
        <c:noMultiLvlLbl val="1"/>
      </c:catAx>
      <c:valAx>
        <c:axId val="1496977711"/>
        <c:scaling>
          <c:orientation val="minMax"/>
          <c:max val="1.05"/>
          <c:min val="0.95000000000000007"/>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Slope</a:t>
                </a:r>
              </a:p>
            </c:rich>
          </c:tx>
          <c:overlay val="0"/>
          <c:spPr>
            <a:noFill/>
            <a:ln>
              <a:noFill/>
            </a:ln>
            <a:effectLst/>
          </c:spPr>
        </c:title>
        <c:numFmt formatCode="0.0000" sourceLinked="1"/>
        <c:majorTickMark val="none"/>
        <c:minorTickMark val="in"/>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626091935"/>
        <c:crosses val="autoZero"/>
        <c:crossBetween val="between"/>
        <c:minorUnit val="2.0000000000000005E-3"/>
      </c:valAx>
      <c:valAx>
        <c:axId val="1535841520"/>
        <c:scaling>
          <c:orientation val="minMax"/>
          <c:max val="5"/>
          <c:min val="-5"/>
        </c:scaling>
        <c:delete val="0"/>
        <c:axPos val="r"/>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Intercept</a:t>
                </a:r>
              </a:p>
            </c:rich>
          </c:tx>
          <c:overlay val="0"/>
          <c:spPr>
            <a:noFill/>
            <a:ln>
              <a:noFill/>
            </a:ln>
            <a:effectLst/>
          </c:spPr>
        </c:title>
        <c:numFmt formatCode="0.00" sourceLinked="1"/>
        <c:majorTickMark val="none"/>
        <c:minorTickMark val="in"/>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705578048"/>
        <c:crosses val="max"/>
        <c:crossBetween val="between"/>
        <c:minorUnit val="0.2"/>
      </c:valAx>
      <c:catAx>
        <c:axId val="1705578048"/>
        <c:scaling>
          <c:orientation val="minMax"/>
        </c:scaling>
        <c:delete val="1"/>
        <c:axPos val="b"/>
        <c:numFmt formatCode="General" sourceLinked="1"/>
        <c:majorTickMark val="out"/>
        <c:minorTickMark val="none"/>
        <c:tickLblPos val="nextTo"/>
        <c:crossAx val="1535841520"/>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600" b="1" i="0" u="none" strike="noStrike" kern="1200" cap="none" spc="0" normalizeH="0" baseline="0">
                <a:solidFill>
                  <a:sysClr val="windowText" lastClr="000000">
                    <a:lumMod val="50000"/>
                    <a:lumOff val="50000"/>
                  </a:sysClr>
                </a:solidFill>
                <a:latin typeface="+mj-lt"/>
                <a:ea typeface="+mj-ea"/>
                <a:cs typeface="+mj-cs"/>
              </a:defRPr>
            </a:pPr>
            <a:r>
              <a:rPr lang="en-US" sz="1600" b="1" i="0" u="none" strike="noStrike" kern="1200" cap="none" spc="0" normalizeH="0" baseline="0">
                <a:solidFill>
                  <a:sysClr val="windowText" lastClr="000000">
                    <a:lumMod val="50000"/>
                    <a:lumOff val="50000"/>
                  </a:sysClr>
                </a:solidFill>
                <a:latin typeface="+mj-lt"/>
                <a:ea typeface="+mj-ea"/>
                <a:cs typeface="+mj-cs"/>
              </a:rPr>
              <a:t>Conc. Point 1 - Scatter Plot</a:t>
            </a:r>
          </a:p>
        </c:rich>
      </c:tx>
      <c:overlay val="0"/>
      <c:spPr>
        <a:noFill/>
        <a:ln>
          <a:noFill/>
        </a:ln>
        <a:effectLst/>
      </c:spPr>
      <c:txPr>
        <a:bodyPr rot="0" spcFirstLastPara="1" vertOverflow="ellipsis" vert="horz" wrap="square" anchor="ctr" anchorCtr="1"/>
        <a:lstStyle/>
        <a:p>
          <a:pPr algn="ctr" rtl="0">
            <a:defRPr lang="en-US" sz="1600" b="1" i="0" u="none" strike="noStrike" kern="1200" cap="none" spc="0" normalizeH="0" baseline="0">
              <a:solidFill>
                <a:sysClr val="windowText" lastClr="000000">
                  <a:lumMod val="50000"/>
                  <a:lumOff val="50000"/>
                </a:sysClr>
              </a:solidFill>
              <a:latin typeface="+mj-lt"/>
              <a:ea typeface="+mj-ea"/>
              <a:cs typeface="+mj-cs"/>
            </a:defRPr>
          </a:pPr>
          <a:endParaRPr lang="en-US"/>
        </a:p>
      </c:txPr>
    </c:title>
    <c:autoTitleDeleted val="0"/>
    <c:plotArea>
      <c:layout/>
      <c:scatterChart>
        <c:scatterStyle val="lineMarker"/>
        <c:varyColors val="0"/>
        <c:ser>
          <c:idx val="0"/>
          <c:order val="0"/>
          <c:tx>
            <c:strRef>
              <c:f>Graphs!$A$2</c:f>
              <c:strCache>
                <c:ptCount val="1"/>
                <c:pt idx="0">
                  <c:v>Verification Cycle 1</c:v>
                </c:pt>
              </c:strCache>
            </c:strRef>
          </c:tx>
          <c:spPr>
            <a:ln w="25400" cap="rnd">
              <a:noFill/>
              <a:round/>
            </a:ln>
            <a:effectLst/>
          </c:spPr>
          <c:marker>
            <c:symbol val="square"/>
            <c:size val="6"/>
            <c:spPr>
              <a:solidFill>
                <a:schemeClr val="accent6"/>
              </a:solidFill>
              <a:ln w="38100">
                <a:solidFill>
                  <a:schemeClr val="accent6">
                    <a:alpha val="60000"/>
                  </a:schemeClr>
                </a:solidFill>
              </a:ln>
              <a:effectLst/>
            </c:spPr>
          </c:marker>
          <c:xVal>
            <c:numRef>
              <c:f>Graphs!$C$2</c:f>
              <c:numCache>
                <c:formatCode>General</c:formatCode>
                <c:ptCount val="1"/>
              </c:numCache>
            </c:numRef>
          </c:xVal>
          <c:yVal>
            <c:numRef>
              <c:f>Graphs!$B$2</c:f>
              <c:numCache>
                <c:formatCode>General</c:formatCode>
                <c:ptCount val="1"/>
              </c:numCache>
            </c:numRef>
          </c:yVal>
          <c:smooth val="0"/>
          <c:extLst>
            <c:ext xmlns:c16="http://schemas.microsoft.com/office/drawing/2014/chart" uri="{C3380CC4-5D6E-409C-BE32-E72D297353CC}">
              <c16:uniqueId val="{00000000-D525-4F16-B5C6-CA7300B5D8B9}"/>
            </c:ext>
          </c:extLst>
        </c:ser>
        <c:ser>
          <c:idx val="1"/>
          <c:order val="1"/>
          <c:tx>
            <c:strRef>
              <c:f>Graphs!$A$3</c:f>
              <c:strCache>
                <c:ptCount val="1"/>
                <c:pt idx="0">
                  <c:v>Verification Cycle 2</c:v>
                </c:pt>
              </c:strCache>
            </c:strRef>
          </c:tx>
          <c:spPr>
            <a:ln w="25400" cap="rnd">
              <a:noFill/>
              <a:round/>
            </a:ln>
            <a:effectLst/>
          </c:spPr>
          <c:marker>
            <c:symbol val="triangle"/>
            <c:size val="6"/>
            <c:spPr>
              <a:solidFill>
                <a:schemeClr val="accent5"/>
              </a:solidFill>
              <a:ln w="38100">
                <a:solidFill>
                  <a:schemeClr val="accent5">
                    <a:alpha val="60000"/>
                  </a:schemeClr>
                </a:solidFill>
              </a:ln>
              <a:effectLst/>
            </c:spPr>
          </c:marker>
          <c:xVal>
            <c:numRef>
              <c:f>Graphs!$C$3</c:f>
              <c:numCache>
                <c:formatCode>General</c:formatCode>
                <c:ptCount val="1"/>
              </c:numCache>
            </c:numRef>
          </c:xVal>
          <c:yVal>
            <c:numRef>
              <c:f>Graphs!$B$3</c:f>
              <c:numCache>
                <c:formatCode>General</c:formatCode>
                <c:ptCount val="1"/>
              </c:numCache>
            </c:numRef>
          </c:yVal>
          <c:smooth val="0"/>
          <c:extLst>
            <c:ext xmlns:c16="http://schemas.microsoft.com/office/drawing/2014/chart" uri="{C3380CC4-5D6E-409C-BE32-E72D297353CC}">
              <c16:uniqueId val="{00000000-10CF-4C7B-9048-2BD47ED2ED6E}"/>
            </c:ext>
          </c:extLst>
        </c:ser>
        <c:ser>
          <c:idx val="2"/>
          <c:order val="2"/>
          <c:tx>
            <c:strRef>
              <c:f>Graphs!$A$4</c:f>
              <c:strCache>
                <c:ptCount val="1"/>
                <c:pt idx="0">
                  <c:v>Verification Cycle 3</c:v>
                </c:pt>
              </c:strCache>
            </c:strRef>
          </c:tx>
          <c:spPr>
            <a:ln w="25400" cap="rnd">
              <a:noFill/>
              <a:round/>
            </a:ln>
            <a:effectLst/>
          </c:spPr>
          <c:marker>
            <c:symbol val="circle"/>
            <c:size val="6"/>
            <c:spPr>
              <a:solidFill>
                <a:schemeClr val="accent4"/>
              </a:solidFill>
              <a:ln w="38100">
                <a:solidFill>
                  <a:schemeClr val="accent4">
                    <a:alpha val="60000"/>
                  </a:schemeClr>
                </a:solidFill>
              </a:ln>
              <a:effectLst/>
            </c:spPr>
          </c:marker>
          <c:xVal>
            <c:numRef>
              <c:f>Graphs!$C$4</c:f>
              <c:numCache>
                <c:formatCode>General</c:formatCode>
                <c:ptCount val="1"/>
              </c:numCache>
            </c:numRef>
          </c:xVal>
          <c:yVal>
            <c:numRef>
              <c:f>Graphs!$B$4</c:f>
              <c:numCache>
                <c:formatCode>General</c:formatCode>
                <c:ptCount val="1"/>
              </c:numCache>
            </c:numRef>
          </c:yVal>
          <c:smooth val="0"/>
          <c:extLst>
            <c:ext xmlns:c16="http://schemas.microsoft.com/office/drawing/2014/chart" uri="{C3380CC4-5D6E-409C-BE32-E72D297353CC}">
              <c16:uniqueId val="{00000001-10CF-4C7B-9048-2BD47ED2ED6E}"/>
            </c:ext>
          </c:extLst>
        </c:ser>
        <c:ser>
          <c:idx val="3"/>
          <c:order val="3"/>
          <c:tx>
            <c:strRef>
              <c:f>Graphs!$G$1</c:f>
              <c:strCache>
                <c:ptCount val="1"/>
                <c:pt idx="0">
                  <c:v>Reverification</c:v>
                </c:pt>
              </c:strCache>
            </c:strRef>
          </c:tx>
          <c:spPr>
            <a:ln w="25400" cap="rnd">
              <a:noFill/>
              <a:round/>
            </a:ln>
            <a:effectLst/>
          </c:spPr>
          <c:marker>
            <c:symbol val="x"/>
            <c:size val="6"/>
            <c:spPr>
              <a:solidFill>
                <a:schemeClr val="lt1"/>
              </a:solidFill>
              <a:ln w="38100">
                <a:solidFill>
                  <a:schemeClr val="accent1">
                    <a:alpha val="60000"/>
                  </a:schemeClr>
                </a:solidFill>
              </a:ln>
              <a:effectLst/>
            </c:spPr>
          </c:marker>
          <c:xVal>
            <c:numRef>
              <c:f>Graphs!$I$2:$I$100</c:f>
              <c:numCache>
                <c:formatCode>General</c:formatCode>
                <c:ptCount val="99"/>
              </c:numCache>
            </c:numRef>
          </c:xVal>
          <c:yVal>
            <c:numRef>
              <c:f>Graphs!$H$2:$H$100</c:f>
              <c:numCache>
                <c:formatCode>General</c:formatCode>
                <c:ptCount val="99"/>
              </c:numCache>
            </c:numRef>
          </c:yVal>
          <c:smooth val="0"/>
          <c:extLst>
            <c:ext xmlns:c16="http://schemas.microsoft.com/office/drawing/2014/chart" uri="{C3380CC4-5D6E-409C-BE32-E72D297353CC}">
              <c16:uniqueId val="{00000002-10CF-4C7B-9048-2BD47ED2ED6E}"/>
            </c:ext>
          </c:extLst>
        </c:ser>
        <c:dLbls>
          <c:showLegendKey val="0"/>
          <c:showVal val="0"/>
          <c:showCatName val="0"/>
          <c:showSerName val="0"/>
          <c:showPercent val="0"/>
          <c:showBubbleSize val="0"/>
        </c:dLbls>
        <c:axId val="474374432"/>
        <c:axId val="474376728"/>
      </c:scatterChart>
      <c:valAx>
        <c:axId val="474374432"/>
        <c:scaling>
          <c:orientation val="minMax"/>
          <c:max val="185"/>
          <c:min val="18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Higher Level Standard</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in"/>
        <c:tickLblPos val="nextTo"/>
        <c:spPr>
          <a:noFill/>
          <a:ln>
            <a:solidFill>
              <a:schemeClr val="tx1">
                <a:lumMod val="25000"/>
                <a:lumOff val="75000"/>
              </a:schemeClr>
            </a:solid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474376728"/>
        <c:crosses val="autoZero"/>
        <c:crossBetween val="midCat"/>
        <c:majorUnit val="1"/>
        <c:minorUnit val="0.3"/>
      </c:valAx>
      <c:valAx>
        <c:axId val="474376728"/>
        <c:scaling>
          <c:orientation val="minMax"/>
          <c:max val="185"/>
          <c:min val="18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Candidate Transfer Standard Point</a:t>
                </a:r>
              </a:p>
            </c:rich>
          </c:tx>
          <c:layout>
            <c:manualLayout>
              <c:xMode val="edge"/>
              <c:yMode val="edge"/>
              <c:x val="2.4421130538100275E-2"/>
              <c:y val="0.19509661926655072"/>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in"/>
        <c:tickLblPos val="nextTo"/>
        <c:spPr>
          <a:noFill/>
          <a:ln>
            <a:solidFill>
              <a:schemeClr val="tx1">
                <a:lumMod val="25000"/>
                <a:lumOff val="75000"/>
              </a:schemeClr>
            </a:solid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474374432"/>
        <c:crosses val="autoZero"/>
        <c:crossBetween val="midCat"/>
        <c:majorUnit val="1"/>
        <c:minorUnit val="0.3"/>
      </c:valAx>
      <c:spPr>
        <a:pattFill prst="ltDnDiag">
          <a:fgClr>
            <a:schemeClr val="dk1">
              <a:lumMod val="15000"/>
              <a:lumOff val="85000"/>
            </a:schemeClr>
          </a:fgClr>
          <a:bgClr>
            <a:schemeClr val="bg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600" b="1" i="0" u="none" strike="noStrike" kern="1200" cap="none" spc="0" normalizeH="0" baseline="0">
                <a:solidFill>
                  <a:sysClr val="windowText" lastClr="000000">
                    <a:lumMod val="50000"/>
                    <a:lumOff val="50000"/>
                  </a:sysClr>
                </a:solidFill>
                <a:latin typeface="+mj-lt"/>
                <a:ea typeface="+mj-ea"/>
                <a:cs typeface="+mj-cs"/>
              </a:defRPr>
            </a:pPr>
            <a:r>
              <a:rPr lang="en-US" sz="1600" b="1" i="0" u="none" strike="noStrike" kern="1200" cap="none" spc="0" normalizeH="0" baseline="0">
                <a:solidFill>
                  <a:sysClr val="windowText" lastClr="000000">
                    <a:lumMod val="50000"/>
                    <a:lumOff val="50000"/>
                  </a:sysClr>
                </a:solidFill>
                <a:latin typeface="+mj-lt"/>
                <a:ea typeface="+mj-ea"/>
                <a:cs typeface="+mj-cs"/>
              </a:rPr>
              <a:t>Conc. Point 4 - Scatter Plot</a:t>
            </a:r>
          </a:p>
        </c:rich>
      </c:tx>
      <c:overlay val="0"/>
      <c:spPr>
        <a:noFill/>
        <a:ln>
          <a:noFill/>
        </a:ln>
        <a:effectLst/>
      </c:spPr>
      <c:txPr>
        <a:bodyPr rot="0" spcFirstLastPara="1" vertOverflow="ellipsis" vert="horz" wrap="square" anchor="ctr" anchorCtr="1"/>
        <a:lstStyle/>
        <a:p>
          <a:pPr algn="ctr" rtl="0">
            <a:defRPr lang="en-US" sz="1600" b="1" i="0" u="none" strike="noStrike" kern="1200" cap="none" spc="0" normalizeH="0" baseline="0">
              <a:solidFill>
                <a:sysClr val="windowText" lastClr="000000">
                  <a:lumMod val="50000"/>
                  <a:lumOff val="50000"/>
                </a:sysClr>
              </a:solidFill>
              <a:latin typeface="+mj-lt"/>
              <a:ea typeface="+mj-ea"/>
              <a:cs typeface="+mj-cs"/>
            </a:defRPr>
          </a:pPr>
          <a:endParaRPr lang="en-US"/>
        </a:p>
      </c:txPr>
    </c:title>
    <c:autoTitleDeleted val="0"/>
    <c:plotArea>
      <c:layout>
        <c:manualLayout>
          <c:layoutTarget val="inner"/>
          <c:xMode val="edge"/>
          <c:yMode val="edge"/>
          <c:x val="0.12971108584243268"/>
          <c:y val="0.10660860655737706"/>
          <c:w val="0.82317327279941377"/>
          <c:h val="0.72930731250806768"/>
        </c:manualLayout>
      </c:layout>
      <c:scatterChart>
        <c:scatterStyle val="lineMarker"/>
        <c:varyColors val="0"/>
        <c:ser>
          <c:idx val="0"/>
          <c:order val="0"/>
          <c:tx>
            <c:strRef>
              <c:f>Graphs!$A$2</c:f>
              <c:strCache>
                <c:ptCount val="1"/>
                <c:pt idx="0">
                  <c:v>Verification Cycle 1</c:v>
                </c:pt>
              </c:strCache>
            </c:strRef>
          </c:tx>
          <c:spPr>
            <a:ln w="25400" cap="rnd">
              <a:noFill/>
              <a:round/>
            </a:ln>
            <a:effectLst/>
          </c:spPr>
          <c:marker>
            <c:symbol val="square"/>
            <c:size val="6"/>
            <c:spPr>
              <a:solidFill>
                <a:schemeClr val="accent6"/>
              </a:solidFill>
              <a:ln w="38100">
                <a:solidFill>
                  <a:schemeClr val="accent6">
                    <a:alpha val="60000"/>
                  </a:schemeClr>
                </a:solidFill>
              </a:ln>
              <a:effectLst/>
            </c:spPr>
          </c:marker>
          <c:xVal>
            <c:numRef>
              <c:f>Graphs!$E$2</c:f>
              <c:numCache>
                <c:formatCode>General</c:formatCode>
                <c:ptCount val="1"/>
              </c:numCache>
            </c:numRef>
          </c:xVal>
          <c:yVal>
            <c:numRef>
              <c:f>Graphs!$D$2</c:f>
              <c:numCache>
                <c:formatCode>General</c:formatCode>
                <c:ptCount val="1"/>
              </c:numCache>
            </c:numRef>
          </c:yVal>
          <c:smooth val="0"/>
          <c:extLst>
            <c:ext xmlns:c16="http://schemas.microsoft.com/office/drawing/2014/chart" uri="{C3380CC4-5D6E-409C-BE32-E72D297353CC}">
              <c16:uniqueId val="{00000000-621C-41FA-9B89-320F232A0C61}"/>
            </c:ext>
          </c:extLst>
        </c:ser>
        <c:ser>
          <c:idx val="1"/>
          <c:order val="1"/>
          <c:tx>
            <c:strRef>
              <c:f>Graphs!$A$3</c:f>
              <c:strCache>
                <c:ptCount val="1"/>
                <c:pt idx="0">
                  <c:v>Verification Cycle 2</c:v>
                </c:pt>
              </c:strCache>
            </c:strRef>
          </c:tx>
          <c:spPr>
            <a:ln w="25400" cap="rnd">
              <a:noFill/>
              <a:round/>
            </a:ln>
            <a:effectLst/>
          </c:spPr>
          <c:marker>
            <c:symbol val="triangle"/>
            <c:size val="6"/>
            <c:spPr>
              <a:solidFill>
                <a:schemeClr val="accent5"/>
              </a:solidFill>
              <a:ln w="38100">
                <a:solidFill>
                  <a:schemeClr val="accent5">
                    <a:alpha val="60000"/>
                  </a:schemeClr>
                </a:solidFill>
              </a:ln>
              <a:effectLst/>
            </c:spPr>
          </c:marker>
          <c:xVal>
            <c:numRef>
              <c:f>Graphs!$E$3</c:f>
              <c:numCache>
                <c:formatCode>General</c:formatCode>
                <c:ptCount val="1"/>
              </c:numCache>
            </c:numRef>
          </c:xVal>
          <c:yVal>
            <c:numRef>
              <c:f>Graphs!$D$3</c:f>
              <c:numCache>
                <c:formatCode>General</c:formatCode>
                <c:ptCount val="1"/>
              </c:numCache>
            </c:numRef>
          </c:yVal>
          <c:smooth val="0"/>
          <c:extLst>
            <c:ext xmlns:c16="http://schemas.microsoft.com/office/drawing/2014/chart" uri="{C3380CC4-5D6E-409C-BE32-E72D297353CC}">
              <c16:uniqueId val="{00000001-621C-41FA-9B89-320F232A0C61}"/>
            </c:ext>
          </c:extLst>
        </c:ser>
        <c:ser>
          <c:idx val="2"/>
          <c:order val="2"/>
          <c:tx>
            <c:strRef>
              <c:f>Graphs!$A$4</c:f>
              <c:strCache>
                <c:ptCount val="1"/>
                <c:pt idx="0">
                  <c:v>Verification Cycle 3</c:v>
                </c:pt>
              </c:strCache>
            </c:strRef>
          </c:tx>
          <c:spPr>
            <a:ln w="25400" cap="rnd">
              <a:noFill/>
              <a:round/>
            </a:ln>
            <a:effectLst/>
          </c:spPr>
          <c:marker>
            <c:symbol val="circle"/>
            <c:size val="6"/>
            <c:spPr>
              <a:solidFill>
                <a:schemeClr val="accent4"/>
              </a:solidFill>
              <a:ln w="38100">
                <a:solidFill>
                  <a:schemeClr val="accent4">
                    <a:alpha val="60000"/>
                  </a:schemeClr>
                </a:solidFill>
              </a:ln>
              <a:effectLst/>
            </c:spPr>
          </c:marker>
          <c:xVal>
            <c:numRef>
              <c:f>Graphs!$E$4</c:f>
              <c:numCache>
                <c:formatCode>General</c:formatCode>
                <c:ptCount val="1"/>
              </c:numCache>
            </c:numRef>
          </c:xVal>
          <c:yVal>
            <c:numRef>
              <c:f>Graphs!$D$4</c:f>
              <c:numCache>
                <c:formatCode>General</c:formatCode>
                <c:ptCount val="1"/>
              </c:numCache>
            </c:numRef>
          </c:yVal>
          <c:smooth val="0"/>
          <c:extLst>
            <c:ext xmlns:c16="http://schemas.microsoft.com/office/drawing/2014/chart" uri="{C3380CC4-5D6E-409C-BE32-E72D297353CC}">
              <c16:uniqueId val="{00000002-621C-41FA-9B89-320F232A0C61}"/>
            </c:ext>
          </c:extLst>
        </c:ser>
        <c:ser>
          <c:idx val="3"/>
          <c:order val="3"/>
          <c:tx>
            <c:strRef>
              <c:f>Graphs!$G$1</c:f>
              <c:strCache>
                <c:ptCount val="1"/>
                <c:pt idx="0">
                  <c:v>Reverification</c:v>
                </c:pt>
              </c:strCache>
            </c:strRef>
          </c:tx>
          <c:spPr>
            <a:ln w="25400" cap="rnd">
              <a:noFill/>
              <a:round/>
            </a:ln>
            <a:effectLst/>
          </c:spPr>
          <c:marker>
            <c:symbol val="x"/>
            <c:size val="6"/>
            <c:spPr>
              <a:solidFill>
                <a:schemeClr val="lt1"/>
              </a:solidFill>
              <a:ln w="38100">
                <a:solidFill>
                  <a:schemeClr val="accent1">
                    <a:alpha val="60000"/>
                  </a:schemeClr>
                </a:solidFill>
              </a:ln>
              <a:effectLst/>
            </c:spPr>
          </c:marker>
          <c:xVal>
            <c:numRef>
              <c:f>Graphs!$K$2:$K$100</c:f>
              <c:numCache>
                <c:formatCode>General</c:formatCode>
                <c:ptCount val="99"/>
              </c:numCache>
            </c:numRef>
          </c:xVal>
          <c:yVal>
            <c:numRef>
              <c:f>Graphs!$J$2:$J$100</c:f>
              <c:numCache>
                <c:formatCode>General</c:formatCode>
                <c:ptCount val="99"/>
              </c:numCache>
            </c:numRef>
          </c:yVal>
          <c:smooth val="0"/>
          <c:extLst>
            <c:ext xmlns:c16="http://schemas.microsoft.com/office/drawing/2014/chart" uri="{C3380CC4-5D6E-409C-BE32-E72D297353CC}">
              <c16:uniqueId val="{00000003-621C-41FA-9B89-320F232A0C61}"/>
            </c:ext>
          </c:extLst>
        </c:ser>
        <c:dLbls>
          <c:showLegendKey val="0"/>
          <c:showVal val="0"/>
          <c:showCatName val="0"/>
          <c:showSerName val="0"/>
          <c:showPercent val="0"/>
          <c:showBubbleSize val="0"/>
        </c:dLbls>
        <c:axId val="474374432"/>
        <c:axId val="474376728"/>
      </c:scatterChart>
      <c:valAx>
        <c:axId val="474374432"/>
        <c:scaling>
          <c:orientation val="minMax"/>
          <c:max val="123"/>
          <c:min val="1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Higher Level Standard</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in"/>
        <c:tickLblPos val="nextTo"/>
        <c:spPr>
          <a:noFill/>
          <a:ln>
            <a:solidFill>
              <a:schemeClr val="tx1">
                <a:lumMod val="25000"/>
                <a:lumOff val="75000"/>
              </a:schemeClr>
            </a:solid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474376728"/>
        <c:crosses val="autoZero"/>
        <c:crossBetween val="midCat"/>
        <c:majorUnit val="1"/>
        <c:minorUnit val="0.3"/>
      </c:valAx>
      <c:valAx>
        <c:axId val="474376728"/>
        <c:scaling>
          <c:orientation val="minMax"/>
          <c:max val="123"/>
          <c:min val="1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Candidate Transfer Standard Point</a:t>
                </a:r>
              </a:p>
            </c:rich>
          </c:tx>
          <c:layout>
            <c:manualLayout>
              <c:xMode val="edge"/>
              <c:yMode val="edge"/>
              <c:x val="2.4421130538100275E-2"/>
              <c:y val="0.19509661926655072"/>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in"/>
        <c:tickLblPos val="nextTo"/>
        <c:spPr>
          <a:noFill/>
          <a:ln>
            <a:solidFill>
              <a:schemeClr val="tx1">
                <a:lumMod val="25000"/>
                <a:lumOff val="75000"/>
              </a:schemeClr>
            </a:solid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474374432"/>
        <c:crosses val="autoZero"/>
        <c:crossBetween val="midCat"/>
        <c:majorUnit val="1"/>
        <c:minorUnit val="0.3"/>
      </c:valAx>
      <c:spPr>
        <a:pattFill prst="ltDnDiag">
          <a:fgClr>
            <a:schemeClr val="dk1">
              <a:lumMod val="15000"/>
              <a:lumOff val="85000"/>
            </a:schemeClr>
          </a:fgClr>
          <a:bgClr>
            <a:schemeClr val="bg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248708</xdr:colOff>
      <xdr:row>21</xdr:row>
      <xdr:rowOff>111125</xdr:rowOff>
    </xdr:from>
    <xdr:to>
      <xdr:col>1</xdr:col>
      <xdr:colOff>1357841</xdr:colOff>
      <xdr:row>23</xdr:row>
      <xdr:rowOff>93133</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8708" y="4587875"/>
          <a:ext cx="3977216" cy="3630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119059</xdr:colOff>
      <xdr:row>11</xdr:row>
      <xdr:rowOff>99484</xdr:rowOff>
    </xdr:from>
    <xdr:to>
      <xdr:col>5</xdr:col>
      <xdr:colOff>963609</xdr:colOff>
      <xdr:row>30</xdr:row>
      <xdr:rowOff>74084</xdr:rowOff>
    </xdr:to>
    <xdr:graphicFrame macro="">
      <xdr:nvGraphicFramePr>
        <xdr:cNvPr id="2" name="ControlChart">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99131</xdr:colOff>
      <xdr:row>30</xdr:row>
      <xdr:rowOff>165805</xdr:rowOff>
    </xdr:from>
    <xdr:to>
      <xdr:col>2</xdr:col>
      <xdr:colOff>861131</xdr:colOff>
      <xdr:row>58</xdr:row>
      <xdr:rowOff>43885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236220</xdr:colOff>
          <xdr:row>24</xdr:row>
          <xdr:rowOff>106680</xdr:rowOff>
        </xdr:from>
        <xdr:to>
          <xdr:col>2</xdr:col>
          <xdr:colOff>628650</xdr:colOff>
          <xdr:row>29</xdr:row>
          <xdr:rowOff>129540</xdr:rowOff>
        </xdr:to>
        <xdr:sp macro="" textlink="">
          <xdr:nvSpPr>
            <xdr:cNvPr id="1028" name="PrintSummarySheet"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2</xdr:col>
      <xdr:colOff>971550</xdr:colOff>
      <xdr:row>30</xdr:row>
      <xdr:rowOff>133350</xdr:rowOff>
    </xdr:from>
    <xdr:to>
      <xdr:col>5</xdr:col>
      <xdr:colOff>990600</xdr:colOff>
      <xdr:row>58</xdr:row>
      <xdr:rowOff>11430</xdr:rowOff>
    </xdr:to>
    <xdr:graphicFrame macro="">
      <xdr:nvGraphicFramePr>
        <xdr:cNvPr id="9" name="Scatter4">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2042160</xdr:colOff>
          <xdr:row>14</xdr:row>
          <xdr:rowOff>15240</xdr:rowOff>
        </xdr:from>
        <xdr:to>
          <xdr:col>5</xdr:col>
          <xdr:colOff>137160</xdr:colOff>
          <xdr:row>19</xdr:row>
          <xdr:rowOff>7620</xdr:rowOff>
        </xdr:to>
        <xdr:sp macro="" textlink="">
          <xdr:nvSpPr>
            <xdr:cNvPr id="4103" name="SubmitVerification" descr="LARGE BUTTON TO ADD SUMMARY DATA TO SUMMARY SHEET, ARCHIVE DATA, AND LOCK DATA IN THIS FORM.  CREATES PDF WITH SIGNATURE AND DATE LINE"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1950720</xdr:colOff>
          <xdr:row>12</xdr:row>
          <xdr:rowOff>198120</xdr:rowOff>
        </xdr:from>
        <xdr:to>
          <xdr:col>5</xdr:col>
          <xdr:colOff>266700</xdr:colOff>
          <xdr:row>17</xdr:row>
          <xdr:rowOff>190500</xdr:rowOff>
        </xdr:to>
        <xdr:sp macro="" textlink="">
          <xdr:nvSpPr>
            <xdr:cNvPr id="10241" name="SubmitReverification" descr="LARGE BUTTON TO ADD SUMMARY DATA TO SUMMARY SHEET, ARCHIVE DATA, AND CLEAR DATA IN THIS FORM.  CREATE PDF WITH SIGNATURE AND DATE LINE"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6E10E3-8715-4DEC-8293-4CE94FBACB07}" name="Table1" displayName="Table1" ref="A9:C20" totalsRowShown="0" tableBorderDxfId="129">
  <autoFilter ref="A9:C20" xr:uid="{74705E27-D5DF-4279-BBAF-E666D28E65B3}"/>
  <tableColumns count="3">
    <tableColumn id="1" xr3:uid="{6C4E4F72-7AA3-410C-A091-32ECAFDD199A}" name="Date" dataDxfId="128" dataCellStyle="Output">
      <calculatedColumnFormula>IFERROR(TEXT(VLOOKUP(LARGE(Archive!$A$2:$A$990,1),Archive!$A$2:$AX$990,48,FALSE),"yyyy-mm-dd"),"TBD")</calculatedColumnFormula>
    </tableColumn>
    <tableColumn id="2" xr3:uid="{9FBCC4C5-7AC6-4324-90D5-DA80B4CA5860}" name="Slope" dataDxfId="127" dataCellStyle="Output"/>
    <tableColumn id="3" xr3:uid="{2FC4A739-F8AB-401F-BEB5-A6A82A479059}" name="Intercept" dataDxfId="126" dataCellStyle="Output"/>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293C8EF-A271-4062-88B0-CB10799555DF}" name="ScatterCycles" displayName="ScatterCycles" ref="A1:E4" totalsRowShown="0">
  <autoFilter ref="A1:E4" xr:uid="{9A5309A4-DD7A-4239-8D35-BE33B0483775}"/>
  <tableColumns count="5">
    <tableColumn id="1" xr3:uid="{505E38CE-8434-486B-BA3A-64F2574F6248}" name="Label"/>
    <tableColumn id="2" xr3:uid="{15CD2CCD-34C7-40AE-B306-480F15815D64}" name="Point 1 - Y"/>
    <tableColumn id="3" xr3:uid="{E1AEBE68-01A6-4646-BEF2-A40BB126BF1E}" name="Point 1 - X"/>
    <tableColumn id="5" xr3:uid="{AE1E02A4-A27B-4753-AD80-7D1E1DBDB5B5}" name="Point 4 - Y"/>
    <tableColumn id="6" xr3:uid="{BC2AD551-774D-4999-BD63-8377E243E18F}" name="Point 4 - X"/>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0BED642-1352-430C-A0EF-5A1382F3E7D3}" name="ScatterReVer" displayName="ScatterReVer" ref="G1:K2" totalsRowShown="0">
  <autoFilter ref="G1:K2" xr:uid="{791C31A8-0C3A-4516-8B83-66D4D980A438}"/>
  <tableColumns count="5">
    <tableColumn id="1" xr3:uid="{D7CAF48E-2DDB-4A2B-9AC0-F2BA3E0BE9CA}" name="Reverification" dataDxfId="125"/>
    <tableColumn id="2" xr3:uid="{A7F6F6AF-8BFD-4AE0-8D88-57049D485C0B}" name="Point 1 - Y"/>
    <tableColumn id="3" xr3:uid="{D6696236-292F-4923-BB23-E06D14F9D277}" name="Point 1 - X"/>
    <tableColumn id="5" xr3:uid="{AC4EBA9C-6CB9-4FCC-80D0-6ECE304B0DD1}" name="Point 4 - Y"/>
    <tableColumn id="6" xr3:uid="{CB17BDCC-9DEA-413C-9857-EC3A940D6611}" name="Point 4 - X"/>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2F21BE-E9A5-49B4-AE81-E761535A0DEF}" name="Archive" displayName="Archive" ref="A1:BF2" totalsRowShown="0" headerRowDxfId="61" dataDxfId="59" headerRowBorderDxfId="60" tableBorderDxfId="58">
  <autoFilter ref="A1:BF2" xr:uid="{589239A6-620B-449C-9CA3-F6C136095E47}"/>
  <tableColumns count="58">
    <tableColumn id="49" xr3:uid="{D524B4A4-CC4E-44C0-9428-A97DA80DFCF1}" name="Lookup" dataDxfId="57">
      <calculatedColumnFormula>IF(IF(W2="Cycle 1 Verification Data",BA2+0.1,(IF(W2="Cycle 2 Verification Data",BA2+0.2,(IF(W2="Cycle 3 Verification Data",BA2+0.3,BA2)))))="","",(IF(W2="Cycle 1 Verification Data",BA2+0.1,(IF(W2="Cycle 2 Verification Data",BA2+0.2,(IF(W2="Cycle 3 Verification Data",BA2+0.3,BA2+0.3+BF2)))))))</calculatedColumnFormula>
    </tableColumn>
    <tableColumn id="40" xr3:uid="{E31AD408-C787-49B3-816A-94F1BC555BAD}" name="Institute Conducting Verification " dataDxfId="56"/>
    <tableColumn id="41" xr3:uid="{8D901D1C-2063-4B1B-9B0B-E64E26608A3B}" name="Operator " dataDxfId="55"/>
    <tableColumn id="42" xr3:uid="{6E8C91E7-DF76-4A08-B01B-E9C6F44BF695}" name="Date " dataDxfId="54"/>
    <tableColumn id="43" xr3:uid="{89DDCBC2-3A37-45C0-AA59-497CC042C5AE}" name="Transfer Standard Role " dataDxfId="53"/>
    <tableColumn id="1" xr3:uid="{0D0FDBFF-7138-4D2B-950E-8E9EE79B78F3}" name="Transfer Standard Make" dataDxfId="52"/>
    <tableColumn id="2" xr3:uid="{8BC86E5A-E32F-475E-9FA2-487F113454DC}" name="Transfer Standard Model" dataDxfId="51"/>
    <tableColumn id="3" xr3:uid="{C4901017-1A7D-47FF-92CC-145C0A4EEC78}" name="Transfer Standard Serial Number" dataDxfId="50"/>
    <tableColumn id="4" xr3:uid="{9F7D0A24-717B-42D9-9CAA-1FC4C829DAC1}" name="Verification Date " dataDxfId="49"/>
    <tableColumn id="5" xr3:uid="{538CCCF5-7CC2-4AD5-AD3B-A36F02C9676B}" name="Calibration Factors Span Setting " dataDxfId="48"/>
    <tableColumn id="6" xr3:uid="{825903FB-06DF-4BCF-B04A-DC14C3B7591B}" name="Calibration Factors Zero Setting " dataDxfId="47"/>
    <tableColumn id="7" xr3:uid="{0E40919B-B572-4D80-9CD2-529640E55CEB}" name="Candidate Transfer Standard Role" dataDxfId="46"/>
    <tableColumn id="8" xr3:uid="{C504AE36-8601-4AB6-853A-ACB533990642}" name="Candidate Transfer Make" dataDxfId="45"/>
    <tableColumn id="9" xr3:uid="{4FC610C7-2328-44D1-AAD1-DF4176A087CD}" name="Candidate Transfer Model" dataDxfId="44"/>
    <tableColumn id="10" xr3:uid="{1DB6E2AC-9875-476F-BAF6-AD30026D3E11}" name="Candidate Transfer Serial Number" dataDxfId="43"/>
    <tableColumn id="11" xr3:uid="{B8882F75-878A-4510-ABA3-C29CA57F3123}" name="Preventive Maintenance Date " dataDxfId="42"/>
    <tableColumn id="12" xr3:uid="{57C81FA4-F97E-4181-BD8C-90DEE7B95F3B}" name="Acceptance Testing Date " dataDxfId="41"/>
    <tableColumn id="13" xr3:uid="{ED705CB9-AA10-416F-A7DE-696AA68788F9}" name="As Found - Span Setting" dataDxfId="40"/>
    <tableColumn id="14" xr3:uid="{E08BAD22-FD02-4788-945A-9E245E7DEAE2}" name="As Left - Span Setting" dataDxfId="39"/>
    <tableColumn id="15" xr3:uid="{77A81B83-8D6A-4A6D-9E9B-941A0D8C0902}" name="As Found - Zero Setting" dataDxfId="38"/>
    <tableColumn id="16" xr3:uid="{75C5EE84-50D5-4DF9-88B0-05E83B7AB0A7}" name="As Left - Zero Setting" dataDxfId="37"/>
    <tableColumn id="17" xr3:uid="{E6567AD6-223F-436F-863D-B5F593E50F80}" name="Calibration Factor Comments" dataDxfId="36"/>
    <tableColumn id="18" xr3:uid="{EE2A74F3-DEC9-4C84-8C8C-12AA5E2DA36C}" name="Type" dataDxfId="35"/>
    <tableColumn id="19" xr3:uid="{3CFBB22B-21ED-436B-890E-3A711EB83BDF}" name="Higher Level Standard - Zero 1" dataDxfId="34"/>
    <tableColumn id="20" xr3:uid="{286A93A1-3861-4973-B977-121C30D529F8}" name="Higher Level Standard - Point 1" dataDxfId="33"/>
    <tableColumn id="21" xr3:uid="{AB9C979F-0082-45D8-A720-9A8DAE52F85A}" name="Higher Level Standard - Point 2" dataDxfId="32"/>
    <tableColumn id="22" xr3:uid="{EDFF7FE0-95EC-41CC-85C7-7FB9AF8B5B39}" name="Higher Level Standard - Point 3" dataDxfId="31"/>
    <tableColumn id="23" xr3:uid="{784A07D1-B430-4290-8E1A-CB2941BB8479}" name="Higher Level Standard - Point 4" dataDxfId="30"/>
    <tableColumn id="24" xr3:uid="{507BF2D5-E491-40A8-9AF3-0335E29D55AE}" name="Higher Level Standard - Point 5" dataDxfId="29"/>
    <tableColumn id="25" xr3:uid="{D8FFEB24-BF00-4599-A055-DC61B7FB13BC}" name="Higher Level Standard - Point 6" dataDxfId="28"/>
    <tableColumn id="26" xr3:uid="{DE181283-B6AA-46D0-BDE0-BB8CB2A1088B}" name="Higher Level Standard - Point 7" dataDxfId="27"/>
    <tableColumn id="27" xr3:uid="{92764F9D-B8A0-46AB-A4B4-6C8BA20A6A60}" name="Higher Level Standard - Point 8" dataDxfId="26"/>
    <tableColumn id="28" xr3:uid="{172720F0-3C52-44F9-84C4-DD3492482BC6}" name="Higher Level Standard - Point 9" dataDxfId="25"/>
    <tableColumn id="29" xr3:uid="{3310DEF8-4CF8-4D31-A8EF-D9075C7A2F50}" name="Higher Level Standard - Point 10" dataDxfId="24"/>
    <tableColumn id="30" xr3:uid="{295CBD3C-D258-4547-9806-5508B6880BD4}" name="Higher Level Standard - Zero 2" dataDxfId="23"/>
    <tableColumn id="31" xr3:uid="{F7619280-2010-42FB-B590-F52CE805430E}" name="Candidate Transfer Standard - Zero 1" dataDxfId="22"/>
    <tableColumn id="32" xr3:uid="{5450E193-A82F-41CB-AAA1-9E7D7BD3B792}" name="Candidate Transfer Standard - Point 1" dataDxfId="21"/>
    <tableColumn id="33" xr3:uid="{614D979C-DB4B-4E4C-9798-5C6910FCCE4C}" name="Candidate Transfer Standard - Point 2" dataDxfId="20"/>
    <tableColumn id="34" xr3:uid="{824F4E7C-115C-437B-A786-1BD453375BF0}" name="Candidate Transfer Standard - Point 3" dataDxfId="19"/>
    <tableColumn id="35" xr3:uid="{8F8D9CB1-1F49-4530-8F2D-E4BB55003492}" name="Candidate Transfer Standard - Point 4" dataDxfId="18"/>
    <tableColumn id="36" xr3:uid="{46F35D98-9C22-4D7D-8647-0A725C49D1C0}" name="Candidate Transfer Standard - Point 5" dataDxfId="17"/>
    <tableColumn id="37" xr3:uid="{3DB6B2C0-F387-402E-8451-12AF2C7C0285}" name="Candidate Transfer Standard - Point 6" dataDxfId="16"/>
    <tableColumn id="38" xr3:uid="{D12A770A-1427-4BBB-94F8-A60C12B0FC28}" name="Candidate Transfer Standard - Point 7" dataDxfId="15"/>
    <tableColumn id="39" xr3:uid="{32AFAD96-E61D-4998-8B4C-5F2258083B6C}" name="Candidate Transfer Standard - Point 8" dataDxfId="14"/>
    <tableColumn id="44" xr3:uid="{4C232ED2-F420-4984-BC9C-75A18108F51B}" name="Candidate Transfer Standard - Point 9" dataDxfId="13"/>
    <tableColumn id="45" xr3:uid="{4C2049CD-CA4F-4A59-98C0-1ED725218B1A}" name="Candidate Transfer Standard - Point 10" dataDxfId="12"/>
    <tableColumn id="46" xr3:uid="{687BB027-8689-41AE-9CB2-8103B5F12134}" name="Candidate Transfer Standard - Zero 2" dataDxfId="11"/>
    <tableColumn id="50" xr3:uid="{517CB68D-5B2E-4F7B-AF4A-8DBDD252FFD5}" name="Cycle Date" dataDxfId="10"/>
    <tableColumn id="47" xr3:uid="{F2348D76-BA12-4F51-8466-2637675CF979}" name="Regression Slope" dataDxfId="9"/>
    <tableColumn id="48" xr3:uid="{451AD0E1-1B15-43E0-8C44-A2A0E50A5269}" name="Regression Intercept" dataDxfId="8"/>
    <tableColumn id="51" xr3:uid="{7EE0C3AE-2511-45D6-843B-96672F818000}" name="Date Number1" dataDxfId="7">
      <calculatedColumnFormula>IFERROR(IF(BB2&gt;3000,BB2,IF(ISBLANK(AV2)=TRUE,"",DATE(BB2,BC2,BD2))),0)</calculatedColumnFormula>
    </tableColumn>
    <tableColumn id="53" xr3:uid="{C02F7A37-838D-495A-B413-A13EFB250D5F}" name="Date Number2" dataDxfId="6">
      <calculatedColumnFormula>IFERROR(IF(BD2&gt;3000,BD2,IF(ISBLANK(AV2)=TRUE,"",DATE(BD2,BC2,BB2))),0)</calculatedColumnFormula>
    </tableColumn>
    <tableColumn id="54" xr3:uid="{F3613056-D878-452B-8B57-3B89833C3D72}" name="Final Date" dataDxfId="5">
      <calculatedColumnFormula>IF(AZ2&gt;AY2,AZ2,AY2)</calculatedColumnFormula>
    </tableColumn>
    <tableColumn id="55" xr3:uid="{BE4D9387-3C60-417F-AD94-4648F0A9CE5A}" name="V1" dataDxfId="4">
      <calculatedColumnFormula>BO2</calculatedColumnFormula>
    </tableColumn>
    <tableColumn id="56" xr3:uid="{803AA103-8771-452D-B55B-D67CB8E90353}" name="V2" dataDxfId="3">
      <calculatedColumnFormula>BP2</calculatedColumnFormula>
    </tableColumn>
    <tableColumn id="57" xr3:uid="{4719EEFE-07FA-4C4B-A534-E4EF161DEB02}" name="V3" dataDxfId="2">
      <calculatedColumnFormula>BQ2</calculatedColumnFormula>
    </tableColumn>
    <tableColumn id="52" xr3:uid="{E0604FAB-626B-4448-A46F-685DF943CD29}" name="Cycle Date Calc" dataDxfId="1">
      <calculatedColumnFormula>IF(BO2&gt;3000,BO2,"No")</calculatedColumnFormula>
    </tableColumn>
    <tableColumn id="58" xr3:uid="{89170D1E-E15F-4220-8110-4E3B35AE3082}" name="0.00" dataDxfId="0">
      <calculatedColumnFormula>BF1+0.01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EPA Theme Default">
  <a:themeElements>
    <a:clrScheme name="Custom 1">
      <a:dk1>
        <a:sysClr val="windowText" lastClr="000000"/>
      </a:dk1>
      <a:lt1>
        <a:sysClr val="window" lastClr="FFFFFF"/>
      </a:lt1>
      <a:dk2>
        <a:srgbClr val="44546A"/>
      </a:dk2>
      <a:lt2>
        <a:srgbClr val="E7E6E6"/>
      </a:lt2>
      <a:accent1>
        <a:srgbClr val="0050B8"/>
      </a:accent1>
      <a:accent2>
        <a:srgbClr val="3399FF"/>
      </a:accent2>
      <a:accent3>
        <a:srgbClr val="00CC33"/>
      </a:accent3>
      <a:accent4>
        <a:srgbClr val="FFC000"/>
      </a:accent4>
      <a:accent5>
        <a:srgbClr val="FF0000"/>
      </a:accent5>
      <a:accent6>
        <a:srgbClr val="7030A0"/>
      </a:accent6>
      <a:hlink>
        <a:srgbClr val="0563C1"/>
      </a:hlink>
      <a:folHlink>
        <a:srgbClr val="954F72"/>
      </a:folHlink>
    </a:clrScheme>
    <a:fontScheme name="Custom 1">
      <a:majorFont>
        <a:latin typeface="Century Gothic"/>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AF2F-2DF3-424C-8299-18C19D9A825A}">
  <sheetPr codeName="Sheet7"/>
  <dimension ref="A1:B22"/>
  <sheetViews>
    <sheetView zoomScaleNormal="100" workbookViewId="0">
      <selection activeCell="A2" sqref="A2:B2"/>
    </sheetView>
  </sheetViews>
  <sheetFormatPr defaultRowHeight="14.4" x14ac:dyDescent="0.3"/>
  <cols>
    <col min="1" max="1" width="130.44140625" customWidth="1"/>
    <col min="2" max="2" width="50.5546875" customWidth="1"/>
  </cols>
  <sheetData>
    <row r="1" spans="1:2" ht="19.8" x14ac:dyDescent="0.4">
      <c r="A1" s="154" t="s">
        <v>0</v>
      </c>
      <c r="B1" s="154"/>
    </row>
    <row r="2" spans="1:2" ht="61.5" customHeight="1" x14ac:dyDescent="0.3">
      <c r="A2" s="152" t="s">
        <v>1</v>
      </c>
      <c r="B2" s="153"/>
    </row>
    <row r="3" spans="1:2" ht="31.5" customHeight="1" x14ac:dyDescent="0.3">
      <c r="A3" s="36" t="s">
        <v>2</v>
      </c>
      <c r="B3" s="36" t="s">
        <v>3</v>
      </c>
    </row>
    <row r="4" spans="1:2" x14ac:dyDescent="0.3">
      <c r="A4" s="39" t="s">
        <v>4</v>
      </c>
      <c r="B4" s="95" t="s">
        <v>5</v>
      </c>
    </row>
    <row r="5" spans="1:2" x14ac:dyDescent="0.3">
      <c r="A5" s="40" t="s">
        <v>6</v>
      </c>
      <c r="B5" s="96" t="s">
        <v>7</v>
      </c>
    </row>
    <row r="6" spans="1:2" x14ac:dyDescent="0.3">
      <c r="A6" s="40" t="s">
        <v>196</v>
      </c>
      <c r="B6" s="97" t="s">
        <v>8</v>
      </c>
    </row>
    <row r="7" spans="1:2" x14ac:dyDescent="0.3">
      <c r="A7" s="40" t="s">
        <v>9</v>
      </c>
      <c r="B7" s="98" t="s">
        <v>10</v>
      </c>
    </row>
    <row r="8" spans="1:2" x14ac:dyDescent="0.3">
      <c r="A8" s="40" t="s">
        <v>11</v>
      </c>
      <c r="B8" s="99" t="s">
        <v>188</v>
      </c>
    </row>
    <row r="9" spans="1:2" x14ac:dyDescent="0.3">
      <c r="A9" s="40" t="s">
        <v>12</v>
      </c>
      <c r="B9" s="100" t="s">
        <v>189</v>
      </c>
    </row>
    <row r="10" spans="1:2" ht="28.8" x14ac:dyDescent="0.3">
      <c r="A10" s="41" t="s">
        <v>13</v>
      </c>
    </row>
    <row r="11" spans="1:2" x14ac:dyDescent="0.3">
      <c r="A11" s="40" t="s">
        <v>195</v>
      </c>
    </row>
    <row r="12" spans="1:2" x14ac:dyDescent="0.3">
      <c r="A12" s="40" t="s">
        <v>14</v>
      </c>
    </row>
    <row r="13" spans="1:2" x14ac:dyDescent="0.3">
      <c r="A13" s="39" t="s">
        <v>42</v>
      </c>
    </row>
    <row r="14" spans="1:2" x14ac:dyDescent="0.3">
      <c r="A14" s="37" t="s">
        <v>190</v>
      </c>
    </row>
    <row r="15" spans="1:2" x14ac:dyDescent="0.3">
      <c r="A15" s="37" t="s">
        <v>15</v>
      </c>
    </row>
    <row r="16" spans="1:2" x14ac:dyDescent="0.3">
      <c r="A16" s="37" t="s">
        <v>16</v>
      </c>
    </row>
    <row r="17" spans="1:1" x14ac:dyDescent="0.3">
      <c r="A17" s="37" t="s">
        <v>17</v>
      </c>
    </row>
    <row r="18" spans="1:1" ht="28.8" x14ac:dyDescent="0.3">
      <c r="A18" s="38" t="s">
        <v>191</v>
      </c>
    </row>
    <row r="19" spans="1:1" x14ac:dyDescent="0.3">
      <c r="A19" s="38" t="s">
        <v>194</v>
      </c>
    </row>
    <row r="20" spans="1:1" x14ac:dyDescent="0.3">
      <c r="A20" s="37" t="s">
        <v>18</v>
      </c>
    </row>
    <row r="21" spans="1:1" x14ac:dyDescent="0.3">
      <c r="A21" s="37" t="s">
        <v>192</v>
      </c>
    </row>
    <row r="22" spans="1:1" x14ac:dyDescent="0.3">
      <c r="A22" s="37" t="s">
        <v>193</v>
      </c>
    </row>
  </sheetData>
  <sheetProtection algorithmName="SHA-512" hashValue="u3Hi9VfU+6KM/hsMZ3xj/35lwHuLldkUDXwjTpwFaETT7Il112/Pq08u1zVr47bRBV0iowbTNfZKLbMxKo/z+g==" saltValue="kogQktjfh7Vbya3OKFqovg==" spinCount="100000" sheet="1" objects="1" scenarios="1"/>
  <mergeCells count="2">
    <mergeCell ref="A2:B2"/>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F82BE-FCA8-4D90-9079-592E8171604A}">
  <sheetPr codeName="Sheet1">
    <pageSetUpPr fitToPage="1"/>
  </sheetPr>
  <dimension ref="A1:AG26"/>
  <sheetViews>
    <sheetView showGridLines="0" tabSelected="1" zoomScale="70" zoomScaleNormal="70" workbookViewId="0">
      <selection activeCell="F9" sqref="F9"/>
    </sheetView>
  </sheetViews>
  <sheetFormatPr defaultColWidth="9.44140625" defaultRowHeight="14.4" x14ac:dyDescent="0.3"/>
  <cols>
    <col min="1" max="1" width="37.5546875" style="1" customWidth="1"/>
    <col min="2" max="2" width="19.5546875" style="1" customWidth="1"/>
    <col min="3" max="3" width="19.44140625" style="1" customWidth="1"/>
    <col min="4" max="4" width="29.109375" style="1" customWidth="1"/>
    <col min="5" max="6" width="19.88671875" style="1" customWidth="1"/>
    <col min="7" max="7" width="7.44140625" style="1" hidden="1" customWidth="1"/>
    <col min="8" max="8" width="7" style="1" hidden="1" customWidth="1"/>
    <col min="9" max="9" width="10.44140625" style="1" hidden="1" customWidth="1"/>
    <col min="10" max="10" width="9.6640625" style="1" hidden="1" customWidth="1"/>
    <col min="11" max="11" width="9.44140625" style="1" customWidth="1"/>
    <col min="12" max="23" width="9.44140625" style="1"/>
    <col min="24" max="24" width="9.5546875" style="1" customWidth="1"/>
    <col min="25" max="16384" width="9.44140625" style="1"/>
  </cols>
  <sheetData>
    <row r="1" spans="1:33" ht="36" x14ac:dyDescent="0.3">
      <c r="A1" s="155" t="s">
        <v>19</v>
      </c>
      <c r="B1" s="155"/>
      <c r="C1" s="155"/>
      <c r="D1" s="155"/>
      <c r="E1" s="155"/>
      <c r="F1" s="155"/>
      <c r="G1" s="6"/>
      <c r="I1" s="6"/>
      <c r="J1" s="6"/>
      <c r="W1" s="93"/>
      <c r="X1" s="93"/>
      <c r="Y1" s="94">
        <f>(Verification!B5)</f>
        <v>0</v>
      </c>
      <c r="Z1" s="93"/>
      <c r="AA1" s="93"/>
      <c r="AB1" s="93"/>
      <c r="AC1" s="93"/>
      <c r="AE1"/>
      <c r="AF1"/>
      <c r="AG1"/>
    </row>
    <row r="2" spans="1:33" ht="18" x14ac:dyDescent="0.3">
      <c r="A2" s="156" t="s">
        <v>20</v>
      </c>
      <c r="B2" s="156"/>
      <c r="C2" s="3"/>
      <c r="D2" s="156" t="s">
        <v>204</v>
      </c>
      <c r="E2" s="156"/>
      <c r="F2" s="156"/>
      <c r="J2" s="2"/>
      <c r="W2" s="93"/>
      <c r="X2" s="93"/>
      <c r="Y2" s="93" t="e">
        <f>VLOOKUP(B3,'TS Role Table'!$A$2:$D$6,3,FALSE)</f>
        <v>#N/A</v>
      </c>
      <c r="Z2" s="93"/>
      <c r="AA2" s="93"/>
      <c r="AB2" s="93"/>
      <c r="AC2" s="93"/>
      <c r="AE2"/>
      <c r="AF2"/>
      <c r="AG2"/>
    </row>
    <row r="3" spans="1:33" ht="16.2" x14ac:dyDescent="0.3">
      <c r="A3" s="8" t="s">
        <v>21</v>
      </c>
      <c r="B3" s="19" t="str">
        <f>IFERROR(VLOOKUP(LARGE(Archive!$A$2:$A$997,1),Archive!$A$2:$AX$997,12,FALSE),"")</f>
        <v/>
      </c>
      <c r="C3" s="2"/>
      <c r="D3" s="2"/>
      <c r="E3" s="4" t="s">
        <v>22</v>
      </c>
      <c r="F3" s="4" t="s">
        <v>23</v>
      </c>
      <c r="G3" s="83" t="s">
        <v>24</v>
      </c>
      <c r="H3" s="83" t="s">
        <v>25</v>
      </c>
      <c r="I3" s="83" t="s">
        <v>26</v>
      </c>
      <c r="J3" s="2"/>
      <c r="W3" s="93"/>
      <c r="X3" s="93"/>
      <c r="Y3" s="93"/>
      <c r="Z3" s="93"/>
      <c r="AA3" s="93"/>
      <c r="AB3" s="93"/>
      <c r="AC3" s="93"/>
      <c r="AE3"/>
      <c r="AF3"/>
      <c r="AG3"/>
    </row>
    <row r="4" spans="1:33" x14ac:dyDescent="0.3">
      <c r="A4" s="8" t="s">
        <v>27</v>
      </c>
      <c r="B4" s="19" t="str">
        <f>IF(Verification!B17="","",Verification!B17)</f>
        <v/>
      </c>
      <c r="C4" s="2"/>
      <c r="D4" s="20" t="str">
        <f>IFERROR("Cycle 1 ("&amp;TEXT(VLOOKUP(SMALL(Archive!$A$2:$A$996,1),Archive!$A$2:$AX$996,48,FALSE),"yyyy-mm-dd")&amp;")","Cycle 1")</f>
        <v>Cycle 1</v>
      </c>
      <c r="E4" s="30" t="str">
        <f>IFERROR(VLOOKUP(SMALL(Archive!$A$2:$A$996,1),Archive!$A$2:$AX$996,49,FALSE),"")</f>
        <v/>
      </c>
      <c r="F4" s="30" t="str">
        <f>IFERROR(VLOOKUP(SMALL(Archive!$A$2:$A$996,1),Archive!$A$2:$AX$996,50,FALSE),"")</f>
        <v/>
      </c>
      <c r="G4" s="30" t="str">
        <f>IF(ISBLANK(Archive!$AW$2),"",Archive!$AW$2)</f>
        <v/>
      </c>
      <c r="H4" s="30" t="str">
        <f>IF(ISBLANK(Archive!$AW$2),"",Archive!$AW$2)</f>
        <v/>
      </c>
      <c r="I4" s="30" t="str">
        <f>IF(ISBLANK(Archive!$AW$2),"",Archive!$AW$2)</f>
        <v/>
      </c>
      <c r="J4" s="30" t="str">
        <f>IF(ISBLANK(Archive!$AW$2),"",Archive!$AW$2)</f>
        <v/>
      </c>
      <c r="W4" s="93"/>
      <c r="X4" s="93"/>
      <c r="Y4" s="93"/>
      <c r="Z4" s="93"/>
      <c r="AA4" s="93"/>
      <c r="AB4" s="93"/>
      <c r="AC4" s="93"/>
      <c r="AE4"/>
      <c r="AF4"/>
      <c r="AG4"/>
    </row>
    <row r="5" spans="1:33" x14ac:dyDescent="0.3">
      <c r="A5" s="8" t="s">
        <v>28</v>
      </c>
      <c r="B5" s="19" t="str">
        <f>IF(Verification!B18="","",Verification!B18)</f>
        <v/>
      </c>
      <c r="C5" s="2"/>
      <c r="D5" s="20" t="str">
        <f>IFERROR("Cycle 2 ("&amp;TEXT(VLOOKUP(SMALL(Archive!$A$2:$A$996,2),Archive!$A$2:$AX$996,48,FALSE),"yyyy-mm-dd")&amp;")","Cycle 2")</f>
        <v>Cycle 2</v>
      </c>
      <c r="E5" s="30" t="str">
        <f>IFERROR(VLOOKUP(SMALL(Archive!$A$2:$A$996,2),Archive!$A$2:$AX$996,49,FALSE),"")</f>
        <v/>
      </c>
      <c r="F5" s="30" t="str">
        <f>IFERROR(VLOOKUP(SMALL(Archive!$A$2:$A$996,2),Archive!$A$2:$AX$996,50,FALSE),"")</f>
        <v/>
      </c>
      <c r="G5" s="1" t="str">
        <f>IFERROR(VLOOKUP(LARGE(Archive!$A$2:$A$1000,2),Archive!$A$2:$BJ$997,62,FALSE),"")</f>
        <v/>
      </c>
      <c r="H5" s="1" t="str">
        <f>IFERROR(VLOOKUP(LARGE(Archive!$A$2:$A$1000,2),Archive!$A$2:$BJ$997,60,FALSE),"")</f>
        <v/>
      </c>
      <c r="I5" s="1" t="str">
        <f>IFERROR(VLOOKUP(LARGE(Archive!$A$2:$A$1000,2),Archive!$A$2:$BJ$997,61,FALSE),"")</f>
        <v/>
      </c>
      <c r="J5" s="2"/>
      <c r="W5" s="93"/>
      <c r="X5" s="93"/>
      <c r="Y5" s="93"/>
      <c r="Z5" s="93"/>
      <c r="AA5" s="93"/>
      <c r="AB5" s="93"/>
      <c r="AC5" s="93"/>
      <c r="AE5"/>
      <c r="AF5"/>
      <c r="AG5"/>
    </row>
    <row r="6" spans="1:33" x14ac:dyDescent="0.3">
      <c r="A6" s="8" t="s">
        <v>29</v>
      </c>
      <c r="B6" s="19" t="str">
        <f>IF(Verification!B19="","",Verification!B19)</f>
        <v/>
      </c>
      <c r="C6" s="2"/>
      <c r="D6" s="20" t="str">
        <f>IFERROR("Cycle 3 ("&amp;TEXT(VLOOKUP(SMALL(Archive!$A$2:$A$996,3),Archive!$A$2:$AX$996,48,FALSE),"yyyy-mm-dd")&amp;")","Cycle 3")</f>
        <v>Cycle 3</v>
      </c>
      <c r="E6" s="30" t="str">
        <f>IFERROR(VLOOKUP(SMALL(Archive!$A$2:$A$996,3),Archive!$A$2:$AX$996,49,FALSE),"")</f>
        <v/>
      </c>
      <c r="F6" s="30" t="str">
        <f>IFERROR(VLOOKUP(SMALL(Archive!$A$2:$A$996,3),Archive!$A$2:$AX$996,50,FALSE),"")</f>
        <v/>
      </c>
      <c r="G6" s="1" t="str">
        <f>IFERROR(VLOOKUP(LARGE(Archive!$A$2:$A$1000,1),Archive!$A$2:$BJ$997,62,FALSE),"")</f>
        <v/>
      </c>
      <c r="H6" s="1" t="str">
        <f>IFERROR(VLOOKUP(LARGE(Archive!$A$2:$A$1000,1),Archive!$A$2:$BJ$997,60,FALSE),"")</f>
        <v/>
      </c>
      <c r="I6" s="1" t="str">
        <f>IFERROR(VLOOKUP(LARGE(Archive!$A$2:$A$1000,1),Archive!$A$2:$BJ$997,61,FALSE),"")</f>
        <v/>
      </c>
      <c r="J6" s="2"/>
      <c r="W6" s="93"/>
      <c r="X6" s="93"/>
      <c r="Y6" s="93"/>
      <c r="Z6" s="93"/>
      <c r="AA6" s="93"/>
      <c r="AB6" s="93"/>
      <c r="AC6" s="93"/>
    </row>
    <row r="7" spans="1:33" x14ac:dyDescent="0.3">
      <c r="A7" s="18" t="s">
        <v>30</v>
      </c>
      <c r="B7" s="74" t="str">
        <f>IFERROR(IF(Y2="Bench",DATE(YEAR(TEXT(VLOOKUP(LARGE(Archive!$A$2:$A$996,1),Archive!$A$2:$AX$996,48,FALSE),"yyyy-mm-dd"))+1,MONTH(TEXT(VLOOKUP(LARGE(Archive!$A$2:$A$996,1),Archive!$A$2:$AX$996,48,FALSE),"yyyy-mm-dd")),DAY(TEXT(VLOOKUP(LARGE(Archive!$A$2:$A$996,1),Archive!$A$2:$AX$996,48,FALSE),"yyyy-mm-dd"))),DATE(YEAR(TEXT(VLOOKUP(LARGE(Archive!$A$2:$A$996,1),Archive!$A$2:$AX$996,48,FALSE),"yyyy-mm-dd"))+0.5,MONTH(TEXT(VLOOKUP(LARGE(Archive!$A$2:$A$996,1),Archive!$A$2:$AX$996,48,FALSE),"yyyy-mm-dd"))+6,DAY(TEXT(VLOOKUP(LARGE(Archive!$A$2:$A$996,1),Archive!$A$2:$AX$996,48,FALSE),"yyyy-mm-dd")))),"")</f>
        <v/>
      </c>
      <c r="C7"/>
      <c r="D7" s="20" t="s">
        <v>31</v>
      </c>
      <c r="E7" s="30" t="str">
        <f>IFERROR(AVERAGE(E4:E6),"")</f>
        <v/>
      </c>
      <c r="F7" s="30" t="str">
        <f>IFERROR(AVERAGE(F4:F6),"")</f>
        <v/>
      </c>
      <c r="G7" s="1">
        <f>SUM(G4:G6)</f>
        <v>0</v>
      </c>
      <c r="J7" s="2"/>
      <c r="W7" s="93"/>
      <c r="X7" s="93"/>
      <c r="Y7" s="93"/>
      <c r="Z7" s="93"/>
      <c r="AA7" s="93"/>
      <c r="AB7" s="93"/>
      <c r="AC7" s="93"/>
    </row>
    <row r="8" spans="1:33" ht="18" x14ac:dyDescent="0.3">
      <c r="A8" s="156" t="s">
        <v>32</v>
      </c>
      <c r="B8" s="156"/>
      <c r="C8" s="156"/>
      <c r="D8" s="8" t="s">
        <v>200</v>
      </c>
      <c r="E8" s="30" t="str">
        <f>IFERROR(E7+0.015,"")</f>
        <v/>
      </c>
      <c r="F8" s="30" t="str">
        <f>IFERROR(F7+1.5,"")</f>
        <v/>
      </c>
      <c r="J8" s="3"/>
      <c r="W8" s="93"/>
      <c r="X8" s="93"/>
      <c r="Y8" s="93"/>
      <c r="Z8" s="93"/>
      <c r="AA8" s="93"/>
      <c r="AB8" s="93"/>
      <c r="AC8" s="93"/>
    </row>
    <row r="9" spans="1:33" ht="18" customHeight="1" x14ac:dyDescent="0.3">
      <c r="A9" s="5" t="s">
        <v>33</v>
      </c>
      <c r="B9" s="4" t="s">
        <v>22</v>
      </c>
      <c r="C9" s="4" t="s">
        <v>23</v>
      </c>
      <c r="D9" s="8" t="s">
        <v>201</v>
      </c>
      <c r="E9" s="30" t="str">
        <f>IFERROR(E7-0.015,"")</f>
        <v/>
      </c>
      <c r="F9" s="30" t="str">
        <f>IFERROR(F7-1.5,"")</f>
        <v/>
      </c>
      <c r="J9" s="2"/>
      <c r="W9" s="93"/>
      <c r="X9" s="93"/>
      <c r="Y9" s="93"/>
      <c r="Z9" s="93"/>
      <c r="AA9" s="93"/>
      <c r="AB9" s="93"/>
      <c r="AC9" s="93"/>
    </row>
    <row r="10" spans="1:33" x14ac:dyDescent="0.3">
      <c r="A10" s="75" t="str">
        <f>IFERROR(TEXT(VLOOKUP(LARGE(Archive!$A$2:$A$990,1),Archive!$A$2:$AX$990,48,FALSE),"yyyy-mm-dd"),"TBD")</f>
        <v>TBD</v>
      </c>
      <c r="B10" s="30" t="e">
        <f>IFERROR(VLOOKUP(LARGE(Archive!$A$2:$A$996,1),Archive!$A$2:$AX$996,49,FALSE),#N/A)</f>
        <v>#N/A</v>
      </c>
      <c r="C10" s="31" t="e">
        <f>IFERROR(VLOOKUP(LARGE(Archive!$A$2:$A$996,1),Archive!$A$2:$AX$996,50,FALSE),#N/A)</f>
        <v>#N/A</v>
      </c>
      <c r="J10" s="2"/>
    </row>
    <row r="11" spans="1:33" ht="14.4" customHeight="1" x14ac:dyDescent="0.3">
      <c r="A11" s="75" t="str">
        <f>IFERROR(TEXT(VLOOKUP(LARGE(Archive!$A$2:$A$990,2),Archive!$A$2:$AX$990,48,FALSE),"yyyy-mm-dd"),"TBD")</f>
        <v>TBD</v>
      </c>
      <c r="B11" s="30" t="e">
        <f>IFERROR(VLOOKUP(LARGE(Archive!$A$2:$A$996,2),Archive!$A$2:$AX$996,49,FALSE),#N/A)</f>
        <v>#N/A</v>
      </c>
      <c r="C11" s="31" t="e">
        <f>IFERROR(VLOOKUP(LARGE(Archive!$A$2:$A$996,2),Archive!$A$2:$AX$996,50,FALSE),#N/A)</f>
        <v>#N/A</v>
      </c>
      <c r="D11" s="156" t="s">
        <v>34</v>
      </c>
      <c r="E11" s="156"/>
      <c r="F11" s="156"/>
      <c r="J11" s="2"/>
    </row>
    <row r="12" spans="1:33" x14ac:dyDescent="0.3">
      <c r="A12" s="75" t="str">
        <f>IFERROR(TEXT(VLOOKUP(LARGE(Archive!$A$2:$A$990,3),Archive!$A$2:$AX$990,48,FALSE),"yyyy-mm-dd"),"TBD")</f>
        <v>TBD</v>
      </c>
      <c r="B12" s="30" t="e">
        <f>IFERROR(VLOOKUP(LARGE(Archive!$A$2:$A$996,3),Archive!$A$2:$AX$996,49,FALSE),#N/A)</f>
        <v>#N/A</v>
      </c>
      <c r="C12" s="31" t="e">
        <f>IFERROR(VLOOKUP(LARGE(Archive!$A$2:$A$996,3),Archive!$A$2:$AX$996,50,FALSE),#N/A)</f>
        <v>#N/A</v>
      </c>
      <c r="D12" s="22" t="s">
        <v>35</v>
      </c>
      <c r="E12" s="22"/>
      <c r="F12" s="22"/>
      <c r="J12" s="2"/>
    </row>
    <row r="13" spans="1:33" x14ac:dyDescent="0.3">
      <c r="A13" s="75" t="str">
        <f>IFERROR(TEXT(VLOOKUP(LARGE(Archive!$A$2:$A$990,4),Archive!$A$2:$AX$990,48,FALSE),"yyyy-mm-dd"),"TBD")</f>
        <v>TBD</v>
      </c>
      <c r="B13" s="30" t="e">
        <f>IFERROR(VLOOKUP(LARGE(Archive!$A$2:$A$996,4),Archive!$A$2:$AX$996,49,FALSE),#N/A)</f>
        <v>#N/A</v>
      </c>
      <c r="C13" s="31" t="e">
        <f>IFERROR(VLOOKUP(LARGE(Archive!$A$2:$A$996,4),Archive!$A$2:$AX$996,50,FALSE),#N/A)</f>
        <v>#N/A</v>
      </c>
      <c r="D13" s="22"/>
      <c r="E13" s="22"/>
      <c r="F13" s="22"/>
      <c r="J13" s="2"/>
    </row>
    <row r="14" spans="1:33" x14ac:dyDescent="0.3">
      <c r="A14" s="75" t="str">
        <f>IFERROR(TEXT(VLOOKUP(LARGE(Archive!$A$2:$A$990,5),Archive!$A$2:$AX$990,48,FALSE),"yyyy-mm-dd"),"TBD")</f>
        <v>TBD</v>
      </c>
      <c r="B14" s="30" t="e">
        <f>IFERROR(VLOOKUP(LARGE(Archive!$A$2:$A$996,5),Archive!$A$2:$AX$996,49,FALSE),#N/A)</f>
        <v>#N/A</v>
      </c>
      <c r="C14" s="31" t="e">
        <f>IFERROR(VLOOKUP(LARGE(Archive!$A$2:$A$996,5),Archive!$A$2:$AX$996,50,FALSE),#N/A)</f>
        <v>#N/A</v>
      </c>
      <c r="D14" s="22"/>
      <c r="E14" s="22"/>
      <c r="F14" s="22"/>
      <c r="G14" s="150" t="str">
        <f>$E$8</f>
        <v/>
      </c>
      <c r="H14" s="150" t="str">
        <f>$E$9</f>
        <v/>
      </c>
      <c r="I14" s="150" t="str">
        <f>$F$8</f>
        <v/>
      </c>
      <c r="J14" s="151" t="str">
        <f>$F$9</f>
        <v/>
      </c>
    </row>
    <row r="15" spans="1:33" x14ac:dyDescent="0.3">
      <c r="A15" s="75" t="str">
        <f>IFERROR(TEXT(VLOOKUP(LARGE(Archive!$A$2:$A$990,6),Archive!$A$2:$AX$990,48,FALSE),"yyyy-mm-dd"),"TBD")</f>
        <v>TBD</v>
      </c>
      <c r="B15" s="30" t="e">
        <f>IFERROR(VLOOKUP(LARGE(Archive!$A$2:$A$996,6),Archive!$A$2:$AX$996,49,FALSE),#N/A)</f>
        <v>#N/A</v>
      </c>
      <c r="C15" s="31" t="e">
        <f>IFERROR(VLOOKUP(LARGE(Archive!$A$2:$A$996,6),Archive!$A$2:$AX$996,50,FALSE),#N/A)</f>
        <v>#N/A</v>
      </c>
      <c r="D15" s="22"/>
      <c r="E15" s="22"/>
      <c r="F15" s="22"/>
      <c r="G15" s="150" t="str">
        <f t="shared" ref="G15:G26" si="0">$E$8</f>
        <v/>
      </c>
      <c r="H15" s="150" t="str">
        <f t="shared" ref="H15:H26" si="1">$E$9</f>
        <v/>
      </c>
      <c r="I15" s="150" t="str">
        <f t="shared" ref="I15:I26" si="2">$F$8</f>
        <v/>
      </c>
      <c r="J15" s="151" t="str">
        <f t="shared" ref="J15:J26" si="3">$F$9</f>
        <v/>
      </c>
    </row>
    <row r="16" spans="1:33" ht="14.4" customHeight="1" x14ac:dyDescent="0.3">
      <c r="A16" s="75" t="str">
        <f>IFERROR(TEXT(VLOOKUP(LARGE(Archive!$A$2:$A$990,7),Archive!$A$2:$AX$990,48,FALSE),"yyyy-mm-dd"),"TBD")</f>
        <v>TBD</v>
      </c>
      <c r="B16" s="30" t="e">
        <f>IFERROR(VLOOKUP(LARGE(Archive!$A$2:$A$996,7),Archive!$A$2:$AX$996,49,FALSE),#N/A)</f>
        <v>#N/A</v>
      </c>
      <c r="C16" s="31" t="e">
        <f>IFERROR(VLOOKUP(LARGE(Archive!$A$2:$A$996,7),Archive!$A$2:$AX$996,50,FALSE),#N/A)</f>
        <v>#N/A</v>
      </c>
      <c r="D16" s="22"/>
      <c r="E16" s="22"/>
      <c r="F16" s="22"/>
      <c r="G16" s="150" t="str">
        <f t="shared" si="0"/>
        <v/>
      </c>
      <c r="H16" s="150" t="str">
        <f t="shared" si="1"/>
        <v/>
      </c>
      <c r="I16" s="150" t="str">
        <f t="shared" si="2"/>
        <v/>
      </c>
      <c r="J16" s="151" t="str">
        <f t="shared" si="3"/>
        <v/>
      </c>
    </row>
    <row r="17" spans="1:10" x14ac:dyDescent="0.3">
      <c r="A17" s="75" t="str">
        <f>IFERROR(TEXT(VLOOKUP(LARGE(Archive!$A$2:$A$990,8),Archive!$A$2:$AX$990,48,FALSE),"yyyy-mm-dd"),"TBD")</f>
        <v>TBD</v>
      </c>
      <c r="B17" s="30" t="e">
        <f>IFERROR(VLOOKUP(LARGE(Archive!$A$2:$A$996,8),Archive!$A$2:$AX$996,49,FALSE),#N/A)</f>
        <v>#N/A</v>
      </c>
      <c r="C17" s="31" t="e">
        <f>IFERROR(VLOOKUP(LARGE(Archive!$A$2:$A$996,8),Archive!$A$2:$AX$996,50,FALSE),#N/A)</f>
        <v>#N/A</v>
      </c>
      <c r="D17" s="22"/>
      <c r="E17" s="22"/>
      <c r="F17" s="22"/>
      <c r="G17" s="150" t="str">
        <f t="shared" si="0"/>
        <v/>
      </c>
      <c r="H17" s="150" t="str">
        <f t="shared" si="1"/>
        <v/>
      </c>
      <c r="I17" s="150" t="str">
        <f t="shared" si="2"/>
        <v/>
      </c>
      <c r="J17" s="151" t="str">
        <f t="shared" si="3"/>
        <v/>
      </c>
    </row>
    <row r="18" spans="1:10" x14ac:dyDescent="0.3">
      <c r="A18" s="75" t="str">
        <f>IFERROR(TEXT(VLOOKUP(LARGE(Archive!$A$2:$A$990,9),Archive!$A$2:$AX$990,48,FALSE),"yyyy-mm-dd"),"TBD")</f>
        <v>TBD</v>
      </c>
      <c r="B18" s="30" t="e">
        <f>IFERROR(VLOOKUP(LARGE(Archive!$A$2:$A$996,9),Archive!$A$2:$AX$996,49,FALSE),#N/A)</f>
        <v>#N/A</v>
      </c>
      <c r="C18" s="31" t="e">
        <f>IFERROR(VLOOKUP(LARGE(Archive!$A$2:$A$996,9),Archive!$A$2:$AX$996,50,FALSE),#N/A)</f>
        <v>#N/A</v>
      </c>
      <c r="D18" s="22"/>
      <c r="E18" s="22"/>
      <c r="F18" s="22"/>
      <c r="G18" s="150" t="str">
        <f t="shared" si="0"/>
        <v/>
      </c>
      <c r="H18" s="150" t="str">
        <f t="shared" si="1"/>
        <v/>
      </c>
      <c r="I18" s="150" t="str">
        <f t="shared" si="2"/>
        <v/>
      </c>
      <c r="J18" s="151" t="str">
        <f t="shared" si="3"/>
        <v/>
      </c>
    </row>
    <row r="19" spans="1:10" x14ac:dyDescent="0.3">
      <c r="A19" s="75" t="str">
        <f>IFERROR(TEXT(VLOOKUP(LARGE(Archive!$A$2:$A$990,10),Archive!$A$2:$AX$990,48,FALSE),"yyyy-mm-dd"),"TBD")</f>
        <v>TBD</v>
      </c>
      <c r="B19" s="30" t="e">
        <f>IFERROR(VLOOKUP(LARGE(Archive!$A$2:$A$996,10),Archive!$A$2:$AX$996,49,FALSE),#N/A)</f>
        <v>#N/A</v>
      </c>
      <c r="C19" s="31" t="e">
        <f>IFERROR(VLOOKUP(LARGE(Archive!$A$2:$A$996,10),Archive!$A$2:$AX$996,50,FALSE),#N/A)</f>
        <v>#N/A</v>
      </c>
      <c r="D19" s="22"/>
      <c r="E19" s="22"/>
      <c r="F19" s="22"/>
      <c r="G19" s="150" t="str">
        <f t="shared" si="0"/>
        <v/>
      </c>
      <c r="H19" s="150" t="str">
        <f t="shared" si="1"/>
        <v/>
      </c>
      <c r="I19" s="150" t="str">
        <f t="shared" si="2"/>
        <v/>
      </c>
      <c r="J19" s="151" t="str">
        <f t="shared" si="3"/>
        <v/>
      </c>
    </row>
    <row r="20" spans="1:10" x14ac:dyDescent="0.3">
      <c r="A20" s="75" t="str">
        <f>IFERROR(TEXT(VLOOKUP(LARGE(Archive!$A$2:$A$990,11),Archive!$A$2:$AX$990,48,FALSE),"yyyy-mm-dd"),"TBD")</f>
        <v>TBD</v>
      </c>
      <c r="B20" s="32" t="e">
        <f>IFERROR(VLOOKUP(LARGE(Archive!$A$2:$A$996,11),Archive!$A$2:$AX$996,49,FALSE),#N/A)</f>
        <v>#N/A</v>
      </c>
      <c r="C20" s="33" t="e">
        <f>IFERROR(VLOOKUP(LARGE(Archive!$A$2:$A$996,11),Archive!$A$2:$AX$996,50,FALSE),#N/A)</f>
        <v>#N/A</v>
      </c>
      <c r="D20" s="22"/>
      <c r="E20" s="22"/>
      <c r="F20" s="22"/>
      <c r="G20" s="150" t="str">
        <f t="shared" si="0"/>
        <v/>
      </c>
      <c r="H20" s="150" t="str">
        <f t="shared" si="1"/>
        <v/>
      </c>
      <c r="I20" s="150" t="str">
        <f t="shared" si="2"/>
        <v/>
      </c>
      <c r="J20" s="151" t="str">
        <f t="shared" si="3"/>
        <v/>
      </c>
    </row>
    <row r="21" spans="1:10" ht="15.6" x14ac:dyDescent="0.3">
      <c r="A21" s="7" t="s">
        <v>36</v>
      </c>
      <c r="B21"/>
      <c r="G21" s="150" t="str">
        <f t="shared" si="0"/>
        <v/>
      </c>
      <c r="H21" s="150" t="str">
        <f t="shared" si="1"/>
        <v/>
      </c>
      <c r="I21" s="150" t="str">
        <f t="shared" si="2"/>
        <v/>
      </c>
      <c r="J21" s="151" t="str">
        <f t="shared" si="3"/>
        <v/>
      </c>
    </row>
    <row r="22" spans="1:10" x14ac:dyDescent="0.3">
      <c r="G22" s="150" t="str">
        <f t="shared" si="0"/>
        <v/>
      </c>
      <c r="H22" s="150" t="str">
        <f t="shared" si="1"/>
        <v/>
      </c>
      <c r="I22" s="150" t="str">
        <f t="shared" si="2"/>
        <v/>
      </c>
      <c r="J22" s="151" t="str">
        <f t="shared" si="3"/>
        <v/>
      </c>
    </row>
    <row r="23" spans="1:10" x14ac:dyDescent="0.3">
      <c r="D23" s="2"/>
      <c r="E23" s="2"/>
      <c r="F23" s="2"/>
      <c r="G23" s="150" t="str">
        <f t="shared" si="0"/>
        <v/>
      </c>
      <c r="H23" s="150" t="str">
        <f t="shared" si="1"/>
        <v/>
      </c>
      <c r="I23" s="150" t="str">
        <f t="shared" si="2"/>
        <v/>
      </c>
      <c r="J23" s="151" t="str">
        <f t="shared" si="3"/>
        <v/>
      </c>
    </row>
    <row r="24" spans="1:10" x14ac:dyDescent="0.3">
      <c r="G24" s="150" t="str">
        <f t="shared" si="0"/>
        <v/>
      </c>
      <c r="H24" s="150" t="str">
        <f t="shared" si="1"/>
        <v/>
      </c>
      <c r="I24" s="150" t="str">
        <f t="shared" si="2"/>
        <v/>
      </c>
      <c r="J24" s="151" t="str">
        <f t="shared" si="3"/>
        <v/>
      </c>
    </row>
    <row r="25" spans="1:10" x14ac:dyDescent="0.3">
      <c r="G25" s="150" t="str">
        <f t="shared" si="0"/>
        <v/>
      </c>
      <c r="H25" s="150" t="str">
        <f t="shared" si="1"/>
        <v/>
      </c>
      <c r="I25" s="150" t="str">
        <f t="shared" si="2"/>
        <v/>
      </c>
      <c r="J25" s="151" t="str">
        <f t="shared" si="3"/>
        <v/>
      </c>
    </row>
    <row r="26" spans="1:10" x14ac:dyDescent="0.3">
      <c r="G26" s="150" t="str">
        <f t="shared" si="0"/>
        <v/>
      </c>
      <c r="H26" s="150" t="str">
        <f t="shared" si="1"/>
        <v/>
      </c>
      <c r="I26" s="150" t="str">
        <f t="shared" si="2"/>
        <v/>
      </c>
      <c r="J26" s="151" t="str">
        <f t="shared" si="3"/>
        <v/>
      </c>
    </row>
  </sheetData>
  <sheetProtection algorithmName="SHA-512" hashValue="qbrT7pf5kjbcXr8EtHUbEuSvODc3Zs2BvKaBdtvVZV+u0Vj6cPfMxMUUYKkZWG27nB3PcAozc6k+NoHloxYngw==" saltValue="QM5tM6/OXIndfN/6Z84zEw==" spinCount="100000" sheet="1" objects="1" scenarios="1"/>
  <mergeCells count="5">
    <mergeCell ref="A1:F1"/>
    <mergeCell ref="A8:C8"/>
    <mergeCell ref="D2:F2"/>
    <mergeCell ref="D11:F11"/>
    <mergeCell ref="A2:B2"/>
  </mergeCells>
  <conditionalFormatting sqref="B10:C20">
    <cfRule type="containsErrors" dxfId="133" priority="3">
      <formula>ISERROR(B10)</formula>
    </cfRule>
    <cfRule type="containsText" dxfId="132" priority="4" operator="containsText" text="TBD">
      <formula>NOT(ISERROR(SEARCH("TBD",B10)))</formula>
    </cfRule>
  </conditionalFormatting>
  <conditionalFormatting sqref="A10:A20">
    <cfRule type="containsErrors" dxfId="131" priority="1">
      <formula>ISERROR(A10)</formula>
    </cfRule>
    <cfRule type="containsText" dxfId="130" priority="2" operator="containsText" text="TBD">
      <formula>NOT(ISERROR(SEARCH("TBD",A10)))</formula>
    </cfRule>
  </conditionalFormatting>
  <pageMargins left="0.7" right="0.7" top="0.75" bottom="0.75" header="0.3" footer="0.3"/>
  <pageSetup scale="67" orientation="landscape" r:id="rId1"/>
  <ignoredErrors>
    <ignoredError sqref="B10:C20" evalError="1"/>
    <ignoredError sqref="A11:A20" calculatedColumn="1"/>
  </ignoredErrors>
  <drawing r:id="rId2"/>
  <legacyDrawing r:id="rId3"/>
  <controls>
    <mc:AlternateContent xmlns:mc="http://schemas.openxmlformats.org/markup-compatibility/2006">
      <mc:Choice Requires="x14">
        <control shapeId="1028" r:id="rId4" name="PrintSummarySheet">
          <controlPr defaultSize="0" print="0" autoLine="0" r:id="rId5">
            <anchor moveWithCells="1">
              <from>
                <xdr:col>0</xdr:col>
                <xdr:colOff>236220</xdr:colOff>
                <xdr:row>24</xdr:row>
                <xdr:rowOff>106680</xdr:rowOff>
              </from>
              <to>
                <xdr:col>2</xdr:col>
                <xdr:colOff>632460</xdr:colOff>
                <xdr:row>29</xdr:row>
                <xdr:rowOff>137160</xdr:rowOff>
              </to>
            </anchor>
          </controlPr>
        </control>
      </mc:Choice>
      <mc:Fallback>
        <control shapeId="1028" r:id="rId4" name="PrintSummarySheet"/>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6519F-1BA4-4006-98EA-D4B502AD0AED}">
  <sheetPr codeName="Sheet6"/>
  <dimension ref="A1:O7"/>
  <sheetViews>
    <sheetView workbookViewId="0">
      <selection activeCell="O8" sqref="O8"/>
    </sheetView>
  </sheetViews>
  <sheetFormatPr defaultRowHeight="14.4" x14ac:dyDescent="0.3"/>
  <cols>
    <col min="1" max="1" width="16.6640625" customWidth="1"/>
    <col min="7" max="7" width="15.109375" style="24" customWidth="1"/>
  </cols>
  <sheetData>
    <row r="1" spans="1:15" x14ac:dyDescent="0.3">
      <c r="A1" t="s">
        <v>37</v>
      </c>
      <c r="B1" t="s">
        <v>38</v>
      </c>
      <c r="C1" t="s">
        <v>39</v>
      </c>
      <c r="D1" t="s">
        <v>40</v>
      </c>
      <c r="E1" t="s">
        <v>41</v>
      </c>
      <c r="G1" s="24" t="s">
        <v>42</v>
      </c>
      <c r="H1" t="s">
        <v>38</v>
      </c>
      <c r="I1" t="s">
        <v>39</v>
      </c>
      <c r="J1" t="s">
        <v>40</v>
      </c>
      <c r="K1" t="s">
        <v>41</v>
      </c>
      <c r="N1" t="s">
        <v>43</v>
      </c>
      <c r="O1" t="s">
        <v>44</v>
      </c>
    </row>
    <row r="2" spans="1:15" x14ac:dyDescent="0.3">
      <c r="A2" t="s">
        <v>45</v>
      </c>
      <c r="M2" t="s">
        <v>46</v>
      </c>
      <c r="N2">
        <f>ScatterCycles[[#This Row],[Point 1 - X]]</f>
        <v>0</v>
      </c>
      <c r="O2">
        <f>ScatterCycles[[#This Row],[Point 4 - X]]</f>
        <v>0</v>
      </c>
    </row>
    <row r="3" spans="1:15" x14ac:dyDescent="0.3">
      <c r="A3" t="s">
        <v>47</v>
      </c>
      <c r="M3" t="s">
        <v>48</v>
      </c>
      <c r="N3">
        <f>N2*0.02</f>
        <v>0</v>
      </c>
      <c r="O3">
        <f>O2*0.02</f>
        <v>0</v>
      </c>
    </row>
    <row r="4" spans="1:15" x14ac:dyDescent="0.3">
      <c r="A4" t="s">
        <v>49</v>
      </c>
      <c r="M4" t="s">
        <v>50</v>
      </c>
      <c r="N4">
        <f>(MIN(ScatterCycles[Point 1 - X],ScatterReVer[Point 1 - X],ScatterCycles[Point 1 - Y],ScatterReVer[Point 1 - Y])-10)</f>
        <v>-10</v>
      </c>
      <c r="O4">
        <f>(MIN(ScatterCycles[Point 4 - X],ScatterReVer[Point 4 - X],ScatterCycles[Point 4 - Y],ScatterReVer[Point 4 - Y])-10)</f>
        <v>-10</v>
      </c>
    </row>
    <row r="5" spans="1:15" x14ac:dyDescent="0.3">
      <c r="M5" t="s">
        <v>51</v>
      </c>
      <c r="N5">
        <f>(MAX(ScatterCycles[Point 1 - X],ScatterReVer[Point 1 - X],ScatterCycles[Point 1 - Y],ScatterReVer[Point 1 - Y])+10)</f>
        <v>10</v>
      </c>
      <c r="O5">
        <f>(MAX(ScatterCycles[Point 4 - X],ScatterReVer[Point 4 - X],ScatterCycles[Point 4 - Y],ScatterReVer[Point 4 - Y])+10)</f>
        <v>10</v>
      </c>
    </row>
    <row r="6" spans="1:15" x14ac:dyDescent="0.3">
      <c r="M6" s="1" t="s">
        <v>52</v>
      </c>
      <c r="N6" s="1">
        <v>10</v>
      </c>
      <c r="O6" s="1">
        <v>10</v>
      </c>
    </row>
    <row r="7" spans="1:15" x14ac:dyDescent="0.3">
      <c r="M7" s="1" t="s">
        <v>53</v>
      </c>
      <c r="N7" s="1">
        <v>10</v>
      </c>
      <c r="O7" s="1">
        <v>10</v>
      </c>
    </row>
  </sheetData>
  <sheetProtection algorithmName="SHA-512" hashValue="F1HoysQ3UmKOa36HP6kd8wRqAV4EYj7IJfwgY7vOuI2IY9+/etBz9qLN80LUrdgtI0VjI+Ba2HPrjcDjrxNyDA==" saltValue="d6mBJYt1/q07vutxJBMucA==" spinCount="100000" sheet="1" objects="1" scenarios="1"/>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22438-4741-41E6-A81A-209287C2C712}">
  <sheetPr codeName="Sheet2">
    <pageSetUpPr fitToPage="1"/>
  </sheetPr>
  <dimension ref="A1:BG83"/>
  <sheetViews>
    <sheetView showGridLines="0" zoomScale="60" zoomScaleNormal="60" workbookViewId="0">
      <selection activeCell="E4" sqref="E4"/>
    </sheetView>
  </sheetViews>
  <sheetFormatPr defaultColWidth="9.44140625" defaultRowHeight="14.4" x14ac:dyDescent="0.3"/>
  <cols>
    <col min="1" max="1" width="36.33203125" style="111" bestFit="1" customWidth="1"/>
    <col min="2" max="5" width="30.5546875" style="111" customWidth="1"/>
    <col min="6" max="6" width="33.44140625" style="111" customWidth="1"/>
    <col min="7" max="8" width="19.88671875" style="111" customWidth="1"/>
    <col min="9" max="57" width="9.44140625" style="111"/>
    <col min="58" max="59" width="9.44140625" style="138"/>
    <col min="60" max="16384" width="9.44140625" style="111"/>
  </cols>
  <sheetData>
    <row r="1" spans="1:59" s="125" customFormat="1" ht="45" customHeight="1" thickBot="1" x14ac:dyDescent="0.35">
      <c r="A1" s="157" t="s">
        <v>54</v>
      </c>
      <c r="B1" s="157"/>
      <c r="C1" s="157"/>
      <c r="D1" s="157"/>
      <c r="E1" s="157"/>
      <c r="F1" s="135"/>
      <c r="G1" s="135"/>
      <c r="H1" s="135"/>
      <c r="I1" s="135"/>
      <c r="BF1" s="136"/>
      <c r="BG1" s="136"/>
    </row>
    <row r="2" spans="1:59" ht="18" customHeight="1" thickTop="1" thickBot="1" x14ac:dyDescent="0.35">
      <c r="A2" s="137" t="s">
        <v>55</v>
      </c>
      <c r="B2" s="101"/>
      <c r="D2" s="158" t="s">
        <v>56</v>
      </c>
      <c r="E2" s="158"/>
    </row>
    <row r="3" spans="1:59" ht="18" customHeight="1" thickTop="1" thickBot="1" x14ac:dyDescent="0.35">
      <c r="A3" s="137" t="s">
        <v>57</v>
      </c>
      <c r="B3" s="102"/>
      <c r="D3" s="112" t="s">
        <v>58</v>
      </c>
      <c r="E3" s="113" t="str">
        <f>IF(AND(E4="pass",E5="pass",E6="pass",E7="pass",E8="pass",E9="pass",E10="pass",E11="pass"),"pass","fail")</f>
        <v>fail</v>
      </c>
    </row>
    <row r="4" spans="1:59" ht="18" customHeight="1" thickTop="1" thickBot="1" x14ac:dyDescent="0.35">
      <c r="A4" s="137" t="s">
        <v>59</v>
      </c>
      <c r="B4" s="110" t="str">
        <f>IF(E68="","",E68)</f>
        <v/>
      </c>
      <c r="D4" s="114" t="s">
        <v>60</v>
      </c>
      <c r="E4" s="113" t="str">
        <f>IFERROR(IF((VLOOKUP($B$7,'TS Role Table'!$A$2:$B$6,2,FALSE))&lt;(VLOOKUP($B$16,'TS Role Table'!$A$2:$B$6,2,FALSE)),"pass","fail"),"error")</f>
        <v>error</v>
      </c>
    </row>
    <row r="5" spans="1:59" ht="18" customHeight="1" thickTop="1" thickBot="1" x14ac:dyDescent="0.35">
      <c r="A5" s="139" t="s">
        <v>61</v>
      </c>
      <c r="B5" s="103"/>
      <c r="D5" s="114" t="s">
        <v>62</v>
      </c>
      <c r="E5" s="113" t="str">
        <f>IF(ISBLANK($B$20)=FALSE,"pass","fail")</f>
        <v>fail</v>
      </c>
    </row>
    <row r="6" spans="1:59" ht="18" customHeight="1" thickTop="1" thickBot="1" x14ac:dyDescent="0.35">
      <c r="A6" s="158" t="s">
        <v>63</v>
      </c>
      <c r="B6" s="158"/>
      <c r="D6" s="114" t="s">
        <v>64</v>
      </c>
      <c r="E6" s="113" t="str">
        <f>IF(ISBLANK($B$21)=FALSE,"pass","fail")</f>
        <v>fail</v>
      </c>
    </row>
    <row r="7" spans="1:59" ht="18" customHeight="1" thickTop="1" thickBot="1" x14ac:dyDescent="0.35">
      <c r="A7" s="114" t="s">
        <v>65</v>
      </c>
      <c r="B7" s="102"/>
      <c r="D7" s="114" t="s">
        <v>66</v>
      </c>
      <c r="E7" s="113" t="str">
        <f>(IF(AND(F32="pass",F51="pass",F70="pass"),"pass","fail"))</f>
        <v>fail</v>
      </c>
    </row>
    <row r="8" spans="1:59" ht="18" customHeight="1" thickTop="1" thickBot="1" x14ac:dyDescent="0.35">
      <c r="A8" s="114" t="s">
        <v>67</v>
      </c>
      <c r="B8" s="102"/>
      <c r="D8" s="114" t="s">
        <v>68</v>
      </c>
      <c r="E8" s="113" t="str">
        <f>IFERROR(IF(AND(E31&gt;0.97,E31&lt;1.03,E50&gt;0.97,E50&lt;1.03,E69&gt;0.97,E69&lt;1.03),"pass","fail"),"error")</f>
        <v>fail</v>
      </c>
    </row>
    <row r="9" spans="1:59" ht="18" customHeight="1" thickTop="1" thickBot="1" x14ac:dyDescent="0.35">
      <c r="A9" s="114" t="s">
        <v>69</v>
      </c>
      <c r="B9" s="104"/>
      <c r="D9" s="114" t="s">
        <v>70</v>
      </c>
      <c r="E9" s="113" t="str">
        <f>IFERROR(IF(AND(ABS(E32)&lt;3,ABS(E51)&lt;3,ABS(E70)&lt;3),"pass","fail"),"error")</f>
        <v>error</v>
      </c>
    </row>
    <row r="10" spans="1:59" ht="18" customHeight="1" thickTop="1" thickBot="1" x14ac:dyDescent="0.35">
      <c r="A10" s="114" t="s">
        <v>71</v>
      </c>
      <c r="B10" s="104"/>
      <c r="D10" s="115" t="s">
        <v>72</v>
      </c>
      <c r="E10" s="116" t="str">
        <f>IFERROR(IF(ABS(F10)&lt;0.0075,"pass","fail"),"error")</f>
        <v>error</v>
      </c>
      <c r="F10" s="117" t="str">
        <f>IFERROR(_xlfn.STDEV.P(E31,E50,E69),"error")</f>
        <v>error</v>
      </c>
    </row>
    <row r="11" spans="1:59" ht="18" customHeight="1" thickTop="1" thickBot="1" x14ac:dyDescent="0.35">
      <c r="A11" s="114" t="s">
        <v>73</v>
      </c>
      <c r="B11" s="105"/>
      <c r="D11" s="115" t="s">
        <v>74</v>
      </c>
      <c r="E11" s="118" t="str">
        <f>IFERROR(IF(ABS(F11)&lt;1,"pass","fail"),"error")</f>
        <v>error</v>
      </c>
      <c r="F11" s="117" t="str">
        <f>IFERROR(_xlfn.STDEV.P(E32,E51,E70),"error")</f>
        <v>error</v>
      </c>
    </row>
    <row r="12" spans="1:59" ht="18" customHeight="1" thickTop="1" x14ac:dyDescent="0.3">
      <c r="A12" s="159" t="s">
        <v>75</v>
      </c>
      <c r="B12" s="159"/>
      <c r="D12" s="115"/>
    </row>
    <row r="13" spans="1:59" ht="18" customHeight="1" x14ac:dyDescent="0.3">
      <c r="A13" s="114" t="s">
        <v>76</v>
      </c>
      <c r="B13" s="106"/>
      <c r="D13" s="115"/>
    </row>
    <row r="14" spans="1:59" ht="18" customHeight="1" x14ac:dyDescent="0.3">
      <c r="A14" s="114" t="s">
        <v>77</v>
      </c>
      <c r="B14" s="107"/>
      <c r="D14" s="119"/>
      <c r="E14" s="119"/>
      <c r="F14" s="120"/>
      <c r="G14" s="120"/>
    </row>
    <row r="15" spans="1:59" ht="18" customHeight="1" x14ac:dyDescent="0.3">
      <c r="A15" s="158" t="s">
        <v>20</v>
      </c>
      <c r="B15" s="158"/>
      <c r="C15" s="120"/>
      <c r="F15" s="121"/>
      <c r="G15" s="119"/>
    </row>
    <row r="16" spans="1:59" ht="18" customHeight="1" x14ac:dyDescent="0.3">
      <c r="A16" s="114" t="s">
        <v>78</v>
      </c>
      <c r="B16" s="104"/>
      <c r="C16" s="119"/>
      <c r="D16" s="163" t="s">
        <v>79</v>
      </c>
      <c r="E16" s="164"/>
      <c r="F16" s="122"/>
      <c r="G16" s="122"/>
    </row>
    <row r="17" spans="1:59" ht="18" customHeight="1" x14ac:dyDescent="0.3">
      <c r="A17" s="114" t="s">
        <v>67</v>
      </c>
      <c r="B17" s="104"/>
      <c r="C17" s="119"/>
      <c r="D17" s="165"/>
      <c r="E17" s="166"/>
      <c r="F17" s="119"/>
      <c r="G17" s="119"/>
    </row>
    <row r="18" spans="1:59" ht="18" customHeight="1" x14ac:dyDescent="0.3">
      <c r="A18" s="114" t="s">
        <v>69</v>
      </c>
      <c r="B18" s="104"/>
      <c r="C18" s="119"/>
      <c r="D18" s="167" t="s">
        <v>80</v>
      </c>
      <c r="E18" s="168"/>
      <c r="F18" s="119"/>
      <c r="G18" s="119"/>
    </row>
    <row r="19" spans="1:59" ht="18" customHeight="1" x14ac:dyDescent="0.3">
      <c r="A19" s="114" t="s">
        <v>71</v>
      </c>
      <c r="B19" s="104"/>
      <c r="C19" s="119"/>
      <c r="D19" s="169"/>
      <c r="E19" s="170"/>
      <c r="F19" s="119"/>
      <c r="G19" s="119"/>
    </row>
    <row r="20" spans="1:59" ht="18" customHeight="1" x14ac:dyDescent="0.3">
      <c r="A20" s="114" t="s">
        <v>81</v>
      </c>
      <c r="B20" s="105"/>
      <c r="C20" s="119"/>
      <c r="F20" s="119"/>
      <c r="G20" s="119"/>
    </row>
    <row r="21" spans="1:59" ht="18" customHeight="1" x14ac:dyDescent="0.3">
      <c r="A21" s="114" t="s">
        <v>82</v>
      </c>
      <c r="B21" s="105"/>
      <c r="C21" s="119"/>
      <c r="D21" s="171"/>
      <c r="E21" s="171"/>
      <c r="F21" s="119"/>
      <c r="G21" s="119"/>
    </row>
    <row r="22" spans="1:59" ht="17.399999999999999" x14ac:dyDescent="0.3">
      <c r="A22" s="160" t="s">
        <v>83</v>
      </c>
      <c r="B22" s="160"/>
      <c r="C22" s="160"/>
      <c r="D22" s="171"/>
      <c r="E22" s="171"/>
      <c r="F22" s="119"/>
      <c r="G22" s="119"/>
    </row>
    <row r="23" spans="1:59" ht="15.6" x14ac:dyDescent="0.3">
      <c r="A23" s="125"/>
      <c r="B23" s="128" t="s">
        <v>84</v>
      </c>
      <c r="C23" s="128" t="s">
        <v>85</v>
      </c>
      <c r="D23" s="171"/>
      <c r="E23" s="171"/>
      <c r="F23" s="123"/>
      <c r="G23" s="123"/>
    </row>
    <row r="24" spans="1:59" x14ac:dyDescent="0.3">
      <c r="A24" s="114" t="s">
        <v>86</v>
      </c>
      <c r="B24" s="108"/>
      <c r="C24" s="109"/>
      <c r="D24" s="171"/>
      <c r="E24" s="171"/>
      <c r="F24" s="123"/>
      <c r="G24" s="123"/>
    </row>
    <row r="25" spans="1:59" x14ac:dyDescent="0.3">
      <c r="A25" s="114" t="s">
        <v>87</v>
      </c>
      <c r="B25" s="108"/>
      <c r="C25" s="109"/>
      <c r="D25" s="171"/>
      <c r="E25" s="171"/>
    </row>
    <row r="26" spans="1:59" ht="124.5" customHeight="1" x14ac:dyDescent="0.3">
      <c r="A26" s="140" t="s">
        <v>88</v>
      </c>
      <c r="B26" s="161"/>
      <c r="C26" s="162"/>
      <c r="D26" s="171"/>
      <c r="E26" s="171"/>
    </row>
    <row r="28" spans="1:59" s="125" customFormat="1" ht="15.9" customHeight="1" x14ac:dyDescent="0.3">
      <c r="A28" s="158" t="s">
        <v>89</v>
      </c>
      <c r="B28" s="158"/>
      <c r="C28" s="158"/>
      <c r="D28" s="158"/>
      <c r="E28" s="158"/>
      <c r="F28" s="119"/>
      <c r="G28" s="119"/>
      <c r="H28" s="119"/>
      <c r="BF28" s="136"/>
      <c r="BG28" s="136"/>
    </row>
    <row r="30" spans="1:59" ht="16.2" customHeight="1" x14ac:dyDescent="0.3">
      <c r="D30" s="114" t="s">
        <v>90</v>
      </c>
      <c r="E30" s="105"/>
      <c r="F30" s="141"/>
      <c r="G30" s="138"/>
    </row>
    <row r="31" spans="1:59" s="125" customFormat="1" ht="15.6" x14ac:dyDescent="0.3">
      <c r="A31" s="142"/>
      <c r="B31" s="143"/>
      <c r="C31" s="144"/>
      <c r="D31" s="114" t="s">
        <v>91</v>
      </c>
      <c r="E31" s="124" t="str">
        <f>IFERROR(SLOPE(C34:C45,B34:B45),"")</f>
        <v/>
      </c>
      <c r="G31" s="119"/>
      <c r="H31" s="119"/>
      <c r="BF31" s="136"/>
      <c r="BG31" s="136"/>
    </row>
    <row r="32" spans="1:59" s="125" customFormat="1" ht="15.6" x14ac:dyDescent="0.3">
      <c r="B32" s="128" t="s">
        <v>92</v>
      </c>
      <c r="C32" s="128" t="s">
        <v>93</v>
      </c>
      <c r="D32" s="114" t="s">
        <v>94</v>
      </c>
      <c r="E32" s="126" t="str">
        <f>IFERROR(INTERCEPT(C34:C45,B34:B45),"")</f>
        <v/>
      </c>
      <c r="F32" s="127" t="str">
        <f>IF(OR(F34="-",F34="fail",F35="fail",F36="fail",F37="fail",F38="fail",F39="fail",F40="fail",F41="fail",F42="fail",F43="fail",F44="fail",F45="fail"),"fail","pass")</f>
        <v>fail</v>
      </c>
      <c r="G32" s="119"/>
      <c r="H32" s="119"/>
      <c r="BF32" s="136"/>
      <c r="BG32" s="136"/>
    </row>
    <row r="33" spans="1:59" s="125" customFormat="1" ht="15.6" x14ac:dyDescent="0.3">
      <c r="A33" s="145"/>
      <c r="B33" s="146" t="str">
        <f>CONCATENATE(B8&amp;" ", B9&amp;" ", "SN ",B10)</f>
        <v xml:space="preserve">  SN </v>
      </c>
      <c r="C33" s="146" t="str">
        <f>CONCATENATE(B17&amp;" ",B18, " SN ",B19)</f>
        <v xml:space="preserve">  SN </v>
      </c>
      <c r="D33" s="128" t="s">
        <v>95</v>
      </c>
      <c r="E33" s="128" t="s">
        <v>96</v>
      </c>
      <c r="F33" s="129" t="s">
        <v>97</v>
      </c>
      <c r="G33" s="119"/>
      <c r="H33" s="119"/>
      <c r="BF33" s="136"/>
      <c r="BG33" s="136"/>
    </row>
    <row r="34" spans="1:59" s="125" customFormat="1" x14ac:dyDescent="0.3">
      <c r="A34" s="114" t="s">
        <v>98</v>
      </c>
      <c r="B34" s="109"/>
      <c r="C34" s="109"/>
      <c r="D34" s="130" t="s">
        <v>99</v>
      </c>
      <c r="E34" s="131">
        <f t="shared" ref="E34:E45" si="0">C34-B34</f>
        <v>0</v>
      </c>
      <c r="F34" s="132" t="str">
        <f>IF(OR(B34="",C34=""),"-",(IF((ABS(E34)&lt;1.5),"pass","fail")))</f>
        <v>-</v>
      </c>
      <c r="G34" s="119"/>
      <c r="H34" s="119"/>
      <c r="BF34" s="136"/>
      <c r="BG34" s="136"/>
    </row>
    <row r="35" spans="1:59" s="125" customFormat="1" x14ac:dyDescent="0.3">
      <c r="A35" s="114" t="s">
        <v>100</v>
      </c>
      <c r="B35" s="109"/>
      <c r="C35" s="109"/>
      <c r="D35" s="133" t="str">
        <f>IFERROR(ROUND((C35-B35)/B35,3),"-")</f>
        <v>-</v>
      </c>
      <c r="E35" s="131">
        <f t="shared" si="0"/>
        <v>0</v>
      </c>
      <c r="F35" s="134" t="str">
        <f>IFERROR(IF((OR(AND(B35&lt;50,ABS(E35)&lt;1.5),AND(B35&gt;=50,ABS(D35)&lt;0.031))),"pass","fail"),"-")</f>
        <v>-</v>
      </c>
      <c r="G35" s="147"/>
      <c r="H35" s="119"/>
      <c r="BF35" s="136"/>
      <c r="BG35" s="136"/>
    </row>
    <row r="36" spans="1:59" s="125" customFormat="1" x14ac:dyDescent="0.3">
      <c r="A36" s="114" t="s">
        <v>101</v>
      </c>
      <c r="B36" s="109"/>
      <c r="C36" s="109"/>
      <c r="D36" s="133" t="str">
        <f>(IF(ISERROR((C36-B36)/B36)=TRUE, "-",ROUND((C36-B36)/B36,3)))</f>
        <v>-</v>
      </c>
      <c r="E36" s="131">
        <f t="shared" si="0"/>
        <v>0</v>
      </c>
      <c r="F36" s="134" t="str">
        <f t="shared" ref="F36:F44" si="1">IFERROR(IF((OR(AND(B36&lt;50,ABS(E36)&lt;1.5),AND(B36&gt;=50,ABS(D36)&lt;0.031))),"pass","fail"),"-")</f>
        <v>-</v>
      </c>
      <c r="G36" s="119"/>
      <c r="H36" s="119"/>
      <c r="BF36" s="136"/>
      <c r="BG36" s="136"/>
    </row>
    <row r="37" spans="1:59" s="125" customFormat="1" x14ac:dyDescent="0.3">
      <c r="A37" s="114" t="s">
        <v>102</v>
      </c>
      <c r="B37" s="109"/>
      <c r="C37" s="109"/>
      <c r="D37" s="133" t="str">
        <f t="shared" ref="D37:D44" si="2">(IF(ISERROR((C37-B37)/B37)=TRUE, "-",ROUND((C37-B37)/B37,3)))</f>
        <v>-</v>
      </c>
      <c r="E37" s="131">
        <f t="shared" si="0"/>
        <v>0</v>
      </c>
      <c r="F37" s="134" t="str">
        <f t="shared" si="1"/>
        <v>-</v>
      </c>
      <c r="G37" s="147"/>
      <c r="H37" s="119"/>
      <c r="BF37" s="136"/>
      <c r="BG37" s="136"/>
    </row>
    <row r="38" spans="1:59" s="125" customFormat="1" x14ac:dyDescent="0.3">
      <c r="A38" s="114" t="s">
        <v>103</v>
      </c>
      <c r="B38" s="109"/>
      <c r="C38" s="109"/>
      <c r="D38" s="133" t="str">
        <f t="shared" si="2"/>
        <v>-</v>
      </c>
      <c r="E38" s="131">
        <f t="shared" si="0"/>
        <v>0</v>
      </c>
      <c r="F38" s="134" t="str">
        <f t="shared" si="1"/>
        <v>-</v>
      </c>
      <c r="G38" s="119"/>
      <c r="H38" s="119"/>
      <c r="BF38" s="136"/>
      <c r="BG38" s="136"/>
    </row>
    <row r="39" spans="1:59" s="125" customFormat="1" x14ac:dyDescent="0.3">
      <c r="A39" s="114" t="s">
        <v>104</v>
      </c>
      <c r="B39" s="109"/>
      <c r="C39" s="109"/>
      <c r="D39" s="133" t="str">
        <f t="shared" si="2"/>
        <v>-</v>
      </c>
      <c r="E39" s="131">
        <f t="shared" si="0"/>
        <v>0</v>
      </c>
      <c r="F39" s="134" t="str">
        <f t="shared" si="1"/>
        <v>-</v>
      </c>
      <c r="G39" s="119"/>
      <c r="H39" s="119"/>
      <c r="BF39" s="136"/>
      <c r="BG39" s="136"/>
    </row>
    <row r="40" spans="1:59" s="125" customFormat="1" x14ac:dyDescent="0.3">
      <c r="A40" s="114" t="s">
        <v>105</v>
      </c>
      <c r="B40" s="109"/>
      <c r="C40" s="109"/>
      <c r="D40" s="133" t="str">
        <f t="shared" si="2"/>
        <v>-</v>
      </c>
      <c r="E40" s="131">
        <f t="shared" si="0"/>
        <v>0</v>
      </c>
      <c r="F40" s="134" t="str">
        <f t="shared" si="1"/>
        <v>-</v>
      </c>
      <c r="G40" s="119"/>
      <c r="H40" s="119"/>
      <c r="BF40" s="136"/>
      <c r="BG40" s="136"/>
    </row>
    <row r="41" spans="1:59" s="125" customFormat="1" x14ac:dyDescent="0.3">
      <c r="A41" s="114" t="s">
        <v>106</v>
      </c>
      <c r="B41" s="109"/>
      <c r="C41" s="109"/>
      <c r="D41" s="133" t="str">
        <f t="shared" si="2"/>
        <v>-</v>
      </c>
      <c r="E41" s="131">
        <f t="shared" si="0"/>
        <v>0</v>
      </c>
      <c r="F41" s="134" t="str">
        <f t="shared" si="1"/>
        <v>-</v>
      </c>
      <c r="G41" s="119"/>
      <c r="H41" s="119"/>
      <c r="BF41" s="136"/>
      <c r="BG41" s="136"/>
    </row>
    <row r="42" spans="1:59" s="125" customFormat="1" x14ac:dyDescent="0.3">
      <c r="A42" s="114" t="s">
        <v>107</v>
      </c>
      <c r="B42" s="109"/>
      <c r="C42" s="109"/>
      <c r="D42" s="133" t="str">
        <f t="shared" si="2"/>
        <v>-</v>
      </c>
      <c r="E42" s="131">
        <f t="shared" si="0"/>
        <v>0</v>
      </c>
      <c r="F42" s="134" t="str">
        <f t="shared" si="1"/>
        <v>-</v>
      </c>
      <c r="G42" s="119"/>
      <c r="H42" s="119"/>
      <c r="BF42" s="136"/>
      <c r="BG42" s="136"/>
    </row>
    <row r="43" spans="1:59" s="125" customFormat="1" x14ac:dyDescent="0.3">
      <c r="A43" s="114" t="s">
        <v>108</v>
      </c>
      <c r="B43" s="109"/>
      <c r="C43" s="109"/>
      <c r="D43" s="133" t="str">
        <f t="shared" si="2"/>
        <v>-</v>
      </c>
      <c r="E43" s="131">
        <f t="shared" si="0"/>
        <v>0</v>
      </c>
      <c r="F43" s="134" t="str">
        <f t="shared" si="1"/>
        <v>-</v>
      </c>
      <c r="G43" s="119"/>
      <c r="H43" s="119"/>
      <c r="BF43" s="136"/>
      <c r="BG43" s="136"/>
    </row>
    <row r="44" spans="1:59" s="125" customFormat="1" x14ac:dyDescent="0.3">
      <c r="A44" s="114" t="s">
        <v>109</v>
      </c>
      <c r="B44" s="109"/>
      <c r="C44" s="109"/>
      <c r="D44" s="133" t="str">
        <f t="shared" si="2"/>
        <v>-</v>
      </c>
      <c r="E44" s="131">
        <f t="shared" si="0"/>
        <v>0</v>
      </c>
      <c r="F44" s="134" t="str">
        <f t="shared" si="1"/>
        <v>-</v>
      </c>
      <c r="G44" s="147"/>
      <c r="H44" s="119"/>
      <c r="BF44" s="136"/>
      <c r="BG44" s="136"/>
    </row>
    <row r="45" spans="1:59" s="125" customFormat="1" x14ac:dyDescent="0.3">
      <c r="A45" s="114" t="s">
        <v>98</v>
      </c>
      <c r="B45" s="109"/>
      <c r="C45" s="109"/>
      <c r="D45" s="130" t="s">
        <v>99</v>
      </c>
      <c r="E45" s="131">
        <f t="shared" si="0"/>
        <v>0</v>
      </c>
      <c r="F45" s="132" t="str">
        <f>IF(OR(B45="",C45=""),"-",(IF((ABS(E45)&lt;1.5),"pass","fail")))</f>
        <v>-</v>
      </c>
      <c r="G45" s="119"/>
      <c r="H45" s="119"/>
      <c r="BF45" s="136"/>
      <c r="BG45" s="136"/>
    </row>
    <row r="47" spans="1:59" s="125" customFormat="1" ht="15.9" customHeight="1" x14ac:dyDescent="0.3">
      <c r="A47" s="158" t="s">
        <v>110</v>
      </c>
      <c r="B47" s="158"/>
      <c r="C47" s="158"/>
      <c r="D47" s="158"/>
      <c r="E47" s="158"/>
      <c r="F47" s="119"/>
      <c r="G47" s="119"/>
      <c r="H47" s="119"/>
      <c r="BF47" s="136"/>
      <c r="BG47" s="136"/>
    </row>
    <row r="49" spans="1:59" ht="16.2" customHeight="1" x14ac:dyDescent="0.3">
      <c r="D49" s="114" t="s">
        <v>111</v>
      </c>
      <c r="E49" s="105"/>
    </row>
    <row r="50" spans="1:59" s="125" customFormat="1" ht="15.6" x14ac:dyDescent="0.3">
      <c r="A50" s="142"/>
      <c r="B50" s="143"/>
      <c r="C50" s="144"/>
      <c r="D50" s="114" t="s">
        <v>91</v>
      </c>
      <c r="E50" s="124" t="str">
        <f>IFERROR(SLOPE(C53:C64,B53:B64),"")</f>
        <v/>
      </c>
      <c r="F50" s="148"/>
      <c r="G50" s="119"/>
      <c r="H50" s="119"/>
      <c r="BF50" s="136"/>
      <c r="BG50" s="136"/>
    </row>
    <row r="51" spans="1:59" s="125" customFormat="1" ht="15.6" x14ac:dyDescent="0.3">
      <c r="B51" s="128" t="s">
        <v>92</v>
      </c>
      <c r="C51" s="128" t="s">
        <v>93</v>
      </c>
      <c r="D51" s="114" t="s">
        <v>94</v>
      </c>
      <c r="E51" s="126" t="str">
        <f>IFERROR(INTERCEPT(C53:C64,B53:B64),"")</f>
        <v/>
      </c>
      <c r="F51" s="127" t="str">
        <f>IF(OR(F53="-",F53="fail",F54="fail",F55="fail",F56="fail",F57="fail",F58="fail",F59="fail",F60="fail",F61="fail",F62="fail",F63="fail",F64="fail"),"fail","pass")</f>
        <v>fail</v>
      </c>
      <c r="G51" s="119"/>
      <c r="H51" s="119"/>
      <c r="BF51" s="136"/>
      <c r="BG51" s="136"/>
    </row>
    <row r="52" spans="1:59" s="125" customFormat="1" ht="15.6" x14ac:dyDescent="0.3">
      <c r="A52" s="145"/>
      <c r="B52" s="146" t="str">
        <f>CONCATENATE(B8&amp;" ", B9, " SN ",B10)</f>
        <v xml:space="preserve">  SN </v>
      </c>
      <c r="C52" s="146" t="str">
        <f>CONCATENATE(B17&amp;" ",B18, " SN ",B19)</f>
        <v xml:space="preserve">  SN </v>
      </c>
      <c r="D52" s="128" t="s">
        <v>95</v>
      </c>
      <c r="E52" s="128" t="s">
        <v>96</v>
      </c>
      <c r="F52" s="129" t="s">
        <v>97</v>
      </c>
      <c r="G52" s="119"/>
      <c r="H52" s="119"/>
      <c r="BF52" s="136"/>
      <c r="BG52" s="136"/>
    </row>
    <row r="53" spans="1:59" s="125" customFormat="1" x14ac:dyDescent="0.3">
      <c r="A53" s="114" t="s">
        <v>98</v>
      </c>
      <c r="B53" s="109"/>
      <c r="C53" s="109"/>
      <c r="D53" s="130" t="s">
        <v>99</v>
      </c>
      <c r="E53" s="131">
        <f t="shared" ref="E53:E64" si="3">C53-B53</f>
        <v>0</v>
      </c>
      <c r="F53" s="132" t="str">
        <f>IF(OR(B53="",C53=""),"-",(IF((ABS(E53)&lt;1.5),"pass","fail")))</f>
        <v>-</v>
      </c>
      <c r="G53" s="119"/>
      <c r="H53" s="119"/>
      <c r="BF53" s="136"/>
      <c r="BG53" s="136"/>
    </row>
    <row r="54" spans="1:59" s="125" customFormat="1" x14ac:dyDescent="0.3">
      <c r="A54" s="114" t="s">
        <v>100</v>
      </c>
      <c r="B54" s="109"/>
      <c r="C54" s="109"/>
      <c r="D54" s="133" t="str">
        <f>IFERROR(ROUND((C54-B54)/B54,3),"-")</f>
        <v>-</v>
      </c>
      <c r="E54" s="131">
        <f t="shared" si="3"/>
        <v>0</v>
      </c>
      <c r="F54" s="134" t="str">
        <f>IFERROR(IF((OR(AND(B54&lt;50,ABS(E54)&lt;1.5),AND(B54&gt;=50,ABS(D54)&lt;0.031))),"pass","fail"),"-")</f>
        <v>-</v>
      </c>
      <c r="G54" s="119"/>
      <c r="H54" s="119"/>
      <c r="BF54" s="136"/>
      <c r="BG54" s="136"/>
    </row>
    <row r="55" spans="1:59" s="125" customFormat="1" x14ac:dyDescent="0.3">
      <c r="A55" s="114" t="s">
        <v>101</v>
      </c>
      <c r="B55" s="109"/>
      <c r="C55" s="109"/>
      <c r="D55" s="133" t="str">
        <f>(IF(ISERROR((C55-B55)/B55)=TRUE, "-",ROUND((C55-B55)/B55,3)))</f>
        <v>-</v>
      </c>
      <c r="E55" s="131">
        <f t="shared" si="3"/>
        <v>0</v>
      </c>
      <c r="F55" s="134" t="str">
        <f t="shared" ref="F55:F63" si="4">IFERROR(IF((OR(AND(B55&lt;50,ABS(E55)&lt;1.5),AND(B55&gt;=50,ABS(D55)&lt;0.031))),"pass","fail"),"-")</f>
        <v>-</v>
      </c>
      <c r="G55" s="119"/>
      <c r="H55" s="119"/>
      <c r="BF55" s="136"/>
      <c r="BG55" s="136"/>
    </row>
    <row r="56" spans="1:59" s="125" customFormat="1" x14ac:dyDescent="0.3">
      <c r="A56" s="114" t="s">
        <v>102</v>
      </c>
      <c r="B56" s="109"/>
      <c r="C56" s="109"/>
      <c r="D56" s="133" t="str">
        <f t="shared" ref="D56:D63" si="5">(IF(ISERROR((C56-B56)/B56)=TRUE, "-",ROUND((C56-B56)/B56,3)))</f>
        <v>-</v>
      </c>
      <c r="E56" s="131">
        <f t="shared" si="3"/>
        <v>0</v>
      </c>
      <c r="F56" s="134" t="str">
        <f t="shared" si="4"/>
        <v>-</v>
      </c>
      <c r="G56" s="119"/>
      <c r="H56" s="119"/>
      <c r="BF56" s="136"/>
      <c r="BG56" s="136"/>
    </row>
    <row r="57" spans="1:59" s="125" customFormat="1" x14ac:dyDescent="0.3">
      <c r="A57" s="114" t="s">
        <v>103</v>
      </c>
      <c r="B57" s="109"/>
      <c r="C57" s="109"/>
      <c r="D57" s="133" t="str">
        <f t="shared" si="5"/>
        <v>-</v>
      </c>
      <c r="E57" s="131">
        <f t="shared" si="3"/>
        <v>0</v>
      </c>
      <c r="F57" s="134" t="str">
        <f t="shared" si="4"/>
        <v>-</v>
      </c>
      <c r="G57" s="119"/>
      <c r="H57" s="119"/>
      <c r="BF57" s="136"/>
      <c r="BG57" s="136"/>
    </row>
    <row r="58" spans="1:59" s="125" customFormat="1" x14ac:dyDescent="0.3">
      <c r="A58" s="114" t="s">
        <v>104</v>
      </c>
      <c r="B58" s="109"/>
      <c r="C58" s="109"/>
      <c r="D58" s="133" t="str">
        <f t="shared" si="5"/>
        <v>-</v>
      </c>
      <c r="E58" s="131">
        <f t="shared" si="3"/>
        <v>0</v>
      </c>
      <c r="F58" s="134" t="str">
        <f t="shared" si="4"/>
        <v>-</v>
      </c>
      <c r="G58" s="119"/>
      <c r="H58" s="119"/>
      <c r="BF58" s="136"/>
      <c r="BG58" s="136"/>
    </row>
    <row r="59" spans="1:59" s="125" customFormat="1" x14ac:dyDescent="0.3">
      <c r="A59" s="114" t="s">
        <v>105</v>
      </c>
      <c r="B59" s="109"/>
      <c r="C59" s="109"/>
      <c r="D59" s="133" t="str">
        <f t="shared" si="5"/>
        <v>-</v>
      </c>
      <c r="E59" s="131">
        <f t="shared" si="3"/>
        <v>0</v>
      </c>
      <c r="F59" s="134" t="str">
        <f t="shared" si="4"/>
        <v>-</v>
      </c>
      <c r="G59" s="119"/>
      <c r="H59" s="119"/>
      <c r="BF59" s="136"/>
      <c r="BG59" s="136"/>
    </row>
    <row r="60" spans="1:59" s="125" customFormat="1" x14ac:dyDescent="0.3">
      <c r="A60" s="114" t="s">
        <v>106</v>
      </c>
      <c r="B60" s="109"/>
      <c r="C60" s="109"/>
      <c r="D60" s="133" t="str">
        <f t="shared" si="5"/>
        <v>-</v>
      </c>
      <c r="E60" s="131">
        <f t="shared" si="3"/>
        <v>0</v>
      </c>
      <c r="F60" s="134" t="str">
        <f t="shared" si="4"/>
        <v>-</v>
      </c>
      <c r="G60" s="119"/>
      <c r="H60" s="119"/>
      <c r="BF60" s="136"/>
      <c r="BG60" s="136"/>
    </row>
    <row r="61" spans="1:59" s="125" customFormat="1" x14ac:dyDescent="0.3">
      <c r="A61" s="114" t="s">
        <v>107</v>
      </c>
      <c r="B61" s="109"/>
      <c r="C61" s="109"/>
      <c r="D61" s="133" t="str">
        <f t="shared" si="5"/>
        <v>-</v>
      </c>
      <c r="E61" s="131">
        <f t="shared" si="3"/>
        <v>0</v>
      </c>
      <c r="F61" s="134" t="str">
        <f t="shared" si="4"/>
        <v>-</v>
      </c>
      <c r="G61" s="119"/>
      <c r="H61" s="119"/>
      <c r="BF61" s="136"/>
      <c r="BG61" s="136"/>
    </row>
    <row r="62" spans="1:59" s="125" customFormat="1" x14ac:dyDescent="0.3">
      <c r="A62" s="114" t="s">
        <v>108</v>
      </c>
      <c r="B62" s="109"/>
      <c r="C62" s="109"/>
      <c r="D62" s="133" t="str">
        <f t="shared" si="5"/>
        <v>-</v>
      </c>
      <c r="E62" s="131">
        <f t="shared" si="3"/>
        <v>0</v>
      </c>
      <c r="F62" s="134" t="str">
        <f t="shared" si="4"/>
        <v>-</v>
      </c>
      <c r="G62" s="119"/>
      <c r="H62" s="119"/>
      <c r="BF62" s="136"/>
      <c r="BG62" s="136"/>
    </row>
    <row r="63" spans="1:59" s="125" customFormat="1" x14ac:dyDescent="0.3">
      <c r="A63" s="114" t="s">
        <v>109</v>
      </c>
      <c r="B63" s="109"/>
      <c r="C63" s="109"/>
      <c r="D63" s="133" t="str">
        <f t="shared" si="5"/>
        <v>-</v>
      </c>
      <c r="E63" s="131">
        <f t="shared" si="3"/>
        <v>0</v>
      </c>
      <c r="F63" s="134" t="str">
        <f t="shared" si="4"/>
        <v>-</v>
      </c>
      <c r="G63" s="119"/>
      <c r="H63" s="119"/>
      <c r="BF63" s="136"/>
      <c r="BG63" s="136"/>
    </row>
    <row r="64" spans="1:59" s="125" customFormat="1" x14ac:dyDescent="0.3">
      <c r="A64" s="114" t="s">
        <v>98</v>
      </c>
      <c r="B64" s="109"/>
      <c r="C64" s="109"/>
      <c r="D64" s="130" t="s">
        <v>99</v>
      </c>
      <c r="E64" s="131">
        <f t="shared" si="3"/>
        <v>0</v>
      </c>
      <c r="F64" s="132" t="str">
        <f>IF(OR(B64="",C64=""),"-",(IF((ABS(E64)&lt;1.5),"pass","fail")))</f>
        <v>-</v>
      </c>
      <c r="G64" s="119"/>
      <c r="H64" s="119"/>
      <c r="BF64" s="136"/>
      <c r="BG64" s="136"/>
    </row>
    <row r="66" spans="1:6" ht="19.8" x14ac:dyDescent="0.3">
      <c r="A66" s="158" t="s">
        <v>112</v>
      </c>
      <c r="B66" s="158"/>
      <c r="C66" s="158"/>
      <c r="D66" s="158"/>
      <c r="E66" s="158"/>
    </row>
    <row r="68" spans="1:6" ht="16.2" customHeight="1" x14ac:dyDescent="0.3">
      <c r="D68" s="114" t="s">
        <v>113</v>
      </c>
      <c r="E68" s="105"/>
      <c r="F68" s="149"/>
    </row>
    <row r="69" spans="1:6" ht="15.6" x14ac:dyDescent="0.3">
      <c r="A69" s="142"/>
      <c r="B69" s="143"/>
      <c r="C69" s="144"/>
      <c r="D69" s="114" t="s">
        <v>91</v>
      </c>
      <c r="E69" s="124" t="str">
        <f>IFERROR(SLOPE(C72:C83,B72:B83),"")</f>
        <v/>
      </c>
    </row>
    <row r="70" spans="1:6" ht="15.6" x14ac:dyDescent="0.3">
      <c r="A70" s="125"/>
      <c r="B70" s="128" t="s">
        <v>92</v>
      </c>
      <c r="C70" s="128" t="s">
        <v>93</v>
      </c>
      <c r="D70" s="114" t="s">
        <v>94</v>
      </c>
      <c r="E70" s="126" t="str">
        <f>IFERROR(INTERCEPT(C72:C83,B72:B83),"")</f>
        <v/>
      </c>
      <c r="F70" s="127" t="str">
        <f>IF(OR(F72="-",F72="fail",F73="fail",F74="fail",F75="fail",F76="fail",F77="fail",F78="fail",F79="fail",F80="fail",F81="fail",F82="fail",F83="fail"),"fail","pass")</f>
        <v>fail</v>
      </c>
    </row>
    <row r="71" spans="1:6" ht="15.6" x14ac:dyDescent="0.3">
      <c r="A71" s="145"/>
      <c r="B71" s="146" t="str">
        <f>CONCATENATE(B8&amp;" ", B9, " SN ",B10)</f>
        <v xml:space="preserve">  SN </v>
      </c>
      <c r="C71" s="146" t="str">
        <f>CONCATENATE(B17&amp;" ",B18, " SN ",B19)</f>
        <v xml:space="preserve">  SN </v>
      </c>
      <c r="D71" s="128" t="s">
        <v>95</v>
      </c>
      <c r="E71" s="128" t="s">
        <v>96</v>
      </c>
      <c r="F71" s="129" t="s">
        <v>97</v>
      </c>
    </row>
    <row r="72" spans="1:6" x14ac:dyDescent="0.3">
      <c r="A72" s="114" t="s">
        <v>98</v>
      </c>
      <c r="B72" s="109"/>
      <c r="C72" s="109"/>
      <c r="D72" s="130" t="s">
        <v>99</v>
      </c>
      <c r="E72" s="131">
        <f t="shared" ref="E72:E83" si="6">C72-B72</f>
        <v>0</v>
      </c>
      <c r="F72" s="132" t="str">
        <f>IF(OR(B72="",C72=""),"-",(IF((ABS(E72)&lt;1.5),"pass","fail")))</f>
        <v>-</v>
      </c>
    </row>
    <row r="73" spans="1:6" x14ac:dyDescent="0.3">
      <c r="A73" s="114" t="s">
        <v>100</v>
      </c>
      <c r="B73" s="109"/>
      <c r="C73" s="109"/>
      <c r="D73" s="133" t="str">
        <f>IFERROR(ROUND((C73-B73)/B73,3),"-")</f>
        <v>-</v>
      </c>
      <c r="E73" s="131">
        <f t="shared" si="6"/>
        <v>0</v>
      </c>
      <c r="F73" s="134" t="str">
        <f>IFERROR(IF((OR(AND(B73&lt;50,ABS(E73)&lt;1.5),AND(B73&gt;=50,ABS(D73)&lt;0.031))),"pass","fail"),"-")</f>
        <v>-</v>
      </c>
    </row>
    <row r="74" spans="1:6" x14ac:dyDescent="0.3">
      <c r="A74" s="114" t="s">
        <v>101</v>
      </c>
      <c r="B74" s="109"/>
      <c r="C74" s="109"/>
      <c r="D74" s="133" t="str">
        <f>(IF(ISERROR((C74-B74)/B74)=TRUE, "-",ROUND((C74-B74)/B74,3)))</f>
        <v>-</v>
      </c>
      <c r="E74" s="131">
        <f t="shared" si="6"/>
        <v>0</v>
      </c>
      <c r="F74" s="134" t="str">
        <f t="shared" ref="F74:F82" si="7">IFERROR(IF((OR(AND(B74&lt;50,ABS(E74)&lt;1.5),AND(B74&gt;=50,ABS(D74)&lt;0.031))),"pass","fail"),"-")</f>
        <v>-</v>
      </c>
    </row>
    <row r="75" spans="1:6" x14ac:dyDescent="0.3">
      <c r="A75" s="114" t="s">
        <v>102</v>
      </c>
      <c r="B75" s="109"/>
      <c r="C75" s="109"/>
      <c r="D75" s="133" t="str">
        <f t="shared" ref="D75:D82" si="8">(IF(ISERROR((C75-B75)/B75)=TRUE, "-",ROUND((C75-B75)/B75,3)))</f>
        <v>-</v>
      </c>
      <c r="E75" s="131">
        <f t="shared" si="6"/>
        <v>0</v>
      </c>
      <c r="F75" s="134" t="str">
        <f t="shared" si="7"/>
        <v>-</v>
      </c>
    </row>
    <row r="76" spans="1:6" x14ac:dyDescent="0.3">
      <c r="A76" s="114" t="s">
        <v>103</v>
      </c>
      <c r="B76" s="109"/>
      <c r="C76" s="109"/>
      <c r="D76" s="133" t="str">
        <f t="shared" si="8"/>
        <v>-</v>
      </c>
      <c r="E76" s="131">
        <f t="shared" si="6"/>
        <v>0</v>
      </c>
      <c r="F76" s="134" t="str">
        <f t="shared" si="7"/>
        <v>-</v>
      </c>
    </row>
    <row r="77" spans="1:6" x14ac:dyDescent="0.3">
      <c r="A77" s="114" t="s">
        <v>104</v>
      </c>
      <c r="B77" s="109"/>
      <c r="C77" s="109"/>
      <c r="D77" s="133" t="str">
        <f t="shared" si="8"/>
        <v>-</v>
      </c>
      <c r="E77" s="131">
        <f t="shared" si="6"/>
        <v>0</v>
      </c>
      <c r="F77" s="134" t="str">
        <f t="shared" si="7"/>
        <v>-</v>
      </c>
    </row>
    <row r="78" spans="1:6" x14ac:dyDescent="0.3">
      <c r="A78" s="114" t="s">
        <v>105</v>
      </c>
      <c r="B78" s="109"/>
      <c r="C78" s="109"/>
      <c r="D78" s="133" t="str">
        <f t="shared" si="8"/>
        <v>-</v>
      </c>
      <c r="E78" s="131">
        <f t="shared" si="6"/>
        <v>0</v>
      </c>
      <c r="F78" s="134" t="str">
        <f t="shared" si="7"/>
        <v>-</v>
      </c>
    </row>
    <row r="79" spans="1:6" x14ac:dyDescent="0.3">
      <c r="A79" s="114" t="s">
        <v>106</v>
      </c>
      <c r="B79" s="109"/>
      <c r="C79" s="109"/>
      <c r="D79" s="133" t="str">
        <f t="shared" si="8"/>
        <v>-</v>
      </c>
      <c r="E79" s="131">
        <f t="shared" si="6"/>
        <v>0</v>
      </c>
      <c r="F79" s="134" t="str">
        <f t="shared" si="7"/>
        <v>-</v>
      </c>
    </row>
    <row r="80" spans="1:6" x14ac:dyDescent="0.3">
      <c r="A80" s="114" t="s">
        <v>107</v>
      </c>
      <c r="B80" s="109"/>
      <c r="C80" s="109"/>
      <c r="D80" s="133" t="str">
        <f t="shared" si="8"/>
        <v>-</v>
      </c>
      <c r="E80" s="131">
        <f t="shared" si="6"/>
        <v>0</v>
      </c>
      <c r="F80" s="134" t="str">
        <f t="shared" si="7"/>
        <v>-</v>
      </c>
    </row>
    <row r="81" spans="1:6" x14ac:dyDescent="0.3">
      <c r="A81" s="114" t="s">
        <v>108</v>
      </c>
      <c r="B81" s="109"/>
      <c r="C81" s="109"/>
      <c r="D81" s="133" t="str">
        <f t="shared" si="8"/>
        <v>-</v>
      </c>
      <c r="E81" s="131">
        <f t="shared" si="6"/>
        <v>0</v>
      </c>
      <c r="F81" s="134" t="str">
        <f t="shared" si="7"/>
        <v>-</v>
      </c>
    </row>
    <row r="82" spans="1:6" x14ac:dyDescent="0.3">
      <c r="A82" s="114" t="s">
        <v>109</v>
      </c>
      <c r="B82" s="109"/>
      <c r="C82" s="109"/>
      <c r="D82" s="133" t="str">
        <f t="shared" si="8"/>
        <v>-</v>
      </c>
      <c r="E82" s="131">
        <f t="shared" si="6"/>
        <v>0</v>
      </c>
      <c r="F82" s="134" t="str">
        <f t="shared" si="7"/>
        <v>-</v>
      </c>
    </row>
    <row r="83" spans="1:6" x14ac:dyDescent="0.3">
      <c r="A83" s="114" t="s">
        <v>98</v>
      </c>
      <c r="B83" s="109"/>
      <c r="C83" s="109"/>
      <c r="D83" s="130" t="s">
        <v>99</v>
      </c>
      <c r="E83" s="131">
        <f t="shared" si="6"/>
        <v>0</v>
      </c>
      <c r="F83" s="132" t="str">
        <f>IF(OR(B83="",C83=""),"-",(IF((ABS(E83)&lt;1.5),"pass","fail")))</f>
        <v>-</v>
      </c>
    </row>
  </sheetData>
  <sheetProtection algorithmName="SHA-512" hashValue="bgmodMLtFvQjbHjRZKB5kyrt5QRjxRG92r8ss/IuNHnCvkP9wxpcvcSsRVn0sRmzYKX7oSOu4KJmG8qxTEGKEA==" saltValue="p0ts3JlFfkcxHqakrMWTjA==" spinCount="100000" sheet="1" objects="1" scenarios="1"/>
  <dataConsolidate link="1"/>
  <mergeCells count="13">
    <mergeCell ref="A1:E1"/>
    <mergeCell ref="A28:E28"/>
    <mergeCell ref="A47:E47"/>
    <mergeCell ref="A66:E66"/>
    <mergeCell ref="A6:B6"/>
    <mergeCell ref="D2:E2"/>
    <mergeCell ref="A15:B15"/>
    <mergeCell ref="A12:B12"/>
    <mergeCell ref="A22:C22"/>
    <mergeCell ref="B26:C26"/>
    <mergeCell ref="D16:E17"/>
    <mergeCell ref="D18:E19"/>
    <mergeCell ref="D21:E26"/>
  </mergeCells>
  <conditionalFormatting sqref="E3:E9">
    <cfRule type="containsText" dxfId="124" priority="53" operator="containsText" text="error">
      <formula>NOT(ISERROR(SEARCH("error",E3)))</formula>
    </cfRule>
    <cfRule type="containsText" dxfId="123" priority="58" operator="containsText" text="yes or no">
      <formula>NOT(ISERROR(SEARCH("yes or no",E3)))</formula>
    </cfRule>
    <cfRule type="containsText" dxfId="122" priority="59" operator="containsText" text="yes">
      <formula>NOT(ISERROR(SEARCH("yes",E3)))</formula>
    </cfRule>
    <cfRule type="containsText" dxfId="121" priority="60" operator="containsText" text="no">
      <formula>NOT(ISERROR(SEARCH("no",E3)))</formula>
    </cfRule>
    <cfRule type="containsText" dxfId="120" priority="64" operator="containsText" text="pass or fail">
      <formula>NOT(ISERROR(SEARCH("pass or fail",E3)))</formula>
    </cfRule>
    <cfRule type="containsText" dxfId="119" priority="65" operator="containsText" text="pass">
      <formula>NOT(ISERROR(SEARCH("pass",E3)))</formula>
    </cfRule>
    <cfRule type="containsText" dxfId="118" priority="66" operator="containsText" text="fail">
      <formula>NOT(ISERROR(SEARCH("fail",E3)))</formula>
    </cfRule>
  </conditionalFormatting>
  <conditionalFormatting sqref="E4:E9">
    <cfRule type="containsText" dxfId="117" priority="61" operator="containsText" text="pass or fail">
      <formula>NOT(ISERROR(SEARCH("pass or fail",E4)))</formula>
    </cfRule>
    <cfRule type="containsText" dxfId="116" priority="62" operator="containsText" text="pass">
      <formula>NOT(ISERROR(SEARCH("pass",E4)))</formula>
    </cfRule>
    <cfRule type="containsText" dxfId="115" priority="63" operator="containsText" text="fail">
      <formula>NOT(ISERROR(SEARCH("fail",E4)))</formula>
    </cfRule>
  </conditionalFormatting>
  <conditionalFormatting sqref="D3">
    <cfRule type="expression" dxfId="114" priority="57">
      <formula>$E$3="fail"</formula>
    </cfRule>
  </conditionalFormatting>
  <conditionalFormatting sqref="D21:E26">
    <cfRule type="cellIs" dxfId="113" priority="52" operator="equal">
      <formula>"Verification Data Form has already been submitted.  This form is now locked to prevent changes."</formula>
    </cfRule>
  </conditionalFormatting>
  <conditionalFormatting sqref="E10:E11">
    <cfRule type="containsText" dxfId="112" priority="31" operator="containsText" text="error">
      <formula>NOT(ISERROR(SEARCH("error",E10)))</formula>
    </cfRule>
    <cfRule type="containsText" dxfId="111" priority="32" operator="containsText" text="yes or no">
      <formula>NOT(ISERROR(SEARCH("yes or no",E10)))</formula>
    </cfRule>
    <cfRule type="containsText" dxfId="110" priority="33" operator="containsText" text="yes">
      <formula>NOT(ISERROR(SEARCH("yes",E10)))</formula>
    </cfRule>
    <cfRule type="containsText" dxfId="109" priority="34" operator="containsText" text="no">
      <formula>NOT(ISERROR(SEARCH("no",E10)))</formula>
    </cfRule>
    <cfRule type="containsText" dxfId="108" priority="35" operator="containsText" text="pass or fail">
      <formula>NOT(ISERROR(SEARCH("pass or fail",E10)))</formula>
    </cfRule>
    <cfRule type="containsText" dxfId="107" priority="36" operator="containsText" text="pass">
      <formula>NOT(ISERROR(SEARCH("pass",E10)))</formula>
    </cfRule>
    <cfRule type="containsText" dxfId="106" priority="37" operator="containsText" text="fail">
      <formula>NOT(ISERROR(SEARCH("fail",E10)))</formula>
    </cfRule>
  </conditionalFormatting>
  <conditionalFormatting sqref="F32">
    <cfRule type="cellIs" dxfId="105" priority="11" operator="notEqual">
      <formula>"pass"</formula>
    </cfRule>
    <cfRule type="cellIs" dxfId="104" priority="12" operator="equal">
      <formula>"pass"</formula>
    </cfRule>
  </conditionalFormatting>
  <conditionalFormatting sqref="F34:F45">
    <cfRule type="cellIs" dxfId="103" priority="9" operator="equal">
      <formula>"fail"</formula>
    </cfRule>
    <cfRule type="cellIs" dxfId="102" priority="10" operator="equal">
      <formula>"pass"</formula>
    </cfRule>
  </conditionalFormatting>
  <conditionalFormatting sqref="F51">
    <cfRule type="cellIs" dxfId="101" priority="7" operator="notEqual">
      <formula>"pass"</formula>
    </cfRule>
    <cfRule type="cellIs" dxfId="100" priority="8" operator="equal">
      <formula>"pass"</formula>
    </cfRule>
  </conditionalFormatting>
  <conditionalFormatting sqref="F53:F64">
    <cfRule type="cellIs" dxfId="99" priority="5" operator="equal">
      <formula>"fail"</formula>
    </cfRule>
    <cfRule type="cellIs" dxfId="98" priority="6" operator="equal">
      <formula>"pass"</formula>
    </cfRule>
  </conditionalFormatting>
  <conditionalFormatting sqref="F70">
    <cfRule type="cellIs" dxfId="97" priority="3" operator="notEqual">
      <formula>"pass"</formula>
    </cfRule>
    <cfRule type="cellIs" dxfId="96" priority="4" operator="equal">
      <formula>"pass"</formula>
    </cfRule>
  </conditionalFormatting>
  <conditionalFormatting sqref="F72:F83">
    <cfRule type="cellIs" dxfId="95" priority="1" operator="equal">
      <formula>"fail"</formula>
    </cfRule>
    <cfRule type="cellIs" dxfId="94" priority="2" operator="equal">
      <formula>"pass"</formula>
    </cfRule>
  </conditionalFormatting>
  <pageMargins left="0.7" right="0.7" top="0.75" bottom="0.75" header="0.3" footer="0.3"/>
  <pageSetup scale="48" orientation="portrait" r:id="rId1"/>
  <drawing r:id="rId2"/>
  <legacyDrawing r:id="rId3"/>
  <controls>
    <mc:AlternateContent xmlns:mc="http://schemas.openxmlformats.org/markup-compatibility/2006">
      <mc:Choice Requires="x14">
        <control shapeId="4103" r:id="rId4" name="SubmitVerification">
          <controlPr defaultSize="0" print="0" autoLine="0" altText="LARGE BUTTON TO ADD SUMMARY DATA TO SUMMARY SHEET, ARCHIVE DATA, AND LOCK DATA IN THIS FORM.  CREATES PDF WITH SIGNATURE AND DATE LINE" r:id="rId5">
            <anchor moveWithCells="1">
              <from>
                <xdr:col>2</xdr:col>
                <xdr:colOff>2042160</xdr:colOff>
                <xdr:row>14</xdr:row>
                <xdr:rowOff>15240</xdr:rowOff>
              </from>
              <to>
                <xdr:col>5</xdr:col>
                <xdr:colOff>137160</xdr:colOff>
                <xdr:row>19</xdr:row>
                <xdr:rowOff>7620</xdr:rowOff>
              </to>
            </anchor>
          </controlPr>
        </control>
      </mc:Choice>
      <mc:Fallback>
        <control shapeId="4103" r:id="rId4" name="SubmitVerificat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2B2FAF1-502D-446A-A78B-A4D8670FA600}">
          <x14:formula1>
            <xm:f>'TS Role Table'!$A$2:$A$6</xm:f>
          </x14:formula1>
          <xm:sqref>B16 B7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FB7BE-CA94-4781-B9DA-7EE4340A3AC7}">
  <sheetPr codeName="Sheet4">
    <pageSetUpPr fitToPage="1"/>
  </sheetPr>
  <dimension ref="A1:U42"/>
  <sheetViews>
    <sheetView showGridLines="0" zoomScale="60" zoomScaleNormal="60" workbookViewId="0">
      <selection activeCell="F25" sqref="F25"/>
    </sheetView>
  </sheetViews>
  <sheetFormatPr defaultColWidth="9.44140625" defaultRowHeight="14.4" x14ac:dyDescent="0.3"/>
  <cols>
    <col min="1" max="1" width="36.33203125" bestFit="1" customWidth="1"/>
    <col min="2" max="5" width="30.5546875" customWidth="1"/>
    <col min="6" max="6" width="33.44140625" customWidth="1"/>
    <col min="7" max="8" width="19.88671875" customWidth="1"/>
  </cols>
  <sheetData>
    <row r="1" spans="1:21" s="83" customFormat="1" ht="45" customHeight="1" thickBot="1" x14ac:dyDescent="0.35">
      <c r="A1" s="180" t="s">
        <v>114</v>
      </c>
      <c r="B1" s="180"/>
      <c r="C1" s="180"/>
      <c r="D1" s="180"/>
      <c r="E1" s="180"/>
      <c r="F1" s="85"/>
      <c r="G1" s="85"/>
      <c r="H1" s="85"/>
      <c r="I1" s="85"/>
      <c r="J1" s="85"/>
      <c r="U1" s="83" t="s">
        <v>115</v>
      </c>
    </row>
    <row r="2" spans="1:21" ht="18" customHeight="1" thickTop="1" thickBot="1" x14ac:dyDescent="0.35">
      <c r="A2" s="86" t="s">
        <v>55</v>
      </c>
      <c r="B2" s="101"/>
      <c r="D2" s="181" t="s">
        <v>56</v>
      </c>
      <c r="E2" s="181"/>
    </row>
    <row r="3" spans="1:21" ht="18" customHeight="1" thickTop="1" thickBot="1" x14ac:dyDescent="0.35">
      <c r="A3" s="86" t="s">
        <v>57</v>
      </c>
      <c r="B3" s="102"/>
      <c r="D3" s="14" t="s">
        <v>58</v>
      </c>
      <c r="E3" s="11" t="str">
        <f>IFERROR((IF((IF(E4="pass",0,1)+IF(E5="pass",0,1)+IF(E6="pass",0,1)+IF(E7="pass",0,1)+IF(E8="pass",0,1)+IF(E9="pass",0,1)+IF(E10="pass",0,1)+IF(E11="pass",0,1)+IF(E12="pass",0,1))&gt;0,"fail","pass")),"error")</f>
        <v>fail</v>
      </c>
    </row>
    <row r="4" spans="1:21" ht="18" customHeight="1" thickTop="1" thickBot="1" x14ac:dyDescent="0.35">
      <c r="A4" s="86" t="s">
        <v>80</v>
      </c>
      <c r="B4" s="105"/>
      <c r="D4" s="14" t="s">
        <v>60</v>
      </c>
      <c r="E4" s="11" t="str">
        <f>IFERROR(IF((VLOOKUP($B$7,'TS Role Table'!$A$2:$B$6,2,FALSE))&lt;(VLOOKUP($B$16,'TS Role Table'!$A$2:$B$6,2,FALSE)),"pass","fail"),"error")</f>
        <v>error</v>
      </c>
    </row>
    <row r="5" spans="1:21" ht="18" customHeight="1" thickTop="1" thickBot="1" x14ac:dyDescent="0.35">
      <c r="A5" s="86" t="s">
        <v>61</v>
      </c>
      <c r="B5" s="19" t="str">
        <f>IF(Verification!B5="","",Verification!B5)</f>
        <v/>
      </c>
      <c r="D5" s="14" t="s">
        <v>62</v>
      </c>
      <c r="E5" s="11" t="str">
        <f>IFERROR(IF(ISBLANK($B$20)=FALSE,"pass","fail"),"error")</f>
        <v>fail</v>
      </c>
    </row>
    <row r="6" spans="1:21" ht="18" customHeight="1" thickTop="1" thickBot="1" x14ac:dyDescent="0.35">
      <c r="A6" s="181" t="s">
        <v>63</v>
      </c>
      <c r="B6" s="181"/>
      <c r="D6" s="14" t="s">
        <v>64</v>
      </c>
      <c r="E6" s="11" t="str">
        <f>IFERROR(IF(ISBLANK($B$21)=FALSE,"pass","fail"),"error")</f>
        <v>fail</v>
      </c>
    </row>
    <row r="7" spans="1:21" ht="18" customHeight="1" thickTop="1" thickBot="1" x14ac:dyDescent="0.35">
      <c r="A7" s="14" t="s">
        <v>65</v>
      </c>
      <c r="B7" s="102"/>
      <c r="D7" s="14" t="s">
        <v>116</v>
      </c>
      <c r="E7" s="11" t="str">
        <f>IFERROR(IF(B24=Verification!B25,IF(C24=Verification!C25,"pass","fail"),"fail"),"error")</f>
        <v>pass</v>
      </c>
    </row>
    <row r="8" spans="1:21" ht="18" customHeight="1" thickTop="1" thickBot="1" x14ac:dyDescent="0.35">
      <c r="A8" s="14" t="s">
        <v>67</v>
      </c>
      <c r="B8" s="102"/>
      <c r="D8" s="14" t="s">
        <v>66</v>
      </c>
      <c r="E8" s="11" t="str">
        <f>IFERROR(IF(F29="pass","pass","fail"),"error")</f>
        <v>fail</v>
      </c>
    </row>
    <row r="9" spans="1:21" ht="18" customHeight="1" thickTop="1" thickBot="1" x14ac:dyDescent="0.35">
      <c r="A9" s="14" t="s">
        <v>69</v>
      </c>
      <c r="B9" s="104"/>
      <c r="D9" s="14" t="s">
        <v>68</v>
      </c>
      <c r="E9" s="11" t="str">
        <f>IFERROR(IF(AND(E28&gt;0.97,E28&lt;1.03),"pass","fail"),"error")</f>
        <v>fail</v>
      </c>
    </row>
    <row r="10" spans="1:21" ht="18" customHeight="1" thickTop="1" thickBot="1" x14ac:dyDescent="0.35">
      <c r="A10" s="14" t="s">
        <v>71</v>
      </c>
      <c r="B10" s="104"/>
      <c r="D10" s="14" t="s">
        <v>70</v>
      </c>
      <c r="E10" s="11" t="str">
        <f>IFERROR(IF(ABS(E29)&lt;3,"pass","fail"),"error")</f>
        <v>error</v>
      </c>
    </row>
    <row r="11" spans="1:21" ht="18" customHeight="1" thickTop="1" thickBot="1" x14ac:dyDescent="0.35">
      <c r="A11" s="14" t="s">
        <v>73</v>
      </c>
      <c r="B11" s="105"/>
      <c r="D11" s="17" t="s">
        <v>202</v>
      </c>
      <c r="E11" s="11" t="str">
        <f>IFERROR(IF(E28&gt;Summary!E9,(IF(E28&lt;Summary!E8,"pass","fail")),"fail"),"error")</f>
        <v>fail</v>
      </c>
    </row>
    <row r="12" spans="1:21" ht="18" customHeight="1" thickTop="1" thickBot="1" x14ac:dyDescent="0.35">
      <c r="A12" s="177" t="s">
        <v>75</v>
      </c>
      <c r="B12" s="177"/>
      <c r="D12" s="17" t="s">
        <v>203</v>
      </c>
      <c r="E12" s="11" t="str">
        <f>IFERROR(IF(E29&gt;Summary!F9,(IF(E29&lt;Summary!F8,"pass","fail")),"fail"),"error")</f>
        <v>fail</v>
      </c>
    </row>
    <row r="13" spans="1:21" ht="18" customHeight="1" thickTop="1" x14ac:dyDescent="0.3">
      <c r="A13" s="14" t="s">
        <v>76</v>
      </c>
      <c r="B13" s="106"/>
    </row>
    <row r="14" spans="1:21" ht="18" customHeight="1" x14ac:dyDescent="0.3">
      <c r="A14" s="14" t="s">
        <v>77</v>
      </c>
      <c r="B14" s="107"/>
      <c r="D14" s="182" t="s">
        <v>79</v>
      </c>
      <c r="E14" s="183"/>
    </row>
    <row r="15" spans="1:21" ht="18" customHeight="1" x14ac:dyDescent="0.3">
      <c r="A15" s="181" t="s">
        <v>20</v>
      </c>
      <c r="B15" s="181"/>
      <c r="C15" s="87"/>
      <c r="D15" s="184"/>
      <c r="E15" s="185"/>
    </row>
    <row r="16" spans="1:21" ht="18" customHeight="1" x14ac:dyDescent="0.3">
      <c r="A16" s="14" t="s">
        <v>78</v>
      </c>
      <c r="B16" s="104"/>
      <c r="C16" s="83"/>
      <c r="D16" s="172" t="s">
        <v>80</v>
      </c>
      <c r="E16" s="173"/>
    </row>
    <row r="17" spans="1:6" ht="18" customHeight="1" x14ac:dyDescent="0.3">
      <c r="A17" s="14" t="s">
        <v>67</v>
      </c>
      <c r="B17" s="35" t="str">
        <f>IF(Verification!B17="","",Verification!B17)</f>
        <v/>
      </c>
      <c r="C17" s="83"/>
      <c r="D17" s="174"/>
      <c r="E17" s="175"/>
    </row>
    <row r="18" spans="1:6" ht="18" customHeight="1" x14ac:dyDescent="0.3">
      <c r="A18" s="14" t="s">
        <v>69</v>
      </c>
      <c r="B18" s="35" t="str">
        <f>IF(Verification!B18="","",Verification!B18)</f>
        <v/>
      </c>
      <c r="C18" s="83"/>
    </row>
    <row r="19" spans="1:6" ht="18" customHeight="1" x14ac:dyDescent="0.3">
      <c r="A19" s="14" t="s">
        <v>71</v>
      </c>
      <c r="B19" s="35" t="str">
        <f>IF(Verification!B19="","",Verification!B19)</f>
        <v/>
      </c>
      <c r="C19" s="83"/>
      <c r="D19" s="176"/>
      <c r="E19" s="176"/>
    </row>
    <row r="20" spans="1:6" ht="18" customHeight="1" x14ac:dyDescent="0.3">
      <c r="A20" s="14" t="s">
        <v>81</v>
      </c>
      <c r="B20" s="105"/>
      <c r="C20" s="83"/>
      <c r="D20" s="176"/>
      <c r="E20" s="176"/>
    </row>
    <row r="21" spans="1:6" ht="18" customHeight="1" x14ac:dyDescent="0.3">
      <c r="A21" s="14" t="s">
        <v>82</v>
      </c>
      <c r="B21" s="105"/>
      <c r="C21" s="83"/>
      <c r="D21" s="176"/>
      <c r="E21" s="176"/>
    </row>
    <row r="22" spans="1:6" ht="17.100000000000001" customHeight="1" x14ac:dyDescent="0.3">
      <c r="A22" s="177" t="s">
        <v>117</v>
      </c>
      <c r="B22" s="177"/>
      <c r="C22" s="177"/>
      <c r="D22" s="176"/>
      <c r="E22" s="176"/>
    </row>
    <row r="23" spans="1:6" ht="15.6" customHeight="1" x14ac:dyDescent="0.3">
      <c r="A23" s="83"/>
      <c r="B23" s="16" t="s">
        <v>84</v>
      </c>
      <c r="C23" s="16" t="s">
        <v>85</v>
      </c>
      <c r="D23" s="176"/>
      <c r="E23" s="176"/>
    </row>
    <row r="24" spans="1:6" ht="14.4" customHeight="1" x14ac:dyDescent="0.3">
      <c r="A24" s="17" t="s">
        <v>86</v>
      </c>
      <c r="B24" s="108"/>
      <c r="C24" s="109"/>
      <c r="D24" s="176"/>
      <c r="E24" s="176"/>
    </row>
    <row r="25" spans="1:6" ht="124.5" customHeight="1" x14ac:dyDescent="0.3">
      <c r="A25" s="15" t="s">
        <v>88</v>
      </c>
      <c r="B25" s="178"/>
      <c r="C25" s="179"/>
      <c r="D25" s="176"/>
      <c r="E25" s="176"/>
    </row>
    <row r="27" spans="1:6" s="83" customFormat="1" ht="15.9" customHeight="1" x14ac:dyDescent="0.3">
      <c r="A27" s="92" t="s">
        <v>118</v>
      </c>
      <c r="B27" s="92"/>
      <c r="C27" s="92"/>
      <c r="D27" s="92"/>
      <c r="E27" s="92"/>
    </row>
    <row r="28" spans="1:6" s="83" customFormat="1" ht="15.6" x14ac:dyDescent="0.3">
      <c r="A28" s="88"/>
      <c r="B28" s="89"/>
      <c r="C28" s="89"/>
      <c r="D28" s="14" t="s">
        <v>119</v>
      </c>
      <c r="E28" s="12" t="str">
        <f>IFERROR(SLOPE(C31:C42,B31:B42),"")</f>
        <v/>
      </c>
    </row>
    <row r="29" spans="1:6" s="83" customFormat="1" ht="15.6" x14ac:dyDescent="0.3">
      <c r="B29" s="16" t="s">
        <v>92</v>
      </c>
      <c r="C29" s="16" t="s">
        <v>93</v>
      </c>
      <c r="D29" s="14" t="s">
        <v>120</v>
      </c>
      <c r="E29" s="13" t="str">
        <f>IFERROR(INTERCEPT(C31:C42,B31:B42),"")</f>
        <v/>
      </c>
      <c r="F29" s="84" t="str">
        <f>IF(OR(F31="-",F31="fail",F32="fail",F33="fail",F34="fail",F35="fail",F36="fail",F37="fail",F38="fail",F39="fail",F40="fail",F41="fail",F42="fail"),"fail","pass")</f>
        <v>fail</v>
      </c>
    </row>
    <row r="30" spans="1:6" s="83" customFormat="1" ht="15.6" x14ac:dyDescent="0.3">
      <c r="A30" s="90"/>
      <c r="B30" s="10" t="str">
        <f>CONCATENATE(B8&amp;" ", B9, " SN ",B10)</f>
        <v xml:space="preserve">  SN </v>
      </c>
      <c r="C30" s="10" t="str">
        <f>CONCATENATE(B17&amp;" ",B18, " SN ",B19)</f>
        <v xml:space="preserve">  SN </v>
      </c>
      <c r="D30" s="16" t="s">
        <v>95</v>
      </c>
      <c r="E30" s="16" t="s">
        <v>96</v>
      </c>
      <c r="F30" s="91" t="s">
        <v>97</v>
      </c>
    </row>
    <row r="31" spans="1:6" s="83" customFormat="1" x14ac:dyDescent="0.3">
      <c r="A31" s="14" t="s">
        <v>98</v>
      </c>
      <c r="B31" s="109"/>
      <c r="C31" s="109"/>
      <c r="D31" s="9" t="s">
        <v>99</v>
      </c>
      <c r="E31" s="76">
        <f t="shared" ref="E31:E42" si="0">C31-B31</f>
        <v>0</v>
      </c>
      <c r="F31" s="77" t="str">
        <f>IF(OR(B31="",C31=""),"-",(IF((ABS(E31)&lt;1.5),"pass","fail")))</f>
        <v>-</v>
      </c>
    </row>
    <row r="32" spans="1:6" s="83" customFormat="1" x14ac:dyDescent="0.3">
      <c r="A32" s="14" t="s">
        <v>100</v>
      </c>
      <c r="B32" s="109"/>
      <c r="C32" s="109"/>
      <c r="D32" s="34" t="str">
        <f>IFERROR(ROUND((C32-B32)/B32,3),"-")</f>
        <v>-</v>
      </c>
      <c r="E32" s="76">
        <f t="shared" si="0"/>
        <v>0</v>
      </c>
      <c r="F32" s="78" t="str">
        <f>IFERROR(IF((OR(AND(B32&lt;50,ABS(E32)&lt;1.5),AND(B32&gt;=50,ABS(D32)&lt;0.031))),"pass","fail"),"-")</f>
        <v>-</v>
      </c>
    </row>
    <row r="33" spans="1:6" s="83" customFormat="1" x14ac:dyDescent="0.3">
      <c r="A33" s="14" t="s">
        <v>101</v>
      </c>
      <c r="B33" s="109"/>
      <c r="C33" s="109"/>
      <c r="D33" s="34" t="str">
        <f>(IF(ISERROR((C33-B33)/B33)=TRUE, "-",ROUND((C33-B33)/B33,3)))</f>
        <v>-</v>
      </c>
      <c r="E33" s="76">
        <f t="shared" si="0"/>
        <v>0</v>
      </c>
      <c r="F33" s="78" t="str">
        <f t="shared" ref="F33:F41" si="1">IFERROR(IF((OR(AND(B33&lt;50,ABS(E33)&lt;1.5),AND(B33&gt;=50,ABS(D33)&lt;0.031))),"pass","fail"),"-")</f>
        <v>-</v>
      </c>
    </row>
    <row r="34" spans="1:6" s="83" customFormat="1" x14ac:dyDescent="0.3">
      <c r="A34" s="14" t="s">
        <v>102</v>
      </c>
      <c r="B34" s="109"/>
      <c r="C34" s="109"/>
      <c r="D34" s="34" t="str">
        <f t="shared" ref="D34:D41" si="2">(IF(ISERROR((C34-B34)/B34)=TRUE, "-",ROUND((C34-B34)/B34,3)))</f>
        <v>-</v>
      </c>
      <c r="E34" s="76">
        <f t="shared" si="0"/>
        <v>0</v>
      </c>
      <c r="F34" s="78" t="str">
        <f t="shared" si="1"/>
        <v>-</v>
      </c>
    </row>
    <row r="35" spans="1:6" s="83" customFormat="1" x14ac:dyDescent="0.3">
      <c r="A35" s="14" t="s">
        <v>103</v>
      </c>
      <c r="B35" s="109"/>
      <c r="C35" s="109"/>
      <c r="D35" s="34" t="str">
        <f t="shared" si="2"/>
        <v>-</v>
      </c>
      <c r="E35" s="76">
        <f t="shared" si="0"/>
        <v>0</v>
      </c>
      <c r="F35" s="78" t="str">
        <f t="shared" si="1"/>
        <v>-</v>
      </c>
    </row>
    <row r="36" spans="1:6" s="83" customFormat="1" x14ac:dyDescent="0.3">
      <c r="A36" s="14" t="s">
        <v>104</v>
      </c>
      <c r="B36" s="109"/>
      <c r="C36" s="109"/>
      <c r="D36" s="34" t="str">
        <f t="shared" si="2"/>
        <v>-</v>
      </c>
      <c r="E36" s="76">
        <f t="shared" si="0"/>
        <v>0</v>
      </c>
      <c r="F36" s="78" t="str">
        <f t="shared" si="1"/>
        <v>-</v>
      </c>
    </row>
    <row r="37" spans="1:6" s="83" customFormat="1" x14ac:dyDescent="0.3">
      <c r="A37" s="14" t="s">
        <v>105</v>
      </c>
      <c r="B37" s="109"/>
      <c r="C37" s="109"/>
      <c r="D37" s="34" t="str">
        <f t="shared" si="2"/>
        <v>-</v>
      </c>
      <c r="E37" s="76">
        <f t="shared" si="0"/>
        <v>0</v>
      </c>
      <c r="F37" s="78" t="str">
        <f t="shared" si="1"/>
        <v>-</v>
      </c>
    </row>
    <row r="38" spans="1:6" s="83" customFormat="1" x14ac:dyDescent="0.3">
      <c r="A38" s="14" t="s">
        <v>106</v>
      </c>
      <c r="B38" s="109"/>
      <c r="C38" s="109"/>
      <c r="D38" s="34" t="str">
        <f t="shared" si="2"/>
        <v>-</v>
      </c>
      <c r="E38" s="76">
        <f t="shared" si="0"/>
        <v>0</v>
      </c>
      <c r="F38" s="78" t="str">
        <f t="shared" si="1"/>
        <v>-</v>
      </c>
    </row>
    <row r="39" spans="1:6" s="83" customFormat="1" x14ac:dyDescent="0.3">
      <c r="A39" s="14" t="s">
        <v>107</v>
      </c>
      <c r="B39" s="109"/>
      <c r="C39" s="109"/>
      <c r="D39" s="34" t="str">
        <f t="shared" si="2"/>
        <v>-</v>
      </c>
      <c r="E39" s="76">
        <f t="shared" si="0"/>
        <v>0</v>
      </c>
      <c r="F39" s="78" t="str">
        <f t="shared" si="1"/>
        <v>-</v>
      </c>
    </row>
    <row r="40" spans="1:6" s="83" customFormat="1" x14ac:dyDescent="0.3">
      <c r="A40" s="14" t="s">
        <v>108</v>
      </c>
      <c r="B40" s="109"/>
      <c r="C40" s="109"/>
      <c r="D40" s="34" t="str">
        <f t="shared" si="2"/>
        <v>-</v>
      </c>
      <c r="E40" s="76">
        <f t="shared" si="0"/>
        <v>0</v>
      </c>
      <c r="F40" s="78" t="str">
        <f t="shared" si="1"/>
        <v>-</v>
      </c>
    </row>
    <row r="41" spans="1:6" s="83" customFormat="1" x14ac:dyDescent="0.3">
      <c r="A41" s="14" t="s">
        <v>109</v>
      </c>
      <c r="B41" s="109"/>
      <c r="C41" s="109"/>
      <c r="D41" s="34" t="str">
        <f t="shared" si="2"/>
        <v>-</v>
      </c>
      <c r="E41" s="76">
        <f t="shared" si="0"/>
        <v>0</v>
      </c>
      <c r="F41" s="78" t="str">
        <f t="shared" si="1"/>
        <v>-</v>
      </c>
    </row>
    <row r="42" spans="1:6" s="83" customFormat="1" x14ac:dyDescent="0.3">
      <c r="A42" s="14" t="s">
        <v>98</v>
      </c>
      <c r="B42" s="109"/>
      <c r="C42" s="109"/>
      <c r="D42" s="9" t="s">
        <v>99</v>
      </c>
      <c r="E42" s="76">
        <f t="shared" si="0"/>
        <v>0</v>
      </c>
      <c r="F42" s="77" t="str">
        <f>IF(OR(B42="",C42=""),"-",(IF((ABS(E42)&lt;1.5),"pass","fail")))</f>
        <v>-</v>
      </c>
    </row>
  </sheetData>
  <sheetProtection algorithmName="SHA-512" hashValue="EiYlzbTXtpNdPdIU/hFkzt08++RjqQol1zGg13ugNy1qlWRWdckV6ofaEOdXmX62wEwPdUrnZpT/janw5oJTDQ==" saltValue="llh4bDjHK2rwz5QkvfDNjw==" spinCount="100000" sheet="1" objects="1" scenarios="1"/>
  <mergeCells count="10">
    <mergeCell ref="D16:E17"/>
    <mergeCell ref="D19:E25"/>
    <mergeCell ref="A22:C22"/>
    <mergeCell ref="B25:C25"/>
    <mergeCell ref="A1:E1"/>
    <mergeCell ref="D2:E2"/>
    <mergeCell ref="A6:B6"/>
    <mergeCell ref="A12:B12"/>
    <mergeCell ref="D14:E15"/>
    <mergeCell ref="A15:B15"/>
  </mergeCells>
  <conditionalFormatting sqref="E3 E7 E11:E12">
    <cfRule type="containsText" dxfId="93" priority="41" operator="containsText" text="yes or no">
      <formula>NOT(ISERROR(SEARCH("yes or no",E3)))</formula>
    </cfRule>
    <cfRule type="containsText" dxfId="92" priority="42" operator="containsText" text="yes">
      <formula>NOT(ISERROR(SEARCH("yes",E3)))</formula>
    </cfRule>
    <cfRule type="containsText" dxfId="91" priority="43" operator="containsText" text="no">
      <formula>NOT(ISERROR(SEARCH("no",E3)))</formula>
    </cfRule>
    <cfRule type="containsText" dxfId="90" priority="44" operator="containsText" text="pass or fail">
      <formula>NOT(ISERROR(SEARCH("pass or fail",E3)))</formula>
    </cfRule>
    <cfRule type="containsText" dxfId="89" priority="45" operator="containsText" text="pass">
      <formula>NOT(ISERROR(SEARCH("pass",E3)))</formula>
    </cfRule>
    <cfRule type="containsText" dxfId="88" priority="46" operator="containsText" text="fail">
      <formula>NOT(ISERROR(SEARCH("fail",E3)))</formula>
    </cfRule>
  </conditionalFormatting>
  <conditionalFormatting sqref="D3">
    <cfRule type="expression" dxfId="87" priority="40">
      <formula>$E$3="fail"</formula>
    </cfRule>
  </conditionalFormatting>
  <conditionalFormatting sqref="E4:E6">
    <cfRule type="containsText" dxfId="86" priority="31" operator="containsText" text="yes or no">
      <formula>NOT(ISERROR(SEARCH("yes or no",E4)))</formula>
    </cfRule>
    <cfRule type="containsText" dxfId="85" priority="32" operator="containsText" text="yes">
      <formula>NOT(ISERROR(SEARCH("yes",E4)))</formula>
    </cfRule>
    <cfRule type="containsText" dxfId="84" priority="33" operator="containsText" text="no">
      <formula>NOT(ISERROR(SEARCH("no",E4)))</formula>
    </cfRule>
    <cfRule type="containsText" dxfId="83" priority="37" operator="containsText" text="pass or fail">
      <formula>NOT(ISERROR(SEARCH("pass or fail",E4)))</formula>
    </cfRule>
    <cfRule type="containsText" dxfId="82" priority="38" operator="containsText" text="pass">
      <formula>NOT(ISERROR(SEARCH("pass",E4)))</formula>
    </cfRule>
    <cfRule type="containsText" dxfId="81" priority="39" operator="containsText" text="fail">
      <formula>NOT(ISERROR(SEARCH("fail",E4)))</formula>
    </cfRule>
  </conditionalFormatting>
  <conditionalFormatting sqref="E4:E6">
    <cfRule type="containsText" dxfId="80" priority="34" operator="containsText" text="pass or fail">
      <formula>NOT(ISERROR(SEARCH("pass or fail",E4)))</formula>
    </cfRule>
    <cfRule type="containsText" dxfId="79" priority="35" operator="containsText" text="pass">
      <formula>NOT(ISERROR(SEARCH("pass",E4)))</formula>
    </cfRule>
    <cfRule type="containsText" dxfId="78" priority="36" operator="containsText" text="fail">
      <formula>NOT(ISERROR(SEARCH("fail",E4)))</formula>
    </cfRule>
  </conditionalFormatting>
  <conditionalFormatting sqref="E3:E7 E11:E12">
    <cfRule type="cellIs" dxfId="77" priority="30" operator="equal">
      <formula>"error"</formula>
    </cfRule>
  </conditionalFormatting>
  <conditionalFormatting sqref="D19:E25">
    <cfRule type="containsText" dxfId="76" priority="25" operator="containsText" text="Verification Form must be submitted for the Reverification form to be unlocked.">
      <formula>NOT(ISERROR(SEARCH("Verification Form must be submitted for the Reverification form to be unlocked.",D19)))</formula>
    </cfRule>
  </conditionalFormatting>
  <conditionalFormatting sqref="E8:E10">
    <cfRule type="containsText" dxfId="75" priority="15" operator="containsText" text="error">
      <formula>NOT(ISERROR(SEARCH("error",E8)))</formula>
    </cfRule>
    <cfRule type="containsText" dxfId="74" priority="16" operator="containsText" text="yes or no">
      <formula>NOT(ISERROR(SEARCH("yes or no",E8)))</formula>
    </cfRule>
    <cfRule type="containsText" dxfId="73" priority="17" operator="containsText" text="yes">
      <formula>NOT(ISERROR(SEARCH("yes",E8)))</formula>
    </cfRule>
    <cfRule type="containsText" dxfId="72" priority="18" operator="containsText" text="no">
      <formula>NOT(ISERROR(SEARCH("no",E8)))</formula>
    </cfRule>
    <cfRule type="containsText" dxfId="71" priority="22" operator="containsText" text="pass or fail">
      <formula>NOT(ISERROR(SEARCH("pass or fail",E8)))</formula>
    </cfRule>
    <cfRule type="containsText" dxfId="70" priority="23" operator="containsText" text="pass">
      <formula>NOT(ISERROR(SEARCH("pass",E8)))</formula>
    </cfRule>
    <cfRule type="containsText" dxfId="69" priority="24" operator="containsText" text="fail">
      <formula>NOT(ISERROR(SEARCH("fail",E8)))</formula>
    </cfRule>
  </conditionalFormatting>
  <conditionalFormatting sqref="E8:E10">
    <cfRule type="containsText" dxfId="68" priority="19" operator="containsText" text="pass or fail">
      <formula>NOT(ISERROR(SEARCH("pass or fail",E8)))</formula>
    </cfRule>
    <cfRule type="containsText" dxfId="67" priority="20" operator="containsText" text="pass">
      <formula>NOT(ISERROR(SEARCH("pass",E8)))</formula>
    </cfRule>
    <cfRule type="containsText" dxfId="66" priority="21" operator="containsText" text="fail">
      <formula>NOT(ISERROR(SEARCH("fail",E8)))</formula>
    </cfRule>
  </conditionalFormatting>
  <conditionalFormatting sqref="F29">
    <cfRule type="cellIs" dxfId="65" priority="3" operator="notEqual">
      <formula>"pass"</formula>
    </cfRule>
    <cfRule type="cellIs" dxfId="64" priority="4" operator="equal">
      <formula>"pass"</formula>
    </cfRule>
  </conditionalFormatting>
  <conditionalFormatting sqref="F31:F42">
    <cfRule type="cellIs" dxfId="63" priority="1" operator="equal">
      <formula>"fail"</formula>
    </cfRule>
    <cfRule type="cellIs" dxfId="62" priority="2" operator="equal">
      <formula>"pass"</formula>
    </cfRule>
  </conditionalFormatting>
  <pageMargins left="0.7" right="0.7" top="0.75" bottom="0.75" header="0.3" footer="0.3"/>
  <pageSetup scale="57" orientation="portrait" horizontalDpi="1200" verticalDpi="1200" r:id="rId1"/>
  <drawing r:id="rId2"/>
  <legacyDrawing r:id="rId3"/>
  <controls>
    <mc:AlternateContent xmlns:mc="http://schemas.openxmlformats.org/markup-compatibility/2006">
      <mc:Choice Requires="x14">
        <control shapeId="10241" r:id="rId4" name="SubmitReverification">
          <controlPr defaultSize="0" print="0" autoFill="0" autoLine="0" altText="LARGE BUTTON TO ADD SUMMARY DATA TO SUMMARY SHEET, ARCHIVE DATA, AND CLEAR DATA IN THIS FORM.  CREATE PDF WITH SIGNATURE AND DATE LINE" r:id="rId5">
            <anchor moveWithCells="1">
              <from>
                <xdr:col>2</xdr:col>
                <xdr:colOff>1950720</xdr:colOff>
                <xdr:row>12</xdr:row>
                <xdr:rowOff>198120</xdr:rowOff>
              </from>
              <to>
                <xdr:col>5</xdr:col>
                <xdr:colOff>266700</xdr:colOff>
                <xdr:row>17</xdr:row>
                <xdr:rowOff>190500</xdr:rowOff>
              </to>
            </anchor>
          </controlPr>
        </control>
      </mc:Choice>
      <mc:Fallback>
        <control shapeId="10241" r:id="rId4" name="SubmitReverificat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ABC6E1B7-8AF4-4DE5-A908-3221946B6723}">
          <x14:formula1>
            <xm:f>'TS Role Table'!$A$2:$A$6</xm:f>
          </x14:formula1>
          <xm:sqref>B16 B7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0C284-B1A9-402C-AA7F-0422FAC3E900}">
  <sheetPr codeName="Sheet10"/>
  <dimension ref="A1:BY1192"/>
  <sheetViews>
    <sheetView topLeftCell="AR1" workbookViewId="0">
      <selection activeCell="AW2" sqref="AW2"/>
    </sheetView>
  </sheetViews>
  <sheetFormatPr defaultRowHeight="14.4" x14ac:dyDescent="0.3"/>
  <cols>
    <col min="1" max="1" width="11.21875" style="58" customWidth="1"/>
    <col min="2" max="2" width="17" style="58" customWidth="1"/>
    <col min="3" max="3" width="13.77734375" style="58" customWidth="1"/>
    <col min="4" max="4" width="11.6640625" style="59" customWidth="1"/>
    <col min="5" max="5" width="16" style="58" customWidth="1"/>
    <col min="6" max="6" width="10.109375" style="58" bestFit="1" customWidth="1"/>
    <col min="7" max="7" width="11.33203125" style="58" customWidth="1"/>
    <col min="8" max="8" width="17.5546875" style="58" customWidth="1"/>
    <col min="9" max="9" width="12.88671875" style="59" bestFit="1" customWidth="1"/>
    <col min="10" max="10" width="11.109375" style="60" bestFit="1" customWidth="1"/>
    <col min="11" max="11" width="11.109375" style="61" bestFit="1" customWidth="1"/>
    <col min="12" max="12" width="12.33203125" style="58" customWidth="1"/>
    <col min="13" max="13" width="10.109375" style="58" customWidth="1"/>
    <col min="14" max="14" width="11.33203125" style="58" customWidth="1"/>
    <col min="15" max="15" width="17.5546875" style="62" customWidth="1"/>
    <col min="16" max="16" width="12.109375" style="59" bestFit="1" customWidth="1"/>
    <col min="17" max="17" width="16" style="59" customWidth="1"/>
    <col min="18" max="21" width="14.77734375" style="60" customWidth="1"/>
    <col min="22" max="22" width="15.21875" style="44" customWidth="1"/>
    <col min="23" max="23" width="21.77734375" style="58" customWidth="1"/>
    <col min="24" max="47" width="11.88671875" style="57" customWidth="1"/>
    <col min="48" max="48" width="14.109375" style="43" customWidth="1"/>
    <col min="49" max="49" width="12" style="58" customWidth="1"/>
    <col min="50" max="50" width="13.21875" style="58" customWidth="1"/>
    <col min="51" max="53" width="19.33203125" customWidth="1"/>
    <col min="55" max="56" width="13.5546875" style="24" customWidth="1"/>
    <col min="57" max="57" width="19.109375" style="24" customWidth="1"/>
    <col min="58" max="58" width="8.6640625" style="27" customWidth="1"/>
    <col min="59" max="60" width="8.6640625" hidden="1" customWidth="1"/>
    <col min="61" max="61" width="13.5546875" style="24" hidden="1" customWidth="1"/>
    <col min="62" max="62" width="10.109375" style="81" hidden="1" customWidth="1"/>
    <col min="63" max="66" width="8.88671875" style="58"/>
    <col min="67" max="68" width="12.5546875" style="67" customWidth="1"/>
    <col min="69" max="70" width="8.6640625" style="72" customWidth="1"/>
    <col min="71" max="71" width="12.5546875" style="73" customWidth="1"/>
    <col min="72" max="73" width="8.6640625" style="73" customWidth="1"/>
    <col min="74" max="74" width="8.6640625" style="66"/>
    <col min="75" max="77" width="8.6640625" style="64"/>
  </cols>
  <sheetData>
    <row r="1" spans="1:77" s="21" customFormat="1" ht="117" customHeight="1" x14ac:dyDescent="0.3">
      <c r="A1" s="44" t="s">
        <v>121</v>
      </c>
      <c r="B1" s="44" t="s">
        <v>122</v>
      </c>
      <c r="C1" s="44" t="s">
        <v>123</v>
      </c>
      <c r="D1" s="45" t="s">
        <v>124</v>
      </c>
      <c r="E1" s="44" t="s">
        <v>125</v>
      </c>
      <c r="F1" s="44" t="s">
        <v>126</v>
      </c>
      <c r="G1" s="44" t="s">
        <v>127</v>
      </c>
      <c r="H1" s="44" t="s">
        <v>128</v>
      </c>
      <c r="I1" s="45" t="s">
        <v>129</v>
      </c>
      <c r="J1" s="46" t="s">
        <v>130</v>
      </c>
      <c r="K1" s="47" t="s">
        <v>131</v>
      </c>
      <c r="L1" s="44" t="s">
        <v>197</v>
      </c>
      <c r="M1" s="44" t="s">
        <v>199</v>
      </c>
      <c r="N1" s="44" t="s">
        <v>132</v>
      </c>
      <c r="O1" s="48" t="s">
        <v>198</v>
      </c>
      <c r="P1" s="45" t="s">
        <v>133</v>
      </c>
      <c r="Q1" s="45" t="s">
        <v>134</v>
      </c>
      <c r="R1" s="46" t="s">
        <v>135</v>
      </c>
      <c r="S1" s="46" t="s">
        <v>136</v>
      </c>
      <c r="T1" s="46" t="s">
        <v>137</v>
      </c>
      <c r="U1" s="46" t="s">
        <v>138</v>
      </c>
      <c r="V1" s="44" t="s">
        <v>139</v>
      </c>
      <c r="W1" s="44" t="s">
        <v>140</v>
      </c>
      <c r="X1" s="49" t="s">
        <v>141</v>
      </c>
      <c r="Y1" s="49" t="s">
        <v>142</v>
      </c>
      <c r="Z1" s="49" t="s">
        <v>143</v>
      </c>
      <c r="AA1" s="49" t="s">
        <v>144</v>
      </c>
      <c r="AB1" s="49" t="s">
        <v>145</v>
      </c>
      <c r="AC1" s="49" t="s">
        <v>146</v>
      </c>
      <c r="AD1" s="49" t="s">
        <v>147</v>
      </c>
      <c r="AE1" s="49" t="s">
        <v>148</v>
      </c>
      <c r="AF1" s="49" t="s">
        <v>149</v>
      </c>
      <c r="AG1" s="49" t="s">
        <v>150</v>
      </c>
      <c r="AH1" s="49" t="s">
        <v>151</v>
      </c>
      <c r="AI1" s="49" t="s">
        <v>152</v>
      </c>
      <c r="AJ1" s="49" t="s">
        <v>153</v>
      </c>
      <c r="AK1" s="49" t="s">
        <v>154</v>
      </c>
      <c r="AL1" s="49" t="s">
        <v>155</v>
      </c>
      <c r="AM1" s="49" t="s">
        <v>156</v>
      </c>
      <c r="AN1" s="49" t="s">
        <v>157</v>
      </c>
      <c r="AO1" s="49" t="s">
        <v>158</v>
      </c>
      <c r="AP1" s="49" t="s">
        <v>159</v>
      </c>
      <c r="AQ1" s="49" t="s">
        <v>160</v>
      </c>
      <c r="AR1" s="49" t="s">
        <v>161</v>
      </c>
      <c r="AS1" s="49" t="s">
        <v>162</v>
      </c>
      <c r="AT1" s="49" t="s">
        <v>163</v>
      </c>
      <c r="AU1" s="49" t="s">
        <v>164</v>
      </c>
      <c r="AV1" s="50" t="s">
        <v>165</v>
      </c>
      <c r="AW1" s="44" t="s">
        <v>119</v>
      </c>
      <c r="AX1" s="44" t="s">
        <v>120</v>
      </c>
      <c r="AY1" s="25" t="s">
        <v>166</v>
      </c>
      <c r="AZ1" s="25" t="s">
        <v>167</v>
      </c>
      <c r="BA1" s="25" t="s">
        <v>168</v>
      </c>
      <c r="BB1" s="28" t="s">
        <v>169</v>
      </c>
      <c r="BC1" s="23" t="s">
        <v>170</v>
      </c>
      <c r="BD1" s="23" t="s">
        <v>171</v>
      </c>
      <c r="BE1" s="25" t="s">
        <v>172</v>
      </c>
      <c r="BF1" s="79" t="s">
        <v>173</v>
      </c>
      <c r="BG1" s="82" t="s">
        <v>174</v>
      </c>
      <c r="BH1" s="82" t="s">
        <v>175</v>
      </c>
      <c r="BI1" s="82" t="s">
        <v>176</v>
      </c>
      <c r="BJ1" s="82" t="s">
        <v>177</v>
      </c>
      <c r="BK1" s="68" t="s">
        <v>165</v>
      </c>
      <c r="BL1" s="68" t="s">
        <v>178</v>
      </c>
      <c r="BM1" s="69" t="s">
        <v>33</v>
      </c>
      <c r="BN1" s="69"/>
      <c r="BO1" s="70" t="s">
        <v>178</v>
      </c>
      <c r="BP1" s="71" t="s">
        <v>33</v>
      </c>
      <c r="BQ1" s="71"/>
      <c r="BR1" s="65"/>
      <c r="BS1" s="63"/>
      <c r="BT1" s="63"/>
      <c r="BU1" s="63"/>
    </row>
    <row r="2" spans="1:77" x14ac:dyDescent="0.3">
      <c r="A2" s="51" t="str">
        <f>IF(IF(W2="Cycle 1 Verification Data",BA2+0.1,(IF(W2="Cycle 2 Verification Data",BA2+0.2,(IF(W2="Cycle 3 Verification Data",BA2+0.3,BA2)))))="","",(IF(W2="Cycle 1 Verification Data",BA2+0.1,(IF(W2="Cycle 2 Verification Data",BA2+0.2,(IF(W2="Cycle 3 Verification Data",BA2+0.3,BA2+0.3+BF2)))))))</f>
        <v/>
      </c>
      <c r="B2" s="52"/>
      <c r="C2" s="52"/>
      <c r="D2" s="53"/>
      <c r="E2" s="52"/>
      <c r="F2" s="52"/>
      <c r="G2" s="52"/>
      <c r="H2" s="52"/>
      <c r="I2" s="53"/>
      <c r="J2" s="54"/>
      <c r="K2" s="55"/>
      <c r="L2" s="52"/>
      <c r="M2" s="52"/>
      <c r="N2" s="52"/>
      <c r="O2" s="56"/>
      <c r="P2" s="53"/>
      <c r="Q2" s="53"/>
      <c r="R2" s="54"/>
      <c r="S2" s="54"/>
      <c r="T2" s="54"/>
      <c r="U2" s="54"/>
      <c r="W2" s="52"/>
      <c r="X2" s="51"/>
      <c r="Y2" s="51"/>
      <c r="Z2" s="51"/>
      <c r="AA2" s="51"/>
      <c r="AB2" s="51"/>
      <c r="AC2" s="51"/>
      <c r="AD2" s="51"/>
      <c r="AE2" s="51"/>
      <c r="AF2" s="51"/>
      <c r="AG2" s="51"/>
      <c r="AH2" s="51"/>
      <c r="AI2" s="51"/>
      <c r="AJ2" s="51"/>
      <c r="AK2" s="51"/>
      <c r="AL2" s="51"/>
      <c r="AM2" s="51"/>
      <c r="AN2" s="51"/>
      <c r="AO2" s="51"/>
      <c r="AP2" s="51"/>
      <c r="AQ2" s="51"/>
      <c r="AR2" s="51"/>
      <c r="AS2" s="51"/>
      <c r="AT2" s="51"/>
      <c r="AU2" s="51"/>
      <c r="AW2" s="51"/>
      <c r="AX2" s="51"/>
      <c r="AY2" s="42" t="str">
        <f>IFERROR(IF(BB2&gt;3000,BB2,IF(ISBLANK(AV2)=TRUE,"",DATE(BB2,BC2,BD2))),0)</f>
        <v/>
      </c>
      <c r="AZ2" s="42" t="str">
        <f>IFERROR(IF(BD2&gt;3000,BD2,IF(ISBLANK(AV2)=TRUE,"",DATE(BD2,BC2,BB2))),0)</f>
        <v/>
      </c>
      <c r="BA2" s="42" t="str">
        <f t="shared" ref="BA2" si="0">IF(AZ2&gt;AY2,AZ2,AY2)</f>
        <v/>
      </c>
      <c r="BB2" s="26">
        <f t="shared" ref="BB2" si="1">BO2</f>
        <v>0</v>
      </c>
      <c r="BC2" s="29">
        <f t="shared" ref="BC2" si="2">BP2</f>
        <v>0</v>
      </c>
      <c r="BD2" s="29">
        <f t="shared" ref="BD2" si="3">BQ2</f>
        <v>0</v>
      </c>
      <c r="BE2" s="42" t="str">
        <f>IF(BO2&gt;3000,BO2,"No")</f>
        <v>No</v>
      </c>
      <c r="BF2" s="80">
        <f>BF1+0.01</f>
        <v>0.01</v>
      </c>
      <c r="BG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#NUM!</v>
      </c>
      <c r="BH2" s="29" t="e">
        <f>BG2/DEVSQ(Archive[[#This Row],[Higher Level Standard - Zero 1]:[Higher Level Standard - Zero 2]])</f>
        <v>#NUM!</v>
      </c>
      <c r="BI2" s="29" t="e">
        <f>BG2*(1/COUNT(Archive[[#This Row],[Candidate Transfer Standard - Zero 1]:[Candidate Transfer Standard - Zero 2]])+AVERAGE(Archive[[#This Row],[Higher Level Standard - Zero 1]:[Higher Level Standard - Zero 2]])^2/DEVSQ(Archive[[#This Row],[Higher Level Standard - Zero 1]:[Higher Level Standard - Zero 2]]))</f>
        <v>#NUM!</v>
      </c>
      <c r="BJ2" s="29">
        <f>COUNT(Archive[[#This Row],[Candidate Transfer Standard - Zero 1]:[Candidate Transfer Standard - Zero 2]])</f>
        <v>0</v>
      </c>
      <c r="BK2" s="67"/>
      <c r="BL2" s="67"/>
      <c r="BM2" s="72"/>
      <c r="BN2" s="72"/>
      <c r="BO2" s="73"/>
      <c r="BP2" s="73"/>
      <c r="BQ2" s="73"/>
      <c r="BR2" s="66"/>
      <c r="BS2" s="64"/>
      <c r="BT2" s="64"/>
      <c r="BU2" s="64"/>
      <c r="BV2"/>
      <c r="BW2"/>
      <c r="BX2"/>
      <c r="BY2"/>
    </row>
    <row r="3" spans="1:77" x14ac:dyDescent="0.3">
      <c r="A3" s="57"/>
      <c r="BG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 s="29" t="e">
        <f>BG3/DEVSQ(Archive[[#This Row],[Higher Level Standard - Zero 1]:[Higher Level Standard - Zero 2]])</f>
        <v>#VALUE!</v>
      </c>
      <c r="BI3" s="29" t="e">
        <f>BG3*(1/COUNT(Archive[[#This Row],[Candidate Transfer Standard - Zero 1]:[Candidate Transfer Standard - Zero 2]])+AVERAGE(Archive[[#This Row],[Higher Level Standard - Zero 1]:[Higher Level Standard - Zero 2]])^2/DEVSQ(Archive[[#This Row],[Higher Level Standard - Zero 1]:[Higher Level Standard - Zero 2]]))</f>
        <v>#VALUE!</v>
      </c>
      <c r="BJ3" s="29">
        <f>COUNT(Archive[[#This Row],[Candidate Transfer Standard - Zero 1]:[Candidate Transfer Standard - Zero 2]])</f>
        <v>0</v>
      </c>
    </row>
    <row r="4" spans="1:77" x14ac:dyDescent="0.3">
      <c r="A4" s="57"/>
      <c r="BG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 s="29" t="e">
        <f>BG4/DEVSQ(Archive[[#This Row],[Higher Level Standard - Zero 1]:[Higher Level Standard - Zero 2]])</f>
        <v>#VALUE!</v>
      </c>
      <c r="BI4" s="29" t="e">
        <f>BG4*(1/COUNT(Archive[[#This Row],[Candidate Transfer Standard - Zero 1]:[Candidate Transfer Standard - Zero 2]])+AVERAGE(Archive[[#This Row],[Higher Level Standard - Zero 1]:[Higher Level Standard - Zero 2]])^2/DEVSQ(Archive[[#This Row],[Higher Level Standard - Zero 1]:[Higher Level Standard - Zero 2]]))</f>
        <v>#VALUE!</v>
      </c>
      <c r="BJ4" s="29">
        <f>COUNT(Archive[[#This Row],[Candidate Transfer Standard - Zero 1]:[Candidate Transfer Standard - Zero 2]])</f>
        <v>0</v>
      </c>
    </row>
    <row r="5" spans="1:77" x14ac:dyDescent="0.3">
      <c r="A5" s="57"/>
      <c r="BG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 s="29" t="e">
        <f>BG5/DEVSQ(Archive[[#This Row],[Higher Level Standard - Zero 1]:[Higher Level Standard - Zero 2]])</f>
        <v>#VALUE!</v>
      </c>
      <c r="BI5" s="29" t="e">
        <f>BG5*(1/COUNT(Archive[[#This Row],[Candidate Transfer Standard - Zero 1]:[Candidate Transfer Standard - Zero 2]])+AVERAGE(Archive[[#This Row],[Higher Level Standard - Zero 1]:[Higher Level Standard - Zero 2]])^2/DEVSQ(Archive[[#This Row],[Higher Level Standard - Zero 1]:[Higher Level Standard - Zero 2]]))</f>
        <v>#VALUE!</v>
      </c>
      <c r="BJ5" s="29">
        <f>COUNT(Archive[[#This Row],[Candidate Transfer Standard - Zero 1]:[Candidate Transfer Standard - Zero 2]])</f>
        <v>0</v>
      </c>
    </row>
    <row r="6" spans="1:77" x14ac:dyDescent="0.3">
      <c r="A6" s="57"/>
      <c r="BG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 s="29" t="e">
        <f>BG6/DEVSQ(Archive[[#This Row],[Higher Level Standard - Zero 1]:[Higher Level Standard - Zero 2]])</f>
        <v>#VALUE!</v>
      </c>
      <c r="BI6" s="29" t="e">
        <f>BG6*(1/COUNT(Archive[[#This Row],[Candidate Transfer Standard - Zero 1]:[Candidate Transfer Standard - Zero 2]])+AVERAGE(Archive[[#This Row],[Higher Level Standard - Zero 1]:[Higher Level Standard - Zero 2]])^2/DEVSQ(Archive[[#This Row],[Higher Level Standard - Zero 1]:[Higher Level Standard - Zero 2]]))</f>
        <v>#VALUE!</v>
      </c>
      <c r="BJ6" s="29">
        <f>COUNT(Archive[[#This Row],[Candidate Transfer Standard - Zero 1]:[Candidate Transfer Standard - Zero 2]])</f>
        <v>0</v>
      </c>
    </row>
    <row r="7" spans="1:77" x14ac:dyDescent="0.3">
      <c r="A7" s="57"/>
      <c r="BG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 s="29" t="e">
        <f>BG7/DEVSQ(Archive[[#This Row],[Higher Level Standard - Zero 1]:[Higher Level Standard - Zero 2]])</f>
        <v>#VALUE!</v>
      </c>
      <c r="BI7" s="29" t="e">
        <f>BG7*(1/COUNT(Archive[[#This Row],[Candidate Transfer Standard - Zero 1]:[Candidate Transfer Standard - Zero 2]])+AVERAGE(Archive[[#This Row],[Higher Level Standard - Zero 1]:[Higher Level Standard - Zero 2]])^2/DEVSQ(Archive[[#This Row],[Higher Level Standard - Zero 1]:[Higher Level Standard - Zero 2]]))</f>
        <v>#VALUE!</v>
      </c>
      <c r="BJ7" s="29">
        <f>COUNT(Archive[[#This Row],[Candidate Transfer Standard - Zero 1]:[Candidate Transfer Standard - Zero 2]])</f>
        <v>0</v>
      </c>
    </row>
    <row r="8" spans="1:77" x14ac:dyDescent="0.3">
      <c r="A8" s="57"/>
      <c r="C8" s="59"/>
      <c r="BG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 s="29" t="e">
        <f>BG8/DEVSQ(Archive[[#This Row],[Higher Level Standard - Zero 1]:[Higher Level Standard - Zero 2]])</f>
        <v>#VALUE!</v>
      </c>
      <c r="BI8" s="29" t="e">
        <f>BG8*(1/COUNT(Archive[[#This Row],[Candidate Transfer Standard - Zero 1]:[Candidate Transfer Standard - Zero 2]])+AVERAGE(Archive[[#This Row],[Higher Level Standard - Zero 1]:[Higher Level Standard - Zero 2]])^2/DEVSQ(Archive[[#This Row],[Higher Level Standard - Zero 1]:[Higher Level Standard - Zero 2]]))</f>
        <v>#VALUE!</v>
      </c>
      <c r="BJ8" s="29">
        <f>COUNT(Archive[[#This Row],[Candidate Transfer Standard - Zero 1]:[Candidate Transfer Standard - Zero 2]])</f>
        <v>0</v>
      </c>
    </row>
    <row r="9" spans="1:77" x14ac:dyDescent="0.3">
      <c r="A9" s="57"/>
      <c r="BG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 s="29" t="e">
        <f>BG9/DEVSQ(Archive[[#This Row],[Higher Level Standard - Zero 1]:[Higher Level Standard - Zero 2]])</f>
        <v>#VALUE!</v>
      </c>
      <c r="BI9" s="29" t="e">
        <f>BG9*(1/COUNT(Archive[[#This Row],[Candidate Transfer Standard - Zero 1]:[Candidate Transfer Standard - Zero 2]])+AVERAGE(Archive[[#This Row],[Higher Level Standard - Zero 1]:[Higher Level Standard - Zero 2]])^2/DEVSQ(Archive[[#This Row],[Higher Level Standard - Zero 1]:[Higher Level Standard - Zero 2]]))</f>
        <v>#VALUE!</v>
      </c>
      <c r="BJ9" s="29">
        <f>COUNT(Archive[[#This Row],[Candidate Transfer Standard - Zero 1]:[Candidate Transfer Standard - Zero 2]])</f>
        <v>0</v>
      </c>
    </row>
    <row r="10" spans="1:77" x14ac:dyDescent="0.3">
      <c r="A10" s="57"/>
      <c r="BG1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 s="29" t="e">
        <f>BG10/DEVSQ(Archive[[#This Row],[Higher Level Standard - Zero 1]:[Higher Level Standard - Zero 2]])</f>
        <v>#VALUE!</v>
      </c>
      <c r="BI10" s="29" t="e">
        <f>BG10*(1/COUNT(Archive[[#This Row],[Candidate Transfer Standard - Zero 1]:[Candidate Transfer Standard - Zero 2]])+AVERAGE(Archive[[#This Row],[Higher Level Standard - Zero 1]:[Higher Level Standard - Zero 2]])^2/DEVSQ(Archive[[#This Row],[Higher Level Standard - Zero 1]:[Higher Level Standard - Zero 2]]))</f>
        <v>#VALUE!</v>
      </c>
      <c r="BJ10" s="29">
        <f>COUNT(Archive[[#This Row],[Candidate Transfer Standard - Zero 1]:[Candidate Transfer Standard - Zero 2]])</f>
        <v>0</v>
      </c>
    </row>
    <row r="11" spans="1:77" x14ac:dyDescent="0.3">
      <c r="A11" s="57"/>
      <c r="B11" s="62"/>
      <c r="C11" s="59"/>
      <c r="BG1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 s="29" t="e">
        <f>BG11/DEVSQ(Archive[[#This Row],[Higher Level Standard - Zero 1]:[Higher Level Standard - Zero 2]])</f>
        <v>#VALUE!</v>
      </c>
      <c r="BI11" s="29" t="e">
        <f>BG11*(1/COUNT(Archive[[#This Row],[Candidate Transfer Standard - Zero 1]:[Candidate Transfer Standard - Zero 2]])+AVERAGE(Archive[[#This Row],[Higher Level Standard - Zero 1]:[Higher Level Standard - Zero 2]])^2/DEVSQ(Archive[[#This Row],[Higher Level Standard - Zero 1]:[Higher Level Standard - Zero 2]]))</f>
        <v>#VALUE!</v>
      </c>
      <c r="BJ11" s="29">
        <f>COUNT(Archive[[#This Row],[Candidate Transfer Standard - Zero 1]:[Candidate Transfer Standard - Zero 2]])</f>
        <v>0</v>
      </c>
    </row>
    <row r="12" spans="1:77" x14ac:dyDescent="0.3">
      <c r="A12" s="57"/>
      <c r="C12" s="59"/>
      <c r="BG1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2" s="29" t="e">
        <f>BG12/DEVSQ(Archive[[#This Row],[Higher Level Standard - Zero 1]:[Higher Level Standard - Zero 2]])</f>
        <v>#VALUE!</v>
      </c>
      <c r="BI12" s="29" t="e">
        <f>BG12*(1/COUNT(Archive[[#This Row],[Candidate Transfer Standard - Zero 1]:[Candidate Transfer Standard - Zero 2]])+AVERAGE(Archive[[#This Row],[Higher Level Standard - Zero 1]:[Higher Level Standard - Zero 2]])^2/DEVSQ(Archive[[#This Row],[Higher Level Standard - Zero 1]:[Higher Level Standard - Zero 2]]))</f>
        <v>#VALUE!</v>
      </c>
      <c r="BJ12" s="29">
        <f>COUNT(Archive[[#This Row],[Candidate Transfer Standard - Zero 1]:[Candidate Transfer Standard - Zero 2]])</f>
        <v>0</v>
      </c>
    </row>
    <row r="13" spans="1:77" x14ac:dyDescent="0.3">
      <c r="A13" s="57"/>
      <c r="BG1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3" s="29" t="e">
        <f>BG13/DEVSQ(Archive[[#This Row],[Higher Level Standard - Zero 1]:[Higher Level Standard - Zero 2]])</f>
        <v>#VALUE!</v>
      </c>
      <c r="BI13" s="29" t="e">
        <f>BG13*(1/COUNT(Archive[[#This Row],[Candidate Transfer Standard - Zero 1]:[Candidate Transfer Standard - Zero 2]])+AVERAGE(Archive[[#This Row],[Higher Level Standard - Zero 1]:[Higher Level Standard - Zero 2]])^2/DEVSQ(Archive[[#This Row],[Higher Level Standard - Zero 1]:[Higher Level Standard - Zero 2]]))</f>
        <v>#VALUE!</v>
      </c>
      <c r="BJ13" s="29">
        <f>COUNT(Archive[[#This Row],[Candidate Transfer Standard - Zero 1]:[Candidate Transfer Standard - Zero 2]])</f>
        <v>0</v>
      </c>
    </row>
    <row r="14" spans="1:77" x14ac:dyDescent="0.3">
      <c r="A14" s="57"/>
      <c r="BG1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4" s="29" t="e">
        <f>BG14/DEVSQ(Archive[[#This Row],[Higher Level Standard - Zero 1]:[Higher Level Standard - Zero 2]])</f>
        <v>#VALUE!</v>
      </c>
      <c r="BI14" s="29" t="e">
        <f>BG14*(1/COUNT(Archive[[#This Row],[Candidate Transfer Standard - Zero 1]:[Candidate Transfer Standard - Zero 2]])+AVERAGE(Archive[[#This Row],[Higher Level Standard - Zero 1]:[Higher Level Standard - Zero 2]])^2/DEVSQ(Archive[[#This Row],[Higher Level Standard - Zero 1]:[Higher Level Standard - Zero 2]]))</f>
        <v>#VALUE!</v>
      </c>
      <c r="BJ14" s="29">
        <f>COUNT(Archive[[#This Row],[Candidate Transfer Standard - Zero 1]:[Candidate Transfer Standard - Zero 2]])</f>
        <v>0</v>
      </c>
    </row>
    <row r="15" spans="1:77" x14ac:dyDescent="0.3">
      <c r="A15" s="57"/>
      <c r="BG1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5" s="29" t="e">
        <f>BG15/DEVSQ(Archive[[#This Row],[Higher Level Standard - Zero 1]:[Higher Level Standard - Zero 2]])</f>
        <v>#VALUE!</v>
      </c>
      <c r="BI15" s="29" t="e">
        <f>BG15*(1/COUNT(Archive[[#This Row],[Candidate Transfer Standard - Zero 1]:[Candidate Transfer Standard - Zero 2]])+AVERAGE(Archive[[#This Row],[Higher Level Standard - Zero 1]:[Higher Level Standard - Zero 2]])^2/DEVSQ(Archive[[#This Row],[Higher Level Standard - Zero 1]:[Higher Level Standard - Zero 2]]))</f>
        <v>#VALUE!</v>
      </c>
      <c r="BJ15" s="29">
        <f>COUNT(Archive[[#This Row],[Candidate Transfer Standard - Zero 1]:[Candidate Transfer Standard - Zero 2]])</f>
        <v>0</v>
      </c>
    </row>
    <row r="16" spans="1:77" x14ac:dyDescent="0.3">
      <c r="A16" s="57"/>
      <c r="BG1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6" s="29" t="e">
        <f>BG16/DEVSQ(Archive[[#This Row],[Higher Level Standard - Zero 1]:[Higher Level Standard - Zero 2]])</f>
        <v>#VALUE!</v>
      </c>
      <c r="BI16" s="29" t="e">
        <f>BG16*(1/COUNT(Archive[[#This Row],[Candidate Transfer Standard - Zero 1]:[Candidate Transfer Standard - Zero 2]])+AVERAGE(Archive[[#This Row],[Higher Level Standard - Zero 1]:[Higher Level Standard - Zero 2]])^2/DEVSQ(Archive[[#This Row],[Higher Level Standard - Zero 1]:[Higher Level Standard - Zero 2]]))</f>
        <v>#VALUE!</v>
      </c>
      <c r="BJ16" s="29">
        <f>COUNT(Archive[[#This Row],[Candidate Transfer Standard - Zero 1]:[Candidate Transfer Standard - Zero 2]])</f>
        <v>0</v>
      </c>
    </row>
    <row r="17" spans="1:62" x14ac:dyDescent="0.3">
      <c r="A17" s="57"/>
      <c r="BG1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7" s="29" t="e">
        <f>BG17/DEVSQ(Archive[[#This Row],[Higher Level Standard - Zero 1]:[Higher Level Standard - Zero 2]])</f>
        <v>#VALUE!</v>
      </c>
      <c r="BI17" s="29" t="e">
        <f>BG17*(1/COUNT(Archive[[#This Row],[Candidate Transfer Standard - Zero 1]:[Candidate Transfer Standard - Zero 2]])+AVERAGE(Archive[[#This Row],[Higher Level Standard - Zero 1]:[Higher Level Standard - Zero 2]])^2/DEVSQ(Archive[[#This Row],[Higher Level Standard - Zero 1]:[Higher Level Standard - Zero 2]]))</f>
        <v>#VALUE!</v>
      </c>
      <c r="BJ17" s="29">
        <f>COUNT(Archive[[#This Row],[Candidate Transfer Standard - Zero 1]:[Candidate Transfer Standard - Zero 2]])</f>
        <v>0</v>
      </c>
    </row>
    <row r="18" spans="1:62" x14ac:dyDescent="0.3">
      <c r="A18" s="57"/>
      <c r="BG1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8" s="29" t="e">
        <f>BG18/DEVSQ(Archive[[#This Row],[Higher Level Standard - Zero 1]:[Higher Level Standard - Zero 2]])</f>
        <v>#VALUE!</v>
      </c>
      <c r="BI18" s="29" t="e">
        <f>BG18*(1/COUNT(Archive[[#This Row],[Candidate Transfer Standard - Zero 1]:[Candidate Transfer Standard - Zero 2]])+AVERAGE(Archive[[#This Row],[Higher Level Standard - Zero 1]:[Higher Level Standard - Zero 2]])^2/DEVSQ(Archive[[#This Row],[Higher Level Standard - Zero 1]:[Higher Level Standard - Zero 2]]))</f>
        <v>#VALUE!</v>
      </c>
      <c r="BJ18" s="29">
        <f>COUNT(Archive[[#This Row],[Candidate Transfer Standard - Zero 1]:[Candidate Transfer Standard - Zero 2]])</f>
        <v>0</v>
      </c>
    </row>
    <row r="19" spans="1:62" x14ac:dyDescent="0.3">
      <c r="A19" s="57"/>
      <c r="BG1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9" s="29" t="e">
        <f>BG19/DEVSQ(Archive[[#This Row],[Higher Level Standard - Zero 1]:[Higher Level Standard - Zero 2]])</f>
        <v>#VALUE!</v>
      </c>
      <c r="BI19" s="29" t="e">
        <f>BG19*(1/COUNT(Archive[[#This Row],[Candidate Transfer Standard - Zero 1]:[Candidate Transfer Standard - Zero 2]])+AVERAGE(Archive[[#This Row],[Higher Level Standard - Zero 1]:[Higher Level Standard - Zero 2]])^2/DEVSQ(Archive[[#This Row],[Higher Level Standard - Zero 1]:[Higher Level Standard - Zero 2]]))</f>
        <v>#VALUE!</v>
      </c>
      <c r="BJ19" s="29">
        <f>COUNT(Archive[[#This Row],[Candidate Transfer Standard - Zero 1]:[Candidate Transfer Standard - Zero 2]])</f>
        <v>0</v>
      </c>
    </row>
    <row r="20" spans="1:62" x14ac:dyDescent="0.3">
      <c r="A20" s="57"/>
      <c r="BG2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0" s="29" t="e">
        <f>BG20/DEVSQ(Archive[[#This Row],[Higher Level Standard - Zero 1]:[Higher Level Standard - Zero 2]])</f>
        <v>#VALUE!</v>
      </c>
      <c r="BI20" s="29" t="e">
        <f>BG20*(1/COUNT(Archive[[#This Row],[Candidate Transfer Standard - Zero 1]:[Candidate Transfer Standard - Zero 2]])+AVERAGE(Archive[[#This Row],[Higher Level Standard - Zero 1]:[Higher Level Standard - Zero 2]])^2/DEVSQ(Archive[[#This Row],[Higher Level Standard - Zero 1]:[Higher Level Standard - Zero 2]]))</f>
        <v>#VALUE!</v>
      </c>
      <c r="BJ20" s="29">
        <f>COUNT(Archive[[#This Row],[Candidate Transfer Standard - Zero 1]:[Candidate Transfer Standard - Zero 2]])</f>
        <v>0</v>
      </c>
    </row>
    <row r="21" spans="1:62" x14ac:dyDescent="0.3">
      <c r="A21" s="57"/>
      <c r="BG2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1" s="29" t="e">
        <f>BG21/DEVSQ(Archive[[#This Row],[Higher Level Standard - Zero 1]:[Higher Level Standard - Zero 2]])</f>
        <v>#VALUE!</v>
      </c>
      <c r="BI21" s="29" t="e">
        <f>BG21*(1/COUNT(Archive[[#This Row],[Candidate Transfer Standard - Zero 1]:[Candidate Transfer Standard - Zero 2]])+AVERAGE(Archive[[#This Row],[Higher Level Standard - Zero 1]:[Higher Level Standard - Zero 2]])^2/DEVSQ(Archive[[#This Row],[Higher Level Standard - Zero 1]:[Higher Level Standard - Zero 2]]))</f>
        <v>#VALUE!</v>
      </c>
      <c r="BJ21" s="29">
        <f>COUNT(Archive[[#This Row],[Candidate Transfer Standard - Zero 1]:[Candidate Transfer Standard - Zero 2]])</f>
        <v>0</v>
      </c>
    </row>
    <row r="22" spans="1:62" x14ac:dyDescent="0.3">
      <c r="A22" s="57"/>
      <c r="BG2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2" s="29" t="e">
        <f>BG22/DEVSQ(Archive[[#This Row],[Higher Level Standard - Zero 1]:[Higher Level Standard - Zero 2]])</f>
        <v>#VALUE!</v>
      </c>
      <c r="BI22" s="29" t="e">
        <f>BG22*(1/COUNT(Archive[[#This Row],[Candidate Transfer Standard - Zero 1]:[Candidate Transfer Standard - Zero 2]])+AVERAGE(Archive[[#This Row],[Higher Level Standard - Zero 1]:[Higher Level Standard - Zero 2]])^2/DEVSQ(Archive[[#This Row],[Higher Level Standard - Zero 1]:[Higher Level Standard - Zero 2]]))</f>
        <v>#VALUE!</v>
      </c>
      <c r="BJ22" s="29">
        <f>COUNT(Archive[[#This Row],[Candidate Transfer Standard - Zero 1]:[Candidate Transfer Standard - Zero 2]])</f>
        <v>0</v>
      </c>
    </row>
    <row r="23" spans="1:62" x14ac:dyDescent="0.3">
      <c r="A23" s="57"/>
      <c r="BG2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3" s="29" t="e">
        <f>BG23/DEVSQ(Archive[[#This Row],[Higher Level Standard - Zero 1]:[Higher Level Standard - Zero 2]])</f>
        <v>#VALUE!</v>
      </c>
      <c r="BI23" s="29" t="e">
        <f>BG23*(1/COUNT(Archive[[#This Row],[Candidate Transfer Standard - Zero 1]:[Candidate Transfer Standard - Zero 2]])+AVERAGE(Archive[[#This Row],[Higher Level Standard - Zero 1]:[Higher Level Standard - Zero 2]])^2/DEVSQ(Archive[[#This Row],[Higher Level Standard - Zero 1]:[Higher Level Standard - Zero 2]]))</f>
        <v>#VALUE!</v>
      </c>
      <c r="BJ23" s="29">
        <f>COUNT(Archive[[#This Row],[Candidate Transfer Standard - Zero 1]:[Candidate Transfer Standard - Zero 2]])</f>
        <v>0</v>
      </c>
    </row>
    <row r="24" spans="1:62" x14ac:dyDescent="0.3">
      <c r="A24" s="57"/>
      <c r="BG2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4" s="29" t="e">
        <f>BG24/DEVSQ(Archive[[#This Row],[Higher Level Standard - Zero 1]:[Higher Level Standard - Zero 2]])</f>
        <v>#VALUE!</v>
      </c>
      <c r="BI24" s="29" t="e">
        <f>BG24*(1/COUNT(Archive[[#This Row],[Candidate Transfer Standard - Zero 1]:[Candidate Transfer Standard - Zero 2]])+AVERAGE(Archive[[#This Row],[Higher Level Standard - Zero 1]:[Higher Level Standard - Zero 2]])^2/DEVSQ(Archive[[#This Row],[Higher Level Standard - Zero 1]:[Higher Level Standard - Zero 2]]))</f>
        <v>#VALUE!</v>
      </c>
      <c r="BJ24" s="29">
        <f>COUNT(Archive[[#This Row],[Candidate Transfer Standard - Zero 1]:[Candidate Transfer Standard - Zero 2]])</f>
        <v>0</v>
      </c>
    </row>
    <row r="25" spans="1:62" x14ac:dyDescent="0.3">
      <c r="A25" s="57"/>
      <c r="BG2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5" s="29" t="e">
        <f>BG25/DEVSQ(Archive[[#This Row],[Higher Level Standard - Zero 1]:[Higher Level Standard - Zero 2]])</f>
        <v>#VALUE!</v>
      </c>
      <c r="BI25" s="29" t="e">
        <f>BG25*(1/COUNT(Archive[[#This Row],[Candidate Transfer Standard - Zero 1]:[Candidate Transfer Standard - Zero 2]])+AVERAGE(Archive[[#This Row],[Higher Level Standard - Zero 1]:[Higher Level Standard - Zero 2]])^2/DEVSQ(Archive[[#This Row],[Higher Level Standard - Zero 1]:[Higher Level Standard - Zero 2]]))</f>
        <v>#VALUE!</v>
      </c>
      <c r="BJ25" s="29">
        <f>COUNT(Archive[[#This Row],[Candidate Transfer Standard - Zero 1]:[Candidate Transfer Standard - Zero 2]])</f>
        <v>0</v>
      </c>
    </row>
    <row r="26" spans="1:62" x14ac:dyDescent="0.3">
      <c r="A26" s="57"/>
      <c r="BG2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6" s="29" t="e">
        <f>BG26/DEVSQ(Archive[[#This Row],[Higher Level Standard - Zero 1]:[Higher Level Standard - Zero 2]])</f>
        <v>#VALUE!</v>
      </c>
      <c r="BI26" s="29" t="e">
        <f>BG26*(1/COUNT(Archive[[#This Row],[Candidate Transfer Standard - Zero 1]:[Candidate Transfer Standard - Zero 2]])+AVERAGE(Archive[[#This Row],[Higher Level Standard - Zero 1]:[Higher Level Standard - Zero 2]])^2/DEVSQ(Archive[[#This Row],[Higher Level Standard - Zero 1]:[Higher Level Standard - Zero 2]]))</f>
        <v>#VALUE!</v>
      </c>
      <c r="BJ26" s="29">
        <f>COUNT(Archive[[#This Row],[Candidate Transfer Standard - Zero 1]:[Candidate Transfer Standard - Zero 2]])</f>
        <v>0</v>
      </c>
    </row>
    <row r="27" spans="1:62" x14ac:dyDescent="0.3">
      <c r="A27" s="57"/>
      <c r="BG2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7" s="29" t="e">
        <f>BG27/DEVSQ(Archive[[#This Row],[Higher Level Standard - Zero 1]:[Higher Level Standard - Zero 2]])</f>
        <v>#VALUE!</v>
      </c>
      <c r="BI27" s="29" t="e">
        <f>BG27*(1/COUNT(Archive[[#This Row],[Candidate Transfer Standard - Zero 1]:[Candidate Transfer Standard - Zero 2]])+AVERAGE(Archive[[#This Row],[Higher Level Standard - Zero 1]:[Higher Level Standard - Zero 2]])^2/DEVSQ(Archive[[#This Row],[Higher Level Standard - Zero 1]:[Higher Level Standard - Zero 2]]))</f>
        <v>#VALUE!</v>
      </c>
      <c r="BJ27" s="29">
        <f>COUNT(Archive[[#This Row],[Candidate Transfer Standard - Zero 1]:[Candidate Transfer Standard - Zero 2]])</f>
        <v>0</v>
      </c>
    </row>
    <row r="28" spans="1:62" x14ac:dyDescent="0.3">
      <c r="A28" s="57"/>
      <c r="BG2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8" s="29" t="e">
        <f>BG28/DEVSQ(Archive[[#This Row],[Higher Level Standard - Zero 1]:[Higher Level Standard - Zero 2]])</f>
        <v>#VALUE!</v>
      </c>
      <c r="BI28" s="29" t="e">
        <f>BG28*(1/COUNT(Archive[[#This Row],[Candidate Transfer Standard - Zero 1]:[Candidate Transfer Standard - Zero 2]])+AVERAGE(Archive[[#This Row],[Higher Level Standard - Zero 1]:[Higher Level Standard - Zero 2]])^2/DEVSQ(Archive[[#This Row],[Higher Level Standard - Zero 1]:[Higher Level Standard - Zero 2]]))</f>
        <v>#VALUE!</v>
      </c>
      <c r="BJ28" s="29">
        <f>COUNT(Archive[[#This Row],[Candidate Transfer Standard - Zero 1]:[Candidate Transfer Standard - Zero 2]])</f>
        <v>0</v>
      </c>
    </row>
    <row r="29" spans="1:62" x14ac:dyDescent="0.3">
      <c r="A29" s="57"/>
      <c r="BG2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9" s="29" t="e">
        <f>BG29/DEVSQ(Archive[[#This Row],[Higher Level Standard - Zero 1]:[Higher Level Standard - Zero 2]])</f>
        <v>#VALUE!</v>
      </c>
      <c r="BI29" s="29" t="e">
        <f>BG29*(1/COUNT(Archive[[#This Row],[Candidate Transfer Standard - Zero 1]:[Candidate Transfer Standard - Zero 2]])+AVERAGE(Archive[[#This Row],[Higher Level Standard - Zero 1]:[Higher Level Standard - Zero 2]])^2/DEVSQ(Archive[[#This Row],[Higher Level Standard - Zero 1]:[Higher Level Standard - Zero 2]]))</f>
        <v>#VALUE!</v>
      </c>
      <c r="BJ29" s="29">
        <f>COUNT(Archive[[#This Row],[Candidate Transfer Standard - Zero 1]:[Candidate Transfer Standard - Zero 2]])</f>
        <v>0</v>
      </c>
    </row>
    <row r="30" spans="1:62" x14ac:dyDescent="0.3">
      <c r="A30" s="57"/>
      <c r="BG3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0" s="29" t="e">
        <f>BG30/DEVSQ(Archive[[#This Row],[Higher Level Standard - Zero 1]:[Higher Level Standard - Zero 2]])</f>
        <v>#VALUE!</v>
      </c>
      <c r="BI30" s="29" t="e">
        <f>BG30*(1/COUNT(Archive[[#This Row],[Candidate Transfer Standard - Zero 1]:[Candidate Transfer Standard - Zero 2]])+AVERAGE(Archive[[#This Row],[Higher Level Standard - Zero 1]:[Higher Level Standard - Zero 2]])^2/DEVSQ(Archive[[#This Row],[Higher Level Standard - Zero 1]:[Higher Level Standard - Zero 2]]))</f>
        <v>#VALUE!</v>
      </c>
      <c r="BJ30" s="29">
        <f>COUNT(Archive[[#This Row],[Candidate Transfer Standard - Zero 1]:[Candidate Transfer Standard - Zero 2]])</f>
        <v>0</v>
      </c>
    </row>
    <row r="31" spans="1:62" x14ac:dyDescent="0.3">
      <c r="A31" s="57"/>
      <c r="BG3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1" s="29" t="e">
        <f>BG31/DEVSQ(Archive[[#This Row],[Higher Level Standard - Zero 1]:[Higher Level Standard - Zero 2]])</f>
        <v>#VALUE!</v>
      </c>
      <c r="BI31" s="29" t="e">
        <f>BG31*(1/COUNT(Archive[[#This Row],[Candidate Transfer Standard - Zero 1]:[Candidate Transfer Standard - Zero 2]])+AVERAGE(Archive[[#This Row],[Higher Level Standard - Zero 1]:[Higher Level Standard - Zero 2]])^2/DEVSQ(Archive[[#This Row],[Higher Level Standard - Zero 1]:[Higher Level Standard - Zero 2]]))</f>
        <v>#VALUE!</v>
      </c>
      <c r="BJ31" s="29">
        <f>COUNT(Archive[[#This Row],[Candidate Transfer Standard - Zero 1]:[Candidate Transfer Standard - Zero 2]])</f>
        <v>0</v>
      </c>
    </row>
    <row r="32" spans="1:62" x14ac:dyDescent="0.3">
      <c r="A32" s="57"/>
      <c r="BG3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2" s="29" t="e">
        <f>BG32/DEVSQ(Archive[[#This Row],[Higher Level Standard - Zero 1]:[Higher Level Standard - Zero 2]])</f>
        <v>#VALUE!</v>
      </c>
      <c r="BI32" s="29" t="e">
        <f>BG32*(1/COUNT(Archive[[#This Row],[Candidate Transfer Standard - Zero 1]:[Candidate Transfer Standard - Zero 2]])+AVERAGE(Archive[[#This Row],[Higher Level Standard - Zero 1]:[Higher Level Standard - Zero 2]])^2/DEVSQ(Archive[[#This Row],[Higher Level Standard - Zero 1]:[Higher Level Standard - Zero 2]]))</f>
        <v>#VALUE!</v>
      </c>
      <c r="BJ32" s="29">
        <f>COUNT(Archive[[#This Row],[Candidate Transfer Standard - Zero 1]:[Candidate Transfer Standard - Zero 2]])</f>
        <v>0</v>
      </c>
    </row>
    <row r="33" spans="1:62" x14ac:dyDescent="0.3">
      <c r="A33" s="57"/>
      <c r="BG3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3" s="29" t="e">
        <f>BG33/DEVSQ(Archive[[#This Row],[Higher Level Standard - Zero 1]:[Higher Level Standard - Zero 2]])</f>
        <v>#VALUE!</v>
      </c>
      <c r="BI33" s="29" t="e">
        <f>BG33*(1/COUNT(Archive[[#This Row],[Candidate Transfer Standard - Zero 1]:[Candidate Transfer Standard - Zero 2]])+AVERAGE(Archive[[#This Row],[Higher Level Standard - Zero 1]:[Higher Level Standard - Zero 2]])^2/DEVSQ(Archive[[#This Row],[Higher Level Standard - Zero 1]:[Higher Level Standard - Zero 2]]))</f>
        <v>#VALUE!</v>
      </c>
      <c r="BJ33" s="29">
        <f>COUNT(Archive[[#This Row],[Candidate Transfer Standard - Zero 1]:[Candidate Transfer Standard - Zero 2]])</f>
        <v>0</v>
      </c>
    </row>
    <row r="34" spans="1:62" x14ac:dyDescent="0.3">
      <c r="A34" s="57"/>
      <c r="BG3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4" s="29" t="e">
        <f>BG34/DEVSQ(Archive[[#This Row],[Higher Level Standard - Zero 1]:[Higher Level Standard - Zero 2]])</f>
        <v>#VALUE!</v>
      </c>
      <c r="BI34" s="29" t="e">
        <f>BG34*(1/COUNT(Archive[[#This Row],[Candidate Transfer Standard - Zero 1]:[Candidate Transfer Standard - Zero 2]])+AVERAGE(Archive[[#This Row],[Higher Level Standard - Zero 1]:[Higher Level Standard - Zero 2]])^2/DEVSQ(Archive[[#This Row],[Higher Level Standard - Zero 1]:[Higher Level Standard - Zero 2]]))</f>
        <v>#VALUE!</v>
      </c>
      <c r="BJ34" s="29">
        <f>COUNT(Archive[[#This Row],[Candidate Transfer Standard - Zero 1]:[Candidate Transfer Standard - Zero 2]])</f>
        <v>0</v>
      </c>
    </row>
    <row r="35" spans="1:62" x14ac:dyDescent="0.3">
      <c r="A35" s="57"/>
      <c r="BG3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5" s="29" t="e">
        <f>BG35/DEVSQ(Archive[[#This Row],[Higher Level Standard - Zero 1]:[Higher Level Standard - Zero 2]])</f>
        <v>#VALUE!</v>
      </c>
      <c r="BI35" s="29" t="e">
        <f>BG35*(1/COUNT(Archive[[#This Row],[Candidate Transfer Standard - Zero 1]:[Candidate Transfer Standard - Zero 2]])+AVERAGE(Archive[[#This Row],[Higher Level Standard - Zero 1]:[Higher Level Standard - Zero 2]])^2/DEVSQ(Archive[[#This Row],[Higher Level Standard - Zero 1]:[Higher Level Standard - Zero 2]]))</f>
        <v>#VALUE!</v>
      </c>
      <c r="BJ35" s="29">
        <f>COUNT(Archive[[#This Row],[Candidate Transfer Standard - Zero 1]:[Candidate Transfer Standard - Zero 2]])</f>
        <v>0</v>
      </c>
    </row>
    <row r="36" spans="1:62" x14ac:dyDescent="0.3">
      <c r="A36" s="57"/>
      <c r="BG3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6" s="29" t="e">
        <f>BG36/DEVSQ(Archive[[#This Row],[Higher Level Standard - Zero 1]:[Higher Level Standard - Zero 2]])</f>
        <v>#VALUE!</v>
      </c>
      <c r="BI36" s="29" t="e">
        <f>BG36*(1/COUNT(Archive[[#This Row],[Candidate Transfer Standard - Zero 1]:[Candidate Transfer Standard - Zero 2]])+AVERAGE(Archive[[#This Row],[Higher Level Standard - Zero 1]:[Higher Level Standard - Zero 2]])^2/DEVSQ(Archive[[#This Row],[Higher Level Standard - Zero 1]:[Higher Level Standard - Zero 2]]))</f>
        <v>#VALUE!</v>
      </c>
      <c r="BJ36" s="29">
        <f>COUNT(Archive[[#This Row],[Candidate Transfer Standard - Zero 1]:[Candidate Transfer Standard - Zero 2]])</f>
        <v>0</v>
      </c>
    </row>
    <row r="37" spans="1:62" x14ac:dyDescent="0.3">
      <c r="A37" s="57"/>
      <c r="BG3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7" s="29" t="e">
        <f>BG37/DEVSQ(Archive[[#This Row],[Higher Level Standard - Zero 1]:[Higher Level Standard - Zero 2]])</f>
        <v>#VALUE!</v>
      </c>
      <c r="BI37" s="29" t="e">
        <f>BG37*(1/COUNT(Archive[[#This Row],[Candidate Transfer Standard - Zero 1]:[Candidate Transfer Standard - Zero 2]])+AVERAGE(Archive[[#This Row],[Higher Level Standard - Zero 1]:[Higher Level Standard - Zero 2]])^2/DEVSQ(Archive[[#This Row],[Higher Level Standard - Zero 1]:[Higher Level Standard - Zero 2]]))</f>
        <v>#VALUE!</v>
      </c>
      <c r="BJ37" s="29">
        <f>COUNT(Archive[[#This Row],[Candidate Transfer Standard - Zero 1]:[Candidate Transfer Standard - Zero 2]])</f>
        <v>0</v>
      </c>
    </row>
    <row r="38" spans="1:62" x14ac:dyDescent="0.3">
      <c r="A38" s="57"/>
      <c r="BG3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8" s="29" t="e">
        <f>BG38/DEVSQ(Archive[[#This Row],[Higher Level Standard - Zero 1]:[Higher Level Standard - Zero 2]])</f>
        <v>#VALUE!</v>
      </c>
      <c r="BI38" s="29" t="e">
        <f>BG38*(1/COUNT(Archive[[#This Row],[Candidate Transfer Standard - Zero 1]:[Candidate Transfer Standard - Zero 2]])+AVERAGE(Archive[[#This Row],[Higher Level Standard - Zero 1]:[Higher Level Standard - Zero 2]])^2/DEVSQ(Archive[[#This Row],[Higher Level Standard - Zero 1]:[Higher Level Standard - Zero 2]]))</f>
        <v>#VALUE!</v>
      </c>
      <c r="BJ38" s="29">
        <f>COUNT(Archive[[#This Row],[Candidate Transfer Standard - Zero 1]:[Candidate Transfer Standard - Zero 2]])</f>
        <v>0</v>
      </c>
    </row>
    <row r="39" spans="1:62" x14ac:dyDescent="0.3">
      <c r="A39" s="57"/>
      <c r="BG3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9" s="29" t="e">
        <f>BG39/DEVSQ(Archive[[#This Row],[Higher Level Standard - Zero 1]:[Higher Level Standard - Zero 2]])</f>
        <v>#VALUE!</v>
      </c>
      <c r="BI39" s="29" t="e">
        <f>BG39*(1/COUNT(Archive[[#This Row],[Candidate Transfer Standard - Zero 1]:[Candidate Transfer Standard - Zero 2]])+AVERAGE(Archive[[#This Row],[Higher Level Standard - Zero 1]:[Higher Level Standard - Zero 2]])^2/DEVSQ(Archive[[#This Row],[Higher Level Standard - Zero 1]:[Higher Level Standard - Zero 2]]))</f>
        <v>#VALUE!</v>
      </c>
      <c r="BJ39" s="29">
        <f>COUNT(Archive[[#This Row],[Candidate Transfer Standard - Zero 1]:[Candidate Transfer Standard - Zero 2]])</f>
        <v>0</v>
      </c>
    </row>
    <row r="40" spans="1:62" x14ac:dyDescent="0.3">
      <c r="A40" s="57"/>
      <c r="BG4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0" s="29" t="e">
        <f>BG40/DEVSQ(Archive[[#This Row],[Higher Level Standard - Zero 1]:[Higher Level Standard - Zero 2]])</f>
        <v>#VALUE!</v>
      </c>
      <c r="BI40" s="29" t="e">
        <f>BG40*(1/COUNT(Archive[[#This Row],[Candidate Transfer Standard - Zero 1]:[Candidate Transfer Standard - Zero 2]])+AVERAGE(Archive[[#This Row],[Higher Level Standard - Zero 1]:[Higher Level Standard - Zero 2]])^2/DEVSQ(Archive[[#This Row],[Higher Level Standard - Zero 1]:[Higher Level Standard - Zero 2]]))</f>
        <v>#VALUE!</v>
      </c>
      <c r="BJ40" s="29">
        <f>COUNT(Archive[[#This Row],[Candidate Transfer Standard - Zero 1]:[Candidate Transfer Standard - Zero 2]])</f>
        <v>0</v>
      </c>
    </row>
    <row r="41" spans="1:62" x14ac:dyDescent="0.3">
      <c r="A41" s="57"/>
      <c r="BG4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1" s="29" t="e">
        <f>BG41/DEVSQ(Archive[[#This Row],[Higher Level Standard - Zero 1]:[Higher Level Standard - Zero 2]])</f>
        <v>#VALUE!</v>
      </c>
      <c r="BI41" s="29" t="e">
        <f>BG41*(1/COUNT(Archive[[#This Row],[Candidate Transfer Standard - Zero 1]:[Candidate Transfer Standard - Zero 2]])+AVERAGE(Archive[[#This Row],[Higher Level Standard - Zero 1]:[Higher Level Standard - Zero 2]])^2/DEVSQ(Archive[[#This Row],[Higher Level Standard - Zero 1]:[Higher Level Standard - Zero 2]]))</f>
        <v>#VALUE!</v>
      </c>
      <c r="BJ41" s="29">
        <f>COUNT(Archive[[#This Row],[Candidate Transfer Standard - Zero 1]:[Candidate Transfer Standard - Zero 2]])</f>
        <v>0</v>
      </c>
    </row>
    <row r="42" spans="1:62" x14ac:dyDescent="0.3">
      <c r="A42" s="57"/>
      <c r="BG4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2" s="29" t="e">
        <f>BG42/DEVSQ(Archive[[#This Row],[Higher Level Standard - Zero 1]:[Higher Level Standard - Zero 2]])</f>
        <v>#VALUE!</v>
      </c>
      <c r="BI42" s="29" t="e">
        <f>BG42*(1/COUNT(Archive[[#This Row],[Candidate Transfer Standard - Zero 1]:[Candidate Transfer Standard - Zero 2]])+AVERAGE(Archive[[#This Row],[Higher Level Standard - Zero 1]:[Higher Level Standard - Zero 2]])^2/DEVSQ(Archive[[#This Row],[Higher Level Standard - Zero 1]:[Higher Level Standard - Zero 2]]))</f>
        <v>#VALUE!</v>
      </c>
      <c r="BJ42" s="29">
        <f>COUNT(Archive[[#This Row],[Candidate Transfer Standard - Zero 1]:[Candidate Transfer Standard - Zero 2]])</f>
        <v>0</v>
      </c>
    </row>
    <row r="43" spans="1:62" x14ac:dyDescent="0.3">
      <c r="A43" s="57"/>
      <c r="BG4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3" s="29" t="e">
        <f>BG43/DEVSQ(Archive[[#This Row],[Higher Level Standard - Zero 1]:[Higher Level Standard - Zero 2]])</f>
        <v>#VALUE!</v>
      </c>
      <c r="BI43" s="29" t="e">
        <f>BG43*(1/COUNT(Archive[[#This Row],[Candidate Transfer Standard - Zero 1]:[Candidate Transfer Standard - Zero 2]])+AVERAGE(Archive[[#This Row],[Higher Level Standard - Zero 1]:[Higher Level Standard - Zero 2]])^2/DEVSQ(Archive[[#This Row],[Higher Level Standard - Zero 1]:[Higher Level Standard - Zero 2]]))</f>
        <v>#VALUE!</v>
      </c>
      <c r="BJ43" s="29">
        <f>COUNT(Archive[[#This Row],[Candidate Transfer Standard - Zero 1]:[Candidate Transfer Standard - Zero 2]])</f>
        <v>0</v>
      </c>
    </row>
    <row r="44" spans="1:62" x14ac:dyDescent="0.3">
      <c r="A44" s="57"/>
      <c r="BG4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4" s="29" t="e">
        <f>BG44/DEVSQ(Archive[[#This Row],[Higher Level Standard - Zero 1]:[Higher Level Standard - Zero 2]])</f>
        <v>#VALUE!</v>
      </c>
      <c r="BI44" s="29" t="e">
        <f>BG44*(1/COUNT(Archive[[#This Row],[Candidate Transfer Standard - Zero 1]:[Candidate Transfer Standard - Zero 2]])+AVERAGE(Archive[[#This Row],[Higher Level Standard - Zero 1]:[Higher Level Standard - Zero 2]])^2/DEVSQ(Archive[[#This Row],[Higher Level Standard - Zero 1]:[Higher Level Standard - Zero 2]]))</f>
        <v>#VALUE!</v>
      </c>
      <c r="BJ44" s="29">
        <f>COUNT(Archive[[#This Row],[Candidate Transfer Standard - Zero 1]:[Candidate Transfer Standard - Zero 2]])</f>
        <v>0</v>
      </c>
    </row>
    <row r="45" spans="1:62" x14ac:dyDescent="0.3">
      <c r="A45" s="57"/>
      <c r="BG4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5" s="29" t="e">
        <f>BG45/DEVSQ(Archive[[#This Row],[Higher Level Standard - Zero 1]:[Higher Level Standard - Zero 2]])</f>
        <v>#VALUE!</v>
      </c>
      <c r="BI45" s="29" t="e">
        <f>BG45*(1/COUNT(Archive[[#This Row],[Candidate Transfer Standard - Zero 1]:[Candidate Transfer Standard - Zero 2]])+AVERAGE(Archive[[#This Row],[Higher Level Standard - Zero 1]:[Higher Level Standard - Zero 2]])^2/DEVSQ(Archive[[#This Row],[Higher Level Standard - Zero 1]:[Higher Level Standard - Zero 2]]))</f>
        <v>#VALUE!</v>
      </c>
      <c r="BJ45" s="29">
        <f>COUNT(Archive[[#This Row],[Candidate Transfer Standard - Zero 1]:[Candidate Transfer Standard - Zero 2]])</f>
        <v>0</v>
      </c>
    </row>
    <row r="46" spans="1:62" x14ac:dyDescent="0.3">
      <c r="A46" s="57"/>
      <c r="BG4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6" s="29" t="e">
        <f>BG46/DEVSQ(Archive[[#This Row],[Higher Level Standard - Zero 1]:[Higher Level Standard - Zero 2]])</f>
        <v>#VALUE!</v>
      </c>
      <c r="BI46" s="29" t="e">
        <f>BG46*(1/COUNT(Archive[[#This Row],[Candidate Transfer Standard - Zero 1]:[Candidate Transfer Standard - Zero 2]])+AVERAGE(Archive[[#This Row],[Higher Level Standard - Zero 1]:[Higher Level Standard - Zero 2]])^2/DEVSQ(Archive[[#This Row],[Higher Level Standard - Zero 1]:[Higher Level Standard - Zero 2]]))</f>
        <v>#VALUE!</v>
      </c>
      <c r="BJ46" s="29">
        <f>COUNT(Archive[[#This Row],[Candidate Transfer Standard - Zero 1]:[Candidate Transfer Standard - Zero 2]])</f>
        <v>0</v>
      </c>
    </row>
    <row r="47" spans="1:62" x14ac:dyDescent="0.3">
      <c r="A47" s="57"/>
      <c r="BG4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7" s="29" t="e">
        <f>BG47/DEVSQ(Archive[[#This Row],[Higher Level Standard - Zero 1]:[Higher Level Standard - Zero 2]])</f>
        <v>#VALUE!</v>
      </c>
      <c r="BI47" s="29" t="e">
        <f>BG47*(1/COUNT(Archive[[#This Row],[Candidate Transfer Standard - Zero 1]:[Candidate Transfer Standard - Zero 2]])+AVERAGE(Archive[[#This Row],[Higher Level Standard - Zero 1]:[Higher Level Standard - Zero 2]])^2/DEVSQ(Archive[[#This Row],[Higher Level Standard - Zero 1]:[Higher Level Standard - Zero 2]]))</f>
        <v>#VALUE!</v>
      </c>
      <c r="BJ47" s="29">
        <f>COUNT(Archive[[#This Row],[Candidate Transfer Standard - Zero 1]:[Candidate Transfer Standard - Zero 2]])</f>
        <v>0</v>
      </c>
    </row>
    <row r="48" spans="1:62" x14ac:dyDescent="0.3">
      <c r="A48" s="57"/>
      <c r="BG4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8" s="29" t="e">
        <f>BG48/DEVSQ(Archive[[#This Row],[Higher Level Standard - Zero 1]:[Higher Level Standard - Zero 2]])</f>
        <v>#VALUE!</v>
      </c>
      <c r="BI48" s="29" t="e">
        <f>BG48*(1/COUNT(Archive[[#This Row],[Candidate Transfer Standard - Zero 1]:[Candidate Transfer Standard - Zero 2]])+AVERAGE(Archive[[#This Row],[Higher Level Standard - Zero 1]:[Higher Level Standard - Zero 2]])^2/DEVSQ(Archive[[#This Row],[Higher Level Standard - Zero 1]:[Higher Level Standard - Zero 2]]))</f>
        <v>#VALUE!</v>
      </c>
      <c r="BJ48" s="29">
        <f>COUNT(Archive[[#This Row],[Candidate Transfer Standard - Zero 1]:[Candidate Transfer Standard - Zero 2]])</f>
        <v>0</v>
      </c>
    </row>
    <row r="49" spans="1:62" x14ac:dyDescent="0.3">
      <c r="A49" s="57"/>
      <c r="BG4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9" s="29" t="e">
        <f>BG49/DEVSQ(Archive[[#This Row],[Higher Level Standard - Zero 1]:[Higher Level Standard - Zero 2]])</f>
        <v>#VALUE!</v>
      </c>
      <c r="BI49" s="29" t="e">
        <f>BG49*(1/COUNT(Archive[[#This Row],[Candidate Transfer Standard - Zero 1]:[Candidate Transfer Standard - Zero 2]])+AVERAGE(Archive[[#This Row],[Higher Level Standard - Zero 1]:[Higher Level Standard - Zero 2]])^2/DEVSQ(Archive[[#This Row],[Higher Level Standard - Zero 1]:[Higher Level Standard - Zero 2]]))</f>
        <v>#VALUE!</v>
      </c>
      <c r="BJ49" s="29">
        <f>COUNT(Archive[[#This Row],[Candidate Transfer Standard - Zero 1]:[Candidate Transfer Standard - Zero 2]])</f>
        <v>0</v>
      </c>
    </row>
    <row r="50" spans="1:62" x14ac:dyDescent="0.3">
      <c r="A50" s="57"/>
      <c r="BG5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0" s="29" t="e">
        <f>BG50/DEVSQ(Archive[[#This Row],[Higher Level Standard - Zero 1]:[Higher Level Standard - Zero 2]])</f>
        <v>#VALUE!</v>
      </c>
      <c r="BI50" s="29" t="e">
        <f>BG50*(1/COUNT(Archive[[#This Row],[Candidate Transfer Standard - Zero 1]:[Candidate Transfer Standard - Zero 2]])+AVERAGE(Archive[[#This Row],[Higher Level Standard - Zero 1]:[Higher Level Standard - Zero 2]])^2/DEVSQ(Archive[[#This Row],[Higher Level Standard - Zero 1]:[Higher Level Standard - Zero 2]]))</f>
        <v>#VALUE!</v>
      </c>
      <c r="BJ50" s="29">
        <f>COUNT(Archive[[#This Row],[Candidate Transfer Standard - Zero 1]:[Candidate Transfer Standard - Zero 2]])</f>
        <v>0</v>
      </c>
    </row>
    <row r="51" spans="1:62" x14ac:dyDescent="0.3">
      <c r="A51" s="57"/>
      <c r="BG5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1" s="29" t="e">
        <f>BG51/DEVSQ(Archive[[#This Row],[Higher Level Standard - Zero 1]:[Higher Level Standard - Zero 2]])</f>
        <v>#VALUE!</v>
      </c>
      <c r="BI51" s="29" t="e">
        <f>BG51*(1/COUNT(Archive[[#This Row],[Candidate Transfer Standard - Zero 1]:[Candidate Transfer Standard - Zero 2]])+AVERAGE(Archive[[#This Row],[Higher Level Standard - Zero 1]:[Higher Level Standard - Zero 2]])^2/DEVSQ(Archive[[#This Row],[Higher Level Standard - Zero 1]:[Higher Level Standard - Zero 2]]))</f>
        <v>#VALUE!</v>
      </c>
      <c r="BJ51" s="29">
        <f>COUNT(Archive[[#This Row],[Candidate Transfer Standard - Zero 1]:[Candidate Transfer Standard - Zero 2]])</f>
        <v>0</v>
      </c>
    </row>
    <row r="52" spans="1:62" x14ac:dyDescent="0.3">
      <c r="A52" s="57"/>
      <c r="BG5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2" s="29" t="e">
        <f>BG52/DEVSQ(Archive[[#This Row],[Higher Level Standard - Zero 1]:[Higher Level Standard - Zero 2]])</f>
        <v>#VALUE!</v>
      </c>
      <c r="BI52" s="29" t="e">
        <f>BG52*(1/COUNT(Archive[[#This Row],[Candidate Transfer Standard - Zero 1]:[Candidate Transfer Standard - Zero 2]])+AVERAGE(Archive[[#This Row],[Higher Level Standard - Zero 1]:[Higher Level Standard - Zero 2]])^2/DEVSQ(Archive[[#This Row],[Higher Level Standard - Zero 1]:[Higher Level Standard - Zero 2]]))</f>
        <v>#VALUE!</v>
      </c>
      <c r="BJ52" s="29">
        <f>COUNT(Archive[[#This Row],[Candidate Transfer Standard - Zero 1]:[Candidate Transfer Standard - Zero 2]])</f>
        <v>0</v>
      </c>
    </row>
    <row r="53" spans="1:62" x14ac:dyDescent="0.3">
      <c r="A53" s="57"/>
      <c r="BG5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3" s="29" t="e">
        <f>BG53/DEVSQ(Archive[[#This Row],[Higher Level Standard - Zero 1]:[Higher Level Standard - Zero 2]])</f>
        <v>#VALUE!</v>
      </c>
      <c r="BI53" s="29" t="e">
        <f>BG53*(1/COUNT(Archive[[#This Row],[Candidate Transfer Standard - Zero 1]:[Candidate Transfer Standard - Zero 2]])+AVERAGE(Archive[[#This Row],[Higher Level Standard - Zero 1]:[Higher Level Standard - Zero 2]])^2/DEVSQ(Archive[[#This Row],[Higher Level Standard - Zero 1]:[Higher Level Standard - Zero 2]]))</f>
        <v>#VALUE!</v>
      </c>
      <c r="BJ53" s="29">
        <f>COUNT(Archive[[#This Row],[Candidate Transfer Standard - Zero 1]:[Candidate Transfer Standard - Zero 2]])</f>
        <v>0</v>
      </c>
    </row>
    <row r="54" spans="1:62" x14ac:dyDescent="0.3">
      <c r="A54" s="57"/>
      <c r="BG5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4" s="29" t="e">
        <f>BG54/DEVSQ(Archive[[#This Row],[Higher Level Standard - Zero 1]:[Higher Level Standard - Zero 2]])</f>
        <v>#VALUE!</v>
      </c>
      <c r="BI54" s="29" t="e">
        <f>BG54*(1/COUNT(Archive[[#This Row],[Candidate Transfer Standard - Zero 1]:[Candidate Transfer Standard - Zero 2]])+AVERAGE(Archive[[#This Row],[Higher Level Standard - Zero 1]:[Higher Level Standard - Zero 2]])^2/DEVSQ(Archive[[#This Row],[Higher Level Standard - Zero 1]:[Higher Level Standard - Zero 2]]))</f>
        <v>#VALUE!</v>
      </c>
      <c r="BJ54" s="29">
        <f>COUNT(Archive[[#This Row],[Candidate Transfer Standard - Zero 1]:[Candidate Transfer Standard - Zero 2]])</f>
        <v>0</v>
      </c>
    </row>
    <row r="55" spans="1:62" x14ac:dyDescent="0.3">
      <c r="A55" s="57"/>
      <c r="BG5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5" s="29" t="e">
        <f>BG55/DEVSQ(Archive[[#This Row],[Higher Level Standard - Zero 1]:[Higher Level Standard - Zero 2]])</f>
        <v>#VALUE!</v>
      </c>
      <c r="BI55" s="29" t="e">
        <f>BG55*(1/COUNT(Archive[[#This Row],[Candidate Transfer Standard - Zero 1]:[Candidate Transfer Standard - Zero 2]])+AVERAGE(Archive[[#This Row],[Higher Level Standard - Zero 1]:[Higher Level Standard - Zero 2]])^2/DEVSQ(Archive[[#This Row],[Higher Level Standard - Zero 1]:[Higher Level Standard - Zero 2]]))</f>
        <v>#VALUE!</v>
      </c>
      <c r="BJ55" s="29">
        <f>COUNT(Archive[[#This Row],[Candidate Transfer Standard - Zero 1]:[Candidate Transfer Standard - Zero 2]])</f>
        <v>0</v>
      </c>
    </row>
    <row r="56" spans="1:62" x14ac:dyDescent="0.3">
      <c r="A56" s="57"/>
      <c r="BG5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6" s="29" t="e">
        <f>BG56/DEVSQ(Archive[[#This Row],[Higher Level Standard - Zero 1]:[Higher Level Standard - Zero 2]])</f>
        <v>#VALUE!</v>
      </c>
      <c r="BI56" s="29" t="e">
        <f>BG56*(1/COUNT(Archive[[#This Row],[Candidate Transfer Standard - Zero 1]:[Candidate Transfer Standard - Zero 2]])+AVERAGE(Archive[[#This Row],[Higher Level Standard - Zero 1]:[Higher Level Standard - Zero 2]])^2/DEVSQ(Archive[[#This Row],[Higher Level Standard - Zero 1]:[Higher Level Standard - Zero 2]]))</f>
        <v>#VALUE!</v>
      </c>
      <c r="BJ56" s="29">
        <f>COUNT(Archive[[#This Row],[Candidate Transfer Standard - Zero 1]:[Candidate Transfer Standard - Zero 2]])</f>
        <v>0</v>
      </c>
    </row>
    <row r="57" spans="1:62" x14ac:dyDescent="0.3">
      <c r="A57" s="57"/>
      <c r="BG5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7" s="29" t="e">
        <f>BG57/DEVSQ(Archive[[#This Row],[Higher Level Standard - Zero 1]:[Higher Level Standard - Zero 2]])</f>
        <v>#VALUE!</v>
      </c>
      <c r="BI57" s="29" t="e">
        <f>BG57*(1/COUNT(Archive[[#This Row],[Candidate Transfer Standard - Zero 1]:[Candidate Transfer Standard - Zero 2]])+AVERAGE(Archive[[#This Row],[Higher Level Standard - Zero 1]:[Higher Level Standard - Zero 2]])^2/DEVSQ(Archive[[#This Row],[Higher Level Standard - Zero 1]:[Higher Level Standard - Zero 2]]))</f>
        <v>#VALUE!</v>
      </c>
      <c r="BJ57" s="29">
        <f>COUNT(Archive[[#This Row],[Candidate Transfer Standard - Zero 1]:[Candidate Transfer Standard - Zero 2]])</f>
        <v>0</v>
      </c>
    </row>
    <row r="58" spans="1:62" x14ac:dyDescent="0.3">
      <c r="A58" s="57"/>
      <c r="BG5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8" s="29" t="e">
        <f>BG58/DEVSQ(Archive[[#This Row],[Higher Level Standard - Zero 1]:[Higher Level Standard - Zero 2]])</f>
        <v>#VALUE!</v>
      </c>
      <c r="BI58" s="29" t="e">
        <f>BG58*(1/COUNT(Archive[[#This Row],[Candidate Transfer Standard - Zero 1]:[Candidate Transfer Standard - Zero 2]])+AVERAGE(Archive[[#This Row],[Higher Level Standard - Zero 1]:[Higher Level Standard - Zero 2]])^2/DEVSQ(Archive[[#This Row],[Higher Level Standard - Zero 1]:[Higher Level Standard - Zero 2]]))</f>
        <v>#VALUE!</v>
      </c>
      <c r="BJ58" s="29">
        <f>COUNT(Archive[[#This Row],[Candidate Transfer Standard - Zero 1]:[Candidate Transfer Standard - Zero 2]])</f>
        <v>0</v>
      </c>
    </row>
    <row r="59" spans="1:62" x14ac:dyDescent="0.3">
      <c r="A59" s="57"/>
      <c r="BG5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9" s="29" t="e">
        <f>BG59/DEVSQ(Archive[[#This Row],[Higher Level Standard - Zero 1]:[Higher Level Standard - Zero 2]])</f>
        <v>#VALUE!</v>
      </c>
      <c r="BI59" s="29" t="e">
        <f>BG59*(1/COUNT(Archive[[#This Row],[Candidate Transfer Standard - Zero 1]:[Candidate Transfer Standard - Zero 2]])+AVERAGE(Archive[[#This Row],[Higher Level Standard - Zero 1]:[Higher Level Standard - Zero 2]])^2/DEVSQ(Archive[[#This Row],[Higher Level Standard - Zero 1]:[Higher Level Standard - Zero 2]]))</f>
        <v>#VALUE!</v>
      </c>
      <c r="BJ59" s="29">
        <f>COUNT(Archive[[#This Row],[Candidate Transfer Standard - Zero 1]:[Candidate Transfer Standard - Zero 2]])</f>
        <v>0</v>
      </c>
    </row>
    <row r="60" spans="1:62" x14ac:dyDescent="0.3">
      <c r="A60" s="57"/>
      <c r="BG6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0" s="29" t="e">
        <f>BG60/DEVSQ(Archive[[#This Row],[Higher Level Standard - Zero 1]:[Higher Level Standard - Zero 2]])</f>
        <v>#VALUE!</v>
      </c>
      <c r="BI60" s="29" t="e">
        <f>BG60*(1/COUNT(Archive[[#This Row],[Candidate Transfer Standard - Zero 1]:[Candidate Transfer Standard - Zero 2]])+AVERAGE(Archive[[#This Row],[Higher Level Standard - Zero 1]:[Higher Level Standard - Zero 2]])^2/DEVSQ(Archive[[#This Row],[Higher Level Standard - Zero 1]:[Higher Level Standard - Zero 2]]))</f>
        <v>#VALUE!</v>
      </c>
      <c r="BJ60" s="29">
        <f>COUNT(Archive[[#This Row],[Candidate Transfer Standard - Zero 1]:[Candidate Transfer Standard - Zero 2]])</f>
        <v>0</v>
      </c>
    </row>
    <row r="61" spans="1:62" x14ac:dyDescent="0.3">
      <c r="A61" s="57"/>
      <c r="BG6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1" s="29" t="e">
        <f>BG61/DEVSQ(Archive[[#This Row],[Higher Level Standard - Zero 1]:[Higher Level Standard - Zero 2]])</f>
        <v>#VALUE!</v>
      </c>
      <c r="BI61" s="29" t="e">
        <f>BG61*(1/COUNT(Archive[[#This Row],[Candidate Transfer Standard - Zero 1]:[Candidate Transfer Standard - Zero 2]])+AVERAGE(Archive[[#This Row],[Higher Level Standard - Zero 1]:[Higher Level Standard - Zero 2]])^2/DEVSQ(Archive[[#This Row],[Higher Level Standard - Zero 1]:[Higher Level Standard - Zero 2]]))</f>
        <v>#VALUE!</v>
      </c>
      <c r="BJ61" s="29">
        <f>COUNT(Archive[[#This Row],[Candidate Transfer Standard - Zero 1]:[Candidate Transfer Standard - Zero 2]])</f>
        <v>0</v>
      </c>
    </row>
    <row r="62" spans="1:62" x14ac:dyDescent="0.3">
      <c r="A62" s="57"/>
      <c r="BG6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2" s="29" t="e">
        <f>BG62/DEVSQ(Archive[[#This Row],[Higher Level Standard - Zero 1]:[Higher Level Standard - Zero 2]])</f>
        <v>#VALUE!</v>
      </c>
      <c r="BI62" s="29" t="e">
        <f>BG62*(1/COUNT(Archive[[#This Row],[Candidate Transfer Standard - Zero 1]:[Candidate Transfer Standard - Zero 2]])+AVERAGE(Archive[[#This Row],[Higher Level Standard - Zero 1]:[Higher Level Standard - Zero 2]])^2/DEVSQ(Archive[[#This Row],[Higher Level Standard - Zero 1]:[Higher Level Standard - Zero 2]]))</f>
        <v>#VALUE!</v>
      </c>
      <c r="BJ62" s="29">
        <f>COUNT(Archive[[#This Row],[Candidate Transfer Standard - Zero 1]:[Candidate Transfer Standard - Zero 2]])</f>
        <v>0</v>
      </c>
    </row>
    <row r="63" spans="1:62" x14ac:dyDescent="0.3">
      <c r="A63" s="57"/>
      <c r="BG6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3" s="29" t="e">
        <f>BG63/DEVSQ(Archive[[#This Row],[Higher Level Standard - Zero 1]:[Higher Level Standard - Zero 2]])</f>
        <v>#VALUE!</v>
      </c>
      <c r="BI63" s="29" t="e">
        <f>BG63*(1/COUNT(Archive[[#This Row],[Candidate Transfer Standard - Zero 1]:[Candidate Transfer Standard - Zero 2]])+AVERAGE(Archive[[#This Row],[Higher Level Standard - Zero 1]:[Higher Level Standard - Zero 2]])^2/DEVSQ(Archive[[#This Row],[Higher Level Standard - Zero 1]:[Higher Level Standard - Zero 2]]))</f>
        <v>#VALUE!</v>
      </c>
      <c r="BJ63" s="29">
        <f>COUNT(Archive[[#This Row],[Candidate Transfer Standard - Zero 1]:[Candidate Transfer Standard - Zero 2]])</f>
        <v>0</v>
      </c>
    </row>
    <row r="64" spans="1:62" x14ac:dyDescent="0.3">
      <c r="A64" s="57"/>
      <c r="BG6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4" s="29" t="e">
        <f>BG64/DEVSQ(Archive[[#This Row],[Higher Level Standard - Zero 1]:[Higher Level Standard - Zero 2]])</f>
        <v>#VALUE!</v>
      </c>
      <c r="BI64" s="29" t="e">
        <f>BG64*(1/COUNT(Archive[[#This Row],[Candidate Transfer Standard - Zero 1]:[Candidate Transfer Standard - Zero 2]])+AVERAGE(Archive[[#This Row],[Higher Level Standard - Zero 1]:[Higher Level Standard - Zero 2]])^2/DEVSQ(Archive[[#This Row],[Higher Level Standard - Zero 1]:[Higher Level Standard - Zero 2]]))</f>
        <v>#VALUE!</v>
      </c>
      <c r="BJ64" s="29">
        <f>COUNT(Archive[[#This Row],[Candidate Transfer Standard - Zero 1]:[Candidate Transfer Standard - Zero 2]])</f>
        <v>0</v>
      </c>
    </row>
    <row r="65" spans="1:62" x14ac:dyDescent="0.3">
      <c r="A65" s="57"/>
      <c r="BG6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5" s="29" t="e">
        <f>BG65/DEVSQ(Archive[[#This Row],[Higher Level Standard - Zero 1]:[Higher Level Standard - Zero 2]])</f>
        <v>#VALUE!</v>
      </c>
      <c r="BI65" s="29" t="e">
        <f>BG65*(1/COUNT(Archive[[#This Row],[Candidate Transfer Standard - Zero 1]:[Candidate Transfer Standard - Zero 2]])+AVERAGE(Archive[[#This Row],[Higher Level Standard - Zero 1]:[Higher Level Standard - Zero 2]])^2/DEVSQ(Archive[[#This Row],[Higher Level Standard - Zero 1]:[Higher Level Standard - Zero 2]]))</f>
        <v>#VALUE!</v>
      </c>
      <c r="BJ65" s="29">
        <f>COUNT(Archive[[#This Row],[Candidate Transfer Standard - Zero 1]:[Candidate Transfer Standard - Zero 2]])</f>
        <v>0</v>
      </c>
    </row>
    <row r="66" spans="1:62" x14ac:dyDescent="0.3">
      <c r="A66" s="57"/>
      <c r="BG6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6" s="29" t="e">
        <f>BG66/DEVSQ(Archive[[#This Row],[Higher Level Standard - Zero 1]:[Higher Level Standard - Zero 2]])</f>
        <v>#VALUE!</v>
      </c>
      <c r="BI66" s="29" t="e">
        <f>BG66*(1/COUNT(Archive[[#This Row],[Candidate Transfer Standard - Zero 1]:[Candidate Transfer Standard - Zero 2]])+AVERAGE(Archive[[#This Row],[Higher Level Standard - Zero 1]:[Higher Level Standard - Zero 2]])^2/DEVSQ(Archive[[#This Row],[Higher Level Standard - Zero 1]:[Higher Level Standard - Zero 2]]))</f>
        <v>#VALUE!</v>
      </c>
      <c r="BJ66" s="29">
        <f>COUNT(Archive[[#This Row],[Candidate Transfer Standard - Zero 1]:[Candidate Transfer Standard - Zero 2]])</f>
        <v>0</v>
      </c>
    </row>
    <row r="67" spans="1:62" x14ac:dyDescent="0.3">
      <c r="A67" s="57"/>
      <c r="BG6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7" s="29" t="e">
        <f>BG67/DEVSQ(Archive[[#This Row],[Higher Level Standard - Zero 1]:[Higher Level Standard - Zero 2]])</f>
        <v>#VALUE!</v>
      </c>
      <c r="BI67" s="29" t="e">
        <f>BG67*(1/COUNT(Archive[[#This Row],[Candidate Transfer Standard - Zero 1]:[Candidate Transfer Standard - Zero 2]])+AVERAGE(Archive[[#This Row],[Higher Level Standard - Zero 1]:[Higher Level Standard - Zero 2]])^2/DEVSQ(Archive[[#This Row],[Higher Level Standard - Zero 1]:[Higher Level Standard - Zero 2]]))</f>
        <v>#VALUE!</v>
      </c>
      <c r="BJ67" s="29">
        <f>COUNT(Archive[[#This Row],[Candidate Transfer Standard - Zero 1]:[Candidate Transfer Standard - Zero 2]])</f>
        <v>0</v>
      </c>
    </row>
    <row r="68" spans="1:62" x14ac:dyDescent="0.3">
      <c r="A68" s="57"/>
      <c r="BG6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8" s="29" t="e">
        <f>BG68/DEVSQ(Archive[[#This Row],[Higher Level Standard - Zero 1]:[Higher Level Standard - Zero 2]])</f>
        <v>#VALUE!</v>
      </c>
      <c r="BI68" s="29" t="e">
        <f>BG68*(1/COUNT(Archive[[#This Row],[Candidate Transfer Standard - Zero 1]:[Candidate Transfer Standard - Zero 2]])+AVERAGE(Archive[[#This Row],[Higher Level Standard - Zero 1]:[Higher Level Standard - Zero 2]])^2/DEVSQ(Archive[[#This Row],[Higher Level Standard - Zero 1]:[Higher Level Standard - Zero 2]]))</f>
        <v>#VALUE!</v>
      </c>
      <c r="BJ68" s="29">
        <f>COUNT(Archive[[#This Row],[Candidate Transfer Standard - Zero 1]:[Candidate Transfer Standard - Zero 2]])</f>
        <v>0</v>
      </c>
    </row>
    <row r="69" spans="1:62" x14ac:dyDescent="0.3">
      <c r="A69" s="57"/>
      <c r="BG6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9" s="29" t="e">
        <f>BG69/DEVSQ(Archive[[#This Row],[Higher Level Standard - Zero 1]:[Higher Level Standard - Zero 2]])</f>
        <v>#VALUE!</v>
      </c>
      <c r="BI69" s="29" t="e">
        <f>BG69*(1/COUNT(Archive[[#This Row],[Candidate Transfer Standard - Zero 1]:[Candidate Transfer Standard - Zero 2]])+AVERAGE(Archive[[#This Row],[Higher Level Standard - Zero 1]:[Higher Level Standard - Zero 2]])^2/DEVSQ(Archive[[#This Row],[Higher Level Standard - Zero 1]:[Higher Level Standard - Zero 2]]))</f>
        <v>#VALUE!</v>
      </c>
      <c r="BJ69" s="29">
        <f>COUNT(Archive[[#This Row],[Candidate Transfer Standard - Zero 1]:[Candidate Transfer Standard - Zero 2]])</f>
        <v>0</v>
      </c>
    </row>
    <row r="70" spans="1:62" x14ac:dyDescent="0.3">
      <c r="A70" s="57"/>
      <c r="BG7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0" s="29" t="e">
        <f>BG70/DEVSQ(Archive[[#This Row],[Higher Level Standard - Zero 1]:[Higher Level Standard - Zero 2]])</f>
        <v>#VALUE!</v>
      </c>
      <c r="BI70" s="29" t="e">
        <f>BG70*(1/COUNT(Archive[[#This Row],[Candidate Transfer Standard - Zero 1]:[Candidate Transfer Standard - Zero 2]])+AVERAGE(Archive[[#This Row],[Higher Level Standard - Zero 1]:[Higher Level Standard - Zero 2]])^2/DEVSQ(Archive[[#This Row],[Higher Level Standard - Zero 1]:[Higher Level Standard - Zero 2]]))</f>
        <v>#VALUE!</v>
      </c>
      <c r="BJ70" s="29">
        <f>COUNT(Archive[[#This Row],[Candidate Transfer Standard - Zero 1]:[Candidate Transfer Standard - Zero 2]])</f>
        <v>0</v>
      </c>
    </row>
    <row r="71" spans="1:62" x14ac:dyDescent="0.3">
      <c r="A71" s="57"/>
      <c r="BG7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1" s="29" t="e">
        <f>BG71/DEVSQ(Archive[[#This Row],[Higher Level Standard - Zero 1]:[Higher Level Standard - Zero 2]])</f>
        <v>#VALUE!</v>
      </c>
      <c r="BI71" s="29" t="e">
        <f>BG71*(1/COUNT(Archive[[#This Row],[Candidate Transfer Standard - Zero 1]:[Candidate Transfer Standard - Zero 2]])+AVERAGE(Archive[[#This Row],[Higher Level Standard - Zero 1]:[Higher Level Standard - Zero 2]])^2/DEVSQ(Archive[[#This Row],[Higher Level Standard - Zero 1]:[Higher Level Standard - Zero 2]]))</f>
        <v>#VALUE!</v>
      </c>
      <c r="BJ71" s="29">
        <f>COUNT(Archive[[#This Row],[Candidate Transfer Standard - Zero 1]:[Candidate Transfer Standard - Zero 2]])</f>
        <v>0</v>
      </c>
    </row>
    <row r="72" spans="1:62" x14ac:dyDescent="0.3">
      <c r="A72" s="57"/>
      <c r="BG7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2" s="29" t="e">
        <f>BG72/DEVSQ(Archive[[#This Row],[Higher Level Standard - Zero 1]:[Higher Level Standard - Zero 2]])</f>
        <v>#VALUE!</v>
      </c>
      <c r="BI72" s="29" t="e">
        <f>BG72*(1/COUNT(Archive[[#This Row],[Candidate Transfer Standard - Zero 1]:[Candidate Transfer Standard - Zero 2]])+AVERAGE(Archive[[#This Row],[Higher Level Standard - Zero 1]:[Higher Level Standard - Zero 2]])^2/DEVSQ(Archive[[#This Row],[Higher Level Standard - Zero 1]:[Higher Level Standard - Zero 2]]))</f>
        <v>#VALUE!</v>
      </c>
      <c r="BJ72" s="29">
        <f>COUNT(Archive[[#This Row],[Candidate Transfer Standard - Zero 1]:[Candidate Transfer Standard - Zero 2]])</f>
        <v>0</v>
      </c>
    </row>
    <row r="73" spans="1:62" x14ac:dyDescent="0.3">
      <c r="A73" s="57"/>
      <c r="BG7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3" s="29" t="e">
        <f>BG73/DEVSQ(Archive[[#This Row],[Higher Level Standard - Zero 1]:[Higher Level Standard - Zero 2]])</f>
        <v>#VALUE!</v>
      </c>
      <c r="BI73" s="29" t="e">
        <f>BG73*(1/COUNT(Archive[[#This Row],[Candidate Transfer Standard - Zero 1]:[Candidate Transfer Standard - Zero 2]])+AVERAGE(Archive[[#This Row],[Higher Level Standard - Zero 1]:[Higher Level Standard - Zero 2]])^2/DEVSQ(Archive[[#This Row],[Higher Level Standard - Zero 1]:[Higher Level Standard - Zero 2]]))</f>
        <v>#VALUE!</v>
      </c>
      <c r="BJ73" s="29">
        <f>COUNT(Archive[[#This Row],[Candidate Transfer Standard - Zero 1]:[Candidate Transfer Standard - Zero 2]])</f>
        <v>0</v>
      </c>
    </row>
    <row r="74" spans="1:62" x14ac:dyDescent="0.3">
      <c r="A74" s="57"/>
      <c r="BG7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4" s="29" t="e">
        <f>BG74/DEVSQ(Archive[[#This Row],[Higher Level Standard - Zero 1]:[Higher Level Standard - Zero 2]])</f>
        <v>#VALUE!</v>
      </c>
      <c r="BI74" s="29" t="e">
        <f>BG74*(1/COUNT(Archive[[#This Row],[Candidate Transfer Standard - Zero 1]:[Candidate Transfer Standard - Zero 2]])+AVERAGE(Archive[[#This Row],[Higher Level Standard - Zero 1]:[Higher Level Standard - Zero 2]])^2/DEVSQ(Archive[[#This Row],[Higher Level Standard - Zero 1]:[Higher Level Standard - Zero 2]]))</f>
        <v>#VALUE!</v>
      </c>
      <c r="BJ74" s="29">
        <f>COUNT(Archive[[#This Row],[Candidate Transfer Standard - Zero 1]:[Candidate Transfer Standard - Zero 2]])</f>
        <v>0</v>
      </c>
    </row>
    <row r="75" spans="1:62" x14ac:dyDescent="0.3">
      <c r="A75" s="57"/>
      <c r="BG7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5" s="29" t="e">
        <f>BG75/DEVSQ(Archive[[#This Row],[Higher Level Standard - Zero 1]:[Higher Level Standard - Zero 2]])</f>
        <v>#VALUE!</v>
      </c>
      <c r="BI75" s="29" t="e">
        <f>BG75*(1/COUNT(Archive[[#This Row],[Candidate Transfer Standard - Zero 1]:[Candidate Transfer Standard - Zero 2]])+AVERAGE(Archive[[#This Row],[Higher Level Standard - Zero 1]:[Higher Level Standard - Zero 2]])^2/DEVSQ(Archive[[#This Row],[Higher Level Standard - Zero 1]:[Higher Level Standard - Zero 2]]))</f>
        <v>#VALUE!</v>
      </c>
      <c r="BJ75" s="29">
        <f>COUNT(Archive[[#This Row],[Candidate Transfer Standard - Zero 1]:[Candidate Transfer Standard - Zero 2]])</f>
        <v>0</v>
      </c>
    </row>
    <row r="76" spans="1:62" x14ac:dyDescent="0.3">
      <c r="A76" s="57"/>
      <c r="BG7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6" s="29" t="e">
        <f>BG76/DEVSQ(Archive[[#This Row],[Higher Level Standard - Zero 1]:[Higher Level Standard - Zero 2]])</f>
        <v>#VALUE!</v>
      </c>
      <c r="BI76" s="29" t="e">
        <f>BG76*(1/COUNT(Archive[[#This Row],[Candidate Transfer Standard - Zero 1]:[Candidate Transfer Standard - Zero 2]])+AVERAGE(Archive[[#This Row],[Higher Level Standard - Zero 1]:[Higher Level Standard - Zero 2]])^2/DEVSQ(Archive[[#This Row],[Higher Level Standard - Zero 1]:[Higher Level Standard - Zero 2]]))</f>
        <v>#VALUE!</v>
      </c>
      <c r="BJ76" s="29">
        <f>COUNT(Archive[[#This Row],[Candidate Transfer Standard - Zero 1]:[Candidate Transfer Standard - Zero 2]])</f>
        <v>0</v>
      </c>
    </row>
    <row r="77" spans="1:62" x14ac:dyDescent="0.3">
      <c r="A77" s="57"/>
      <c r="BG7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7" s="29" t="e">
        <f>BG77/DEVSQ(Archive[[#This Row],[Higher Level Standard - Zero 1]:[Higher Level Standard - Zero 2]])</f>
        <v>#VALUE!</v>
      </c>
      <c r="BI77" s="29" t="e">
        <f>BG77*(1/COUNT(Archive[[#This Row],[Candidate Transfer Standard - Zero 1]:[Candidate Transfer Standard - Zero 2]])+AVERAGE(Archive[[#This Row],[Higher Level Standard - Zero 1]:[Higher Level Standard - Zero 2]])^2/DEVSQ(Archive[[#This Row],[Higher Level Standard - Zero 1]:[Higher Level Standard - Zero 2]]))</f>
        <v>#VALUE!</v>
      </c>
      <c r="BJ77" s="29">
        <f>COUNT(Archive[[#This Row],[Candidate Transfer Standard - Zero 1]:[Candidate Transfer Standard - Zero 2]])</f>
        <v>0</v>
      </c>
    </row>
    <row r="78" spans="1:62" x14ac:dyDescent="0.3">
      <c r="A78" s="57"/>
      <c r="BG7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8" s="29" t="e">
        <f>BG78/DEVSQ(Archive[[#This Row],[Higher Level Standard - Zero 1]:[Higher Level Standard - Zero 2]])</f>
        <v>#VALUE!</v>
      </c>
      <c r="BI78" s="29" t="e">
        <f>BG78*(1/COUNT(Archive[[#This Row],[Candidate Transfer Standard - Zero 1]:[Candidate Transfer Standard - Zero 2]])+AVERAGE(Archive[[#This Row],[Higher Level Standard - Zero 1]:[Higher Level Standard - Zero 2]])^2/DEVSQ(Archive[[#This Row],[Higher Level Standard - Zero 1]:[Higher Level Standard - Zero 2]]))</f>
        <v>#VALUE!</v>
      </c>
      <c r="BJ78" s="29">
        <f>COUNT(Archive[[#This Row],[Candidate Transfer Standard - Zero 1]:[Candidate Transfer Standard - Zero 2]])</f>
        <v>0</v>
      </c>
    </row>
    <row r="79" spans="1:62" x14ac:dyDescent="0.3">
      <c r="A79" s="57"/>
      <c r="BG7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9" s="29" t="e">
        <f>BG79/DEVSQ(Archive[[#This Row],[Higher Level Standard - Zero 1]:[Higher Level Standard - Zero 2]])</f>
        <v>#VALUE!</v>
      </c>
      <c r="BI79" s="29" t="e">
        <f>BG79*(1/COUNT(Archive[[#This Row],[Candidate Transfer Standard - Zero 1]:[Candidate Transfer Standard - Zero 2]])+AVERAGE(Archive[[#This Row],[Higher Level Standard - Zero 1]:[Higher Level Standard - Zero 2]])^2/DEVSQ(Archive[[#This Row],[Higher Level Standard - Zero 1]:[Higher Level Standard - Zero 2]]))</f>
        <v>#VALUE!</v>
      </c>
      <c r="BJ79" s="29">
        <f>COUNT(Archive[[#This Row],[Candidate Transfer Standard - Zero 1]:[Candidate Transfer Standard - Zero 2]])</f>
        <v>0</v>
      </c>
    </row>
    <row r="80" spans="1:62" x14ac:dyDescent="0.3">
      <c r="A80" s="57"/>
      <c r="BG8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0" s="29" t="e">
        <f>BG80/DEVSQ(Archive[[#This Row],[Higher Level Standard - Zero 1]:[Higher Level Standard - Zero 2]])</f>
        <v>#VALUE!</v>
      </c>
      <c r="BI80" s="29" t="e">
        <f>BG80*(1/COUNT(Archive[[#This Row],[Candidate Transfer Standard - Zero 1]:[Candidate Transfer Standard - Zero 2]])+AVERAGE(Archive[[#This Row],[Higher Level Standard - Zero 1]:[Higher Level Standard - Zero 2]])^2/DEVSQ(Archive[[#This Row],[Higher Level Standard - Zero 1]:[Higher Level Standard - Zero 2]]))</f>
        <v>#VALUE!</v>
      </c>
      <c r="BJ80" s="29">
        <f>COUNT(Archive[[#This Row],[Candidate Transfer Standard - Zero 1]:[Candidate Transfer Standard - Zero 2]])</f>
        <v>0</v>
      </c>
    </row>
    <row r="81" spans="1:62" x14ac:dyDescent="0.3">
      <c r="A81" s="57"/>
      <c r="BG8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1" s="29" t="e">
        <f>BG81/DEVSQ(Archive[[#This Row],[Higher Level Standard - Zero 1]:[Higher Level Standard - Zero 2]])</f>
        <v>#VALUE!</v>
      </c>
      <c r="BI81" s="29" t="e">
        <f>BG81*(1/COUNT(Archive[[#This Row],[Candidate Transfer Standard - Zero 1]:[Candidate Transfer Standard - Zero 2]])+AVERAGE(Archive[[#This Row],[Higher Level Standard - Zero 1]:[Higher Level Standard - Zero 2]])^2/DEVSQ(Archive[[#This Row],[Higher Level Standard - Zero 1]:[Higher Level Standard - Zero 2]]))</f>
        <v>#VALUE!</v>
      </c>
      <c r="BJ81" s="29">
        <f>COUNT(Archive[[#This Row],[Candidate Transfer Standard - Zero 1]:[Candidate Transfer Standard - Zero 2]])</f>
        <v>0</v>
      </c>
    </row>
    <row r="82" spans="1:62" x14ac:dyDescent="0.3">
      <c r="A82" s="57"/>
      <c r="BG8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2" s="29" t="e">
        <f>BG82/DEVSQ(Archive[[#This Row],[Higher Level Standard - Zero 1]:[Higher Level Standard - Zero 2]])</f>
        <v>#VALUE!</v>
      </c>
      <c r="BI82" s="29" t="e">
        <f>BG82*(1/COUNT(Archive[[#This Row],[Candidate Transfer Standard - Zero 1]:[Candidate Transfer Standard - Zero 2]])+AVERAGE(Archive[[#This Row],[Higher Level Standard - Zero 1]:[Higher Level Standard - Zero 2]])^2/DEVSQ(Archive[[#This Row],[Higher Level Standard - Zero 1]:[Higher Level Standard - Zero 2]]))</f>
        <v>#VALUE!</v>
      </c>
      <c r="BJ82" s="29">
        <f>COUNT(Archive[[#This Row],[Candidate Transfer Standard - Zero 1]:[Candidate Transfer Standard - Zero 2]])</f>
        <v>0</v>
      </c>
    </row>
    <row r="83" spans="1:62" x14ac:dyDescent="0.3">
      <c r="A83" s="57"/>
      <c r="BG8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3" s="29" t="e">
        <f>BG83/DEVSQ(Archive[[#This Row],[Higher Level Standard - Zero 1]:[Higher Level Standard - Zero 2]])</f>
        <v>#VALUE!</v>
      </c>
      <c r="BI83" s="29" t="e">
        <f>BG83*(1/COUNT(Archive[[#This Row],[Candidate Transfer Standard - Zero 1]:[Candidate Transfer Standard - Zero 2]])+AVERAGE(Archive[[#This Row],[Higher Level Standard - Zero 1]:[Higher Level Standard - Zero 2]])^2/DEVSQ(Archive[[#This Row],[Higher Level Standard - Zero 1]:[Higher Level Standard - Zero 2]]))</f>
        <v>#VALUE!</v>
      </c>
      <c r="BJ83" s="29">
        <f>COUNT(Archive[[#This Row],[Candidate Transfer Standard - Zero 1]:[Candidate Transfer Standard - Zero 2]])</f>
        <v>0</v>
      </c>
    </row>
    <row r="84" spans="1:62" x14ac:dyDescent="0.3">
      <c r="A84" s="57"/>
      <c r="BG8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4" s="29" t="e">
        <f>BG84/DEVSQ(Archive[[#This Row],[Higher Level Standard - Zero 1]:[Higher Level Standard - Zero 2]])</f>
        <v>#VALUE!</v>
      </c>
      <c r="BI84" s="29" t="e">
        <f>BG84*(1/COUNT(Archive[[#This Row],[Candidate Transfer Standard - Zero 1]:[Candidate Transfer Standard - Zero 2]])+AVERAGE(Archive[[#This Row],[Higher Level Standard - Zero 1]:[Higher Level Standard - Zero 2]])^2/DEVSQ(Archive[[#This Row],[Higher Level Standard - Zero 1]:[Higher Level Standard - Zero 2]]))</f>
        <v>#VALUE!</v>
      </c>
      <c r="BJ84" s="29">
        <f>COUNT(Archive[[#This Row],[Candidate Transfer Standard - Zero 1]:[Candidate Transfer Standard - Zero 2]])</f>
        <v>0</v>
      </c>
    </row>
    <row r="85" spans="1:62" x14ac:dyDescent="0.3">
      <c r="A85" s="57"/>
      <c r="BG8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5" s="29" t="e">
        <f>BG85/DEVSQ(Archive[[#This Row],[Higher Level Standard - Zero 1]:[Higher Level Standard - Zero 2]])</f>
        <v>#VALUE!</v>
      </c>
      <c r="BI85" s="29" t="e">
        <f>BG85*(1/COUNT(Archive[[#This Row],[Candidate Transfer Standard - Zero 1]:[Candidate Transfer Standard - Zero 2]])+AVERAGE(Archive[[#This Row],[Higher Level Standard - Zero 1]:[Higher Level Standard - Zero 2]])^2/DEVSQ(Archive[[#This Row],[Higher Level Standard - Zero 1]:[Higher Level Standard - Zero 2]]))</f>
        <v>#VALUE!</v>
      </c>
      <c r="BJ85" s="29">
        <f>COUNT(Archive[[#This Row],[Candidate Transfer Standard - Zero 1]:[Candidate Transfer Standard - Zero 2]])</f>
        <v>0</v>
      </c>
    </row>
    <row r="86" spans="1:62" x14ac:dyDescent="0.3">
      <c r="A86" s="57"/>
      <c r="BG8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6" s="29" t="e">
        <f>BG86/DEVSQ(Archive[[#This Row],[Higher Level Standard - Zero 1]:[Higher Level Standard - Zero 2]])</f>
        <v>#VALUE!</v>
      </c>
      <c r="BI86" s="29" t="e">
        <f>BG86*(1/COUNT(Archive[[#This Row],[Candidate Transfer Standard - Zero 1]:[Candidate Transfer Standard - Zero 2]])+AVERAGE(Archive[[#This Row],[Higher Level Standard - Zero 1]:[Higher Level Standard - Zero 2]])^2/DEVSQ(Archive[[#This Row],[Higher Level Standard - Zero 1]:[Higher Level Standard - Zero 2]]))</f>
        <v>#VALUE!</v>
      </c>
      <c r="BJ86" s="29">
        <f>COUNT(Archive[[#This Row],[Candidate Transfer Standard - Zero 1]:[Candidate Transfer Standard - Zero 2]])</f>
        <v>0</v>
      </c>
    </row>
    <row r="87" spans="1:62" x14ac:dyDescent="0.3">
      <c r="A87" s="57"/>
      <c r="BG8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7" s="29" t="e">
        <f>BG87/DEVSQ(Archive[[#This Row],[Higher Level Standard - Zero 1]:[Higher Level Standard - Zero 2]])</f>
        <v>#VALUE!</v>
      </c>
      <c r="BI87" s="29" t="e">
        <f>BG87*(1/COUNT(Archive[[#This Row],[Candidate Transfer Standard - Zero 1]:[Candidate Transfer Standard - Zero 2]])+AVERAGE(Archive[[#This Row],[Higher Level Standard - Zero 1]:[Higher Level Standard - Zero 2]])^2/DEVSQ(Archive[[#This Row],[Higher Level Standard - Zero 1]:[Higher Level Standard - Zero 2]]))</f>
        <v>#VALUE!</v>
      </c>
      <c r="BJ87" s="29">
        <f>COUNT(Archive[[#This Row],[Candidate Transfer Standard - Zero 1]:[Candidate Transfer Standard - Zero 2]])</f>
        <v>0</v>
      </c>
    </row>
    <row r="88" spans="1:62" x14ac:dyDescent="0.3">
      <c r="A88" s="57"/>
      <c r="BG8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8" s="29" t="e">
        <f>BG88/DEVSQ(Archive[[#This Row],[Higher Level Standard - Zero 1]:[Higher Level Standard - Zero 2]])</f>
        <v>#VALUE!</v>
      </c>
      <c r="BI88" s="29" t="e">
        <f>BG88*(1/COUNT(Archive[[#This Row],[Candidate Transfer Standard - Zero 1]:[Candidate Transfer Standard - Zero 2]])+AVERAGE(Archive[[#This Row],[Higher Level Standard - Zero 1]:[Higher Level Standard - Zero 2]])^2/DEVSQ(Archive[[#This Row],[Higher Level Standard - Zero 1]:[Higher Level Standard - Zero 2]]))</f>
        <v>#VALUE!</v>
      </c>
      <c r="BJ88" s="29">
        <f>COUNT(Archive[[#This Row],[Candidate Transfer Standard - Zero 1]:[Candidate Transfer Standard - Zero 2]])</f>
        <v>0</v>
      </c>
    </row>
    <row r="89" spans="1:62" x14ac:dyDescent="0.3">
      <c r="A89" s="57"/>
      <c r="BG8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9" s="29" t="e">
        <f>BG89/DEVSQ(Archive[[#This Row],[Higher Level Standard - Zero 1]:[Higher Level Standard - Zero 2]])</f>
        <v>#VALUE!</v>
      </c>
      <c r="BI89" s="29" t="e">
        <f>BG89*(1/COUNT(Archive[[#This Row],[Candidate Transfer Standard - Zero 1]:[Candidate Transfer Standard - Zero 2]])+AVERAGE(Archive[[#This Row],[Higher Level Standard - Zero 1]:[Higher Level Standard - Zero 2]])^2/DEVSQ(Archive[[#This Row],[Higher Level Standard - Zero 1]:[Higher Level Standard - Zero 2]]))</f>
        <v>#VALUE!</v>
      </c>
      <c r="BJ89" s="29">
        <f>COUNT(Archive[[#This Row],[Candidate Transfer Standard - Zero 1]:[Candidate Transfer Standard - Zero 2]])</f>
        <v>0</v>
      </c>
    </row>
    <row r="90" spans="1:62" x14ac:dyDescent="0.3">
      <c r="A90" s="57"/>
      <c r="BG9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0" s="29" t="e">
        <f>BG90/DEVSQ(Archive[[#This Row],[Higher Level Standard - Zero 1]:[Higher Level Standard - Zero 2]])</f>
        <v>#VALUE!</v>
      </c>
      <c r="BI90" s="29" t="e">
        <f>BG90*(1/COUNT(Archive[[#This Row],[Candidate Transfer Standard - Zero 1]:[Candidate Transfer Standard - Zero 2]])+AVERAGE(Archive[[#This Row],[Higher Level Standard - Zero 1]:[Higher Level Standard - Zero 2]])^2/DEVSQ(Archive[[#This Row],[Higher Level Standard - Zero 1]:[Higher Level Standard - Zero 2]]))</f>
        <v>#VALUE!</v>
      </c>
      <c r="BJ90" s="29">
        <f>COUNT(Archive[[#This Row],[Candidate Transfer Standard - Zero 1]:[Candidate Transfer Standard - Zero 2]])</f>
        <v>0</v>
      </c>
    </row>
    <row r="91" spans="1:62" x14ac:dyDescent="0.3">
      <c r="A91" s="57"/>
      <c r="BG9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1" s="29" t="e">
        <f>BG91/DEVSQ(Archive[[#This Row],[Higher Level Standard - Zero 1]:[Higher Level Standard - Zero 2]])</f>
        <v>#VALUE!</v>
      </c>
      <c r="BI91" s="29" t="e">
        <f>BG91*(1/COUNT(Archive[[#This Row],[Candidate Transfer Standard - Zero 1]:[Candidate Transfer Standard - Zero 2]])+AVERAGE(Archive[[#This Row],[Higher Level Standard - Zero 1]:[Higher Level Standard - Zero 2]])^2/DEVSQ(Archive[[#This Row],[Higher Level Standard - Zero 1]:[Higher Level Standard - Zero 2]]))</f>
        <v>#VALUE!</v>
      </c>
      <c r="BJ91" s="29">
        <f>COUNT(Archive[[#This Row],[Candidate Transfer Standard - Zero 1]:[Candidate Transfer Standard - Zero 2]])</f>
        <v>0</v>
      </c>
    </row>
    <row r="92" spans="1:62" x14ac:dyDescent="0.3">
      <c r="A92" s="57"/>
      <c r="BG9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2" s="29" t="e">
        <f>BG92/DEVSQ(Archive[[#This Row],[Higher Level Standard - Zero 1]:[Higher Level Standard - Zero 2]])</f>
        <v>#VALUE!</v>
      </c>
      <c r="BI92" s="29" t="e">
        <f>BG92*(1/COUNT(Archive[[#This Row],[Candidate Transfer Standard - Zero 1]:[Candidate Transfer Standard - Zero 2]])+AVERAGE(Archive[[#This Row],[Higher Level Standard - Zero 1]:[Higher Level Standard - Zero 2]])^2/DEVSQ(Archive[[#This Row],[Higher Level Standard - Zero 1]:[Higher Level Standard - Zero 2]]))</f>
        <v>#VALUE!</v>
      </c>
      <c r="BJ92" s="29">
        <f>COUNT(Archive[[#This Row],[Candidate Transfer Standard - Zero 1]:[Candidate Transfer Standard - Zero 2]])</f>
        <v>0</v>
      </c>
    </row>
    <row r="93" spans="1:62" x14ac:dyDescent="0.3">
      <c r="A93" s="57"/>
      <c r="BG9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3" s="29" t="e">
        <f>BG93/DEVSQ(Archive[[#This Row],[Higher Level Standard - Zero 1]:[Higher Level Standard - Zero 2]])</f>
        <v>#VALUE!</v>
      </c>
      <c r="BI93" s="29" t="e">
        <f>BG93*(1/COUNT(Archive[[#This Row],[Candidate Transfer Standard - Zero 1]:[Candidate Transfer Standard - Zero 2]])+AVERAGE(Archive[[#This Row],[Higher Level Standard - Zero 1]:[Higher Level Standard - Zero 2]])^2/DEVSQ(Archive[[#This Row],[Higher Level Standard - Zero 1]:[Higher Level Standard - Zero 2]]))</f>
        <v>#VALUE!</v>
      </c>
      <c r="BJ93" s="29">
        <f>COUNT(Archive[[#This Row],[Candidate Transfer Standard - Zero 1]:[Candidate Transfer Standard - Zero 2]])</f>
        <v>0</v>
      </c>
    </row>
    <row r="94" spans="1:62" x14ac:dyDescent="0.3">
      <c r="A94" s="57"/>
      <c r="BG9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4" s="29" t="e">
        <f>BG94/DEVSQ(Archive[[#This Row],[Higher Level Standard - Zero 1]:[Higher Level Standard - Zero 2]])</f>
        <v>#VALUE!</v>
      </c>
      <c r="BI94" s="29" t="e">
        <f>BG94*(1/COUNT(Archive[[#This Row],[Candidate Transfer Standard - Zero 1]:[Candidate Transfer Standard - Zero 2]])+AVERAGE(Archive[[#This Row],[Higher Level Standard - Zero 1]:[Higher Level Standard - Zero 2]])^2/DEVSQ(Archive[[#This Row],[Higher Level Standard - Zero 1]:[Higher Level Standard - Zero 2]]))</f>
        <v>#VALUE!</v>
      </c>
      <c r="BJ94" s="29">
        <f>COUNT(Archive[[#This Row],[Candidate Transfer Standard - Zero 1]:[Candidate Transfer Standard - Zero 2]])</f>
        <v>0</v>
      </c>
    </row>
    <row r="95" spans="1:62" x14ac:dyDescent="0.3">
      <c r="A95" s="57"/>
      <c r="BG9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5" s="29" t="e">
        <f>BG95/DEVSQ(Archive[[#This Row],[Higher Level Standard - Zero 1]:[Higher Level Standard - Zero 2]])</f>
        <v>#VALUE!</v>
      </c>
      <c r="BI95" s="29" t="e">
        <f>BG95*(1/COUNT(Archive[[#This Row],[Candidate Transfer Standard - Zero 1]:[Candidate Transfer Standard - Zero 2]])+AVERAGE(Archive[[#This Row],[Higher Level Standard - Zero 1]:[Higher Level Standard - Zero 2]])^2/DEVSQ(Archive[[#This Row],[Higher Level Standard - Zero 1]:[Higher Level Standard - Zero 2]]))</f>
        <v>#VALUE!</v>
      </c>
      <c r="BJ95" s="29">
        <f>COUNT(Archive[[#This Row],[Candidate Transfer Standard - Zero 1]:[Candidate Transfer Standard - Zero 2]])</f>
        <v>0</v>
      </c>
    </row>
    <row r="96" spans="1:62" x14ac:dyDescent="0.3">
      <c r="A96" s="57"/>
      <c r="BG9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6" s="29" t="e">
        <f>BG96/DEVSQ(Archive[[#This Row],[Higher Level Standard - Zero 1]:[Higher Level Standard - Zero 2]])</f>
        <v>#VALUE!</v>
      </c>
      <c r="BI96" s="29" t="e">
        <f>BG96*(1/COUNT(Archive[[#This Row],[Candidate Transfer Standard - Zero 1]:[Candidate Transfer Standard - Zero 2]])+AVERAGE(Archive[[#This Row],[Higher Level Standard - Zero 1]:[Higher Level Standard - Zero 2]])^2/DEVSQ(Archive[[#This Row],[Higher Level Standard - Zero 1]:[Higher Level Standard - Zero 2]]))</f>
        <v>#VALUE!</v>
      </c>
      <c r="BJ96" s="29">
        <f>COUNT(Archive[[#This Row],[Candidate Transfer Standard - Zero 1]:[Candidate Transfer Standard - Zero 2]])</f>
        <v>0</v>
      </c>
    </row>
    <row r="97" spans="1:62" x14ac:dyDescent="0.3">
      <c r="A97" s="57"/>
      <c r="BG9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7" s="29" t="e">
        <f>BG97/DEVSQ(Archive[[#This Row],[Higher Level Standard - Zero 1]:[Higher Level Standard - Zero 2]])</f>
        <v>#VALUE!</v>
      </c>
      <c r="BI97" s="29" t="e">
        <f>BG97*(1/COUNT(Archive[[#This Row],[Candidate Transfer Standard - Zero 1]:[Candidate Transfer Standard - Zero 2]])+AVERAGE(Archive[[#This Row],[Higher Level Standard - Zero 1]:[Higher Level Standard - Zero 2]])^2/DEVSQ(Archive[[#This Row],[Higher Level Standard - Zero 1]:[Higher Level Standard - Zero 2]]))</f>
        <v>#VALUE!</v>
      </c>
      <c r="BJ97" s="29">
        <f>COUNT(Archive[[#This Row],[Candidate Transfer Standard - Zero 1]:[Candidate Transfer Standard - Zero 2]])</f>
        <v>0</v>
      </c>
    </row>
    <row r="98" spans="1:62" x14ac:dyDescent="0.3">
      <c r="A98" s="57"/>
      <c r="BG9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8" s="29" t="e">
        <f>BG98/DEVSQ(Archive[[#This Row],[Higher Level Standard - Zero 1]:[Higher Level Standard - Zero 2]])</f>
        <v>#VALUE!</v>
      </c>
      <c r="BI98" s="29" t="e">
        <f>BG98*(1/COUNT(Archive[[#This Row],[Candidate Transfer Standard - Zero 1]:[Candidate Transfer Standard - Zero 2]])+AVERAGE(Archive[[#This Row],[Higher Level Standard - Zero 1]:[Higher Level Standard - Zero 2]])^2/DEVSQ(Archive[[#This Row],[Higher Level Standard - Zero 1]:[Higher Level Standard - Zero 2]]))</f>
        <v>#VALUE!</v>
      </c>
      <c r="BJ98" s="29">
        <f>COUNT(Archive[[#This Row],[Candidate Transfer Standard - Zero 1]:[Candidate Transfer Standard - Zero 2]])</f>
        <v>0</v>
      </c>
    </row>
    <row r="99" spans="1:62" x14ac:dyDescent="0.3">
      <c r="A99" s="57"/>
      <c r="BG9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9" s="29" t="e">
        <f>BG99/DEVSQ(Archive[[#This Row],[Higher Level Standard - Zero 1]:[Higher Level Standard - Zero 2]])</f>
        <v>#VALUE!</v>
      </c>
      <c r="BI99" s="29" t="e">
        <f>BG99*(1/COUNT(Archive[[#This Row],[Candidate Transfer Standard - Zero 1]:[Candidate Transfer Standard - Zero 2]])+AVERAGE(Archive[[#This Row],[Higher Level Standard - Zero 1]:[Higher Level Standard - Zero 2]])^2/DEVSQ(Archive[[#This Row],[Higher Level Standard - Zero 1]:[Higher Level Standard - Zero 2]]))</f>
        <v>#VALUE!</v>
      </c>
      <c r="BJ99" s="29">
        <f>COUNT(Archive[[#This Row],[Candidate Transfer Standard - Zero 1]:[Candidate Transfer Standard - Zero 2]])</f>
        <v>0</v>
      </c>
    </row>
    <row r="100" spans="1:62" x14ac:dyDescent="0.3">
      <c r="A100" s="57"/>
      <c r="BG10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0" s="29" t="e">
        <f>BG100/DEVSQ(Archive[[#This Row],[Higher Level Standard - Zero 1]:[Higher Level Standard - Zero 2]])</f>
        <v>#VALUE!</v>
      </c>
      <c r="BI100" s="29" t="e">
        <f>BG100*(1/COUNT(Archive[[#This Row],[Candidate Transfer Standard - Zero 1]:[Candidate Transfer Standard - Zero 2]])+AVERAGE(Archive[[#This Row],[Higher Level Standard - Zero 1]:[Higher Level Standard - Zero 2]])^2/DEVSQ(Archive[[#This Row],[Higher Level Standard - Zero 1]:[Higher Level Standard - Zero 2]]))</f>
        <v>#VALUE!</v>
      </c>
      <c r="BJ100" s="29">
        <f>COUNT(Archive[[#This Row],[Candidate Transfer Standard - Zero 1]:[Candidate Transfer Standard - Zero 2]])</f>
        <v>0</v>
      </c>
    </row>
    <row r="101" spans="1:62" x14ac:dyDescent="0.3">
      <c r="A101" s="57"/>
      <c r="BG10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1" s="29" t="e">
        <f>BG101/DEVSQ(Archive[[#This Row],[Higher Level Standard - Zero 1]:[Higher Level Standard - Zero 2]])</f>
        <v>#VALUE!</v>
      </c>
      <c r="BI101" s="29" t="e">
        <f>BG101*(1/COUNT(Archive[[#This Row],[Candidate Transfer Standard - Zero 1]:[Candidate Transfer Standard - Zero 2]])+AVERAGE(Archive[[#This Row],[Higher Level Standard - Zero 1]:[Higher Level Standard - Zero 2]])^2/DEVSQ(Archive[[#This Row],[Higher Level Standard - Zero 1]:[Higher Level Standard - Zero 2]]))</f>
        <v>#VALUE!</v>
      </c>
      <c r="BJ101" s="29">
        <f>COUNT(Archive[[#This Row],[Candidate Transfer Standard - Zero 1]:[Candidate Transfer Standard - Zero 2]])</f>
        <v>0</v>
      </c>
    </row>
    <row r="102" spans="1:62" x14ac:dyDescent="0.3">
      <c r="A102" s="57"/>
      <c r="BG10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2" s="29" t="e">
        <f>BG102/DEVSQ(Archive[[#This Row],[Higher Level Standard - Zero 1]:[Higher Level Standard - Zero 2]])</f>
        <v>#VALUE!</v>
      </c>
      <c r="BI102" s="29" t="e">
        <f>BG102*(1/COUNT(Archive[[#This Row],[Candidate Transfer Standard - Zero 1]:[Candidate Transfer Standard - Zero 2]])+AVERAGE(Archive[[#This Row],[Higher Level Standard - Zero 1]:[Higher Level Standard - Zero 2]])^2/DEVSQ(Archive[[#This Row],[Higher Level Standard - Zero 1]:[Higher Level Standard - Zero 2]]))</f>
        <v>#VALUE!</v>
      </c>
      <c r="BJ102" s="29">
        <f>COUNT(Archive[[#This Row],[Candidate Transfer Standard - Zero 1]:[Candidate Transfer Standard - Zero 2]])</f>
        <v>0</v>
      </c>
    </row>
    <row r="103" spans="1:62" x14ac:dyDescent="0.3">
      <c r="A103" s="57"/>
      <c r="BG10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3" s="29" t="e">
        <f>BG103/DEVSQ(Archive[[#This Row],[Higher Level Standard - Zero 1]:[Higher Level Standard - Zero 2]])</f>
        <v>#VALUE!</v>
      </c>
      <c r="BI103" s="29" t="e">
        <f>BG103*(1/COUNT(Archive[[#This Row],[Candidate Transfer Standard - Zero 1]:[Candidate Transfer Standard - Zero 2]])+AVERAGE(Archive[[#This Row],[Higher Level Standard - Zero 1]:[Higher Level Standard - Zero 2]])^2/DEVSQ(Archive[[#This Row],[Higher Level Standard - Zero 1]:[Higher Level Standard - Zero 2]]))</f>
        <v>#VALUE!</v>
      </c>
      <c r="BJ103" s="29">
        <f>COUNT(Archive[[#This Row],[Candidate Transfer Standard - Zero 1]:[Candidate Transfer Standard - Zero 2]])</f>
        <v>0</v>
      </c>
    </row>
    <row r="104" spans="1:62" x14ac:dyDescent="0.3">
      <c r="A104" s="57"/>
      <c r="BG10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4" s="29" t="e">
        <f>BG104/DEVSQ(Archive[[#This Row],[Higher Level Standard - Zero 1]:[Higher Level Standard - Zero 2]])</f>
        <v>#VALUE!</v>
      </c>
      <c r="BI104" s="29" t="e">
        <f>BG104*(1/COUNT(Archive[[#This Row],[Candidate Transfer Standard - Zero 1]:[Candidate Transfer Standard - Zero 2]])+AVERAGE(Archive[[#This Row],[Higher Level Standard - Zero 1]:[Higher Level Standard - Zero 2]])^2/DEVSQ(Archive[[#This Row],[Higher Level Standard - Zero 1]:[Higher Level Standard - Zero 2]]))</f>
        <v>#VALUE!</v>
      </c>
      <c r="BJ104" s="29">
        <f>COUNT(Archive[[#This Row],[Candidate Transfer Standard - Zero 1]:[Candidate Transfer Standard - Zero 2]])</f>
        <v>0</v>
      </c>
    </row>
    <row r="105" spans="1:62" x14ac:dyDescent="0.3">
      <c r="A105" s="57"/>
      <c r="BG10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5" s="29" t="e">
        <f>BG105/DEVSQ(Archive[[#This Row],[Higher Level Standard - Zero 1]:[Higher Level Standard - Zero 2]])</f>
        <v>#VALUE!</v>
      </c>
      <c r="BI105" s="29" t="e">
        <f>BG105*(1/COUNT(Archive[[#This Row],[Candidate Transfer Standard - Zero 1]:[Candidate Transfer Standard - Zero 2]])+AVERAGE(Archive[[#This Row],[Higher Level Standard - Zero 1]:[Higher Level Standard - Zero 2]])^2/DEVSQ(Archive[[#This Row],[Higher Level Standard - Zero 1]:[Higher Level Standard - Zero 2]]))</f>
        <v>#VALUE!</v>
      </c>
      <c r="BJ105" s="29">
        <f>COUNT(Archive[[#This Row],[Candidate Transfer Standard - Zero 1]:[Candidate Transfer Standard - Zero 2]])</f>
        <v>0</v>
      </c>
    </row>
    <row r="106" spans="1:62" x14ac:dyDescent="0.3">
      <c r="A106" s="57"/>
      <c r="BG10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6" s="29" t="e">
        <f>BG106/DEVSQ(Archive[[#This Row],[Higher Level Standard - Zero 1]:[Higher Level Standard - Zero 2]])</f>
        <v>#VALUE!</v>
      </c>
      <c r="BI106" s="29" t="e">
        <f>BG106*(1/COUNT(Archive[[#This Row],[Candidate Transfer Standard - Zero 1]:[Candidate Transfer Standard - Zero 2]])+AVERAGE(Archive[[#This Row],[Higher Level Standard - Zero 1]:[Higher Level Standard - Zero 2]])^2/DEVSQ(Archive[[#This Row],[Higher Level Standard - Zero 1]:[Higher Level Standard - Zero 2]]))</f>
        <v>#VALUE!</v>
      </c>
      <c r="BJ106" s="29">
        <f>COUNT(Archive[[#This Row],[Candidate Transfer Standard - Zero 1]:[Candidate Transfer Standard - Zero 2]])</f>
        <v>0</v>
      </c>
    </row>
    <row r="107" spans="1:62" x14ac:dyDescent="0.3">
      <c r="A107" s="57"/>
      <c r="BG10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7" s="29" t="e">
        <f>BG107/DEVSQ(Archive[[#This Row],[Higher Level Standard - Zero 1]:[Higher Level Standard - Zero 2]])</f>
        <v>#VALUE!</v>
      </c>
      <c r="BI107" s="29" t="e">
        <f>BG107*(1/COUNT(Archive[[#This Row],[Candidate Transfer Standard - Zero 1]:[Candidate Transfer Standard - Zero 2]])+AVERAGE(Archive[[#This Row],[Higher Level Standard - Zero 1]:[Higher Level Standard - Zero 2]])^2/DEVSQ(Archive[[#This Row],[Higher Level Standard - Zero 1]:[Higher Level Standard - Zero 2]]))</f>
        <v>#VALUE!</v>
      </c>
      <c r="BJ107" s="29">
        <f>COUNT(Archive[[#This Row],[Candidate Transfer Standard - Zero 1]:[Candidate Transfer Standard - Zero 2]])</f>
        <v>0</v>
      </c>
    </row>
    <row r="108" spans="1:62" x14ac:dyDescent="0.3">
      <c r="A108" s="57"/>
      <c r="BG10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8" s="29" t="e">
        <f>BG108/DEVSQ(Archive[[#This Row],[Higher Level Standard - Zero 1]:[Higher Level Standard - Zero 2]])</f>
        <v>#VALUE!</v>
      </c>
      <c r="BI108" s="29" t="e">
        <f>BG108*(1/COUNT(Archive[[#This Row],[Candidate Transfer Standard - Zero 1]:[Candidate Transfer Standard - Zero 2]])+AVERAGE(Archive[[#This Row],[Higher Level Standard - Zero 1]:[Higher Level Standard - Zero 2]])^2/DEVSQ(Archive[[#This Row],[Higher Level Standard - Zero 1]:[Higher Level Standard - Zero 2]]))</f>
        <v>#VALUE!</v>
      </c>
      <c r="BJ108" s="29">
        <f>COUNT(Archive[[#This Row],[Candidate Transfer Standard - Zero 1]:[Candidate Transfer Standard - Zero 2]])</f>
        <v>0</v>
      </c>
    </row>
    <row r="109" spans="1:62" x14ac:dyDescent="0.3">
      <c r="A109" s="57"/>
      <c r="BG10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9" s="29" t="e">
        <f>BG109/DEVSQ(Archive[[#This Row],[Higher Level Standard - Zero 1]:[Higher Level Standard - Zero 2]])</f>
        <v>#VALUE!</v>
      </c>
      <c r="BI109" s="29" t="e">
        <f>BG109*(1/COUNT(Archive[[#This Row],[Candidate Transfer Standard - Zero 1]:[Candidate Transfer Standard - Zero 2]])+AVERAGE(Archive[[#This Row],[Higher Level Standard - Zero 1]:[Higher Level Standard - Zero 2]])^2/DEVSQ(Archive[[#This Row],[Higher Level Standard - Zero 1]:[Higher Level Standard - Zero 2]]))</f>
        <v>#VALUE!</v>
      </c>
      <c r="BJ109" s="29">
        <f>COUNT(Archive[[#This Row],[Candidate Transfer Standard - Zero 1]:[Candidate Transfer Standard - Zero 2]])</f>
        <v>0</v>
      </c>
    </row>
    <row r="110" spans="1:62" x14ac:dyDescent="0.3">
      <c r="A110" s="57"/>
      <c r="BG11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0" s="29" t="e">
        <f>BG110/DEVSQ(Archive[[#This Row],[Higher Level Standard - Zero 1]:[Higher Level Standard - Zero 2]])</f>
        <v>#VALUE!</v>
      </c>
      <c r="BI110" s="29" t="e">
        <f>BG110*(1/COUNT(Archive[[#This Row],[Candidate Transfer Standard - Zero 1]:[Candidate Transfer Standard - Zero 2]])+AVERAGE(Archive[[#This Row],[Higher Level Standard - Zero 1]:[Higher Level Standard - Zero 2]])^2/DEVSQ(Archive[[#This Row],[Higher Level Standard - Zero 1]:[Higher Level Standard - Zero 2]]))</f>
        <v>#VALUE!</v>
      </c>
      <c r="BJ110" s="29">
        <f>COUNT(Archive[[#This Row],[Candidate Transfer Standard - Zero 1]:[Candidate Transfer Standard - Zero 2]])</f>
        <v>0</v>
      </c>
    </row>
    <row r="111" spans="1:62" x14ac:dyDescent="0.3">
      <c r="A111" s="57"/>
      <c r="BG11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1" s="29" t="e">
        <f>BG111/DEVSQ(Archive[[#This Row],[Higher Level Standard - Zero 1]:[Higher Level Standard - Zero 2]])</f>
        <v>#VALUE!</v>
      </c>
      <c r="BI111" s="29" t="e">
        <f>BG111*(1/COUNT(Archive[[#This Row],[Candidate Transfer Standard - Zero 1]:[Candidate Transfer Standard - Zero 2]])+AVERAGE(Archive[[#This Row],[Higher Level Standard - Zero 1]:[Higher Level Standard - Zero 2]])^2/DEVSQ(Archive[[#This Row],[Higher Level Standard - Zero 1]:[Higher Level Standard - Zero 2]]))</f>
        <v>#VALUE!</v>
      </c>
      <c r="BJ111" s="29">
        <f>COUNT(Archive[[#This Row],[Candidate Transfer Standard - Zero 1]:[Candidate Transfer Standard - Zero 2]])</f>
        <v>0</v>
      </c>
    </row>
    <row r="112" spans="1:62" x14ac:dyDescent="0.3">
      <c r="A112" s="57"/>
      <c r="BG11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2" s="29" t="e">
        <f>BG112/DEVSQ(Archive[[#This Row],[Higher Level Standard - Zero 1]:[Higher Level Standard - Zero 2]])</f>
        <v>#VALUE!</v>
      </c>
      <c r="BI112" s="29" t="e">
        <f>BG112*(1/COUNT(Archive[[#This Row],[Candidate Transfer Standard - Zero 1]:[Candidate Transfer Standard - Zero 2]])+AVERAGE(Archive[[#This Row],[Higher Level Standard - Zero 1]:[Higher Level Standard - Zero 2]])^2/DEVSQ(Archive[[#This Row],[Higher Level Standard - Zero 1]:[Higher Level Standard - Zero 2]]))</f>
        <v>#VALUE!</v>
      </c>
      <c r="BJ112" s="29">
        <f>COUNT(Archive[[#This Row],[Candidate Transfer Standard - Zero 1]:[Candidate Transfer Standard - Zero 2]])</f>
        <v>0</v>
      </c>
    </row>
    <row r="113" spans="1:62" x14ac:dyDescent="0.3">
      <c r="A113" s="57"/>
      <c r="BG11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3" s="29" t="e">
        <f>BG113/DEVSQ(Archive[[#This Row],[Higher Level Standard - Zero 1]:[Higher Level Standard - Zero 2]])</f>
        <v>#VALUE!</v>
      </c>
      <c r="BI113" s="29" t="e">
        <f>BG113*(1/COUNT(Archive[[#This Row],[Candidate Transfer Standard - Zero 1]:[Candidate Transfer Standard - Zero 2]])+AVERAGE(Archive[[#This Row],[Higher Level Standard - Zero 1]:[Higher Level Standard - Zero 2]])^2/DEVSQ(Archive[[#This Row],[Higher Level Standard - Zero 1]:[Higher Level Standard - Zero 2]]))</f>
        <v>#VALUE!</v>
      </c>
      <c r="BJ113" s="29">
        <f>COUNT(Archive[[#This Row],[Candidate Transfer Standard - Zero 1]:[Candidate Transfer Standard - Zero 2]])</f>
        <v>0</v>
      </c>
    </row>
    <row r="114" spans="1:62" x14ac:dyDescent="0.3">
      <c r="A114" s="57"/>
      <c r="BG11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4" s="29" t="e">
        <f>BG114/DEVSQ(Archive[[#This Row],[Higher Level Standard - Zero 1]:[Higher Level Standard - Zero 2]])</f>
        <v>#VALUE!</v>
      </c>
      <c r="BI114" s="29" t="e">
        <f>BG114*(1/COUNT(Archive[[#This Row],[Candidate Transfer Standard - Zero 1]:[Candidate Transfer Standard - Zero 2]])+AVERAGE(Archive[[#This Row],[Higher Level Standard - Zero 1]:[Higher Level Standard - Zero 2]])^2/DEVSQ(Archive[[#This Row],[Higher Level Standard - Zero 1]:[Higher Level Standard - Zero 2]]))</f>
        <v>#VALUE!</v>
      </c>
      <c r="BJ114" s="29">
        <f>COUNT(Archive[[#This Row],[Candidate Transfer Standard - Zero 1]:[Candidate Transfer Standard - Zero 2]])</f>
        <v>0</v>
      </c>
    </row>
    <row r="115" spans="1:62" x14ac:dyDescent="0.3">
      <c r="A115" s="57"/>
      <c r="BG11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5" s="29" t="e">
        <f>BG115/DEVSQ(Archive[[#This Row],[Higher Level Standard - Zero 1]:[Higher Level Standard - Zero 2]])</f>
        <v>#VALUE!</v>
      </c>
      <c r="BI115" s="29" t="e">
        <f>BG115*(1/COUNT(Archive[[#This Row],[Candidate Transfer Standard - Zero 1]:[Candidate Transfer Standard - Zero 2]])+AVERAGE(Archive[[#This Row],[Higher Level Standard - Zero 1]:[Higher Level Standard - Zero 2]])^2/DEVSQ(Archive[[#This Row],[Higher Level Standard - Zero 1]:[Higher Level Standard - Zero 2]]))</f>
        <v>#VALUE!</v>
      </c>
      <c r="BJ115" s="29">
        <f>COUNT(Archive[[#This Row],[Candidate Transfer Standard - Zero 1]:[Candidate Transfer Standard - Zero 2]])</f>
        <v>0</v>
      </c>
    </row>
    <row r="116" spans="1:62" x14ac:dyDescent="0.3">
      <c r="A116" s="57"/>
      <c r="BG11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6" s="29" t="e">
        <f>BG116/DEVSQ(Archive[[#This Row],[Higher Level Standard - Zero 1]:[Higher Level Standard - Zero 2]])</f>
        <v>#VALUE!</v>
      </c>
      <c r="BI116" s="29" t="e">
        <f>BG116*(1/COUNT(Archive[[#This Row],[Candidate Transfer Standard - Zero 1]:[Candidate Transfer Standard - Zero 2]])+AVERAGE(Archive[[#This Row],[Higher Level Standard - Zero 1]:[Higher Level Standard - Zero 2]])^2/DEVSQ(Archive[[#This Row],[Higher Level Standard - Zero 1]:[Higher Level Standard - Zero 2]]))</f>
        <v>#VALUE!</v>
      </c>
      <c r="BJ116" s="29">
        <f>COUNT(Archive[[#This Row],[Candidate Transfer Standard - Zero 1]:[Candidate Transfer Standard - Zero 2]])</f>
        <v>0</v>
      </c>
    </row>
    <row r="117" spans="1:62" x14ac:dyDescent="0.3">
      <c r="A117" s="57"/>
      <c r="BG11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7" s="29" t="e">
        <f>BG117/DEVSQ(Archive[[#This Row],[Higher Level Standard - Zero 1]:[Higher Level Standard - Zero 2]])</f>
        <v>#VALUE!</v>
      </c>
      <c r="BI117" s="29" t="e">
        <f>BG117*(1/COUNT(Archive[[#This Row],[Candidate Transfer Standard - Zero 1]:[Candidate Transfer Standard - Zero 2]])+AVERAGE(Archive[[#This Row],[Higher Level Standard - Zero 1]:[Higher Level Standard - Zero 2]])^2/DEVSQ(Archive[[#This Row],[Higher Level Standard - Zero 1]:[Higher Level Standard - Zero 2]]))</f>
        <v>#VALUE!</v>
      </c>
      <c r="BJ117" s="29">
        <f>COUNT(Archive[[#This Row],[Candidate Transfer Standard - Zero 1]:[Candidate Transfer Standard - Zero 2]])</f>
        <v>0</v>
      </c>
    </row>
    <row r="118" spans="1:62" x14ac:dyDescent="0.3">
      <c r="A118" s="57"/>
      <c r="BG11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8" s="29" t="e">
        <f>BG118/DEVSQ(Archive[[#This Row],[Higher Level Standard - Zero 1]:[Higher Level Standard - Zero 2]])</f>
        <v>#VALUE!</v>
      </c>
      <c r="BI118" s="29" t="e">
        <f>BG118*(1/COUNT(Archive[[#This Row],[Candidate Transfer Standard - Zero 1]:[Candidate Transfer Standard - Zero 2]])+AVERAGE(Archive[[#This Row],[Higher Level Standard - Zero 1]:[Higher Level Standard - Zero 2]])^2/DEVSQ(Archive[[#This Row],[Higher Level Standard - Zero 1]:[Higher Level Standard - Zero 2]]))</f>
        <v>#VALUE!</v>
      </c>
      <c r="BJ118" s="29">
        <f>COUNT(Archive[[#This Row],[Candidate Transfer Standard - Zero 1]:[Candidate Transfer Standard - Zero 2]])</f>
        <v>0</v>
      </c>
    </row>
    <row r="119" spans="1:62" x14ac:dyDescent="0.3">
      <c r="A119" s="57"/>
      <c r="BG11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9" s="29" t="e">
        <f>BG119/DEVSQ(Archive[[#This Row],[Higher Level Standard - Zero 1]:[Higher Level Standard - Zero 2]])</f>
        <v>#VALUE!</v>
      </c>
      <c r="BI119" s="29" t="e">
        <f>BG119*(1/COUNT(Archive[[#This Row],[Candidate Transfer Standard - Zero 1]:[Candidate Transfer Standard - Zero 2]])+AVERAGE(Archive[[#This Row],[Higher Level Standard - Zero 1]:[Higher Level Standard - Zero 2]])^2/DEVSQ(Archive[[#This Row],[Higher Level Standard - Zero 1]:[Higher Level Standard - Zero 2]]))</f>
        <v>#VALUE!</v>
      </c>
      <c r="BJ119" s="29">
        <f>COUNT(Archive[[#This Row],[Candidate Transfer Standard - Zero 1]:[Candidate Transfer Standard - Zero 2]])</f>
        <v>0</v>
      </c>
    </row>
    <row r="120" spans="1:62" x14ac:dyDescent="0.3">
      <c r="A120" s="57"/>
      <c r="BG12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20" s="29" t="e">
        <f>BG120/DEVSQ(Archive[[#This Row],[Higher Level Standard - Zero 1]:[Higher Level Standard - Zero 2]])</f>
        <v>#VALUE!</v>
      </c>
      <c r="BI120" s="29" t="e">
        <f>BG120*(1/COUNT(Archive[[#This Row],[Candidate Transfer Standard - Zero 1]:[Candidate Transfer Standard - Zero 2]])+AVERAGE(Archive[[#This Row],[Higher Level Standard - Zero 1]:[Higher Level Standard - Zero 2]])^2/DEVSQ(Archive[[#This Row],[Higher Level Standard - Zero 1]:[Higher Level Standard - Zero 2]]))</f>
        <v>#VALUE!</v>
      </c>
      <c r="BJ120" s="29">
        <f>COUNT(Archive[[#This Row],[Candidate Transfer Standard - Zero 1]:[Candidate Transfer Standard - Zero 2]])</f>
        <v>0</v>
      </c>
    </row>
    <row r="121" spans="1:62" x14ac:dyDescent="0.3">
      <c r="A121" s="57"/>
      <c r="BG12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21" s="29" t="e">
        <f>BG121/DEVSQ(Archive[[#This Row],[Higher Level Standard - Zero 1]:[Higher Level Standard - Zero 2]])</f>
        <v>#VALUE!</v>
      </c>
      <c r="BI121" s="29" t="e">
        <f>BG121*(1/COUNT(Archive[[#This Row],[Candidate Transfer Standard - Zero 1]:[Candidate Transfer Standard - Zero 2]])+AVERAGE(Archive[[#This Row],[Higher Level Standard - Zero 1]:[Higher Level Standard - Zero 2]])^2/DEVSQ(Archive[[#This Row],[Higher Level Standard - Zero 1]:[Higher Level Standard - Zero 2]]))</f>
        <v>#VALUE!</v>
      </c>
      <c r="BJ121" s="29">
        <f>COUNT(Archive[[#This Row],[Candidate Transfer Standard - Zero 1]:[Candidate Transfer Standard - Zero 2]])</f>
        <v>0</v>
      </c>
    </row>
    <row r="122" spans="1:62" x14ac:dyDescent="0.3">
      <c r="A122" s="57"/>
      <c r="BG12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22" s="29" t="e">
        <f>BG122/DEVSQ(Archive[[#This Row],[Higher Level Standard - Zero 1]:[Higher Level Standard - Zero 2]])</f>
        <v>#VALUE!</v>
      </c>
      <c r="BI122" s="29" t="e">
        <f>BG122*(1/COUNT(Archive[[#This Row],[Candidate Transfer Standard - Zero 1]:[Candidate Transfer Standard - Zero 2]])+AVERAGE(Archive[[#This Row],[Higher Level Standard - Zero 1]:[Higher Level Standard - Zero 2]])^2/DEVSQ(Archive[[#This Row],[Higher Level Standard - Zero 1]:[Higher Level Standard - Zero 2]]))</f>
        <v>#VALUE!</v>
      </c>
      <c r="BJ122" s="29">
        <f>COUNT(Archive[[#This Row],[Candidate Transfer Standard - Zero 1]:[Candidate Transfer Standard - Zero 2]])</f>
        <v>0</v>
      </c>
    </row>
    <row r="123" spans="1:62" x14ac:dyDescent="0.3">
      <c r="A123" s="57"/>
      <c r="BG12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23" s="29" t="e">
        <f>BG123/DEVSQ(Archive[[#This Row],[Higher Level Standard - Zero 1]:[Higher Level Standard - Zero 2]])</f>
        <v>#VALUE!</v>
      </c>
      <c r="BI123" s="29" t="e">
        <f>BG123*(1/COUNT(Archive[[#This Row],[Candidate Transfer Standard - Zero 1]:[Candidate Transfer Standard - Zero 2]])+AVERAGE(Archive[[#This Row],[Higher Level Standard - Zero 1]:[Higher Level Standard - Zero 2]])^2/DEVSQ(Archive[[#This Row],[Higher Level Standard - Zero 1]:[Higher Level Standard - Zero 2]]))</f>
        <v>#VALUE!</v>
      </c>
      <c r="BJ123" s="29">
        <f>COUNT(Archive[[#This Row],[Candidate Transfer Standard - Zero 1]:[Candidate Transfer Standard - Zero 2]])</f>
        <v>0</v>
      </c>
    </row>
    <row r="124" spans="1:62" x14ac:dyDescent="0.3">
      <c r="A124" s="57"/>
      <c r="BG12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24" s="29" t="e">
        <f>BG124/DEVSQ(Archive[[#This Row],[Higher Level Standard - Zero 1]:[Higher Level Standard - Zero 2]])</f>
        <v>#VALUE!</v>
      </c>
      <c r="BI124" s="29" t="e">
        <f>BG124*(1/COUNT(Archive[[#This Row],[Candidate Transfer Standard - Zero 1]:[Candidate Transfer Standard - Zero 2]])+AVERAGE(Archive[[#This Row],[Higher Level Standard - Zero 1]:[Higher Level Standard - Zero 2]])^2/DEVSQ(Archive[[#This Row],[Higher Level Standard - Zero 1]:[Higher Level Standard - Zero 2]]))</f>
        <v>#VALUE!</v>
      </c>
      <c r="BJ124" s="29">
        <f>COUNT(Archive[[#This Row],[Candidate Transfer Standard - Zero 1]:[Candidate Transfer Standard - Zero 2]])</f>
        <v>0</v>
      </c>
    </row>
    <row r="125" spans="1:62" x14ac:dyDescent="0.3">
      <c r="A125" s="57"/>
      <c r="BG12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25" s="29" t="e">
        <f>BG125/DEVSQ(Archive[[#This Row],[Higher Level Standard - Zero 1]:[Higher Level Standard - Zero 2]])</f>
        <v>#VALUE!</v>
      </c>
      <c r="BI125" s="29" t="e">
        <f>BG125*(1/COUNT(Archive[[#This Row],[Candidate Transfer Standard - Zero 1]:[Candidate Transfer Standard - Zero 2]])+AVERAGE(Archive[[#This Row],[Higher Level Standard - Zero 1]:[Higher Level Standard - Zero 2]])^2/DEVSQ(Archive[[#This Row],[Higher Level Standard - Zero 1]:[Higher Level Standard - Zero 2]]))</f>
        <v>#VALUE!</v>
      </c>
      <c r="BJ125" s="29">
        <f>COUNT(Archive[[#This Row],[Candidate Transfer Standard - Zero 1]:[Candidate Transfer Standard - Zero 2]])</f>
        <v>0</v>
      </c>
    </row>
    <row r="126" spans="1:62" x14ac:dyDescent="0.3">
      <c r="A126" s="57"/>
      <c r="BG12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26" s="29" t="e">
        <f>BG126/DEVSQ(Archive[[#This Row],[Higher Level Standard - Zero 1]:[Higher Level Standard - Zero 2]])</f>
        <v>#VALUE!</v>
      </c>
      <c r="BI126" s="29" t="e">
        <f>BG126*(1/COUNT(Archive[[#This Row],[Candidate Transfer Standard - Zero 1]:[Candidate Transfer Standard - Zero 2]])+AVERAGE(Archive[[#This Row],[Higher Level Standard - Zero 1]:[Higher Level Standard - Zero 2]])^2/DEVSQ(Archive[[#This Row],[Higher Level Standard - Zero 1]:[Higher Level Standard - Zero 2]]))</f>
        <v>#VALUE!</v>
      </c>
      <c r="BJ126" s="29">
        <f>COUNT(Archive[[#This Row],[Candidate Transfer Standard - Zero 1]:[Candidate Transfer Standard - Zero 2]])</f>
        <v>0</v>
      </c>
    </row>
    <row r="127" spans="1:62" x14ac:dyDescent="0.3">
      <c r="A127" s="57"/>
      <c r="BG12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27" s="29" t="e">
        <f>BG127/DEVSQ(Archive[[#This Row],[Higher Level Standard - Zero 1]:[Higher Level Standard - Zero 2]])</f>
        <v>#VALUE!</v>
      </c>
      <c r="BI127" s="29" t="e">
        <f>BG127*(1/COUNT(Archive[[#This Row],[Candidate Transfer Standard - Zero 1]:[Candidate Transfer Standard - Zero 2]])+AVERAGE(Archive[[#This Row],[Higher Level Standard - Zero 1]:[Higher Level Standard - Zero 2]])^2/DEVSQ(Archive[[#This Row],[Higher Level Standard - Zero 1]:[Higher Level Standard - Zero 2]]))</f>
        <v>#VALUE!</v>
      </c>
      <c r="BJ127" s="29">
        <f>COUNT(Archive[[#This Row],[Candidate Transfer Standard - Zero 1]:[Candidate Transfer Standard - Zero 2]])</f>
        <v>0</v>
      </c>
    </row>
    <row r="128" spans="1:62" x14ac:dyDescent="0.3">
      <c r="A128" s="57"/>
      <c r="BG12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28" s="29" t="e">
        <f>BG128/DEVSQ(Archive[[#This Row],[Higher Level Standard - Zero 1]:[Higher Level Standard - Zero 2]])</f>
        <v>#VALUE!</v>
      </c>
      <c r="BI128" s="29" t="e">
        <f>BG128*(1/COUNT(Archive[[#This Row],[Candidate Transfer Standard - Zero 1]:[Candidate Transfer Standard - Zero 2]])+AVERAGE(Archive[[#This Row],[Higher Level Standard - Zero 1]:[Higher Level Standard - Zero 2]])^2/DEVSQ(Archive[[#This Row],[Higher Level Standard - Zero 1]:[Higher Level Standard - Zero 2]]))</f>
        <v>#VALUE!</v>
      </c>
      <c r="BJ128" s="29">
        <f>COUNT(Archive[[#This Row],[Candidate Transfer Standard - Zero 1]:[Candidate Transfer Standard - Zero 2]])</f>
        <v>0</v>
      </c>
    </row>
    <row r="129" spans="1:62" x14ac:dyDescent="0.3">
      <c r="A129" s="57"/>
      <c r="BG12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29" s="29" t="e">
        <f>BG129/DEVSQ(Archive[[#This Row],[Higher Level Standard - Zero 1]:[Higher Level Standard - Zero 2]])</f>
        <v>#VALUE!</v>
      </c>
      <c r="BI129" s="29" t="e">
        <f>BG129*(1/COUNT(Archive[[#This Row],[Candidate Transfer Standard - Zero 1]:[Candidate Transfer Standard - Zero 2]])+AVERAGE(Archive[[#This Row],[Higher Level Standard - Zero 1]:[Higher Level Standard - Zero 2]])^2/DEVSQ(Archive[[#This Row],[Higher Level Standard - Zero 1]:[Higher Level Standard - Zero 2]]))</f>
        <v>#VALUE!</v>
      </c>
      <c r="BJ129" s="29">
        <f>COUNT(Archive[[#This Row],[Candidate Transfer Standard - Zero 1]:[Candidate Transfer Standard - Zero 2]])</f>
        <v>0</v>
      </c>
    </row>
    <row r="130" spans="1:62" x14ac:dyDescent="0.3">
      <c r="A130" s="57"/>
      <c r="BG13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30" s="29" t="e">
        <f>BG130/DEVSQ(Archive[[#This Row],[Higher Level Standard - Zero 1]:[Higher Level Standard - Zero 2]])</f>
        <v>#VALUE!</v>
      </c>
      <c r="BI130" s="29" t="e">
        <f>BG130*(1/COUNT(Archive[[#This Row],[Candidate Transfer Standard - Zero 1]:[Candidate Transfer Standard - Zero 2]])+AVERAGE(Archive[[#This Row],[Higher Level Standard - Zero 1]:[Higher Level Standard - Zero 2]])^2/DEVSQ(Archive[[#This Row],[Higher Level Standard - Zero 1]:[Higher Level Standard - Zero 2]]))</f>
        <v>#VALUE!</v>
      </c>
      <c r="BJ130" s="29">
        <f>COUNT(Archive[[#This Row],[Candidate Transfer Standard - Zero 1]:[Candidate Transfer Standard - Zero 2]])</f>
        <v>0</v>
      </c>
    </row>
    <row r="131" spans="1:62" x14ac:dyDescent="0.3">
      <c r="A131" s="57"/>
      <c r="BG13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31" s="29" t="e">
        <f>BG131/DEVSQ(Archive[[#This Row],[Higher Level Standard - Zero 1]:[Higher Level Standard - Zero 2]])</f>
        <v>#VALUE!</v>
      </c>
      <c r="BI131" s="29" t="e">
        <f>BG131*(1/COUNT(Archive[[#This Row],[Candidate Transfer Standard - Zero 1]:[Candidate Transfer Standard - Zero 2]])+AVERAGE(Archive[[#This Row],[Higher Level Standard - Zero 1]:[Higher Level Standard - Zero 2]])^2/DEVSQ(Archive[[#This Row],[Higher Level Standard - Zero 1]:[Higher Level Standard - Zero 2]]))</f>
        <v>#VALUE!</v>
      </c>
      <c r="BJ131" s="29">
        <f>COUNT(Archive[[#This Row],[Candidate Transfer Standard - Zero 1]:[Candidate Transfer Standard - Zero 2]])</f>
        <v>0</v>
      </c>
    </row>
    <row r="132" spans="1:62" x14ac:dyDescent="0.3">
      <c r="A132" s="57"/>
      <c r="BG13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32" s="29" t="e">
        <f>BG132/DEVSQ(Archive[[#This Row],[Higher Level Standard - Zero 1]:[Higher Level Standard - Zero 2]])</f>
        <v>#VALUE!</v>
      </c>
      <c r="BI132" s="29" t="e">
        <f>BG132*(1/COUNT(Archive[[#This Row],[Candidate Transfer Standard - Zero 1]:[Candidate Transfer Standard - Zero 2]])+AVERAGE(Archive[[#This Row],[Higher Level Standard - Zero 1]:[Higher Level Standard - Zero 2]])^2/DEVSQ(Archive[[#This Row],[Higher Level Standard - Zero 1]:[Higher Level Standard - Zero 2]]))</f>
        <v>#VALUE!</v>
      </c>
      <c r="BJ132" s="29">
        <f>COUNT(Archive[[#This Row],[Candidate Transfer Standard - Zero 1]:[Candidate Transfer Standard - Zero 2]])</f>
        <v>0</v>
      </c>
    </row>
    <row r="133" spans="1:62" x14ac:dyDescent="0.3">
      <c r="A133" s="57"/>
      <c r="BG13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33" s="29" t="e">
        <f>BG133/DEVSQ(Archive[[#This Row],[Higher Level Standard - Zero 1]:[Higher Level Standard - Zero 2]])</f>
        <v>#VALUE!</v>
      </c>
      <c r="BI133" s="29" t="e">
        <f>BG133*(1/COUNT(Archive[[#This Row],[Candidate Transfer Standard - Zero 1]:[Candidate Transfer Standard - Zero 2]])+AVERAGE(Archive[[#This Row],[Higher Level Standard - Zero 1]:[Higher Level Standard - Zero 2]])^2/DEVSQ(Archive[[#This Row],[Higher Level Standard - Zero 1]:[Higher Level Standard - Zero 2]]))</f>
        <v>#VALUE!</v>
      </c>
      <c r="BJ133" s="29">
        <f>COUNT(Archive[[#This Row],[Candidate Transfer Standard - Zero 1]:[Candidate Transfer Standard - Zero 2]])</f>
        <v>0</v>
      </c>
    </row>
    <row r="134" spans="1:62" x14ac:dyDescent="0.3">
      <c r="A134" s="57"/>
      <c r="BG13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34" s="29" t="e">
        <f>BG134/DEVSQ(Archive[[#This Row],[Higher Level Standard - Zero 1]:[Higher Level Standard - Zero 2]])</f>
        <v>#VALUE!</v>
      </c>
      <c r="BI134" s="29" t="e">
        <f>BG134*(1/COUNT(Archive[[#This Row],[Candidate Transfer Standard - Zero 1]:[Candidate Transfer Standard - Zero 2]])+AVERAGE(Archive[[#This Row],[Higher Level Standard - Zero 1]:[Higher Level Standard - Zero 2]])^2/DEVSQ(Archive[[#This Row],[Higher Level Standard - Zero 1]:[Higher Level Standard - Zero 2]]))</f>
        <v>#VALUE!</v>
      </c>
      <c r="BJ134" s="29">
        <f>COUNT(Archive[[#This Row],[Candidate Transfer Standard - Zero 1]:[Candidate Transfer Standard - Zero 2]])</f>
        <v>0</v>
      </c>
    </row>
    <row r="135" spans="1:62" x14ac:dyDescent="0.3">
      <c r="A135" s="57"/>
      <c r="BG13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35" s="29" t="e">
        <f>BG135/DEVSQ(Archive[[#This Row],[Higher Level Standard - Zero 1]:[Higher Level Standard - Zero 2]])</f>
        <v>#VALUE!</v>
      </c>
      <c r="BI135" s="29" t="e">
        <f>BG135*(1/COUNT(Archive[[#This Row],[Candidate Transfer Standard - Zero 1]:[Candidate Transfer Standard - Zero 2]])+AVERAGE(Archive[[#This Row],[Higher Level Standard - Zero 1]:[Higher Level Standard - Zero 2]])^2/DEVSQ(Archive[[#This Row],[Higher Level Standard - Zero 1]:[Higher Level Standard - Zero 2]]))</f>
        <v>#VALUE!</v>
      </c>
      <c r="BJ135" s="29">
        <f>COUNT(Archive[[#This Row],[Candidate Transfer Standard - Zero 1]:[Candidate Transfer Standard - Zero 2]])</f>
        <v>0</v>
      </c>
    </row>
    <row r="136" spans="1:62" x14ac:dyDescent="0.3">
      <c r="A136" s="57"/>
      <c r="BG13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36" s="29" t="e">
        <f>BG136/DEVSQ(Archive[[#This Row],[Higher Level Standard - Zero 1]:[Higher Level Standard - Zero 2]])</f>
        <v>#VALUE!</v>
      </c>
      <c r="BI136" s="29" t="e">
        <f>BG136*(1/COUNT(Archive[[#This Row],[Candidate Transfer Standard - Zero 1]:[Candidate Transfer Standard - Zero 2]])+AVERAGE(Archive[[#This Row],[Higher Level Standard - Zero 1]:[Higher Level Standard - Zero 2]])^2/DEVSQ(Archive[[#This Row],[Higher Level Standard - Zero 1]:[Higher Level Standard - Zero 2]]))</f>
        <v>#VALUE!</v>
      </c>
      <c r="BJ136" s="29">
        <f>COUNT(Archive[[#This Row],[Candidate Transfer Standard - Zero 1]:[Candidate Transfer Standard - Zero 2]])</f>
        <v>0</v>
      </c>
    </row>
    <row r="137" spans="1:62" x14ac:dyDescent="0.3">
      <c r="A137" s="57"/>
      <c r="BG13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37" s="29" t="e">
        <f>BG137/DEVSQ(Archive[[#This Row],[Higher Level Standard - Zero 1]:[Higher Level Standard - Zero 2]])</f>
        <v>#VALUE!</v>
      </c>
      <c r="BI137" s="29" t="e">
        <f>BG137*(1/COUNT(Archive[[#This Row],[Candidate Transfer Standard - Zero 1]:[Candidate Transfer Standard - Zero 2]])+AVERAGE(Archive[[#This Row],[Higher Level Standard - Zero 1]:[Higher Level Standard - Zero 2]])^2/DEVSQ(Archive[[#This Row],[Higher Level Standard - Zero 1]:[Higher Level Standard - Zero 2]]))</f>
        <v>#VALUE!</v>
      </c>
      <c r="BJ137" s="29">
        <f>COUNT(Archive[[#This Row],[Candidate Transfer Standard - Zero 1]:[Candidate Transfer Standard - Zero 2]])</f>
        <v>0</v>
      </c>
    </row>
    <row r="138" spans="1:62" x14ac:dyDescent="0.3">
      <c r="A138" s="57"/>
      <c r="BG13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38" s="29" t="e">
        <f>BG138/DEVSQ(Archive[[#This Row],[Higher Level Standard - Zero 1]:[Higher Level Standard - Zero 2]])</f>
        <v>#VALUE!</v>
      </c>
      <c r="BI138" s="29" t="e">
        <f>BG138*(1/COUNT(Archive[[#This Row],[Candidate Transfer Standard - Zero 1]:[Candidate Transfer Standard - Zero 2]])+AVERAGE(Archive[[#This Row],[Higher Level Standard - Zero 1]:[Higher Level Standard - Zero 2]])^2/DEVSQ(Archive[[#This Row],[Higher Level Standard - Zero 1]:[Higher Level Standard - Zero 2]]))</f>
        <v>#VALUE!</v>
      </c>
      <c r="BJ138" s="29">
        <f>COUNT(Archive[[#This Row],[Candidate Transfer Standard - Zero 1]:[Candidate Transfer Standard - Zero 2]])</f>
        <v>0</v>
      </c>
    </row>
    <row r="139" spans="1:62" x14ac:dyDescent="0.3">
      <c r="A139" s="57"/>
      <c r="BG13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39" s="29" t="e">
        <f>BG139/DEVSQ(Archive[[#This Row],[Higher Level Standard - Zero 1]:[Higher Level Standard - Zero 2]])</f>
        <v>#VALUE!</v>
      </c>
      <c r="BI139" s="29" t="e">
        <f>BG139*(1/COUNT(Archive[[#This Row],[Candidate Transfer Standard - Zero 1]:[Candidate Transfer Standard - Zero 2]])+AVERAGE(Archive[[#This Row],[Higher Level Standard - Zero 1]:[Higher Level Standard - Zero 2]])^2/DEVSQ(Archive[[#This Row],[Higher Level Standard - Zero 1]:[Higher Level Standard - Zero 2]]))</f>
        <v>#VALUE!</v>
      </c>
      <c r="BJ139" s="29">
        <f>COUNT(Archive[[#This Row],[Candidate Transfer Standard - Zero 1]:[Candidate Transfer Standard - Zero 2]])</f>
        <v>0</v>
      </c>
    </row>
    <row r="140" spans="1:62" x14ac:dyDescent="0.3">
      <c r="A140" s="57"/>
      <c r="BG14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40" s="29" t="e">
        <f>BG140/DEVSQ(Archive[[#This Row],[Higher Level Standard - Zero 1]:[Higher Level Standard - Zero 2]])</f>
        <v>#VALUE!</v>
      </c>
      <c r="BI140" s="29" t="e">
        <f>BG140*(1/COUNT(Archive[[#This Row],[Candidate Transfer Standard - Zero 1]:[Candidate Transfer Standard - Zero 2]])+AVERAGE(Archive[[#This Row],[Higher Level Standard - Zero 1]:[Higher Level Standard - Zero 2]])^2/DEVSQ(Archive[[#This Row],[Higher Level Standard - Zero 1]:[Higher Level Standard - Zero 2]]))</f>
        <v>#VALUE!</v>
      </c>
      <c r="BJ140" s="29">
        <f>COUNT(Archive[[#This Row],[Candidate Transfer Standard - Zero 1]:[Candidate Transfer Standard - Zero 2]])</f>
        <v>0</v>
      </c>
    </row>
    <row r="141" spans="1:62" x14ac:dyDescent="0.3">
      <c r="A141" s="57"/>
      <c r="BG14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41" s="29" t="e">
        <f>BG141/DEVSQ(Archive[[#This Row],[Higher Level Standard - Zero 1]:[Higher Level Standard - Zero 2]])</f>
        <v>#VALUE!</v>
      </c>
      <c r="BI141" s="29" t="e">
        <f>BG141*(1/COUNT(Archive[[#This Row],[Candidate Transfer Standard - Zero 1]:[Candidate Transfer Standard - Zero 2]])+AVERAGE(Archive[[#This Row],[Higher Level Standard - Zero 1]:[Higher Level Standard - Zero 2]])^2/DEVSQ(Archive[[#This Row],[Higher Level Standard - Zero 1]:[Higher Level Standard - Zero 2]]))</f>
        <v>#VALUE!</v>
      </c>
      <c r="BJ141" s="29">
        <f>COUNT(Archive[[#This Row],[Candidate Transfer Standard - Zero 1]:[Candidate Transfer Standard - Zero 2]])</f>
        <v>0</v>
      </c>
    </row>
    <row r="142" spans="1:62" x14ac:dyDescent="0.3">
      <c r="A142" s="57"/>
      <c r="BG14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42" s="29" t="e">
        <f>BG142/DEVSQ(Archive[[#This Row],[Higher Level Standard - Zero 1]:[Higher Level Standard - Zero 2]])</f>
        <v>#VALUE!</v>
      </c>
      <c r="BI142" s="29" t="e">
        <f>BG142*(1/COUNT(Archive[[#This Row],[Candidate Transfer Standard - Zero 1]:[Candidate Transfer Standard - Zero 2]])+AVERAGE(Archive[[#This Row],[Higher Level Standard - Zero 1]:[Higher Level Standard - Zero 2]])^2/DEVSQ(Archive[[#This Row],[Higher Level Standard - Zero 1]:[Higher Level Standard - Zero 2]]))</f>
        <v>#VALUE!</v>
      </c>
      <c r="BJ142" s="29">
        <f>COUNT(Archive[[#This Row],[Candidate Transfer Standard - Zero 1]:[Candidate Transfer Standard - Zero 2]])</f>
        <v>0</v>
      </c>
    </row>
    <row r="143" spans="1:62" x14ac:dyDescent="0.3">
      <c r="A143" s="57"/>
      <c r="BG14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43" s="29" t="e">
        <f>BG143/DEVSQ(Archive[[#This Row],[Higher Level Standard - Zero 1]:[Higher Level Standard - Zero 2]])</f>
        <v>#VALUE!</v>
      </c>
      <c r="BI143" s="29" t="e">
        <f>BG143*(1/COUNT(Archive[[#This Row],[Candidate Transfer Standard - Zero 1]:[Candidate Transfer Standard - Zero 2]])+AVERAGE(Archive[[#This Row],[Higher Level Standard - Zero 1]:[Higher Level Standard - Zero 2]])^2/DEVSQ(Archive[[#This Row],[Higher Level Standard - Zero 1]:[Higher Level Standard - Zero 2]]))</f>
        <v>#VALUE!</v>
      </c>
      <c r="BJ143" s="29">
        <f>COUNT(Archive[[#This Row],[Candidate Transfer Standard - Zero 1]:[Candidate Transfer Standard - Zero 2]])</f>
        <v>0</v>
      </c>
    </row>
    <row r="144" spans="1:62" x14ac:dyDescent="0.3">
      <c r="A144" s="57"/>
      <c r="BG14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44" s="29" t="e">
        <f>BG144/DEVSQ(Archive[[#This Row],[Higher Level Standard - Zero 1]:[Higher Level Standard - Zero 2]])</f>
        <v>#VALUE!</v>
      </c>
      <c r="BI144" s="29" t="e">
        <f>BG144*(1/COUNT(Archive[[#This Row],[Candidate Transfer Standard - Zero 1]:[Candidate Transfer Standard - Zero 2]])+AVERAGE(Archive[[#This Row],[Higher Level Standard - Zero 1]:[Higher Level Standard - Zero 2]])^2/DEVSQ(Archive[[#This Row],[Higher Level Standard - Zero 1]:[Higher Level Standard - Zero 2]]))</f>
        <v>#VALUE!</v>
      </c>
      <c r="BJ144" s="29">
        <f>COUNT(Archive[[#This Row],[Candidate Transfer Standard - Zero 1]:[Candidate Transfer Standard - Zero 2]])</f>
        <v>0</v>
      </c>
    </row>
    <row r="145" spans="1:62" x14ac:dyDescent="0.3">
      <c r="A145" s="57"/>
      <c r="BG14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45" s="29" t="e">
        <f>BG145/DEVSQ(Archive[[#This Row],[Higher Level Standard - Zero 1]:[Higher Level Standard - Zero 2]])</f>
        <v>#VALUE!</v>
      </c>
      <c r="BI145" s="29" t="e">
        <f>BG145*(1/COUNT(Archive[[#This Row],[Candidate Transfer Standard - Zero 1]:[Candidate Transfer Standard - Zero 2]])+AVERAGE(Archive[[#This Row],[Higher Level Standard - Zero 1]:[Higher Level Standard - Zero 2]])^2/DEVSQ(Archive[[#This Row],[Higher Level Standard - Zero 1]:[Higher Level Standard - Zero 2]]))</f>
        <v>#VALUE!</v>
      </c>
      <c r="BJ145" s="29">
        <f>COUNT(Archive[[#This Row],[Candidate Transfer Standard - Zero 1]:[Candidate Transfer Standard - Zero 2]])</f>
        <v>0</v>
      </c>
    </row>
    <row r="146" spans="1:62" x14ac:dyDescent="0.3">
      <c r="A146" s="57"/>
      <c r="BG14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46" s="29" t="e">
        <f>BG146/DEVSQ(Archive[[#This Row],[Higher Level Standard - Zero 1]:[Higher Level Standard - Zero 2]])</f>
        <v>#VALUE!</v>
      </c>
      <c r="BI146" s="29" t="e">
        <f>BG146*(1/COUNT(Archive[[#This Row],[Candidate Transfer Standard - Zero 1]:[Candidate Transfer Standard - Zero 2]])+AVERAGE(Archive[[#This Row],[Higher Level Standard - Zero 1]:[Higher Level Standard - Zero 2]])^2/DEVSQ(Archive[[#This Row],[Higher Level Standard - Zero 1]:[Higher Level Standard - Zero 2]]))</f>
        <v>#VALUE!</v>
      </c>
      <c r="BJ146" s="29">
        <f>COUNT(Archive[[#This Row],[Candidate Transfer Standard - Zero 1]:[Candidate Transfer Standard - Zero 2]])</f>
        <v>0</v>
      </c>
    </row>
    <row r="147" spans="1:62" x14ac:dyDescent="0.3">
      <c r="A147" s="57"/>
      <c r="BG14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47" s="29" t="e">
        <f>BG147/DEVSQ(Archive[[#This Row],[Higher Level Standard - Zero 1]:[Higher Level Standard - Zero 2]])</f>
        <v>#VALUE!</v>
      </c>
      <c r="BI147" s="29" t="e">
        <f>BG147*(1/COUNT(Archive[[#This Row],[Candidate Transfer Standard - Zero 1]:[Candidate Transfer Standard - Zero 2]])+AVERAGE(Archive[[#This Row],[Higher Level Standard - Zero 1]:[Higher Level Standard - Zero 2]])^2/DEVSQ(Archive[[#This Row],[Higher Level Standard - Zero 1]:[Higher Level Standard - Zero 2]]))</f>
        <v>#VALUE!</v>
      </c>
      <c r="BJ147" s="29">
        <f>COUNT(Archive[[#This Row],[Candidate Transfer Standard - Zero 1]:[Candidate Transfer Standard - Zero 2]])</f>
        <v>0</v>
      </c>
    </row>
    <row r="148" spans="1:62" x14ac:dyDescent="0.3">
      <c r="A148" s="57"/>
      <c r="BG14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48" s="29" t="e">
        <f>BG148/DEVSQ(Archive[[#This Row],[Higher Level Standard - Zero 1]:[Higher Level Standard - Zero 2]])</f>
        <v>#VALUE!</v>
      </c>
      <c r="BI148" s="29" t="e">
        <f>BG148*(1/COUNT(Archive[[#This Row],[Candidate Transfer Standard - Zero 1]:[Candidate Transfer Standard - Zero 2]])+AVERAGE(Archive[[#This Row],[Higher Level Standard - Zero 1]:[Higher Level Standard - Zero 2]])^2/DEVSQ(Archive[[#This Row],[Higher Level Standard - Zero 1]:[Higher Level Standard - Zero 2]]))</f>
        <v>#VALUE!</v>
      </c>
      <c r="BJ148" s="29">
        <f>COUNT(Archive[[#This Row],[Candidate Transfer Standard - Zero 1]:[Candidate Transfer Standard - Zero 2]])</f>
        <v>0</v>
      </c>
    </row>
    <row r="149" spans="1:62" x14ac:dyDescent="0.3">
      <c r="A149" s="57"/>
      <c r="BG14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49" s="29" t="e">
        <f>BG149/DEVSQ(Archive[[#This Row],[Higher Level Standard - Zero 1]:[Higher Level Standard - Zero 2]])</f>
        <v>#VALUE!</v>
      </c>
      <c r="BI149" s="29" t="e">
        <f>BG149*(1/COUNT(Archive[[#This Row],[Candidate Transfer Standard - Zero 1]:[Candidate Transfer Standard - Zero 2]])+AVERAGE(Archive[[#This Row],[Higher Level Standard - Zero 1]:[Higher Level Standard - Zero 2]])^2/DEVSQ(Archive[[#This Row],[Higher Level Standard - Zero 1]:[Higher Level Standard - Zero 2]]))</f>
        <v>#VALUE!</v>
      </c>
      <c r="BJ149" s="29">
        <f>COUNT(Archive[[#This Row],[Candidate Transfer Standard - Zero 1]:[Candidate Transfer Standard - Zero 2]])</f>
        <v>0</v>
      </c>
    </row>
    <row r="150" spans="1:62" x14ac:dyDescent="0.3">
      <c r="A150" s="57"/>
      <c r="BG15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50" s="29" t="e">
        <f>BG150/DEVSQ(Archive[[#This Row],[Higher Level Standard - Zero 1]:[Higher Level Standard - Zero 2]])</f>
        <v>#VALUE!</v>
      </c>
      <c r="BI150" s="29" t="e">
        <f>BG150*(1/COUNT(Archive[[#This Row],[Candidate Transfer Standard - Zero 1]:[Candidate Transfer Standard - Zero 2]])+AVERAGE(Archive[[#This Row],[Higher Level Standard - Zero 1]:[Higher Level Standard - Zero 2]])^2/DEVSQ(Archive[[#This Row],[Higher Level Standard - Zero 1]:[Higher Level Standard - Zero 2]]))</f>
        <v>#VALUE!</v>
      </c>
      <c r="BJ150" s="29">
        <f>COUNT(Archive[[#This Row],[Candidate Transfer Standard - Zero 1]:[Candidate Transfer Standard - Zero 2]])</f>
        <v>0</v>
      </c>
    </row>
    <row r="151" spans="1:62" x14ac:dyDescent="0.3">
      <c r="A151" s="57"/>
      <c r="BG15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51" s="29" t="e">
        <f>BG151/DEVSQ(Archive[[#This Row],[Higher Level Standard - Zero 1]:[Higher Level Standard - Zero 2]])</f>
        <v>#VALUE!</v>
      </c>
      <c r="BI151" s="29" t="e">
        <f>BG151*(1/COUNT(Archive[[#This Row],[Candidate Transfer Standard - Zero 1]:[Candidate Transfer Standard - Zero 2]])+AVERAGE(Archive[[#This Row],[Higher Level Standard - Zero 1]:[Higher Level Standard - Zero 2]])^2/DEVSQ(Archive[[#This Row],[Higher Level Standard - Zero 1]:[Higher Level Standard - Zero 2]]))</f>
        <v>#VALUE!</v>
      </c>
      <c r="BJ151" s="29">
        <f>COUNT(Archive[[#This Row],[Candidate Transfer Standard - Zero 1]:[Candidate Transfer Standard - Zero 2]])</f>
        <v>0</v>
      </c>
    </row>
    <row r="152" spans="1:62" x14ac:dyDescent="0.3">
      <c r="A152" s="57"/>
      <c r="BG15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52" s="29" t="e">
        <f>BG152/DEVSQ(Archive[[#This Row],[Higher Level Standard - Zero 1]:[Higher Level Standard - Zero 2]])</f>
        <v>#VALUE!</v>
      </c>
      <c r="BI152" s="29" t="e">
        <f>BG152*(1/COUNT(Archive[[#This Row],[Candidate Transfer Standard - Zero 1]:[Candidate Transfer Standard - Zero 2]])+AVERAGE(Archive[[#This Row],[Higher Level Standard - Zero 1]:[Higher Level Standard - Zero 2]])^2/DEVSQ(Archive[[#This Row],[Higher Level Standard - Zero 1]:[Higher Level Standard - Zero 2]]))</f>
        <v>#VALUE!</v>
      </c>
      <c r="BJ152" s="29">
        <f>COUNT(Archive[[#This Row],[Candidate Transfer Standard - Zero 1]:[Candidate Transfer Standard - Zero 2]])</f>
        <v>0</v>
      </c>
    </row>
    <row r="153" spans="1:62" x14ac:dyDescent="0.3">
      <c r="A153" s="57"/>
      <c r="BG15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53" s="29" t="e">
        <f>BG153/DEVSQ(Archive[[#This Row],[Higher Level Standard - Zero 1]:[Higher Level Standard - Zero 2]])</f>
        <v>#VALUE!</v>
      </c>
      <c r="BI153" s="29" t="e">
        <f>BG153*(1/COUNT(Archive[[#This Row],[Candidate Transfer Standard - Zero 1]:[Candidate Transfer Standard - Zero 2]])+AVERAGE(Archive[[#This Row],[Higher Level Standard - Zero 1]:[Higher Level Standard - Zero 2]])^2/DEVSQ(Archive[[#This Row],[Higher Level Standard - Zero 1]:[Higher Level Standard - Zero 2]]))</f>
        <v>#VALUE!</v>
      </c>
      <c r="BJ153" s="29">
        <f>COUNT(Archive[[#This Row],[Candidate Transfer Standard - Zero 1]:[Candidate Transfer Standard - Zero 2]])</f>
        <v>0</v>
      </c>
    </row>
    <row r="154" spans="1:62" x14ac:dyDescent="0.3">
      <c r="A154" s="57"/>
      <c r="BG15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54" s="29" t="e">
        <f>BG154/DEVSQ(Archive[[#This Row],[Higher Level Standard - Zero 1]:[Higher Level Standard - Zero 2]])</f>
        <v>#VALUE!</v>
      </c>
      <c r="BI154" s="29" t="e">
        <f>BG154*(1/COUNT(Archive[[#This Row],[Candidate Transfer Standard - Zero 1]:[Candidate Transfer Standard - Zero 2]])+AVERAGE(Archive[[#This Row],[Higher Level Standard - Zero 1]:[Higher Level Standard - Zero 2]])^2/DEVSQ(Archive[[#This Row],[Higher Level Standard - Zero 1]:[Higher Level Standard - Zero 2]]))</f>
        <v>#VALUE!</v>
      </c>
      <c r="BJ154" s="29">
        <f>COUNT(Archive[[#This Row],[Candidate Transfer Standard - Zero 1]:[Candidate Transfer Standard - Zero 2]])</f>
        <v>0</v>
      </c>
    </row>
    <row r="155" spans="1:62" x14ac:dyDescent="0.3">
      <c r="A155" s="57"/>
      <c r="BG15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55" s="29" t="e">
        <f>BG155/DEVSQ(Archive[[#This Row],[Higher Level Standard - Zero 1]:[Higher Level Standard - Zero 2]])</f>
        <v>#VALUE!</v>
      </c>
      <c r="BI155" s="29" t="e">
        <f>BG155*(1/COUNT(Archive[[#This Row],[Candidate Transfer Standard - Zero 1]:[Candidate Transfer Standard - Zero 2]])+AVERAGE(Archive[[#This Row],[Higher Level Standard - Zero 1]:[Higher Level Standard - Zero 2]])^2/DEVSQ(Archive[[#This Row],[Higher Level Standard - Zero 1]:[Higher Level Standard - Zero 2]]))</f>
        <v>#VALUE!</v>
      </c>
      <c r="BJ155" s="29">
        <f>COUNT(Archive[[#This Row],[Candidate Transfer Standard - Zero 1]:[Candidate Transfer Standard - Zero 2]])</f>
        <v>0</v>
      </c>
    </row>
    <row r="156" spans="1:62" x14ac:dyDescent="0.3">
      <c r="A156" s="57"/>
      <c r="BG15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56" s="29" t="e">
        <f>BG156/DEVSQ(Archive[[#This Row],[Higher Level Standard - Zero 1]:[Higher Level Standard - Zero 2]])</f>
        <v>#VALUE!</v>
      </c>
      <c r="BI156" s="29" t="e">
        <f>BG156*(1/COUNT(Archive[[#This Row],[Candidate Transfer Standard - Zero 1]:[Candidate Transfer Standard - Zero 2]])+AVERAGE(Archive[[#This Row],[Higher Level Standard - Zero 1]:[Higher Level Standard - Zero 2]])^2/DEVSQ(Archive[[#This Row],[Higher Level Standard - Zero 1]:[Higher Level Standard - Zero 2]]))</f>
        <v>#VALUE!</v>
      </c>
      <c r="BJ156" s="29">
        <f>COUNT(Archive[[#This Row],[Candidate Transfer Standard - Zero 1]:[Candidate Transfer Standard - Zero 2]])</f>
        <v>0</v>
      </c>
    </row>
    <row r="157" spans="1:62" x14ac:dyDescent="0.3">
      <c r="A157" s="57"/>
      <c r="BG15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57" s="29" t="e">
        <f>BG157/DEVSQ(Archive[[#This Row],[Higher Level Standard - Zero 1]:[Higher Level Standard - Zero 2]])</f>
        <v>#VALUE!</v>
      </c>
      <c r="BI157" s="29" t="e">
        <f>BG157*(1/COUNT(Archive[[#This Row],[Candidate Transfer Standard - Zero 1]:[Candidate Transfer Standard - Zero 2]])+AVERAGE(Archive[[#This Row],[Higher Level Standard - Zero 1]:[Higher Level Standard - Zero 2]])^2/DEVSQ(Archive[[#This Row],[Higher Level Standard - Zero 1]:[Higher Level Standard - Zero 2]]))</f>
        <v>#VALUE!</v>
      </c>
      <c r="BJ157" s="29">
        <f>COUNT(Archive[[#This Row],[Candidate Transfer Standard - Zero 1]:[Candidate Transfer Standard - Zero 2]])</f>
        <v>0</v>
      </c>
    </row>
    <row r="158" spans="1:62" x14ac:dyDescent="0.3">
      <c r="A158" s="57"/>
      <c r="BG15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58" s="29" t="e">
        <f>BG158/DEVSQ(Archive[[#This Row],[Higher Level Standard - Zero 1]:[Higher Level Standard - Zero 2]])</f>
        <v>#VALUE!</v>
      </c>
      <c r="BI158" s="29" t="e">
        <f>BG158*(1/COUNT(Archive[[#This Row],[Candidate Transfer Standard - Zero 1]:[Candidate Transfer Standard - Zero 2]])+AVERAGE(Archive[[#This Row],[Higher Level Standard - Zero 1]:[Higher Level Standard - Zero 2]])^2/DEVSQ(Archive[[#This Row],[Higher Level Standard - Zero 1]:[Higher Level Standard - Zero 2]]))</f>
        <v>#VALUE!</v>
      </c>
      <c r="BJ158" s="29">
        <f>COUNT(Archive[[#This Row],[Candidate Transfer Standard - Zero 1]:[Candidate Transfer Standard - Zero 2]])</f>
        <v>0</v>
      </c>
    </row>
    <row r="159" spans="1:62" x14ac:dyDescent="0.3">
      <c r="A159" s="57"/>
      <c r="BG15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59" s="29" t="e">
        <f>BG159/DEVSQ(Archive[[#This Row],[Higher Level Standard - Zero 1]:[Higher Level Standard - Zero 2]])</f>
        <v>#VALUE!</v>
      </c>
      <c r="BI159" s="29" t="e">
        <f>BG159*(1/COUNT(Archive[[#This Row],[Candidate Transfer Standard - Zero 1]:[Candidate Transfer Standard - Zero 2]])+AVERAGE(Archive[[#This Row],[Higher Level Standard - Zero 1]:[Higher Level Standard - Zero 2]])^2/DEVSQ(Archive[[#This Row],[Higher Level Standard - Zero 1]:[Higher Level Standard - Zero 2]]))</f>
        <v>#VALUE!</v>
      </c>
      <c r="BJ159" s="29">
        <f>COUNT(Archive[[#This Row],[Candidate Transfer Standard - Zero 1]:[Candidate Transfer Standard - Zero 2]])</f>
        <v>0</v>
      </c>
    </row>
    <row r="160" spans="1:62" x14ac:dyDescent="0.3">
      <c r="A160" s="57"/>
      <c r="BG16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60" s="29" t="e">
        <f>BG160/DEVSQ(Archive[[#This Row],[Higher Level Standard - Zero 1]:[Higher Level Standard - Zero 2]])</f>
        <v>#VALUE!</v>
      </c>
      <c r="BI160" s="29" t="e">
        <f>BG160*(1/COUNT(Archive[[#This Row],[Candidate Transfer Standard - Zero 1]:[Candidate Transfer Standard - Zero 2]])+AVERAGE(Archive[[#This Row],[Higher Level Standard - Zero 1]:[Higher Level Standard - Zero 2]])^2/DEVSQ(Archive[[#This Row],[Higher Level Standard - Zero 1]:[Higher Level Standard - Zero 2]]))</f>
        <v>#VALUE!</v>
      </c>
      <c r="BJ160" s="29">
        <f>COUNT(Archive[[#This Row],[Candidate Transfer Standard - Zero 1]:[Candidate Transfer Standard - Zero 2]])</f>
        <v>0</v>
      </c>
    </row>
    <row r="161" spans="1:62" x14ac:dyDescent="0.3">
      <c r="A161" s="57"/>
      <c r="BG16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61" s="29" t="e">
        <f>BG161/DEVSQ(Archive[[#This Row],[Higher Level Standard - Zero 1]:[Higher Level Standard - Zero 2]])</f>
        <v>#VALUE!</v>
      </c>
      <c r="BI161" s="29" t="e">
        <f>BG161*(1/COUNT(Archive[[#This Row],[Candidate Transfer Standard - Zero 1]:[Candidate Transfer Standard - Zero 2]])+AVERAGE(Archive[[#This Row],[Higher Level Standard - Zero 1]:[Higher Level Standard - Zero 2]])^2/DEVSQ(Archive[[#This Row],[Higher Level Standard - Zero 1]:[Higher Level Standard - Zero 2]]))</f>
        <v>#VALUE!</v>
      </c>
      <c r="BJ161" s="29">
        <f>COUNT(Archive[[#This Row],[Candidate Transfer Standard - Zero 1]:[Candidate Transfer Standard - Zero 2]])</f>
        <v>0</v>
      </c>
    </row>
    <row r="162" spans="1:62" x14ac:dyDescent="0.3">
      <c r="A162" s="57"/>
      <c r="BG16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62" s="29" t="e">
        <f>BG162/DEVSQ(Archive[[#This Row],[Higher Level Standard - Zero 1]:[Higher Level Standard - Zero 2]])</f>
        <v>#VALUE!</v>
      </c>
      <c r="BI162" s="29" t="e">
        <f>BG162*(1/COUNT(Archive[[#This Row],[Candidate Transfer Standard - Zero 1]:[Candidate Transfer Standard - Zero 2]])+AVERAGE(Archive[[#This Row],[Higher Level Standard - Zero 1]:[Higher Level Standard - Zero 2]])^2/DEVSQ(Archive[[#This Row],[Higher Level Standard - Zero 1]:[Higher Level Standard - Zero 2]]))</f>
        <v>#VALUE!</v>
      </c>
      <c r="BJ162" s="29">
        <f>COUNT(Archive[[#This Row],[Candidate Transfer Standard - Zero 1]:[Candidate Transfer Standard - Zero 2]])</f>
        <v>0</v>
      </c>
    </row>
    <row r="163" spans="1:62" x14ac:dyDescent="0.3">
      <c r="A163" s="57"/>
      <c r="BG16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63" s="29" t="e">
        <f>BG163/DEVSQ(Archive[[#This Row],[Higher Level Standard - Zero 1]:[Higher Level Standard - Zero 2]])</f>
        <v>#VALUE!</v>
      </c>
      <c r="BI163" s="29" t="e">
        <f>BG163*(1/COUNT(Archive[[#This Row],[Candidate Transfer Standard - Zero 1]:[Candidate Transfer Standard - Zero 2]])+AVERAGE(Archive[[#This Row],[Higher Level Standard - Zero 1]:[Higher Level Standard - Zero 2]])^2/DEVSQ(Archive[[#This Row],[Higher Level Standard - Zero 1]:[Higher Level Standard - Zero 2]]))</f>
        <v>#VALUE!</v>
      </c>
      <c r="BJ163" s="29">
        <f>COUNT(Archive[[#This Row],[Candidate Transfer Standard - Zero 1]:[Candidate Transfer Standard - Zero 2]])</f>
        <v>0</v>
      </c>
    </row>
    <row r="164" spans="1:62" x14ac:dyDescent="0.3">
      <c r="A164" s="57"/>
      <c r="BG16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64" s="29" t="e">
        <f>BG164/DEVSQ(Archive[[#This Row],[Higher Level Standard - Zero 1]:[Higher Level Standard - Zero 2]])</f>
        <v>#VALUE!</v>
      </c>
      <c r="BI164" s="29" t="e">
        <f>BG164*(1/COUNT(Archive[[#This Row],[Candidate Transfer Standard - Zero 1]:[Candidate Transfer Standard - Zero 2]])+AVERAGE(Archive[[#This Row],[Higher Level Standard - Zero 1]:[Higher Level Standard - Zero 2]])^2/DEVSQ(Archive[[#This Row],[Higher Level Standard - Zero 1]:[Higher Level Standard - Zero 2]]))</f>
        <v>#VALUE!</v>
      </c>
      <c r="BJ164" s="29">
        <f>COUNT(Archive[[#This Row],[Candidate Transfer Standard - Zero 1]:[Candidate Transfer Standard - Zero 2]])</f>
        <v>0</v>
      </c>
    </row>
    <row r="165" spans="1:62" x14ac:dyDescent="0.3">
      <c r="A165" s="57"/>
      <c r="BG16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65" s="29" t="e">
        <f>BG165/DEVSQ(Archive[[#This Row],[Higher Level Standard - Zero 1]:[Higher Level Standard - Zero 2]])</f>
        <v>#VALUE!</v>
      </c>
      <c r="BI165" s="29" t="e">
        <f>BG165*(1/COUNT(Archive[[#This Row],[Candidate Transfer Standard - Zero 1]:[Candidate Transfer Standard - Zero 2]])+AVERAGE(Archive[[#This Row],[Higher Level Standard - Zero 1]:[Higher Level Standard - Zero 2]])^2/DEVSQ(Archive[[#This Row],[Higher Level Standard - Zero 1]:[Higher Level Standard - Zero 2]]))</f>
        <v>#VALUE!</v>
      </c>
      <c r="BJ165" s="29">
        <f>COUNT(Archive[[#This Row],[Candidate Transfer Standard - Zero 1]:[Candidate Transfer Standard - Zero 2]])</f>
        <v>0</v>
      </c>
    </row>
    <row r="166" spans="1:62" x14ac:dyDescent="0.3">
      <c r="A166" s="57"/>
      <c r="BG16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66" s="29" t="e">
        <f>BG166/DEVSQ(Archive[[#This Row],[Higher Level Standard - Zero 1]:[Higher Level Standard - Zero 2]])</f>
        <v>#VALUE!</v>
      </c>
      <c r="BI166" s="29" t="e">
        <f>BG166*(1/COUNT(Archive[[#This Row],[Candidate Transfer Standard - Zero 1]:[Candidate Transfer Standard - Zero 2]])+AVERAGE(Archive[[#This Row],[Higher Level Standard - Zero 1]:[Higher Level Standard - Zero 2]])^2/DEVSQ(Archive[[#This Row],[Higher Level Standard - Zero 1]:[Higher Level Standard - Zero 2]]))</f>
        <v>#VALUE!</v>
      </c>
      <c r="BJ166" s="29">
        <f>COUNT(Archive[[#This Row],[Candidate Transfer Standard - Zero 1]:[Candidate Transfer Standard - Zero 2]])</f>
        <v>0</v>
      </c>
    </row>
    <row r="167" spans="1:62" x14ac:dyDescent="0.3">
      <c r="A167" s="57"/>
      <c r="BG16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67" s="29" t="e">
        <f>BG167/DEVSQ(Archive[[#This Row],[Higher Level Standard - Zero 1]:[Higher Level Standard - Zero 2]])</f>
        <v>#VALUE!</v>
      </c>
      <c r="BI167" s="29" t="e">
        <f>BG167*(1/COUNT(Archive[[#This Row],[Candidate Transfer Standard - Zero 1]:[Candidate Transfer Standard - Zero 2]])+AVERAGE(Archive[[#This Row],[Higher Level Standard - Zero 1]:[Higher Level Standard - Zero 2]])^2/DEVSQ(Archive[[#This Row],[Higher Level Standard - Zero 1]:[Higher Level Standard - Zero 2]]))</f>
        <v>#VALUE!</v>
      </c>
      <c r="BJ167" s="29">
        <f>COUNT(Archive[[#This Row],[Candidate Transfer Standard - Zero 1]:[Candidate Transfer Standard - Zero 2]])</f>
        <v>0</v>
      </c>
    </row>
    <row r="168" spans="1:62" x14ac:dyDescent="0.3">
      <c r="A168" s="57"/>
      <c r="BG16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68" s="29" t="e">
        <f>BG168/DEVSQ(Archive[[#This Row],[Higher Level Standard - Zero 1]:[Higher Level Standard - Zero 2]])</f>
        <v>#VALUE!</v>
      </c>
      <c r="BI168" s="29" t="e">
        <f>BG168*(1/COUNT(Archive[[#This Row],[Candidate Transfer Standard - Zero 1]:[Candidate Transfer Standard - Zero 2]])+AVERAGE(Archive[[#This Row],[Higher Level Standard - Zero 1]:[Higher Level Standard - Zero 2]])^2/DEVSQ(Archive[[#This Row],[Higher Level Standard - Zero 1]:[Higher Level Standard - Zero 2]]))</f>
        <v>#VALUE!</v>
      </c>
      <c r="BJ168" s="29">
        <f>COUNT(Archive[[#This Row],[Candidate Transfer Standard - Zero 1]:[Candidate Transfer Standard - Zero 2]])</f>
        <v>0</v>
      </c>
    </row>
    <row r="169" spans="1:62" x14ac:dyDescent="0.3">
      <c r="A169" s="57"/>
      <c r="BG16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69" s="29" t="e">
        <f>BG169/DEVSQ(Archive[[#This Row],[Higher Level Standard - Zero 1]:[Higher Level Standard - Zero 2]])</f>
        <v>#VALUE!</v>
      </c>
      <c r="BI169" s="29" t="e">
        <f>BG169*(1/COUNT(Archive[[#This Row],[Candidate Transfer Standard - Zero 1]:[Candidate Transfer Standard - Zero 2]])+AVERAGE(Archive[[#This Row],[Higher Level Standard - Zero 1]:[Higher Level Standard - Zero 2]])^2/DEVSQ(Archive[[#This Row],[Higher Level Standard - Zero 1]:[Higher Level Standard - Zero 2]]))</f>
        <v>#VALUE!</v>
      </c>
      <c r="BJ169" s="29">
        <f>COUNT(Archive[[#This Row],[Candidate Transfer Standard - Zero 1]:[Candidate Transfer Standard - Zero 2]])</f>
        <v>0</v>
      </c>
    </row>
    <row r="170" spans="1:62" x14ac:dyDescent="0.3">
      <c r="A170" s="57"/>
      <c r="BG17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70" s="29" t="e">
        <f>BG170/DEVSQ(Archive[[#This Row],[Higher Level Standard - Zero 1]:[Higher Level Standard - Zero 2]])</f>
        <v>#VALUE!</v>
      </c>
      <c r="BI170" s="29" t="e">
        <f>BG170*(1/COUNT(Archive[[#This Row],[Candidate Transfer Standard - Zero 1]:[Candidate Transfer Standard - Zero 2]])+AVERAGE(Archive[[#This Row],[Higher Level Standard - Zero 1]:[Higher Level Standard - Zero 2]])^2/DEVSQ(Archive[[#This Row],[Higher Level Standard - Zero 1]:[Higher Level Standard - Zero 2]]))</f>
        <v>#VALUE!</v>
      </c>
      <c r="BJ170" s="29">
        <f>COUNT(Archive[[#This Row],[Candidate Transfer Standard - Zero 1]:[Candidate Transfer Standard - Zero 2]])</f>
        <v>0</v>
      </c>
    </row>
    <row r="171" spans="1:62" x14ac:dyDescent="0.3">
      <c r="A171" s="57"/>
      <c r="BG17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71" s="29" t="e">
        <f>BG171/DEVSQ(Archive[[#This Row],[Higher Level Standard - Zero 1]:[Higher Level Standard - Zero 2]])</f>
        <v>#VALUE!</v>
      </c>
      <c r="BI171" s="29" t="e">
        <f>BG171*(1/COUNT(Archive[[#This Row],[Candidate Transfer Standard - Zero 1]:[Candidate Transfer Standard - Zero 2]])+AVERAGE(Archive[[#This Row],[Higher Level Standard - Zero 1]:[Higher Level Standard - Zero 2]])^2/DEVSQ(Archive[[#This Row],[Higher Level Standard - Zero 1]:[Higher Level Standard - Zero 2]]))</f>
        <v>#VALUE!</v>
      </c>
      <c r="BJ171" s="29">
        <f>COUNT(Archive[[#This Row],[Candidate Transfer Standard - Zero 1]:[Candidate Transfer Standard - Zero 2]])</f>
        <v>0</v>
      </c>
    </row>
    <row r="172" spans="1:62" x14ac:dyDescent="0.3">
      <c r="A172" s="57"/>
      <c r="BG17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72" s="29" t="e">
        <f>BG172/DEVSQ(Archive[[#This Row],[Higher Level Standard - Zero 1]:[Higher Level Standard - Zero 2]])</f>
        <v>#VALUE!</v>
      </c>
      <c r="BI172" s="29" t="e">
        <f>BG172*(1/COUNT(Archive[[#This Row],[Candidate Transfer Standard - Zero 1]:[Candidate Transfer Standard - Zero 2]])+AVERAGE(Archive[[#This Row],[Higher Level Standard - Zero 1]:[Higher Level Standard - Zero 2]])^2/DEVSQ(Archive[[#This Row],[Higher Level Standard - Zero 1]:[Higher Level Standard - Zero 2]]))</f>
        <v>#VALUE!</v>
      </c>
      <c r="BJ172" s="29">
        <f>COUNT(Archive[[#This Row],[Candidate Transfer Standard - Zero 1]:[Candidate Transfer Standard - Zero 2]])</f>
        <v>0</v>
      </c>
    </row>
    <row r="173" spans="1:62" x14ac:dyDescent="0.3">
      <c r="A173" s="57"/>
      <c r="BG17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73" s="29" t="e">
        <f>BG173/DEVSQ(Archive[[#This Row],[Higher Level Standard - Zero 1]:[Higher Level Standard - Zero 2]])</f>
        <v>#VALUE!</v>
      </c>
      <c r="BI173" s="29" t="e">
        <f>BG173*(1/COUNT(Archive[[#This Row],[Candidate Transfer Standard - Zero 1]:[Candidate Transfer Standard - Zero 2]])+AVERAGE(Archive[[#This Row],[Higher Level Standard - Zero 1]:[Higher Level Standard - Zero 2]])^2/DEVSQ(Archive[[#This Row],[Higher Level Standard - Zero 1]:[Higher Level Standard - Zero 2]]))</f>
        <v>#VALUE!</v>
      </c>
      <c r="BJ173" s="29">
        <f>COUNT(Archive[[#This Row],[Candidate Transfer Standard - Zero 1]:[Candidate Transfer Standard - Zero 2]])</f>
        <v>0</v>
      </c>
    </row>
    <row r="174" spans="1:62" x14ac:dyDescent="0.3">
      <c r="A174" s="57"/>
      <c r="BG17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74" s="29" t="e">
        <f>BG174/DEVSQ(Archive[[#This Row],[Higher Level Standard - Zero 1]:[Higher Level Standard - Zero 2]])</f>
        <v>#VALUE!</v>
      </c>
      <c r="BI174" s="29" t="e">
        <f>BG174*(1/COUNT(Archive[[#This Row],[Candidate Transfer Standard - Zero 1]:[Candidate Transfer Standard - Zero 2]])+AVERAGE(Archive[[#This Row],[Higher Level Standard - Zero 1]:[Higher Level Standard - Zero 2]])^2/DEVSQ(Archive[[#This Row],[Higher Level Standard - Zero 1]:[Higher Level Standard - Zero 2]]))</f>
        <v>#VALUE!</v>
      </c>
      <c r="BJ174" s="29">
        <f>COUNT(Archive[[#This Row],[Candidate Transfer Standard - Zero 1]:[Candidate Transfer Standard - Zero 2]])</f>
        <v>0</v>
      </c>
    </row>
    <row r="175" spans="1:62" x14ac:dyDescent="0.3">
      <c r="A175" s="57"/>
      <c r="BG17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75" s="29" t="e">
        <f>BG175/DEVSQ(Archive[[#This Row],[Higher Level Standard - Zero 1]:[Higher Level Standard - Zero 2]])</f>
        <v>#VALUE!</v>
      </c>
      <c r="BI175" s="29" t="e">
        <f>BG175*(1/COUNT(Archive[[#This Row],[Candidate Transfer Standard - Zero 1]:[Candidate Transfer Standard - Zero 2]])+AVERAGE(Archive[[#This Row],[Higher Level Standard - Zero 1]:[Higher Level Standard - Zero 2]])^2/DEVSQ(Archive[[#This Row],[Higher Level Standard - Zero 1]:[Higher Level Standard - Zero 2]]))</f>
        <v>#VALUE!</v>
      </c>
      <c r="BJ175" s="29">
        <f>COUNT(Archive[[#This Row],[Candidate Transfer Standard - Zero 1]:[Candidate Transfer Standard - Zero 2]])</f>
        <v>0</v>
      </c>
    </row>
    <row r="176" spans="1:62" x14ac:dyDescent="0.3">
      <c r="A176" s="57"/>
      <c r="BG17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76" s="29" t="e">
        <f>BG176/DEVSQ(Archive[[#This Row],[Higher Level Standard - Zero 1]:[Higher Level Standard - Zero 2]])</f>
        <v>#VALUE!</v>
      </c>
      <c r="BI176" s="29" t="e">
        <f>BG176*(1/COUNT(Archive[[#This Row],[Candidate Transfer Standard - Zero 1]:[Candidate Transfer Standard - Zero 2]])+AVERAGE(Archive[[#This Row],[Higher Level Standard - Zero 1]:[Higher Level Standard - Zero 2]])^2/DEVSQ(Archive[[#This Row],[Higher Level Standard - Zero 1]:[Higher Level Standard - Zero 2]]))</f>
        <v>#VALUE!</v>
      </c>
      <c r="BJ176" s="29">
        <f>COUNT(Archive[[#This Row],[Candidate Transfer Standard - Zero 1]:[Candidate Transfer Standard - Zero 2]])</f>
        <v>0</v>
      </c>
    </row>
    <row r="177" spans="1:62" x14ac:dyDescent="0.3">
      <c r="A177" s="57"/>
      <c r="BG17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77" s="29" t="e">
        <f>BG177/DEVSQ(Archive[[#This Row],[Higher Level Standard - Zero 1]:[Higher Level Standard - Zero 2]])</f>
        <v>#VALUE!</v>
      </c>
      <c r="BI177" s="29" t="e">
        <f>BG177*(1/COUNT(Archive[[#This Row],[Candidate Transfer Standard - Zero 1]:[Candidate Transfer Standard - Zero 2]])+AVERAGE(Archive[[#This Row],[Higher Level Standard - Zero 1]:[Higher Level Standard - Zero 2]])^2/DEVSQ(Archive[[#This Row],[Higher Level Standard - Zero 1]:[Higher Level Standard - Zero 2]]))</f>
        <v>#VALUE!</v>
      </c>
      <c r="BJ177" s="29">
        <f>COUNT(Archive[[#This Row],[Candidate Transfer Standard - Zero 1]:[Candidate Transfer Standard - Zero 2]])</f>
        <v>0</v>
      </c>
    </row>
    <row r="178" spans="1:62" x14ac:dyDescent="0.3">
      <c r="A178" s="57"/>
      <c r="BG17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78" s="29" t="e">
        <f>BG178/DEVSQ(Archive[[#This Row],[Higher Level Standard - Zero 1]:[Higher Level Standard - Zero 2]])</f>
        <v>#VALUE!</v>
      </c>
      <c r="BI178" s="29" t="e">
        <f>BG178*(1/COUNT(Archive[[#This Row],[Candidate Transfer Standard - Zero 1]:[Candidate Transfer Standard - Zero 2]])+AVERAGE(Archive[[#This Row],[Higher Level Standard - Zero 1]:[Higher Level Standard - Zero 2]])^2/DEVSQ(Archive[[#This Row],[Higher Level Standard - Zero 1]:[Higher Level Standard - Zero 2]]))</f>
        <v>#VALUE!</v>
      </c>
      <c r="BJ178" s="29">
        <f>COUNT(Archive[[#This Row],[Candidate Transfer Standard - Zero 1]:[Candidate Transfer Standard - Zero 2]])</f>
        <v>0</v>
      </c>
    </row>
    <row r="179" spans="1:62" x14ac:dyDescent="0.3">
      <c r="A179" s="57"/>
      <c r="BG17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79" s="29" t="e">
        <f>BG179/DEVSQ(Archive[[#This Row],[Higher Level Standard - Zero 1]:[Higher Level Standard - Zero 2]])</f>
        <v>#VALUE!</v>
      </c>
      <c r="BI179" s="29" t="e">
        <f>BG179*(1/COUNT(Archive[[#This Row],[Candidate Transfer Standard - Zero 1]:[Candidate Transfer Standard - Zero 2]])+AVERAGE(Archive[[#This Row],[Higher Level Standard - Zero 1]:[Higher Level Standard - Zero 2]])^2/DEVSQ(Archive[[#This Row],[Higher Level Standard - Zero 1]:[Higher Level Standard - Zero 2]]))</f>
        <v>#VALUE!</v>
      </c>
      <c r="BJ179" s="29">
        <f>COUNT(Archive[[#This Row],[Candidate Transfer Standard - Zero 1]:[Candidate Transfer Standard - Zero 2]])</f>
        <v>0</v>
      </c>
    </row>
    <row r="180" spans="1:62" x14ac:dyDescent="0.3">
      <c r="A180" s="57"/>
      <c r="BG18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80" s="29" t="e">
        <f>BG180/DEVSQ(Archive[[#This Row],[Higher Level Standard - Zero 1]:[Higher Level Standard - Zero 2]])</f>
        <v>#VALUE!</v>
      </c>
      <c r="BI180" s="29" t="e">
        <f>BG180*(1/COUNT(Archive[[#This Row],[Candidate Transfer Standard - Zero 1]:[Candidate Transfer Standard - Zero 2]])+AVERAGE(Archive[[#This Row],[Higher Level Standard - Zero 1]:[Higher Level Standard - Zero 2]])^2/DEVSQ(Archive[[#This Row],[Higher Level Standard - Zero 1]:[Higher Level Standard - Zero 2]]))</f>
        <v>#VALUE!</v>
      </c>
      <c r="BJ180" s="29">
        <f>COUNT(Archive[[#This Row],[Candidate Transfer Standard - Zero 1]:[Candidate Transfer Standard - Zero 2]])</f>
        <v>0</v>
      </c>
    </row>
    <row r="181" spans="1:62" x14ac:dyDescent="0.3">
      <c r="A181" s="57"/>
      <c r="BG18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81" s="29" t="e">
        <f>BG181/DEVSQ(Archive[[#This Row],[Higher Level Standard - Zero 1]:[Higher Level Standard - Zero 2]])</f>
        <v>#VALUE!</v>
      </c>
      <c r="BI181" s="29" t="e">
        <f>BG181*(1/COUNT(Archive[[#This Row],[Candidate Transfer Standard - Zero 1]:[Candidate Transfer Standard - Zero 2]])+AVERAGE(Archive[[#This Row],[Higher Level Standard - Zero 1]:[Higher Level Standard - Zero 2]])^2/DEVSQ(Archive[[#This Row],[Higher Level Standard - Zero 1]:[Higher Level Standard - Zero 2]]))</f>
        <v>#VALUE!</v>
      </c>
      <c r="BJ181" s="29">
        <f>COUNT(Archive[[#This Row],[Candidate Transfer Standard - Zero 1]:[Candidate Transfer Standard - Zero 2]])</f>
        <v>0</v>
      </c>
    </row>
    <row r="182" spans="1:62" x14ac:dyDescent="0.3">
      <c r="A182" s="57"/>
      <c r="BG18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82" s="29" t="e">
        <f>BG182/DEVSQ(Archive[[#This Row],[Higher Level Standard - Zero 1]:[Higher Level Standard - Zero 2]])</f>
        <v>#VALUE!</v>
      </c>
      <c r="BI182" s="29" t="e">
        <f>BG182*(1/COUNT(Archive[[#This Row],[Candidate Transfer Standard - Zero 1]:[Candidate Transfer Standard - Zero 2]])+AVERAGE(Archive[[#This Row],[Higher Level Standard - Zero 1]:[Higher Level Standard - Zero 2]])^2/DEVSQ(Archive[[#This Row],[Higher Level Standard - Zero 1]:[Higher Level Standard - Zero 2]]))</f>
        <v>#VALUE!</v>
      </c>
      <c r="BJ182" s="29">
        <f>COUNT(Archive[[#This Row],[Candidate Transfer Standard - Zero 1]:[Candidate Transfer Standard - Zero 2]])</f>
        <v>0</v>
      </c>
    </row>
    <row r="183" spans="1:62" x14ac:dyDescent="0.3">
      <c r="A183" s="57"/>
      <c r="BG18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83" s="29" t="e">
        <f>BG183/DEVSQ(Archive[[#This Row],[Higher Level Standard - Zero 1]:[Higher Level Standard - Zero 2]])</f>
        <v>#VALUE!</v>
      </c>
      <c r="BI183" s="29" t="e">
        <f>BG183*(1/COUNT(Archive[[#This Row],[Candidate Transfer Standard - Zero 1]:[Candidate Transfer Standard - Zero 2]])+AVERAGE(Archive[[#This Row],[Higher Level Standard - Zero 1]:[Higher Level Standard - Zero 2]])^2/DEVSQ(Archive[[#This Row],[Higher Level Standard - Zero 1]:[Higher Level Standard - Zero 2]]))</f>
        <v>#VALUE!</v>
      </c>
      <c r="BJ183" s="29">
        <f>COUNT(Archive[[#This Row],[Candidate Transfer Standard - Zero 1]:[Candidate Transfer Standard - Zero 2]])</f>
        <v>0</v>
      </c>
    </row>
    <row r="184" spans="1:62" x14ac:dyDescent="0.3">
      <c r="A184" s="57"/>
      <c r="BG18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84" s="29" t="e">
        <f>BG184/DEVSQ(Archive[[#This Row],[Higher Level Standard - Zero 1]:[Higher Level Standard - Zero 2]])</f>
        <v>#VALUE!</v>
      </c>
      <c r="BI184" s="29" t="e">
        <f>BG184*(1/COUNT(Archive[[#This Row],[Candidate Transfer Standard - Zero 1]:[Candidate Transfer Standard - Zero 2]])+AVERAGE(Archive[[#This Row],[Higher Level Standard - Zero 1]:[Higher Level Standard - Zero 2]])^2/DEVSQ(Archive[[#This Row],[Higher Level Standard - Zero 1]:[Higher Level Standard - Zero 2]]))</f>
        <v>#VALUE!</v>
      </c>
      <c r="BJ184" s="29">
        <f>COUNT(Archive[[#This Row],[Candidate Transfer Standard - Zero 1]:[Candidate Transfer Standard - Zero 2]])</f>
        <v>0</v>
      </c>
    </row>
    <row r="185" spans="1:62" x14ac:dyDescent="0.3">
      <c r="A185" s="57"/>
      <c r="BG18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85" s="29" t="e">
        <f>BG185/DEVSQ(Archive[[#This Row],[Higher Level Standard - Zero 1]:[Higher Level Standard - Zero 2]])</f>
        <v>#VALUE!</v>
      </c>
      <c r="BI185" s="29" t="e">
        <f>BG185*(1/COUNT(Archive[[#This Row],[Candidate Transfer Standard - Zero 1]:[Candidate Transfer Standard - Zero 2]])+AVERAGE(Archive[[#This Row],[Higher Level Standard - Zero 1]:[Higher Level Standard - Zero 2]])^2/DEVSQ(Archive[[#This Row],[Higher Level Standard - Zero 1]:[Higher Level Standard - Zero 2]]))</f>
        <v>#VALUE!</v>
      </c>
      <c r="BJ185" s="29">
        <f>COUNT(Archive[[#This Row],[Candidate Transfer Standard - Zero 1]:[Candidate Transfer Standard - Zero 2]])</f>
        <v>0</v>
      </c>
    </row>
    <row r="186" spans="1:62" x14ac:dyDescent="0.3">
      <c r="A186" s="57"/>
      <c r="BG18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86" s="29" t="e">
        <f>BG186/DEVSQ(Archive[[#This Row],[Higher Level Standard - Zero 1]:[Higher Level Standard - Zero 2]])</f>
        <v>#VALUE!</v>
      </c>
      <c r="BI186" s="29" t="e">
        <f>BG186*(1/COUNT(Archive[[#This Row],[Candidate Transfer Standard - Zero 1]:[Candidate Transfer Standard - Zero 2]])+AVERAGE(Archive[[#This Row],[Higher Level Standard - Zero 1]:[Higher Level Standard - Zero 2]])^2/DEVSQ(Archive[[#This Row],[Higher Level Standard - Zero 1]:[Higher Level Standard - Zero 2]]))</f>
        <v>#VALUE!</v>
      </c>
      <c r="BJ186" s="29">
        <f>COUNT(Archive[[#This Row],[Candidate Transfer Standard - Zero 1]:[Candidate Transfer Standard - Zero 2]])</f>
        <v>0</v>
      </c>
    </row>
    <row r="187" spans="1:62" x14ac:dyDescent="0.3">
      <c r="A187" s="57"/>
      <c r="BG18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87" s="29" t="e">
        <f>BG187/DEVSQ(Archive[[#This Row],[Higher Level Standard - Zero 1]:[Higher Level Standard - Zero 2]])</f>
        <v>#VALUE!</v>
      </c>
      <c r="BI187" s="29" t="e">
        <f>BG187*(1/COUNT(Archive[[#This Row],[Candidate Transfer Standard - Zero 1]:[Candidate Transfer Standard - Zero 2]])+AVERAGE(Archive[[#This Row],[Higher Level Standard - Zero 1]:[Higher Level Standard - Zero 2]])^2/DEVSQ(Archive[[#This Row],[Higher Level Standard - Zero 1]:[Higher Level Standard - Zero 2]]))</f>
        <v>#VALUE!</v>
      </c>
      <c r="BJ187" s="29">
        <f>COUNT(Archive[[#This Row],[Candidate Transfer Standard - Zero 1]:[Candidate Transfer Standard - Zero 2]])</f>
        <v>0</v>
      </c>
    </row>
    <row r="188" spans="1:62" x14ac:dyDescent="0.3">
      <c r="A188" s="57"/>
      <c r="BG18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88" s="29" t="e">
        <f>BG188/DEVSQ(Archive[[#This Row],[Higher Level Standard - Zero 1]:[Higher Level Standard - Zero 2]])</f>
        <v>#VALUE!</v>
      </c>
      <c r="BI188" s="29" t="e">
        <f>BG188*(1/COUNT(Archive[[#This Row],[Candidate Transfer Standard - Zero 1]:[Candidate Transfer Standard - Zero 2]])+AVERAGE(Archive[[#This Row],[Higher Level Standard - Zero 1]:[Higher Level Standard - Zero 2]])^2/DEVSQ(Archive[[#This Row],[Higher Level Standard - Zero 1]:[Higher Level Standard - Zero 2]]))</f>
        <v>#VALUE!</v>
      </c>
      <c r="BJ188" s="29">
        <f>COUNT(Archive[[#This Row],[Candidate Transfer Standard - Zero 1]:[Candidate Transfer Standard - Zero 2]])</f>
        <v>0</v>
      </c>
    </row>
    <row r="189" spans="1:62" x14ac:dyDescent="0.3">
      <c r="A189" s="57"/>
      <c r="BG18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89" s="29" t="e">
        <f>BG189/DEVSQ(Archive[[#This Row],[Higher Level Standard - Zero 1]:[Higher Level Standard - Zero 2]])</f>
        <v>#VALUE!</v>
      </c>
      <c r="BI189" s="29" t="e">
        <f>BG189*(1/COUNT(Archive[[#This Row],[Candidate Transfer Standard - Zero 1]:[Candidate Transfer Standard - Zero 2]])+AVERAGE(Archive[[#This Row],[Higher Level Standard - Zero 1]:[Higher Level Standard - Zero 2]])^2/DEVSQ(Archive[[#This Row],[Higher Level Standard - Zero 1]:[Higher Level Standard - Zero 2]]))</f>
        <v>#VALUE!</v>
      </c>
      <c r="BJ189" s="29">
        <f>COUNT(Archive[[#This Row],[Candidate Transfer Standard - Zero 1]:[Candidate Transfer Standard - Zero 2]])</f>
        <v>0</v>
      </c>
    </row>
    <row r="190" spans="1:62" x14ac:dyDescent="0.3">
      <c r="A190" s="57"/>
      <c r="BG19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90" s="29" t="e">
        <f>BG190/DEVSQ(Archive[[#This Row],[Higher Level Standard - Zero 1]:[Higher Level Standard - Zero 2]])</f>
        <v>#VALUE!</v>
      </c>
      <c r="BI190" s="29" t="e">
        <f>BG190*(1/COUNT(Archive[[#This Row],[Candidate Transfer Standard - Zero 1]:[Candidate Transfer Standard - Zero 2]])+AVERAGE(Archive[[#This Row],[Higher Level Standard - Zero 1]:[Higher Level Standard - Zero 2]])^2/DEVSQ(Archive[[#This Row],[Higher Level Standard - Zero 1]:[Higher Level Standard - Zero 2]]))</f>
        <v>#VALUE!</v>
      </c>
      <c r="BJ190" s="29">
        <f>COUNT(Archive[[#This Row],[Candidate Transfer Standard - Zero 1]:[Candidate Transfer Standard - Zero 2]])</f>
        <v>0</v>
      </c>
    </row>
    <row r="191" spans="1:62" x14ac:dyDescent="0.3">
      <c r="A191" s="57"/>
      <c r="BG19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91" s="29" t="e">
        <f>BG191/DEVSQ(Archive[[#This Row],[Higher Level Standard - Zero 1]:[Higher Level Standard - Zero 2]])</f>
        <v>#VALUE!</v>
      </c>
      <c r="BI191" s="29" t="e">
        <f>BG191*(1/COUNT(Archive[[#This Row],[Candidate Transfer Standard - Zero 1]:[Candidate Transfer Standard - Zero 2]])+AVERAGE(Archive[[#This Row],[Higher Level Standard - Zero 1]:[Higher Level Standard - Zero 2]])^2/DEVSQ(Archive[[#This Row],[Higher Level Standard - Zero 1]:[Higher Level Standard - Zero 2]]))</f>
        <v>#VALUE!</v>
      </c>
      <c r="BJ191" s="29">
        <f>COUNT(Archive[[#This Row],[Candidate Transfer Standard - Zero 1]:[Candidate Transfer Standard - Zero 2]])</f>
        <v>0</v>
      </c>
    </row>
    <row r="192" spans="1:62" x14ac:dyDescent="0.3">
      <c r="A192" s="57"/>
      <c r="BG19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92" s="29" t="e">
        <f>BG192/DEVSQ(Archive[[#This Row],[Higher Level Standard - Zero 1]:[Higher Level Standard - Zero 2]])</f>
        <v>#VALUE!</v>
      </c>
      <c r="BI192" s="29" t="e">
        <f>BG192*(1/COUNT(Archive[[#This Row],[Candidate Transfer Standard - Zero 1]:[Candidate Transfer Standard - Zero 2]])+AVERAGE(Archive[[#This Row],[Higher Level Standard - Zero 1]:[Higher Level Standard - Zero 2]])^2/DEVSQ(Archive[[#This Row],[Higher Level Standard - Zero 1]:[Higher Level Standard - Zero 2]]))</f>
        <v>#VALUE!</v>
      </c>
      <c r="BJ192" s="29">
        <f>COUNT(Archive[[#This Row],[Candidate Transfer Standard - Zero 1]:[Candidate Transfer Standard - Zero 2]])</f>
        <v>0</v>
      </c>
    </row>
    <row r="193" spans="1:62" x14ac:dyDescent="0.3">
      <c r="A193" s="57"/>
      <c r="BG19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93" s="29" t="e">
        <f>BG193/DEVSQ(Archive[[#This Row],[Higher Level Standard - Zero 1]:[Higher Level Standard - Zero 2]])</f>
        <v>#VALUE!</v>
      </c>
      <c r="BI193" s="29" t="e">
        <f>BG193*(1/COUNT(Archive[[#This Row],[Candidate Transfer Standard - Zero 1]:[Candidate Transfer Standard - Zero 2]])+AVERAGE(Archive[[#This Row],[Higher Level Standard - Zero 1]:[Higher Level Standard - Zero 2]])^2/DEVSQ(Archive[[#This Row],[Higher Level Standard - Zero 1]:[Higher Level Standard - Zero 2]]))</f>
        <v>#VALUE!</v>
      </c>
      <c r="BJ193" s="29">
        <f>COUNT(Archive[[#This Row],[Candidate Transfer Standard - Zero 1]:[Candidate Transfer Standard - Zero 2]])</f>
        <v>0</v>
      </c>
    </row>
    <row r="194" spans="1:62" x14ac:dyDescent="0.3">
      <c r="A194" s="57"/>
      <c r="BG19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94" s="29" t="e">
        <f>BG194/DEVSQ(Archive[[#This Row],[Higher Level Standard - Zero 1]:[Higher Level Standard - Zero 2]])</f>
        <v>#VALUE!</v>
      </c>
      <c r="BI194" s="29" t="e">
        <f>BG194*(1/COUNT(Archive[[#This Row],[Candidate Transfer Standard - Zero 1]:[Candidate Transfer Standard - Zero 2]])+AVERAGE(Archive[[#This Row],[Higher Level Standard - Zero 1]:[Higher Level Standard - Zero 2]])^2/DEVSQ(Archive[[#This Row],[Higher Level Standard - Zero 1]:[Higher Level Standard - Zero 2]]))</f>
        <v>#VALUE!</v>
      </c>
      <c r="BJ194" s="29">
        <f>COUNT(Archive[[#This Row],[Candidate Transfer Standard - Zero 1]:[Candidate Transfer Standard - Zero 2]])</f>
        <v>0</v>
      </c>
    </row>
    <row r="195" spans="1:62" x14ac:dyDescent="0.3">
      <c r="A195" s="57"/>
      <c r="BG19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95" s="29" t="e">
        <f>BG195/DEVSQ(Archive[[#This Row],[Higher Level Standard - Zero 1]:[Higher Level Standard - Zero 2]])</f>
        <v>#VALUE!</v>
      </c>
      <c r="BI195" s="29" t="e">
        <f>BG195*(1/COUNT(Archive[[#This Row],[Candidate Transfer Standard - Zero 1]:[Candidate Transfer Standard - Zero 2]])+AVERAGE(Archive[[#This Row],[Higher Level Standard - Zero 1]:[Higher Level Standard - Zero 2]])^2/DEVSQ(Archive[[#This Row],[Higher Level Standard - Zero 1]:[Higher Level Standard - Zero 2]]))</f>
        <v>#VALUE!</v>
      </c>
      <c r="BJ195" s="29">
        <f>COUNT(Archive[[#This Row],[Candidate Transfer Standard - Zero 1]:[Candidate Transfer Standard - Zero 2]])</f>
        <v>0</v>
      </c>
    </row>
    <row r="196" spans="1:62" x14ac:dyDescent="0.3">
      <c r="A196" s="57"/>
      <c r="BG19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96" s="29" t="e">
        <f>BG196/DEVSQ(Archive[[#This Row],[Higher Level Standard - Zero 1]:[Higher Level Standard - Zero 2]])</f>
        <v>#VALUE!</v>
      </c>
      <c r="BI196" s="29" t="e">
        <f>BG196*(1/COUNT(Archive[[#This Row],[Candidate Transfer Standard - Zero 1]:[Candidate Transfer Standard - Zero 2]])+AVERAGE(Archive[[#This Row],[Higher Level Standard - Zero 1]:[Higher Level Standard - Zero 2]])^2/DEVSQ(Archive[[#This Row],[Higher Level Standard - Zero 1]:[Higher Level Standard - Zero 2]]))</f>
        <v>#VALUE!</v>
      </c>
      <c r="BJ196" s="29">
        <f>COUNT(Archive[[#This Row],[Candidate Transfer Standard - Zero 1]:[Candidate Transfer Standard - Zero 2]])</f>
        <v>0</v>
      </c>
    </row>
    <row r="197" spans="1:62" x14ac:dyDescent="0.3">
      <c r="A197" s="57"/>
      <c r="BG19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97" s="29" t="e">
        <f>BG197/DEVSQ(Archive[[#This Row],[Higher Level Standard - Zero 1]:[Higher Level Standard - Zero 2]])</f>
        <v>#VALUE!</v>
      </c>
      <c r="BI197" s="29" t="e">
        <f>BG197*(1/COUNT(Archive[[#This Row],[Candidate Transfer Standard - Zero 1]:[Candidate Transfer Standard - Zero 2]])+AVERAGE(Archive[[#This Row],[Higher Level Standard - Zero 1]:[Higher Level Standard - Zero 2]])^2/DEVSQ(Archive[[#This Row],[Higher Level Standard - Zero 1]:[Higher Level Standard - Zero 2]]))</f>
        <v>#VALUE!</v>
      </c>
      <c r="BJ197" s="29">
        <f>COUNT(Archive[[#This Row],[Candidate Transfer Standard - Zero 1]:[Candidate Transfer Standard - Zero 2]])</f>
        <v>0</v>
      </c>
    </row>
    <row r="198" spans="1:62" x14ac:dyDescent="0.3">
      <c r="A198" s="57"/>
      <c r="BG19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98" s="29" t="e">
        <f>BG198/DEVSQ(Archive[[#This Row],[Higher Level Standard - Zero 1]:[Higher Level Standard - Zero 2]])</f>
        <v>#VALUE!</v>
      </c>
      <c r="BI198" s="29" t="e">
        <f>BG198*(1/COUNT(Archive[[#This Row],[Candidate Transfer Standard - Zero 1]:[Candidate Transfer Standard - Zero 2]])+AVERAGE(Archive[[#This Row],[Higher Level Standard - Zero 1]:[Higher Level Standard - Zero 2]])^2/DEVSQ(Archive[[#This Row],[Higher Level Standard - Zero 1]:[Higher Level Standard - Zero 2]]))</f>
        <v>#VALUE!</v>
      </c>
      <c r="BJ198" s="29">
        <f>COUNT(Archive[[#This Row],[Candidate Transfer Standard - Zero 1]:[Candidate Transfer Standard - Zero 2]])</f>
        <v>0</v>
      </c>
    </row>
    <row r="199" spans="1:62" x14ac:dyDescent="0.3">
      <c r="A199" s="57"/>
      <c r="BG19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99" s="29" t="e">
        <f>BG199/DEVSQ(Archive[[#This Row],[Higher Level Standard - Zero 1]:[Higher Level Standard - Zero 2]])</f>
        <v>#VALUE!</v>
      </c>
      <c r="BI199" s="29" t="e">
        <f>BG199*(1/COUNT(Archive[[#This Row],[Candidate Transfer Standard - Zero 1]:[Candidate Transfer Standard - Zero 2]])+AVERAGE(Archive[[#This Row],[Higher Level Standard - Zero 1]:[Higher Level Standard - Zero 2]])^2/DEVSQ(Archive[[#This Row],[Higher Level Standard - Zero 1]:[Higher Level Standard - Zero 2]]))</f>
        <v>#VALUE!</v>
      </c>
      <c r="BJ199" s="29">
        <f>COUNT(Archive[[#This Row],[Candidate Transfer Standard - Zero 1]:[Candidate Transfer Standard - Zero 2]])</f>
        <v>0</v>
      </c>
    </row>
    <row r="200" spans="1:62" x14ac:dyDescent="0.3">
      <c r="A200" s="57"/>
      <c r="BG20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00" s="29" t="e">
        <f>BG200/DEVSQ(Archive[[#This Row],[Higher Level Standard - Zero 1]:[Higher Level Standard - Zero 2]])</f>
        <v>#VALUE!</v>
      </c>
      <c r="BI200" s="29" t="e">
        <f>BG200*(1/COUNT(Archive[[#This Row],[Candidate Transfer Standard - Zero 1]:[Candidate Transfer Standard - Zero 2]])+AVERAGE(Archive[[#This Row],[Higher Level Standard - Zero 1]:[Higher Level Standard - Zero 2]])^2/DEVSQ(Archive[[#This Row],[Higher Level Standard - Zero 1]:[Higher Level Standard - Zero 2]]))</f>
        <v>#VALUE!</v>
      </c>
      <c r="BJ200" s="29">
        <f>COUNT(Archive[[#This Row],[Candidate Transfer Standard - Zero 1]:[Candidate Transfer Standard - Zero 2]])</f>
        <v>0</v>
      </c>
    </row>
    <row r="201" spans="1:62" x14ac:dyDescent="0.3">
      <c r="A201" s="57"/>
      <c r="BG20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01" s="29" t="e">
        <f>BG201/DEVSQ(Archive[[#This Row],[Higher Level Standard - Zero 1]:[Higher Level Standard - Zero 2]])</f>
        <v>#VALUE!</v>
      </c>
      <c r="BI201" s="29" t="e">
        <f>BG201*(1/COUNT(Archive[[#This Row],[Candidate Transfer Standard - Zero 1]:[Candidate Transfer Standard - Zero 2]])+AVERAGE(Archive[[#This Row],[Higher Level Standard - Zero 1]:[Higher Level Standard - Zero 2]])^2/DEVSQ(Archive[[#This Row],[Higher Level Standard - Zero 1]:[Higher Level Standard - Zero 2]]))</f>
        <v>#VALUE!</v>
      </c>
      <c r="BJ201" s="29">
        <f>COUNT(Archive[[#This Row],[Candidate Transfer Standard - Zero 1]:[Candidate Transfer Standard - Zero 2]])</f>
        <v>0</v>
      </c>
    </row>
    <row r="202" spans="1:62" x14ac:dyDescent="0.3">
      <c r="A202" s="57"/>
      <c r="BG20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02" s="29" t="e">
        <f>BG202/DEVSQ(Archive[[#This Row],[Higher Level Standard - Zero 1]:[Higher Level Standard - Zero 2]])</f>
        <v>#VALUE!</v>
      </c>
      <c r="BI202" s="29" t="e">
        <f>BG202*(1/COUNT(Archive[[#This Row],[Candidate Transfer Standard - Zero 1]:[Candidate Transfer Standard - Zero 2]])+AVERAGE(Archive[[#This Row],[Higher Level Standard - Zero 1]:[Higher Level Standard - Zero 2]])^2/DEVSQ(Archive[[#This Row],[Higher Level Standard - Zero 1]:[Higher Level Standard - Zero 2]]))</f>
        <v>#VALUE!</v>
      </c>
      <c r="BJ202" s="29">
        <f>COUNT(Archive[[#This Row],[Candidate Transfer Standard - Zero 1]:[Candidate Transfer Standard - Zero 2]])</f>
        <v>0</v>
      </c>
    </row>
    <row r="203" spans="1:62" x14ac:dyDescent="0.3">
      <c r="A203" s="57"/>
      <c r="BG20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03" s="29" t="e">
        <f>BG203/DEVSQ(Archive[[#This Row],[Higher Level Standard - Zero 1]:[Higher Level Standard - Zero 2]])</f>
        <v>#VALUE!</v>
      </c>
      <c r="BI203" s="29" t="e">
        <f>BG203*(1/COUNT(Archive[[#This Row],[Candidate Transfer Standard - Zero 1]:[Candidate Transfer Standard - Zero 2]])+AVERAGE(Archive[[#This Row],[Higher Level Standard - Zero 1]:[Higher Level Standard - Zero 2]])^2/DEVSQ(Archive[[#This Row],[Higher Level Standard - Zero 1]:[Higher Level Standard - Zero 2]]))</f>
        <v>#VALUE!</v>
      </c>
      <c r="BJ203" s="29">
        <f>COUNT(Archive[[#This Row],[Candidate Transfer Standard - Zero 1]:[Candidate Transfer Standard - Zero 2]])</f>
        <v>0</v>
      </c>
    </row>
    <row r="204" spans="1:62" x14ac:dyDescent="0.3">
      <c r="A204" s="57"/>
      <c r="BG20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04" s="29" t="e">
        <f>BG204/DEVSQ(Archive[[#This Row],[Higher Level Standard - Zero 1]:[Higher Level Standard - Zero 2]])</f>
        <v>#VALUE!</v>
      </c>
      <c r="BI204" s="29" t="e">
        <f>BG204*(1/COUNT(Archive[[#This Row],[Candidate Transfer Standard - Zero 1]:[Candidate Transfer Standard - Zero 2]])+AVERAGE(Archive[[#This Row],[Higher Level Standard - Zero 1]:[Higher Level Standard - Zero 2]])^2/DEVSQ(Archive[[#This Row],[Higher Level Standard - Zero 1]:[Higher Level Standard - Zero 2]]))</f>
        <v>#VALUE!</v>
      </c>
      <c r="BJ204" s="29">
        <f>COUNT(Archive[[#This Row],[Candidate Transfer Standard - Zero 1]:[Candidate Transfer Standard - Zero 2]])</f>
        <v>0</v>
      </c>
    </row>
    <row r="205" spans="1:62" x14ac:dyDescent="0.3">
      <c r="A205" s="57"/>
      <c r="BG20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05" s="29" t="e">
        <f>BG205/DEVSQ(Archive[[#This Row],[Higher Level Standard - Zero 1]:[Higher Level Standard - Zero 2]])</f>
        <v>#VALUE!</v>
      </c>
      <c r="BI205" s="29" t="e">
        <f>BG205*(1/COUNT(Archive[[#This Row],[Candidate Transfer Standard - Zero 1]:[Candidate Transfer Standard - Zero 2]])+AVERAGE(Archive[[#This Row],[Higher Level Standard - Zero 1]:[Higher Level Standard - Zero 2]])^2/DEVSQ(Archive[[#This Row],[Higher Level Standard - Zero 1]:[Higher Level Standard - Zero 2]]))</f>
        <v>#VALUE!</v>
      </c>
      <c r="BJ205" s="29">
        <f>COUNT(Archive[[#This Row],[Candidate Transfer Standard - Zero 1]:[Candidate Transfer Standard - Zero 2]])</f>
        <v>0</v>
      </c>
    </row>
    <row r="206" spans="1:62" x14ac:dyDescent="0.3">
      <c r="A206" s="57"/>
      <c r="BG20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06" s="29" t="e">
        <f>BG206/DEVSQ(Archive[[#This Row],[Higher Level Standard - Zero 1]:[Higher Level Standard - Zero 2]])</f>
        <v>#VALUE!</v>
      </c>
      <c r="BI206" s="29" t="e">
        <f>BG206*(1/COUNT(Archive[[#This Row],[Candidate Transfer Standard - Zero 1]:[Candidate Transfer Standard - Zero 2]])+AVERAGE(Archive[[#This Row],[Higher Level Standard - Zero 1]:[Higher Level Standard - Zero 2]])^2/DEVSQ(Archive[[#This Row],[Higher Level Standard - Zero 1]:[Higher Level Standard - Zero 2]]))</f>
        <v>#VALUE!</v>
      </c>
      <c r="BJ206" s="29">
        <f>COUNT(Archive[[#This Row],[Candidate Transfer Standard - Zero 1]:[Candidate Transfer Standard - Zero 2]])</f>
        <v>0</v>
      </c>
    </row>
    <row r="207" spans="1:62" x14ac:dyDescent="0.3">
      <c r="A207" s="57"/>
      <c r="BG20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07" s="29" t="e">
        <f>BG207/DEVSQ(Archive[[#This Row],[Higher Level Standard - Zero 1]:[Higher Level Standard - Zero 2]])</f>
        <v>#VALUE!</v>
      </c>
      <c r="BI207" s="29" t="e">
        <f>BG207*(1/COUNT(Archive[[#This Row],[Candidate Transfer Standard - Zero 1]:[Candidate Transfer Standard - Zero 2]])+AVERAGE(Archive[[#This Row],[Higher Level Standard - Zero 1]:[Higher Level Standard - Zero 2]])^2/DEVSQ(Archive[[#This Row],[Higher Level Standard - Zero 1]:[Higher Level Standard - Zero 2]]))</f>
        <v>#VALUE!</v>
      </c>
      <c r="BJ207" s="29">
        <f>COUNT(Archive[[#This Row],[Candidate Transfer Standard - Zero 1]:[Candidate Transfer Standard - Zero 2]])</f>
        <v>0</v>
      </c>
    </row>
    <row r="208" spans="1:62" x14ac:dyDescent="0.3">
      <c r="A208" s="57"/>
      <c r="BG20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08" s="29" t="e">
        <f>BG208/DEVSQ(Archive[[#This Row],[Higher Level Standard - Zero 1]:[Higher Level Standard - Zero 2]])</f>
        <v>#VALUE!</v>
      </c>
      <c r="BI208" s="29" t="e">
        <f>BG208*(1/COUNT(Archive[[#This Row],[Candidate Transfer Standard - Zero 1]:[Candidate Transfer Standard - Zero 2]])+AVERAGE(Archive[[#This Row],[Higher Level Standard - Zero 1]:[Higher Level Standard - Zero 2]])^2/DEVSQ(Archive[[#This Row],[Higher Level Standard - Zero 1]:[Higher Level Standard - Zero 2]]))</f>
        <v>#VALUE!</v>
      </c>
      <c r="BJ208" s="29">
        <f>COUNT(Archive[[#This Row],[Candidate Transfer Standard - Zero 1]:[Candidate Transfer Standard - Zero 2]])</f>
        <v>0</v>
      </c>
    </row>
    <row r="209" spans="1:62" x14ac:dyDescent="0.3">
      <c r="A209" s="57"/>
      <c r="BG20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09" s="29" t="e">
        <f>BG209/DEVSQ(Archive[[#This Row],[Higher Level Standard - Zero 1]:[Higher Level Standard - Zero 2]])</f>
        <v>#VALUE!</v>
      </c>
      <c r="BI209" s="29" t="e">
        <f>BG209*(1/COUNT(Archive[[#This Row],[Candidate Transfer Standard - Zero 1]:[Candidate Transfer Standard - Zero 2]])+AVERAGE(Archive[[#This Row],[Higher Level Standard - Zero 1]:[Higher Level Standard - Zero 2]])^2/DEVSQ(Archive[[#This Row],[Higher Level Standard - Zero 1]:[Higher Level Standard - Zero 2]]))</f>
        <v>#VALUE!</v>
      </c>
      <c r="BJ209" s="29">
        <f>COUNT(Archive[[#This Row],[Candidate Transfer Standard - Zero 1]:[Candidate Transfer Standard - Zero 2]])</f>
        <v>0</v>
      </c>
    </row>
    <row r="210" spans="1:62" x14ac:dyDescent="0.3">
      <c r="A210" s="57"/>
      <c r="BG21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10" s="29" t="e">
        <f>BG210/DEVSQ(Archive[[#This Row],[Higher Level Standard - Zero 1]:[Higher Level Standard - Zero 2]])</f>
        <v>#VALUE!</v>
      </c>
      <c r="BI210" s="29" t="e">
        <f>BG210*(1/COUNT(Archive[[#This Row],[Candidate Transfer Standard - Zero 1]:[Candidate Transfer Standard - Zero 2]])+AVERAGE(Archive[[#This Row],[Higher Level Standard - Zero 1]:[Higher Level Standard - Zero 2]])^2/DEVSQ(Archive[[#This Row],[Higher Level Standard - Zero 1]:[Higher Level Standard - Zero 2]]))</f>
        <v>#VALUE!</v>
      </c>
      <c r="BJ210" s="29">
        <f>COUNT(Archive[[#This Row],[Candidate Transfer Standard - Zero 1]:[Candidate Transfer Standard - Zero 2]])</f>
        <v>0</v>
      </c>
    </row>
    <row r="211" spans="1:62" x14ac:dyDescent="0.3">
      <c r="A211" s="57"/>
      <c r="BG21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11" s="29" t="e">
        <f>BG211/DEVSQ(Archive[[#This Row],[Higher Level Standard - Zero 1]:[Higher Level Standard - Zero 2]])</f>
        <v>#VALUE!</v>
      </c>
      <c r="BI211" s="29" t="e">
        <f>BG211*(1/COUNT(Archive[[#This Row],[Candidate Transfer Standard - Zero 1]:[Candidate Transfer Standard - Zero 2]])+AVERAGE(Archive[[#This Row],[Higher Level Standard - Zero 1]:[Higher Level Standard - Zero 2]])^2/DEVSQ(Archive[[#This Row],[Higher Level Standard - Zero 1]:[Higher Level Standard - Zero 2]]))</f>
        <v>#VALUE!</v>
      </c>
      <c r="BJ211" s="29">
        <f>COUNT(Archive[[#This Row],[Candidate Transfer Standard - Zero 1]:[Candidate Transfer Standard - Zero 2]])</f>
        <v>0</v>
      </c>
    </row>
    <row r="212" spans="1:62" x14ac:dyDescent="0.3">
      <c r="A212" s="57"/>
      <c r="BG21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12" s="29" t="e">
        <f>BG212/DEVSQ(Archive[[#This Row],[Higher Level Standard - Zero 1]:[Higher Level Standard - Zero 2]])</f>
        <v>#VALUE!</v>
      </c>
      <c r="BI212" s="29" t="e">
        <f>BG212*(1/COUNT(Archive[[#This Row],[Candidate Transfer Standard - Zero 1]:[Candidate Transfer Standard - Zero 2]])+AVERAGE(Archive[[#This Row],[Higher Level Standard - Zero 1]:[Higher Level Standard - Zero 2]])^2/DEVSQ(Archive[[#This Row],[Higher Level Standard - Zero 1]:[Higher Level Standard - Zero 2]]))</f>
        <v>#VALUE!</v>
      </c>
      <c r="BJ212" s="29">
        <f>COUNT(Archive[[#This Row],[Candidate Transfer Standard - Zero 1]:[Candidate Transfer Standard - Zero 2]])</f>
        <v>0</v>
      </c>
    </row>
    <row r="213" spans="1:62" x14ac:dyDescent="0.3">
      <c r="A213" s="57"/>
      <c r="BG21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13" s="29" t="e">
        <f>BG213/DEVSQ(Archive[[#This Row],[Higher Level Standard - Zero 1]:[Higher Level Standard - Zero 2]])</f>
        <v>#VALUE!</v>
      </c>
      <c r="BI213" s="29" t="e">
        <f>BG213*(1/COUNT(Archive[[#This Row],[Candidate Transfer Standard - Zero 1]:[Candidate Transfer Standard - Zero 2]])+AVERAGE(Archive[[#This Row],[Higher Level Standard - Zero 1]:[Higher Level Standard - Zero 2]])^2/DEVSQ(Archive[[#This Row],[Higher Level Standard - Zero 1]:[Higher Level Standard - Zero 2]]))</f>
        <v>#VALUE!</v>
      </c>
      <c r="BJ213" s="29">
        <f>COUNT(Archive[[#This Row],[Candidate Transfer Standard - Zero 1]:[Candidate Transfer Standard - Zero 2]])</f>
        <v>0</v>
      </c>
    </row>
    <row r="214" spans="1:62" x14ac:dyDescent="0.3">
      <c r="A214" s="57"/>
      <c r="BG21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14" s="29" t="e">
        <f>BG214/DEVSQ(Archive[[#This Row],[Higher Level Standard - Zero 1]:[Higher Level Standard - Zero 2]])</f>
        <v>#VALUE!</v>
      </c>
      <c r="BI214" s="29" t="e">
        <f>BG214*(1/COUNT(Archive[[#This Row],[Candidate Transfer Standard - Zero 1]:[Candidate Transfer Standard - Zero 2]])+AVERAGE(Archive[[#This Row],[Higher Level Standard - Zero 1]:[Higher Level Standard - Zero 2]])^2/DEVSQ(Archive[[#This Row],[Higher Level Standard - Zero 1]:[Higher Level Standard - Zero 2]]))</f>
        <v>#VALUE!</v>
      </c>
      <c r="BJ214" s="29">
        <f>COUNT(Archive[[#This Row],[Candidate Transfer Standard - Zero 1]:[Candidate Transfer Standard - Zero 2]])</f>
        <v>0</v>
      </c>
    </row>
    <row r="215" spans="1:62" x14ac:dyDescent="0.3">
      <c r="A215" s="57"/>
      <c r="BG21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15" s="29" t="e">
        <f>BG215/DEVSQ(Archive[[#This Row],[Higher Level Standard - Zero 1]:[Higher Level Standard - Zero 2]])</f>
        <v>#VALUE!</v>
      </c>
      <c r="BI215" s="29" t="e">
        <f>BG215*(1/COUNT(Archive[[#This Row],[Candidate Transfer Standard - Zero 1]:[Candidate Transfer Standard - Zero 2]])+AVERAGE(Archive[[#This Row],[Higher Level Standard - Zero 1]:[Higher Level Standard - Zero 2]])^2/DEVSQ(Archive[[#This Row],[Higher Level Standard - Zero 1]:[Higher Level Standard - Zero 2]]))</f>
        <v>#VALUE!</v>
      </c>
      <c r="BJ215" s="29">
        <f>COUNT(Archive[[#This Row],[Candidate Transfer Standard - Zero 1]:[Candidate Transfer Standard - Zero 2]])</f>
        <v>0</v>
      </c>
    </row>
    <row r="216" spans="1:62" x14ac:dyDescent="0.3">
      <c r="A216" s="57"/>
      <c r="BG21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16" s="29" t="e">
        <f>BG216/DEVSQ(Archive[[#This Row],[Higher Level Standard - Zero 1]:[Higher Level Standard - Zero 2]])</f>
        <v>#VALUE!</v>
      </c>
      <c r="BI216" s="29" t="e">
        <f>BG216*(1/COUNT(Archive[[#This Row],[Candidate Transfer Standard - Zero 1]:[Candidate Transfer Standard - Zero 2]])+AVERAGE(Archive[[#This Row],[Higher Level Standard - Zero 1]:[Higher Level Standard - Zero 2]])^2/DEVSQ(Archive[[#This Row],[Higher Level Standard - Zero 1]:[Higher Level Standard - Zero 2]]))</f>
        <v>#VALUE!</v>
      </c>
      <c r="BJ216" s="29">
        <f>COUNT(Archive[[#This Row],[Candidate Transfer Standard - Zero 1]:[Candidate Transfer Standard - Zero 2]])</f>
        <v>0</v>
      </c>
    </row>
    <row r="217" spans="1:62" x14ac:dyDescent="0.3">
      <c r="A217" s="57"/>
      <c r="BG21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17" s="29" t="e">
        <f>BG217/DEVSQ(Archive[[#This Row],[Higher Level Standard - Zero 1]:[Higher Level Standard - Zero 2]])</f>
        <v>#VALUE!</v>
      </c>
      <c r="BI217" s="29" t="e">
        <f>BG217*(1/COUNT(Archive[[#This Row],[Candidate Transfer Standard - Zero 1]:[Candidate Transfer Standard - Zero 2]])+AVERAGE(Archive[[#This Row],[Higher Level Standard - Zero 1]:[Higher Level Standard - Zero 2]])^2/DEVSQ(Archive[[#This Row],[Higher Level Standard - Zero 1]:[Higher Level Standard - Zero 2]]))</f>
        <v>#VALUE!</v>
      </c>
      <c r="BJ217" s="29">
        <f>COUNT(Archive[[#This Row],[Candidate Transfer Standard - Zero 1]:[Candidate Transfer Standard - Zero 2]])</f>
        <v>0</v>
      </c>
    </row>
    <row r="218" spans="1:62" x14ac:dyDescent="0.3">
      <c r="A218" s="57"/>
      <c r="BG21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18" s="29" t="e">
        <f>BG218/DEVSQ(Archive[[#This Row],[Higher Level Standard - Zero 1]:[Higher Level Standard - Zero 2]])</f>
        <v>#VALUE!</v>
      </c>
      <c r="BI218" s="29" t="e">
        <f>BG218*(1/COUNT(Archive[[#This Row],[Candidate Transfer Standard - Zero 1]:[Candidate Transfer Standard - Zero 2]])+AVERAGE(Archive[[#This Row],[Higher Level Standard - Zero 1]:[Higher Level Standard - Zero 2]])^2/DEVSQ(Archive[[#This Row],[Higher Level Standard - Zero 1]:[Higher Level Standard - Zero 2]]))</f>
        <v>#VALUE!</v>
      </c>
      <c r="BJ218" s="29">
        <f>COUNT(Archive[[#This Row],[Candidate Transfer Standard - Zero 1]:[Candidate Transfer Standard - Zero 2]])</f>
        <v>0</v>
      </c>
    </row>
    <row r="219" spans="1:62" x14ac:dyDescent="0.3">
      <c r="A219" s="57"/>
      <c r="BG21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19" s="29" t="e">
        <f>BG219/DEVSQ(Archive[[#This Row],[Higher Level Standard - Zero 1]:[Higher Level Standard - Zero 2]])</f>
        <v>#VALUE!</v>
      </c>
      <c r="BI219" s="29" t="e">
        <f>BG219*(1/COUNT(Archive[[#This Row],[Candidate Transfer Standard - Zero 1]:[Candidate Transfer Standard - Zero 2]])+AVERAGE(Archive[[#This Row],[Higher Level Standard - Zero 1]:[Higher Level Standard - Zero 2]])^2/DEVSQ(Archive[[#This Row],[Higher Level Standard - Zero 1]:[Higher Level Standard - Zero 2]]))</f>
        <v>#VALUE!</v>
      </c>
      <c r="BJ219" s="29">
        <f>COUNT(Archive[[#This Row],[Candidate Transfer Standard - Zero 1]:[Candidate Transfer Standard - Zero 2]])</f>
        <v>0</v>
      </c>
    </row>
    <row r="220" spans="1:62" x14ac:dyDescent="0.3">
      <c r="A220" s="57"/>
      <c r="BG22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20" s="29" t="e">
        <f>BG220/DEVSQ(Archive[[#This Row],[Higher Level Standard - Zero 1]:[Higher Level Standard - Zero 2]])</f>
        <v>#VALUE!</v>
      </c>
      <c r="BI220" s="29" t="e">
        <f>BG220*(1/COUNT(Archive[[#This Row],[Candidate Transfer Standard - Zero 1]:[Candidate Transfer Standard - Zero 2]])+AVERAGE(Archive[[#This Row],[Higher Level Standard - Zero 1]:[Higher Level Standard - Zero 2]])^2/DEVSQ(Archive[[#This Row],[Higher Level Standard - Zero 1]:[Higher Level Standard - Zero 2]]))</f>
        <v>#VALUE!</v>
      </c>
      <c r="BJ220" s="29">
        <f>COUNT(Archive[[#This Row],[Candidate Transfer Standard - Zero 1]:[Candidate Transfer Standard - Zero 2]])</f>
        <v>0</v>
      </c>
    </row>
    <row r="221" spans="1:62" x14ac:dyDescent="0.3">
      <c r="A221" s="57"/>
      <c r="BG22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21" s="29" t="e">
        <f>BG221/DEVSQ(Archive[[#This Row],[Higher Level Standard - Zero 1]:[Higher Level Standard - Zero 2]])</f>
        <v>#VALUE!</v>
      </c>
      <c r="BI221" s="29" t="e">
        <f>BG221*(1/COUNT(Archive[[#This Row],[Candidate Transfer Standard - Zero 1]:[Candidate Transfer Standard - Zero 2]])+AVERAGE(Archive[[#This Row],[Higher Level Standard - Zero 1]:[Higher Level Standard - Zero 2]])^2/DEVSQ(Archive[[#This Row],[Higher Level Standard - Zero 1]:[Higher Level Standard - Zero 2]]))</f>
        <v>#VALUE!</v>
      </c>
      <c r="BJ221" s="29">
        <f>COUNT(Archive[[#This Row],[Candidate Transfer Standard - Zero 1]:[Candidate Transfer Standard - Zero 2]])</f>
        <v>0</v>
      </c>
    </row>
    <row r="222" spans="1:62" x14ac:dyDescent="0.3">
      <c r="A222" s="57"/>
      <c r="BG22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22" s="29" t="e">
        <f>BG222/DEVSQ(Archive[[#This Row],[Higher Level Standard - Zero 1]:[Higher Level Standard - Zero 2]])</f>
        <v>#VALUE!</v>
      </c>
      <c r="BI222" s="29" t="e">
        <f>BG222*(1/COUNT(Archive[[#This Row],[Candidate Transfer Standard - Zero 1]:[Candidate Transfer Standard - Zero 2]])+AVERAGE(Archive[[#This Row],[Higher Level Standard - Zero 1]:[Higher Level Standard - Zero 2]])^2/DEVSQ(Archive[[#This Row],[Higher Level Standard - Zero 1]:[Higher Level Standard - Zero 2]]))</f>
        <v>#VALUE!</v>
      </c>
      <c r="BJ222" s="29">
        <f>COUNT(Archive[[#This Row],[Candidate Transfer Standard - Zero 1]:[Candidate Transfer Standard - Zero 2]])</f>
        <v>0</v>
      </c>
    </row>
    <row r="223" spans="1:62" x14ac:dyDescent="0.3">
      <c r="A223" s="57"/>
      <c r="BG22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23" s="29" t="e">
        <f>BG223/DEVSQ(Archive[[#This Row],[Higher Level Standard - Zero 1]:[Higher Level Standard - Zero 2]])</f>
        <v>#VALUE!</v>
      </c>
      <c r="BI223" s="29" t="e">
        <f>BG223*(1/COUNT(Archive[[#This Row],[Candidate Transfer Standard - Zero 1]:[Candidate Transfer Standard - Zero 2]])+AVERAGE(Archive[[#This Row],[Higher Level Standard - Zero 1]:[Higher Level Standard - Zero 2]])^2/DEVSQ(Archive[[#This Row],[Higher Level Standard - Zero 1]:[Higher Level Standard - Zero 2]]))</f>
        <v>#VALUE!</v>
      </c>
      <c r="BJ223" s="29">
        <f>COUNT(Archive[[#This Row],[Candidate Transfer Standard - Zero 1]:[Candidate Transfer Standard - Zero 2]])</f>
        <v>0</v>
      </c>
    </row>
    <row r="224" spans="1:62" x14ac:dyDescent="0.3">
      <c r="A224" s="57"/>
      <c r="BG22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24" s="29" t="e">
        <f>BG224/DEVSQ(Archive[[#This Row],[Higher Level Standard - Zero 1]:[Higher Level Standard - Zero 2]])</f>
        <v>#VALUE!</v>
      </c>
      <c r="BI224" s="29" t="e">
        <f>BG224*(1/COUNT(Archive[[#This Row],[Candidate Transfer Standard - Zero 1]:[Candidate Transfer Standard - Zero 2]])+AVERAGE(Archive[[#This Row],[Higher Level Standard - Zero 1]:[Higher Level Standard - Zero 2]])^2/DEVSQ(Archive[[#This Row],[Higher Level Standard - Zero 1]:[Higher Level Standard - Zero 2]]))</f>
        <v>#VALUE!</v>
      </c>
      <c r="BJ224" s="29">
        <f>COUNT(Archive[[#This Row],[Candidate Transfer Standard - Zero 1]:[Candidate Transfer Standard - Zero 2]])</f>
        <v>0</v>
      </c>
    </row>
    <row r="225" spans="1:62" x14ac:dyDescent="0.3">
      <c r="A225" s="57"/>
      <c r="BG22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25" s="29" t="e">
        <f>BG225/DEVSQ(Archive[[#This Row],[Higher Level Standard - Zero 1]:[Higher Level Standard - Zero 2]])</f>
        <v>#VALUE!</v>
      </c>
      <c r="BI225" s="29" t="e">
        <f>BG225*(1/COUNT(Archive[[#This Row],[Candidate Transfer Standard - Zero 1]:[Candidate Transfer Standard - Zero 2]])+AVERAGE(Archive[[#This Row],[Higher Level Standard - Zero 1]:[Higher Level Standard - Zero 2]])^2/DEVSQ(Archive[[#This Row],[Higher Level Standard - Zero 1]:[Higher Level Standard - Zero 2]]))</f>
        <v>#VALUE!</v>
      </c>
      <c r="BJ225" s="29">
        <f>COUNT(Archive[[#This Row],[Candidate Transfer Standard - Zero 1]:[Candidate Transfer Standard - Zero 2]])</f>
        <v>0</v>
      </c>
    </row>
    <row r="226" spans="1:62" x14ac:dyDescent="0.3">
      <c r="A226" s="57"/>
      <c r="BG22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26" s="29" t="e">
        <f>BG226/DEVSQ(Archive[[#This Row],[Higher Level Standard - Zero 1]:[Higher Level Standard - Zero 2]])</f>
        <v>#VALUE!</v>
      </c>
      <c r="BI226" s="29" t="e">
        <f>BG226*(1/COUNT(Archive[[#This Row],[Candidate Transfer Standard - Zero 1]:[Candidate Transfer Standard - Zero 2]])+AVERAGE(Archive[[#This Row],[Higher Level Standard - Zero 1]:[Higher Level Standard - Zero 2]])^2/DEVSQ(Archive[[#This Row],[Higher Level Standard - Zero 1]:[Higher Level Standard - Zero 2]]))</f>
        <v>#VALUE!</v>
      </c>
      <c r="BJ226" s="29">
        <f>COUNT(Archive[[#This Row],[Candidate Transfer Standard - Zero 1]:[Candidate Transfer Standard - Zero 2]])</f>
        <v>0</v>
      </c>
    </row>
    <row r="227" spans="1:62" x14ac:dyDescent="0.3">
      <c r="A227" s="57"/>
      <c r="BG22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27" s="29" t="e">
        <f>BG227/DEVSQ(Archive[[#This Row],[Higher Level Standard - Zero 1]:[Higher Level Standard - Zero 2]])</f>
        <v>#VALUE!</v>
      </c>
      <c r="BI227" s="29" t="e">
        <f>BG227*(1/COUNT(Archive[[#This Row],[Candidate Transfer Standard - Zero 1]:[Candidate Transfer Standard - Zero 2]])+AVERAGE(Archive[[#This Row],[Higher Level Standard - Zero 1]:[Higher Level Standard - Zero 2]])^2/DEVSQ(Archive[[#This Row],[Higher Level Standard - Zero 1]:[Higher Level Standard - Zero 2]]))</f>
        <v>#VALUE!</v>
      </c>
      <c r="BJ227" s="29">
        <f>COUNT(Archive[[#This Row],[Candidate Transfer Standard - Zero 1]:[Candidate Transfer Standard - Zero 2]])</f>
        <v>0</v>
      </c>
    </row>
    <row r="228" spans="1:62" x14ac:dyDescent="0.3">
      <c r="A228" s="57"/>
      <c r="BG22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28" s="29" t="e">
        <f>BG228/DEVSQ(Archive[[#This Row],[Higher Level Standard - Zero 1]:[Higher Level Standard - Zero 2]])</f>
        <v>#VALUE!</v>
      </c>
      <c r="BI228" s="29" t="e">
        <f>BG228*(1/COUNT(Archive[[#This Row],[Candidate Transfer Standard - Zero 1]:[Candidate Transfer Standard - Zero 2]])+AVERAGE(Archive[[#This Row],[Higher Level Standard - Zero 1]:[Higher Level Standard - Zero 2]])^2/DEVSQ(Archive[[#This Row],[Higher Level Standard - Zero 1]:[Higher Level Standard - Zero 2]]))</f>
        <v>#VALUE!</v>
      </c>
      <c r="BJ228" s="29">
        <f>COUNT(Archive[[#This Row],[Candidate Transfer Standard - Zero 1]:[Candidate Transfer Standard - Zero 2]])</f>
        <v>0</v>
      </c>
    </row>
    <row r="229" spans="1:62" x14ac:dyDescent="0.3">
      <c r="A229" s="57"/>
      <c r="BG22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29" s="29" t="e">
        <f>BG229/DEVSQ(Archive[[#This Row],[Higher Level Standard - Zero 1]:[Higher Level Standard - Zero 2]])</f>
        <v>#VALUE!</v>
      </c>
      <c r="BI229" s="29" t="e">
        <f>BG229*(1/COUNT(Archive[[#This Row],[Candidate Transfer Standard - Zero 1]:[Candidate Transfer Standard - Zero 2]])+AVERAGE(Archive[[#This Row],[Higher Level Standard - Zero 1]:[Higher Level Standard - Zero 2]])^2/DEVSQ(Archive[[#This Row],[Higher Level Standard - Zero 1]:[Higher Level Standard - Zero 2]]))</f>
        <v>#VALUE!</v>
      </c>
      <c r="BJ229" s="29">
        <f>COUNT(Archive[[#This Row],[Candidate Transfer Standard - Zero 1]:[Candidate Transfer Standard - Zero 2]])</f>
        <v>0</v>
      </c>
    </row>
    <row r="230" spans="1:62" x14ac:dyDescent="0.3">
      <c r="A230" s="57"/>
      <c r="BG23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30" s="29" t="e">
        <f>BG230/DEVSQ(Archive[[#This Row],[Higher Level Standard - Zero 1]:[Higher Level Standard - Zero 2]])</f>
        <v>#VALUE!</v>
      </c>
      <c r="BI230" s="29" t="e">
        <f>BG230*(1/COUNT(Archive[[#This Row],[Candidate Transfer Standard - Zero 1]:[Candidate Transfer Standard - Zero 2]])+AVERAGE(Archive[[#This Row],[Higher Level Standard - Zero 1]:[Higher Level Standard - Zero 2]])^2/DEVSQ(Archive[[#This Row],[Higher Level Standard - Zero 1]:[Higher Level Standard - Zero 2]]))</f>
        <v>#VALUE!</v>
      </c>
      <c r="BJ230" s="29">
        <f>COUNT(Archive[[#This Row],[Candidate Transfer Standard - Zero 1]:[Candidate Transfer Standard - Zero 2]])</f>
        <v>0</v>
      </c>
    </row>
    <row r="231" spans="1:62" x14ac:dyDescent="0.3">
      <c r="A231" s="57"/>
      <c r="BG23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31" s="29" t="e">
        <f>BG231/DEVSQ(Archive[[#This Row],[Higher Level Standard - Zero 1]:[Higher Level Standard - Zero 2]])</f>
        <v>#VALUE!</v>
      </c>
      <c r="BI231" s="29" t="e">
        <f>BG231*(1/COUNT(Archive[[#This Row],[Candidate Transfer Standard - Zero 1]:[Candidate Transfer Standard - Zero 2]])+AVERAGE(Archive[[#This Row],[Higher Level Standard - Zero 1]:[Higher Level Standard - Zero 2]])^2/DEVSQ(Archive[[#This Row],[Higher Level Standard - Zero 1]:[Higher Level Standard - Zero 2]]))</f>
        <v>#VALUE!</v>
      </c>
      <c r="BJ231" s="29">
        <f>COUNT(Archive[[#This Row],[Candidate Transfer Standard - Zero 1]:[Candidate Transfer Standard - Zero 2]])</f>
        <v>0</v>
      </c>
    </row>
    <row r="232" spans="1:62" x14ac:dyDescent="0.3">
      <c r="A232" s="57"/>
      <c r="BG23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32" s="29" t="e">
        <f>BG232/DEVSQ(Archive[[#This Row],[Higher Level Standard - Zero 1]:[Higher Level Standard - Zero 2]])</f>
        <v>#VALUE!</v>
      </c>
      <c r="BI232" s="29" t="e">
        <f>BG232*(1/COUNT(Archive[[#This Row],[Candidate Transfer Standard - Zero 1]:[Candidate Transfer Standard - Zero 2]])+AVERAGE(Archive[[#This Row],[Higher Level Standard - Zero 1]:[Higher Level Standard - Zero 2]])^2/DEVSQ(Archive[[#This Row],[Higher Level Standard - Zero 1]:[Higher Level Standard - Zero 2]]))</f>
        <v>#VALUE!</v>
      </c>
      <c r="BJ232" s="29">
        <f>COUNT(Archive[[#This Row],[Candidate Transfer Standard - Zero 1]:[Candidate Transfer Standard - Zero 2]])</f>
        <v>0</v>
      </c>
    </row>
    <row r="233" spans="1:62" x14ac:dyDescent="0.3">
      <c r="A233" s="57"/>
      <c r="BG23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33" s="29" t="e">
        <f>BG233/DEVSQ(Archive[[#This Row],[Higher Level Standard - Zero 1]:[Higher Level Standard - Zero 2]])</f>
        <v>#VALUE!</v>
      </c>
      <c r="BI233" s="29" t="e">
        <f>BG233*(1/COUNT(Archive[[#This Row],[Candidate Transfer Standard - Zero 1]:[Candidate Transfer Standard - Zero 2]])+AVERAGE(Archive[[#This Row],[Higher Level Standard - Zero 1]:[Higher Level Standard - Zero 2]])^2/DEVSQ(Archive[[#This Row],[Higher Level Standard - Zero 1]:[Higher Level Standard - Zero 2]]))</f>
        <v>#VALUE!</v>
      </c>
      <c r="BJ233" s="29">
        <f>COUNT(Archive[[#This Row],[Candidate Transfer Standard - Zero 1]:[Candidate Transfer Standard - Zero 2]])</f>
        <v>0</v>
      </c>
    </row>
    <row r="234" spans="1:62" x14ac:dyDescent="0.3">
      <c r="A234" s="57"/>
      <c r="BG23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34" s="29" t="e">
        <f>BG234/DEVSQ(Archive[[#This Row],[Higher Level Standard - Zero 1]:[Higher Level Standard - Zero 2]])</f>
        <v>#VALUE!</v>
      </c>
      <c r="BI234" s="29" t="e">
        <f>BG234*(1/COUNT(Archive[[#This Row],[Candidate Transfer Standard - Zero 1]:[Candidate Transfer Standard - Zero 2]])+AVERAGE(Archive[[#This Row],[Higher Level Standard - Zero 1]:[Higher Level Standard - Zero 2]])^2/DEVSQ(Archive[[#This Row],[Higher Level Standard - Zero 1]:[Higher Level Standard - Zero 2]]))</f>
        <v>#VALUE!</v>
      </c>
      <c r="BJ234" s="29">
        <f>COUNT(Archive[[#This Row],[Candidate Transfer Standard - Zero 1]:[Candidate Transfer Standard - Zero 2]])</f>
        <v>0</v>
      </c>
    </row>
    <row r="235" spans="1:62" x14ac:dyDescent="0.3">
      <c r="A235" s="57"/>
      <c r="BG23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35" s="29" t="e">
        <f>BG235/DEVSQ(Archive[[#This Row],[Higher Level Standard - Zero 1]:[Higher Level Standard - Zero 2]])</f>
        <v>#VALUE!</v>
      </c>
      <c r="BI235" s="29" t="e">
        <f>BG235*(1/COUNT(Archive[[#This Row],[Candidate Transfer Standard - Zero 1]:[Candidate Transfer Standard - Zero 2]])+AVERAGE(Archive[[#This Row],[Higher Level Standard - Zero 1]:[Higher Level Standard - Zero 2]])^2/DEVSQ(Archive[[#This Row],[Higher Level Standard - Zero 1]:[Higher Level Standard - Zero 2]]))</f>
        <v>#VALUE!</v>
      </c>
      <c r="BJ235" s="29">
        <f>COUNT(Archive[[#This Row],[Candidate Transfer Standard - Zero 1]:[Candidate Transfer Standard - Zero 2]])</f>
        <v>0</v>
      </c>
    </row>
    <row r="236" spans="1:62" x14ac:dyDescent="0.3">
      <c r="A236" s="57"/>
      <c r="BG23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36" s="29" t="e">
        <f>BG236/DEVSQ(Archive[[#This Row],[Higher Level Standard - Zero 1]:[Higher Level Standard - Zero 2]])</f>
        <v>#VALUE!</v>
      </c>
      <c r="BI236" s="29" t="e">
        <f>BG236*(1/COUNT(Archive[[#This Row],[Candidate Transfer Standard - Zero 1]:[Candidate Transfer Standard - Zero 2]])+AVERAGE(Archive[[#This Row],[Higher Level Standard - Zero 1]:[Higher Level Standard - Zero 2]])^2/DEVSQ(Archive[[#This Row],[Higher Level Standard - Zero 1]:[Higher Level Standard - Zero 2]]))</f>
        <v>#VALUE!</v>
      </c>
      <c r="BJ236" s="29">
        <f>COUNT(Archive[[#This Row],[Candidate Transfer Standard - Zero 1]:[Candidate Transfer Standard - Zero 2]])</f>
        <v>0</v>
      </c>
    </row>
    <row r="237" spans="1:62" x14ac:dyDescent="0.3">
      <c r="A237" s="57"/>
      <c r="BG23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37" s="29" t="e">
        <f>BG237/DEVSQ(Archive[[#This Row],[Higher Level Standard - Zero 1]:[Higher Level Standard - Zero 2]])</f>
        <v>#VALUE!</v>
      </c>
      <c r="BI237" s="29" t="e">
        <f>BG237*(1/COUNT(Archive[[#This Row],[Candidate Transfer Standard - Zero 1]:[Candidate Transfer Standard - Zero 2]])+AVERAGE(Archive[[#This Row],[Higher Level Standard - Zero 1]:[Higher Level Standard - Zero 2]])^2/DEVSQ(Archive[[#This Row],[Higher Level Standard - Zero 1]:[Higher Level Standard - Zero 2]]))</f>
        <v>#VALUE!</v>
      </c>
      <c r="BJ237" s="29">
        <f>COUNT(Archive[[#This Row],[Candidate Transfer Standard - Zero 1]:[Candidate Transfer Standard - Zero 2]])</f>
        <v>0</v>
      </c>
    </row>
    <row r="238" spans="1:62" x14ac:dyDescent="0.3">
      <c r="A238" s="57"/>
      <c r="BG23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38" s="29" t="e">
        <f>BG238/DEVSQ(Archive[[#This Row],[Higher Level Standard - Zero 1]:[Higher Level Standard - Zero 2]])</f>
        <v>#VALUE!</v>
      </c>
      <c r="BI238" s="29" t="e">
        <f>BG238*(1/COUNT(Archive[[#This Row],[Candidate Transfer Standard - Zero 1]:[Candidate Transfer Standard - Zero 2]])+AVERAGE(Archive[[#This Row],[Higher Level Standard - Zero 1]:[Higher Level Standard - Zero 2]])^2/DEVSQ(Archive[[#This Row],[Higher Level Standard - Zero 1]:[Higher Level Standard - Zero 2]]))</f>
        <v>#VALUE!</v>
      </c>
      <c r="BJ238" s="29">
        <f>COUNT(Archive[[#This Row],[Candidate Transfer Standard - Zero 1]:[Candidate Transfer Standard - Zero 2]])</f>
        <v>0</v>
      </c>
    </row>
    <row r="239" spans="1:62" x14ac:dyDescent="0.3">
      <c r="A239" s="57"/>
      <c r="BG23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39" s="29" t="e">
        <f>BG239/DEVSQ(Archive[[#This Row],[Higher Level Standard - Zero 1]:[Higher Level Standard - Zero 2]])</f>
        <v>#VALUE!</v>
      </c>
      <c r="BI239" s="29" t="e">
        <f>BG239*(1/COUNT(Archive[[#This Row],[Candidate Transfer Standard - Zero 1]:[Candidate Transfer Standard - Zero 2]])+AVERAGE(Archive[[#This Row],[Higher Level Standard - Zero 1]:[Higher Level Standard - Zero 2]])^2/DEVSQ(Archive[[#This Row],[Higher Level Standard - Zero 1]:[Higher Level Standard - Zero 2]]))</f>
        <v>#VALUE!</v>
      </c>
      <c r="BJ239" s="29">
        <f>COUNT(Archive[[#This Row],[Candidate Transfer Standard - Zero 1]:[Candidate Transfer Standard - Zero 2]])</f>
        <v>0</v>
      </c>
    </row>
    <row r="240" spans="1:62" x14ac:dyDescent="0.3">
      <c r="A240" s="57"/>
      <c r="BG24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40" s="29" t="e">
        <f>BG240/DEVSQ(Archive[[#This Row],[Higher Level Standard - Zero 1]:[Higher Level Standard - Zero 2]])</f>
        <v>#VALUE!</v>
      </c>
      <c r="BI240" s="29" t="e">
        <f>BG240*(1/COUNT(Archive[[#This Row],[Candidate Transfer Standard - Zero 1]:[Candidate Transfer Standard - Zero 2]])+AVERAGE(Archive[[#This Row],[Higher Level Standard - Zero 1]:[Higher Level Standard - Zero 2]])^2/DEVSQ(Archive[[#This Row],[Higher Level Standard - Zero 1]:[Higher Level Standard - Zero 2]]))</f>
        <v>#VALUE!</v>
      </c>
      <c r="BJ240" s="29">
        <f>COUNT(Archive[[#This Row],[Candidate Transfer Standard - Zero 1]:[Candidate Transfer Standard - Zero 2]])</f>
        <v>0</v>
      </c>
    </row>
    <row r="241" spans="1:62" x14ac:dyDescent="0.3">
      <c r="A241" s="57"/>
      <c r="BG24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41" s="29" t="e">
        <f>BG241/DEVSQ(Archive[[#This Row],[Higher Level Standard - Zero 1]:[Higher Level Standard - Zero 2]])</f>
        <v>#VALUE!</v>
      </c>
      <c r="BI241" s="29" t="e">
        <f>BG241*(1/COUNT(Archive[[#This Row],[Candidate Transfer Standard - Zero 1]:[Candidate Transfer Standard - Zero 2]])+AVERAGE(Archive[[#This Row],[Higher Level Standard - Zero 1]:[Higher Level Standard - Zero 2]])^2/DEVSQ(Archive[[#This Row],[Higher Level Standard - Zero 1]:[Higher Level Standard - Zero 2]]))</f>
        <v>#VALUE!</v>
      </c>
      <c r="BJ241" s="29">
        <f>COUNT(Archive[[#This Row],[Candidate Transfer Standard - Zero 1]:[Candidate Transfer Standard - Zero 2]])</f>
        <v>0</v>
      </c>
    </row>
    <row r="242" spans="1:62" x14ac:dyDescent="0.3">
      <c r="A242" s="57"/>
      <c r="BG24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42" s="29" t="e">
        <f>BG242/DEVSQ(Archive[[#This Row],[Higher Level Standard - Zero 1]:[Higher Level Standard - Zero 2]])</f>
        <v>#VALUE!</v>
      </c>
      <c r="BI242" s="29" t="e">
        <f>BG242*(1/COUNT(Archive[[#This Row],[Candidate Transfer Standard - Zero 1]:[Candidate Transfer Standard - Zero 2]])+AVERAGE(Archive[[#This Row],[Higher Level Standard - Zero 1]:[Higher Level Standard - Zero 2]])^2/DEVSQ(Archive[[#This Row],[Higher Level Standard - Zero 1]:[Higher Level Standard - Zero 2]]))</f>
        <v>#VALUE!</v>
      </c>
      <c r="BJ242" s="29">
        <f>COUNT(Archive[[#This Row],[Candidate Transfer Standard - Zero 1]:[Candidate Transfer Standard - Zero 2]])</f>
        <v>0</v>
      </c>
    </row>
    <row r="243" spans="1:62" x14ac:dyDescent="0.3">
      <c r="A243" s="57"/>
      <c r="BG24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43" s="29" t="e">
        <f>BG243/DEVSQ(Archive[[#This Row],[Higher Level Standard - Zero 1]:[Higher Level Standard - Zero 2]])</f>
        <v>#VALUE!</v>
      </c>
      <c r="BI243" s="29" t="e">
        <f>BG243*(1/COUNT(Archive[[#This Row],[Candidate Transfer Standard - Zero 1]:[Candidate Transfer Standard - Zero 2]])+AVERAGE(Archive[[#This Row],[Higher Level Standard - Zero 1]:[Higher Level Standard - Zero 2]])^2/DEVSQ(Archive[[#This Row],[Higher Level Standard - Zero 1]:[Higher Level Standard - Zero 2]]))</f>
        <v>#VALUE!</v>
      </c>
      <c r="BJ243" s="29">
        <f>COUNT(Archive[[#This Row],[Candidate Transfer Standard - Zero 1]:[Candidate Transfer Standard - Zero 2]])</f>
        <v>0</v>
      </c>
    </row>
    <row r="244" spans="1:62" x14ac:dyDescent="0.3">
      <c r="A244" s="57"/>
      <c r="BG24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44" s="29" t="e">
        <f>BG244/DEVSQ(Archive[[#This Row],[Higher Level Standard - Zero 1]:[Higher Level Standard - Zero 2]])</f>
        <v>#VALUE!</v>
      </c>
      <c r="BI244" s="29" t="e">
        <f>BG244*(1/COUNT(Archive[[#This Row],[Candidate Transfer Standard - Zero 1]:[Candidate Transfer Standard - Zero 2]])+AVERAGE(Archive[[#This Row],[Higher Level Standard - Zero 1]:[Higher Level Standard - Zero 2]])^2/DEVSQ(Archive[[#This Row],[Higher Level Standard - Zero 1]:[Higher Level Standard - Zero 2]]))</f>
        <v>#VALUE!</v>
      </c>
      <c r="BJ244" s="29">
        <f>COUNT(Archive[[#This Row],[Candidate Transfer Standard - Zero 1]:[Candidate Transfer Standard - Zero 2]])</f>
        <v>0</v>
      </c>
    </row>
    <row r="245" spans="1:62" x14ac:dyDescent="0.3">
      <c r="A245" s="57"/>
      <c r="BG24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45" s="29" t="e">
        <f>BG245/DEVSQ(Archive[[#This Row],[Higher Level Standard - Zero 1]:[Higher Level Standard - Zero 2]])</f>
        <v>#VALUE!</v>
      </c>
      <c r="BI245" s="29" t="e">
        <f>BG245*(1/COUNT(Archive[[#This Row],[Candidate Transfer Standard - Zero 1]:[Candidate Transfer Standard - Zero 2]])+AVERAGE(Archive[[#This Row],[Higher Level Standard - Zero 1]:[Higher Level Standard - Zero 2]])^2/DEVSQ(Archive[[#This Row],[Higher Level Standard - Zero 1]:[Higher Level Standard - Zero 2]]))</f>
        <v>#VALUE!</v>
      </c>
      <c r="BJ245" s="29">
        <f>COUNT(Archive[[#This Row],[Candidate Transfer Standard - Zero 1]:[Candidate Transfer Standard - Zero 2]])</f>
        <v>0</v>
      </c>
    </row>
    <row r="246" spans="1:62" x14ac:dyDescent="0.3">
      <c r="A246" s="57"/>
      <c r="BG24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46" s="29" t="e">
        <f>BG246/DEVSQ(Archive[[#This Row],[Higher Level Standard - Zero 1]:[Higher Level Standard - Zero 2]])</f>
        <v>#VALUE!</v>
      </c>
      <c r="BI246" s="29" t="e">
        <f>BG246*(1/COUNT(Archive[[#This Row],[Candidate Transfer Standard - Zero 1]:[Candidate Transfer Standard - Zero 2]])+AVERAGE(Archive[[#This Row],[Higher Level Standard - Zero 1]:[Higher Level Standard - Zero 2]])^2/DEVSQ(Archive[[#This Row],[Higher Level Standard - Zero 1]:[Higher Level Standard - Zero 2]]))</f>
        <v>#VALUE!</v>
      </c>
      <c r="BJ246" s="29">
        <f>COUNT(Archive[[#This Row],[Candidate Transfer Standard - Zero 1]:[Candidate Transfer Standard - Zero 2]])</f>
        <v>0</v>
      </c>
    </row>
    <row r="247" spans="1:62" x14ac:dyDescent="0.3">
      <c r="A247" s="57"/>
      <c r="BG24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47" s="29" t="e">
        <f>BG247/DEVSQ(Archive[[#This Row],[Higher Level Standard - Zero 1]:[Higher Level Standard - Zero 2]])</f>
        <v>#VALUE!</v>
      </c>
      <c r="BI247" s="29" t="e">
        <f>BG247*(1/COUNT(Archive[[#This Row],[Candidate Transfer Standard - Zero 1]:[Candidate Transfer Standard - Zero 2]])+AVERAGE(Archive[[#This Row],[Higher Level Standard - Zero 1]:[Higher Level Standard - Zero 2]])^2/DEVSQ(Archive[[#This Row],[Higher Level Standard - Zero 1]:[Higher Level Standard - Zero 2]]))</f>
        <v>#VALUE!</v>
      </c>
      <c r="BJ247" s="29">
        <f>COUNT(Archive[[#This Row],[Candidate Transfer Standard - Zero 1]:[Candidate Transfer Standard - Zero 2]])</f>
        <v>0</v>
      </c>
    </row>
    <row r="248" spans="1:62" x14ac:dyDescent="0.3">
      <c r="A248" s="57"/>
      <c r="BG24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48" s="29" t="e">
        <f>BG248/DEVSQ(Archive[[#This Row],[Higher Level Standard - Zero 1]:[Higher Level Standard - Zero 2]])</f>
        <v>#VALUE!</v>
      </c>
      <c r="BI248" s="29" t="e">
        <f>BG248*(1/COUNT(Archive[[#This Row],[Candidate Transfer Standard - Zero 1]:[Candidate Transfer Standard - Zero 2]])+AVERAGE(Archive[[#This Row],[Higher Level Standard - Zero 1]:[Higher Level Standard - Zero 2]])^2/DEVSQ(Archive[[#This Row],[Higher Level Standard - Zero 1]:[Higher Level Standard - Zero 2]]))</f>
        <v>#VALUE!</v>
      </c>
      <c r="BJ248" s="29">
        <f>COUNT(Archive[[#This Row],[Candidate Transfer Standard - Zero 1]:[Candidate Transfer Standard - Zero 2]])</f>
        <v>0</v>
      </c>
    </row>
    <row r="249" spans="1:62" x14ac:dyDescent="0.3">
      <c r="A249" s="57"/>
      <c r="BG24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49" s="29" t="e">
        <f>BG249/DEVSQ(Archive[[#This Row],[Higher Level Standard - Zero 1]:[Higher Level Standard - Zero 2]])</f>
        <v>#VALUE!</v>
      </c>
      <c r="BI249" s="29" t="e">
        <f>BG249*(1/COUNT(Archive[[#This Row],[Candidate Transfer Standard - Zero 1]:[Candidate Transfer Standard - Zero 2]])+AVERAGE(Archive[[#This Row],[Higher Level Standard - Zero 1]:[Higher Level Standard - Zero 2]])^2/DEVSQ(Archive[[#This Row],[Higher Level Standard - Zero 1]:[Higher Level Standard - Zero 2]]))</f>
        <v>#VALUE!</v>
      </c>
      <c r="BJ249" s="29">
        <f>COUNT(Archive[[#This Row],[Candidate Transfer Standard - Zero 1]:[Candidate Transfer Standard - Zero 2]])</f>
        <v>0</v>
      </c>
    </row>
    <row r="250" spans="1:62" x14ac:dyDescent="0.3">
      <c r="A250" s="57"/>
      <c r="BG25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50" s="29" t="e">
        <f>BG250/DEVSQ(Archive[[#This Row],[Higher Level Standard - Zero 1]:[Higher Level Standard - Zero 2]])</f>
        <v>#VALUE!</v>
      </c>
      <c r="BI250" s="29" t="e">
        <f>BG250*(1/COUNT(Archive[[#This Row],[Candidate Transfer Standard - Zero 1]:[Candidate Transfer Standard - Zero 2]])+AVERAGE(Archive[[#This Row],[Higher Level Standard - Zero 1]:[Higher Level Standard - Zero 2]])^2/DEVSQ(Archive[[#This Row],[Higher Level Standard - Zero 1]:[Higher Level Standard - Zero 2]]))</f>
        <v>#VALUE!</v>
      </c>
      <c r="BJ250" s="29">
        <f>COUNT(Archive[[#This Row],[Candidate Transfer Standard - Zero 1]:[Candidate Transfer Standard - Zero 2]])</f>
        <v>0</v>
      </c>
    </row>
    <row r="251" spans="1:62" x14ac:dyDescent="0.3">
      <c r="A251" s="57"/>
      <c r="BG25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51" s="29" t="e">
        <f>BG251/DEVSQ(Archive[[#This Row],[Higher Level Standard - Zero 1]:[Higher Level Standard - Zero 2]])</f>
        <v>#VALUE!</v>
      </c>
      <c r="BI251" s="29" t="e">
        <f>BG251*(1/COUNT(Archive[[#This Row],[Candidate Transfer Standard - Zero 1]:[Candidate Transfer Standard - Zero 2]])+AVERAGE(Archive[[#This Row],[Higher Level Standard - Zero 1]:[Higher Level Standard - Zero 2]])^2/DEVSQ(Archive[[#This Row],[Higher Level Standard - Zero 1]:[Higher Level Standard - Zero 2]]))</f>
        <v>#VALUE!</v>
      </c>
      <c r="BJ251" s="29">
        <f>COUNT(Archive[[#This Row],[Candidate Transfer Standard - Zero 1]:[Candidate Transfer Standard - Zero 2]])</f>
        <v>0</v>
      </c>
    </row>
    <row r="252" spans="1:62" x14ac:dyDescent="0.3">
      <c r="A252" s="57"/>
      <c r="BG25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52" s="29" t="e">
        <f>BG252/DEVSQ(Archive[[#This Row],[Higher Level Standard - Zero 1]:[Higher Level Standard - Zero 2]])</f>
        <v>#VALUE!</v>
      </c>
      <c r="BI252" s="29" t="e">
        <f>BG252*(1/COUNT(Archive[[#This Row],[Candidate Transfer Standard - Zero 1]:[Candidate Transfer Standard - Zero 2]])+AVERAGE(Archive[[#This Row],[Higher Level Standard - Zero 1]:[Higher Level Standard - Zero 2]])^2/DEVSQ(Archive[[#This Row],[Higher Level Standard - Zero 1]:[Higher Level Standard - Zero 2]]))</f>
        <v>#VALUE!</v>
      </c>
      <c r="BJ252" s="29">
        <f>COUNT(Archive[[#This Row],[Candidate Transfer Standard - Zero 1]:[Candidate Transfer Standard - Zero 2]])</f>
        <v>0</v>
      </c>
    </row>
    <row r="253" spans="1:62" x14ac:dyDescent="0.3">
      <c r="A253" s="57"/>
      <c r="BG25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53" s="29" t="e">
        <f>BG253/DEVSQ(Archive[[#This Row],[Higher Level Standard - Zero 1]:[Higher Level Standard - Zero 2]])</f>
        <v>#VALUE!</v>
      </c>
      <c r="BI253" s="29" t="e">
        <f>BG253*(1/COUNT(Archive[[#This Row],[Candidate Transfer Standard - Zero 1]:[Candidate Transfer Standard - Zero 2]])+AVERAGE(Archive[[#This Row],[Higher Level Standard - Zero 1]:[Higher Level Standard - Zero 2]])^2/DEVSQ(Archive[[#This Row],[Higher Level Standard - Zero 1]:[Higher Level Standard - Zero 2]]))</f>
        <v>#VALUE!</v>
      </c>
      <c r="BJ253" s="29">
        <f>COUNT(Archive[[#This Row],[Candidate Transfer Standard - Zero 1]:[Candidate Transfer Standard - Zero 2]])</f>
        <v>0</v>
      </c>
    </row>
    <row r="254" spans="1:62" x14ac:dyDescent="0.3">
      <c r="A254" s="57"/>
      <c r="BG25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54" s="29" t="e">
        <f>BG254/DEVSQ(Archive[[#This Row],[Higher Level Standard - Zero 1]:[Higher Level Standard - Zero 2]])</f>
        <v>#VALUE!</v>
      </c>
      <c r="BI254" s="29" t="e">
        <f>BG254*(1/COUNT(Archive[[#This Row],[Candidate Transfer Standard - Zero 1]:[Candidate Transfer Standard - Zero 2]])+AVERAGE(Archive[[#This Row],[Higher Level Standard - Zero 1]:[Higher Level Standard - Zero 2]])^2/DEVSQ(Archive[[#This Row],[Higher Level Standard - Zero 1]:[Higher Level Standard - Zero 2]]))</f>
        <v>#VALUE!</v>
      </c>
      <c r="BJ254" s="29">
        <f>COUNT(Archive[[#This Row],[Candidate Transfer Standard - Zero 1]:[Candidate Transfer Standard - Zero 2]])</f>
        <v>0</v>
      </c>
    </row>
    <row r="255" spans="1:62" x14ac:dyDescent="0.3">
      <c r="A255" s="57"/>
      <c r="BG25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55" s="29" t="e">
        <f>BG255/DEVSQ(Archive[[#This Row],[Higher Level Standard - Zero 1]:[Higher Level Standard - Zero 2]])</f>
        <v>#VALUE!</v>
      </c>
      <c r="BI255" s="29" t="e">
        <f>BG255*(1/COUNT(Archive[[#This Row],[Candidate Transfer Standard - Zero 1]:[Candidate Transfer Standard - Zero 2]])+AVERAGE(Archive[[#This Row],[Higher Level Standard - Zero 1]:[Higher Level Standard - Zero 2]])^2/DEVSQ(Archive[[#This Row],[Higher Level Standard - Zero 1]:[Higher Level Standard - Zero 2]]))</f>
        <v>#VALUE!</v>
      </c>
      <c r="BJ255" s="29">
        <f>COUNT(Archive[[#This Row],[Candidate Transfer Standard - Zero 1]:[Candidate Transfer Standard - Zero 2]])</f>
        <v>0</v>
      </c>
    </row>
    <row r="256" spans="1:62" x14ac:dyDescent="0.3">
      <c r="A256" s="57"/>
      <c r="BG25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56" s="29" t="e">
        <f>BG256/DEVSQ(Archive[[#This Row],[Higher Level Standard - Zero 1]:[Higher Level Standard - Zero 2]])</f>
        <v>#VALUE!</v>
      </c>
      <c r="BI256" s="29" t="e">
        <f>BG256*(1/COUNT(Archive[[#This Row],[Candidate Transfer Standard - Zero 1]:[Candidate Transfer Standard - Zero 2]])+AVERAGE(Archive[[#This Row],[Higher Level Standard - Zero 1]:[Higher Level Standard - Zero 2]])^2/DEVSQ(Archive[[#This Row],[Higher Level Standard - Zero 1]:[Higher Level Standard - Zero 2]]))</f>
        <v>#VALUE!</v>
      </c>
      <c r="BJ256" s="29">
        <f>COUNT(Archive[[#This Row],[Candidate Transfer Standard - Zero 1]:[Candidate Transfer Standard - Zero 2]])</f>
        <v>0</v>
      </c>
    </row>
    <row r="257" spans="1:62" x14ac:dyDescent="0.3">
      <c r="A257" s="57"/>
      <c r="BG25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57" s="29" t="e">
        <f>BG257/DEVSQ(Archive[[#This Row],[Higher Level Standard - Zero 1]:[Higher Level Standard - Zero 2]])</f>
        <v>#VALUE!</v>
      </c>
      <c r="BI257" s="29" t="e">
        <f>BG257*(1/COUNT(Archive[[#This Row],[Candidate Transfer Standard - Zero 1]:[Candidate Transfer Standard - Zero 2]])+AVERAGE(Archive[[#This Row],[Higher Level Standard - Zero 1]:[Higher Level Standard - Zero 2]])^2/DEVSQ(Archive[[#This Row],[Higher Level Standard - Zero 1]:[Higher Level Standard - Zero 2]]))</f>
        <v>#VALUE!</v>
      </c>
      <c r="BJ257" s="29">
        <f>COUNT(Archive[[#This Row],[Candidate Transfer Standard - Zero 1]:[Candidate Transfer Standard - Zero 2]])</f>
        <v>0</v>
      </c>
    </row>
    <row r="258" spans="1:62" x14ac:dyDescent="0.3">
      <c r="A258" s="57"/>
      <c r="BG25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58" s="29" t="e">
        <f>BG258/DEVSQ(Archive[[#This Row],[Higher Level Standard - Zero 1]:[Higher Level Standard - Zero 2]])</f>
        <v>#VALUE!</v>
      </c>
      <c r="BI258" s="29" t="e">
        <f>BG258*(1/COUNT(Archive[[#This Row],[Candidate Transfer Standard - Zero 1]:[Candidate Transfer Standard - Zero 2]])+AVERAGE(Archive[[#This Row],[Higher Level Standard - Zero 1]:[Higher Level Standard - Zero 2]])^2/DEVSQ(Archive[[#This Row],[Higher Level Standard - Zero 1]:[Higher Level Standard - Zero 2]]))</f>
        <v>#VALUE!</v>
      </c>
      <c r="BJ258" s="29">
        <f>COUNT(Archive[[#This Row],[Candidate Transfer Standard - Zero 1]:[Candidate Transfer Standard - Zero 2]])</f>
        <v>0</v>
      </c>
    </row>
    <row r="259" spans="1:62" x14ac:dyDescent="0.3">
      <c r="A259" s="57"/>
      <c r="BG25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59" s="29" t="e">
        <f>BG259/DEVSQ(Archive[[#This Row],[Higher Level Standard - Zero 1]:[Higher Level Standard - Zero 2]])</f>
        <v>#VALUE!</v>
      </c>
      <c r="BI259" s="29" t="e">
        <f>BG259*(1/COUNT(Archive[[#This Row],[Candidate Transfer Standard - Zero 1]:[Candidate Transfer Standard - Zero 2]])+AVERAGE(Archive[[#This Row],[Higher Level Standard - Zero 1]:[Higher Level Standard - Zero 2]])^2/DEVSQ(Archive[[#This Row],[Higher Level Standard - Zero 1]:[Higher Level Standard - Zero 2]]))</f>
        <v>#VALUE!</v>
      </c>
      <c r="BJ259" s="29">
        <f>COUNT(Archive[[#This Row],[Candidate Transfer Standard - Zero 1]:[Candidate Transfer Standard - Zero 2]])</f>
        <v>0</v>
      </c>
    </row>
    <row r="260" spans="1:62" x14ac:dyDescent="0.3">
      <c r="A260" s="57"/>
      <c r="BG26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60" s="29" t="e">
        <f>BG260/DEVSQ(Archive[[#This Row],[Higher Level Standard - Zero 1]:[Higher Level Standard - Zero 2]])</f>
        <v>#VALUE!</v>
      </c>
      <c r="BI260" s="29" t="e">
        <f>BG260*(1/COUNT(Archive[[#This Row],[Candidate Transfer Standard - Zero 1]:[Candidate Transfer Standard - Zero 2]])+AVERAGE(Archive[[#This Row],[Higher Level Standard - Zero 1]:[Higher Level Standard - Zero 2]])^2/DEVSQ(Archive[[#This Row],[Higher Level Standard - Zero 1]:[Higher Level Standard - Zero 2]]))</f>
        <v>#VALUE!</v>
      </c>
      <c r="BJ260" s="29">
        <f>COUNT(Archive[[#This Row],[Candidate Transfer Standard - Zero 1]:[Candidate Transfer Standard - Zero 2]])</f>
        <v>0</v>
      </c>
    </row>
    <row r="261" spans="1:62" x14ac:dyDescent="0.3">
      <c r="A261" s="57"/>
      <c r="BG26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61" s="29" t="e">
        <f>BG261/DEVSQ(Archive[[#This Row],[Higher Level Standard - Zero 1]:[Higher Level Standard - Zero 2]])</f>
        <v>#VALUE!</v>
      </c>
      <c r="BI261" s="29" t="e">
        <f>BG261*(1/COUNT(Archive[[#This Row],[Candidate Transfer Standard - Zero 1]:[Candidate Transfer Standard - Zero 2]])+AVERAGE(Archive[[#This Row],[Higher Level Standard - Zero 1]:[Higher Level Standard - Zero 2]])^2/DEVSQ(Archive[[#This Row],[Higher Level Standard - Zero 1]:[Higher Level Standard - Zero 2]]))</f>
        <v>#VALUE!</v>
      </c>
      <c r="BJ261" s="29">
        <f>COUNT(Archive[[#This Row],[Candidate Transfer Standard - Zero 1]:[Candidate Transfer Standard - Zero 2]])</f>
        <v>0</v>
      </c>
    </row>
    <row r="262" spans="1:62" x14ac:dyDescent="0.3">
      <c r="A262" s="57"/>
      <c r="BG26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62" s="29" t="e">
        <f>BG262/DEVSQ(Archive[[#This Row],[Higher Level Standard - Zero 1]:[Higher Level Standard - Zero 2]])</f>
        <v>#VALUE!</v>
      </c>
      <c r="BI262" s="29" t="e">
        <f>BG262*(1/COUNT(Archive[[#This Row],[Candidate Transfer Standard - Zero 1]:[Candidate Transfer Standard - Zero 2]])+AVERAGE(Archive[[#This Row],[Higher Level Standard - Zero 1]:[Higher Level Standard - Zero 2]])^2/DEVSQ(Archive[[#This Row],[Higher Level Standard - Zero 1]:[Higher Level Standard - Zero 2]]))</f>
        <v>#VALUE!</v>
      </c>
      <c r="BJ262" s="29">
        <f>COUNT(Archive[[#This Row],[Candidate Transfer Standard - Zero 1]:[Candidate Transfer Standard - Zero 2]])</f>
        <v>0</v>
      </c>
    </row>
    <row r="263" spans="1:62" x14ac:dyDescent="0.3">
      <c r="A263" s="57"/>
      <c r="BG26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63" s="29" t="e">
        <f>BG263/DEVSQ(Archive[[#This Row],[Higher Level Standard - Zero 1]:[Higher Level Standard - Zero 2]])</f>
        <v>#VALUE!</v>
      </c>
      <c r="BI263" s="29" t="e">
        <f>BG263*(1/COUNT(Archive[[#This Row],[Candidate Transfer Standard - Zero 1]:[Candidate Transfer Standard - Zero 2]])+AVERAGE(Archive[[#This Row],[Higher Level Standard - Zero 1]:[Higher Level Standard - Zero 2]])^2/DEVSQ(Archive[[#This Row],[Higher Level Standard - Zero 1]:[Higher Level Standard - Zero 2]]))</f>
        <v>#VALUE!</v>
      </c>
      <c r="BJ263" s="29">
        <f>COUNT(Archive[[#This Row],[Candidate Transfer Standard - Zero 1]:[Candidate Transfer Standard - Zero 2]])</f>
        <v>0</v>
      </c>
    </row>
    <row r="264" spans="1:62" x14ac:dyDescent="0.3">
      <c r="A264" s="57"/>
      <c r="BG26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64" s="29" t="e">
        <f>BG264/DEVSQ(Archive[[#This Row],[Higher Level Standard - Zero 1]:[Higher Level Standard - Zero 2]])</f>
        <v>#VALUE!</v>
      </c>
      <c r="BI264" s="29" t="e">
        <f>BG264*(1/COUNT(Archive[[#This Row],[Candidate Transfer Standard - Zero 1]:[Candidate Transfer Standard - Zero 2]])+AVERAGE(Archive[[#This Row],[Higher Level Standard - Zero 1]:[Higher Level Standard - Zero 2]])^2/DEVSQ(Archive[[#This Row],[Higher Level Standard - Zero 1]:[Higher Level Standard - Zero 2]]))</f>
        <v>#VALUE!</v>
      </c>
      <c r="BJ264" s="29">
        <f>COUNT(Archive[[#This Row],[Candidate Transfer Standard - Zero 1]:[Candidate Transfer Standard - Zero 2]])</f>
        <v>0</v>
      </c>
    </row>
    <row r="265" spans="1:62" x14ac:dyDescent="0.3">
      <c r="A265" s="57"/>
      <c r="BG26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65" s="29" t="e">
        <f>BG265/DEVSQ(Archive[[#This Row],[Higher Level Standard - Zero 1]:[Higher Level Standard - Zero 2]])</f>
        <v>#VALUE!</v>
      </c>
      <c r="BI265" s="29" t="e">
        <f>BG265*(1/COUNT(Archive[[#This Row],[Candidate Transfer Standard - Zero 1]:[Candidate Transfer Standard - Zero 2]])+AVERAGE(Archive[[#This Row],[Higher Level Standard - Zero 1]:[Higher Level Standard - Zero 2]])^2/DEVSQ(Archive[[#This Row],[Higher Level Standard - Zero 1]:[Higher Level Standard - Zero 2]]))</f>
        <v>#VALUE!</v>
      </c>
      <c r="BJ265" s="29">
        <f>COUNT(Archive[[#This Row],[Candidate Transfer Standard - Zero 1]:[Candidate Transfer Standard - Zero 2]])</f>
        <v>0</v>
      </c>
    </row>
    <row r="266" spans="1:62" x14ac:dyDescent="0.3">
      <c r="A266" s="57"/>
      <c r="BG26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66" s="29" t="e">
        <f>BG266/DEVSQ(Archive[[#This Row],[Higher Level Standard - Zero 1]:[Higher Level Standard - Zero 2]])</f>
        <v>#VALUE!</v>
      </c>
      <c r="BI266" s="29" t="e">
        <f>BG266*(1/COUNT(Archive[[#This Row],[Candidate Transfer Standard - Zero 1]:[Candidate Transfer Standard - Zero 2]])+AVERAGE(Archive[[#This Row],[Higher Level Standard - Zero 1]:[Higher Level Standard - Zero 2]])^2/DEVSQ(Archive[[#This Row],[Higher Level Standard - Zero 1]:[Higher Level Standard - Zero 2]]))</f>
        <v>#VALUE!</v>
      </c>
      <c r="BJ266" s="29">
        <f>COUNT(Archive[[#This Row],[Candidate Transfer Standard - Zero 1]:[Candidate Transfer Standard - Zero 2]])</f>
        <v>0</v>
      </c>
    </row>
    <row r="267" spans="1:62" x14ac:dyDescent="0.3">
      <c r="A267" s="57"/>
      <c r="BG26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67" s="29" t="e">
        <f>BG267/DEVSQ(Archive[[#This Row],[Higher Level Standard - Zero 1]:[Higher Level Standard - Zero 2]])</f>
        <v>#VALUE!</v>
      </c>
      <c r="BI267" s="29" t="e">
        <f>BG267*(1/COUNT(Archive[[#This Row],[Candidate Transfer Standard - Zero 1]:[Candidate Transfer Standard - Zero 2]])+AVERAGE(Archive[[#This Row],[Higher Level Standard - Zero 1]:[Higher Level Standard - Zero 2]])^2/DEVSQ(Archive[[#This Row],[Higher Level Standard - Zero 1]:[Higher Level Standard - Zero 2]]))</f>
        <v>#VALUE!</v>
      </c>
      <c r="BJ267" s="29">
        <f>COUNT(Archive[[#This Row],[Candidate Transfer Standard - Zero 1]:[Candidate Transfer Standard - Zero 2]])</f>
        <v>0</v>
      </c>
    </row>
    <row r="268" spans="1:62" x14ac:dyDescent="0.3">
      <c r="A268" s="57"/>
      <c r="BG26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68" s="29" t="e">
        <f>BG268/DEVSQ(Archive[[#This Row],[Higher Level Standard - Zero 1]:[Higher Level Standard - Zero 2]])</f>
        <v>#VALUE!</v>
      </c>
      <c r="BI268" s="29" t="e">
        <f>BG268*(1/COUNT(Archive[[#This Row],[Candidate Transfer Standard - Zero 1]:[Candidate Transfer Standard - Zero 2]])+AVERAGE(Archive[[#This Row],[Higher Level Standard - Zero 1]:[Higher Level Standard - Zero 2]])^2/DEVSQ(Archive[[#This Row],[Higher Level Standard - Zero 1]:[Higher Level Standard - Zero 2]]))</f>
        <v>#VALUE!</v>
      </c>
      <c r="BJ268" s="29">
        <f>COUNT(Archive[[#This Row],[Candidate Transfer Standard - Zero 1]:[Candidate Transfer Standard - Zero 2]])</f>
        <v>0</v>
      </c>
    </row>
    <row r="269" spans="1:62" x14ac:dyDescent="0.3">
      <c r="A269" s="57"/>
      <c r="BG26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69" s="29" t="e">
        <f>BG269/DEVSQ(Archive[[#This Row],[Higher Level Standard - Zero 1]:[Higher Level Standard - Zero 2]])</f>
        <v>#VALUE!</v>
      </c>
      <c r="BI269" s="29" t="e">
        <f>BG269*(1/COUNT(Archive[[#This Row],[Candidate Transfer Standard - Zero 1]:[Candidate Transfer Standard - Zero 2]])+AVERAGE(Archive[[#This Row],[Higher Level Standard - Zero 1]:[Higher Level Standard - Zero 2]])^2/DEVSQ(Archive[[#This Row],[Higher Level Standard - Zero 1]:[Higher Level Standard - Zero 2]]))</f>
        <v>#VALUE!</v>
      </c>
      <c r="BJ269" s="29">
        <f>COUNT(Archive[[#This Row],[Candidate Transfer Standard - Zero 1]:[Candidate Transfer Standard - Zero 2]])</f>
        <v>0</v>
      </c>
    </row>
    <row r="270" spans="1:62" x14ac:dyDescent="0.3">
      <c r="A270" s="57"/>
      <c r="BG27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70" s="29" t="e">
        <f>BG270/DEVSQ(Archive[[#This Row],[Higher Level Standard - Zero 1]:[Higher Level Standard - Zero 2]])</f>
        <v>#VALUE!</v>
      </c>
      <c r="BI270" s="29" t="e">
        <f>BG270*(1/COUNT(Archive[[#This Row],[Candidate Transfer Standard - Zero 1]:[Candidate Transfer Standard - Zero 2]])+AVERAGE(Archive[[#This Row],[Higher Level Standard - Zero 1]:[Higher Level Standard - Zero 2]])^2/DEVSQ(Archive[[#This Row],[Higher Level Standard - Zero 1]:[Higher Level Standard - Zero 2]]))</f>
        <v>#VALUE!</v>
      </c>
      <c r="BJ270" s="29">
        <f>COUNT(Archive[[#This Row],[Candidate Transfer Standard - Zero 1]:[Candidate Transfer Standard - Zero 2]])</f>
        <v>0</v>
      </c>
    </row>
    <row r="271" spans="1:62" x14ac:dyDescent="0.3">
      <c r="A271" s="57"/>
      <c r="BG27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71" s="29" t="e">
        <f>BG271/DEVSQ(Archive[[#This Row],[Higher Level Standard - Zero 1]:[Higher Level Standard - Zero 2]])</f>
        <v>#VALUE!</v>
      </c>
      <c r="BI271" s="29" t="e">
        <f>BG271*(1/COUNT(Archive[[#This Row],[Candidate Transfer Standard - Zero 1]:[Candidate Transfer Standard - Zero 2]])+AVERAGE(Archive[[#This Row],[Higher Level Standard - Zero 1]:[Higher Level Standard - Zero 2]])^2/DEVSQ(Archive[[#This Row],[Higher Level Standard - Zero 1]:[Higher Level Standard - Zero 2]]))</f>
        <v>#VALUE!</v>
      </c>
      <c r="BJ271" s="29">
        <f>COUNT(Archive[[#This Row],[Candidate Transfer Standard - Zero 1]:[Candidate Transfer Standard - Zero 2]])</f>
        <v>0</v>
      </c>
    </row>
    <row r="272" spans="1:62" x14ac:dyDescent="0.3">
      <c r="A272" s="57"/>
      <c r="BG27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72" s="29" t="e">
        <f>BG272/DEVSQ(Archive[[#This Row],[Higher Level Standard - Zero 1]:[Higher Level Standard - Zero 2]])</f>
        <v>#VALUE!</v>
      </c>
      <c r="BI272" s="29" t="e">
        <f>BG272*(1/COUNT(Archive[[#This Row],[Candidate Transfer Standard - Zero 1]:[Candidate Transfer Standard - Zero 2]])+AVERAGE(Archive[[#This Row],[Higher Level Standard - Zero 1]:[Higher Level Standard - Zero 2]])^2/DEVSQ(Archive[[#This Row],[Higher Level Standard - Zero 1]:[Higher Level Standard - Zero 2]]))</f>
        <v>#VALUE!</v>
      </c>
      <c r="BJ272" s="29">
        <f>COUNT(Archive[[#This Row],[Candidate Transfer Standard - Zero 1]:[Candidate Transfer Standard - Zero 2]])</f>
        <v>0</v>
      </c>
    </row>
    <row r="273" spans="1:62" x14ac:dyDescent="0.3">
      <c r="A273" s="57"/>
      <c r="BG27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73" s="29" t="e">
        <f>BG273/DEVSQ(Archive[[#This Row],[Higher Level Standard - Zero 1]:[Higher Level Standard - Zero 2]])</f>
        <v>#VALUE!</v>
      </c>
      <c r="BI273" s="29" t="e">
        <f>BG273*(1/COUNT(Archive[[#This Row],[Candidate Transfer Standard - Zero 1]:[Candidate Transfer Standard - Zero 2]])+AVERAGE(Archive[[#This Row],[Higher Level Standard - Zero 1]:[Higher Level Standard - Zero 2]])^2/DEVSQ(Archive[[#This Row],[Higher Level Standard - Zero 1]:[Higher Level Standard - Zero 2]]))</f>
        <v>#VALUE!</v>
      </c>
      <c r="BJ273" s="29">
        <f>COUNT(Archive[[#This Row],[Candidate Transfer Standard - Zero 1]:[Candidate Transfer Standard - Zero 2]])</f>
        <v>0</v>
      </c>
    </row>
    <row r="274" spans="1:62" x14ac:dyDescent="0.3">
      <c r="A274" s="57"/>
      <c r="BG27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74" s="29" t="e">
        <f>BG274/DEVSQ(Archive[[#This Row],[Higher Level Standard - Zero 1]:[Higher Level Standard - Zero 2]])</f>
        <v>#VALUE!</v>
      </c>
      <c r="BI274" s="29" t="e">
        <f>BG274*(1/COUNT(Archive[[#This Row],[Candidate Transfer Standard - Zero 1]:[Candidate Transfer Standard - Zero 2]])+AVERAGE(Archive[[#This Row],[Higher Level Standard - Zero 1]:[Higher Level Standard - Zero 2]])^2/DEVSQ(Archive[[#This Row],[Higher Level Standard - Zero 1]:[Higher Level Standard - Zero 2]]))</f>
        <v>#VALUE!</v>
      </c>
      <c r="BJ274" s="29">
        <f>COUNT(Archive[[#This Row],[Candidate Transfer Standard - Zero 1]:[Candidate Transfer Standard - Zero 2]])</f>
        <v>0</v>
      </c>
    </row>
    <row r="275" spans="1:62" x14ac:dyDescent="0.3">
      <c r="A275" s="57"/>
      <c r="BG27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75" s="29" t="e">
        <f>BG275/DEVSQ(Archive[[#This Row],[Higher Level Standard - Zero 1]:[Higher Level Standard - Zero 2]])</f>
        <v>#VALUE!</v>
      </c>
      <c r="BI275" s="29" t="e">
        <f>BG275*(1/COUNT(Archive[[#This Row],[Candidate Transfer Standard - Zero 1]:[Candidate Transfer Standard - Zero 2]])+AVERAGE(Archive[[#This Row],[Higher Level Standard - Zero 1]:[Higher Level Standard - Zero 2]])^2/DEVSQ(Archive[[#This Row],[Higher Level Standard - Zero 1]:[Higher Level Standard - Zero 2]]))</f>
        <v>#VALUE!</v>
      </c>
      <c r="BJ275" s="29">
        <f>COUNT(Archive[[#This Row],[Candidate Transfer Standard - Zero 1]:[Candidate Transfer Standard - Zero 2]])</f>
        <v>0</v>
      </c>
    </row>
    <row r="276" spans="1:62" x14ac:dyDescent="0.3">
      <c r="A276" s="57"/>
      <c r="BG27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76" s="29" t="e">
        <f>BG276/DEVSQ(Archive[[#This Row],[Higher Level Standard - Zero 1]:[Higher Level Standard - Zero 2]])</f>
        <v>#VALUE!</v>
      </c>
      <c r="BI276" s="29" t="e">
        <f>BG276*(1/COUNT(Archive[[#This Row],[Candidate Transfer Standard - Zero 1]:[Candidate Transfer Standard - Zero 2]])+AVERAGE(Archive[[#This Row],[Higher Level Standard - Zero 1]:[Higher Level Standard - Zero 2]])^2/DEVSQ(Archive[[#This Row],[Higher Level Standard - Zero 1]:[Higher Level Standard - Zero 2]]))</f>
        <v>#VALUE!</v>
      </c>
      <c r="BJ276" s="29">
        <f>COUNT(Archive[[#This Row],[Candidate Transfer Standard - Zero 1]:[Candidate Transfer Standard - Zero 2]])</f>
        <v>0</v>
      </c>
    </row>
    <row r="277" spans="1:62" x14ac:dyDescent="0.3">
      <c r="A277" s="57"/>
      <c r="BG27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77" s="29" t="e">
        <f>BG277/DEVSQ(Archive[[#This Row],[Higher Level Standard - Zero 1]:[Higher Level Standard - Zero 2]])</f>
        <v>#VALUE!</v>
      </c>
      <c r="BI277" s="29" t="e">
        <f>BG277*(1/COUNT(Archive[[#This Row],[Candidate Transfer Standard - Zero 1]:[Candidate Transfer Standard - Zero 2]])+AVERAGE(Archive[[#This Row],[Higher Level Standard - Zero 1]:[Higher Level Standard - Zero 2]])^2/DEVSQ(Archive[[#This Row],[Higher Level Standard - Zero 1]:[Higher Level Standard - Zero 2]]))</f>
        <v>#VALUE!</v>
      </c>
      <c r="BJ277" s="29">
        <f>COUNT(Archive[[#This Row],[Candidate Transfer Standard - Zero 1]:[Candidate Transfer Standard - Zero 2]])</f>
        <v>0</v>
      </c>
    </row>
    <row r="278" spans="1:62" x14ac:dyDescent="0.3">
      <c r="A278" s="57"/>
      <c r="BG27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78" s="29" t="e">
        <f>BG278/DEVSQ(Archive[[#This Row],[Higher Level Standard - Zero 1]:[Higher Level Standard - Zero 2]])</f>
        <v>#VALUE!</v>
      </c>
      <c r="BI278" s="29" t="e">
        <f>BG278*(1/COUNT(Archive[[#This Row],[Candidate Transfer Standard - Zero 1]:[Candidate Transfer Standard - Zero 2]])+AVERAGE(Archive[[#This Row],[Higher Level Standard - Zero 1]:[Higher Level Standard - Zero 2]])^2/DEVSQ(Archive[[#This Row],[Higher Level Standard - Zero 1]:[Higher Level Standard - Zero 2]]))</f>
        <v>#VALUE!</v>
      </c>
      <c r="BJ278" s="29">
        <f>COUNT(Archive[[#This Row],[Candidate Transfer Standard - Zero 1]:[Candidate Transfer Standard - Zero 2]])</f>
        <v>0</v>
      </c>
    </row>
    <row r="279" spans="1:62" x14ac:dyDescent="0.3">
      <c r="A279" s="57"/>
      <c r="BG27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79" s="29" t="e">
        <f>BG279/DEVSQ(Archive[[#This Row],[Higher Level Standard - Zero 1]:[Higher Level Standard - Zero 2]])</f>
        <v>#VALUE!</v>
      </c>
      <c r="BI279" s="29" t="e">
        <f>BG279*(1/COUNT(Archive[[#This Row],[Candidate Transfer Standard - Zero 1]:[Candidate Transfer Standard - Zero 2]])+AVERAGE(Archive[[#This Row],[Higher Level Standard - Zero 1]:[Higher Level Standard - Zero 2]])^2/DEVSQ(Archive[[#This Row],[Higher Level Standard - Zero 1]:[Higher Level Standard - Zero 2]]))</f>
        <v>#VALUE!</v>
      </c>
      <c r="BJ279" s="29">
        <f>COUNT(Archive[[#This Row],[Candidate Transfer Standard - Zero 1]:[Candidate Transfer Standard - Zero 2]])</f>
        <v>0</v>
      </c>
    </row>
    <row r="280" spans="1:62" x14ac:dyDescent="0.3">
      <c r="A280" s="57"/>
      <c r="BG28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80" s="29" t="e">
        <f>BG280/DEVSQ(Archive[[#This Row],[Higher Level Standard - Zero 1]:[Higher Level Standard - Zero 2]])</f>
        <v>#VALUE!</v>
      </c>
      <c r="BI280" s="29" t="e">
        <f>BG280*(1/COUNT(Archive[[#This Row],[Candidate Transfer Standard - Zero 1]:[Candidate Transfer Standard - Zero 2]])+AVERAGE(Archive[[#This Row],[Higher Level Standard - Zero 1]:[Higher Level Standard - Zero 2]])^2/DEVSQ(Archive[[#This Row],[Higher Level Standard - Zero 1]:[Higher Level Standard - Zero 2]]))</f>
        <v>#VALUE!</v>
      </c>
      <c r="BJ280" s="29">
        <f>COUNT(Archive[[#This Row],[Candidate Transfer Standard - Zero 1]:[Candidate Transfer Standard - Zero 2]])</f>
        <v>0</v>
      </c>
    </row>
    <row r="281" spans="1:62" x14ac:dyDescent="0.3">
      <c r="A281" s="57"/>
      <c r="BG28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81" s="29" t="e">
        <f>BG281/DEVSQ(Archive[[#This Row],[Higher Level Standard - Zero 1]:[Higher Level Standard - Zero 2]])</f>
        <v>#VALUE!</v>
      </c>
      <c r="BI281" s="29" t="e">
        <f>BG281*(1/COUNT(Archive[[#This Row],[Candidate Transfer Standard - Zero 1]:[Candidate Transfer Standard - Zero 2]])+AVERAGE(Archive[[#This Row],[Higher Level Standard - Zero 1]:[Higher Level Standard - Zero 2]])^2/DEVSQ(Archive[[#This Row],[Higher Level Standard - Zero 1]:[Higher Level Standard - Zero 2]]))</f>
        <v>#VALUE!</v>
      </c>
      <c r="BJ281" s="29">
        <f>COUNT(Archive[[#This Row],[Candidate Transfer Standard - Zero 1]:[Candidate Transfer Standard - Zero 2]])</f>
        <v>0</v>
      </c>
    </row>
    <row r="282" spans="1:62" x14ac:dyDescent="0.3">
      <c r="A282" s="57"/>
      <c r="BG28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82" s="29" t="e">
        <f>BG282/DEVSQ(Archive[[#This Row],[Higher Level Standard - Zero 1]:[Higher Level Standard - Zero 2]])</f>
        <v>#VALUE!</v>
      </c>
      <c r="BI282" s="29" t="e">
        <f>BG282*(1/COUNT(Archive[[#This Row],[Candidate Transfer Standard - Zero 1]:[Candidate Transfer Standard - Zero 2]])+AVERAGE(Archive[[#This Row],[Higher Level Standard - Zero 1]:[Higher Level Standard - Zero 2]])^2/DEVSQ(Archive[[#This Row],[Higher Level Standard - Zero 1]:[Higher Level Standard - Zero 2]]))</f>
        <v>#VALUE!</v>
      </c>
      <c r="BJ282" s="29">
        <f>COUNT(Archive[[#This Row],[Candidate Transfer Standard - Zero 1]:[Candidate Transfer Standard - Zero 2]])</f>
        <v>0</v>
      </c>
    </row>
    <row r="283" spans="1:62" x14ac:dyDescent="0.3">
      <c r="A283" s="57"/>
      <c r="BG28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83" s="29" t="e">
        <f>BG283/DEVSQ(Archive[[#This Row],[Higher Level Standard - Zero 1]:[Higher Level Standard - Zero 2]])</f>
        <v>#VALUE!</v>
      </c>
      <c r="BI283" s="29" t="e">
        <f>BG283*(1/COUNT(Archive[[#This Row],[Candidate Transfer Standard - Zero 1]:[Candidate Transfer Standard - Zero 2]])+AVERAGE(Archive[[#This Row],[Higher Level Standard - Zero 1]:[Higher Level Standard - Zero 2]])^2/DEVSQ(Archive[[#This Row],[Higher Level Standard - Zero 1]:[Higher Level Standard - Zero 2]]))</f>
        <v>#VALUE!</v>
      </c>
      <c r="BJ283" s="29">
        <f>COUNT(Archive[[#This Row],[Candidate Transfer Standard - Zero 1]:[Candidate Transfer Standard - Zero 2]])</f>
        <v>0</v>
      </c>
    </row>
    <row r="284" spans="1:62" x14ac:dyDescent="0.3">
      <c r="A284" s="57"/>
      <c r="BG28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84" s="29" t="e">
        <f>BG284/DEVSQ(Archive[[#This Row],[Higher Level Standard - Zero 1]:[Higher Level Standard - Zero 2]])</f>
        <v>#VALUE!</v>
      </c>
      <c r="BI284" s="29" t="e">
        <f>BG284*(1/COUNT(Archive[[#This Row],[Candidate Transfer Standard - Zero 1]:[Candidate Transfer Standard - Zero 2]])+AVERAGE(Archive[[#This Row],[Higher Level Standard - Zero 1]:[Higher Level Standard - Zero 2]])^2/DEVSQ(Archive[[#This Row],[Higher Level Standard - Zero 1]:[Higher Level Standard - Zero 2]]))</f>
        <v>#VALUE!</v>
      </c>
      <c r="BJ284" s="29">
        <f>COUNT(Archive[[#This Row],[Candidate Transfer Standard - Zero 1]:[Candidate Transfer Standard - Zero 2]])</f>
        <v>0</v>
      </c>
    </row>
    <row r="285" spans="1:62" x14ac:dyDescent="0.3">
      <c r="A285" s="57"/>
      <c r="BG28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85" s="29" t="e">
        <f>BG285/DEVSQ(Archive[[#This Row],[Higher Level Standard - Zero 1]:[Higher Level Standard - Zero 2]])</f>
        <v>#VALUE!</v>
      </c>
      <c r="BI285" s="29" t="e">
        <f>BG285*(1/COUNT(Archive[[#This Row],[Candidate Transfer Standard - Zero 1]:[Candidate Transfer Standard - Zero 2]])+AVERAGE(Archive[[#This Row],[Higher Level Standard - Zero 1]:[Higher Level Standard - Zero 2]])^2/DEVSQ(Archive[[#This Row],[Higher Level Standard - Zero 1]:[Higher Level Standard - Zero 2]]))</f>
        <v>#VALUE!</v>
      </c>
      <c r="BJ285" s="29">
        <f>COUNT(Archive[[#This Row],[Candidate Transfer Standard - Zero 1]:[Candidate Transfer Standard - Zero 2]])</f>
        <v>0</v>
      </c>
    </row>
    <row r="286" spans="1:62" x14ac:dyDescent="0.3">
      <c r="A286" s="57"/>
      <c r="BG28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86" s="29" t="e">
        <f>BG286/DEVSQ(Archive[[#This Row],[Higher Level Standard - Zero 1]:[Higher Level Standard - Zero 2]])</f>
        <v>#VALUE!</v>
      </c>
      <c r="BI286" s="29" t="e">
        <f>BG286*(1/COUNT(Archive[[#This Row],[Candidate Transfer Standard - Zero 1]:[Candidate Transfer Standard - Zero 2]])+AVERAGE(Archive[[#This Row],[Higher Level Standard - Zero 1]:[Higher Level Standard - Zero 2]])^2/DEVSQ(Archive[[#This Row],[Higher Level Standard - Zero 1]:[Higher Level Standard - Zero 2]]))</f>
        <v>#VALUE!</v>
      </c>
      <c r="BJ286" s="29">
        <f>COUNT(Archive[[#This Row],[Candidate Transfer Standard - Zero 1]:[Candidate Transfer Standard - Zero 2]])</f>
        <v>0</v>
      </c>
    </row>
    <row r="287" spans="1:62" x14ac:dyDescent="0.3">
      <c r="A287" s="57"/>
      <c r="BG28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87" s="29" t="e">
        <f>BG287/DEVSQ(Archive[[#This Row],[Higher Level Standard - Zero 1]:[Higher Level Standard - Zero 2]])</f>
        <v>#VALUE!</v>
      </c>
      <c r="BI287" s="29" t="e">
        <f>BG287*(1/COUNT(Archive[[#This Row],[Candidate Transfer Standard - Zero 1]:[Candidate Transfer Standard - Zero 2]])+AVERAGE(Archive[[#This Row],[Higher Level Standard - Zero 1]:[Higher Level Standard - Zero 2]])^2/DEVSQ(Archive[[#This Row],[Higher Level Standard - Zero 1]:[Higher Level Standard - Zero 2]]))</f>
        <v>#VALUE!</v>
      </c>
      <c r="BJ287" s="29">
        <f>COUNT(Archive[[#This Row],[Candidate Transfer Standard - Zero 1]:[Candidate Transfer Standard - Zero 2]])</f>
        <v>0</v>
      </c>
    </row>
    <row r="288" spans="1:62" x14ac:dyDescent="0.3">
      <c r="A288" s="57"/>
      <c r="BG28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88" s="29" t="e">
        <f>BG288/DEVSQ(Archive[[#This Row],[Higher Level Standard - Zero 1]:[Higher Level Standard - Zero 2]])</f>
        <v>#VALUE!</v>
      </c>
      <c r="BI288" s="29" t="e">
        <f>BG288*(1/COUNT(Archive[[#This Row],[Candidate Transfer Standard - Zero 1]:[Candidate Transfer Standard - Zero 2]])+AVERAGE(Archive[[#This Row],[Higher Level Standard - Zero 1]:[Higher Level Standard - Zero 2]])^2/DEVSQ(Archive[[#This Row],[Higher Level Standard - Zero 1]:[Higher Level Standard - Zero 2]]))</f>
        <v>#VALUE!</v>
      </c>
      <c r="BJ288" s="29">
        <f>COUNT(Archive[[#This Row],[Candidate Transfer Standard - Zero 1]:[Candidate Transfer Standard - Zero 2]])</f>
        <v>0</v>
      </c>
    </row>
    <row r="289" spans="1:62" x14ac:dyDescent="0.3">
      <c r="A289" s="57"/>
      <c r="BG28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89" s="29" t="e">
        <f>BG289/DEVSQ(Archive[[#This Row],[Higher Level Standard - Zero 1]:[Higher Level Standard - Zero 2]])</f>
        <v>#VALUE!</v>
      </c>
      <c r="BI289" s="29" t="e">
        <f>BG289*(1/COUNT(Archive[[#This Row],[Candidate Transfer Standard - Zero 1]:[Candidate Transfer Standard - Zero 2]])+AVERAGE(Archive[[#This Row],[Higher Level Standard - Zero 1]:[Higher Level Standard - Zero 2]])^2/DEVSQ(Archive[[#This Row],[Higher Level Standard - Zero 1]:[Higher Level Standard - Zero 2]]))</f>
        <v>#VALUE!</v>
      </c>
      <c r="BJ289" s="29">
        <f>COUNT(Archive[[#This Row],[Candidate Transfer Standard - Zero 1]:[Candidate Transfer Standard - Zero 2]])</f>
        <v>0</v>
      </c>
    </row>
    <row r="290" spans="1:62" x14ac:dyDescent="0.3">
      <c r="A290" s="57"/>
      <c r="BG29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90" s="29" t="e">
        <f>BG290/DEVSQ(Archive[[#This Row],[Higher Level Standard - Zero 1]:[Higher Level Standard - Zero 2]])</f>
        <v>#VALUE!</v>
      </c>
      <c r="BI290" s="29" t="e">
        <f>BG290*(1/COUNT(Archive[[#This Row],[Candidate Transfer Standard - Zero 1]:[Candidate Transfer Standard - Zero 2]])+AVERAGE(Archive[[#This Row],[Higher Level Standard - Zero 1]:[Higher Level Standard - Zero 2]])^2/DEVSQ(Archive[[#This Row],[Higher Level Standard - Zero 1]:[Higher Level Standard - Zero 2]]))</f>
        <v>#VALUE!</v>
      </c>
      <c r="BJ290" s="29">
        <f>COUNT(Archive[[#This Row],[Candidate Transfer Standard - Zero 1]:[Candidate Transfer Standard - Zero 2]])</f>
        <v>0</v>
      </c>
    </row>
    <row r="291" spans="1:62" x14ac:dyDescent="0.3">
      <c r="A291" s="57"/>
      <c r="BG29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91" s="29" t="e">
        <f>BG291/DEVSQ(Archive[[#This Row],[Higher Level Standard - Zero 1]:[Higher Level Standard - Zero 2]])</f>
        <v>#VALUE!</v>
      </c>
      <c r="BI291" s="29" t="e">
        <f>BG291*(1/COUNT(Archive[[#This Row],[Candidate Transfer Standard - Zero 1]:[Candidate Transfer Standard - Zero 2]])+AVERAGE(Archive[[#This Row],[Higher Level Standard - Zero 1]:[Higher Level Standard - Zero 2]])^2/DEVSQ(Archive[[#This Row],[Higher Level Standard - Zero 1]:[Higher Level Standard - Zero 2]]))</f>
        <v>#VALUE!</v>
      </c>
      <c r="BJ291" s="29">
        <f>COUNT(Archive[[#This Row],[Candidate Transfer Standard - Zero 1]:[Candidate Transfer Standard - Zero 2]])</f>
        <v>0</v>
      </c>
    </row>
    <row r="292" spans="1:62" x14ac:dyDescent="0.3">
      <c r="A292" s="57"/>
      <c r="BG29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92" s="29" t="e">
        <f>BG292/DEVSQ(Archive[[#This Row],[Higher Level Standard - Zero 1]:[Higher Level Standard - Zero 2]])</f>
        <v>#VALUE!</v>
      </c>
      <c r="BI292" s="29" t="e">
        <f>BG292*(1/COUNT(Archive[[#This Row],[Candidate Transfer Standard - Zero 1]:[Candidate Transfer Standard - Zero 2]])+AVERAGE(Archive[[#This Row],[Higher Level Standard - Zero 1]:[Higher Level Standard - Zero 2]])^2/DEVSQ(Archive[[#This Row],[Higher Level Standard - Zero 1]:[Higher Level Standard - Zero 2]]))</f>
        <v>#VALUE!</v>
      </c>
      <c r="BJ292" s="29">
        <f>COUNT(Archive[[#This Row],[Candidate Transfer Standard - Zero 1]:[Candidate Transfer Standard - Zero 2]])</f>
        <v>0</v>
      </c>
    </row>
    <row r="293" spans="1:62" x14ac:dyDescent="0.3">
      <c r="A293" s="57"/>
      <c r="BG29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93" s="29" t="e">
        <f>BG293/DEVSQ(Archive[[#This Row],[Higher Level Standard - Zero 1]:[Higher Level Standard - Zero 2]])</f>
        <v>#VALUE!</v>
      </c>
      <c r="BI293" s="29" t="e">
        <f>BG293*(1/COUNT(Archive[[#This Row],[Candidate Transfer Standard - Zero 1]:[Candidate Transfer Standard - Zero 2]])+AVERAGE(Archive[[#This Row],[Higher Level Standard - Zero 1]:[Higher Level Standard - Zero 2]])^2/DEVSQ(Archive[[#This Row],[Higher Level Standard - Zero 1]:[Higher Level Standard - Zero 2]]))</f>
        <v>#VALUE!</v>
      </c>
      <c r="BJ293" s="29">
        <f>COUNT(Archive[[#This Row],[Candidate Transfer Standard - Zero 1]:[Candidate Transfer Standard - Zero 2]])</f>
        <v>0</v>
      </c>
    </row>
    <row r="294" spans="1:62" x14ac:dyDescent="0.3">
      <c r="A294" s="57"/>
      <c r="BG29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94" s="29" t="e">
        <f>BG294/DEVSQ(Archive[[#This Row],[Higher Level Standard - Zero 1]:[Higher Level Standard - Zero 2]])</f>
        <v>#VALUE!</v>
      </c>
      <c r="BI294" s="29" t="e">
        <f>BG294*(1/COUNT(Archive[[#This Row],[Candidate Transfer Standard - Zero 1]:[Candidate Transfer Standard - Zero 2]])+AVERAGE(Archive[[#This Row],[Higher Level Standard - Zero 1]:[Higher Level Standard - Zero 2]])^2/DEVSQ(Archive[[#This Row],[Higher Level Standard - Zero 1]:[Higher Level Standard - Zero 2]]))</f>
        <v>#VALUE!</v>
      </c>
      <c r="BJ294" s="29">
        <f>COUNT(Archive[[#This Row],[Candidate Transfer Standard - Zero 1]:[Candidate Transfer Standard - Zero 2]])</f>
        <v>0</v>
      </c>
    </row>
    <row r="295" spans="1:62" x14ac:dyDescent="0.3">
      <c r="A295" s="57"/>
      <c r="BG29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95" s="29" t="e">
        <f>BG295/DEVSQ(Archive[[#This Row],[Higher Level Standard - Zero 1]:[Higher Level Standard - Zero 2]])</f>
        <v>#VALUE!</v>
      </c>
      <c r="BI295" s="29" t="e">
        <f>BG295*(1/COUNT(Archive[[#This Row],[Candidate Transfer Standard - Zero 1]:[Candidate Transfer Standard - Zero 2]])+AVERAGE(Archive[[#This Row],[Higher Level Standard - Zero 1]:[Higher Level Standard - Zero 2]])^2/DEVSQ(Archive[[#This Row],[Higher Level Standard - Zero 1]:[Higher Level Standard - Zero 2]]))</f>
        <v>#VALUE!</v>
      </c>
      <c r="BJ295" s="29">
        <f>COUNT(Archive[[#This Row],[Candidate Transfer Standard - Zero 1]:[Candidate Transfer Standard - Zero 2]])</f>
        <v>0</v>
      </c>
    </row>
    <row r="296" spans="1:62" x14ac:dyDescent="0.3">
      <c r="A296" s="57"/>
      <c r="BG29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96" s="29" t="e">
        <f>BG296/DEVSQ(Archive[[#This Row],[Higher Level Standard - Zero 1]:[Higher Level Standard - Zero 2]])</f>
        <v>#VALUE!</v>
      </c>
      <c r="BI296" s="29" t="e">
        <f>BG296*(1/COUNT(Archive[[#This Row],[Candidate Transfer Standard - Zero 1]:[Candidate Transfer Standard - Zero 2]])+AVERAGE(Archive[[#This Row],[Higher Level Standard - Zero 1]:[Higher Level Standard - Zero 2]])^2/DEVSQ(Archive[[#This Row],[Higher Level Standard - Zero 1]:[Higher Level Standard - Zero 2]]))</f>
        <v>#VALUE!</v>
      </c>
      <c r="BJ296" s="29">
        <f>COUNT(Archive[[#This Row],[Candidate Transfer Standard - Zero 1]:[Candidate Transfer Standard - Zero 2]])</f>
        <v>0</v>
      </c>
    </row>
    <row r="297" spans="1:62" x14ac:dyDescent="0.3">
      <c r="A297" s="57"/>
      <c r="BG29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97" s="29" t="e">
        <f>BG297/DEVSQ(Archive[[#This Row],[Higher Level Standard - Zero 1]:[Higher Level Standard - Zero 2]])</f>
        <v>#VALUE!</v>
      </c>
      <c r="BI297" s="29" t="e">
        <f>BG297*(1/COUNT(Archive[[#This Row],[Candidate Transfer Standard - Zero 1]:[Candidate Transfer Standard - Zero 2]])+AVERAGE(Archive[[#This Row],[Higher Level Standard - Zero 1]:[Higher Level Standard - Zero 2]])^2/DEVSQ(Archive[[#This Row],[Higher Level Standard - Zero 1]:[Higher Level Standard - Zero 2]]))</f>
        <v>#VALUE!</v>
      </c>
      <c r="BJ297" s="29">
        <f>COUNT(Archive[[#This Row],[Candidate Transfer Standard - Zero 1]:[Candidate Transfer Standard - Zero 2]])</f>
        <v>0</v>
      </c>
    </row>
    <row r="298" spans="1:62" x14ac:dyDescent="0.3">
      <c r="A298" s="57"/>
      <c r="BG29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98" s="29" t="e">
        <f>BG298/DEVSQ(Archive[[#This Row],[Higher Level Standard - Zero 1]:[Higher Level Standard - Zero 2]])</f>
        <v>#VALUE!</v>
      </c>
      <c r="BI298" s="29" t="e">
        <f>BG298*(1/COUNT(Archive[[#This Row],[Candidate Transfer Standard - Zero 1]:[Candidate Transfer Standard - Zero 2]])+AVERAGE(Archive[[#This Row],[Higher Level Standard - Zero 1]:[Higher Level Standard - Zero 2]])^2/DEVSQ(Archive[[#This Row],[Higher Level Standard - Zero 1]:[Higher Level Standard - Zero 2]]))</f>
        <v>#VALUE!</v>
      </c>
      <c r="BJ298" s="29">
        <f>COUNT(Archive[[#This Row],[Candidate Transfer Standard - Zero 1]:[Candidate Transfer Standard - Zero 2]])</f>
        <v>0</v>
      </c>
    </row>
    <row r="299" spans="1:62" x14ac:dyDescent="0.3">
      <c r="A299" s="57"/>
      <c r="BG29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299" s="29" t="e">
        <f>BG299/DEVSQ(Archive[[#This Row],[Higher Level Standard - Zero 1]:[Higher Level Standard - Zero 2]])</f>
        <v>#VALUE!</v>
      </c>
      <c r="BI299" s="29" t="e">
        <f>BG299*(1/COUNT(Archive[[#This Row],[Candidate Transfer Standard - Zero 1]:[Candidate Transfer Standard - Zero 2]])+AVERAGE(Archive[[#This Row],[Higher Level Standard - Zero 1]:[Higher Level Standard - Zero 2]])^2/DEVSQ(Archive[[#This Row],[Higher Level Standard - Zero 1]:[Higher Level Standard - Zero 2]]))</f>
        <v>#VALUE!</v>
      </c>
      <c r="BJ299" s="29">
        <f>COUNT(Archive[[#This Row],[Candidate Transfer Standard - Zero 1]:[Candidate Transfer Standard - Zero 2]])</f>
        <v>0</v>
      </c>
    </row>
    <row r="300" spans="1:62" x14ac:dyDescent="0.3">
      <c r="A300" s="57"/>
      <c r="BG30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00" s="29" t="e">
        <f>BG300/DEVSQ(Archive[[#This Row],[Higher Level Standard - Zero 1]:[Higher Level Standard - Zero 2]])</f>
        <v>#VALUE!</v>
      </c>
      <c r="BI300" s="29" t="e">
        <f>BG300*(1/COUNT(Archive[[#This Row],[Candidate Transfer Standard - Zero 1]:[Candidate Transfer Standard - Zero 2]])+AVERAGE(Archive[[#This Row],[Higher Level Standard - Zero 1]:[Higher Level Standard - Zero 2]])^2/DEVSQ(Archive[[#This Row],[Higher Level Standard - Zero 1]:[Higher Level Standard - Zero 2]]))</f>
        <v>#VALUE!</v>
      </c>
      <c r="BJ300" s="29">
        <f>COUNT(Archive[[#This Row],[Candidate Transfer Standard - Zero 1]:[Candidate Transfer Standard - Zero 2]])</f>
        <v>0</v>
      </c>
    </row>
    <row r="301" spans="1:62" x14ac:dyDescent="0.3">
      <c r="A301" s="57"/>
      <c r="BG30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01" s="29" t="e">
        <f>BG301/DEVSQ(Archive[[#This Row],[Higher Level Standard - Zero 1]:[Higher Level Standard - Zero 2]])</f>
        <v>#VALUE!</v>
      </c>
      <c r="BI301" s="29" t="e">
        <f>BG301*(1/COUNT(Archive[[#This Row],[Candidate Transfer Standard - Zero 1]:[Candidate Transfer Standard - Zero 2]])+AVERAGE(Archive[[#This Row],[Higher Level Standard - Zero 1]:[Higher Level Standard - Zero 2]])^2/DEVSQ(Archive[[#This Row],[Higher Level Standard - Zero 1]:[Higher Level Standard - Zero 2]]))</f>
        <v>#VALUE!</v>
      </c>
      <c r="BJ301" s="29">
        <f>COUNT(Archive[[#This Row],[Candidate Transfer Standard - Zero 1]:[Candidate Transfer Standard - Zero 2]])</f>
        <v>0</v>
      </c>
    </row>
    <row r="302" spans="1:62" x14ac:dyDescent="0.3">
      <c r="A302" s="57"/>
      <c r="BG30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02" s="29" t="e">
        <f>BG302/DEVSQ(Archive[[#This Row],[Higher Level Standard - Zero 1]:[Higher Level Standard - Zero 2]])</f>
        <v>#VALUE!</v>
      </c>
      <c r="BI302" s="29" t="e">
        <f>BG302*(1/COUNT(Archive[[#This Row],[Candidate Transfer Standard - Zero 1]:[Candidate Transfer Standard - Zero 2]])+AVERAGE(Archive[[#This Row],[Higher Level Standard - Zero 1]:[Higher Level Standard - Zero 2]])^2/DEVSQ(Archive[[#This Row],[Higher Level Standard - Zero 1]:[Higher Level Standard - Zero 2]]))</f>
        <v>#VALUE!</v>
      </c>
      <c r="BJ302" s="29">
        <f>COUNT(Archive[[#This Row],[Candidate Transfer Standard - Zero 1]:[Candidate Transfer Standard - Zero 2]])</f>
        <v>0</v>
      </c>
    </row>
    <row r="303" spans="1:62" x14ac:dyDescent="0.3">
      <c r="A303" s="57"/>
      <c r="BG30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03" s="29" t="e">
        <f>BG303/DEVSQ(Archive[[#This Row],[Higher Level Standard - Zero 1]:[Higher Level Standard - Zero 2]])</f>
        <v>#VALUE!</v>
      </c>
      <c r="BI303" s="29" t="e">
        <f>BG303*(1/COUNT(Archive[[#This Row],[Candidate Transfer Standard - Zero 1]:[Candidate Transfer Standard - Zero 2]])+AVERAGE(Archive[[#This Row],[Higher Level Standard - Zero 1]:[Higher Level Standard - Zero 2]])^2/DEVSQ(Archive[[#This Row],[Higher Level Standard - Zero 1]:[Higher Level Standard - Zero 2]]))</f>
        <v>#VALUE!</v>
      </c>
      <c r="BJ303" s="29">
        <f>COUNT(Archive[[#This Row],[Candidate Transfer Standard - Zero 1]:[Candidate Transfer Standard - Zero 2]])</f>
        <v>0</v>
      </c>
    </row>
    <row r="304" spans="1:62" x14ac:dyDescent="0.3">
      <c r="A304" s="57"/>
      <c r="BG30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04" s="29" t="e">
        <f>BG304/DEVSQ(Archive[[#This Row],[Higher Level Standard - Zero 1]:[Higher Level Standard - Zero 2]])</f>
        <v>#VALUE!</v>
      </c>
      <c r="BI304" s="29" t="e">
        <f>BG304*(1/COUNT(Archive[[#This Row],[Candidate Transfer Standard - Zero 1]:[Candidate Transfer Standard - Zero 2]])+AVERAGE(Archive[[#This Row],[Higher Level Standard - Zero 1]:[Higher Level Standard - Zero 2]])^2/DEVSQ(Archive[[#This Row],[Higher Level Standard - Zero 1]:[Higher Level Standard - Zero 2]]))</f>
        <v>#VALUE!</v>
      </c>
      <c r="BJ304" s="29">
        <f>COUNT(Archive[[#This Row],[Candidate Transfer Standard - Zero 1]:[Candidate Transfer Standard - Zero 2]])</f>
        <v>0</v>
      </c>
    </row>
    <row r="305" spans="1:62" x14ac:dyDescent="0.3">
      <c r="A305" s="57"/>
      <c r="BG30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05" s="29" t="e">
        <f>BG305/DEVSQ(Archive[[#This Row],[Higher Level Standard - Zero 1]:[Higher Level Standard - Zero 2]])</f>
        <v>#VALUE!</v>
      </c>
      <c r="BI305" s="29" t="e">
        <f>BG305*(1/COUNT(Archive[[#This Row],[Candidate Transfer Standard - Zero 1]:[Candidate Transfer Standard - Zero 2]])+AVERAGE(Archive[[#This Row],[Higher Level Standard - Zero 1]:[Higher Level Standard - Zero 2]])^2/DEVSQ(Archive[[#This Row],[Higher Level Standard - Zero 1]:[Higher Level Standard - Zero 2]]))</f>
        <v>#VALUE!</v>
      </c>
      <c r="BJ305" s="29">
        <f>COUNT(Archive[[#This Row],[Candidate Transfer Standard - Zero 1]:[Candidate Transfer Standard - Zero 2]])</f>
        <v>0</v>
      </c>
    </row>
    <row r="306" spans="1:62" x14ac:dyDescent="0.3">
      <c r="A306" s="57"/>
      <c r="BG30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06" s="29" t="e">
        <f>BG306/DEVSQ(Archive[[#This Row],[Higher Level Standard - Zero 1]:[Higher Level Standard - Zero 2]])</f>
        <v>#VALUE!</v>
      </c>
      <c r="BI306" s="29" t="e">
        <f>BG306*(1/COUNT(Archive[[#This Row],[Candidate Transfer Standard - Zero 1]:[Candidate Transfer Standard - Zero 2]])+AVERAGE(Archive[[#This Row],[Higher Level Standard - Zero 1]:[Higher Level Standard - Zero 2]])^2/DEVSQ(Archive[[#This Row],[Higher Level Standard - Zero 1]:[Higher Level Standard - Zero 2]]))</f>
        <v>#VALUE!</v>
      </c>
      <c r="BJ306" s="29">
        <f>COUNT(Archive[[#This Row],[Candidate Transfer Standard - Zero 1]:[Candidate Transfer Standard - Zero 2]])</f>
        <v>0</v>
      </c>
    </row>
    <row r="307" spans="1:62" x14ac:dyDescent="0.3">
      <c r="A307" s="57"/>
      <c r="BG30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07" s="29" t="e">
        <f>BG307/DEVSQ(Archive[[#This Row],[Higher Level Standard - Zero 1]:[Higher Level Standard - Zero 2]])</f>
        <v>#VALUE!</v>
      </c>
      <c r="BI307" s="29" t="e">
        <f>BG307*(1/COUNT(Archive[[#This Row],[Candidate Transfer Standard - Zero 1]:[Candidate Transfer Standard - Zero 2]])+AVERAGE(Archive[[#This Row],[Higher Level Standard - Zero 1]:[Higher Level Standard - Zero 2]])^2/DEVSQ(Archive[[#This Row],[Higher Level Standard - Zero 1]:[Higher Level Standard - Zero 2]]))</f>
        <v>#VALUE!</v>
      </c>
      <c r="BJ307" s="29">
        <f>COUNT(Archive[[#This Row],[Candidate Transfer Standard - Zero 1]:[Candidate Transfer Standard - Zero 2]])</f>
        <v>0</v>
      </c>
    </row>
    <row r="308" spans="1:62" x14ac:dyDescent="0.3">
      <c r="A308" s="57"/>
      <c r="BG30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08" s="29" t="e">
        <f>BG308/DEVSQ(Archive[[#This Row],[Higher Level Standard - Zero 1]:[Higher Level Standard - Zero 2]])</f>
        <v>#VALUE!</v>
      </c>
      <c r="BI308" s="29" t="e">
        <f>BG308*(1/COUNT(Archive[[#This Row],[Candidate Transfer Standard - Zero 1]:[Candidate Transfer Standard - Zero 2]])+AVERAGE(Archive[[#This Row],[Higher Level Standard - Zero 1]:[Higher Level Standard - Zero 2]])^2/DEVSQ(Archive[[#This Row],[Higher Level Standard - Zero 1]:[Higher Level Standard - Zero 2]]))</f>
        <v>#VALUE!</v>
      </c>
      <c r="BJ308" s="29">
        <f>COUNT(Archive[[#This Row],[Candidate Transfer Standard - Zero 1]:[Candidate Transfer Standard - Zero 2]])</f>
        <v>0</v>
      </c>
    </row>
    <row r="309" spans="1:62" x14ac:dyDescent="0.3">
      <c r="A309" s="57"/>
      <c r="BG30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09" s="29" t="e">
        <f>BG309/DEVSQ(Archive[[#This Row],[Higher Level Standard - Zero 1]:[Higher Level Standard - Zero 2]])</f>
        <v>#VALUE!</v>
      </c>
      <c r="BI309" s="29" t="e">
        <f>BG309*(1/COUNT(Archive[[#This Row],[Candidate Transfer Standard - Zero 1]:[Candidate Transfer Standard - Zero 2]])+AVERAGE(Archive[[#This Row],[Higher Level Standard - Zero 1]:[Higher Level Standard - Zero 2]])^2/DEVSQ(Archive[[#This Row],[Higher Level Standard - Zero 1]:[Higher Level Standard - Zero 2]]))</f>
        <v>#VALUE!</v>
      </c>
      <c r="BJ309" s="29">
        <f>COUNT(Archive[[#This Row],[Candidate Transfer Standard - Zero 1]:[Candidate Transfer Standard - Zero 2]])</f>
        <v>0</v>
      </c>
    </row>
    <row r="310" spans="1:62" x14ac:dyDescent="0.3">
      <c r="A310" s="57"/>
      <c r="BG31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10" s="29" t="e">
        <f>BG310/DEVSQ(Archive[[#This Row],[Higher Level Standard - Zero 1]:[Higher Level Standard - Zero 2]])</f>
        <v>#VALUE!</v>
      </c>
      <c r="BI310" s="29" t="e">
        <f>BG310*(1/COUNT(Archive[[#This Row],[Candidate Transfer Standard - Zero 1]:[Candidate Transfer Standard - Zero 2]])+AVERAGE(Archive[[#This Row],[Higher Level Standard - Zero 1]:[Higher Level Standard - Zero 2]])^2/DEVSQ(Archive[[#This Row],[Higher Level Standard - Zero 1]:[Higher Level Standard - Zero 2]]))</f>
        <v>#VALUE!</v>
      </c>
      <c r="BJ310" s="29">
        <f>COUNT(Archive[[#This Row],[Candidate Transfer Standard - Zero 1]:[Candidate Transfer Standard - Zero 2]])</f>
        <v>0</v>
      </c>
    </row>
    <row r="311" spans="1:62" x14ac:dyDescent="0.3">
      <c r="A311" s="57"/>
      <c r="BG31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11" s="29" t="e">
        <f>BG311/DEVSQ(Archive[[#This Row],[Higher Level Standard - Zero 1]:[Higher Level Standard - Zero 2]])</f>
        <v>#VALUE!</v>
      </c>
      <c r="BI311" s="29" t="e">
        <f>BG311*(1/COUNT(Archive[[#This Row],[Candidate Transfer Standard - Zero 1]:[Candidate Transfer Standard - Zero 2]])+AVERAGE(Archive[[#This Row],[Higher Level Standard - Zero 1]:[Higher Level Standard - Zero 2]])^2/DEVSQ(Archive[[#This Row],[Higher Level Standard - Zero 1]:[Higher Level Standard - Zero 2]]))</f>
        <v>#VALUE!</v>
      </c>
      <c r="BJ311" s="29">
        <f>COUNT(Archive[[#This Row],[Candidate Transfer Standard - Zero 1]:[Candidate Transfer Standard - Zero 2]])</f>
        <v>0</v>
      </c>
    </row>
    <row r="312" spans="1:62" x14ac:dyDescent="0.3">
      <c r="A312" s="57"/>
      <c r="BG31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12" s="29" t="e">
        <f>BG312/DEVSQ(Archive[[#This Row],[Higher Level Standard - Zero 1]:[Higher Level Standard - Zero 2]])</f>
        <v>#VALUE!</v>
      </c>
      <c r="BI312" s="29" t="e">
        <f>BG312*(1/COUNT(Archive[[#This Row],[Candidate Transfer Standard - Zero 1]:[Candidate Transfer Standard - Zero 2]])+AVERAGE(Archive[[#This Row],[Higher Level Standard - Zero 1]:[Higher Level Standard - Zero 2]])^2/DEVSQ(Archive[[#This Row],[Higher Level Standard - Zero 1]:[Higher Level Standard - Zero 2]]))</f>
        <v>#VALUE!</v>
      </c>
      <c r="BJ312" s="29">
        <f>COUNT(Archive[[#This Row],[Candidate Transfer Standard - Zero 1]:[Candidate Transfer Standard - Zero 2]])</f>
        <v>0</v>
      </c>
    </row>
    <row r="313" spans="1:62" x14ac:dyDescent="0.3">
      <c r="A313" s="57"/>
      <c r="BG31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13" s="29" t="e">
        <f>BG313/DEVSQ(Archive[[#This Row],[Higher Level Standard - Zero 1]:[Higher Level Standard - Zero 2]])</f>
        <v>#VALUE!</v>
      </c>
      <c r="BI313" s="29" t="e">
        <f>BG313*(1/COUNT(Archive[[#This Row],[Candidate Transfer Standard - Zero 1]:[Candidate Transfer Standard - Zero 2]])+AVERAGE(Archive[[#This Row],[Higher Level Standard - Zero 1]:[Higher Level Standard - Zero 2]])^2/DEVSQ(Archive[[#This Row],[Higher Level Standard - Zero 1]:[Higher Level Standard - Zero 2]]))</f>
        <v>#VALUE!</v>
      </c>
      <c r="BJ313" s="29">
        <f>COUNT(Archive[[#This Row],[Candidate Transfer Standard - Zero 1]:[Candidate Transfer Standard - Zero 2]])</f>
        <v>0</v>
      </c>
    </row>
    <row r="314" spans="1:62" x14ac:dyDescent="0.3">
      <c r="A314" s="57"/>
      <c r="BG31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14" s="29" t="e">
        <f>BG314/DEVSQ(Archive[[#This Row],[Higher Level Standard - Zero 1]:[Higher Level Standard - Zero 2]])</f>
        <v>#VALUE!</v>
      </c>
      <c r="BI314" s="29" t="e">
        <f>BG314*(1/COUNT(Archive[[#This Row],[Candidate Transfer Standard - Zero 1]:[Candidate Transfer Standard - Zero 2]])+AVERAGE(Archive[[#This Row],[Higher Level Standard - Zero 1]:[Higher Level Standard - Zero 2]])^2/DEVSQ(Archive[[#This Row],[Higher Level Standard - Zero 1]:[Higher Level Standard - Zero 2]]))</f>
        <v>#VALUE!</v>
      </c>
      <c r="BJ314" s="29">
        <f>COUNT(Archive[[#This Row],[Candidate Transfer Standard - Zero 1]:[Candidate Transfer Standard - Zero 2]])</f>
        <v>0</v>
      </c>
    </row>
    <row r="315" spans="1:62" x14ac:dyDescent="0.3">
      <c r="A315" s="57"/>
      <c r="BG31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15" s="29" t="e">
        <f>BG315/DEVSQ(Archive[[#This Row],[Higher Level Standard - Zero 1]:[Higher Level Standard - Zero 2]])</f>
        <v>#VALUE!</v>
      </c>
      <c r="BI315" s="29" t="e">
        <f>BG315*(1/COUNT(Archive[[#This Row],[Candidate Transfer Standard - Zero 1]:[Candidate Transfer Standard - Zero 2]])+AVERAGE(Archive[[#This Row],[Higher Level Standard - Zero 1]:[Higher Level Standard - Zero 2]])^2/DEVSQ(Archive[[#This Row],[Higher Level Standard - Zero 1]:[Higher Level Standard - Zero 2]]))</f>
        <v>#VALUE!</v>
      </c>
      <c r="BJ315" s="29">
        <f>COUNT(Archive[[#This Row],[Candidate Transfer Standard - Zero 1]:[Candidate Transfer Standard - Zero 2]])</f>
        <v>0</v>
      </c>
    </row>
    <row r="316" spans="1:62" x14ac:dyDescent="0.3">
      <c r="A316" s="57"/>
      <c r="BG31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16" s="29" t="e">
        <f>BG316/DEVSQ(Archive[[#This Row],[Higher Level Standard - Zero 1]:[Higher Level Standard - Zero 2]])</f>
        <v>#VALUE!</v>
      </c>
      <c r="BI316" s="29" t="e">
        <f>BG316*(1/COUNT(Archive[[#This Row],[Candidate Transfer Standard - Zero 1]:[Candidate Transfer Standard - Zero 2]])+AVERAGE(Archive[[#This Row],[Higher Level Standard - Zero 1]:[Higher Level Standard - Zero 2]])^2/DEVSQ(Archive[[#This Row],[Higher Level Standard - Zero 1]:[Higher Level Standard - Zero 2]]))</f>
        <v>#VALUE!</v>
      </c>
      <c r="BJ316" s="29">
        <f>COUNT(Archive[[#This Row],[Candidate Transfer Standard - Zero 1]:[Candidate Transfer Standard - Zero 2]])</f>
        <v>0</v>
      </c>
    </row>
    <row r="317" spans="1:62" x14ac:dyDescent="0.3">
      <c r="A317" s="57"/>
      <c r="BG31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17" s="29" t="e">
        <f>BG317/DEVSQ(Archive[[#This Row],[Higher Level Standard - Zero 1]:[Higher Level Standard - Zero 2]])</f>
        <v>#VALUE!</v>
      </c>
      <c r="BI317" s="29" t="e">
        <f>BG317*(1/COUNT(Archive[[#This Row],[Candidate Transfer Standard - Zero 1]:[Candidate Transfer Standard - Zero 2]])+AVERAGE(Archive[[#This Row],[Higher Level Standard - Zero 1]:[Higher Level Standard - Zero 2]])^2/DEVSQ(Archive[[#This Row],[Higher Level Standard - Zero 1]:[Higher Level Standard - Zero 2]]))</f>
        <v>#VALUE!</v>
      </c>
      <c r="BJ317" s="29">
        <f>COUNT(Archive[[#This Row],[Candidate Transfer Standard - Zero 1]:[Candidate Transfer Standard - Zero 2]])</f>
        <v>0</v>
      </c>
    </row>
    <row r="318" spans="1:62" x14ac:dyDescent="0.3">
      <c r="A318" s="57"/>
      <c r="BG31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18" s="29" t="e">
        <f>BG318/DEVSQ(Archive[[#This Row],[Higher Level Standard - Zero 1]:[Higher Level Standard - Zero 2]])</f>
        <v>#VALUE!</v>
      </c>
      <c r="BI318" s="29" t="e">
        <f>BG318*(1/COUNT(Archive[[#This Row],[Candidate Transfer Standard - Zero 1]:[Candidate Transfer Standard - Zero 2]])+AVERAGE(Archive[[#This Row],[Higher Level Standard - Zero 1]:[Higher Level Standard - Zero 2]])^2/DEVSQ(Archive[[#This Row],[Higher Level Standard - Zero 1]:[Higher Level Standard - Zero 2]]))</f>
        <v>#VALUE!</v>
      </c>
      <c r="BJ318" s="29">
        <f>COUNT(Archive[[#This Row],[Candidate Transfer Standard - Zero 1]:[Candidate Transfer Standard - Zero 2]])</f>
        <v>0</v>
      </c>
    </row>
    <row r="319" spans="1:62" x14ac:dyDescent="0.3">
      <c r="A319" s="57"/>
      <c r="BG31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19" s="29" t="e">
        <f>BG319/DEVSQ(Archive[[#This Row],[Higher Level Standard - Zero 1]:[Higher Level Standard - Zero 2]])</f>
        <v>#VALUE!</v>
      </c>
      <c r="BI319" s="29" t="e">
        <f>BG319*(1/COUNT(Archive[[#This Row],[Candidate Transfer Standard - Zero 1]:[Candidate Transfer Standard - Zero 2]])+AVERAGE(Archive[[#This Row],[Higher Level Standard - Zero 1]:[Higher Level Standard - Zero 2]])^2/DEVSQ(Archive[[#This Row],[Higher Level Standard - Zero 1]:[Higher Level Standard - Zero 2]]))</f>
        <v>#VALUE!</v>
      </c>
      <c r="BJ319" s="29">
        <f>COUNT(Archive[[#This Row],[Candidate Transfer Standard - Zero 1]:[Candidate Transfer Standard - Zero 2]])</f>
        <v>0</v>
      </c>
    </row>
    <row r="320" spans="1:62" x14ac:dyDescent="0.3">
      <c r="A320" s="57"/>
      <c r="BG32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20" s="29" t="e">
        <f>BG320/DEVSQ(Archive[[#This Row],[Higher Level Standard - Zero 1]:[Higher Level Standard - Zero 2]])</f>
        <v>#VALUE!</v>
      </c>
      <c r="BI320" s="29" t="e">
        <f>BG320*(1/COUNT(Archive[[#This Row],[Candidate Transfer Standard - Zero 1]:[Candidate Transfer Standard - Zero 2]])+AVERAGE(Archive[[#This Row],[Higher Level Standard - Zero 1]:[Higher Level Standard - Zero 2]])^2/DEVSQ(Archive[[#This Row],[Higher Level Standard - Zero 1]:[Higher Level Standard - Zero 2]]))</f>
        <v>#VALUE!</v>
      </c>
      <c r="BJ320" s="29">
        <f>COUNT(Archive[[#This Row],[Candidate Transfer Standard - Zero 1]:[Candidate Transfer Standard - Zero 2]])</f>
        <v>0</v>
      </c>
    </row>
    <row r="321" spans="1:62" x14ac:dyDescent="0.3">
      <c r="A321" s="57"/>
      <c r="BG32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21" s="29" t="e">
        <f>BG321/DEVSQ(Archive[[#This Row],[Higher Level Standard - Zero 1]:[Higher Level Standard - Zero 2]])</f>
        <v>#VALUE!</v>
      </c>
      <c r="BI321" s="29" t="e">
        <f>BG321*(1/COUNT(Archive[[#This Row],[Candidate Transfer Standard - Zero 1]:[Candidate Transfer Standard - Zero 2]])+AVERAGE(Archive[[#This Row],[Higher Level Standard - Zero 1]:[Higher Level Standard - Zero 2]])^2/DEVSQ(Archive[[#This Row],[Higher Level Standard - Zero 1]:[Higher Level Standard - Zero 2]]))</f>
        <v>#VALUE!</v>
      </c>
      <c r="BJ321" s="29">
        <f>COUNT(Archive[[#This Row],[Candidate Transfer Standard - Zero 1]:[Candidate Transfer Standard - Zero 2]])</f>
        <v>0</v>
      </c>
    </row>
    <row r="322" spans="1:62" x14ac:dyDescent="0.3">
      <c r="A322" s="57"/>
      <c r="BG32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22" s="29" t="e">
        <f>BG322/DEVSQ(Archive[[#This Row],[Higher Level Standard - Zero 1]:[Higher Level Standard - Zero 2]])</f>
        <v>#VALUE!</v>
      </c>
      <c r="BI322" s="29" t="e">
        <f>BG322*(1/COUNT(Archive[[#This Row],[Candidate Transfer Standard - Zero 1]:[Candidate Transfer Standard - Zero 2]])+AVERAGE(Archive[[#This Row],[Higher Level Standard - Zero 1]:[Higher Level Standard - Zero 2]])^2/DEVSQ(Archive[[#This Row],[Higher Level Standard - Zero 1]:[Higher Level Standard - Zero 2]]))</f>
        <v>#VALUE!</v>
      </c>
      <c r="BJ322" s="29">
        <f>COUNT(Archive[[#This Row],[Candidate Transfer Standard - Zero 1]:[Candidate Transfer Standard - Zero 2]])</f>
        <v>0</v>
      </c>
    </row>
    <row r="323" spans="1:62" x14ac:dyDescent="0.3">
      <c r="A323" s="57"/>
      <c r="BG32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23" s="29" t="e">
        <f>BG323/DEVSQ(Archive[[#This Row],[Higher Level Standard - Zero 1]:[Higher Level Standard - Zero 2]])</f>
        <v>#VALUE!</v>
      </c>
      <c r="BI323" s="29" t="e">
        <f>BG323*(1/COUNT(Archive[[#This Row],[Candidate Transfer Standard - Zero 1]:[Candidate Transfer Standard - Zero 2]])+AVERAGE(Archive[[#This Row],[Higher Level Standard - Zero 1]:[Higher Level Standard - Zero 2]])^2/DEVSQ(Archive[[#This Row],[Higher Level Standard - Zero 1]:[Higher Level Standard - Zero 2]]))</f>
        <v>#VALUE!</v>
      </c>
      <c r="BJ323" s="29">
        <f>COUNT(Archive[[#This Row],[Candidate Transfer Standard - Zero 1]:[Candidate Transfer Standard - Zero 2]])</f>
        <v>0</v>
      </c>
    </row>
    <row r="324" spans="1:62" x14ac:dyDescent="0.3">
      <c r="A324" s="57"/>
      <c r="BG32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24" s="29" t="e">
        <f>BG324/DEVSQ(Archive[[#This Row],[Higher Level Standard - Zero 1]:[Higher Level Standard - Zero 2]])</f>
        <v>#VALUE!</v>
      </c>
      <c r="BI324" s="29" t="e">
        <f>BG324*(1/COUNT(Archive[[#This Row],[Candidate Transfer Standard - Zero 1]:[Candidate Transfer Standard - Zero 2]])+AVERAGE(Archive[[#This Row],[Higher Level Standard - Zero 1]:[Higher Level Standard - Zero 2]])^2/DEVSQ(Archive[[#This Row],[Higher Level Standard - Zero 1]:[Higher Level Standard - Zero 2]]))</f>
        <v>#VALUE!</v>
      </c>
      <c r="BJ324" s="29">
        <f>COUNT(Archive[[#This Row],[Candidate Transfer Standard - Zero 1]:[Candidate Transfer Standard - Zero 2]])</f>
        <v>0</v>
      </c>
    </row>
    <row r="325" spans="1:62" x14ac:dyDescent="0.3">
      <c r="A325" s="57"/>
      <c r="BG32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25" s="29" t="e">
        <f>BG325/DEVSQ(Archive[[#This Row],[Higher Level Standard - Zero 1]:[Higher Level Standard - Zero 2]])</f>
        <v>#VALUE!</v>
      </c>
      <c r="BI325" s="29" t="e">
        <f>BG325*(1/COUNT(Archive[[#This Row],[Candidate Transfer Standard - Zero 1]:[Candidate Transfer Standard - Zero 2]])+AVERAGE(Archive[[#This Row],[Higher Level Standard - Zero 1]:[Higher Level Standard - Zero 2]])^2/DEVSQ(Archive[[#This Row],[Higher Level Standard - Zero 1]:[Higher Level Standard - Zero 2]]))</f>
        <v>#VALUE!</v>
      </c>
      <c r="BJ325" s="29">
        <f>COUNT(Archive[[#This Row],[Candidate Transfer Standard - Zero 1]:[Candidate Transfer Standard - Zero 2]])</f>
        <v>0</v>
      </c>
    </row>
    <row r="326" spans="1:62" x14ac:dyDescent="0.3">
      <c r="A326" s="57"/>
      <c r="BG32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26" s="29" t="e">
        <f>BG326/DEVSQ(Archive[[#This Row],[Higher Level Standard - Zero 1]:[Higher Level Standard - Zero 2]])</f>
        <v>#VALUE!</v>
      </c>
      <c r="BI326" s="29" t="e">
        <f>BG326*(1/COUNT(Archive[[#This Row],[Candidate Transfer Standard - Zero 1]:[Candidate Transfer Standard - Zero 2]])+AVERAGE(Archive[[#This Row],[Higher Level Standard - Zero 1]:[Higher Level Standard - Zero 2]])^2/DEVSQ(Archive[[#This Row],[Higher Level Standard - Zero 1]:[Higher Level Standard - Zero 2]]))</f>
        <v>#VALUE!</v>
      </c>
      <c r="BJ326" s="29">
        <f>COUNT(Archive[[#This Row],[Candidate Transfer Standard - Zero 1]:[Candidate Transfer Standard - Zero 2]])</f>
        <v>0</v>
      </c>
    </row>
    <row r="327" spans="1:62" x14ac:dyDescent="0.3">
      <c r="A327" s="57"/>
      <c r="BG32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27" s="29" t="e">
        <f>BG327/DEVSQ(Archive[[#This Row],[Higher Level Standard - Zero 1]:[Higher Level Standard - Zero 2]])</f>
        <v>#VALUE!</v>
      </c>
      <c r="BI327" s="29" t="e">
        <f>BG327*(1/COUNT(Archive[[#This Row],[Candidate Transfer Standard - Zero 1]:[Candidate Transfer Standard - Zero 2]])+AVERAGE(Archive[[#This Row],[Higher Level Standard - Zero 1]:[Higher Level Standard - Zero 2]])^2/DEVSQ(Archive[[#This Row],[Higher Level Standard - Zero 1]:[Higher Level Standard - Zero 2]]))</f>
        <v>#VALUE!</v>
      </c>
      <c r="BJ327" s="29">
        <f>COUNT(Archive[[#This Row],[Candidate Transfer Standard - Zero 1]:[Candidate Transfer Standard - Zero 2]])</f>
        <v>0</v>
      </c>
    </row>
    <row r="328" spans="1:62" x14ac:dyDescent="0.3">
      <c r="A328" s="57"/>
      <c r="BG32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28" s="29" t="e">
        <f>BG328/DEVSQ(Archive[[#This Row],[Higher Level Standard - Zero 1]:[Higher Level Standard - Zero 2]])</f>
        <v>#VALUE!</v>
      </c>
      <c r="BI328" s="29" t="e">
        <f>BG328*(1/COUNT(Archive[[#This Row],[Candidate Transfer Standard - Zero 1]:[Candidate Transfer Standard - Zero 2]])+AVERAGE(Archive[[#This Row],[Higher Level Standard - Zero 1]:[Higher Level Standard - Zero 2]])^2/DEVSQ(Archive[[#This Row],[Higher Level Standard - Zero 1]:[Higher Level Standard - Zero 2]]))</f>
        <v>#VALUE!</v>
      </c>
      <c r="BJ328" s="29">
        <f>COUNT(Archive[[#This Row],[Candidate Transfer Standard - Zero 1]:[Candidate Transfer Standard - Zero 2]])</f>
        <v>0</v>
      </c>
    </row>
    <row r="329" spans="1:62" x14ac:dyDescent="0.3">
      <c r="A329" s="57"/>
      <c r="BG32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29" s="29" t="e">
        <f>BG329/DEVSQ(Archive[[#This Row],[Higher Level Standard - Zero 1]:[Higher Level Standard - Zero 2]])</f>
        <v>#VALUE!</v>
      </c>
      <c r="BI329" s="29" t="e">
        <f>BG329*(1/COUNT(Archive[[#This Row],[Candidate Transfer Standard - Zero 1]:[Candidate Transfer Standard - Zero 2]])+AVERAGE(Archive[[#This Row],[Higher Level Standard - Zero 1]:[Higher Level Standard - Zero 2]])^2/DEVSQ(Archive[[#This Row],[Higher Level Standard - Zero 1]:[Higher Level Standard - Zero 2]]))</f>
        <v>#VALUE!</v>
      </c>
      <c r="BJ329" s="29">
        <f>COUNT(Archive[[#This Row],[Candidate Transfer Standard - Zero 1]:[Candidate Transfer Standard - Zero 2]])</f>
        <v>0</v>
      </c>
    </row>
    <row r="330" spans="1:62" x14ac:dyDescent="0.3">
      <c r="A330" s="57"/>
      <c r="BG33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30" s="29" t="e">
        <f>BG330/DEVSQ(Archive[[#This Row],[Higher Level Standard - Zero 1]:[Higher Level Standard - Zero 2]])</f>
        <v>#VALUE!</v>
      </c>
      <c r="BI330" s="29" t="e">
        <f>BG330*(1/COUNT(Archive[[#This Row],[Candidate Transfer Standard - Zero 1]:[Candidate Transfer Standard - Zero 2]])+AVERAGE(Archive[[#This Row],[Higher Level Standard - Zero 1]:[Higher Level Standard - Zero 2]])^2/DEVSQ(Archive[[#This Row],[Higher Level Standard - Zero 1]:[Higher Level Standard - Zero 2]]))</f>
        <v>#VALUE!</v>
      </c>
      <c r="BJ330" s="29">
        <f>COUNT(Archive[[#This Row],[Candidate Transfer Standard - Zero 1]:[Candidate Transfer Standard - Zero 2]])</f>
        <v>0</v>
      </c>
    </row>
    <row r="331" spans="1:62" x14ac:dyDescent="0.3">
      <c r="A331" s="57"/>
      <c r="BG33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31" s="29" t="e">
        <f>BG331/DEVSQ(Archive[[#This Row],[Higher Level Standard - Zero 1]:[Higher Level Standard - Zero 2]])</f>
        <v>#VALUE!</v>
      </c>
      <c r="BI331" s="29" t="e">
        <f>BG331*(1/COUNT(Archive[[#This Row],[Candidate Transfer Standard - Zero 1]:[Candidate Transfer Standard - Zero 2]])+AVERAGE(Archive[[#This Row],[Higher Level Standard - Zero 1]:[Higher Level Standard - Zero 2]])^2/DEVSQ(Archive[[#This Row],[Higher Level Standard - Zero 1]:[Higher Level Standard - Zero 2]]))</f>
        <v>#VALUE!</v>
      </c>
      <c r="BJ331" s="29">
        <f>COUNT(Archive[[#This Row],[Candidate Transfer Standard - Zero 1]:[Candidate Transfer Standard - Zero 2]])</f>
        <v>0</v>
      </c>
    </row>
    <row r="332" spans="1:62" x14ac:dyDescent="0.3">
      <c r="A332" s="57"/>
      <c r="BG33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32" s="29" t="e">
        <f>BG332/DEVSQ(Archive[[#This Row],[Higher Level Standard - Zero 1]:[Higher Level Standard - Zero 2]])</f>
        <v>#VALUE!</v>
      </c>
      <c r="BI332" s="29" t="e">
        <f>BG332*(1/COUNT(Archive[[#This Row],[Candidate Transfer Standard - Zero 1]:[Candidate Transfer Standard - Zero 2]])+AVERAGE(Archive[[#This Row],[Higher Level Standard - Zero 1]:[Higher Level Standard - Zero 2]])^2/DEVSQ(Archive[[#This Row],[Higher Level Standard - Zero 1]:[Higher Level Standard - Zero 2]]))</f>
        <v>#VALUE!</v>
      </c>
      <c r="BJ332" s="29">
        <f>COUNT(Archive[[#This Row],[Candidate Transfer Standard - Zero 1]:[Candidate Transfer Standard - Zero 2]])</f>
        <v>0</v>
      </c>
    </row>
    <row r="333" spans="1:62" x14ac:dyDescent="0.3">
      <c r="A333" s="57"/>
      <c r="BG33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33" s="29" t="e">
        <f>BG333/DEVSQ(Archive[[#This Row],[Higher Level Standard - Zero 1]:[Higher Level Standard - Zero 2]])</f>
        <v>#VALUE!</v>
      </c>
      <c r="BI333" s="29" t="e">
        <f>BG333*(1/COUNT(Archive[[#This Row],[Candidate Transfer Standard - Zero 1]:[Candidate Transfer Standard - Zero 2]])+AVERAGE(Archive[[#This Row],[Higher Level Standard - Zero 1]:[Higher Level Standard - Zero 2]])^2/DEVSQ(Archive[[#This Row],[Higher Level Standard - Zero 1]:[Higher Level Standard - Zero 2]]))</f>
        <v>#VALUE!</v>
      </c>
      <c r="BJ333" s="29">
        <f>COUNT(Archive[[#This Row],[Candidate Transfer Standard - Zero 1]:[Candidate Transfer Standard - Zero 2]])</f>
        <v>0</v>
      </c>
    </row>
    <row r="334" spans="1:62" x14ac:dyDescent="0.3">
      <c r="A334" s="57"/>
      <c r="BG33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34" s="29" t="e">
        <f>BG334/DEVSQ(Archive[[#This Row],[Higher Level Standard - Zero 1]:[Higher Level Standard - Zero 2]])</f>
        <v>#VALUE!</v>
      </c>
      <c r="BI334" s="29" t="e">
        <f>BG334*(1/COUNT(Archive[[#This Row],[Candidate Transfer Standard - Zero 1]:[Candidate Transfer Standard - Zero 2]])+AVERAGE(Archive[[#This Row],[Higher Level Standard - Zero 1]:[Higher Level Standard - Zero 2]])^2/DEVSQ(Archive[[#This Row],[Higher Level Standard - Zero 1]:[Higher Level Standard - Zero 2]]))</f>
        <v>#VALUE!</v>
      </c>
      <c r="BJ334" s="29">
        <f>COUNT(Archive[[#This Row],[Candidate Transfer Standard - Zero 1]:[Candidate Transfer Standard - Zero 2]])</f>
        <v>0</v>
      </c>
    </row>
    <row r="335" spans="1:62" x14ac:dyDescent="0.3">
      <c r="A335" s="57"/>
      <c r="BG33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35" s="29" t="e">
        <f>BG335/DEVSQ(Archive[[#This Row],[Higher Level Standard - Zero 1]:[Higher Level Standard - Zero 2]])</f>
        <v>#VALUE!</v>
      </c>
      <c r="BI335" s="29" t="e">
        <f>BG335*(1/COUNT(Archive[[#This Row],[Candidate Transfer Standard - Zero 1]:[Candidate Transfer Standard - Zero 2]])+AVERAGE(Archive[[#This Row],[Higher Level Standard - Zero 1]:[Higher Level Standard - Zero 2]])^2/DEVSQ(Archive[[#This Row],[Higher Level Standard - Zero 1]:[Higher Level Standard - Zero 2]]))</f>
        <v>#VALUE!</v>
      </c>
      <c r="BJ335" s="29">
        <f>COUNT(Archive[[#This Row],[Candidate Transfer Standard - Zero 1]:[Candidate Transfer Standard - Zero 2]])</f>
        <v>0</v>
      </c>
    </row>
    <row r="336" spans="1:62" x14ac:dyDescent="0.3">
      <c r="A336" s="57"/>
      <c r="BG33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36" s="29" t="e">
        <f>BG336/DEVSQ(Archive[[#This Row],[Higher Level Standard - Zero 1]:[Higher Level Standard - Zero 2]])</f>
        <v>#VALUE!</v>
      </c>
      <c r="BI336" s="29" t="e">
        <f>BG336*(1/COUNT(Archive[[#This Row],[Candidate Transfer Standard - Zero 1]:[Candidate Transfer Standard - Zero 2]])+AVERAGE(Archive[[#This Row],[Higher Level Standard - Zero 1]:[Higher Level Standard - Zero 2]])^2/DEVSQ(Archive[[#This Row],[Higher Level Standard - Zero 1]:[Higher Level Standard - Zero 2]]))</f>
        <v>#VALUE!</v>
      </c>
      <c r="BJ336" s="29">
        <f>COUNT(Archive[[#This Row],[Candidate Transfer Standard - Zero 1]:[Candidate Transfer Standard - Zero 2]])</f>
        <v>0</v>
      </c>
    </row>
    <row r="337" spans="1:62" x14ac:dyDescent="0.3">
      <c r="A337" s="57"/>
      <c r="BG33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37" s="29" t="e">
        <f>BG337/DEVSQ(Archive[[#This Row],[Higher Level Standard - Zero 1]:[Higher Level Standard - Zero 2]])</f>
        <v>#VALUE!</v>
      </c>
      <c r="BI337" s="29" t="e">
        <f>BG337*(1/COUNT(Archive[[#This Row],[Candidate Transfer Standard - Zero 1]:[Candidate Transfer Standard - Zero 2]])+AVERAGE(Archive[[#This Row],[Higher Level Standard - Zero 1]:[Higher Level Standard - Zero 2]])^2/DEVSQ(Archive[[#This Row],[Higher Level Standard - Zero 1]:[Higher Level Standard - Zero 2]]))</f>
        <v>#VALUE!</v>
      </c>
      <c r="BJ337" s="29">
        <f>COUNT(Archive[[#This Row],[Candidate Transfer Standard - Zero 1]:[Candidate Transfer Standard - Zero 2]])</f>
        <v>0</v>
      </c>
    </row>
    <row r="338" spans="1:62" x14ac:dyDescent="0.3">
      <c r="A338" s="57"/>
      <c r="BG33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38" s="29" t="e">
        <f>BG338/DEVSQ(Archive[[#This Row],[Higher Level Standard - Zero 1]:[Higher Level Standard - Zero 2]])</f>
        <v>#VALUE!</v>
      </c>
      <c r="BI338" s="29" t="e">
        <f>BG338*(1/COUNT(Archive[[#This Row],[Candidate Transfer Standard - Zero 1]:[Candidate Transfer Standard - Zero 2]])+AVERAGE(Archive[[#This Row],[Higher Level Standard - Zero 1]:[Higher Level Standard - Zero 2]])^2/DEVSQ(Archive[[#This Row],[Higher Level Standard - Zero 1]:[Higher Level Standard - Zero 2]]))</f>
        <v>#VALUE!</v>
      </c>
      <c r="BJ338" s="29">
        <f>COUNT(Archive[[#This Row],[Candidate Transfer Standard - Zero 1]:[Candidate Transfer Standard - Zero 2]])</f>
        <v>0</v>
      </c>
    </row>
    <row r="339" spans="1:62" x14ac:dyDescent="0.3">
      <c r="A339" s="57"/>
      <c r="BG33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39" s="29" t="e">
        <f>BG339/DEVSQ(Archive[[#This Row],[Higher Level Standard - Zero 1]:[Higher Level Standard - Zero 2]])</f>
        <v>#VALUE!</v>
      </c>
      <c r="BI339" s="29" t="e">
        <f>BG339*(1/COUNT(Archive[[#This Row],[Candidate Transfer Standard - Zero 1]:[Candidate Transfer Standard - Zero 2]])+AVERAGE(Archive[[#This Row],[Higher Level Standard - Zero 1]:[Higher Level Standard - Zero 2]])^2/DEVSQ(Archive[[#This Row],[Higher Level Standard - Zero 1]:[Higher Level Standard - Zero 2]]))</f>
        <v>#VALUE!</v>
      </c>
      <c r="BJ339" s="29">
        <f>COUNT(Archive[[#This Row],[Candidate Transfer Standard - Zero 1]:[Candidate Transfer Standard - Zero 2]])</f>
        <v>0</v>
      </c>
    </row>
    <row r="340" spans="1:62" x14ac:dyDescent="0.3">
      <c r="A340" s="57"/>
      <c r="BG34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40" s="29" t="e">
        <f>BG340/DEVSQ(Archive[[#This Row],[Higher Level Standard - Zero 1]:[Higher Level Standard - Zero 2]])</f>
        <v>#VALUE!</v>
      </c>
      <c r="BI340" s="29" t="e">
        <f>BG340*(1/COUNT(Archive[[#This Row],[Candidate Transfer Standard - Zero 1]:[Candidate Transfer Standard - Zero 2]])+AVERAGE(Archive[[#This Row],[Higher Level Standard - Zero 1]:[Higher Level Standard - Zero 2]])^2/DEVSQ(Archive[[#This Row],[Higher Level Standard - Zero 1]:[Higher Level Standard - Zero 2]]))</f>
        <v>#VALUE!</v>
      </c>
      <c r="BJ340" s="29">
        <f>COUNT(Archive[[#This Row],[Candidate Transfer Standard - Zero 1]:[Candidate Transfer Standard - Zero 2]])</f>
        <v>0</v>
      </c>
    </row>
    <row r="341" spans="1:62" x14ac:dyDescent="0.3">
      <c r="A341" s="57"/>
      <c r="BG34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41" s="29" t="e">
        <f>BG341/DEVSQ(Archive[[#This Row],[Higher Level Standard - Zero 1]:[Higher Level Standard - Zero 2]])</f>
        <v>#VALUE!</v>
      </c>
      <c r="BI341" s="29" t="e">
        <f>BG341*(1/COUNT(Archive[[#This Row],[Candidate Transfer Standard - Zero 1]:[Candidate Transfer Standard - Zero 2]])+AVERAGE(Archive[[#This Row],[Higher Level Standard - Zero 1]:[Higher Level Standard - Zero 2]])^2/DEVSQ(Archive[[#This Row],[Higher Level Standard - Zero 1]:[Higher Level Standard - Zero 2]]))</f>
        <v>#VALUE!</v>
      </c>
      <c r="BJ341" s="29">
        <f>COUNT(Archive[[#This Row],[Candidate Transfer Standard - Zero 1]:[Candidate Transfer Standard - Zero 2]])</f>
        <v>0</v>
      </c>
    </row>
    <row r="342" spans="1:62" x14ac:dyDescent="0.3">
      <c r="A342" s="57"/>
      <c r="BG34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42" s="29" t="e">
        <f>BG342/DEVSQ(Archive[[#This Row],[Higher Level Standard - Zero 1]:[Higher Level Standard - Zero 2]])</f>
        <v>#VALUE!</v>
      </c>
      <c r="BI342" s="29" t="e">
        <f>BG342*(1/COUNT(Archive[[#This Row],[Candidate Transfer Standard - Zero 1]:[Candidate Transfer Standard - Zero 2]])+AVERAGE(Archive[[#This Row],[Higher Level Standard - Zero 1]:[Higher Level Standard - Zero 2]])^2/DEVSQ(Archive[[#This Row],[Higher Level Standard - Zero 1]:[Higher Level Standard - Zero 2]]))</f>
        <v>#VALUE!</v>
      </c>
      <c r="BJ342" s="29">
        <f>COUNT(Archive[[#This Row],[Candidate Transfer Standard - Zero 1]:[Candidate Transfer Standard - Zero 2]])</f>
        <v>0</v>
      </c>
    </row>
    <row r="343" spans="1:62" x14ac:dyDescent="0.3">
      <c r="A343" s="57"/>
      <c r="BG34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43" s="29" t="e">
        <f>BG343/DEVSQ(Archive[[#This Row],[Higher Level Standard - Zero 1]:[Higher Level Standard - Zero 2]])</f>
        <v>#VALUE!</v>
      </c>
      <c r="BI343" s="29" t="e">
        <f>BG343*(1/COUNT(Archive[[#This Row],[Candidate Transfer Standard - Zero 1]:[Candidate Transfer Standard - Zero 2]])+AVERAGE(Archive[[#This Row],[Higher Level Standard - Zero 1]:[Higher Level Standard - Zero 2]])^2/DEVSQ(Archive[[#This Row],[Higher Level Standard - Zero 1]:[Higher Level Standard - Zero 2]]))</f>
        <v>#VALUE!</v>
      </c>
      <c r="BJ343" s="29">
        <f>COUNT(Archive[[#This Row],[Candidate Transfer Standard - Zero 1]:[Candidate Transfer Standard - Zero 2]])</f>
        <v>0</v>
      </c>
    </row>
    <row r="344" spans="1:62" x14ac:dyDescent="0.3">
      <c r="A344" s="57"/>
      <c r="BG34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44" s="29" t="e">
        <f>BG344/DEVSQ(Archive[[#This Row],[Higher Level Standard - Zero 1]:[Higher Level Standard - Zero 2]])</f>
        <v>#VALUE!</v>
      </c>
      <c r="BI344" s="29" t="e">
        <f>BG344*(1/COUNT(Archive[[#This Row],[Candidate Transfer Standard - Zero 1]:[Candidate Transfer Standard - Zero 2]])+AVERAGE(Archive[[#This Row],[Higher Level Standard - Zero 1]:[Higher Level Standard - Zero 2]])^2/DEVSQ(Archive[[#This Row],[Higher Level Standard - Zero 1]:[Higher Level Standard - Zero 2]]))</f>
        <v>#VALUE!</v>
      </c>
      <c r="BJ344" s="29">
        <f>COUNT(Archive[[#This Row],[Candidate Transfer Standard - Zero 1]:[Candidate Transfer Standard - Zero 2]])</f>
        <v>0</v>
      </c>
    </row>
    <row r="345" spans="1:62" x14ac:dyDescent="0.3">
      <c r="A345" s="57"/>
      <c r="BG34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45" s="29" t="e">
        <f>BG345/DEVSQ(Archive[[#This Row],[Higher Level Standard - Zero 1]:[Higher Level Standard - Zero 2]])</f>
        <v>#VALUE!</v>
      </c>
      <c r="BI345" s="29" t="e">
        <f>BG345*(1/COUNT(Archive[[#This Row],[Candidate Transfer Standard - Zero 1]:[Candidate Transfer Standard - Zero 2]])+AVERAGE(Archive[[#This Row],[Higher Level Standard - Zero 1]:[Higher Level Standard - Zero 2]])^2/DEVSQ(Archive[[#This Row],[Higher Level Standard - Zero 1]:[Higher Level Standard - Zero 2]]))</f>
        <v>#VALUE!</v>
      </c>
      <c r="BJ345" s="29">
        <f>COUNT(Archive[[#This Row],[Candidate Transfer Standard - Zero 1]:[Candidate Transfer Standard - Zero 2]])</f>
        <v>0</v>
      </c>
    </row>
    <row r="346" spans="1:62" x14ac:dyDescent="0.3">
      <c r="A346" s="57"/>
      <c r="BG34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46" s="29" t="e">
        <f>BG346/DEVSQ(Archive[[#This Row],[Higher Level Standard - Zero 1]:[Higher Level Standard - Zero 2]])</f>
        <v>#VALUE!</v>
      </c>
      <c r="BI346" s="29" t="e">
        <f>BG346*(1/COUNT(Archive[[#This Row],[Candidate Transfer Standard - Zero 1]:[Candidate Transfer Standard - Zero 2]])+AVERAGE(Archive[[#This Row],[Higher Level Standard - Zero 1]:[Higher Level Standard - Zero 2]])^2/DEVSQ(Archive[[#This Row],[Higher Level Standard - Zero 1]:[Higher Level Standard - Zero 2]]))</f>
        <v>#VALUE!</v>
      </c>
      <c r="BJ346" s="29">
        <f>COUNT(Archive[[#This Row],[Candidate Transfer Standard - Zero 1]:[Candidate Transfer Standard - Zero 2]])</f>
        <v>0</v>
      </c>
    </row>
    <row r="347" spans="1:62" x14ac:dyDescent="0.3">
      <c r="A347" s="57"/>
      <c r="BG34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47" s="29" t="e">
        <f>BG347/DEVSQ(Archive[[#This Row],[Higher Level Standard - Zero 1]:[Higher Level Standard - Zero 2]])</f>
        <v>#VALUE!</v>
      </c>
      <c r="BI347" s="29" t="e">
        <f>BG347*(1/COUNT(Archive[[#This Row],[Candidate Transfer Standard - Zero 1]:[Candidate Transfer Standard - Zero 2]])+AVERAGE(Archive[[#This Row],[Higher Level Standard - Zero 1]:[Higher Level Standard - Zero 2]])^2/DEVSQ(Archive[[#This Row],[Higher Level Standard - Zero 1]:[Higher Level Standard - Zero 2]]))</f>
        <v>#VALUE!</v>
      </c>
      <c r="BJ347" s="29">
        <f>COUNT(Archive[[#This Row],[Candidate Transfer Standard - Zero 1]:[Candidate Transfer Standard - Zero 2]])</f>
        <v>0</v>
      </c>
    </row>
    <row r="348" spans="1:62" x14ac:dyDescent="0.3">
      <c r="A348" s="57"/>
      <c r="BG34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48" s="29" t="e">
        <f>BG348/DEVSQ(Archive[[#This Row],[Higher Level Standard - Zero 1]:[Higher Level Standard - Zero 2]])</f>
        <v>#VALUE!</v>
      </c>
      <c r="BI348" s="29" t="e">
        <f>BG348*(1/COUNT(Archive[[#This Row],[Candidate Transfer Standard - Zero 1]:[Candidate Transfer Standard - Zero 2]])+AVERAGE(Archive[[#This Row],[Higher Level Standard - Zero 1]:[Higher Level Standard - Zero 2]])^2/DEVSQ(Archive[[#This Row],[Higher Level Standard - Zero 1]:[Higher Level Standard - Zero 2]]))</f>
        <v>#VALUE!</v>
      </c>
      <c r="BJ348" s="29">
        <f>COUNT(Archive[[#This Row],[Candidate Transfer Standard - Zero 1]:[Candidate Transfer Standard - Zero 2]])</f>
        <v>0</v>
      </c>
    </row>
    <row r="349" spans="1:62" x14ac:dyDescent="0.3">
      <c r="A349" s="57"/>
      <c r="BG34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49" s="29" t="e">
        <f>BG349/DEVSQ(Archive[[#This Row],[Higher Level Standard - Zero 1]:[Higher Level Standard - Zero 2]])</f>
        <v>#VALUE!</v>
      </c>
      <c r="BI349" s="29" t="e">
        <f>BG349*(1/COUNT(Archive[[#This Row],[Candidate Transfer Standard - Zero 1]:[Candidate Transfer Standard - Zero 2]])+AVERAGE(Archive[[#This Row],[Higher Level Standard - Zero 1]:[Higher Level Standard - Zero 2]])^2/DEVSQ(Archive[[#This Row],[Higher Level Standard - Zero 1]:[Higher Level Standard - Zero 2]]))</f>
        <v>#VALUE!</v>
      </c>
      <c r="BJ349" s="29">
        <f>COUNT(Archive[[#This Row],[Candidate Transfer Standard - Zero 1]:[Candidate Transfer Standard - Zero 2]])</f>
        <v>0</v>
      </c>
    </row>
    <row r="350" spans="1:62" x14ac:dyDescent="0.3">
      <c r="A350" s="57"/>
      <c r="BG35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50" s="29" t="e">
        <f>BG350/DEVSQ(Archive[[#This Row],[Higher Level Standard - Zero 1]:[Higher Level Standard - Zero 2]])</f>
        <v>#VALUE!</v>
      </c>
      <c r="BI350" s="29" t="e">
        <f>BG350*(1/COUNT(Archive[[#This Row],[Candidate Transfer Standard - Zero 1]:[Candidate Transfer Standard - Zero 2]])+AVERAGE(Archive[[#This Row],[Higher Level Standard - Zero 1]:[Higher Level Standard - Zero 2]])^2/DEVSQ(Archive[[#This Row],[Higher Level Standard - Zero 1]:[Higher Level Standard - Zero 2]]))</f>
        <v>#VALUE!</v>
      </c>
      <c r="BJ350" s="29">
        <f>COUNT(Archive[[#This Row],[Candidate Transfer Standard - Zero 1]:[Candidate Transfer Standard - Zero 2]])</f>
        <v>0</v>
      </c>
    </row>
    <row r="351" spans="1:62" x14ac:dyDescent="0.3">
      <c r="A351" s="57"/>
      <c r="BG35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51" s="29" t="e">
        <f>BG351/DEVSQ(Archive[[#This Row],[Higher Level Standard - Zero 1]:[Higher Level Standard - Zero 2]])</f>
        <v>#VALUE!</v>
      </c>
      <c r="BI351" s="29" t="e">
        <f>BG351*(1/COUNT(Archive[[#This Row],[Candidate Transfer Standard - Zero 1]:[Candidate Transfer Standard - Zero 2]])+AVERAGE(Archive[[#This Row],[Higher Level Standard - Zero 1]:[Higher Level Standard - Zero 2]])^2/DEVSQ(Archive[[#This Row],[Higher Level Standard - Zero 1]:[Higher Level Standard - Zero 2]]))</f>
        <v>#VALUE!</v>
      </c>
      <c r="BJ351" s="29">
        <f>COUNT(Archive[[#This Row],[Candidate Transfer Standard - Zero 1]:[Candidate Transfer Standard - Zero 2]])</f>
        <v>0</v>
      </c>
    </row>
    <row r="352" spans="1:62" x14ac:dyDescent="0.3">
      <c r="A352" s="57"/>
      <c r="BG35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52" s="29" t="e">
        <f>BG352/DEVSQ(Archive[[#This Row],[Higher Level Standard - Zero 1]:[Higher Level Standard - Zero 2]])</f>
        <v>#VALUE!</v>
      </c>
      <c r="BI352" s="29" t="e">
        <f>BG352*(1/COUNT(Archive[[#This Row],[Candidate Transfer Standard - Zero 1]:[Candidate Transfer Standard - Zero 2]])+AVERAGE(Archive[[#This Row],[Higher Level Standard - Zero 1]:[Higher Level Standard - Zero 2]])^2/DEVSQ(Archive[[#This Row],[Higher Level Standard - Zero 1]:[Higher Level Standard - Zero 2]]))</f>
        <v>#VALUE!</v>
      </c>
      <c r="BJ352" s="29">
        <f>COUNT(Archive[[#This Row],[Candidate Transfer Standard - Zero 1]:[Candidate Transfer Standard - Zero 2]])</f>
        <v>0</v>
      </c>
    </row>
    <row r="353" spans="1:62" x14ac:dyDescent="0.3">
      <c r="A353" s="57"/>
      <c r="BG35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53" s="29" t="e">
        <f>BG353/DEVSQ(Archive[[#This Row],[Higher Level Standard - Zero 1]:[Higher Level Standard - Zero 2]])</f>
        <v>#VALUE!</v>
      </c>
      <c r="BI353" s="29" t="e">
        <f>BG353*(1/COUNT(Archive[[#This Row],[Candidate Transfer Standard - Zero 1]:[Candidate Transfer Standard - Zero 2]])+AVERAGE(Archive[[#This Row],[Higher Level Standard - Zero 1]:[Higher Level Standard - Zero 2]])^2/DEVSQ(Archive[[#This Row],[Higher Level Standard - Zero 1]:[Higher Level Standard - Zero 2]]))</f>
        <v>#VALUE!</v>
      </c>
      <c r="BJ353" s="29">
        <f>COUNT(Archive[[#This Row],[Candidate Transfer Standard - Zero 1]:[Candidate Transfer Standard - Zero 2]])</f>
        <v>0</v>
      </c>
    </row>
    <row r="354" spans="1:62" x14ac:dyDescent="0.3">
      <c r="A354" s="57"/>
      <c r="BG35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54" s="29" t="e">
        <f>BG354/DEVSQ(Archive[[#This Row],[Higher Level Standard - Zero 1]:[Higher Level Standard - Zero 2]])</f>
        <v>#VALUE!</v>
      </c>
      <c r="BI354" s="29" t="e">
        <f>BG354*(1/COUNT(Archive[[#This Row],[Candidate Transfer Standard - Zero 1]:[Candidate Transfer Standard - Zero 2]])+AVERAGE(Archive[[#This Row],[Higher Level Standard - Zero 1]:[Higher Level Standard - Zero 2]])^2/DEVSQ(Archive[[#This Row],[Higher Level Standard - Zero 1]:[Higher Level Standard - Zero 2]]))</f>
        <v>#VALUE!</v>
      </c>
      <c r="BJ354" s="29">
        <f>COUNT(Archive[[#This Row],[Candidate Transfer Standard - Zero 1]:[Candidate Transfer Standard - Zero 2]])</f>
        <v>0</v>
      </c>
    </row>
    <row r="355" spans="1:62" x14ac:dyDescent="0.3">
      <c r="A355" s="57"/>
      <c r="BG35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55" s="29" t="e">
        <f>BG355/DEVSQ(Archive[[#This Row],[Higher Level Standard - Zero 1]:[Higher Level Standard - Zero 2]])</f>
        <v>#VALUE!</v>
      </c>
      <c r="BI355" s="29" t="e">
        <f>BG355*(1/COUNT(Archive[[#This Row],[Candidate Transfer Standard - Zero 1]:[Candidate Transfer Standard - Zero 2]])+AVERAGE(Archive[[#This Row],[Higher Level Standard - Zero 1]:[Higher Level Standard - Zero 2]])^2/DEVSQ(Archive[[#This Row],[Higher Level Standard - Zero 1]:[Higher Level Standard - Zero 2]]))</f>
        <v>#VALUE!</v>
      </c>
      <c r="BJ355" s="29">
        <f>COUNT(Archive[[#This Row],[Candidate Transfer Standard - Zero 1]:[Candidate Transfer Standard - Zero 2]])</f>
        <v>0</v>
      </c>
    </row>
    <row r="356" spans="1:62" x14ac:dyDescent="0.3">
      <c r="A356" s="57"/>
      <c r="BG35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56" s="29" t="e">
        <f>BG356/DEVSQ(Archive[[#This Row],[Higher Level Standard - Zero 1]:[Higher Level Standard - Zero 2]])</f>
        <v>#VALUE!</v>
      </c>
      <c r="BI356" s="29" t="e">
        <f>BG356*(1/COUNT(Archive[[#This Row],[Candidate Transfer Standard - Zero 1]:[Candidate Transfer Standard - Zero 2]])+AVERAGE(Archive[[#This Row],[Higher Level Standard - Zero 1]:[Higher Level Standard - Zero 2]])^2/DEVSQ(Archive[[#This Row],[Higher Level Standard - Zero 1]:[Higher Level Standard - Zero 2]]))</f>
        <v>#VALUE!</v>
      </c>
      <c r="BJ356" s="29">
        <f>COUNT(Archive[[#This Row],[Candidate Transfer Standard - Zero 1]:[Candidate Transfer Standard - Zero 2]])</f>
        <v>0</v>
      </c>
    </row>
    <row r="357" spans="1:62" x14ac:dyDescent="0.3">
      <c r="A357" s="57"/>
      <c r="BG35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57" s="29" t="e">
        <f>BG357/DEVSQ(Archive[[#This Row],[Higher Level Standard - Zero 1]:[Higher Level Standard - Zero 2]])</f>
        <v>#VALUE!</v>
      </c>
      <c r="BI357" s="29" t="e">
        <f>BG357*(1/COUNT(Archive[[#This Row],[Candidate Transfer Standard - Zero 1]:[Candidate Transfer Standard - Zero 2]])+AVERAGE(Archive[[#This Row],[Higher Level Standard - Zero 1]:[Higher Level Standard - Zero 2]])^2/DEVSQ(Archive[[#This Row],[Higher Level Standard - Zero 1]:[Higher Level Standard - Zero 2]]))</f>
        <v>#VALUE!</v>
      </c>
      <c r="BJ357" s="29">
        <f>COUNT(Archive[[#This Row],[Candidate Transfer Standard - Zero 1]:[Candidate Transfer Standard - Zero 2]])</f>
        <v>0</v>
      </c>
    </row>
    <row r="358" spans="1:62" x14ac:dyDescent="0.3">
      <c r="A358" s="57"/>
      <c r="BG35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58" s="29" t="e">
        <f>BG358/DEVSQ(Archive[[#This Row],[Higher Level Standard - Zero 1]:[Higher Level Standard - Zero 2]])</f>
        <v>#VALUE!</v>
      </c>
      <c r="BI358" s="29" t="e">
        <f>BG358*(1/COUNT(Archive[[#This Row],[Candidate Transfer Standard - Zero 1]:[Candidate Transfer Standard - Zero 2]])+AVERAGE(Archive[[#This Row],[Higher Level Standard - Zero 1]:[Higher Level Standard - Zero 2]])^2/DEVSQ(Archive[[#This Row],[Higher Level Standard - Zero 1]:[Higher Level Standard - Zero 2]]))</f>
        <v>#VALUE!</v>
      </c>
      <c r="BJ358" s="29">
        <f>COUNT(Archive[[#This Row],[Candidate Transfer Standard - Zero 1]:[Candidate Transfer Standard - Zero 2]])</f>
        <v>0</v>
      </c>
    </row>
    <row r="359" spans="1:62" x14ac:dyDescent="0.3">
      <c r="A359" s="57"/>
      <c r="BG35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59" s="29" t="e">
        <f>BG359/DEVSQ(Archive[[#This Row],[Higher Level Standard - Zero 1]:[Higher Level Standard - Zero 2]])</f>
        <v>#VALUE!</v>
      </c>
      <c r="BI359" s="29" t="e">
        <f>BG359*(1/COUNT(Archive[[#This Row],[Candidate Transfer Standard - Zero 1]:[Candidate Transfer Standard - Zero 2]])+AVERAGE(Archive[[#This Row],[Higher Level Standard - Zero 1]:[Higher Level Standard - Zero 2]])^2/DEVSQ(Archive[[#This Row],[Higher Level Standard - Zero 1]:[Higher Level Standard - Zero 2]]))</f>
        <v>#VALUE!</v>
      </c>
      <c r="BJ359" s="29">
        <f>COUNT(Archive[[#This Row],[Candidate Transfer Standard - Zero 1]:[Candidate Transfer Standard - Zero 2]])</f>
        <v>0</v>
      </c>
    </row>
    <row r="360" spans="1:62" x14ac:dyDescent="0.3">
      <c r="A360" s="57"/>
      <c r="BG36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60" s="29" t="e">
        <f>BG360/DEVSQ(Archive[[#This Row],[Higher Level Standard - Zero 1]:[Higher Level Standard - Zero 2]])</f>
        <v>#VALUE!</v>
      </c>
      <c r="BI360" s="29" t="e">
        <f>BG360*(1/COUNT(Archive[[#This Row],[Candidate Transfer Standard - Zero 1]:[Candidate Transfer Standard - Zero 2]])+AVERAGE(Archive[[#This Row],[Higher Level Standard - Zero 1]:[Higher Level Standard - Zero 2]])^2/DEVSQ(Archive[[#This Row],[Higher Level Standard - Zero 1]:[Higher Level Standard - Zero 2]]))</f>
        <v>#VALUE!</v>
      </c>
      <c r="BJ360" s="29">
        <f>COUNT(Archive[[#This Row],[Candidate Transfer Standard - Zero 1]:[Candidate Transfer Standard - Zero 2]])</f>
        <v>0</v>
      </c>
    </row>
    <row r="361" spans="1:62" x14ac:dyDescent="0.3">
      <c r="A361" s="57"/>
      <c r="BG36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61" s="29" t="e">
        <f>BG361/DEVSQ(Archive[[#This Row],[Higher Level Standard - Zero 1]:[Higher Level Standard - Zero 2]])</f>
        <v>#VALUE!</v>
      </c>
      <c r="BI361" s="29" t="e">
        <f>BG361*(1/COUNT(Archive[[#This Row],[Candidate Transfer Standard - Zero 1]:[Candidate Transfer Standard - Zero 2]])+AVERAGE(Archive[[#This Row],[Higher Level Standard - Zero 1]:[Higher Level Standard - Zero 2]])^2/DEVSQ(Archive[[#This Row],[Higher Level Standard - Zero 1]:[Higher Level Standard - Zero 2]]))</f>
        <v>#VALUE!</v>
      </c>
      <c r="BJ361" s="29">
        <f>COUNT(Archive[[#This Row],[Candidate Transfer Standard - Zero 1]:[Candidate Transfer Standard - Zero 2]])</f>
        <v>0</v>
      </c>
    </row>
    <row r="362" spans="1:62" x14ac:dyDescent="0.3">
      <c r="A362" s="57"/>
      <c r="BG36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62" s="29" t="e">
        <f>BG362/DEVSQ(Archive[[#This Row],[Higher Level Standard - Zero 1]:[Higher Level Standard - Zero 2]])</f>
        <v>#VALUE!</v>
      </c>
      <c r="BI362" s="29" t="e">
        <f>BG362*(1/COUNT(Archive[[#This Row],[Candidate Transfer Standard - Zero 1]:[Candidate Transfer Standard - Zero 2]])+AVERAGE(Archive[[#This Row],[Higher Level Standard - Zero 1]:[Higher Level Standard - Zero 2]])^2/DEVSQ(Archive[[#This Row],[Higher Level Standard - Zero 1]:[Higher Level Standard - Zero 2]]))</f>
        <v>#VALUE!</v>
      </c>
      <c r="BJ362" s="29">
        <f>COUNT(Archive[[#This Row],[Candidate Transfer Standard - Zero 1]:[Candidate Transfer Standard - Zero 2]])</f>
        <v>0</v>
      </c>
    </row>
    <row r="363" spans="1:62" x14ac:dyDescent="0.3">
      <c r="A363" s="57"/>
      <c r="BG36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63" s="29" t="e">
        <f>BG363/DEVSQ(Archive[[#This Row],[Higher Level Standard - Zero 1]:[Higher Level Standard - Zero 2]])</f>
        <v>#VALUE!</v>
      </c>
      <c r="BI363" s="29" t="e">
        <f>BG363*(1/COUNT(Archive[[#This Row],[Candidate Transfer Standard - Zero 1]:[Candidate Transfer Standard - Zero 2]])+AVERAGE(Archive[[#This Row],[Higher Level Standard - Zero 1]:[Higher Level Standard - Zero 2]])^2/DEVSQ(Archive[[#This Row],[Higher Level Standard - Zero 1]:[Higher Level Standard - Zero 2]]))</f>
        <v>#VALUE!</v>
      </c>
      <c r="BJ363" s="29">
        <f>COUNT(Archive[[#This Row],[Candidate Transfer Standard - Zero 1]:[Candidate Transfer Standard - Zero 2]])</f>
        <v>0</v>
      </c>
    </row>
    <row r="364" spans="1:62" x14ac:dyDescent="0.3">
      <c r="A364" s="57"/>
      <c r="BG36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64" s="29" t="e">
        <f>BG364/DEVSQ(Archive[[#This Row],[Higher Level Standard - Zero 1]:[Higher Level Standard - Zero 2]])</f>
        <v>#VALUE!</v>
      </c>
      <c r="BI364" s="29" t="e">
        <f>BG364*(1/COUNT(Archive[[#This Row],[Candidate Transfer Standard - Zero 1]:[Candidate Transfer Standard - Zero 2]])+AVERAGE(Archive[[#This Row],[Higher Level Standard - Zero 1]:[Higher Level Standard - Zero 2]])^2/DEVSQ(Archive[[#This Row],[Higher Level Standard - Zero 1]:[Higher Level Standard - Zero 2]]))</f>
        <v>#VALUE!</v>
      </c>
      <c r="BJ364" s="29">
        <f>COUNT(Archive[[#This Row],[Candidate Transfer Standard - Zero 1]:[Candidate Transfer Standard - Zero 2]])</f>
        <v>0</v>
      </c>
    </row>
    <row r="365" spans="1:62" x14ac:dyDescent="0.3">
      <c r="A365" s="57"/>
      <c r="BG36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65" s="29" t="e">
        <f>BG365/DEVSQ(Archive[[#This Row],[Higher Level Standard - Zero 1]:[Higher Level Standard - Zero 2]])</f>
        <v>#VALUE!</v>
      </c>
      <c r="BI365" s="29" t="e">
        <f>BG365*(1/COUNT(Archive[[#This Row],[Candidate Transfer Standard - Zero 1]:[Candidate Transfer Standard - Zero 2]])+AVERAGE(Archive[[#This Row],[Higher Level Standard - Zero 1]:[Higher Level Standard - Zero 2]])^2/DEVSQ(Archive[[#This Row],[Higher Level Standard - Zero 1]:[Higher Level Standard - Zero 2]]))</f>
        <v>#VALUE!</v>
      </c>
      <c r="BJ365" s="29">
        <f>COUNT(Archive[[#This Row],[Candidate Transfer Standard - Zero 1]:[Candidate Transfer Standard - Zero 2]])</f>
        <v>0</v>
      </c>
    </row>
    <row r="366" spans="1:62" x14ac:dyDescent="0.3">
      <c r="A366" s="57"/>
      <c r="BG36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66" s="29" t="e">
        <f>BG366/DEVSQ(Archive[[#This Row],[Higher Level Standard - Zero 1]:[Higher Level Standard - Zero 2]])</f>
        <v>#VALUE!</v>
      </c>
      <c r="BI366" s="29" t="e">
        <f>BG366*(1/COUNT(Archive[[#This Row],[Candidate Transfer Standard - Zero 1]:[Candidate Transfer Standard - Zero 2]])+AVERAGE(Archive[[#This Row],[Higher Level Standard - Zero 1]:[Higher Level Standard - Zero 2]])^2/DEVSQ(Archive[[#This Row],[Higher Level Standard - Zero 1]:[Higher Level Standard - Zero 2]]))</f>
        <v>#VALUE!</v>
      </c>
      <c r="BJ366" s="29">
        <f>COUNT(Archive[[#This Row],[Candidate Transfer Standard - Zero 1]:[Candidate Transfer Standard - Zero 2]])</f>
        <v>0</v>
      </c>
    </row>
    <row r="367" spans="1:62" x14ac:dyDescent="0.3">
      <c r="A367" s="57"/>
      <c r="BG36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67" s="29" t="e">
        <f>BG367/DEVSQ(Archive[[#This Row],[Higher Level Standard - Zero 1]:[Higher Level Standard - Zero 2]])</f>
        <v>#VALUE!</v>
      </c>
      <c r="BI367" s="29" t="e">
        <f>BG367*(1/COUNT(Archive[[#This Row],[Candidate Transfer Standard - Zero 1]:[Candidate Transfer Standard - Zero 2]])+AVERAGE(Archive[[#This Row],[Higher Level Standard - Zero 1]:[Higher Level Standard - Zero 2]])^2/DEVSQ(Archive[[#This Row],[Higher Level Standard - Zero 1]:[Higher Level Standard - Zero 2]]))</f>
        <v>#VALUE!</v>
      </c>
      <c r="BJ367" s="29">
        <f>COUNT(Archive[[#This Row],[Candidate Transfer Standard - Zero 1]:[Candidate Transfer Standard - Zero 2]])</f>
        <v>0</v>
      </c>
    </row>
    <row r="368" spans="1:62" x14ac:dyDescent="0.3">
      <c r="A368" s="57"/>
      <c r="BG36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68" s="29" t="e">
        <f>BG368/DEVSQ(Archive[[#This Row],[Higher Level Standard - Zero 1]:[Higher Level Standard - Zero 2]])</f>
        <v>#VALUE!</v>
      </c>
      <c r="BI368" s="29" t="e">
        <f>BG368*(1/COUNT(Archive[[#This Row],[Candidate Transfer Standard - Zero 1]:[Candidate Transfer Standard - Zero 2]])+AVERAGE(Archive[[#This Row],[Higher Level Standard - Zero 1]:[Higher Level Standard - Zero 2]])^2/DEVSQ(Archive[[#This Row],[Higher Level Standard - Zero 1]:[Higher Level Standard - Zero 2]]))</f>
        <v>#VALUE!</v>
      </c>
      <c r="BJ368" s="29">
        <f>COUNT(Archive[[#This Row],[Candidate Transfer Standard - Zero 1]:[Candidate Transfer Standard - Zero 2]])</f>
        <v>0</v>
      </c>
    </row>
    <row r="369" spans="1:62" x14ac:dyDescent="0.3">
      <c r="A369" s="57"/>
      <c r="BG36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69" s="29" t="e">
        <f>BG369/DEVSQ(Archive[[#This Row],[Higher Level Standard - Zero 1]:[Higher Level Standard - Zero 2]])</f>
        <v>#VALUE!</v>
      </c>
      <c r="BI369" s="29" t="e">
        <f>BG369*(1/COUNT(Archive[[#This Row],[Candidate Transfer Standard - Zero 1]:[Candidate Transfer Standard - Zero 2]])+AVERAGE(Archive[[#This Row],[Higher Level Standard - Zero 1]:[Higher Level Standard - Zero 2]])^2/DEVSQ(Archive[[#This Row],[Higher Level Standard - Zero 1]:[Higher Level Standard - Zero 2]]))</f>
        <v>#VALUE!</v>
      </c>
      <c r="BJ369" s="29">
        <f>COUNT(Archive[[#This Row],[Candidate Transfer Standard - Zero 1]:[Candidate Transfer Standard - Zero 2]])</f>
        <v>0</v>
      </c>
    </row>
    <row r="370" spans="1:62" x14ac:dyDescent="0.3">
      <c r="A370" s="57"/>
      <c r="BG37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70" s="29" t="e">
        <f>BG370/DEVSQ(Archive[[#This Row],[Higher Level Standard - Zero 1]:[Higher Level Standard - Zero 2]])</f>
        <v>#VALUE!</v>
      </c>
      <c r="BI370" s="29" t="e">
        <f>BG370*(1/COUNT(Archive[[#This Row],[Candidate Transfer Standard - Zero 1]:[Candidate Transfer Standard - Zero 2]])+AVERAGE(Archive[[#This Row],[Higher Level Standard - Zero 1]:[Higher Level Standard - Zero 2]])^2/DEVSQ(Archive[[#This Row],[Higher Level Standard - Zero 1]:[Higher Level Standard - Zero 2]]))</f>
        <v>#VALUE!</v>
      </c>
      <c r="BJ370" s="29">
        <f>COUNT(Archive[[#This Row],[Candidate Transfer Standard - Zero 1]:[Candidate Transfer Standard - Zero 2]])</f>
        <v>0</v>
      </c>
    </row>
    <row r="371" spans="1:62" x14ac:dyDescent="0.3">
      <c r="A371" s="57"/>
      <c r="BG37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71" s="29" t="e">
        <f>BG371/DEVSQ(Archive[[#This Row],[Higher Level Standard - Zero 1]:[Higher Level Standard - Zero 2]])</f>
        <v>#VALUE!</v>
      </c>
      <c r="BI371" s="29" t="e">
        <f>BG371*(1/COUNT(Archive[[#This Row],[Candidate Transfer Standard - Zero 1]:[Candidate Transfer Standard - Zero 2]])+AVERAGE(Archive[[#This Row],[Higher Level Standard - Zero 1]:[Higher Level Standard - Zero 2]])^2/DEVSQ(Archive[[#This Row],[Higher Level Standard - Zero 1]:[Higher Level Standard - Zero 2]]))</f>
        <v>#VALUE!</v>
      </c>
      <c r="BJ371" s="29">
        <f>COUNT(Archive[[#This Row],[Candidate Transfer Standard - Zero 1]:[Candidate Transfer Standard - Zero 2]])</f>
        <v>0</v>
      </c>
    </row>
    <row r="372" spans="1:62" x14ac:dyDescent="0.3">
      <c r="A372" s="57"/>
      <c r="BG37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72" s="29" t="e">
        <f>BG372/DEVSQ(Archive[[#This Row],[Higher Level Standard - Zero 1]:[Higher Level Standard - Zero 2]])</f>
        <v>#VALUE!</v>
      </c>
      <c r="BI372" s="29" t="e">
        <f>BG372*(1/COUNT(Archive[[#This Row],[Candidate Transfer Standard - Zero 1]:[Candidate Transfer Standard - Zero 2]])+AVERAGE(Archive[[#This Row],[Higher Level Standard - Zero 1]:[Higher Level Standard - Zero 2]])^2/DEVSQ(Archive[[#This Row],[Higher Level Standard - Zero 1]:[Higher Level Standard - Zero 2]]))</f>
        <v>#VALUE!</v>
      </c>
      <c r="BJ372" s="29">
        <f>COUNT(Archive[[#This Row],[Candidate Transfer Standard - Zero 1]:[Candidate Transfer Standard - Zero 2]])</f>
        <v>0</v>
      </c>
    </row>
    <row r="373" spans="1:62" x14ac:dyDescent="0.3">
      <c r="A373" s="57"/>
      <c r="BG37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73" s="29" t="e">
        <f>BG373/DEVSQ(Archive[[#This Row],[Higher Level Standard - Zero 1]:[Higher Level Standard - Zero 2]])</f>
        <v>#VALUE!</v>
      </c>
      <c r="BI373" s="29" t="e">
        <f>BG373*(1/COUNT(Archive[[#This Row],[Candidate Transfer Standard - Zero 1]:[Candidate Transfer Standard - Zero 2]])+AVERAGE(Archive[[#This Row],[Higher Level Standard - Zero 1]:[Higher Level Standard - Zero 2]])^2/DEVSQ(Archive[[#This Row],[Higher Level Standard - Zero 1]:[Higher Level Standard - Zero 2]]))</f>
        <v>#VALUE!</v>
      </c>
      <c r="BJ373" s="29">
        <f>COUNT(Archive[[#This Row],[Candidate Transfer Standard - Zero 1]:[Candidate Transfer Standard - Zero 2]])</f>
        <v>0</v>
      </c>
    </row>
    <row r="374" spans="1:62" x14ac:dyDescent="0.3">
      <c r="A374" s="57"/>
      <c r="BG37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74" s="29" t="e">
        <f>BG374/DEVSQ(Archive[[#This Row],[Higher Level Standard - Zero 1]:[Higher Level Standard - Zero 2]])</f>
        <v>#VALUE!</v>
      </c>
      <c r="BI374" s="29" t="e">
        <f>BG374*(1/COUNT(Archive[[#This Row],[Candidate Transfer Standard - Zero 1]:[Candidate Transfer Standard - Zero 2]])+AVERAGE(Archive[[#This Row],[Higher Level Standard - Zero 1]:[Higher Level Standard - Zero 2]])^2/DEVSQ(Archive[[#This Row],[Higher Level Standard - Zero 1]:[Higher Level Standard - Zero 2]]))</f>
        <v>#VALUE!</v>
      </c>
      <c r="BJ374" s="29">
        <f>COUNT(Archive[[#This Row],[Candidate Transfer Standard - Zero 1]:[Candidate Transfer Standard - Zero 2]])</f>
        <v>0</v>
      </c>
    </row>
    <row r="375" spans="1:62" x14ac:dyDescent="0.3">
      <c r="A375" s="57"/>
      <c r="BG37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75" s="29" t="e">
        <f>BG375/DEVSQ(Archive[[#This Row],[Higher Level Standard - Zero 1]:[Higher Level Standard - Zero 2]])</f>
        <v>#VALUE!</v>
      </c>
      <c r="BI375" s="29" t="e">
        <f>BG375*(1/COUNT(Archive[[#This Row],[Candidate Transfer Standard - Zero 1]:[Candidate Transfer Standard - Zero 2]])+AVERAGE(Archive[[#This Row],[Higher Level Standard - Zero 1]:[Higher Level Standard - Zero 2]])^2/DEVSQ(Archive[[#This Row],[Higher Level Standard - Zero 1]:[Higher Level Standard - Zero 2]]))</f>
        <v>#VALUE!</v>
      </c>
      <c r="BJ375" s="29">
        <f>COUNT(Archive[[#This Row],[Candidate Transfer Standard - Zero 1]:[Candidate Transfer Standard - Zero 2]])</f>
        <v>0</v>
      </c>
    </row>
    <row r="376" spans="1:62" x14ac:dyDescent="0.3">
      <c r="A376" s="57"/>
      <c r="BG37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76" s="29" t="e">
        <f>BG376/DEVSQ(Archive[[#This Row],[Higher Level Standard - Zero 1]:[Higher Level Standard - Zero 2]])</f>
        <v>#VALUE!</v>
      </c>
      <c r="BI376" s="29" t="e">
        <f>BG376*(1/COUNT(Archive[[#This Row],[Candidate Transfer Standard - Zero 1]:[Candidate Transfer Standard - Zero 2]])+AVERAGE(Archive[[#This Row],[Higher Level Standard - Zero 1]:[Higher Level Standard - Zero 2]])^2/DEVSQ(Archive[[#This Row],[Higher Level Standard - Zero 1]:[Higher Level Standard - Zero 2]]))</f>
        <v>#VALUE!</v>
      </c>
      <c r="BJ376" s="29">
        <f>COUNT(Archive[[#This Row],[Candidate Transfer Standard - Zero 1]:[Candidate Transfer Standard - Zero 2]])</f>
        <v>0</v>
      </c>
    </row>
    <row r="377" spans="1:62" x14ac:dyDescent="0.3">
      <c r="A377" s="57"/>
      <c r="BG37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77" s="29" t="e">
        <f>BG377/DEVSQ(Archive[[#This Row],[Higher Level Standard - Zero 1]:[Higher Level Standard - Zero 2]])</f>
        <v>#VALUE!</v>
      </c>
      <c r="BI377" s="29" t="e">
        <f>BG377*(1/COUNT(Archive[[#This Row],[Candidate Transfer Standard - Zero 1]:[Candidate Transfer Standard - Zero 2]])+AVERAGE(Archive[[#This Row],[Higher Level Standard - Zero 1]:[Higher Level Standard - Zero 2]])^2/DEVSQ(Archive[[#This Row],[Higher Level Standard - Zero 1]:[Higher Level Standard - Zero 2]]))</f>
        <v>#VALUE!</v>
      </c>
      <c r="BJ377" s="29">
        <f>COUNT(Archive[[#This Row],[Candidate Transfer Standard - Zero 1]:[Candidate Transfer Standard - Zero 2]])</f>
        <v>0</v>
      </c>
    </row>
    <row r="378" spans="1:62" x14ac:dyDescent="0.3">
      <c r="A378" s="57"/>
      <c r="BG37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78" s="29" t="e">
        <f>BG378/DEVSQ(Archive[[#This Row],[Higher Level Standard - Zero 1]:[Higher Level Standard - Zero 2]])</f>
        <v>#VALUE!</v>
      </c>
      <c r="BI378" s="29" t="e">
        <f>BG378*(1/COUNT(Archive[[#This Row],[Candidate Transfer Standard - Zero 1]:[Candidate Transfer Standard - Zero 2]])+AVERAGE(Archive[[#This Row],[Higher Level Standard - Zero 1]:[Higher Level Standard - Zero 2]])^2/DEVSQ(Archive[[#This Row],[Higher Level Standard - Zero 1]:[Higher Level Standard - Zero 2]]))</f>
        <v>#VALUE!</v>
      </c>
      <c r="BJ378" s="29">
        <f>COUNT(Archive[[#This Row],[Candidate Transfer Standard - Zero 1]:[Candidate Transfer Standard - Zero 2]])</f>
        <v>0</v>
      </c>
    </row>
    <row r="379" spans="1:62" x14ac:dyDescent="0.3">
      <c r="A379" s="57"/>
      <c r="BG37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79" s="29" t="e">
        <f>BG379/DEVSQ(Archive[[#This Row],[Higher Level Standard - Zero 1]:[Higher Level Standard - Zero 2]])</f>
        <v>#VALUE!</v>
      </c>
      <c r="BI379" s="29" t="e">
        <f>BG379*(1/COUNT(Archive[[#This Row],[Candidate Transfer Standard - Zero 1]:[Candidate Transfer Standard - Zero 2]])+AVERAGE(Archive[[#This Row],[Higher Level Standard - Zero 1]:[Higher Level Standard - Zero 2]])^2/DEVSQ(Archive[[#This Row],[Higher Level Standard - Zero 1]:[Higher Level Standard - Zero 2]]))</f>
        <v>#VALUE!</v>
      </c>
      <c r="BJ379" s="29">
        <f>COUNT(Archive[[#This Row],[Candidate Transfer Standard - Zero 1]:[Candidate Transfer Standard - Zero 2]])</f>
        <v>0</v>
      </c>
    </row>
    <row r="380" spans="1:62" x14ac:dyDescent="0.3">
      <c r="A380" s="57"/>
      <c r="BG38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80" s="29" t="e">
        <f>BG380/DEVSQ(Archive[[#This Row],[Higher Level Standard - Zero 1]:[Higher Level Standard - Zero 2]])</f>
        <v>#VALUE!</v>
      </c>
      <c r="BI380" s="29" t="e">
        <f>BG380*(1/COUNT(Archive[[#This Row],[Candidate Transfer Standard - Zero 1]:[Candidate Transfer Standard - Zero 2]])+AVERAGE(Archive[[#This Row],[Higher Level Standard - Zero 1]:[Higher Level Standard - Zero 2]])^2/DEVSQ(Archive[[#This Row],[Higher Level Standard - Zero 1]:[Higher Level Standard - Zero 2]]))</f>
        <v>#VALUE!</v>
      </c>
      <c r="BJ380" s="29">
        <f>COUNT(Archive[[#This Row],[Candidate Transfer Standard - Zero 1]:[Candidate Transfer Standard - Zero 2]])</f>
        <v>0</v>
      </c>
    </row>
    <row r="381" spans="1:62" x14ac:dyDescent="0.3">
      <c r="A381" s="57"/>
      <c r="BG38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81" s="29" t="e">
        <f>BG381/DEVSQ(Archive[[#This Row],[Higher Level Standard - Zero 1]:[Higher Level Standard - Zero 2]])</f>
        <v>#VALUE!</v>
      </c>
      <c r="BI381" s="29" t="e">
        <f>BG381*(1/COUNT(Archive[[#This Row],[Candidate Transfer Standard - Zero 1]:[Candidate Transfer Standard - Zero 2]])+AVERAGE(Archive[[#This Row],[Higher Level Standard - Zero 1]:[Higher Level Standard - Zero 2]])^2/DEVSQ(Archive[[#This Row],[Higher Level Standard - Zero 1]:[Higher Level Standard - Zero 2]]))</f>
        <v>#VALUE!</v>
      </c>
      <c r="BJ381" s="29">
        <f>COUNT(Archive[[#This Row],[Candidate Transfer Standard - Zero 1]:[Candidate Transfer Standard - Zero 2]])</f>
        <v>0</v>
      </c>
    </row>
    <row r="382" spans="1:62" x14ac:dyDescent="0.3">
      <c r="A382" s="57"/>
      <c r="BG38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82" s="29" t="e">
        <f>BG382/DEVSQ(Archive[[#This Row],[Higher Level Standard - Zero 1]:[Higher Level Standard - Zero 2]])</f>
        <v>#VALUE!</v>
      </c>
      <c r="BI382" s="29" t="e">
        <f>BG382*(1/COUNT(Archive[[#This Row],[Candidate Transfer Standard - Zero 1]:[Candidate Transfer Standard - Zero 2]])+AVERAGE(Archive[[#This Row],[Higher Level Standard - Zero 1]:[Higher Level Standard - Zero 2]])^2/DEVSQ(Archive[[#This Row],[Higher Level Standard - Zero 1]:[Higher Level Standard - Zero 2]]))</f>
        <v>#VALUE!</v>
      </c>
      <c r="BJ382" s="29">
        <f>COUNT(Archive[[#This Row],[Candidate Transfer Standard - Zero 1]:[Candidate Transfer Standard - Zero 2]])</f>
        <v>0</v>
      </c>
    </row>
    <row r="383" spans="1:62" x14ac:dyDescent="0.3">
      <c r="A383" s="57"/>
      <c r="BG38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83" s="29" t="e">
        <f>BG383/DEVSQ(Archive[[#This Row],[Higher Level Standard - Zero 1]:[Higher Level Standard - Zero 2]])</f>
        <v>#VALUE!</v>
      </c>
      <c r="BI383" s="29" t="e">
        <f>BG383*(1/COUNT(Archive[[#This Row],[Candidate Transfer Standard - Zero 1]:[Candidate Transfer Standard - Zero 2]])+AVERAGE(Archive[[#This Row],[Higher Level Standard - Zero 1]:[Higher Level Standard - Zero 2]])^2/DEVSQ(Archive[[#This Row],[Higher Level Standard - Zero 1]:[Higher Level Standard - Zero 2]]))</f>
        <v>#VALUE!</v>
      </c>
      <c r="BJ383" s="29">
        <f>COUNT(Archive[[#This Row],[Candidate Transfer Standard - Zero 1]:[Candidate Transfer Standard - Zero 2]])</f>
        <v>0</v>
      </c>
    </row>
    <row r="384" spans="1:62" x14ac:dyDescent="0.3">
      <c r="A384" s="57"/>
      <c r="BG38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84" s="29" t="e">
        <f>BG384/DEVSQ(Archive[[#This Row],[Higher Level Standard - Zero 1]:[Higher Level Standard - Zero 2]])</f>
        <v>#VALUE!</v>
      </c>
      <c r="BI384" s="29" t="e">
        <f>BG384*(1/COUNT(Archive[[#This Row],[Candidate Transfer Standard - Zero 1]:[Candidate Transfer Standard - Zero 2]])+AVERAGE(Archive[[#This Row],[Higher Level Standard - Zero 1]:[Higher Level Standard - Zero 2]])^2/DEVSQ(Archive[[#This Row],[Higher Level Standard - Zero 1]:[Higher Level Standard - Zero 2]]))</f>
        <v>#VALUE!</v>
      </c>
      <c r="BJ384" s="29">
        <f>COUNT(Archive[[#This Row],[Candidate Transfer Standard - Zero 1]:[Candidate Transfer Standard - Zero 2]])</f>
        <v>0</v>
      </c>
    </row>
    <row r="385" spans="1:62" x14ac:dyDescent="0.3">
      <c r="A385" s="57"/>
      <c r="BG38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85" s="29" t="e">
        <f>BG385/DEVSQ(Archive[[#This Row],[Higher Level Standard - Zero 1]:[Higher Level Standard - Zero 2]])</f>
        <v>#VALUE!</v>
      </c>
      <c r="BI385" s="29" t="e">
        <f>BG385*(1/COUNT(Archive[[#This Row],[Candidate Transfer Standard - Zero 1]:[Candidate Transfer Standard - Zero 2]])+AVERAGE(Archive[[#This Row],[Higher Level Standard - Zero 1]:[Higher Level Standard - Zero 2]])^2/DEVSQ(Archive[[#This Row],[Higher Level Standard - Zero 1]:[Higher Level Standard - Zero 2]]))</f>
        <v>#VALUE!</v>
      </c>
      <c r="BJ385" s="29">
        <f>COUNT(Archive[[#This Row],[Candidate Transfer Standard - Zero 1]:[Candidate Transfer Standard - Zero 2]])</f>
        <v>0</v>
      </c>
    </row>
    <row r="386" spans="1:62" x14ac:dyDescent="0.3">
      <c r="A386" s="57"/>
      <c r="BG38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86" s="29" t="e">
        <f>BG386/DEVSQ(Archive[[#This Row],[Higher Level Standard - Zero 1]:[Higher Level Standard - Zero 2]])</f>
        <v>#VALUE!</v>
      </c>
      <c r="BI386" s="29" t="e">
        <f>BG386*(1/COUNT(Archive[[#This Row],[Candidate Transfer Standard - Zero 1]:[Candidate Transfer Standard - Zero 2]])+AVERAGE(Archive[[#This Row],[Higher Level Standard - Zero 1]:[Higher Level Standard - Zero 2]])^2/DEVSQ(Archive[[#This Row],[Higher Level Standard - Zero 1]:[Higher Level Standard - Zero 2]]))</f>
        <v>#VALUE!</v>
      </c>
      <c r="BJ386" s="29">
        <f>COUNT(Archive[[#This Row],[Candidate Transfer Standard - Zero 1]:[Candidate Transfer Standard - Zero 2]])</f>
        <v>0</v>
      </c>
    </row>
    <row r="387" spans="1:62" x14ac:dyDescent="0.3">
      <c r="A387" s="57"/>
      <c r="BG38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87" s="29" t="e">
        <f>BG387/DEVSQ(Archive[[#This Row],[Higher Level Standard - Zero 1]:[Higher Level Standard - Zero 2]])</f>
        <v>#VALUE!</v>
      </c>
      <c r="BI387" s="29" t="e">
        <f>BG387*(1/COUNT(Archive[[#This Row],[Candidate Transfer Standard - Zero 1]:[Candidate Transfer Standard - Zero 2]])+AVERAGE(Archive[[#This Row],[Higher Level Standard - Zero 1]:[Higher Level Standard - Zero 2]])^2/DEVSQ(Archive[[#This Row],[Higher Level Standard - Zero 1]:[Higher Level Standard - Zero 2]]))</f>
        <v>#VALUE!</v>
      </c>
      <c r="BJ387" s="29">
        <f>COUNT(Archive[[#This Row],[Candidate Transfer Standard - Zero 1]:[Candidate Transfer Standard - Zero 2]])</f>
        <v>0</v>
      </c>
    </row>
    <row r="388" spans="1:62" x14ac:dyDescent="0.3">
      <c r="A388" s="57"/>
      <c r="BG38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88" s="29" t="e">
        <f>BG388/DEVSQ(Archive[[#This Row],[Higher Level Standard - Zero 1]:[Higher Level Standard - Zero 2]])</f>
        <v>#VALUE!</v>
      </c>
      <c r="BI388" s="29" t="e">
        <f>BG388*(1/COUNT(Archive[[#This Row],[Candidate Transfer Standard - Zero 1]:[Candidate Transfer Standard - Zero 2]])+AVERAGE(Archive[[#This Row],[Higher Level Standard - Zero 1]:[Higher Level Standard - Zero 2]])^2/DEVSQ(Archive[[#This Row],[Higher Level Standard - Zero 1]:[Higher Level Standard - Zero 2]]))</f>
        <v>#VALUE!</v>
      </c>
      <c r="BJ388" s="29">
        <f>COUNT(Archive[[#This Row],[Candidate Transfer Standard - Zero 1]:[Candidate Transfer Standard - Zero 2]])</f>
        <v>0</v>
      </c>
    </row>
    <row r="389" spans="1:62" x14ac:dyDescent="0.3">
      <c r="A389" s="57"/>
      <c r="BG38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89" s="29" t="e">
        <f>BG389/DEVSQ(Archive[[#This Row],[Higher Level Standard - Zero 1]:[Higher Level Standard - Zero 2]])</f>
        <v>#VALUE!</v>
      </c>
      <c r="BI389" s="29" t="e">
        <f>BG389*(1/COUNT(Archive[[#This Row],[Candidate Transfer Standard - Zero 1]:[Candidate Transfer Standard - Zero 2]])+AVERAGE(Archive[[#This Row],[Higher Level Standard - Zero 1]:[Higher Level Standard - Zero 2]])^2/DEVSQ(Archive[[#This Row],[Higher Level Standard - Zero 1]:[Higher Level Standard - Zero 2]]))</f>
        <v>#VALUE!</v>
      </c>
      <c r="BJ389" s="29">
        <f>COUNT(Archive[[#This Row],[Candidate Transfer Standard - Zero 1]:[Candidate Transfer Standard - Zero 2]])</f>
        <v>0</v>
      </c>
    </row>
    <row r="390" spans="1:62" x14ac:dyDescent="0.3">
      <c r="A390" s="57"/>
      <c r="BG39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90" s="29" t="e">
        <f>BG390/DEVSQ(Archive[[#This Row],[Higher Level Standard - Zero 1]:[Higher Level Standard - Zero 2]])</f>
        <v>#VALUE!</v>
      </c>
      <c r="BI390" s="29" t="e">
        <f>BG390*(1/COUNT(Archive[[#This Row],[Candidate Transfer Standard - Zero 1]:[Candidate Transfer Standard - Zero 2]])+AVERAGE(Archive[[#This Row],[Higher Level Standard - Zero 1]:[Higher Level Standard - Zero 2]])^2/DEVSQ(Archive[[#This Row],[Higher Level Standard - Zero 1]:[Higher Level Standard - Zero 2]]))</f>
        <v>#VALUE!</v>
      </c>
      <c r="BJ390" s="29">
        <f>COUNT(Archive[[#This Row],[Candidate Transfer Standard - Zero 1]:[Candidate Transfer Standard - Zero 2]])</f>
        <v>0</v>
      </c>
    </row>
    <row r="391" spans="1:62" x14ac:dyDescent="0.3">
      <c r="A391" s="57"/>
      <c r="BG39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91" s="29" t="e">
        <f>BG391/DEVSQ(Archive[[#This Row],[Higher Level Standard - Zero 1]:[Higher Level Standard - Zero 2]])</f>
        <v>#VALUE!</v>
      </c>
      <c r="BI391" s="29" t="e">
        <f>BG391*(1/COUNT(Archive[[#This Row],[Candidate Transfer Standard - Zero 1]:[Candidate Transfer Standard - Zero 2]])+AVERAGE(Archive[[#This Row],[Higher Level Standard - Zero 1]:[Higher Level Standard - Zero 2]])^2/DEVSQ(Archive[[#This Row],[Higher Level Standard - Zero 1]:[Higher Level Standard - Zero 2]]))</f>
        <v>#VALUE!</v>
      </c>
      <c r="BJ391" s="29">
        <f>COUNT(Archive[[#This Row],[Candidate Transfer Standard - Zero 1]:[Candidate Transfer Standard - Zero 2]])</f>
        <v>0</v>
      </c>
    </row>
    <row r="392" spans="1:62" x14ac:dyDescent="0.3">
      <c r="A392" s="57"/>
      <c r="BG39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92" s="29" t="e">
        <f>BG392/DEVSQ(Archive[[#This Row],[Higher Level Standard - Zero 1]:[Higher Level Standard - Zero 2]])</f>
        <v>#VALUE!</v>
      </c>
      <c r="BI392" s="29" t="e">
        <f>BG392*(1/COUNT(Archive[[#This Row],[Candidate Transfer Standard - Zero 1]:[Candidate Transfer Standard - Zero 2]])+AVERAGE(Archive[[#This Row],[Higher Level Standard - Zero 1]:[Higher Level Standard - Zero 2]])^2/DEVSQ(Archive[[#This Row],[Higher Level Standard - Zero 1]:[Higher Level Standard - Zero 2]]))</f>
        <v>#VALUE!</v>
      </c>
      <c r="BJ392" s="29">
        <f>COUNT(Archive[[#This Row],[Candidate Transfer Standard - Zero 1]:[Candidate Transfer Standard - Zero 2]])</f>
        <v>0</v>
      </c>
    </row>
    <row r="393" spans="1:62" x14ac:dyDescent="0.3">
      <c r="A393" s="57"/>
      <c r="BG39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93" s="29" t="e">
        <f>BG393/DEVSQ(Archive[[#This Row],[Higher Level Standard - Zero 1]:[Higher Level Standard - Zero 2]])</f>
        <v>#VALUE!</v>
      </c>
      <c r="BI393" s="29" t="e">
        <f>BG393*(1/COUNT(Archive[[#This Row],[Candidate Transfer Standard - Zero 1]:[Candidate Transfer Standard - Zero 2]])+AVERAGE(Archive[[#This Row],[Higher Level Standard - Zero 1]:[Higher Level Standard - Zero 2]])^2/DEVSQ(Archive[[#This Row],[Higher Level Standard - Zero 1]:[Higher Level Standard - Zero 2]]))</f>
        <v>#VALUE!</v>
      </c>
      <c r="BJ393" s="29">
        <f>COUNT(Archive[[#This Row],[Candidate Transfer Standard - Zero 1]:[Candidate Transfer Standard - Zero 2]])</f>
        <v>0</v>
      </c>
    </row>
    <row r="394" spans="1:62" x14ac:dyDescent="0.3">
      <c r="A394" s="57"/>
      <c r="BG39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94" s="29" t="e">
        <f>BG394/DEVSQ(Archive[[#This Row],[Higher Level Standard - Zero 1]:[Higher Level Standard - Zero 2]])</f>
        <v>#VALUE!</v>
      </c>
      <c r="BI394" s="29" t="e">
        <f>BG394*(1/COUNT(Archive[[#This Row],[Candidate Transfer Standard - Zero 1]:[Candidate Transfer Standard - Zero 2]])+AVERAGE(Archive[[#This Row],[Higher Level Standard - Zero 1]:[Higher Level Standard - Zero 2]])^2/DEVSQ(Archive[[#This Row],[Higher Level Standard - Zero 1]:[Higher Level Standard - Zero 2]]))</f>
        <v>#VALUE!</v>
      </c>
      <c r="BJ394" s="29">
        <f>COUNT(Archive[[#This Row],[Candidate Transfer Standard - Zero 1]:[Candidate Transfer Standard - Zero 2]])</f>
        <v>0</v>
      </c>
    </row>
    <row r="395" spans="1:62" x14ac:dyDescent="0.3">
      <c r="A395" s="57"/>
      <c r="BG39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95" s="29" t="e">
        <f>BG395/DEVSQ(Archive[[#This Row],[Higher Level Standard - Zero 1]:[Higher Level Standard - Zero 2]])</f>
        <v>#VALUE!</v>
      </c>
      <c r="BI395" s="29" t="e">
        <f>BG395*(1/COUNT(Archive[[#This Row],[Candidate Transfer Standard - Zero 1]:[Candidate Transfer Standard - Zero 2]])+AVERAGE(Archive[[#This Row],[Higher Level Standard - Zero 1]:[Higher Level Standard - Zero 2]])^2/DEVSQ(Archive[[#This Row],[Higher Level Standard - Zero 1]:[Higher Level Standard - Zero 2]]))</f>
        <v>#VALUE!</v>
      </c>
      <c r="BJ395" s="29">
        <f>COUNT(Archive[[#This Row],[Candidate Transfer Standard - Zero 1]:[Candidate Transfer Standard - Zero 2]])</f>
        <v>0</v>
      </c>
    </row>
    <row r="396" spans="1:62" x14ac:dyDescent="0.3">
      <c r="A396" s="57"/>
      <c r="BG39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96" s="29" t="e">
        <f>BG396/DEVSQ(Archive[[#This Row],[Higher Level Standard - Zero 1]:[Higher Level Standard - Zero 2]])</f>
        <v>#VALUE!</v>
      </c>
      <c r="BI396" s="29" t="e">
        <f>BG396*(1/COUNT(Archive[[#This Row],[Candidate Transfer Standard - Zero 1]:[Candidate Transfer Standard - Zero 2]])+AVERAGE(Archive[[#This Row],[Higher Level Standard - Zero 1]:[Higher Level Standard - Zero 2]])^2/DEVSQ(Archive[[#This Row],[Higher Level Standard - Zero 1]:[Higher Level Standard - Zero 2]]))</f>
        <v>#VALUE!</v>
      </c>
      <c r="BJ396" s="29">
        <f>COUNT(Archive[[#This Row],[Candidate Transfer Standard - Zero 1]:[Candidate Transfer Standard - Zero 2]])</f>
        <v>0</v>
      </c>
    </row>
    <row r="397" spans="1:62" x14ac:dyDescent="0.3">
      <c r="A397" s="57"/>
      <c r="BG39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97" s="29" t="e">
        <f>BG397/DEVSQ(Archive[[#This Row],[Higher Level Standard - Zero 1]:[Higher Level Standard - Zero 2]])</f>
        <v>#VALUE!</v>
      </c>
      <c r="BI397" s="29" t="e">
        <f>BG397*(1/COUNT(Archive[[#This Row],[Candidate Transfer Standard - Zero 1]:[Candidate Transfer Standard - Zero 2]])+AVERAGE(Archive[[#This Row],[Higher Level Standard - Zero 1]:[Higher Level Standard - Zero 2]])^2/DEVSQ(Archive[[#This Row],[Higher Level Standard - Zero 1]:[Higher Level Standard - Zero 2]]))</f>
        <v>#VALUE!</v>
      </c>
      <c r="BJ397" s="29">
        <f>COUNT(Archive[[#This Row],[Candidate Transfer Standard - Zero 1]:[Candidate Transfer Standard - Zero 2]])</f>
        <v>0</v>
      </c>
    </row>
    <row r="398" spans="1:62" x14ac:dyDescent="0.3">
      <c r="A398" s="57"/>
      <c r="BG39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98" s="29" t="e">
        <f>BG398/DEVSQ(Archive[[#This Row],[Higher Level Standard - Zero 1]:[Higher Level Standard - Zero 2]])</f>
        <v>#VALUE!</v>
      </c>
      <c r="BI398" s="29" t="e">
        <f>BG398*(1/COUNT(Archive[[#This Row],[Candidate Transfer Standard - Zero 1]:[Candidate Transfer Standard - Zero 2]])+AVERAGE(Archive[[#This Row],[Higher Level Standard - Zero 1]:[Higher Level Standard - Zero 2]])^2/DEVSQ(Archive[[#This Row],[Higher Level Standard - Zero 1]:[Higher Level Standard - Zero 2]]))</f>
        <v>#VALUE!</v>
      </c>
      <c r="BJ398" s="29">
        <f>COUNT(Archive[[#This Row],[Candidate Transfer Standard - Zero 1]:[Candidate Transfer Standard - Zero 2]])</f>
        <v>0</v>
      </c>
    </row>
    <row r="399" spans="1:62" x14ac:dyDescent="0.3">
      <c r="A399" s="57"/>
      <c r="BG39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399" s="29" t="e">
        <f>BG399/DEVSQ(Archive[[#This Row],[Higher Level Standard - Zero 1]:[Higher Level Standard - Zero 2]])</f>
        <v>#VALUE!</v>
      </c>
      <c r="BI399" s="29" t="e">
        <f>BG399*(1/COUNT(Archive[[#This Row],[Candidate Transfer Standard - Zero 1]:[Candidate Transfer Standard - Zero 2]])+AVERAGE(Archive[[#This Row],[Higher Level Standard - Zero 1]:[Higher Level Standard - Zero 2]])^2/DEVSQ(Archive[[#This Row],[Higher Level Standard - Zero 1]:[Higher Level Standard - Zero 2]]))</f>
        <v>#VALUE!</v>
      </c>
      <c r="BJ399" s="29">
        <f>COUNT(Archive[[#This Row],[Candidate Transfer Standard - Zero 1]:[Candidate Transfer Standard - Zero 2]])</f>
        <v>0</v>
      </c>
    </row>
    <row r="400" spans="1:62" x14ac:dyDescent="0.3">
      <c r="A400" s="57"/>
      <c r="BG40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00" s="29" t="e">
        <f>BG400/DEVSQ(Archive[[#This Row],[Higher Level Standard - Zero 1]:[Higher Level Standard - Zero 2]])</f>
        <v>#VALUE!</v>
      </c>
      <c r="BI400" s="29" t="e">
        <f>BG400*(1/COUNT(Archive[[#This Row],[Candidate Transfer Standard - Zero 1]:[Candidate Transfer Standard - Zero 2]])+AVERAGE(Archive[[#This Row],[Higher Level Standard - Zero 1]:[Higher Level Standard - Zero 2]])^2/DEVSQ(Archive[[#This Row],[Higher Level Standard - Zero 1]:[Higher Level Standard - Zero 2]]))</f>
        <v>#VALUE!</v>
      </c>
      <c r="BJ400" s="29">
        <f>COUNT(Archive[[#This Row],[Candidate Transfer Standard - Zero 1]:[Candidate Transfer Standard - Zero 2]])</f>
        <v>0</v>
      </c>
    </row>
    <row r="401" spans="1:62" x14ac:dyDescent="0.3">
      <c r="A401" s="57"/>
      <c r="BG40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01" s="29" t="e">
        <f>BG401/DEVSQ(Archive[[#This Row],[Higher Level Standard - Zero 1]:[Higher Level Standard - Zero 2]])</f>
        <v>#VALUE!</v>
      </c>
      <c r="BI401" s="29" t="e">
        <f>BG401*(1/COUNT(Archive[[#This Row],[Candidate Transfer Standard - Zero 1]:[Candidate Transfer Standard - Zero 2]])+AVERAGE(Archive[[#This Row],[Higher Level Standard - Zero 1]:[Higher Level Standard - Zero 2]])^2/DEVSQ(Archive[[#This Row],[Higher Level Standard - Zero 1]:[Higher Level Standard - Zero 2]]))</f>
        <v>#VALUE!</v>
      </c>
      <c r="BJ401" s="29">
        <f>COUNT(Archive[[#This Row],[Candidate Transfer Standard - Zero 1]:[Candidate Transfer Standard - Zero 2]])</f>
        <v>0</v>
      </c>
    </row>
    <row r="402" spans="1:62" x14ac:dyDescent="0.3">
      <c r="A402" s="57"/>
      <c r="BG40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02" s="29" t="e">
        <f>BG402/DEVSQ(Archive[[#This Row],[Higher Level Standard - Zero 1]:[Higher Level Standard - Zero 2]])</f>
        <v>#VALUE!</v>
      </c>
      <c r="BI402" s="29" t="e">
        <f>BG402*(1/COUNT(Archive[[#This Row],[Candidate Transfer Standard - Zero 1]:[Candidate Transfer Standard - Zero 2]])+AVERAGE(Archive[[#This Row],[Higher Level Standard - Zero 1]:[Higher Level Standard - Zero 2]])^2/DEVSQ(Archive[[#This Row],[Higher Level Standard - Zero 1]:[Higher Level Standard - Zero 2]]))</f>
        <v>#VALUE!</v>
      </c>
      <c r="BJ402" s="29">
        <f>COUNT(Archive[[#This Row],[Candidate Transfer Standard - Zero 1]:[Candidate Transfer Standard - Zero 2]])</f>
        <v>0</v>
      </c>
    </row>
    <row r="403" spans="1:62" x14ac:dyDescent="0.3">
      <c r="A403" s="57"/>
      <c r="BG40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03" s="29" t="e">
        <f>BG403/DEVSQ(Archive[[#This Row],[Higher Level Standard - Zero 1]:[Higher Level Standard - Zero 2]])</f>
        <v>#VALUE!</v>
      </c>
      <c r="BI403" s="29" t="e">
        <f>BG403*(1/COUNT(Archive[[#This Row],[Candidate Transfer Standard - Zero 1]:[Candidate Transfer Standard - Zero 2]])+AVERAGE(Archive[[#This Row],[Higher Level Standard - Zero 1]:[Higher Level Standard - Zero 2]])^2/DEVSQ(Archive[[#This Row],[Higher Level Standard - Zero 1]:[Higher Level Standard - Zero 2]]))</f>
        <v>#VALUE!</v>
      </c>
      <c r="BJ403" s="29">
        <f>COUNT(Archive[[#This Row],[Candidate Transfer Standard - Zero 1]:[Candidate Transfer Standard - Zero 2]])</f>
        <v>0</v>
      </c>
    </row>
    <row r="404" spans="1:62" x14ac:dyDescent="0.3">
      <c r="A404" s="57"/>
      <c r="BG40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04" s="29" t="e">
        <f>BG404/DEVSQ(Archive[[#This Row],[Higher Level Standard - Zero 1]:[Higher Level Standard - Zero 2]])</f>
        <v>#VALUE!</v>
      </c>
      <c r="BI404" s="29" t="e">
        <f>BG404*(1/COUNT(Archive[[#This Row],[Candidate Transfer Standard - Zero 1]:[Candidate Transfer Standard - Zero 2]])+AVERAGE(Archive[[#This Row],[Higher Level Standard - Zero 1]:[Higher Level Standard - Zero 2]])^2/DEVSQ(Archive[[#This Row],[Higher Level Standard - Zero 1]:[Higher Level Standard - Zero 2]]))</f>
        <v>#VALUE!</v>
      </c>
      <c r="BJ404" s="29">
        <f>COUNT(Archive[[#This Row],[Candidate Transfer Standard - Zero 1]:[Candidate Transfer Standard - Zero 2]])</f>
        <v>0</v>
      </c>
    </row>
    <row r="405" spans="1:62" x14ac:dyDescent="0.3">
      <c r="A405" s="57"/>
      <c r="BG40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05" s="29" t="e">
        <f>BG405/DEVSQ(Archive[[#This Row],[Higher Level Standard - Zero 1]:[Higher Level Standard - Zero 2]])</f>
        <v>#VALUE!</v>
      </c>
      <c r="BI405" s="29" t="e">
        <f>BG405*(1/COUNT(Archive[[#This Row],[Candidate Transfer Standard - Zero 1]:[Candidate Transfer Standard - Zero 2]])+AVERAGE(Archive[[#This Row],[Higher Level Standard - Zero 1]:[Higher Level Standard - Zero 2]])^2/DEVSQ(Archive[[#This Row],[Higher Level Standard - Zero 1]:[Higher Level Standard - Zero 2]]))</f>
        <v>#VALUE!</v>
      </c>
      <c r="BJ405" s="29">
        <f>COUNT(Archive[[#This Row],[Candidate Transfer Standard - Zero 1]:[Candidate Transfer Standard - Zero 2]])</f>
        <v>0</v>
      </c>
    </row>
    <row r="406" spans="1:62" x14ac:dyDescent="0.3">
      <c r="A406" s="57"/>
      <c r="BG40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06" s="29" t="e">
        <f>BG406/DEVSQ(Archive[[#This Row],[Higher Level Standard - Zero 1]:[Higher Level Standard - Zero 2]])</f>
        <v>#VALUE!</v>
      </c>
      <c r="BI406" s="29" t="e">
        <f>BG406*(1/COUNT(Archive[[#This Row],[Candidate Transfer Standard - Zero 1]:[Candidate Transfer Standard - Zero 2]])+AVERAGE(Archive[[#This Row],[Higher Level Standard - Zero 1]:[Higher Level Standard - Zero 2]])^2/DEVSQ(Archive[[#This Row],[Higher Level Standard - Zero 1]:[Higher Level Standard - Zero 2]]))</f>
        <v>#VALUE!</v>
      </c>
      <c r="BJ406" s="29">
        <f>COUNT(Archive[[#This Row],[Candidate Transfer Standard - Zero 1]:[Candidate Transfer Standard - Zero 2]])</f>
        <v>0</v>
      </c>
    </row>
    <row r="407" spans="1:62" x14ac:dyDescent="0.3">
      <c r="A407" s="57"/>
      <c r="BG40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07" s="29" t="e">
        <f>BG407/DEVSQ(Archive[[#This Row],[Higher Level Standard - Zero 1]:[Higher Level Standard - Zero 2]])</f>
        <v>#VALUE!</v>
      </c>
      <c r="BI407" s="29" t="e">
        <f>BG407*(1/COUNT(Archive[[#This Row],[Candidate Transfer Standard - Zero 1]:[Candidate Transfer Standard - Zero 2]])+AVERAGE(Archive[[#This Row],[Higher Level Standard - Zero 1]:[Higher Level Standard - Zero 2]])^2/DEVSQ(Archive[[#This Row],[Higher Level Standard - Zero 1]:[Higher Level Standard - Zero 2]]))</f>
        <v>#VALUE!</v>
      </c>
      <c r="BJ407" s="29">
        <f>COUNT(Archive[[#This Row],[Candidate Transfer Standard - Zero 1]:[Candidate Transfer Standard - Zero 2]])</f>
        <v>0</v>
      </c>
    </row>
    <row r="408" spans="1:62" x14ac:dyDescent="0.3">
      <c r="A408" s="57"/>
      <c r="BG40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08" s="29" t="e">
        <f>BG408/DEVSQ(Archive[[#This Row],[Higher Level Standard - Zero 1]:[Higher Level Standard - Zero 2]])</f>
        <v>#VALUE!</v>
      </c>
      <c r="BI408" s="29" t="e">
        <f>BG408*(1/COUNT(Archive[[#This Row],[Candidate Transfer Standard - Zero 1]:[Candidate Transfer Standard - Zero 2]])+AVERAGE(Archive[[#This Row],[Higher Level Standard - Zero 1]:[Higher Level Standard - Zero 2]])^2/DEVSQ(Archive[[#This Row],[Higher Level Standard - Zero 1]:[Higher Level Standard - Zero 2]]))</f>
        <v>#VALUE!</v>
      </c>
      <c r="BJ408" s="29">
        <f>COUNT(Archive[[#This Row],[Candidate Transfer Standard - Zero 1]:[Candidate Transfer Standard - Zero 2]])</f>
        <v>0</v>
      </c>
    </row>
    <row r="409" spans="1:62" x14ac:dyDescent="0.3">
      <c r="A409" s="57"/>
      <c r="BG40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09" s="29" t="e">
        <f>BG409/DEVSQ(Archive[[#This Row],[Higher Level Standard - Zero 1]:[Higher Level Standard - Zero 2]])</f>
        <v>#VALUE!</v>
      </c>
      <c r="BI409" s="29" t="e">
        <f>BG409*(1/COUNT(Archive[[#This Row],[Candidate Transfer Standard - Zero 1]:[Candidate Transfer Standard - Zero 2]])+AVERAGE(Archive[[#This Row],[Higher Level Standard - Zero 1]:[Higher Level Standard - Zero 2]])^2/DEVSQ(Archive[[#This Row],[Higher Level Standard - Zero 1]:[Higher Level Standard - Zero 2]]))</f>
        <v>#VALUE!</v>
      </c>
      <c r="BJ409" s="29">
        <f>COUNT(Archive[[#This Row],[Candidate Transfer Standard - Zero 1]:[Candidate Transfer Standard - Zero 2]])</f>
        <v>0</v>
      </c>
    </row>
    <row r="410" spans="1:62" x14ac:dyDescent="0.3">
      <c r="A410" s="57"/>
      <c r="BG41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10" s="29" t="e">
        <f>BG410/DEVSQ(Archive[[#This Row],[Higher Level Standard - Zero 1]:[Higher Level Standard - Zero 2]])</f>
        <v>#VALUE!</v>
      </c>
      <c r="BI410" s="29" t="e">
        <f>BG410*(1/COUNT(Archive[[#This Row],[Candidate Transfer Standard - Zero 1]:[Candidate Transfer Standard - Zero 2]])+AVERAGE(Archive[[#This Row],[Higher Level Standard - Zero 1]:[Higher Level Standard - Zero 2]])^2/DEVSQ(Archive[[#This Row],[Higher Level Standard - Zero 1]:[Higher Level Standard - Zero 2]]))</f>
        <v>#VALUE!</v>
      </c>
      <c r="BJ410" s="29">
        <f>COUNT(Archive[[#This Row],[Candidate Transfer Standard - Zero 1]:[Candidate Transfer Standard - Zero 2]])</f>
        <v>0</v>
      </c>
    </row>
    <row r="411" spans="1:62" x14ac:dyDescent="0.3">
      <c r="A411" s="57"/>
      <c r="BG41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11" s="29" t="e">
        <f>BG411/DEVSQ(Archive[[#This Row],[Higher Level Standard - Zero 1]:[Higher Level Standard - Zero 2]])</f>
        <v>#VALUE!</v>
      </c>
      <c r="BI411" s="29" t="e">
        <f>BG411*(1/COUNT(Archive[[#This Row],[Candidate Transfer Standard - Zero 1]:[Candidate Transfer Standard - Zero 2]])+AVERAGE(Archive[[#This Row],[Higher Level Standard - Zero 1]:[Higher Level Standard - Zero 2]])^2/DEVSQ(Archive[[#This Row],[Higher Level Standard - Zero 1]:[Higher Level Standard - Zero 2]]))</f>
        <v>#VALUE!</v>
      </c>
      <c r="BJ411" s="29">
        <f>COUNT(Archive[[#This Row],[Candidate Transfer Standard - Zero 1]:[Candidate Transfer Standard - Zero 2]])</f>
        <v>0</v>
      </c>
    </row>
    <row r="412" spans="1:62" x14ac:dyDescent="0.3">
      <c r="A412" s="57"/>
      <c r="BG41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12" s="29" t="e">
        <f>BG412/DEVSQ(Archive[[#This Row],[Higher Level Standard - Zero 1]:[Higher Level Standard - Zero 2]])</f>
        <v>#VALUE!</v>
      </c>
      <c r="BI412" s="29" t="e">
        <f>BG412*(1/COUNT(Archive[[#This Row],[Candidate Transfer Standard - Zero 1]:[Candidate Transfer Standard - Zero 2]])+AVERAGE(Archive[[#This Row],[Higher Level Standard - Zero 1]:[Higher Level Standard - Zero 2]])^2/DEVSQ(Archive[[#This Row],[Higher Level Standard - Zero 1]:[Higher Level Standard - Zero 2]]))</f>
        <v>#VALUE!</v>
      </c>
      <c r="BJ412" s="29">
        <f>COUNT(Archive[[#This Row],[Candidate Transfer Standard - Zero 1]:[Candidate Transfer Standard - Zero 2]])</f>
        <v>0</v>
      </c>
    </row>
    <row r="413" spans="1:62" x14ac:dyDescent="0.3">
      <c r="A413" s="57"/>
      <c r="BG41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13" s="29" t="e">
        <f>BG413/DEVSQ(Archive[[#This Row],[Higher Level Standard - Zero 1]:[Higher Level Standard - Zero 2]])</f>
        <v>#VALUE!</v>
      </c>
      <c r="BI413" s="29" t="e">
        <f>BG413*(1/COUNT(Archive[[#This Row],[Candidate Transfer Standard - Zero 1]:[Candidate Transfer Standard - Zero 2]])+AVERAGE(Archive[[#This Row],[Higher Level Standard - Zero 1]:[Higher Level Standard - Zero 2]])^2/DEVSQ(Archive[[#This Row],[Higher Level Standard - Zero 1]:[Higher Level Standard - Zero 2]]))</f>
        <v>#VALUE!</v>
      </c>
      <c r="BJ413" s="29">
        <f>COUNT(Archive[[#This Row],[Candidate Transfer Standard - Zero 1]:[Candidate Transfer Standard - Zero 2]])</f>
        <v>0</v>
      </c>
    </row>
    <row r="414" spans="1:62" x14ac:dyDescent="0.3">
      <c r="A414" s="57"/>
      <c r="BG41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14" s="29" t="e">
        <f>BG414/DEVSQ(Archive[[#This Row],[Higher Level Standard - Zero 1]:[Higher Level Standard - Zero 2]])</f>
        <v>#VALUE!</v>
      </c>
      <c r="BI414" s="29" t="e">
        <f>BG414*(1/COUNT(Archive[[#This Row],[Candidate Transfer Standard - Zero 1]:[Candidate Transfer Standard - Zero 2]])+AVERAGE(Archive[[#This Row],[Higher Level Standard - Zero 1]:[Higher Level Standard - Zero 2]])^2/DEVSQ(Archive[[#This Row],[Higher Level Standard - Zero 1]:[Higher Level Standard - Zero 2]]))</f>
        <v>#VALUE!</v>
      </c>
      <c r="BJ414" s="29">
        <f>COUNT(Archive[[#This Row],[Candidate Transfer Standard - Zero 1]:[Candidate Transfer Standard - Zero 2]])</f>
        <v>0</v>
      </c>
    </row>
    <row r="415" spans="1:62" x14ac:dyDescent="0.3">
      <c r="A415" s="57"/>
      <c r="BG41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15" s="29" t="e">
        <f>BG415/DEVSQ(Archive[[#This Row],[Higher Level Standard - Zero 1]:[Higher Level Standard - Zero 2]])</f>
        <v>#VALUE!</v>
      </c>
      <c r="BI415" s="29" t="e">
        <f>BG415*(1/COUNT(Archive[[#This Row],[Candidate Transfer Standard - Zero 1]:[Candidate Transfer Standard - Zero 2]])+AVERAGE(Archive[[#This Row],[Higher Level Standard - Zero 1]:[Higher Level Standard - Zero 2]])^2/DEVSQ(Archive[[#This Row],[Higher Level Standard - Zero 1]:[Higher Level Standard - Zero 2]]))</f>
        <v>#VALUE!</v>
      </c>
      <c r="BJ415" s="29">
        <f>COUNT(Archive[[#This Row],[Candidate Transfer Standard - Zero 1]:[Candidate Transfer Standard - Zero 2]])</f>
        <v>0</v>
      </c>
    </row>
    <row r="416" spans="1:62" x14ac:dyDescent="0.3">
      <c r="A416" s="57"/>
      <c r="BG41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16" s="29" t="e">
        <f>BG416/DEVSQ(Archive[[#This Row],[Higher Level Standard - Zero 1]:[Higher Level Standard - Zero 2]])</f>
        <v>#VALUE!</v>
      </c>
      <c r="BI416" s="29" t="e">
        <f>BG416*(1/COUNT(Archive[[#This Row],[Candidate Transfer Standard - Zero 1]:[Candidate Transfer Standard - Zero 2]])+AVERAGE(Archive[[#This Row],[Higher Level Standard - Zero 1]:[Higher Level Standard - Zero 2]])^2/DEVSQ(Archive[[#This Row],[Higher Level Standard - Zero 1]:[Higher Level Standard - Zero 2]]))</f>
        <v>#VALUE!</v>
      </c>
      <c r="BJ416" s="29">
        <f>COUNT(Archive[[#This Row],[Candidate Transfer Standard - Zero 1]:[Candidate Transfer Standard - Zero 2]])</f>
        <v>0</v>
      </c>
    </row>
    <row r="417" spans="1:62" x14ac:dyDescent="0.3">
      <c r="A417" s="57"/>
      <c r="BG41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17" s="29" t="e">
        <f>BG417/DEVSQ(Archive[[#This Row],[Higher Level Standard - Zero 1]:[Higher Level Standard - Zero 2]])</f>
        <v>#VALUE!</v>
      </c>
      <c r="BI417" s="29" t="e">
        <f>BG417*(1/COUNT(Archive[[#This Row],[Candidate Transfer Standard - Zero 1]:[Candidate Transfer Standard - Zero 2]])+AVERAGE(Archive[[#This Row],[Higher Level Standard - Zero 1]:[Higher Level Standard - Zero 2]])^2/DEVSQ(Archive[[#This Row],[Higher Level Standard - Zero 1]:[Higher Level Standard - Zero 2]]))</f>
        <v>#VALUE!</v>
      </c>
      <c r="BJ417" s="29">
        <f>COUNT(Archive[[#This Row],[Candidate Transfer Standard - Zero 1]:[Candidate Transfer Standard - Zero 2]])</f>
        <v>0</v>
      </c>
    </row>
    <row r="418" spans="1:62" x14ac:dyDescent="0.3">
      <c r="A418" s="57"/>
      <c r="BG41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18" s="29" t="e">
        <f>BG418/DEVSQ(Archive[[#This Row],[Higher Level Standard - Zero 1]:[Higher Level Standard - Zero 2]])</f>
        <v>#VALUE!</v>
      </c>
      <c r="BI418" s="29" t="e">
        <f>BG418*(1/COUNT(Archive[[#This Row],[Candidate Transfer Standard - Zero 1]:[Candidate Transfer Standard - Zero 2]])+AVERAGE(Archive[[#This Row],[Higher Level Standard - Zero 1]:[Higher Level Standard - Zero 2]])^2/DEVSQ(Archive[[#This Row],[Higher Level Standard - Zero 1]:[Higher Level Standard - Zero 2]]))</f>
        <v>#VALUE!</v>
      </c>
      <c r="BJ418" s="29">
        <f>COUNT(Archive[[#This Row],[Candidate Transfer Standard - Zero 1]:[Candidate Transfer Standard - Zero 2]])</f>
        <v>0</v>
      </c>
    </row>
    <row r="419" spans="1:62" x14ac:dyDescent="0.3">
      <c r="A419" s="57"/>
      <c r="BG41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19" s="29" t="e">
        <f>BG419/DEVSQ(Archive[[#This Row],[Higher Level Standard - Zero 1]:[Higher Level Standard - Zero 2]])</f>
        <v>#VALUE!</v>
      </c>
      <c r="BI419" s="29" t="e">
        <f>BG419*(1/COUNT(Archive[[#This Row],[Candidate Transfer Standard - Zero 1]:[Candidate Transfer Standard - Zero 2]])+AVERAGE(Archive[[#This Row],[Higher Level Standard - Zero 1]:[Higher Level Standard - Zero 2]])^2/DEVSQ(Archive[[#This Row],[Higher Level Standard - Zero 1]:[Higher Level Standard - Zero 2]]))</f>
        <v>#VALUE!</v>
      </c>
      <c r="BJ419" s="29">
        <f>COUNT(Archive[[#This Row],[Candidate Transfer Standard - Zero 1]:[Candidate Transfer Standard - Zero 2]])</f>
        <v>0</v>
      </c>
    </row>
    <row r="420" spans="1:62" x14ac:dyDescent="0.3">
      <c r="A420" s="57"/>
      <c r="BG42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20" s="29" t="e">
        <f>BG420/DEVSQ(Archive[[#This Row],[Higher Level Standard - Zero 1]:[Higher Level Standard - Zero 2]])</f>
        <v>#VALUE!</v>
      </c>
      <c r="BI420" s="29" t="e">
        <f>BG420*(1/COUNT(Archive[[#This Row],[Candidate Transfer Standard - Zero 1]:[Candidate Transfer Standard - Zero 2]])+AVERAGE(Archive[[#This Row],[Higher Level Standard - Zero 1]:[Higher Level Standard - Zero 2]])^2/DEVSQ(Archive[[#This Row],[Higher Level Standard - Zero 1]:[Higher Level Standard - Zero 2]]))</f>
        <v>#VALUE!</v>
      </c>
      <c r="BJ420" s="29">
        <f>COUNT(Archive[[#This Row],[Candidate Transfer Standard - Zero 1]:[Candidate Transfer Standard - Zero 2]])</f>
        <v>0</v>
      </c>
    </row>
    <row r="421" spans="1:62" x14ac:dyDescent="0.3">
      <c r="A421" s="57"/>
      <c r="BG42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21" s="29" t="e">
        <f>BG421/DEVSQ(Archive[[#This Row],[Higher Level Standard - Zero 1]:[Higher Level Standard - Zero 2]])</f>
        <v>#VALUE!</v>
      </c>
      <c r="BI421" s="29" t="e">
        <f>BG421*(1/COUNT(Archive[[#This Row],[Candidate Transfer Standard - Zero 1]:[Candidate Transfer Standard - Zero 2]])+AVERAGE(Archive[[#This Row],[Higher Level Standard - Zero 1]:[Higher Level Standard - Zero 2]])^2/DEVSQ(Archive[[#This Row],[Higher Level Standard - Zero 1]:[Higher Level Standard - Zero 2]]))</f>
        <v>#VALUE!</v>
      </c>
      <c r="BJ421" s="29">
        <f>COUNT(Archive[[#This Row],[Candidate Transfer Standard - Zero 1]:[Candidate Transfer Standard - Zero 2]])</f>
        <v>0</v>
      </c>
    </row>
    <row r="422" spans="1:62" x14ac:dyDescent="0.3">
      <c r="A422" s="57"/>
      <c r="BG42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22" s="29" t="e">
        <f>BG422/DEVSQ(Archive[[#This Row],[Higher Level Standard - Zero 1]:[Higher Level Standard - Zero 2]])</f>
        <v>#VALUE!</v>
      </c>
      <c r="BI422" s="29" t="e">
        <f>BG422*(1/COUNT(Archive[[#This Row],[Candidate Transfer Standard - Zero 1]:[Candidate Transfer Standard - Zero 2]])+AVERAGE(Archive[[#This Row],[Higher Level Standard - Zero 1]:[Higher Level Standard - Zero 2]])^2/DEVSQ(Archive[[#This Row],[Higher Level Standard - Zero 1]:[Higher Level Standard - Zero 2]]))</f>
        <v>#VALUE!</v>
      </c>
      <c r="BJ422" s="29">
        <f>COUNT(Archive[[#This Row],[Candidate Transfer Standard - Zero 1]:[Candidate Transfer Standard - Zero 2]])</f>
        <v>0</v>
      </c>
    </row>
    <row r="423" spans="1:62" x14ac:dyDescent="0.3">
      <c r="A423" s="57"/>
      <c r="BG42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23" s="29" t="e">
        <f>BG423/DEVSQ(Archive[[#This Row],[Higher Level Standard - Zero 1]:[Higher Level Standard - Zero 2]])</f>
        <v>#VALUE!</v>
      </c>
      <c r="BI423" s="29" t="e">
        <f>BG423*(1/COUNT(Archive[[#This Row],[Candidate Transfer Standard - Zero 1]:[Candidate Transfer Standard - Zero 2]])+AVERAGE(Archive[[#This Row],[Higher Level Standard - Zero 1]:[Higher Level Standard - Zero 2]])^2/DEVSQ(Archive[[#This Row],[Higher Level Standard - Zero 1]:[Higher Level Standard - Zero 2]]))</f>
        <v>#VALUE!</v>
      </c>
      <c r="BJ423" s="29">
        <f>COUNT(Archive[[#This Row],[Candidate Transfer Standard - Zero 1]:[Candidate Transfer Standard - Zero 2]])</f>
        <v>0</v>
      </c>
    </row>
    <row r="424" spans="1:62" x14ac:dyDescent="0.3">
      <c r="A424" s="57"/>
      <c r="BG42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24" s="29" t="e">
        <f>BG424/DEVSQ(Archive[[#This Row],[Higher Level Standard - Zero 1]:[Higher Level Standard - Zero 2]])</f>
        <v>#VALUE!</v>
      </c>
      <c r="BI424" s="29" t="e">
        <f>BG424*(1/COUNT(Archive[[#This Row],[Candidate Transfer Standard - Zero 1]:[Candidate Transfer Standard - Zero 2]])+AVERAGE(Archive[[#This Row],[Higher Level Standard - Zero 1]:[Higher Level Standard - Zero 2]])^2/DEVSQ(Archive[[#This Row],[Higher Level Standard - Zero 1]:[Higher Level Standard - Zero 2]]))</f>
        <v>#VALUE!</v>
      </c>
      <c r="BJ424" s="29">
        <f>COUNT(Archive[[#This Row],[Candidate Transfer Standard - Zero 1]:[Candidate Transfer Standard - Zero 2]])</f>
        <v>0</v>
      </c>
    </row>
    <row r="425" spans="1:62" x14ac:dyDescent="0.3">
      <c r="A425" s="57"/>
      <c r="BG42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25" s="29" t="e">
        <f>BG425/DEVSQ(Archive[[#This Row],[Higher Level Standard - Zero 1]:[Higher Level Standard - Zero 2]])</f>
        <v>#VALUE!</v>
      </c>
      <c r="BI425" s="29" t="e">
        <f>BG425*(1/COUNT(Archive[[#This Row],[Candidate Transfer Standard - Zero 1]:[Candidate Transfer Standard - Zero 2]])+AVERAGE(Archive[[#This Row],[Higher Level Standard - Zero 1]:[Higher Level Standard - Zero 2]])^2/DEVSQ(Archive[[#This Row],[Higher Level Standard - Zero 1]:[Higher Level Standard - Zero 2]]))</f>
        <v>#VALUE!</v>
      </c>
      <c r="BJ425" s="29">
        <f>COUNT(Archive[[#This Row],[Candidate Transfer Standard - Zero 1]:[Candidate Transfer Standard - Zero 2]])</f>
        <v>0</v>
      </c>
    </row>
    <row r="426" spans="1:62" x14ac:dyDescent="0.3">
      <c r="A426" s="57"/>
      <c r="BG42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26" s="29" t="e">
        <f>BG426/DEVSQ(Archive[[#This Row],[Higher Level Standard - Zero 1]:[Higher Level Standard - Zero 2]])</f>
        <v>#VALUE!</v>
      </c>
      <c r="BI426" s="29" t="e">
        <f>BG426*(1/COUNT(Archive[[#This Row],[Candidate Transfer Standard - Zero 1]:[Candidate Transfer Standard - Zero 2]])+AVERAGE(Archive[[#This Row],[Higher Level Standard - Zero 1]:[Higher Level Standard - Zero 2]])^2/DEVSQ(Archive[[#This Row],[Higher Level Standard - Zero 1]:[Higher Level Standard - Zero 2]]))</f>
        <v>#VALUE!</v>
      </c>
      <c r="BJ426" s="29">
        <f>COUNT(Archive[[#This Row],[Candidate Transfer Standard - Zero 1]:[Candidate Transfer Standard - Zero 2]])</f>
        <v>0</v>
      </c>
    </row>
    <row r="427" spans="1:62" x14ac:dyDescent="0.3">
      <c r="A427" s="57"/>
      <c r="BG42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27" s="29" t="e">
        <f>BG427/DEVSQ(Archive[[#This Row],[Higher Level Standard - Zero 1]:[Higher Level Standard - Zero 2]])</f>
        <v>#VALUE!</v>
      </c>
      <c r="BI427" s="29" t="e">
        <f>BG427*(1/COUNT(Archive[[#This Row],[Candidate Transfer Standard - Zero 1]:[Candidate Transfer Standard - Zero 2]])+AVERAGE(Archive[[#This Row],[Higher Level Standard - Zero 1]:[Higher Level Standard - Zero 2]])^2/DEVSQ(Archive[[#This Row],[Higher Level Standard - Zero 1]:[Higher Level Standard - Zero 2]]))</f>
        <v>#VALUE!</v>
      </c>
      <c r="BJ427" s="29">
        <f>COUNT(Archive[[#This Row],[Candidate Transfer Standard - Zero 1]:[Candidate Transfer Standard - Zero 2]])</f>
        <v>0</v>
      </c>
    </row>
    <row r="428" spans="1:62" x14ac:dyDescent="0.3">
      <c r="A428" s="57"/>
      <c r="BG42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28" s="29" t="e">
        <f>BG428/DEVSQ(Archive[[#This Row],[Higher Level Standard - Zero 1]:[Higher Level Standard - Zero 2]])</f>
        <v>#VALUE!</v>
      </c>
      <c r="BI428" s="29" t="e">
        <f>BG428*(1/COUNT(Archive[[#This Row],[Candidate Transfer Standard - Zero 1]:[Candidate Transfer Standard - Zero 2]])+AVERAGE(Archive[[#This Row],[Higher Level Standard - Zero 1]:[Higher Level Standard - Zero 2]])^2/DEVSQ(Archive[[#This Row],[Higher Level Standard - Zero 1]:[Higher Level Standard - Zero 2]]))</f>
        <v>#VALUE!</v>
      </c>
      <c r="BJ428" s="29">
        <f>COUNT(Archive[[#This Row],[Candidate Transfer Standard - Zero 1]:[Candidate Transfer Standard - Zero 2]])</f>
        <v>0</v>
      </c>
    </row>
    <row r="429" spans="1:62" x14ac:dyDescent="0.3">
      <c r="A429" s="57"/>
      <c r="BG42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29" s="29" t="e">
        <f>BG429/DEVSQ(Archive[[#This Row],[Higher Level Standard - Zero 1]:[Higher Level Standard - Zero 2]])</f>
        <v>#VALUE!</v>
      </c>
      <c r="BI429" s="29" t="e">
        <f>BG429*(1/COUNT(Archive[[#This Row],[Candidate Transfer Standard - Zero 1]:[Candidate Transfer Standard - Zero 2]])+AVERAGE(Archive[[#This Row],[Higher Level Standard - Zero 1]:[Higher Level Standard - Zero 2]])^2/DEVSQ(Archive[[#This Row],[Higher Level Standard - Zero 1]:[Higher Level Standard - Zero 2]]))</f>
        <v>#VALUE!</v>
      </c>
      <c r="BJ429" s="29">
        <f>COUNT(Archive[[#This Row],[Candidate Transfer Standard - Zero 1]:[Candidate Transfer Standard - Zero 2]])</f>
        <v>0</v>
      </c>
    </row>
    <row r="430" spans="1:62" x14ac:dyDescent="0.3">
      <c r="A430" s="57"/>
      <c r="BG43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30" s="29" t="e">
        <f>BG430/DEVSQ(Archive[[#This Row],[Higher Level Standard - Zero 1]:[Higher Level Standard - Zero 2]])</f>
        <v>#VALUE!</v>
      </c>
      <c r="BI430" s="29" t="e">
        <f>BG430*(1/COUNT(Archive[[#This Row],[Candidate Transfer Standard - Zero 1]:[Candidate Transfer Standard - Zero 2]])+AVERAGE(Archive[[#This Row],[Higher Level Standard - Zero 1]:[Higher Level Standard - Zero 2]])^2/DEVSQ(Archive[[#This Row],[Higher Level Standard - Zero 1]:[Higher Level Standard - Zero 2]]))</f>
        <v>#VALUE!</v>
      </c>
      <c r="BJ430" s="29">
        <f>COUNT(Archive[[#This Row],[Candidate Transfer Standard - Zero 1]:[Candidate Transfer Standard - Zero 2]])</f>
        <v>0</v>
      </c>
    </row>
    <row r="431" spans="1:62" x14ac:dyDescent="0.3">
      <c r="A431" s="57"/>
      <c r="BG43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31" s="29" t="e">
        <f>BG431/DEVSQ(Archive[[#This Row],[Higher Level Standard - Zero 1]:[Higher Level Standard - Zero 2]])</f>
        <v>#VALUE!</v>
      </c>
      <c r="BI431" s="29" t="e">
        <f>BG431*(1/COUNT(Archive[[#This Row],[Candidate Transfer Standard - Zero 1]:[Candidate Transfer Standard - Zero 2]])+AVERAGE(Archive[[#This Row],[Higher Level Standard - Zero 1]:[Higher Level Standard - Zero 2]])^2/DEVSQ(Archive[[#This Row],[Higher Level Standard - Zero 1]:[Higher Level Standard - Zero 2]]))</f>
        <v>#VALUE!</v>
      </c>
      <c r="BJ431" s="29">
        <f>COUNT(Archive[[#This Row],[Candidate Transfer Standard - Zero 1]:[Candidate Transfer Standard - Zero 2]])</f>
        <v>0</v>
      </c>
    </row>
    <row r="432" spans="1:62" x14ac:dyDescent="0.3">
      <c r="A432" s="57"/>
      <c r="BG43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32" s="29" t="e">
        <f>BG432/DEVSQ(Archive[[#This Row],[Higher Level Standard - Zero 1]:[Higher Level Standard - Zero 2]])</f>
        <v>#VALUE!</v>
      </c>
      <c r="BI432" s="29" t="e">
        <f>BG432*(1/COUNT(Archive[[#This Row],[Candidate Transfer Standard - Zero 1]:[Candidate Transfer Standard - Zero 2]])+AVERAGE(Archive[[#This Row],[Higher Level Standard - Zero 1]:[Higher Level Standard - Zero 2]])^2/DEVSQ(Archive[[#This Row],[Higher Level Standard - Zero 1]:[Higher Level Standard - Zero 2]]))</f>
        <v>#VALUE!</v>
      </c>
      <c r="BJ432" s="29">
        <f>COUNT(Archive[[#This Row],[Candidate Transfer Standard - Zero 1]:[Candidate Transfer Standard - Zero 2]])</f>
        <v>0</v>
      </c>
    </row>
    <row r="433" spans="1:62" x14ac:dyDescent="0.3">
      <c r="A433" s="57"/>
      <c r="BG43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33" s="29" t="e">
        <f>BG433/DEVSQ(Archive[[#This Row],[Higher Level Standard - Zero 1]:[Higher Level Standard - Zero 2]])</f>
        <v>#VALUE!</v>
      </c>
      <c r="BI433" s="29" t="e">
        <f>BG433*(1/COUNT(Archive[[#This Row],[Candidate Transfer Standard - Zero 1]:[Candidate Transfer Standard - Zero 2]])+AVERAGE(Archive[[#This Row],[Higher Level Standard - Zero 1]:[Higher Level Standard - Zero 2]])^2/DEVSQ(Archive[[#This Row],[Higher Level Standard - Zero 1]:[Higher Level Standard - Zero 2]]))</f>
        <v>#VALUE!</v>
      </c>
      <c r="BJ433" s="29">
        <f>COUNT(Archive[[#This Row],[Candidate Transfer Standard - Zero 1]:[Candidate Transfer Standard - Zero 2]])</f>
        <v>0</v>
      </c>
    </row>
    <row r="434" spans="1:62" x14ac:dyDescent="0.3">
      <c r="A434" s="57"/>
      <c r="BG43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34" s="29" t="e">
        <f>BG434/DEVSQ(Archive[[#This Row],[Higher Level Standard - Zero 1]:[Higher Level Standard - Zero 2]])</f>
        <v>#VALUE!</v>
      </c>
      <c r="BI434" s="29" t="e">
        <f>BG434*(1/COUNT(Archive[[#This Row],[Candidate Transfer Standard - Zero 1]:[Candidate Transfer Standard - Zero 2]])+AVERAGE(Archive[[#This Row],[Higher Level Standard - Zero 1]:[Higher Level Standard - Zero 2]])^2/DEVSQ(Archive[[#This Row],[Higher Level Standard - Zero 1]:[Higher Level Standard - Zero 2]]))</f>
        <v>#VALUE!</v>
      </c>
      <c r="BJ434" s="29">
        <f>COUNT(Archive[[#This Row],[Candidate Transfer Standard - Zero 1]:[Candidate Transfer Standard - Zero 2]])</f>
        <v>0</v>
      </c>
    </row>
    <row r="435" spans="1:62" x14ac:dyDescent="0.3">
      <c r="A435" s="57"/>
      <c r="BG43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35" s="29" t="e">
        <f>BG435/DEVSQ(Archive[[#This Row],[Higher Level Standard - Zero 1]:[Higher Level Standard - Zero 2]])</f>
        <v>#VALUE!</v>
      </c>
      <c r="BI435" s="29" t="e">
        <f>BG435*(1/COUNT(Archive[[#This Row],[Candidate Transfer Standard - Zero 1]:[Candidate Transfer Standard - Zero 2]])+AVERAGE(Archive[[#This Row],[Higher Level Standard - Zero 1]:[Higher Level Standard - Zero 2]])^2/DEVSQ(Archive[[#This Row],[Higher Level Standard - Zero 1]:[Higher Level Standard - Zero 2]]))</f>
        <v>#VALUE!</v>
      </c>
      <c r="BJ435" s="29">
        <f>COUNT(Archive[[#This Row],[Candidate Transfer Standard - Zero 1]:[Candidate Transfer Standard - Zero 2]])</f>
        <v>0</v>
      </c>
    </row>
    <row r="436" spans="1:62" x14ac:dyDescent="0.3">
      <c r="A436" s="57"/>
      <c r="BG43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36" s="29" t="e">
        <f>BG436/DEVSQ(Archive[[#This Row],[Higher Level Standard - Zero 1]:[Higher Level Standard - Zero 2]])</f>
        <v>#VALUE!</v>
      </c>
      <c r="BI436" s="29" t="e">
        <f>BG436*(1/COUNT(Archive[[#This Row],[Candidate Transfer Standard - Zero 1]:[Candidate Transfer Standard - Zero 2]])+AVERAGE(Archive[[#This Row],[Higher Level Standard - Zero 1]:[Higher Level Standard - Zero 2]])^2/DEVSQ(Archive[[#This Row],[Higher Level Standard - Zero 1]:[Higher Level Standard - Zero 2]]))</f>
        <v>#VALUE!</v>
      </c>
      <c r="BJ436" s="29">
        <f>COUNT(Archive[[#This Row],[Candidate Transfer Standard - Zero 1]:[Candidate Transfer Standard - Zero 2]])</f>
        <v>0</v>
      </c>
    </row>
    <row r="437" spans="1:62" x14ac:dyDescent="0.3">
      <c r="A437" s="57"/>
      <c r="BG43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37" s="29" t="e">
        <f>BG437/DEVSQ(Archive[[#This Row],[Higher Level Standard - Zero 1]:[Higher Level Standard - Zero 2]])</f>
        <v>#VALUE!</v>
      </c>
      <c r="BI437" s="29" t="e">
        <f>BG437*(1/COUNT(Archive[[#This Row],[Candidate Transfer Standard - Zero 1]:[Candidate Transfer Standard - Zero 2]])+AVERAGE(Archive[[#This Row],[Higher Level Standard - Zero 1]:[Higher Level Standard - Zero 2]])^2/DEVSQ(Archive[[#This Row],[Higher Level Standard - Zero 1]:[Higher Level Standard - Zero 2]]))</f>
        <v>#VALUE!</v>
      </c>
      <c r="BJ437" s="29">
        <f>COUNT(Archive[[#This Row],[Candidate Transfer Standard - Zero 1]:[Candidate Transfer Standard - Zero 2]])</f>
        <v>0</v>
      </c>
    </row>
    <row r="438" spans="1:62" x14ac:dyDescent="0.3">
      <c r="A438" s="57"/>
      <c r="BG43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38" s="29" t="e">
        <f>BG438/DEVSQ(Archive[[#This Row],[Higher Level Standard - Zero 1]:[Higher Level Standard - Zero 2]])</f>
        <v>#VALUE!</v>
      </c>
      <c r="BI438" s="29" t="e">
        <f>BG438*(1/COUNT(Archive[[#This Row],[Candidate Transfer Standard - Zero 1]:[Candidate Transfer Standard - Zero 2]])+AVERAGE(Archive[[#This Row],[Higher Level Standard - Zero 1]:[Higher Level Standard - Zero 2]])^2/DEVSQ(Archive[[#This Row],[Higher Level Standard - Zero 1]:[Higher Level Standard - Zero 2]]))</f>
        <v>#VALUE!</v>
      </c>
      <c r="BJ438" s="29">
        <f>COUNT(Archive[[#This Row],[Candidate Transfer Standard - Zero 1]:[Candidate Transfer Standard - Zero 2]])</f>
        <v>0</v>
      </c>
    </row>
    <row r="439" spans="1:62" x14ac:dyDescent="0.3">
      <c r="A439" s="57"/>
      <c r="BG43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39" s="29" t="e">
        <f>BG439/DEVSQ(Archive[[#This Row],[Higher Level Standard - Zero 1]:[Higher Level Standard - Zero 2]])</f>
        <v>#VALUE!</v>
      </c>
      <c r="BI439" s="29" t="e">
        <f>BG439*(1/COUNT(Archive[[#This Row],[Candidate Transfer Standard - Zero 1]:[Candidate Transfer Standard - Zero 2]])+AVERAGE(Archive[[#This Row],[Higher Level Standard - Zero 1]:[Higher Level Standard - Zero 2]])^2/DEVSQ(Archive[[#This Row],[Higher Level Standard - Zero 1]:[Higher Level Standard - Zero 2]]))</f>
        <v>#VALUE!</v>
      </c>
      <c r="BJ439" s="29">
        <f>COUNT(Archive[[#This Row],[Candidate Transfer Standard - Zero 1]:[Candidate Transfer Standard - Zero 2]])</f>
        <v>0</v>
      </c>
    </row>
    <row r="440" spans="1:62" x14ac:dyDescent="0.3">
      <c r="A440" s="57"/>
      <c r="BG44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40" s="29" t="e">
        <f>BG440/DEVSQ(Archive[[#This Row],[Higher Level Standard - Zero 1]:[Higher Level Standard - Zero 2]])</f>
        <v>#VALUE!</v>
      </c>
      <c r="BI440" s="29" t="e">
        <f>BG440*(1/COUNT(Archive[[#This Row],[Candidate Transfer Standard - Zero 1]:[Candidate Transfer Standard - Zero 2]])+AVERAGE(Archive[[#This Row],[Higher Level Standard - Zero 1]:[Higher Level Standard - Zero 2]])^2/DEVSQ(Archive[[#This Row],[Higher Level Standard - Zero 1]:[Higher Level Standard - Zero 2]]))</f>
        <v>#VALUE!</v>
      </c>
      <c r="BJ440" s="29">
        <f>COUNT(Archive[[#This Row],[Candidate Transfer Standard - Zero 1]:[Candidate Transfer Standard - Zero 2]])</f>
        <v>0</v>
      </c>
    </row>
    <row r="441" spans="1:62" x14ac:dyDescent="0.3">
      <c r="A441" s="57"/>
      <c r="BG44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41" s="29" t="e">
        <f>BG441/DEVSQ(Archive[[#This Row],[Higher Level Standard - Zero 1]:[Higher Level Standard - Zero 2]])</f>
        <v>#VALUE!</v>
      </c>
      <c r="BI441" s="29" t="e">
        <f>BG441*(1/COUNT(Archive[[#This Row],[Candidate Transfer Standard - Zero 1]:[Candidate Transfer Standard - Zero 2]])+AVERAGE(Archive[[#This Row],[Higher Level Standard - Zero 1]:[Higher Level Standard - Zero 2]])^2/DEVSQ(Archive[[#This Row],[Higher Level Standard - Zero 1]:[Higher Level Standard - Zero 2]]))</f>
        <v>#VALUE!</v>
      </c>
      <c r="BJ441" s="29">
        <f>COUNT(Archive[[#This Row],[Candidate Transfer Standard - Zero 1]:[Candidate Transfer Standard - Zero 2]])</f>
        <v>0</v>
      </c>
    </row>
    <row r="442" spans="1:62" x14ac:dyDescent="0.3">
      <c r="A442" s="57"/>
      <c r="BG44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42" s="29" t="e">
        <f>BG442/DEVSQ(Archive[[#This Row],[Higher Level Standard - Zero 1]:[Higher Level Standard - Zero 2]])</f>
        <v>#VALUE!</v>
      </c>
      <c r="BI442" s="29" t="e">
        <f>BG442*(1/COUNT(Archive[[#This Row],[Candidate Transfer Standard - Zero 1]:[Candidate Transfer Standard - Zero 2]])+AVERAGE(Archive[[#This Row],[Higher Level Standard - Zero 1]:[Higher Level Standard - Zero 2]])^2/DEVSQ(Archive[[#This Row],[Higher Level Standard - Zero 1]:[Higher Level Standard - Zero 2]]))</f>
        <v>#VALUE!</v>
      </c>
      <c r="BJ442" s="29">
        <f>COUNT(Archive[[#This Row],[Candidate Transfer Standard - Zero 1]:[Candidate Transfer Standard - Zero 2]])</f>
        <v>0</v>
      </c>
    </row>
    <row r="443" spans="1:62" x14ac:dyDescent="0.3">
      <c r="A443" s="57"/>
      <c r="BG44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43" s="29" t="e">
        <f>BG443/DEVSQ(Archive[[#This Row],[Higher Level Standard - Zero 1]:[Higher Level Standard - Zero 2]])</f>
        <v>#VALUE!</v>
      </c>
      <c r="BI443" s="29" t="e">
        <f>BG443*(1/COUNT(Archive[[#This Row],[Candidate Transfer Standard - Zero 1]:[Candidate Transfer Standard - Zero 2]])+AVERAGE(Archive[[#This Row],[Higher Level Standard - Zero 1]:[Higher Level Standard - Zero 2]])^2/DEVSQ(Archive[[#This Row],[Higher Level Standard - Zero 1]:[Higher Level Standard - Zero 2]]))</f>
        <v>#VALUE!</v>
      </c>
      <c r="BJ443" s="29">
        <f>COUNT(Archive[[#This Row],[Candidate Transfer Standard - Zero 1]:[Candidate Transfer Standard - Zero 2]])</f>
        <v>0</v>
      </c>
    </row>
    <row r="444" spans="1:62" x14ac:dyDescent="0.3">
      <c r="A444" s="57"/>
      <c r="BG44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44" s="29" t="e">
        <f>BG444/DEVSQ(Archive[[#This Row],[Higher Level Standard - Zero 1]:[Higher Level Standard - Zero 2]])</f>
        <v>#VALUE!</v>
      </c>
      <c r="BI444" s="29" t="e">
        <f>BG444*(1/COUNT(Archive[[#This Row],[Candidate Transfer Standard - Zero 1]:[Candidate Transfer Standard - Zero 2]])+AVERAGE(Archive[[#This Row],[Higher Level Standard - Zero 1]:[Higher Level Standard - Zero 2]])^2/DEVSQ(Archive[[#This Row],[Higher Level Standard - Zero 1]:[Higher Level Standard - Zero 2]]))</f>
        <v>#VALUE!</v>
      </c>
      <c r="BJ444" s="29">
        <f>COUNT(Archive[[#This Row],[Candidate Transfer Standard - Zero 1]:[Candidate Transfer Standard - Zero 2]])</f>
        <v>0</v>
      </c>
    </row>
    <row r="445" spans="1:62" x14ac:dyDescent="0.3">
      <c r="A445" s="57"/>
      <c r="BG44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45" s="29" t="e">
        <f>BG445/DEVSQ(Archive[[#This Row],[Higher Level Standard - Zero 1]:[Higher Level Standard - Zero 2]])</f>
        <v>#VALUE!</v>
      </c>
      <c r="BI445" s="29" t="e">
        <f>BG445*(1/COUNT(Archive[[#This Row],[Candidate Transfer Standard - Zero 1]:[Candidate Transfer Standard - Zero 2]])+AVERAGE(Archive[[#This Row],[Higher Level Standard - Zero 1]:[Higher Level Standard - Zero 2]])^2/DEVSQ(Archive[[#This Row],[Higher Level Standard - Zero 1]:[Higher Level Standard - Zero 2]]))</f>
        <v>#VALUE!</v>
      </c>
      <c r="BJ445" s="29">
        <f>COUNT(Archive[[#This Row],[Candidate Transfer Standard - Zero 1]:[Candidate Transfer Standard - Zero 2]])</f>
        <v>0</v>
      </c>
    </row>
    <row r="446" spans="1:62" x14ac:dyDescent="0.3">
      <c r="A446" s="57"/>
      <c r="BG44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46" s="29" t="e">
        <f>BG446/DEVSQ(Archive[[#This Row],[Higher Level Standard - Zero 1]:[Higher Level Standard - Zero 2]])</f>
        <v>#VALUE!</v>
      </c>
      <c r="BI446" s="29" t="e">
        <f>BG446*(1/COUNT(Archive[[#This Row],[Candidate Transfer Standard - Zero 1]:[Candidate Transfer Standard - Zero 2]])+AVERAGE(Archive[[#This Row],[Higher Level Standard - Zero 1]:[Higher Level Standard - Zero 2]])^2/DEVSQ(Archive[[#This Row],[Higher Level Standard - Zero 1]:[Higher Level Standard - Zero 2]]))</f>
        <v>#VALUE!</v>
      </c>
      <c r="BJ446" s="29">
        <f>COUNT(Archive[[#This Row],[Candidate Transfer Standard - Zero 1]:[Candidate Transfer Standard - Zero 2]])</f>
        <v>0</v>
      </c>
    </row>
    <row r="447" spans="1:62" x14ac:dyDescent="0.3">
      <c r="A447" s="57"/>
      <c r="BG44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47" s="29" t="e">
        <f>BG447/DEVSQ(Archive[[#This Row],[Higher Level Standard - Zero 1]:[Higher Level Standard - Zero 2]])</f>
        <v>#VALUE!</v>
      </c>
      <c r="BI447" s="29" t="e">
        <f>BG447*(1/COUNT(Archive[[#This Row],[Candidate Transfer Standard - Zero 1]:[Candidate Transfer Standard - Zero 2]])+AVERAGE(Archive[[#This Row],[Higher Level Standard - Zero 1]:[Higher Level Standard - Zero 2]])^2/DEVSQ(Archive[[#This Row],[Higher Level Standard - Zero 1]:[Higher Level Standard - Zero 2]]))</f>
        <v>#VALUE!</v>
      </c>
      <c r="BJ447" s="29">
        <f>COUNT(Archive[[#This Row],[Candidate Transfer Standard - Zero 1]:[Candidate Transfer Standard - Zero 2]])</f>
        <v>0</v>
      </c>
    </row>
    <row r="448" spans="1:62" x14ac:dyDescent="0.3">
      <c r="A448" s="57"/>
      <c r="BG44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48" s="29" t="e">
        <f>BG448/DEVSQ(Archive[[#This Row],[Higher Level Standard - Zero 1]:[Higher Level Standard - Zero 2]])</f>
        <v>#VALUE!</v>
      </c>
      <c r="BI448" s="29" t="e">
        <f>BG448*(1/COUNT(Archive[[#This Row],[Candidate Transfer Standard - Zero 1]:[Candidate Transfer Standard - Zero 2]])+AVERAGE(Archive[[#This Row],[Higher Level Standard - Zero 1]:[Higher Level Standard - Zero 2]])^2/DEVSQ(Archive[[#This Row],[Higher Level Standard - Zero 1]:[Higher Level Standard - Zero 2]]))</f>
        <v>#VALUE!</v>
      </c>
      <c r="BJ448" s="29">
        <f>COUNT(Archive[[#This Row],[Candidate Transfer Standard - Zero 1]:[Candidate Transfer Standard - Zero 2]])</f>
        <v>0</v>
      </c>
    </row>
    <row r="449" spans="1:62" x14ac:dyDescent="0.3">
      <c r="A449" s="57"/>
      <c r="BG44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49" s="29" t="e">
        <f>BG449/DEVSQ(Archive[[#This Row],[Higher Level Standard - Zero 1]:[Higher Level Standard - Zero 2]])</f>
        <v>#VALUE!</v>
      </c>
      <c r="BI449" s="29" t="e">
        <f>BG449*(1/COUNT(Archive[[#This Row],[Candidate Transfer Standard - Zero 1]:[Candidate Transfer Standard - Zero 2]])+AVERAGE(Archive[[#This Row],[Higher Level Standard - Zero 1]:[Higher Level Standard - Zero 2]])^2/DEVSQ(Archive[[#This Row],[Higher Level Standard - Zero 1]:[Higher Level Standard - Zero 2]]))</f>
        <v>#VALUE!</v>
      </c>
      <c r="BJ449" s="29">
        <f>COUNT(Archive[[#This Row],[Candidate Transfer Standard - Zero 1]:[Candidate Transfer Standard - Zero 2]])</f>
        <v>0</v>
      </c>
    </row>
    <row r="450" spans="1:62" x14ac:dyDescent="0.3">
      <c r="A450" s="57"/>
      <c r="BG45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50" s="29" t="e">
        <f>BG450/DEVSQ(Archive[[#This Row],[Higher Level Standard - Zero 1]:[Higher Level Standard - Zero 2]])</f>
        <v>#VALUE!</v>
      </c>
      <c r="BI450" s="29" t="e">
        <f>BG450*(1/COUNT(Archive[[#This Row],[Candidate Transfer Standard - Zero 1]:[Candidate Transfer Standard - Zero 2]])+AVERAGE(Archive[[#This Row],[Higher Level Standard - Zero 1]:[Higher Level Standard - Zero 2]])^2/DEVSQ(Archive[[#This Row],[Higher Level Standard - Zero 1]:[Higher Level Standard - Zero 2]]))</f>
        <v>#VALUE!</v>
      </c>
      <c r="BJ450" s="29">
        <f>COUNT(Archive[[#This Row],[Candidate Transfer Standard - Zero 1]:[Candidate Transfer Standard - Zero 2]])</f>
        <v>0</v>
      </c>
    </row>
    <row r="451" spans="1:62" x14ac:dyDescent="0.3">
      <c r="A451" s="57"/>
      <c r="BG45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51" s="29" t="e">
        <f>BG451/DEVSQ(Archive[[#This Row],[Higher Level Standard - Zero 1]:[Higher Level Standard - Zero 2]])</f>
        <v>#VALUE!</v>
      </c>
      <c r="BI451" s="29" t="e">
        <f>BG451*(1/COUNT(Archive[[#This Row],[Candidate Transfer Standard - Zero 1]:[Candidate Transfer Standard - Zero 2]])+AVERAGE(Archive[[#This Row],[Higher Level Standard - Zero 1]:[Higher Level Standard - Zero 2]])^2/DEVSQ(Archive[[#This Row],[Higher Level Standard - Zero 1]:[Higher Level Standard - Zero 2]]))</f>
        <v>#VALUE!</v>
      </c>
      <c r="BJ451" s="29">
        <f>COUNT(Archive[[#This Row],[Candidate Transfer Standard - Zero 1]:[Candidate Transfer Standard - Zero 2]])</f>
        <v>0</v>
      </c>
    </row>
    <row r="452" spans="1:62" x14ac:dyDescent="0.3">
      <c r="A452" s="57"/>
      <c r="BG45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52" s="29" t="e">
        <f>BG452/DEVSQ(Archive[[#This Row],[Higher Level Standard - Zero 1]:[Higher Level Standard - Zero 2]])</f>
        <v>#VALUE!</v>
      </c>
      <c r="BI452" s="29" t="e">
        <f>BG452*(1/COUNT(Archive[[#This Row],[Candidate Transfer Standard - Zero 1]:[Candidate Transfer Standard - Zero 2]])+AVERAGE(Archive[[#This Row],[Higher Level Standard - Zero 1]:[Higher Level Standard - Zero 2]])^2/DEVSQ(Archive[[#This Row],[Higher Level Standard - Zero 1]:[Higher Level Standard - Zero 2]]))</f>
        <v>#VALUE!</v>
      </c>
      <c r="BJ452" s="29">
        <f>COUNT(Archive[[#This Row],[Candidate Transfer Standard - Zero 1]:[Candidate Transfer Standard - Zero 2]])</f>
        <v>0</v>
      </c>
    </row>
    <row r="453" spans="1:62" x14ac:dyDescent="0.3">
      <c r="A453" s="57"/>
      <c r="BG45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53" s="29" t="e">
        <f>BG453/DEVSQ(Archive[[#This Row],[Higher Level Standard - Zero 1]:[Higher Level Standard - Zero 2]])</f>
        <v>#VALUE!</v>
      </c>
      <c r="BI453" s="29" t="e">
        <f>BG453*(1/COUNT(Archive[[#This Row],[Candidate Transfer Standard - Zero 1]:[Candidate Transfer Standard - Zero 2]])+AVERAGE(Archive[[#This Row],[Higher Level Standard - Zero 1]:[Higher Level Standard - Zero 2]])^2/DEVSQ(Archive[[#This Row],[Higher Level Standard - Zero 1]:[Higher Level Standard - Zero 2]]))</f>
        <v>#VALUE!</v>
      </c>
      <c r="BJ453" s="29">
        <f>COUNT(Archive[[#This Row],[Candidate Transfer Standard - Zero 1]:[Candidate Transfer Standard - Zero 2]])</f>
        <v>0</v>
      </c>
    </row>
    <row r="454" spans="1:62" x14ac:dyDescent="0.3">
      <c r="A454" s="57"/>
      <c r="BG45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54" s="29" t="e">
        <f>BG454/DEVSQ(Archive[[#This Row],[Higher Level Standard - Zero 1]:[Higher Level Standard - Zero 2]])</f>
        <v>#VALUE!</v>
      </c>
      <c r="BI454" s="29" t="e">
        <f>BG454*(1/COUNT(Archive[[#This Row],[Candidate Transfer Standard - Zero 1]:[Candidate Transfer Standard - Zero 2]])+AVERAGE(Archive[[#This Row],[Higher Level Standard - Zero 1]:[Higher Level Standard - Zero 2]])^2/DEVSQ(Archive[[#This Row],[Higher Level Standard - Zero 1]:[Higher Level Standard - Zero 2]]))</f>
        <v>#VALUE!</v>
      </c>
      <c r="BJ454" s="29">
        <f>COUNT(Archive[[#This Row],[Candidate Transfer Standard - Zero 1]:[Candidate Transfer Standard - Zero 2]])</f>
        <v>0</v>
      </c>
    </row>
    <row r="455" spans="1:62" x14ac:dyDescent="0.3">
      <c r="A455" s="57"/>
      <c r="BG45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55" s="29" t="e">
        <f>BG455/DEVSQ(Archive[[#This Row],[Higher Level Standard - Zero 1]:[Higher Level Standard - Zero 2]])</f>
        <v>#VALUE!</v>
      </c>
      <c r="BI455" s="29" t="e">
        <f>BG455*(1/COUNT(Archive[[#This Row],[Candidate Transfer Standard - Zero 1]:[Candidate Transfer Standard - Zero 2]])+AVERAGE(Archive[[#This Row],[Higher Level Standard - Zero 1]:[Higher Level Standard - Zero 2]])^2/DEVSQ(Archive[[#This Row],[Higher Level Standard - Zero 1]:[Higher Level Standard - Zero 2]]))</f>
        <v>#VALUE!</v>
      </c>
      <c r="BJ455" s="29">
        <f>COUNT(Archive[[#This Row],[Candidate Transfer Standard - Zero 1]:[Candidate Transfer Standard - Zero 2]])</f>
        <v>0</v>
      </c>
    </row>
    <row r="456" spans="1:62" x14ac:dyDescent="0.3">
      <c r="A456" s="57"/>
      <c r="BG45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56" s="29" t="e">
        <f>BG456/DEVSQ(Archive[[#This Row],[Higher Level Standard - Zero 1]:[Higher Level Standard - Zero 2]])</f>
        <v>#VALUE!</v>
      </c>
      <c r="BI456" s="29" t="e">
        <f>BG456*(1/COUNT(Archive[[#This Row],[Candidate Transfer Standard - Zero 1]:[Candidate Transfer Standard - Zero 2]])+AVERAGE(Archive[[#This Row],[Higher Level Standard - Zero 1]:[Higher Level Standard - Zero 2]])^2/DEVSQ(Archive[[#This Row],[Higher Level Standard - Zero 1]:[Higher Level Standard - Zero 2]]))</f>
        <v>#VALUE!</v>
      </c>
      <c r="BJ456" s="29">
        <f>COUNT(Archive[[#This Row],[Candidate Transfer Standard - Zero 1]:[Candidate Transfer Standard - Zero 2]])</f>
        <v>0</v>
      </c>
    </row>
    <row r="457" spans="1:62" x14ac:dyDescent="0.3">
      <c r="A457" s="57"/>
      <c r="BG45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57" s="29" t="e">
        <f>BG457/DEVSQ(Archive[[#This Row],[Higher Level Standard - Zero 1]:[Higher Level Standard - Zero 2]])</f>
        <v>#VALUE!</v>
      </c>
      <c r="BI457" s="29" t="e">
        <f>BG457*(1/COUNT(Archive[[#This Row],[Candidate Transfer Standard - Zero 1]:[Candidate Transfer Standard - Zero 2]])+AVERAGE(Archive[[#This Row],[Higher Level Standard - Zero 1]:[Higher Level Standard - Zero 2]])^2/DEVSQ(Archive[[#This Row],[Higher Level Standard - Zero 1]:[Higher Level Standard - Zero 2]]))</f>
        <v>#VALUE!</v>
      </c>
      <c r="BJ457" s="29">
        <f>COUNT(Archive[[#This Row],[Candidate Transfer Standard - Zero 1]:[Candidate Transfer Standard - Zero 2]])</f>
        <v>0</v>
      </c>
    </row>
    <row r="458" spans="1:62" x14ac:dyDescent="0.3">
      <c r="A458" s="57"/>
      <c r="BG45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58" s="29" t="e">
        <f>BG458/DEVSQ(Archive[[#This Row],[Higher Level Standard - Zero 1]:[Higher Level Standard - Zero 2]])</f>
        <v>#VALUE!</v>
      </c>
      <c r="BI458" s="29" t="e">
        <f>BG458*(1/COUNT(Archive[[#This Row],[Candidate Transfer Standard - Zero 1]:[Candidate Transfer Standard - Zero 2]])+AVERAGE(Archive[[#This Row],[Higher Level Standard - Zero 1]:[Higher Level Standard - Zero 2]])^2/DEVSQ(Archive[[#This Row],[Higher Level Standard - Zero 1]:[Higher Level Standard - Zero 2]]))</f>
        <v>#VALUE!</v>
      </c>
      <c r="BJ458" s="29">
        <f>COUNT(Archive[[#This Row],[Candidate Transfer Standard - Zero 1]:[Candidate Transfer Standard - Zero 2]])</f>
        <v>0</v>
      </c>
    </row>
    <row r="459" spans="1:62" x14ac:dyDescent="0.3">
      <c r="A459" s="57"/>
      <c r="BG45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59" s="29" t="e">
        <f>BG459/DEVSQ(Archive[[#This Row],[Higher Level Standard - Zero 1]:[Higher Level Standard - Zero 2]])</f>
        <v>#VALUE!</v>
      </c>
      <c r="BI459" s="29" t="e">
        <f>BG459*(1/COUNT(Archive[[#This Row],[Candidate Transfer Standard - Zero 1]:[Candidate Transfer Standard - Zero 2]])+AVERAGE(Archive[[#This Row],[Higher Level Standard - Zero 1]:[Higher Level Standard - Zero 2]])^2/DEVSQ(Archive[[#This Row],[Higher Level Standard - Zero 1]:[Higher Level Standard - Zero 2]]))</f>
        <v>#VALUE!</v>
      </c>
      <c r="BJ459" s="29">
        <f>COUNT(Archive[[#This Row],[Candidate Transfer Standard - Zero 1]:[Candidate Transfer Standard - Zero 2]])</f>
        <v>0</v>
      </c>
    </row>
    <row r="460" spans="1:62" x14ac:dyDescent="0.3">
      <c r="A460" s="57"/>
      <c r="BG46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60" s="29" t="e">
        <f>BG460/DEVSQ(Archive[[#This Row],[Higher Level Standard - Zero 1]:[Higher Level Standard - Zero 2]])</f>
        <v>#VALUE!</v>
      </c>
      <c r="BI460" s="29" t="e">
        <f>BG460*(1/COUNT(Archive[[#This Row],[Candidate Transfer Standard - Zero 1]:[Candidate Transfer Standard - Zero 2]])+AVERAGE(Archive[[#This Row],[Higher Level Standard - Zero 1]:[Higher Level Standard - Zero 2]])^2/DEVSQ(Archive[[#This Row],[Higher Level Standard - Zero 1]:[Higher Level Standard - Zero 2]]))</f>
        <v>#VALUE!</v>
      </c>
      <c r="BJ460" s="29">
        <f>COUNT(Archive[[#This Row],[Candidate Transfer Standard - Zero 1]:[Candidate Transfer Standard - Zero 2]])</f>
        <v>0</v>
      </c>
    </row>
    <row r="461" spans="1:62" x14ac:dyDescent="0.3">
      <c r="A461" s="57"/>
      <c r="BG46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61" s="29" t="e">
        <f>BG461/DEVSQ(Archive[[#This Row],[Higher Level Standard - Zero 1]:[Higher Level Standard - Zero 2]])</f>
        <v>#VALUE!</v>
      </c>
      <c r="BI461" s="29" t="e">
        <f>BG461*(1/COUNT(Archive[[#This Row],[Candidate Transfer Standard - Zero 1]:[Candidate Transfer Standard - Zero 2]])+AVERAGE(Archive[[#This Row],[Higher Level Standard - Zero 1]:[Higher Level Standard - Zero 2]])^2/DEVSQ(Archive[[#This Row],[Higher Level Standard - Zero 1]:[Higher Level Standard - Zero 2]]))</f>
        <v>#VALUE!</v>
      </c>
      <c r="BJ461" s="29">
        <f>COUNT(Archive[[#This Row],[Candidate Transfer Standard - Zero 1]:[Candidate Transfer Standard - Zero 2]])</f>
        <v>0</v>
      </c>
    </row>
    <row r="462" spans="1:62" x14ac:dyDescent="0.3">
      <c r="A462" s="57"/>
      <c r="BG46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62" s="29" t="e">
        <f>BG462/DEVSQ(Archive[[#This Row],[Higher Level Standard - Zero 1]:[Higher Level Standard - Zero 2]])</f>
        <v>#VALUE!</v>
      </c>
      <c r="BI462" s="29" t="e">
        <f>BG462*(1/COUNT(Archive[[#This Row],[Candidate Transfer Standard - Zero 1]:[Candidate Transfer Standard - Zero 2]])+AVERAGE(Archive[[#This Row],[Higher Level Standard - Zero 1]:[Higher Level Standard - Zero 2]])^2/DEVSQ(Archive[[#This Row],[Higher Level Standard - Zero 1]:[Higher Level Standard - Zero 2]]))</f>
        <v>#VALUE!</v>
      </c>
      <c r="BJ462" s="29">
        <f>COUNT(Archive[[#This Row],[Candidate Transfer Standard - Zero 1]:[Candidate Transfer Standard - Zero 2]])</f>
        <v>0</v>
      </c>
    </row>
    <row r="463" spans="1:62" x14ac:dyDescent="0.3">
      <c r="A463" s="57"/>
      <c r="BG46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63" s="29" t="e">
        <f>BG463/DEVSQ(Archive[[#This Row],[Higher Level Standard - Zero 1]:[Higher Level Standard - Zero 2]])</f>
        <v>#VALUE!</v>
      </c>
      <c r="BI463" s="29" t="e">
        <f>BG463*(1/COUNT(Archive[[#This Row],[Candidate Transfer Standard - Zero 1]:[Candidate Transfer Standard - Zero 2]])+AVERAGE(Archive[[#This Row],[Higher Level Standard - Zero 1]:[Higher Level Standard - Zero 2]])^2/DEVSQ(Archive[[#This Row],[Higher Level Standard - Zero 1]:[Higher Level Standard - Zero 2]]))</f>
        <v>#VALUE!</v>
      </c>
      <c r="BJ463" s="29">
        <f>COUNT(Archive[[#This Row],[Candidate Transfer Standard - Zero 1]:[Candidate Transfer Standard - Zero 2]])</f>
        <v>0</v>
      </c>
    </row>
    <row r="464" spans="1:62" x14ac:dyDescent="0.3">
      <c r="A464" s="57"/>
      <c r="BG46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64" s="29" t="e">
        <f>BG464/DEVSQ(Archive[[#This Row],[Higher Level Standard - Zero 1]:[Higher Level Standard - Zero 2]])</f>
        <v>#VALUE!</v>
      </c>
      <c r="BI464" s="29" t="e">
        <f>BG464*(1/COUNT(Archive[[#This Row],[Candidate Transfer Standard - Zero 1]:[Candidate Transfer Standard - Zero 2]])+AVERAGE(Archive[[#This Row],[Higher Level Standard - Zero 1]:[Higher Level Standard - Zero 2]])^2/DEVSQ(Archive[[#This Row],[Higher Level Standard - Zero 1]:[Higher Level Standard - Zero 2]]))</f>
        <v>#VALUE!</v>
      </c>
      <c r="BJ464" s="29">
        <f>COUNT(Archive[[#This Row],[Candidate Transfer Standard - Zero 1]:[Candidate Transfer Standard - Zero 2]])</f>
        <v>0</v>
      </c>
    </row>
    <row r="465" spans="1:62" x14ac:dyDescent="0.3">
      <c r="A465" s="57"/>
      <c r="BG46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65" s="29" t="e">
        <f>BG465/DEVSQ(Archive[[#This Row],[Higher Level Standard - Zero 1]:[Higher Level Standard - Zero 2]])</f>
        <v>#VALUE!</v>
      </c>
      <c r="BI465" s="29" t="e">
        <f>BG465*(1/COUNT(Archive[[#This Row],[Candidate Transfer Standard - Zero 1]:[Candidate Transfer Standard - Zero 2]])+AVERAGE(Archive[[#This Row],[Higher Level Standard - Zero 1]:[Higher Level Standard - Zero 2]])^2/DEVSQ(Archive[[#This Row],[Higher Level Standard - Zero 1]:[Higher Level Standard - Zero 2]]))</f>
        <v>#VALUE!</v>
      </c>
      <c r="BJ465" s="29">
        <f>COUNT(Archive[[#This Row],[Candidate Transfer Standard - Zero 1]:[Candidate Transfer Standard - Zero 2]])</f>
        <v>0</v>
      </c>
    </row>
    <row r="466" spans="1:62" x14ac:dyDescent="0.3">
      <c r="A466" s="57"/>
      <c r="BG46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66" s="29" t="e">
        <f>BG466/DEVSQ(Archive[[#This Row],[Higher Level Standard - Zero 1]:[Higher Level Standard - Zero 2]])</f>
        <v>#VALUE!</v>
      </c>
      <c r="BI466" s="29" t="e">
        <f>BG466*(1/COUNT(Archive[[#This Row],[Candidate Transfer Standard - Zero 1]:[Candidate Transfer Standard - Zero 2]])+AVERAGE(Archive[[#This Row],[Higher Level Standard - Zero 1]:[Higher Level Standard - Zero 2]])^2/DEVSQ(Archive[[#This Row],[Higher Level Standard - Zero 1]:[Higher Level Standard - Zero 2]]))</f>
        <v>#VALUE!</v>
      </c>
      <c r="BJ466" s="29">
        <f>COUNT(Archive[[#This Row],[Candidate Transfer Standard - Zero 1]:[Candidate Transfer Standard - Zero 2]])</f>
        <v>0</v>
      </c>
    </row>
    <row r="467" spans="1:62" x14ac:dyDescent="0.3">
      <c r="A467" s="57"/>
      <c r="BG46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67" s="29" t="e">
        <f>BG467/DEVSQ(Archive[[#This Row],[Higher Level Standard - Zero 1]:[Higher Level Standard - Zero 2]])</f>
        <v>#VALUE!</v>
      </c>
      <c r="BI467" s="29" t="e">
        <f>BG467*(1/COUNT(Archive[[#This Row],[Candidate Transfer Standard - Zero 1]:[Candidate Transfer Standard - Zero 2]])+AVERAGE(Archive[[#This Row],[Higher Level Standard - Zero 1]:[Higher Level Standard - Zero 2]])^2/DEVSQ(Archive[[#This Row],[Higher Level Standard - Zero 1]:[Higher Level Standard - Zero 2]]))</f>
        <v>#VALUE!</v>
      </c>
      <c r="BJ467" s="29">
        <f>COUNT(Archive[[#This Row],[Candidate Transfer Standard - Zero 1]:[Candidate Transfer Standard - Zero 2]])</f>
        <v>0</v>
      </c>
    </row>
    <row r="468" spans="1:62" x14ac:dyDescent="0.3">
      <c r="A468" s="57"/>
      <c r="BG46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68" s="29" t="e">
        <f>BG468/DEVSQ(Archive[[#This Row],[Higher Level Standard - Zero 1]:[Higher Level Standard - Zero 2]])</f>
        <v>#VALUE!</v>
      </c>
      <c r="BI468" s="29" t="e">
        <f>BG468*(1/COUNT(Archive[[#This Row],[Candidate Transfer Standard - Zero 1]:[Candidate Transfer Standard - Zero 2]])+AVERAGE(Archive[[#This Row],[Higher Level Standard - Zero 1]:[Higher Level Standard - Zero 2]])^2/DEVSQ(Archive[[#This Row],[Higher Level Standard - Zero 1]:[Higher Level Standard - Zero 2]]))</f>
        <v>#VALUE!</v>
      </c>
      <c r="BJ468" s="29">
        <f>COUNT(Archive[[#This Row],[Candidate Transfer Standard - Zero 1]:[Candidate Transfer Standard - Zero 2]])</f>
        <v>0</v>
      </c>
    </row>
    <row r="469" spans="1:62" x14ac:dyDescent="0.3">
      <c r="A469" s="57"/>
      <c r="BG46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69" s="29" t="e">
        <f>BG469/DEVSQ(Archive[[#This Row],[Higher Level Standard - Zero 1]:[Higher Level Standard - Zero 2]])</f>
        <v>#VALUE!</v>
      </c>
      <c r="BI469" s="29" t="e">
        <f>BG469*(1/COUNT(Archive[[#This Row],[Candidate Transfer Standard - Zero 1]:[Candidate Transfer Standard - Zero 2]])+AVERAGE(Archive[[#This Row],[Higher Level Standard - Zero 1]:[Higher Level Standard - Zero 2]])^2/DEVSQ(Archive[[#This Row],[Higher Level Standard - Zero 1]:[Higher Level Standard - Zero 2]]))</f>
        <v>#VALUE!</v>
      </c>
      <c r="BJ469" s="29">
        <f>COUNT(Archive[[#This Row],[Candidate Transfer Standard - Zero 1]:[Candidate Transfer Standard - Zero 2]])</f>
        <v>0</v>
      </c>
    </row>
    <row r="470" spans="1:62" x14ac:dyDescent="0.3">
      <c r="A470" s="57"/>
      <c r="BG47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70" s="29" t="e">
        <f>BG470/DEVSQ(Archive[[#This Row],[Higher Level Standard - Zero 1]:[Higher Level Standard - Zero 2]])</f>
        <v>#VALUE!</v>
      </c>
      <c r="BI470" s="29" t="e">
        <f>BG470*(1/COUNT(Archive[[#This Row],[Candidate Transfer Standard - Zero 1]:[Candidate Transfer Standard - Zero 2]])+AVERAGE(Archive[[#This Row],[Higher Level Standard - Zero 1]:[Higher Level Standard - Zero 2]])^2/DEVSQ(Archive[[#This Row],[Higher Level Standard - Zero 1]:[Higher Level Standard - Zero 2]]))</f>
        <v>#VALUE!</v>
      </c>
      <c r="BJ470" s="29">
        <f>COUNT(Archive[[#This Row],[Candidate Transfer Standard - Zero 1]:[Candidate Transfer Standard - Zero 2]])</f>
        <v>0</v>
      </c>
    </row>
    <row r="471" spans="1:62" x14ac:dyDescent="0.3">
      <c r="A471" s="57"/>
      <c r="BG47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71" s="29" t="e">
        <f>BG471/DEVSQ(Archive[[#This Row],[Higher Level Standard - Zero 1]:[Higher Level Standard - Zero 2]])</f>
        <v>#VALUE!</v>
      </c>
      <c r="BI471" s="29" t="e">
        <f>BG471*(1/COUNT(Archive[[#This Row],[Candidate Transfer Standard - Zero 1]:[Candidate Transfer Standard - Zero 2]])+AVERAGE(Archive[[#This Row],[Higher Level Standard - Zero 1]:[Higher Level Standard - Zero 2]])^2/DEVSQ(Archive[[#This Row],[Higher Level Standard - Zero 1]:[Higher Level Standard - Zero 2]]))</f>
        <v>#VALUE!</v>
      </c>
      <c r="BJ471" s="29">
        <f>COUNT(Archive[[#This Row],[Candidate Transfer Standard - Zero 1]:[Candidate Transfer Standard - Zero 2]])</f>
        <v>0</v>
      </c>
    </row>
    <row r="472" spans="1:62" x14ac:dyDescent="0.3">
      <c r="A472" s="57"/>
      <c r="BG47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72" s="29" t="e">
        <f>BG472/DEVSQ(Archive[[#This Row],[Higher Level Standard - Zero 1]:[Higher Level Standard - Zero 2]])</f>
        <v>#VALUE!</v>
      </c>
      <c r="BI472" s="29" t="e">
        <f>BG472*(1/COUNT(Archive[[#This Row],[Candidate Transfer Standard - Zero 1]:[Candidate Transfer Standard - Zero 2]])+AVERAGE(Archive[[#This Row],[Higher Level Standard - Zero 1]:[Higher Level Standard - Zero 2]])^2/DEVSQ(Archive[[#This Row],[Higher Level Standard - Zero 1]:[Higher Level Standard - Zero 2]]))</f>
        <v>#VALUE!</v>
      </c>
      <c r="BJ472" s="29">
        <f>COUNT(Archive[[#This Row],[Candidate Transfer Standard - Zero 1]:[Candidate Transfer Standard - Zero 2]])</f>
        <v>0</v>
      </c>
    </row>
    <row r="473" spans="1:62" x14ac:dyDescent="0.3">
      <c r="A473" s="57"/>
      <c r="BG47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73" s="29" t="e">
        <f>BG473/DEVSQ(Archive[[#This Row],[Higher Level Standard - Zero 1]:[Higher Level Standard - Zero 2]])</f>
        <v>#VALUE!</v>
      </c>
      <c r="BI473" s="29" t="e">
        <f>BG473*(1/COUNT(Archive[[#This Row],[Candidate Transfer Standard - Zero 1]:[Candidate Transfer Standard - Zero 2]])+AVERAGE(Archive[[#This Row],[Higher Level Standard - Zero 1]:[Higher Level Standard - Zero 2]])^2/DEVSQ(Archive[[#This Row],[Higher Level Standard - Zero 1]:[Higher Level Standard - Zero 2]]))</f>
        <v>#VALUE!</v>
      </c>
      <c r="BJ473" s="29">
        <f>COUNT(Archive[[#This Row],[Candidate Transfer Standard - Zero 1]:[Candidate Transfer Standard - Zero 2]])</f>
        <v>0</v>
      </c>
    </row>
    <row r="474" spans="1:62" x14ac:dyDescent="0.3">
      <c r="A474" s="57"/>
      <c r="BG47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74" s="29" t="e">
        <f>BG474/DEVSQ(Archive[[#This Row],[Higher Level Standard - Zero 1]:[Higher Level Standard - Zero 2]])</f>
        <v>#VALUE!</v>
      </c>
      <c r="BI474" s="29" t="e">
        <f>BG474*(1/COUNT(Archive[[#This Row],[Candidate Transfer Standard - Zero 1]:[Candidate Transfer Standard - Zero 2]])+AVERAGE(Archive[[#This Row],[Higher Level Standard - Zero 1]:[Higher Level Standard - Zero 2]])^2/DEVSQ(Archive[[#This Row],[Higher Level Standard - Zero 1]:[Higher Level Standard - Zero 2]]))</f>
        <v>#VALUE!</v>
      </c>
      <c r="BJ474" s="29">
        <f>COUNT(Archive[[#This Row],[Candidate Transfer Standard - Zero 1]:[Candidate Transfer Standard - Zero 2]])</f>
        <v>0</v>
      </c>
    </row>
    <row r="475" spans="1:62" x14ac:dyDescent="0.3">
      <c r="A475" s="57"/>
      <c r="BG47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75" s="29" t="e">
        <f>BG475/DEVSQ(Archive[[#This Row],[Higher Level Standard - Zero 1]:[Higher Level Standard - Zero 2]])</f>
        <v>#VALUE!</v>
      </c>
      <c r="BI475" s="29" t="e">
        <f>BG475*(1/COUNT(Archive[[#This Row],[Candidate Transfer Standard - Zero 1]:[Candidate Transfer Standard - Zero 2]])+AVERAGE(Archive[[#This Row],[Higher Level Standard - Zero 1]:[Higher Level Standard - Zero 2]])^2/DEVSQ(Archive[[#This Row],[Higher Level Standard - Zero 1]:[Higher Level Standard - Zero 2]]))</f>
        <v>#VALUE!</v>
      </c>
      <c r="BJ475" s="29">
        <f>COUNT(Archive[[#This Row],[Candidate Transfer Standard - Zero 1]:[Candidate Transfer Standard - Zero 2]])</f>
        <v>0</v>
      </c>
    </row>
    <row r="476" spans="1:62" x14ac:dyDescent="0.3">
      <c r="A476" s="57"/>
      <c r="BG47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76" s="29" t="e">
        <f>BG476/DEVSQ(Archive[[#This Row],[Higher Level Standard - Zero 1]:[Higher Level Standard - Zero 2]])</f>
        <v>#VALUE!</v>
      </c>
      <c r="BI476" s="29" t="e">
        <f>BG476*(1/COUNT(Archive[[#This Row],[Candidate Transfer Standard - Zero 1]:[Candidate Transfer Standard - Zero 2]])+AVERAGE(Archive[[#This Row],[Higher Level Standard - Zero 1]:[Higher Level Standard - Zero 2]])^2/DEVSQ(Archive[[#This Row],[Higher Level Standard - Zero 1]:[Higher Level Standard - Zero 2]]))</f>
        <v>#VALUE!</v>
      </c>
      <c r="BJ476" s="29">
        <f>COUNT(Archive[[#This Row],[Candidate Transfer Standard - Zero 1]:[Candidate Transfer Standard - Zero 2]])</f>
        <v>0</v>
      </c>
    </row>
    <row r="477" spans="1:62" x14ac:dyDescent="0.3">
      <c r="A477" s="57"/>
      <c r="BG47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77" s="29" t="e">
        <f>BG477/DEVSQ(Archive[[#This Row],[Higher Level Standard - Zero 1]:[Higher Level Standard - Zero 2]])</f>
        <v>#VALUE!</v>
      </c>
      <c r="BI477" s="29" t="e">
        <f>BG477*(1/COUNT(Archive[[#This Row],[Candidate Transfer Standard - Zero 1]:[Candidate Transfer Standard - Zero 2]])+AVERAGE(Archive[[#This Row],[Higher Level Standard - Zero 1]:[Higher Level Standard - Zero 2]])^2/DEVSQ(Archive[[#This Row],[Higher Level Standard - Zero 1]:[Higher Level Standard - Zero 2]]))</f>
        <v>#VALUE!</v>
      </c>
      <c r="BJ477" s="29">
        <f>COUNT(Archive[[#This Row],[Candidate Transfer Standard - Zero 1]:[Candidate Transfer Standard - Zero 2]])</f>
        <v>0</v>
      </c>
    </row>
    <row r="478" spans="1:62" x14ac:dyDescent="0.3">
      <c r="A478" s="57"/>
      <c r="BG47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78" s="29" t="e">
        <f>BG478/DEVSQ(Archive[[#This Row],[Higher Level Standard - Zero 1]:[Higher Level Standard - Zero 2]])</f>
        <v>#VALUE!</v>
      </c>
      <c r="BI478" s="29" t="e">
        <f>BG478*(1/COUNT(Archive[[#This Row],[Candidate Transfer Standard - Zero 1]:[Candidate Transfer Standard - Zero 2]])+AVERAGE(Archive[[#This Row],[Higher Level Standard - Zero 1]:[Higher Level Standard - Zero 2]])^2/DEVSQ(Archive[[#This Row],[Higher Level Standard - Zero 1]:[Higher Level Standard - Zero 2]]))</f>
        <v>#VALUE!</v>
      </c>
      <c r="BJ478" s="29">
        <f>COUNT(Archive[[#This Row],[Candidate Transfer Standard - Zero 1]:[Candidate Transfer Standard - Zero 2]])</f>
        <v>0</v>
      </c>
    </row>
    <row r="479" spans="1:62" x14ac:dyDescent="0.3">
      <c r="A479" s="57"/>
      <c r="BG47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79" s="29" t="e">
        <f>BG479/DEVSQ(Archive[[#This Row],[Higher Level Standard - Zero 1]:[Higher Level Standard - Zero 2]])</f>
        <v>#VALUE!</v>
      </c>
      <c r="BI479" s="29" t="e">
        <f>BG479*(1/COUNT(Archive[[#This Row],[Candidate Transfer Standard - Zero 1]:[Candidate Transfer Standard - Zero 2]])+AVERAGE(Archive[[#This Row],[Higher Level Standard - Zero 1]:[Higher Level Standard - Zero 2]])^2/DEVSQ(Archive[[#This Row],[Higher Level Standard - Zero 1]:[Higher Level Standard - Zero 2]]))</f>
        <v>#VALUE!</v>
      </c>
      <c r="BJ479" s="29">
        <f>COUNT(Archive[[#This Row],[Candidate Transfer Standard - Zero 1]:[Candidate Transfer Standard - Zero 2]])</f>
        <v>0</v>
      </c>
    </row>
    <row r="480" spans="1:62" x14ac:dyDescent="0.3">
      <c r="A480" s="57"/>
      <c r="BG48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80" s="29" t="e">
        <f>BG480/DEVSQ(Archive[[#This Row],[Higher Level Standard - Zero 1]:[Higher Level Standard - Zero 2]])</f>
        <v>#VALUE!</v>
      </c>
      <c r="BI480" s="29" t="e">
        <f>BG480*(1/COUNT(Archive[[#This Row],[Candidate Transfer Standard - Zero 1]:[Candidate Transfer Standard - Zero 2]])+AVERAGE(Archive[[#This Row],[Higher Level Standard - Zero 1]:[Higher Level Standard - Zero 2]])^2/DEVSQ(Archive[[#This Row],[Higher Level Standard - Zero 1]:[Higher Level Standard - Zero 2]]))</f>
        <v>#VALUE!</v>
      </c>
      <c r="BJ480" s="29">
        <f>COUNT(Archive[[#This Row],[Candidate Transfer Standard - Zero 1]:[Candidate Transfer Standard - Zero 2]])</f>
        <v>0</v>
      </c>
    </row>
    <row r="481" spans="1:62" x14ac:dyDescent="0.3">
      <c r="A481" s="57"/>
      <c r="BG48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81" s="29" t="e">
        <f>BG481/DEVSQ(Archive[[#This Row],[Higher Level Standard - Zero 1]:[Higher Level Standard - Zero 2]])</f>
        <v>#VALUE!</v>
      </c>
      <c r="BI481" s="29" t="e">
        <f>BG481*(1/COUNT(Archive[[#This Row],[Candidate Transfer Standard - Zero 1]:[Candidate Transfer Standard - Zero 2]])+AVERAGE(Archive[[#This Row],[Higher Level Standard - Zero 1]:[Higher Level Standard - Zero 2]])^2/DEVSQ(Archive[[#This Row],[Higher Level Standard - Zero 1]:[Higher Level Standard - Zero 2]]))</f>
        <v>#VALUE!</v>
      </c>
      <c r="BJ481" s="29">
        <f>COUNT(Archive[[#This Row],[Candidate Transfer Standard - Zero 1]:[Candidate Transfer Standard - Zero 2]])</f>
        <v>0</v>
      </c>
    </row>
    <row r="482" spans="1:62" x14ac:dyDescent="0.3">
      <c r="A482" s="57"/>
      <c r="BG48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82" s="29" t="e">
        <f>BG482/DEVSQ(Archive[[#This Row],[Higher Level Standard - Zero 1]:[Higher Level Standard - Zero 2]])</f>
        <v>#VALUE!</v>
      </c>
      <c r="BI482" s="29" t="e">
        <f>BG482*(1/COUNT(Archive[[#This Row],[Candidate Transfer Standard - Zero 1]:[Candidate Transfer Standard - Zero 2]])+AVERAGE(Archive[[#This Row],[Higher Level Standard - Zero 1]:[Higher Level Standard - Zero 2]])^2/DEVSQ(Archive[[#This Row],[Higher Level Standard - Zero 1]:[Higher Level Standard - Zero 2]]))</f>
        <v>#VALUE!</v>
      </c>
      <c r="BJ482" s="29">
        <f>COUNT(Archive[[#This Row],[Candidate Transfer Standard - Zero 1]:[Candidate Transfer Standard - Zero 2]])</f>
        <v>0</v>
      </c>
    </row>
    <row r="483" spans="1:62" x14ac:dyDescent="0.3">
      <c r="A483" s="57"/>
      <c r="BG48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83" s="29" t="e">
        <f>BG483/DEVSQ(Archive[[#This Row],[Higher Level Standard - Zero 1]:[Higher Level Standard - Zero 2]])</f>
        <v>#VALUE!</v>
      </c>
      <c r="BI483" s="29" t="e">
        <f>BG483*(1/COUNT(Archive[[#This Row],[Candidate Transfer Standard - Zero 1]:[Candidate Transfer Standard - Zero 2]])+AVERAGE(Archive[[#This Row],[Higher Level Standard - Zero 1]:[Higher Level Standard - Zero 2]])^2/DEVSQ(Archive[[#This Row],[Higher Level Standard - Zero 1]:[Higher Level Standard - Zero 2]]))</f>
        <v>#VALUE!</v>
      </c>
      <c r="BJ483" s="29">
        <f>COUNT(Archive[[#This Row],[Candidate Transfer Standard - Zero 1]:[Candidate Transfer Standard - Zero 2]])</f>
        <v>0</v>
      </c>
    </row>
    <row r="484" spans="1:62" x14ac:dyDescent="0.3">
      <c r="A484" s="57"/>
      <c r="BG48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84" s="29" t="e">
        <f>BG484/DEVSQ(Archive[[#This Row],[Higher Level Standard - Zero 1]:[Higher Level Standard - Zero 2]])</f>
        <v>#VALUE!</v>
      </c>
      <c r="BI484" s="29" t="e">
        <f>BG484*(1/COUNT(Archive[[#This Row],[Candidate Transfer Standard - Zero 1]:[Candidate Transfer Standard - Zero 2]])+AVERAGE(Archive[[#This Row],[Higher Level Standard - Zero 1]:[Higher Level Standard - Zero 2]])^2/DEVSQ(Archive[[#This Row],[Higher Level Standard - Zero 1]:[Higher Level Standard - Zero 2]]))</f>
        <v>#VALUE!</v>
      </c>
      <c r="BJ484" s="29">
        <f>COUNT(Archive[[#This Row],[Candidate Transfer Standard - Zero 1]:[Candidate Transfer Standard - Zero 2]])</f>
        <v>0</v>
      </c>
    </row>
    <row r="485" spans="1:62" x14ac:dyDescent="0.3">
      <c r="A485" s="57"/>
      <c r="BG48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85" s="29" t="e">
        <f>BG485/DEVSQ(Archive[[#This Row],[Higher Level Standard - Zero 1]:[Higher Level Standard - Zero 2]])</f>
        <v>#VALUE!</v>
      </c>
      <c r="BI485" s="29" t="e">
        <f>BG485*(1/COUNT(Archive[[#This Row],[Candidate Transfer Standard - Zero 1]:[Candidate Transfer Standard - Zero 2]])+AVERAGE(Archive[[#This Row],[Higher Level Standard - Zero 1]:[Higher Level Standard - Zero 2]])^2/DEVSQ(Archive[[#This Row],[Higher Level Standard - Zero 1]:[Higher Level Standard - Zero 2]]))</f>
        <v>#VALUE!</v>
      </c>
      <c r="BJ485" s="29">
        <f>COUNT(Archive[[#This Row],[Candidate Transfer Standard - Zero 1]:[Candidate Transfer Standard - Zero 2]])</f>
        <v>0</v>
      </c>
    </row>
    <row r="486" spans="1:62" x14ac:dyDescent="0.3">
      <c r="A486" s="57"/>
      <c r="BG48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86" s="29" t="e">
        <f>BG486/DEVSQ(Archive[[#This Row],[Higher Level Standard - Zero 1]:[Higher Level Standard - Zero 2]])</f>
        <v>#VALUE!</v>
      </c>
      <c r="BI486" s="29" t="e">
        <f>BG486*(1/COUNT(Archive[[#This Row],[Candidate Transfer Standard - Zero 1]:[Candidate Transfer Standard - Zero 2]])+AVERAGE(Archive[[#This Row],[Higher Level Standard - Zero 1]:[Higher Level Standard - Zero 2]])^2/DEVSQ(Archive[[#This Row],[Higher Level Standard - Zero 1]:[Higher Level Standard - Zero 2]]))</f>
        <v>#VALUE!</v>
      </c>
      <c r="BJ486" s="29">
        <f>COUNT(Archive[[#This Row],[Candidate Transfer Standard - Zero 1]:[Candidate Transfer Standard - Zero 2]])</f>
        <v>0</v>
      </c>
    </row>
    <row r="487" spans="1:62" x14ac:dyDescent="0.3">
      <c r="A487" s="57"/>
      <c r="BG48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87" s="29" t="e">
        <f>BG487/DEVSQ(Archive[[#This Row],[Higher Level Standard - Zero 1]:[Higher Level Standard - Zero 2]])</f>
        <v>#VALUE!</v>
      </c>
      <c r="BI487" s="29" t="e">
        <f>BG487*(1/COUNT(Archive[[#This Row],[Candidate Transfer Standard - Zero 1]:[Candidate Transfer Standard - Zero 2]])+AVERAGE(Archive[[#This Row],[Higher Level Standard - Zero 1]:[Higher Level Standard - Zero 2]])^2/DEVSQ(Archive[[#This Row],[Higher Level Standard - Zero 1]:[Higher Level Standard - Zero 2]]))</f>
        <v>#VALUE!</v>
      </c>
      <c r="BJ487" s="29">
        <f>COUNT(Archive[[#This Row],[Candidate Transfer Standard - Zero 1]:[Candidate Transfer Standard - Zero 2]])</f>
        <v>0</v>
      </c>
    </row>
    <row r="488" spans="1:62" x14ac:dyDescent="0.3">
      <c r="A488" s="57"/>
      <c r="BG48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88" s="29" t="e">
        <f>BG488/DEVSQ(Archive[[#This Row],[Higher Level Standard - Zero 1]:[Higher Level Standard - Zero 2]])</f>
        <v>#VALUE!</v>
      </c>
      <c r="BI488" s="29" t="e">
        <f>BG488*(1/COUNT(Archive[[#This Row],[Candidate Transfer Standard - Zero 1]:[Candidate Transfer Standard - Zero 2]])+AVERAGE(Archive[[#This Row],[Higher Level Standard - Zero 1]:[Higher Level Standard - Zero 2]])^2/DEVSQ(Archive[[#This Row],[Higher Level Standard - Zero 1]:[Higher Level Standard - Zero 2]]))</f>
        <v>#VALUE!</v>
      </c>
      <c r="BJ488" s="29">
        <f>COUNT(Archive[[#This Row],[Candidate Transfer Standard - Zero 1]:[Candidate Transfer Standard - Zero 2]])</f>
        <v>0</v>
      </c>
    </row>
    <row r="489" spans="1:62" x14ac:dyDescent="0.3">
      <c r="A489" s="57"/>
      <c r="BG48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89" s="29" t="e">
        <f>BG489/DEVSQ(Archive[[#This Row],[Higher Level Standard - Zero 1]:[Higher Level Standard - Zero 2]])</f>
        <v>#VALUE!</v>
      </c>
      <c r="BI489" s="29" t="e">
        <f>BG489*(1/COUNT(Archive[[#This Row],[Candidate Transfer Standard - Zero 1]:[Candidate Transfer Standard - Zero 2]])+AVERAGE(Archive[[#This Row],[Higher Level Standard - Zero 1]:[Higher Level Standard - Zero 2]])^2/DEVSQ(Archive[[#This Row],[Higher Level Standard - Zero 1]:[Higher Level Standard - Zero 2]]))</f>
        <v>#VALUE!</v>
      </c>
      <c r="BJ489" s="29">
        <f>COUNT(Archive[[#This Row],[Candidate Transfer Standard - Zero 1]:[Candidate Transfer Standard - Zero 2]])</f>
        <v>0</v>
      </c>
    </row>
    <row r="490" spans="1:62" x14ac:dyDescent="0.3">
      <c r="A490" s="57"/>
      <c r="BG49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90" s="29" t="e">
        <f>BG490/DEVSQ(Archive[[#This Row],[Higher Level Standard - Zero 1]:[Higher Level Standard - Zero 2]])</f>
        <v>#VALUE!</v>
      </c>
      <c r="BI490" s="29" t="e">
        <f>BG490*(1/COUNT(Archive[[#This Row],[Candidate Transfer Standard - Zero 1]:[Candidate Transfer Standard - Zero 2]])+AVERAGE(Archive[[#This Row],[Higher Level Standard - Zero 1]:[Higher Level Standard - Zero 2]])^2/DEVSQ(Archive[[#This Row],[Higher Level Standard - Zero 1]:[Higher Level Standard - Zero 2]]))</f>
        <v>#VALUE!</v>
      </c>
      <c r="BJ490" s="29">
        <f>COUNT(Archive[[#This Row],[Candidate Transfer Standard - Zero 1]:[Candidate Transfer Standard - Zero 2]])</f>
        <v>0</v>
      </c>
    </row>
    <row r="491" spans="1:62" x14ac:dyDescent="0.3">
      <c r="A491" s="57"/>
      <c r="BG49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91" s="29" t="e">
        <f>BG491/DEVSQ(Archive[[#This Row],[Higher Level Standard - Zero 1]:[Higher Level Standard - Zero 2]])</f>
        <v>#VALUE!</v>
      </c>
      <c r="BI491" s="29" t="e">
        <f>BG491*(1/COUNT(Archive[[#This Row],[Candidate Transfer Standard - Zero 1]:[Candidate Transfer Standard - Zero 2]])+AVERAGE(Archive[[#This Row],[Higher Level Standard - Zero 1]:[Higher Level Standard - Zero 2]])^2/DEVSQ(Archive[[#This Row],[Higher Level Standard - Zero 1]:[Higher Level Standard - Zero 2]]))</f>
        <v>#VALUE!</v>
      </c>
      <c r="BJ491" s="29">
        <f>COUNT(Archive[[#This Row],[Candidate Transfer Standard - Zero 1]:[Candidate Transfer Standard - Zero 2]])</f>
        <v>0</v>
      </c>
    </row>
    <row r="492" spans="1:62" x14ac:dyDescent="0.3">
      <c r="A492" s="57"/>
      <c r="BG49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92" s="29" t="e">
        <f>BG492/DEVSQ(Archive[[#This Row],[Higher Level Standard - Zero 1]:[Higher Level Standard - Zero 2]])</f>
        <v>#VALUE!</v>
      </c>
      <c r="BI492" s="29" t="e">
        <f>BG492*(1/COUNT(Archive[[#This Row],[Candidate Transfer Standard - Zero 1]:[Candidate Transfer Standard - Zero 2]])+AVERAGE(Archive[[#This Row],[Higher Level Standard - Zero 1]:[Higher Level Standard - Zero 2]])^2/DEVSQ(Archive[[#This Row],[Higher Level Standard - Zero 1]:[Higher Level Standard - Zero 2]]))</f>
        <v>#VALUE!</v>
      </c>
      <c r="BJ492" s="29">
        <f>COUNT(Archive[[#This Row],[Candidate Transfer Standard - Zero 1]:[Candidate Transfer Standard - Zero 2]])</f>
        <v>0</v>
      </c>
    </row>
    <row r="493" spans="1:62" x14ac:dyDescent="0.3">
      <c r="A493" s="57"/>
      <c r="BG49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93" s="29" t="e">
        <f>BG493/DEVSQ(Archive[[#This Row],[Higher Level Standard - Zero 1]:[Higher Level Standard - Zero 2]])</f>
        <v>#VALUE!</v>
      </c>
      <c r="BI493" s="29" t="e">
        <f>BG493*(1/COUNT(Archive[[#This Row],[Candidate Transfer Standard - Zero 1]:[Candidate Transfer Standard - Zero 2]])+AVERAGE(Archive[[#This Row],[Higher Level Standard - Zero 1]:[Higher Level Standard - Zero 2]])^2/DEVSQ(Archive[[#This Row],[Higher Level Standard - Zero 1]:[Higher Level Standard - Zero 2]]))</f>
        <v>#VALUE!</v>
      </c>
      <c r="BJ493" s="29">
        <f>COUNT(Archive[[#This Row],[Candidate Transfer Standard - Zero 1]:[Candidate Transfer Standard - Zero 2]])</f>
        <v>0</v>
      </c>
    </row>
    <row r="494" spans="1:62" x14ac:dyDescent="0.3">
      <c r="A494" s="57"/>
      <c r="BG49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94" s="29" t="e">
        <f>BG494/DEVSQ(Archive[[#This Row],[Higher Level Standard - Zero 1]:[Higher Level Standard - Zero 2]])</f>
        <v>#VALUE!</v>
      </c>
      <c r="BI494" s="29" t="e">
        <f>BG494*(1/COUNT(Archive[[#This Row],[Candidate Transfer Standard - Zero 1]:[Candidate Transfer Standard - Zero 2]])+AVERAGE(Archive[[#This Row],[Higher Level Standard - Zero 1]:[Higher Level Standard - Zero 2]])^2/DEVSQ(Archive[[#This Row],[Higher Level Standard - Zero 1]:[Higher Level Standard - Zero 2]]))</f>
        <v>#VALUE!</v>
      </c>
      <c r="BJ494" s="29">
        <f>COUNT(Archive[[#This Row],[Candidate Transfer Standard - Zero 1]:[Candidate Transfer Standard - Zero 2]])</f>
        <v>0</v>
      </c>
    </row>
    <row r="495" spans="1:62" x14ac:dyDescent="0.3">
      <c r="A495" s="57"/>
      <c r="BG49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95" s="29" t="e">
        <f>BG495/DEVSQ(Archive[[#This Row],[Higher Level Standard - Zero 1]:[Higher Level Standard - Zero 2]])</f>
        <v>#VALUE!</v>
      </c>
      <c r="BI495" s="29" t="e">
        <f>BG495*(1/COUNT(Archive[[#This Row],[Candidate Transfer Standard - Zero 1]:[Candidate Transfer Standard - Zero 2]])+AVERAGE(Archive[[#This Row],[Higher Level Standard - Zero 1]:[Higher Level Standard - Zero 2]])^2/DEVSQ(Archive[[#This Row],[Higher Level Standard - Zero 1]:[Higher Level Standard - Zero 2]]))</f>
        <v>#VALUE!</v>
      </c>
      <c r="BJ495" s="29">
        <f>COUNT(Archive[[#This Row],[Candidate Transfer Standard - Zero 1]:[Candidate Transfer Standard - Zero 2]])</f>
        <v>0</v>
      </c>
    </row>
    <row r="496" spans="1:62" x14ac:dyDescent="0.3">
      <c r="A496" s="57"/>
      <c r="BG49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96" s="29" t="e">
        <f>BG496/DEVSQ(Archive[[#This Row],[Higher Level Standard - Zero 1]:[Higher Level Standard - Zero 2]])</f>
        <v>#VALUE!</v>
      </c>
      <c r="BI496" s="29" t="e">
        <f>BG496*(1/COUNT(Archive[[#This Row],[Candidate Transfer Standard - Zero 1]:[Candidate Transfer Standard - Zero 2]])+AVERAGE(Archive[[#This Row],[Higher Level Standard - Zero 1]:[Higher Level Standard - Zero 2]])^2/DEVSQ(Archive[[#This Row],[Higher Level Standard - Zero 1]:[Higher Level Standard - Zero 2]]))</f>
        <v>#VALUE!</v>
      </c>
      <c r="BJ496" s="29">
        <f>COUNT(Archive[[#This Row],[Candidate Transfer Standard - Zero 1]:[Candidate Transfer Standard - Zero 2]])</f>
        <v>0</v>
      </c>
    </row>
    <row r="497" spans="1:62" x14ac:dyDescent="0.3">
      <c r="A497" s="57"/>
      <c r="BG49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97" s="29" t="e">
        <f>BG497/DEVSQ(Archive[[#This Row],[Higher Level Standard - Zero 1]:[Higher Level Standard - Zero 2]])</f>
        <v>#VALUE!</v>
      </c>
      <c r="BI497" s="29" t="e">
        <f>BG497*(1/COUNT(Archive[[#This Row],[Candidate Transfer Standard - Zero 1]:[Candidate Transfer Standard - Zero 2]])+AVERAGE(Archive[[#This Row],[Higher Level Standard - Zero 1]:[Higher Level Standard - Zero 2]])^2/DEVSQ(Archive[[#This Row],[Higher Level Standard - Zero 1]:[Higher Level Standard - Zero 2]]))</f>
        <v>#VALUE!</v>
      </c>
      <c r="BJ497" s="29">
        <f>COUNT(Archive[[#This Row],[Candidate Transfer Standard - Zero 1]:[Candidate Transfer Standard - Zero 2]])</f>
        <v>0</v>
      </c>
    </row>
    <row r="498" spans="1:62" x14ac:dyDescent="0.3">
      <c r="A498" s="57"/>
      <c r="BG49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98" s="29" t="e">
        <f>BG498/DEVSQ(Archive[[#This Row],[Higher Level Standard - Zero 1]:[Higher Level Standard - Zero 2]])</f>
        <v>#VALUE!</v>
      </c>
      <c r="BI498" s="29" t="e">
        <f>BG498*(1/COUNT(Archive[[#This Row],[Candidate Transfer Standard - Zero 1]:[Candidate Transfer Standard - Zero 2]])+AVERAGE(Archive[[#This Row],[Higher Level Standard - Zero 1]:[Higher Level Standard - Zero 2]])^2/DEVSQ(Archive[[#This Row],[Higher Level Standard - Zero 1]:[Higher Level Standard - Zero 2]]))</f>
        <v>#VALUE!</v>
      </c>
      <c r="BJ498" s="29">
        <f>COUNT(Archive[[#This Row],[Candidate Transfer Standard - Zero 1]:[Candidate Transfer Standard - Zero 2]])</f>
        <v>0</v>
      </c>
    </row>
    <row r="499" spans="1:62" x14ac:dyDescent="0.3">
      <c r="A499" s="57"/>
      <c r="BG49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499" s="29" t="e">
        <f>BG499/DEVSQ(Archive[[#This Row],[Higher Level Standard - Zero 1]:[Higher Level Standard - Zero 2]])</f>
        <v>#VALUE!</v>
      </c>
      <c r="BI499" s="29" t="e">
        <f>BG499*(1/COUNT(Archive[[#This Row],[Candidate Transfer Standard - Zero 1]:[Candidate Transfer Standard - Zero 2]])+AVERAGE(Archive[[#This Row],[Higher Level Standard - Zero 1]:[Higher Level Standard - Zero 2]])^2/DEVSQ(Archive[[#This Row],[Higher Level Standard - Zero 1]:[Higher Level Standard - Zero 2]]))</f>
        <v>#VALUE!</v>
      </c>
      <c r="BJ499" s="29">
        <f>COUNT(Archive[[#This Row],[Candidate Transfer Standard - Zero 1]:[Candidate Transfer Standard - Zero 2]])</f>
        <v>0</v>
      </c>
    </row>
    <row r="500" spans="1:62" x14ac:dyDescent="0.3">
      <c r="A500" s="57"/>
      <c r="BG50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00" s="29" t="e">
        <f>BG500/DEVSQ(Archive[[#This Row],[Higher Level Standard - Zero 1]:[Higher Level Standard - Zero 2]])</f>
        <v>#VALUE!</v>
      </c>
      <c r="BI500" s="29" t="e">
        <f>BG500*(1/COUNT(Archive[[#This Row],[Candidate Transfer Standard - Zero 1]:[Candidate Transfer Standard - Zero 2]])+AVERAGE(Archive[[#This Row],[Higher Level Standard - Zero 1]:[Higher Level Standard - Zero 2]])^2/DEVSQ(Archive[[#This Row],[Higher Level Standard - Zero 1]:[Higher Level Standard - Zero 2]]))</f>
        <v>#VALUE!</v>
      </c>
      <c r="BJ500" s="29">
        <f>COUNT(Archive[[#This Row],[Candidate Transfer Standard - Zero 1]:[Candidate Transfer Standard - Zero 2]])</f>
        <v>0</v>
      </c>
    </row>
    <row r="501" spans="1:62" x14ac:dyDescent="0.3">
      <c r="A501" s="57"/>
      <c r="BG50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01" s="29" t="e">
        <f>BG501/DEVSQ(Archive[[#This Row],[Higher Level Standard - Zero 1]:[Higher Level Standard - Zero 2]])</f>
        <v>#VALUE!</v>
      </c>
      <c r="BI501" s="29" t="e">
        <f>BG501*(1/COUNT(Archive[[#This Row],[Candidate Transfer Standard - Zero 1]:[Candidate Transfer Standard - Zero 2]])+AVERAGE(Archive[[#This Row],[Higher Level Standard - Zero 1]:[Higher Level Standard - Zero 2]])^2/DEVSQ(Archive[[#This Row],[Higher Level Standard - Zero 1]:[Higher Level Standard - Zero 2]]))</f>
        <v>#VALUE!</v>
      </c>
      <c r="BJ501" s="29">
        <f>COUNT(Archive[[#This Row],[Candidate Transfer Standard - Zero 1]:[Candidate Transfer Standard - Zero 2]])</f>
        <v>0</v>
      </c>
    </row>
    <row r="502" spans="1:62" x14ac:dyDescent="0.3">
      <c r="A502" s="57"/>
      <c r="BG50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02" s="29" t="e">
        <f>BG502/DEVSQ(Archive[[#This Row],[Higher Level Standard - Zero 1]:[Higher Level Standard - Zero 2]])</f>
        <v>#VALUE!</v>
      </c>
      <c r="BI502" s="29" t="e">
        <f>BG502*(1/COUNT(Archive[[#This Row],[Candidate Transfer Standard - Zero 1]:[Candidate Transfer Standard - Zero 2]])+AVERAGE(Archive[[#This Row],[Higher Level Standard - Zero 1]:[Higher Level Standard - Zero 2]])^2/DEVSQ(Archive[[#This Row],[Higher Level Standard - Zero 1]:[Higher Level Standard - Zero 2]]))</f>
        <v>#VALUE!</v>
      </c>
      <c r="BJ502" s="29">
        <f>COUNT(Archive[[#This Row],[Candidate Transfer Standard - Zero 1]:[Candidate Transfer Standard - Zero 2]])</f>
        <v>0</v>
      </c>
    </row>
    <row r="503" spans="1:62" x14ac:dyDescent="0.3">
      <c r="A503" s="57"/>
      <c r="BG50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03" s="29" t="e">
        <f>BG503/DEVSQ(Archive[[#This Row],[Higher Level Standard - Zero 1]:[Higher Level Standard - Zero 2]])</f>
        <v>#VALUE!</v>
      </c>
      <c r="BI503" s="29" t="e">
        <f>BG503*(1/COUNT(Archive[[#This Row],[Candidate Transfer Standard - Zero 1]:[Candidate Transfer Standard - Zero 2]])+AVERAGE(Archive[[#This Row],[Higher Level Standard - Zero 1]:[Higher Level Standard - Zero 2]])^2/DEVSQ(Archive[[#This Row],[Higher Level Standard - Zero 1]:[Higher Level Standard - Zero 2]]))</f>
        <v>#VALUE!</v>
      </c>
      <c r="BJ503" s="29">
        <f>COUNT(Archive[[#This Row],[Candidate Transfer Standard - Zero 1]:[Candidate Transfer Standard - Zero 2]])</f>
        <v>0</v>
      </c>
    </row>
    <row r="504" spans="1:62" x14ac:dyDescent="0.3">
      <c r="A504" s="57"/>
      <c r="BG50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04" s="29" t="e">
        <f>BG504/DEVSQ(Archive[[#This Row],[Higher Level Standard - Zero 1]:[Higher Level Standard - Zero 2]])</f>
        <v>#VALUE!</v>
      </c>
      <c r="BI504" s="29" t="e">
        <f>BG504*(1/COUNT(Archive[[#This Row],[Candidate Transfer Standard - Zero 1]:[Candidate Transfer Standard - Zero 2]])+AVERAGE(Archive[[#This Row],[Higher Level Standard - Zero 1]:[Higher Level Standard - Zero 2]])^2/DEVSQ(Archive[[#This Row],[Higher Level Standard - Zero 1]:[Higher Level Standard - Zero 2]]))</f>
        <v>#VALUE!</v>
      </c>
      <c r="BJ504" s="29">
        <f>COUNT(Archive[[#This Row],[Candidate Transfer Standard - Zero 1]:[Candidate Transfer Standard - Zero 2]])</f>
        <v>0</v>
      </c>
    </row>
    <row r="505" spans="1:62" x14ac:dyDescent="0.3">
      <c r="A505" s="57"/>
      <c r="BG50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05" s="29" t="e">
        <f>BG505/DEVSQ(Archive[[#This Row],[Higher Level Standard - Zero 1]:[Higher Level Standard - Zero 2]])</f>
        <v>#VALUE!</v>
      </c>
      <c r="BI505" s="29" t="e">
        <f>BG505*(1/COUNT(Archive[[#This Row],[Candidate Transfer Standard - Zero 1]:[Candidate Transfer Standard - Zero 2]])+AVERAGE(Archive[[#This Row],[Higher Level Standard - Zero 1]:[Higher Level Standard - Zero 2]])^2/DEVSQ(Archive[[#This Row],[Higher Level Standard - Zero 1]:[Higher Level Standard - Zero 2]]))</f>
        <v>#VALUE!</v>
      </c>
      <c r="BJ505" s="29">
        <f>COUNT(Archive[[#This Row],[Candidate Transfer Standard - Zero 1]:[Candidate Transfer Standard - Zero 2]])</f>
        <v>0</v>
      </c>
    </row>
    <row r="506" spans="1:62" x14ac:dyDescent="0.3">
      <c r="A506" s="57"/>
      <c r="BG50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06" s="29" t="e">
        <f>BG506/DEVSQ(Archive[[#This Row],[Higher Level Standard - Zero 1]:[Higher Level Standard - Zero 2]])</f>
        <v>#VALUE!</v>
      </c>
      <c r="BI506" s="29" t="e">
        <f>BG506*(1/COUNT(Archive[[#This Row],[Candidate Transfer Standard - Zero 1]:[Candidate Transfer Standard - Zero 2]])+AVERAGE(Archive[[#This Row],[Higher Level Standard - Zero 1]:[Higher Level Standard - Zero 2]])^2/DEVSQ(Archive[[#This Row],[Higher Level Standard - Zero 1]:[Higher Level Standard - Zero 2]]))</f>
        <v>#VALUE!</v>
      </c>
      <c r="BJ506" s="29">
        <f>COUNT(Archive[[#This Row],[Candidate Transfer Standard - Zero 1]:[Candidate Transfer Standard - Zero 2]])</f>
        <v>0</v>
      </c>
    </row>
    <row r="507" spans="1:62" x14ac:dyDescent="0.3">
      <c r="A507" s="57"/>
      <c r="BG50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07" s="29" t="e">
        <f>BG507/DEVSQ(Archive[[#This Row],[Higher Level Standard - Zero 1]:[Higher Level Standard - Zero 2]])</f>
        <v>#VALUE!</v>
      </c>
      <c r="BI507" s="29" t="e">
        <f>BG507*(1/COUNT(Archive[[#This Row],[Candidate Transfer Standard - Zero 1]:[Candidate Transfer Standard - Zero 2]])+AVERAGE(Archive[[#This Row],[Higher Level Standard - Zero 1]:[Higher Level Standard - Zero 2]])^2/DEVSQ(Archive[[#This Row],[Higher Level Standard - Zero 1]:[Higher Level Standard - Zero 2]]))</f>
        <v>#VALUE!</v>
      </c>
      <c r="BJ507" s="29">
        <f>COUNT(Archive[[#This Row],[Candidate Transfer Standard - Zero 1]:[Candidate Transfer Standard - Zero 2]])</f>
        <v>0</v>
      </c>
    </row>
    <row r="508" spans="1:62" x14ac:dyDescent="0.3">
      <c r="A508" s="57"/>
      <c r="BG50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08" s="29" t="e">
        <f>BG508/DEVSQ(Archive[[#This Row],[Higher Level Standard - Zero 1]:[Higher Level Standard - Zero 2]])</f>
        <v>#VALUE!</v>
      </c>
      <c r="BI508" s="29" t="e">
        <f>BG508*(1/COUNT(Archive[[#This Row],[Candidate Transfer Standard - Zero 1]:[Candidate Transfer Standard - Zero 2]])+AVERAGE(Archive[[#This Row],[Higher Level Standard - Zero 1]:[Higher Level Standard - Zero 2]])^2/DEVSQ(Archive[[#This Row],[Higher Level Standard - Zero 1]:[Higher Level Standard - Zero 2]]))</f>
        <v>#VALUE!</v>
      </c>
      <c r="BJ508" s="29">
        <f>COUNT(Archive[[#This Row],[Candidate Transfer Standard - Zero 1]:[Candidate Transfer Standard - Zero 2]])</f>
        <v>0</v>
      </c>
    </row>
    <row r="509" spans="1:62" x14ac:dyDescent="0.3">
      <c r="A509" s="57"/>
      <c r="BG50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09" s="29" t="e">
        <f>BG509/DEVSQ(Archive[[#This Row],[Higher Level Standard - Zero 1]:[Higher Level Standard - Zero 2]])</f>
        <v>#VALUE!</v>
      </c>
      <c r="BI509" s="29" t="e">
        <f>BG509*(1/COUNT(Archive[[#This Row],[Candidate Transfer Standard - Zero 1]:[Candidate Transfer Standard - Zero 2]])+AVERAGE(Archive[[#This Row],[Higher Level Standard - Zero 1]:[Higher Level Standard - Zero 2]])^2/DEVSQ(Archive[[#This Row],[Higher Level Standard - Zero 1]:[Higher Level Standard - Zero 2]]))</f>
        <v>#VALUE!</v>
      </c>
      <c r="BJ509" s="29">
        <f>COUNT(Archive[[#This Row],[Candidate Transfer Standard - Zero 1]:[Candidate Transfer Standard - Zero 2]])</f>
        <v>0</v>
      </c>
    </row>
    <row r="510" spans="1:62" x14ac:dyDescent="0.3">
      <c r="A510" s="57"/>
      <c r="BG51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10" s="29" t="e">
        <f>BG510/DEVSQ(Archive[[#This Row],[Higher Level Standard - Zero 1]:[Higher Level Standard - Zero 2]])</f>
        <v>#VALUE!</v>
      </c>
      <c r="BI510" s="29" t="e">
        <f>BG510*(1/COUNT(Archive[[#This Row],[Candidate Transfer Standard - Zero 1]:[Candidate Transfer Standard - Zero 2]])+AVERAGE(Archive[[#This Row],[Higher Level Standard - Zero 1]:[Higher Level Standard - Zero 2]])^2/DEVSQ(Archive[[#This Row],[Higher Level Standard - Zero 1]:[Higher Level Standard - Zero 2]]))</f>
        <v>#VALUE!</v>
      </c>
      <c r="BJ510" s="29">
        <f>COUNT(Archive[[#This Row],[Candidate Transfer Standard - Zero 1]:[Candidate Transfer Standard - Zero 2]])</f>
        <v>0</v>
      </c>
    </row>
    <row r="511" spans="1:62" x14ac:dyDescent="0.3">
      <c r="A511" s="57"/>
      <c r="BG51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11" s="29" t="e">
        <f>BG511/DEVSQ(Archive[[#This Row],[Higher Level Standard - Zero 1]:[Higher Level Standard - Zero 2]])</f>
        <v>#VALUE!</v>
      </c>
      <c r="BI511" s="29" t="e">
        <f>BG511*(1/COUNT(Archive[[#This Row],[Candidate Transfer Standard - Zero 1]:[Candidate Transfer Standard - Zero 2]])+AVERAGE(Archive[[#This Row],[Higher Level Standard - Zero 1]:[Higher Level Standard - Zero 2]])^2/DEVSQ(Archive[[#This Row],[Higher Level Standard - Zero 1]:[Higher Level Standard - Zero 2]]))</f>
        <v>#VALUE!</v>
      </c>
      <c r="BJ511" s="29">
        <f>COUNT(Archive[[#This Row],[Candidate Transfer Standard - Zero 1]:[Candidate Transfer Standard - Zero 2]])</f>
        <v>0</v>
      </c>
    </row>
    <row r="512" spans="1:62" x14ac:dyDescent="0.3">
      <c r="A512" s="57"/>
      <c r="BG51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12" s="29" t="e">
        <f>BG512/DEVSQ(Archive[[#This Row],[Higher Level Standard - Zero 1]:[Higher Level Standard - Zero 2]])</f>
        <v>#VALUE!</v>
      </c>
      <c r="BI512" s="29" t="e">
        <f>BG512*(1/COUNT(Archive[[#This Row],[Candidate Transfer Standard - Zero 1]:[Candidate Transfer Standard - Zero 2]])+AVERAGE(Archive[[#This Row],[Higher Level Standard - Zero 1]:[Higher Level Standard - Zero 2]])^2/DEVSQ(Archive[[#This Row],[Higher Level Standard - Zero 1]:[Higher Level Standard - Zero 2]]))</f>
        <v>#VALUE!</v>
      </c>
      <c r="BJ512" s="29">
        <f>COUNT(Archive[[#This Row],[Candidate Transfer Standard - Zero 1]:[Candidate Transfer Standard - Zero 2]])</f>
        <v>0</v>
      </c>
    </row>
    <row r="513" spans="1:62" x14ac:dyDescent="0.3">
      <c r="A513" s="57"/>
      <c r="BG51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13" s="29" t="e">
        <f>BG513/DEVSQ(Archive[[#This Row],[Higher Level Standard - Zero 1]:[Higher Level Standard - Zero 2]])</f>
        <v>#VALUE!</v>
      </c>
      <c r="BI513" s="29" t="e">
        <f>BG513*(1/COUNT(Archive[[#This Row],[Candidate Transfer Standard - Zero 1]:[Candidate Transfer Standard - Zero 2]])+AVERAGE(Archive[[#This Row],[Higher Level Standard - Zero 1]:[Higher Level Standard - Zero 2]])^2/DEVSQ(Archive[[#This Row],[Higher Level Standard - Zero 1]:[Higher Level Standard - Zero 2]]))</f>
        <v>#VALUE!</v>
      </c>
      <c r="BJ513" s="29">
        <f>COUNT(Archive[[#This Row],[Candidate Transfer Standard - Zero 1]:[Candidate Transfer Standard - Zero 2]])</f>
        <v>0</v>
      </c>
    </row>
    <row r="514" spans="1:62" x14ac:dyDescent="0.3">
      <c r="A514" s="57"/>
      <c r="BG51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14" s="29" t="e">
        <f>BG514/DEVSQ(Archive[[#This Row],[Higher Level Standard - Zero 1]:[Higher Level Standard - Zero 2]])</f>
        <v>#VALUE!</v>
      </c>
      <c r="BI514" s="29" t="e">
        <f>BG514*(1/COUNT(Archive[[#This Row],[Candidate Transfer Standard - Zero 1]:[Candidate Transfer Standard - Zero 2]])+AVERAGE(Archive[[#This Row],[Higher Level Standard - Zero 1]:[Higher Level Standard - Zero 2]])^2/DEVSQ(Archive[[#This Row],[Higher Level Standard - Zero 1]:[Higher Level Standard - Zero 2]]))</f>
        <v>#VALUE!</v>
      </c>
      <c r="BJ514" s="29">
        <f>COUNT(Archive[[#This Row],[Candidate Transfer Standard - Zero 1]:[Candidate Transfer Standard - Zero 2]])</f>
        <v>0</v>
      </c>
    </row>
    <row r="515" spans="1:62" x14ac:dyDescent="0.3">
      <c r="A515" s="57"/>
      <c r="BG51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15" s="29" t="e">
        <f>BG515/DEVSQ(Archive[[#This Row],[Higher Level Standard - Zero 1]:[Higher Level Standard - Zero 2]])</f>
        <v>#VALUE!</v>
      </c>
      <c r="BI515" s="29" t="e">
        <f>BG515*(1/COUNT(Archive[[#This Row],[Candidate Transfer Standard - Zero 1]:[Candidate Transfer Standard - Zero 2]])+AVERAGE(Archive[[#This Row],[Higher Level Standard - Zero 1]:[Higher Level Standard - Zero 2]])^2/DEVSQ(Archive[[#This Row],[Higher Level Standard - Zero 1]:[Higher Level Standard - Zero 2]]))</f>
        <v>#VALUE!</v>
      </c>
      <c r="BJ515" s="29">
        <f>COUNT(Archive[[#This Row],[Candidate Transfer Standard - Zero 1]:[Candidate Transfer Standard - Zero 2]])</f>
        <v>0</v>
      </c>
    </row>
    <row r="516" spans="1:62" x14ac:dyDescent="0.3">
      <c r="A516" s="57"/>
      <c r="BG51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16" s="29" t="e">
        <f>BG516/DEVSQ(Archive[[#This Row],[Higher Level Standard - Zero 1]:[Higher Level Standard - Zero 2]])</f>
        <v>#VALUE!</v>
      </c>
      <c r="BI516" s="29" t="e">
        <f>BG516*(1/COUNT(Archive[[#This Row],[Candidate Transfer Standard - Zero 1]:[Candidate Transfer Standard - Zero 2]])+AVERAGE(Archive[[#This Row],[Higher Level Standard - Zero 1]:[Higher Level Standard - Zero 2]])^2/DEVSQ(Archive[[#This Row],[Higher Level Standard - Zero 1]:[Higher Level Standard - Zero 2]]))</f>
        <v>#VALUE!</v>
      </c>
      <c r="BJ516" s="29">
        <f>COUNT(Archive[[#This Row],[Candidate Transfer Standard - Zero 1]:[Candidate Transfer Standard - Zero 2]])</f>
        <v>0</v>
      </c>
    </row>
    <row r="517" spans="1:62" x14ac:dyDescent="0.3">
      <c r="A517" s="57"/>
      <c r="BG51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17" s="29" t="e">
        <f>BG517/DEVSQ(Archive[[#This Row],[Higher Level Standard - Zero 1]:[Higher Level Standard - Zero 2]])</f>
        <v>#VALUE!</v>
      </c>
      <c r="BI517" s="29" t="e">
        <f>BG517*(1/COUNT(Archive[[#This Row],[Candidate Transfer Standard - Zero 1]:[Candidate Transfer Standard - Zero 2]])+AVERAGE(Archive[[#This Row],[Higher Level Standard - Zero 1]:[Higher Level Standard - Zero 2]])^2/DEVSQ(Archive[[#This Row],[Higher Level Standard - Zero 1]:[Higher Level Standard - Zero 2]]))</f>
        <v>#VALUE!</v>
      </c>
      <c r="BJ517" s="29">
        <f>COUNT(Archive[[#This Row],[Candidate Transfer Standard - Zero 1]:[Candidate Transfer Standard - Zero 2]])</f>
        <v>0</v>
      </c>
    </row>
    <row r="518" spans="1:62" x14ac:dyDescent="0.3">
      <c r="A518" s="57"/>
      <c r="BG51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18" s="29" t="e">
        <f>BG518/DEVSQ(Archive[[#This Row],[Higher Level Standard - Zero 1]:[Higher Level Standard - Zero 2]])</f>
        <v>#VALUE!</v>
      </c>
      <c r="BI518" s="29" t="e">
        <f>BG518*(1/COUNT(Archive[[#This Row],[Candidate Transfer Standard - Zero 1]:[Candidate Transfer Standard - Zero 2]])+AVERAGE(Archive[[#This Row],[Higher Level Standard - Zero 1]:[Higher Level Standard - Zero 2]])^2/DEVSQ(Archive[[#This Row],[Higher Level Standard - Zero 1]:[Higher Level Standard - Zero 2]]))</f>
        <v>#VALUE!</v>
      </c>
      <c r="BJ518" s="29">
        <f>COUNT(Archive[[#This Row],[Candidate Transfer Standard - Zero 1]:[Candidate Transfer Standard - Zero 2]])</f>
        <v>0</v>
      </c>
    </row>
    <row r="519" spans="1:62" x14ac:dyDescent="0.3">
      <c r="A519" s="57"/>
      <c r="BG51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19" s="29" t="e">
        <f>BG519/DEVSQ(Archive[[#This Row],[Higher Level Standard - Zero 1]:[Higher Level Standard - Zero 2]])</f>
        <v>#VALUE!</v>
      </c>
      <c r="BI519" s="29" t="e">
        <f>BG519*(1/COUNT(Archive[[#This Row],[Candidate Transfer Standard - Zero 1]:[Candidate Transfer Standard - Zero 2]])+AVERAGE(Archive[[#This Row],[Higher Level Standard - Zero 1]:[Higher Level Standard - Zero 2]])^2/DEVSQ(Archive[[#This Row],[Higher Level Standard - Zero 1]:[Higher Level Standard - Zero 2]]))</f>
        <v>#VALUE!</v>
      </c>
      <c r="BJ519" s="29">
        <f>COUNT(Archive[[#This Row],[Candidate Transfer Standard - Zero 1]:[Candidate Transfer Standard - Zero 2]])</f>
        <v>0</v>
      </c>
    </row>
    <row r="520" spans="1:62" x14ac:dyDescent="0.3">
      <c r="A520" s="57"/>
      <c r="BG52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20" s="29" t="e">
        <f>BG520/DEVSQ(Archive[[#This Row],[Higher Level Standard - Zero 1]:[Higher Level Standard - Zero 2]])</f>
        <v>#VALUE!</v>
      </c>
      <c r="BI520" s="29" t="e">
        <f>BG520*(1/COUNT(Archive[[#This Row],[Candidate Transfer Standard - Zero 1]:[Candidate Transfer Standard - Zero 2]])+AVERAGE(Archive[[#This Row],[Higher Level Standard - Zero 1]:[Higher Level Standard - Zero 2]])^2/DEVSQ(Archive[[#This Row],[Higher Level Standard - Zero 1]:[Higher Level Standard - Zero 2]]))</f>
        <v>#VALUE!</v>
      </c>
      <c r="BJ520" s="29">
        <f>COUNT(Archive[[#This Row],[Candidate Transfer Standard - Zero 1]:[Candidate Transfer Standard - Zero 2]])</f>
        <v>0</v>
      </c>
    </row>
    <row r="521" spans="1:62" x14ac:dyDescent="0.3">
      <c r="A521" s="57"/>
      <c r="BG52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21" s="29" t="e">
        <f>BG521/DEVSQ(Archive[[#This Row],[Higher Level Standard - Zero 1]:[Higher Level Standard - Zero 2]])</f>
        <v>#VALUE!</v>
      </c>
      <c r="BI521" s="29" t="e">
        <f>BG521*(1/COUNT(Archive[[#This Row],[Candidate Transfer Standard - Zero 1]:[Candidate Transfer Standard - Zero 2]])+AVERAGE(Archive[[#This Row],[Higher Level Standard - Zero 1]:[Higher Level Standard - Zero 2]])^2/DEVSQ(Archive[[#This Row],[Higher Level Standard - Zero 1]:[Higher Level Standard - Zero 2]]))</f>
        <v>#VALUE!</v>
      </c>
      <c r="BJ521" s="29">
        <f>COUNT(Archive[[#This Row],[Candidate Transfer Standard - Zero 1]:[Candidate Transfer Standard - Zero 2]])</f>
        <v>0</v>
      </c>
    </row>
    <row r="522" spans="1:62" x14ac:dyDescent="0.3">
      <c r="A522" s="57"/>
      <c r="BG52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22" s="29" t="e">
        <f>BG522/DEVSQ(Archive[[#This Row],[Higher Level Standard - Zero 1]:[Higher Level Standard - Zero 2]])</f>
        <v>#VALUE!</v>
      </c>
      <c r="BI522" s="29" t="e">
        <f>BG522*(1/COUNT(Archive[[#This Row],[Candidate Transfer Standard - Zero 1]:[Candidate Transfer Standard - Zero 2]])+AVERAGE(Archive[[#This Row],[Higher Level Standard - Zero 1]:[Higher Level Standard - Zero 2]])^2/DEVSQ(Archive[[#This Row],[Higher Level Standard - Zero 1]:[Higher Level Standard - Zero 2]]))</f>
        <v>#VALUE!</v>
      </c>
      <c r="BJ522" s="29">
        <f>COUNT(Archive[[#This Row],[Candidate Transfer Standard - Zero 1]:[Candidate Transfer Standard - Zero 2]])</f>
        <v>0</v>
      </c>
    </row>
    <row r="523" spans="1:62" x14ac:dyDescent="0.3">
      <c r="A523" s="57"/>
      <c r="BG52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23" s="29" t="e">
        <f>BG523/DEVSQ(Archive[[#This Row],[Higher Level Standard - Zero 1]:[Higher Level Standard - Zero 2]])</f>
        <v>#VALUE!</v>
      </c>
      <c r="BI523" s="29" t="e">
        <f>BG523*(1/COUNT(Archive[[#This Row],[Candidate Transfer Standard - Zero 1]:[Candidate Transfer Standard - Zero 2]])+AVERAGE(Archive[[#This Row],[Higher Level Standard - Zero 1]:[Higher Level Standard - Zero 2]])^2/DEVSQ(Archive[[#This Row],[Higher Level Standard - Zero 1]:[Higher Level Standard - Zero 2]]))</f>
        <v>#VALUE!</v>
      </c>
      <c r="BJ523" s="29">
        <f>COUNT(Archive[[#This Row],[Candidate Transfer Standard - Zero 1]:[Candidate Transfer Standard - Zero 2]])</f>
        <v>0</v>
      </c>
    </row>
    <row r="524" spans="1:62" x14ac:dyDescent="0.3">
      <c r="A524" s="57"/>
      <c r="BG52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24" s="29" t="e">
        <f>BG524/DEVSQ(Archive[[#This Row],[Higher Level Standard - Zero 1]:[Higher Level Standard - Zero 2]])</f>
        <v>#VALUE!</v>
      </c>
      <c r="BI524" s="29" t="e">
        <f>BG524*(1/COUNT(Archive[[#This Row],[Candidate Transfer Standard - Zero 1]:[Candidate Transfer Standard - Zero 2]])+AVERAGE(Archive[[#This Row],[Higher Level Standard - Zero 1]:[Higher Level Standard - Zero 2]])^2/DEVSQ(Archive[[#This Row],[Higher Level Standard - Zero 1]:[Higher Level Standard - Zero 2]]))</f>
        <v>#VALUE!</v>
      </c>
      <c r="BJ524" s="29">
        <f>COUNT(Archive[[#This Row],[Candidate Transfer Standard - Zero 1]:[Candidate Transfer Standard - Zero 2]])</f>
        <v>0</v>
      </c>
    </row>
    <row r="525" spans="1:62" x14ac:dyDescent="0.3">
      <c r="A525" s="57"/>
      <c r="BG52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25" s="29" t="e">
        <f>BG525/DEVSQ(Archive[[#This Row],[Higher Level Standard - Zero 1]:[Higher Level Standard - Zero 2]])</f>
        <v>#VALUE!</v>
      </c>
      <c r="BI525" s="29" t="e">
        <f>BG525*(1/COUNT(Archive[[#This Row],[Candidate Transfer Standard - Zero 1]:[Candidate Transfer Standard - Zero 2]])+AVERAGE(Archive[[#This Row],[Higher Level Standard - Zero 1]:[Higher Level Standard - Zero 2]])^2/DEVSQ(Archive[[#This Row],[Higher Level Standard - Zero 1]:[Higher Level Standard - Zero 2]]))</f>
        <v>#VALUE!</v>
      </c>
      <c r="BJ525" s="29">
        <f>COUNT(Archive[[#This Row],[Candidate Transfer Standard - Zero 1]:[Candidate Transfer Standard - Zero 2]])</f>
        <v>0</v>
      </c>
    </row>
    <row r="526" spans="1:62" x14ac:dyDescent="0.3">
      <c r="A526" s="57"/>
      <c r="BG52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26" s="29" t="e">
        <f>BG526/DEVSQ(Archive[[#This Row],[Higher Level Standard - Zero 1]:[Higher Level Standard - Zero 2]])</f>
        <v>#VALUE!</v>
      </c>
      <c r="BI526" s="29" t="e">
        <f>BG526*(1/COUNT(Archive[[#This Row],[Candidate Transfer Standard - Zero 1]:[Candidate Transfer Standard - Zero 2]])+AVERAGE(Archive[[#This Row],[Higher Level Standard - Zero 1]:[Higher Level Standard - Zero 2]])^2/DEVSQ(Archive[[#This Row],[Higher Level Standard - Zero 1]:[Higher Level Standard - Zero 2]]))</f>
        <v>#VALUE!</v>
      </c>
      <c r="BJ526" s="29">
        <f>COUNT(Archive[[#This Row],[Candidate Transfer Standard - Zero 1]:[Candidate Transfer Standard - Zero 2]])</f>
        <v>0</v>
      </c>
    </row>
    <row r="527" spans="1:62" x14ac:dyDescent="0.3">
      <c r="A527" s="57"/>
      <c r="BG52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27" s="29" t="e">
        <f>BG527/DEVSQ(Archive[[#This Row],[Higher Level Standard - Zero 1]:[Higher Level Standard - Zero 2]])</f>
        <v>#VALUE!</v>
      </c>
      <c r="BI527" s="29" t="e">
        <f>BG527*(1/COUNT(Archive[[#This Row],[Candidate Transfer Standard - Zero 1]:[Candidate Transfer Standard - Zero 2]])+AVERAGE(Archive[[#This Row],[Higher Level Standard - Zero 1]:[Higher Level Standard - Zero 2]])^2/DEVSQ(Archive[[#This Row],[Higher Level Standard - Zero 1]:[Higher Level Standard - Zero 2]]))</f>
        <v>#VALUE!</v>
      </c>
      <c r="BJ527" s="29">
        <f>COUNT(Archive[[#This Row],[Candidate Transfer Standard - Zero 1]:[Candidate Transfer Standard - Zero 2]])</f>
        <v>0</v>
      </c>
    </row>
    <row r="528" spans="1:62" x14ac:dyDescent="0.3">
      <c r="A528" s="57"/>
      <c r="BG52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28" s="29" t="e">
        <f>BG528/DEVSQ(Archive[[#This Row],[Higher Level Standard - Zero 1]:[Higher Level Standard - Zero 2]])</f>
        <v>#VALUE!</v>
      </c>
      <c r="BI528" s="29" t="e">
        <f>BG528*(1/COUNT(Archive[[#This Row],[Candidate Transfer Standard - Zero 1]:[Candidate Transfer Standard - Zero 2]])+AVERAGE(Archive[[#This Row],[Higher Level Standard - Zero 1]:[Higher Level Standard - Zero 2]])^2/DEVSQ(Archive[[#This Row],[Higher Level Standard - Zero 1]:[Higher Level Standard - Zero 2]]))</f>
        <v>#VALUE!</v>
      </c>
      <c r="BJ528" s="29">
        <f>COUNT(Archive[[#This Row],[Candidate Transfer Standard - Zero 1]:[Candidate Transfer Standard - Zero 2]])</f>
        <v>0</v>
      </c>
    </row>
    <row r="529" spans="1:62" x14ac:dyDescent="0.3">
      <c r="A529" s="57"/>
      <c r="BG52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29" s="29" t="e">
        <f>BG529/DEVSQ(Archive[[#This Row],[Higher Level Standard - Zero 1]:[Higher Level Standard - Zero 2]])</f>
        <v>#VALUE!</v>
      </c>
      <c r="BI529" s="29" t="e">
        <f>BG529*(1/COUNT(Archive[[#This Row],[Candidate Transfer Standard - Zero 1]:[Candidate Transfer Standard - Zero 2]])+AVERAGE(Archive[[#This Row],[Higher Level Standard - Zero 1]:[Higher Level Standard - Zero 2]])^2/DEVSQ(Archive[[#This Row],[Higher Level Standard - Zero 1]:[Higher Level Standard - Zero 2]]))</f>
        <v>#VALUE!</v>
      </c>
      <c r="BJ529" s="29">
        <f>COUNT(Archive[[#This Row],[Candidate Transfer Standard - Zero 1]:[Candidate Transfer Standard - Zero 2]])</f>
        <v>0</v>
      </c>
    </row>
    <row r="530" spans="1:62" x14ac:dyDescent="0.3">
      <c r="A530" s="57"/>
      <c r="BG53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30" s="29" t="e">
        <f>BG530/DEVSQ(Archive[[#This Row],[Higher Level Standard - Zero 1]:[Higher Level Standard - Zero 2]])</f>
        <v>#VALUE!</v>
      </c>
      <c r="BI530" s="29" t="e">
        <f>BG530*(1/COUNT(Archive[[#This Row],[Candidate Transfer Standard - Zero 1]:[Candidate Transfer Standard - Zero 2]])+AVERAGE(Archive[[#This Row],[Higher Level Standard - Zero 1]:[Higher Level Standard - Zero 2]])^2/DEVSQ(Archive[[#This Row],[Higher Level Standard - Zero 1]:[Higher Level Standard - Zero 2]]))</f>
        <v>#VALUE!</v>
      </c>
      <c r="BJ530" s="29">
        <f>COUNT(Archive[[#This Row],[Candidate Transfer Standard - Zero 1]:[Candidate Transfer Standard - Zero 2]])</f>
        <v>0</v>
      </c>
    </row>
    <row r="531" spans="1:62" x14ac:dyDescent="0.3">
      <c r="A531" s="57"/>
      <c r="BG53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31" s="29" t="e">
        <f>BG531/DEVSQ(Archive[[#This Row],[Higher Level Standard - Zero 1]:[Higher Level Standard - Zero 2]])</f>
        <v>#VALUE!</v>
      </c>
      <c r="BI531" s="29" t="e">
        <f>BG531*(1/COUNT(Archive[[#This Row],[Candidate Transfer Standard - Zero 1]:[Candidate Transfer Standard - Zero 2]])+AVERAGE(Archive[[#This Row],[Higher Level Standard - Zero 1]:[Higher Level Standard - Zero 2]])^2/DEVSQ(Archive[[#This Row],[Higher Level Standard - Zero 1]:[Higher Level Standard - Zero 2]]))</f>
        <v>#VALUE!</v>
      </c>
      <c r="BJ531" s="29">
        <f>COUNT(Archive[[#This Row],[Candidate Transfer Standard - Zero 1]:[Candidate Transfer Standard - Zero 2]])</f>
        <v>0</v>
      </c>
    </row>
    <row r="532" spans="1:62" x14ac:dyDescent="0.3">
      <c r="A532" s="57"/>
      <c r="BG53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32" s="29" t="e">
        <f>BG532/DEVSQ(Archive[[#This Row],[Higher Level Standard - Zero 1]:[Higher Level Standard - Zero 2]])</f>
        <v>#VALUE!</v>
      </c>
      <c r="BI532" s="29" t="e">
        <f>BG532*(1/COUNT(Archive[[#This Row],[Candidate Transfer Standard - Zero 1]:[Candidate Transfer Standard - Zero 2]])+AVERAGE(Archive[[#This Row],[Higher Level Standard - Zero 1]:[Higher Level Standard - Zero 2]])^2/DEVSQ(Archive[[#This Row],[Higher Level Standard - Zero 1]:[Higher Level Standard - Zero 2]]))</f>
        <v>#VALUE!</v>
      </c>
      <c r="BJ532" s="29">
        <f>COUNT(Archive[[#This Row],[Candidate Transfer Standard - Zero 1]:[Candidate Transfer Standard - Zero 2]])</f>
        <v>0</v>
      </c>
    </row>
    <row r="533" spans="1:62" x14ac:dyDescent="0.3">
      <c r="A533" s="57"/>
      <c r="BG53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33" s="29" t="e">
        <f>BG533/DEVSQ(Archive[[#This Row],[Higher Level Standard - Zero 1]:[Higher Level Standard - Zero 2]])</f>
        <v>#VALUE!</v>
      </c>
      <c r="BI533" s="29" t="e">
        <f>BG533*(1/COUNT(Archive[[#This Row],[Candidate Transfer Standard - Zero 1]:[Candidate Transfer Standard - Zero 2]])+AVERAGE(Archive[[#This Row],[Higher Level Standard - Zero 1]:[Higher Level Standard - Zero 2]])^2/DEVSQ(Archive[[#This Row],[Higher Level Standard - Zero 1]:[Higher Level Standard - Zero 2]]))</f>
        <v>#VALUE!</v>
      </c>
      <c r="BJ533" s="29">
        <f>COUNT(Archive[[#This Row],[Candidate Transfer Standard - Zero 1]:[Candidate Transfer Standard - Zero 2]])</f>
        <v>0</v>
      </c>
    </row>
    <row r="534" spans="1:62" x14ac:dyDescent="0.3">
      <c r="A534" s="57"/>
      <c r="BG53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34" s="29" t="e">
        <f>BG534/DEVSQ(Archive[[#This Row],[Higher Level Standard - Zero 1]:[Higher Level Standard - Zero 2]])</f>
        <v>#VALUE!</v>
      </c>
      <c r="BI534" s="29" t="e">
        <f>BG534*(1/COUNT(Archive[[#This Row],[Candidate Transfer Standard - Zero 1]:[Candidate Transfer Standard - Zero 2]])+AVERAGE(Archive[[#This Row],[Higher Level Standard - Zero 1]:[Higher Level Standard - Zero 2]])^2/DEVSQ(Archive[[#This Row],[Higher Level Standard - Zero 1]:[Higher Level Standard - Zero 2]]))</f>
        <v>#VALUE!</v>
      </c>
      <c r="BJ534" s="29">
        <f>COUNT(Archive[[#This Row],[Candidate Transfer Standard - Zero 1]:[Candidate Transfer Standard - Zero 2]])</f>
        <v>0</v>
      </c>
    </row>
    <row r="535" spans="1:62" x14ac:dyDescent="0.3">
      <c r="A535" s="57"/>
      <c r="BG53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35" s="29" t="e">
        <f>BG535/DEVSQ(Archive[[#This Row],[Higher Level Standard - Zero 1]:[Higher Level Standard - Zero 2]])</f>
        <v>#VALUE!</v>
      </c>
      <c r="BI535" s="29" t="e">
        <f>BG535*(1/COUNT(Archive[[#This Row],[Candidate Transfer Standard - Zero 1]:[Candidate Transfer Standard - Zero 2]])+AVERAGE(Archive[[#This Row],[Higher Level Standard - Zero 1]:[Higher Level Standard - Zero 2]])^2/DEVSQ(Archive[[#This Row],[Higher Level Standard - Zero 1]:[Higher Level Standard - Zero 2]]))</f>
        <v>#VALUE!</v>
      </c>
      <c r="BJ535" s="29">
        <f>COUNT(Archive[[#This Row],[Candidate Transfer Standard - Zero 1]:[Candidate Transfer Standard - Zero 2]])</f>
        <v>0</v>
      </c>
    </row>
    <row r="536" spans="1:62" x14ac:dyDescent="0.3">
      <c r="A536" s="57"/>
      <c r="BG53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36" s="29" t="e">
        <f>BG536/DEVSQ(Archive[[#This Row],[Higher Level Standard - Zero 1]:[Higher Level Standard - Zero 2]])</f>
        <v>#VALUE!</v>
      </c>
      <c r="BI536" s="29" t="e">
        <f>BG536*(1/COUNT(Archive[[#This Row],[Candidate Transfer Standard - Zero 1]:[Candidate Transfer Standard - Zero 2]])+AVERAGE(Archive[[#This Row],[Higher Level Standard - Zero 1]:[Higher Level Standard - Zero 2]])^2/DEVSQ(Archive[[#This Row],[Higher Level Standard - Zero 1]:[Higher Level Standard - Zero 2]]))</f>
        <v>#VALUE!</v>
      </c>
      <c r="BJ536" s="29">
        <f>COUNT(Archive[[#This Row],[Candidate Transfer Standard - Zero 1]:[Candidate Transfer Standard - Zero 2]])</f>
        <v>0</v>
      </c>
    </row>
    <row r="537" spans="1:62" x14ac:dyDescent="0.3">
      <c r="A537" s="57"/>
      <c r="BG53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37" s="29" t="e">
        <f>BG537/DEVSQ(Archive[[#This Row],[Higher Level Standard - Zero 1]:[Higher Level Standard - Zero 2]])</f>
        <v>#VALUE!</v>
      </c>
      <c r="BI537" s="29" t="e">
        <f>BG537*(1/COUNT(Archive[[#This Row],[Candidate Transfer Standard - Zero 1]:[Candidate Transfer Standard - Zero 2]])+AVERAGE(Archive[[#This Row],[Higher Level Standard - Zero 1]:[Higher Level Standard - Zero 2]])^2/DEVSQ(Archive[[#This Row],[Higher Level Standard - Zero 1]:[Higher Level Standard - Zero 2]]))</f>
        <v>#VALUE!</v>
      </c>
      <c r="BJ537" s="29">
        <f>COUNT(Archive[[#This Row],[Candidate Transfer Standard - Zero 1]:[Candidate Transfer Standard - Zero 2]])</f>
        <v>0</v>
      </c>
    </row>
    <row r="538" spans="1:62" x14ac:dyDescent="0.3">
      <c r="A538" s="57"/>
      <c r="BG53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38" s="29" t="e">
        <f>BG538/DEVSQ(Archive[[#This Row],[Higher Level Standard - Zero 1]:[Higher Level Standard - Zero 2]])</f>
        <v>#VALUE!</v>
      </c>
      <c r="BI538" s="29" t="e">
        <f>BG538*(1/COUNT(Archive[[#This Row],[Candidate Transfer Standard - Zero 1]:[Candidate Transfer Standard - Zero 2]])+AVERAGE(Archive[[#This Row],[Higher Level Standard - Zero 1]:[Higher Level Standard - Zero 2]])^2/DEVSQ(Archive[[#This Row],[Higher Level Standard - Zero 1]:[Higher Level Standard - Zero 2]]))</f>
        <v>#VALUE!</v>
      </c>
      <c r="BJ538" s="29">
        <f>COUNT(Archive[[#This Row],[Candidate Transfer Standard - Zero 1]:[Candidate Transfer Standard - Zero 2]])</f>
        <v>0</v>
      </c>
    </row>
    <row r="539" spans="1:62" x14ac:dyDescent="0.3">
      <c r="A539" s="57"/>
      <c r="BG53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39" s="29" t="e">
        <f>BG539/DEVSQ(Archive[[#This Row],[Higher Level Standard - Zero 1]:[Higher Level Standard - Zero 2]])</f>
        <v>#VALUE!</v>
      </c>
      <c r="BI539" s="29" t="e">
        <f>BG539*(1/COUNT(Archive[[#This Row],[Candidate Transfer Standard - Zero 1]:[Candidate Transfer Standard - Zero 2]])+AVERAGE(Archive[[#This Row],[Higher Level Standard - Zero 1]:[Higher Level Standard - Zero 2]])^2/DEVSQ(Archive[[#This Row],[Higher Level Standard - Zero 1]:[Higher Level Standard - Zero 2]]))</f>
        <v>#VALUE!</v>
      </c>
      <c r="BJ539" s="29">
        <f>COUNT(Archive[[#This Row],[Candidate Transfer Standard - Zero 1]:[Candidate Transfer Standard - Zero 2]])</f>
        <v>0</v>
      </c>
    </row>
    <row r="540" spans="1:62" x14ac:dyDescent="0.3">
      <c r="A540" s="57"/>
      <c r="BG54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40" s="29" t="e">
        <f>BG540/DEVSQ(Archive[[#This Row],[Higher Level Standard - Zero 1]:[Higher Level Standard - Zero 2]])</f>
        <v>#VALUE!</v>
      </c>
      <c r="BI540" s="29" t="e">
        <f>BG540*(1/COUNT(Archive[[#This Row],[Candidate Transfer Standard - Zero 1]:[Candidate Transfer Standard - Zero 2]])+AVERAGE(Archive[[#This Row],[Higher Level Standard - Zero 1]:[Higher Level Standard - Zero 2]])^2/DEVSQ(Archive[[#This Row],[Higher Level Standard - Zero 1]:[Higher Level Standard - Zero 2]]))</f>
        <v>#VALUE!</v>
      </c>
      <c r="BJ540" s="29">
        <f>COUNT(Archive[[#This Row],[Candidate Transfer Standard - Zero 1]:[Candidate Transfer Standard - Zero 2]])</f>
        <v>0</v>
      </c>
    </row>
    <row r="541" spans="1:62" x14ac:dyDescent="0.3">
      <c r="A541" s="57"/>
      <c r="BG54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41" s="29" t="e">
        <f>BG541/DEVSQ(Archive[[#This Row],[Higher Level Standard - Zero 1]:[Higher Level Standard - Zero 2]])</f>
        <v>#VALUE!</v>
      </c>
      <c r="BI541" s="29" t="e">
        <f>BG541*(1/COUNT(Archive[[#This Row],[Candidate Transfer Standard - Zero 1]:[Candidate Transfer Standard - Zero 2]])+AVERAGE(Archive[[#This Row],[Higher Level Standard - Zero 1]:[Higher Level Standard - Zero 2]])^2/DEVSQ(Archive[[#This Row],[Higher Level Standard - Zero 1]:[Higher Level Standard - Zero 2]]))</f>
        <v>#VALUE!</v>
      </c>
      <c r="BJ541" s="29">
        <f>COUNT(Archive[[#This Row],[Candidate Transfer Standard - Zero 1]:[Candidate Transfer Standard - Zero 2]])</f>
        <v>0</v>
      </c>
    </row>
    <row r="542" spans="1:62" x14ac:dyDescent="0.3">
      <c r="A542" s="57"/>
      <c r="BG54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42" s="29" t="e">
        <f>BG542/DEVSQ(Archive[[#This Row],[Higher Level Standard - Zero 1]:[Higher Level Standard - Zero 2]])</f>
        <v>#VALUE!</v>
      </c>
      <c r="BI542" s="29" t="e">
        <f>BG542*(1/COUNT(Archive[[#This Row],[Candidate Transfer Standard - Zero 1]:[Candidate Transfer Standard - Zero 2]])+AVERAGE(Archive[[#This Row],[Higher Level Standard - Zero 1]:[Higher Level Standard - Zero 2]])^2/DEVSQ(Archive[[#This Row],[Higher Level Standard - Zero 1]:[Higher Level Standard - Zero 2]]))</f>
        <v>#VALUE!</v>
      </c>
      <c r="BJ542" s="29">
        <f>COUNT(Archive[[#This Row],[Candidate Transfer Standard - Zero 1]:[Candidate Transfer Standard - Zero 2]])</f>
        <v>0</v>
      </c>
    </row>
    <row r="543" spans="1:62" x14ac:dyDescent="0.3">
      <c r="A543" s="57"/>
      <c r="BG54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43" s="29" t="e">
        <f>BG543/DEVSQ(Archive[[#This Row],[Higher Level Standard - Zero 1]:[Higher Level Standard - Zero 2]])</f>
        <v>#VALUE!</v>
      </c>
      <c r="BI543" s="29" t="e">
        <f>BG543*(1/COUNT(Archive[[#This Row],[Candidate Transfer Standard - Zero 1]:[Candidate Transfer Standard - Zero 2]])+AVERAGE(Archive[[#This Row],[Higher Level Standard - Zero 1]:[Higher Level Standard - Zero 2]])^2/DEVSQ(Archive[[#This Row],[Higher Level Standard - Zero 1]:[Higher Level Standard - Zero 2]]))</f>
        <v>#VALUE!</v>
      </c>
      <c r="BJ543" s="29">
        <f>COUNT(Archive[[#This Row],[Candidate Transfer Standard - Zero 1]:[Candidate Transfer Standard - Zero 2]])</f>
        <v>0</v>
      </c>
    </row>
    <row r="544" spans="1:62" x14ac:dyDescent="0.3">
      <c r="A544" s="57"/>
      <c r="BG54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44" s="29" t="e">
        <f>BG544/DEVSQ(Archive[[#This Row],[Higher Level Standard - Zero 1]:[Higher Level Standard - Zero 2]])</f>
        <v>#VALUE!</v>
      </c>
      <c r="BI544" s="29" t="e">
        <f>BG544*(1/COUNT(Archive[[#This Row],[Candidate Transfer Standard - Zero 1]:[Candidate Transfer Standard - Zero 2]])+AVERAGE(Archive[[#This Row],[Higher Level Standard - Zero 1]:[Higher Level Standard - Zero 2]])^2/DEVSQ(Archive[[#This Row],[Higher Level Standard - Zero 1]:[Higher Level Standard - Zero 2]]))</f>
        <v>#VALUE!</v>
      </c>
      <c r="BJ544" s="29">
        <f>COUNT(Archive[[#This Row],[Candidate Transfer Standard - Zero 1]:[Candidate Transfer Standard - Zero 2]])</f>
        <v>0</v>
      </c>
    </row>
    <row r="545" spans="1:62" x14ac:dyDescent="0.3">
      <c r="A545" s="57"/>
      <c r="BG54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45" s="29" t="e">
        <f>BG545/DEVSQ(Archive[[#This Row],[Higher Level Standard - Zero 1]:[Higher Level Standard - Zero 2]])</f>
        <v>#VALUE!</v>
      </c>
      <c r="BI545" s="29" t="e">
        <f>BG545*(1/COUNT(Archive[[#This Row],[Candidate Transfer Standard - Zero 1]:[Candidate Transfer Standard - Zero 2]])+AVERAGE(Archive[[#This Row],[Higher Level Standard - Zero 1]:[Higher Level Standard - Zero 2]])^2/DEVSQ(Archive[[#This Row],[Higher Level Standard - Zero 1]:[Higher Level Standard - Zero 2]]))</f>
        <v>#VALUE!</v>
      </c>
      <c r="BJ545" s="29">
        <f>COUNT(Archive[[#This Row],[Candidate Transfer Standard - Zero 1]:[Candidate Transfer Standard - Zero 2]])</f>
        <v>0</v>
      </c>
    </row>
    <row r="546" spans="1:62" x14ac:dyDescent="0.3">
      <c r="A546" s="57"/>
      <c r="BG54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46" s="29" t="e">
        <f>BG546/DEVSQ(Archive[[#This Row],[Higher Level Standard - Zero 1]:[Higher Level Standard - Zero 2]])</f>
        <v>#VALUE!</v>
      </c>
      <c r="BI546" s="29" t="e">
        <f>BG546*(1/COUNT(Archive[[#This Row],[Candidate Transfer Standard - Zero 1]:[Candidate Transfer Standard - Zero 2]])+AVERAGE(Archive[[#This Row],[Higher Level Standard - Zero 1]:[Higher Level Standard - Zero 2]])^2/DEVSQ(Archive[[#This Row],[Higher Level Standard - Zero 1]:[Higher Level Standard - Zero 2]]))</f>
        <v>#VALUE!</v>
      </c>
      <c r="BJ546" s="29">
        <f>COUNT(Archive[[#This Row],[Candidate Transfer Standard - Zero 1]:[Candidate Transfer Standard - Zero 2]])</f>
        <v>0</v>
      </c>
    </row>
    <row r="547" spans="1:62" x14ac:dyDescent="0.3">
      <c r="A547" s="57"/>
      <c r="BG54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47" s="29" t="e">
        <f>BG547/DEVSQ(Archive[[#This Row],[Higher Level Standard - Zero 1]:[Higher Level Standard - Zero 2]])</f>
        <v>#VALUE!</v>
      </c>
      <c r="BI547" s="29" t="e">
        <f>BG547*(1/COUNT(Archive[[#This Row],[Candidate Transfer Standard - Zero 1]:[Candidate Transfer Standard - Zero 2]])+AVERAGE(Archive[[#This Row],[Higher Level Standard - Zero 1]:[Higher Level Standard - Zero 2]])^2/DEVSQ(Archive[[#This Row],[Higher Level Standard - Zero 1]:[Higher Level Standard - Zero 2]]))</f>
        <v>#VALUE!</v>
      </c>
      <c r="BJ547" s="29">
        <f>COUNT(Archive[[#This Row],[Candidate Transfer Standard - Zero 1]:[Candidate Transfer Standard - Zero 2]])</f>
        <v>0</v>
      </c>
    </row>
    <row r="548" spans="1:62" x14ac:dyDescent="0.3">
      <c r="A548" s="57"/>
      <c r="BG54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48" s="29" t="e">
        <f>BG548/DEVSQ(Archive[[#This Row],[Higher Level Standard - Zero 1]:[Higher Level Standard - Zero 2]])</f>
        <v>#VALUE!</v>
      </c>
      <c r="BI548" s="29" t="e">
        <f>BG548*(1/COUNT(Archive[[#This Row],[Candidate Transfer Standard - Zero 1]:[Candidate Transfer Standard - Zero 2]])+AVERAGE(Archive[[#This Row],[Higher Level Standard - Zero 1]:[Higher Level Standard - Zero 2]])^2/DEVSQ(Archive[[#This Row],[Higher Level Standard - Zero 1]:[Higher Level Standard - Zero 2]]))</f>
        <v>#VALUE!</v>
      </c>
      <c r="BJ548" s="29">
        <f>COUNT(Archive[[#This Row],[Candidate Transfer Standard - Zero 1]:[Candidate Transfer Standard - Zero 2]])</f>
        <v>0</v>
      </c>
    </row>
    <row r="549" spans="1:62" x14ac:dyDescent="0.3">
      <c r="A549" s="57"/>
      <c r="BG54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49" s="29" t="e">
        <f>BG549/DEVSQ(Archive[[#This Row],[Higher Level Standard - Zero 1]:[Higher Level Standard - Zero 2]])</f>
        <v>#VALUE!</v>
      </c>
      <c r="BI549" s="29" t="e">
        <f>BG549*(1/COUNT(Archive[[#This Row],[Candidate Transfer Standard - Zero 1]:[Candidate Transfer Standard - Zero 2]])+AVERAGE(Archive[[#This Row],[Higher Level Standard - Zero 1]:[Higher Level Standard - Zero 2]])^2/DEVSQ(Archive[[#This Row],[Higher Level Standard - Zero 1]:[Higher Level Standard - Zero 2]]))</f>
        <v>#VALUE!</v>
      </c>
      <c r="BJ549" s="29">
        <f>COUNT(Archive[[#This Row],[Candidate Transfer Standard - Zero 1]:[Candidate Transfer Standard - Zero 2]])</f>
        <v>0</v>
      </c>
    </row>
    <row r="550" spans="1:62" x14ac:dyDescent="0.3">
      <c r="A550" s="57"/>
      <c r="BG55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50" s="29" t="e">
        <f>BG550/DEVSQ(Archive[[#This Row],[Higher Level Standard - Zero 1]:[Higher Level Standard - Zero 2]])</f>
        <v>#VALUE!</v>
      </c>
      <c r="BI550" s="29" t="e">
        <f>BG550*(1/COUNT(Archive[[#This Row],[Candidate Transfer Standard - Zero 1]:[Candidate Transfer Standard - Zero 2]])+AVERAGE(Archive[[#This Row],[Higher Level Standard - Zero 1]:[Higher Level Standard - Zero 2]])^2/DEVSQ(Archive[[#This Row],[Higher Level Standard - Zero 1]:[Higher Level Standard - Zero 2]]))</f>
        <v>#VALUE!</v>
      </c>
      <c r="BJ550" s="29">
        <f>COUNT(Archive[[#This Row],[Candidate Transfer Standard - Zero 1]:[Candidate Transfer Standard - Zero 2]])</f>
        <v>0</v>
      </c>
    </row>
    <row r="551" spans="1:62" x14ac:dyDescent="0.3">
      <c r="A551" s="57"/>
      <c r="BG55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51" s="29" t="e">
        <f>BG551/DEVSQ(Archive[[#This Row],[Higher Level Standard - Zero 1]:[Higher Level Standard - Zero 2]])</f>
        <v>#VALUE!</v>
      </c>
      <c r="BI551" s="29" t="e">
        <f>BG551*(1/COUNT(Archive[[#This Row],[Candidate Transfer Standard - Zero 1]:[Candidate Transfer Standard - Zero 2]])+AVERAGE(Archive[[#This Row],[Higher Level Standard - Zero 1]:[Higher Level Standard - Zero 2]])^2/DEVSQ(Archive[[#This Row],[Higher Level Standard - Zero 1]:[Higher Level Standard - Zero 2]]))</f>
        <v>#VALUE!</v>
      </c>
      <c r="BJ551" s="29">
        <f>COUNT(Archive[[#This Row],[Candidate Transfer Standard - Zero 1]:[Candidate Transfer Standard - Zero 2]])</f>
        <v>0</v>
      </c>
    </row>
    <row r="552" spans="1:62" x14ac:dyDescent="0.3">
      <c r="A552" s="57"/>
      <c r="BG55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52" s="29" t="e">
        <f>BG552/DEVSQ(Archive[[#This Row],[Higher Level Standard - Zero 1]:[Higher Level Standard - Zero 2]])</f>
        <v>#VALUE!</v>
      </c>
      <c r="BI552" s="29" t="e">
        <f>BG552*(1/COUNT(Archive[[#This Row],[Candidate Transfer Standard - Zero 1]:[Candidate Transfer Standard - Zero 2]])+AVERAGE(Archive[[#This Row],[Higher Level Standard - Zero 1]:[Higher Level Standard - Zero 2]])^2/DEVSQ(Archive[[#This Row],[Higher Level Standard - Zero 1]:[Higher Level Standard - Zero 2]]))</f>
        <v>#VALUE!</v>
      </c>
      <c r="BJ552" s="29">
        <f>COUNT(Archive[[#This Row],[Candidate Transfer Standard - Zero 1]:[Candidate Transfer Standard - Zero 2]])</f>
        <v>0</v>
      </c>
    </row>
    <row r="553" spans="1:62" x14ac:dyDescent="0.3">
      <c r="A553" s="57"/>
      <c r="BG55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53" s="29" t="e">
        <f>BG553/DEVSQ(Archive[[#This Row],[Higher Level Standard - Zero 1]:[Higher Level Standard - Zero 2]])</f>
        <v>#VALUE!</v>
      </c>
      <c r="BI553" s="29" t="e">
        <f>BG553*(1/COUNT(Archive[[#This Row],[Candidate Transfer Standard - Zero 1]:[Candidate Transfer Standard - Zero 2]])+AVERAGE(Archive[[#This Row],[Higher Level Standard - Zero 1]:[Higher Level Standard - Zero 2]])^2/DEVSQ(Archive[[#This Row],[Higher Level Standard - Zero 1]:[Higher Level Standard - Zero 2]]))</f>
        <v>#VALUE!</v>
      </c>
      <c r="BJ553" s="29">
        <f>COUNT(Archive[[#This Row],[Candidate Transfer Standard - Zero 1]:[Candidate Transfer Standard - Zero 2]])</f>
        <v>0</v>
      </c>
    </row>
    <row r="554" spans="1:62" x14ac:dyDescent="0.3">
      <c r="A554" s="57"/>
      <c r="BG55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54" s="29" t="e">
        <f>BG554/DEVSQ(Archive[[#This Row],[Higher Level Standard - Zero 1]:[Higher Level Standard - Zero 2]])</f>
        <v>#VALUE!</v>
      </c>
      <c r="BI554" s="29" t="e">
        <f>BG554*(1/COUNT(Archive[[#This Row],[Candidate Transfer Standard - Zero 1]:[Candidate Transfer Standard - Zero 2]])+AVERAGE(Archive[[#This Row],[Higher Level Standard - Zero 1]:[Higher Level Standard - Zero 2]])^2/DEVSQ(Archive[[#This Row],[Higher Level Standard - Zero 1]:[Higher Level Standard - Zero 2]]))</f>
        <v>#VALUE!</v>
      </c>
      <c r="BJ554" s="29">
        <f>COUNT(Archive[[#This Row],[Candidate Transfer Standard - Zero 1]:[Candidate Transfer Standard - Zero 2]])</f>
        <v>0</v>
      </c>
    </row>
    <row r="555" spans="1:62" x14ac:dyDescent="0.3">
      <c r="A555" s="57"/>
      <c r="BG55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55" s="29" t="e">
        <f>BG555/DEVSQ(Archive[[#This Row],[Higher Level Standard - Zero 1]:[Higher Level Standard - Zero 2]])</f>
        <v>#VALUE!</v>
      </c>
      <c r="BI555" s="29" t="e">
        <f>BG555*(1/COUNT(Archive[[#This Row],[Candidate Transfer Standard - Zero 1]:[Candidate Transfer Standard - Zero 2]])+AVERAGE(Archive[[#This Row],[Higher Level Standard - Zero 1]:[Higher Level Standard - Zero 2]])^2/DEVSQ(Archive[[#This Row],[Higher Level Standard - Zero 1]:[Higher Level Standard - Zero 2]]))</f>
        <v>#VALUE!</v>
      </c>
      <c r="BJ555" s="29">
        <f>COUNT(Archive[[#This Row],[Candidate Transfer Standard - Zero 1]:[Candidate Transfer Standard - Zero 2]])</f>
        <v>0</v>
      </c>
    </row>
    <row r="556" spans="1:62" x14ac:dyDescent="0.3">
      <c r="A556" s="57"/>
      <c r="BG55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56" s="29" t="e">
        <f>BG556/DEVSQ(Archive[[#This Row],[Higher Level Standard - Zero 1]:[Higher Level Standard - Zero 2]])</f>
        <v>#VALUE!</v>
      </c>
      <c r="BI556" s="29" t="e">
        <f>BG556*(1/COUNT(Archive[[#This Row],[Candidate Transfer Standard - Zero 1]:[Candidate Transfer Standard - Zero 2]])+AVERAGE(Archive[[#This Row],[Higher Level Standard - Zero 1]:[Higher Level Standard - Zero 2]])^2/DEVSQ(Archive[[#This Row],[Higher Level Standard - Zero 1]:[Higher Level Standard - Zero 2]]))</f>
        <v>#VALUE!</v>
      </c>
      <c r="BJ556" s="29">
        <f>COUNT(Archive[[#This Row],[Candidate Transfer Standard - Zero 1]:[Candidate Transfer Standard - Zero 2]])</f>
        <v>0</v>
      </c>
    </row>
    <row r="557" spans="1:62" x14ac:dyDescent="0.3">
      <c r="A557" s="57"/>
      <c r="BG55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57" s="29" t="e">
        <f>BG557/DEVSQ(Archive[[#This Row],[Higher Level Standard - Zero 1]:[Higher Level Standard - Zero 2]])</f>
        <v>#VALUE!</v>
      </c>
      <c r="BI557" s="29" t="e">
        <f>BG557*(1/COUNT(Archive[[#This Row],[Candidate Transfer Standard - Zero 1]:[Candidate Transfer Standard - Zero 2]])+AVERAGE(Archive[[#This Row],[Higher Level Standard - Zero 1]:[Higher Level Standard - Zero 2]])^2/DEVSQ(Archive[[#This Row],[Higher Level Standard - Zero 1]:[Higher Level Standard - Zero 2]]))</f>
        <v>#VALUE!</v>
      </c>
      <c r="BJ557" s="29">
        <f>COUNT(Archive[[#This Row],[Candidate Transfer Standard - Zero 1]:[Candidate Transfer Standard - Zero 2]])</f>
        <v>0</v>
      </c>
    </row>
    <row r="558" spans="1:62" x14ac:dyDescent="0.3">
      <c r="A558" s="57"/>
      <c r="BG55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58" s="29" t="e">
        <f>BG558/DEVSQ(Archive[[#This Row],[Higher Level Standard - Zero 1]:[Higher Level Standard - Zero 2]])</f>
        <v>#VALUE!</v>
      </c>
      <c r="BI558" s="29" t="e">
        <f>BG558*(1/COUNT(Archive[[#This Row],[Candidate Transfer Standard - Zero 1]:[Candidate Transfer Standard - Zero 2]])+AVERAGE(Archive[[#This Row],[Higher Level Standard - Zero 1]:[Higher Level Standard - Zero 2]])^2/DEVSQ(Archive[[#This Row],[Higher Level Standard - Zero 1]:[Higher Level Standard - Zero 2]]))</f>
        <v>#VALUE!</v>
      </c>
      <c r="BJ558" s="29">
        <f>COUNT(Archive[[#This Row],[Candidate Transfer Standard - Zero 1]:[Candidate Transfer Standard - Zero 2]])</f>
        <v>0</v>
      </c>
    </row>
    <row r="559" spans="1:62" x14ac:dyDescent="0.3">
      <c r="A559" s="57"/>
      <c r="BG55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59" s="29" t="e">
        <f>BG559/DEVSQ(Archive[[#This Row],[Higher Level Standard - Zero 1]:[Higher Level Standard - Zero 2]])</f>
        <v>#VALUE!</v>
      </c>
      <c r="BI559" s="29" t="e">
        <f>BG559*(1/COUNT(Archive[[#This Row],[Candidate Transfer Standard - Zero 1]:[Candidate Transfer Standard - Zero 2]])+AVERAGE(Archive[[#This Row],[Higher Level Standard - Zero 1]:[Higher Level Standard - Zero 2]])^2/DEVSQ(Archive[[#This Row],[Higher Level Standard - Zero 1]:[Higher Level Standard - Zero 2]]))</f>
        <v>#VALUE!</v>
      </c>
      <c r="BJ559" s="29">
        <f>COUNT(Archive[[#This Row],[Candidate Transfer Standard - Zero 1]:[Candidate Transfer Standard - Zero 2]])</f>
        <v>0</v>
      </c>
    </row>
    <row r="560" spans="1:62" x14ac:dyDescent="0.3">
      <c r="A560" s="57"/>
      <c r="BG56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60" s="29" t="e">
        <f>BG560/DEVSQ(Archive[[#This Row],[Higher Level Standard - Zero 1]:[Higher Level Standard - Zero 2]])</f>
        <v>#VALUE!</v>
      </c>
      <c r="BI560" s="29" t="e">
        <f>BG560*(1/COUNT(Archive[[#This Row],[Candidate Transfer Standard - Zero 1]:[Candidate Transfer Standard - Zero 2]])+AVERAGE(Archive[[#This Row],[Higher Level Standard - Zero 1]:[Higher Level Standard - Zero 2]])^2/DEVSQ(Archive[[#This Row],[Higher Level Standard - Zero 1]:[Higher Level Standard - Zero 2]]))</f>
        <v>#VALUE!</v>
      </c>
      <c r="BJ560" s="29">
        <f>COUNT(Archive[[#This Row],[Candidate Transfer Standard - Zero 1]:[Candidate Transfer Standard - Zero 2]])</f>
        <v>0</v>
      </c>
    </row>
    <row r="561" spans="1:62" x14ac:dyDescent="0.3">
      <c r="A561" s="57"/>
      <c r="BG56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61" s="29" t="e">
        <f>BG561/DEVSQ(Archive[[#This Row],[Higher Level Standard - Zero 1]:[Higher Level Standard - Zero 2]])</f>
        <v>#VALUE!</v>
      </c>
      <c r="BI561" s="29" t="e">
        <f>BG561*(1/COUNT(Archive[[#This Row],[Candidate Transfer Standard - Zero 1]:[Candidate Transfer Standard - Zero 2]])+AVERAGE(Archive[[#This Row],[Higher Level Standard - Zero 1]:[Higher Level Standard - Zero 2]])^2/DEVSQ(Archive[[#This Row],[Higher Level Standard - Zero 1]:[Higher Level Standard - Zero 2]]))</f>
        <v>#VALUE!</v>
      </c>
      <c r="BJ561" s="29">
        <f>COUNT(Archive[[#This Row],[Candidate Transfer Standard - Zero 1]:[Candidate Transfer Standard - Zero 2]])</f>
        <v>0</v>
      </c>
    </row>
    <row r="562" spans="1:62" x14ac:dyDescent="0.3">
      <c r="A562" s="57"/>
      <c r="BG56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62" s="29" t="e">
        <f>BG562/DEVSQ(Archive[[#This Row],[Higher Level Standard - Zero 1]:[Higher Level Standard - Zero 2]])</f>
        <v>#VALUE!</v>
      </c>
      <c r="BI562" s="29" t="e">
        <f>BG562*(1/COUNT(Archive[[#This Row],[Candidate Transfer Standard - Zero 1]:[Candidate Transfer Standard - Zero 2]])+AVERAGE(Archive[[#This Row],[Higher Level Standard - Zero 1]:[Higher Level Standard - Zero 2]])^2/DEVSQ(Archive[[#This Row],[Higher Level Standard - Zero 1]:[Higher Level Standard - Zero 2]]))</f>
        <v>#VALUE!</v>
      </c>
      <c r="BJ562" s="29">
        <f>COUNT(Archive[[#This Row],[Candidate Transfer Standard - Zero 1]:[Candidate Transfer Standard - Zero 2]])</f>
        <v>0</v>
      </c>
    </row>
    <row r="563" spans="1:62" x14ac:dyDescent="0.3">
      <c r="A563" s="57"/>
      <c r="BG56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63" s="29" t="e">
        <f>BG563/DEVSQ(Archive[[#This Row],[Higher Level Standard - Zero 1]:[Higher Level Standard - Zero 2]])</f>
        <v>#VALUE!</v>
      </c>
      <c r="BI563" s="29" t="e">
        <f>BG563*(1/COUNT(Archive[[#This Row],[Candidate Transfer Standard - Zero 1]:[Candidate Transfer Standard - Zero 2]])+AVERAGE(Archive[[#This Row],[Higher Level Standard - Zero 1]:[Higher Level Standard - Zero 2]])^2/DEVSQ(Archive[[#This Row],[Higher Level Standard - Zero 1]:[Higher Level Standard - Zero 2]]))</f>
        <v>#VALUE!</v>
      </c>
      <c r="BJ563" s="29">
        <f>COUNT(Archive[[#This Row],[Candidate Transfer Standard - Zero 1]:[Candidate Transfer Standard - Zero 2]])</f>
        <v>0</v>
      </c>
    </row>
    <row r="564" spans="1:62" x14ac:dyDescent="0.3">
      <c r="A564" s="57"/>
      <c r="BG56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64" s="29" t="e">
        <f>BG564/DEVSQ(Archive[[#This Row],[Higher Level Standard - Zero 1]:[Higher Level Standard - Zero 2]])</f>
        <v>#VALUE!</v>
      </c>
      <c r="BI564" s="29" t="e">
        <f>BG564*(1/COUNT(Archive[[#This Row],[Candidate Transfer Standard - Zero 1]:[Candidate Transfer Standard - Zero 2]])+AVERAGE(Archive[[#This Row],[Higher Level Standard - Zero 1]:[Higher Level Standard - Zero 2]])^2/DEVSQ(Archive[[#This Row],[Higher Level Standard - Zero 1]:[Higher Level Standard - Zero 2]]))</f>
        <v>#VALUE!</v>
      </c>
      <c r="BJ564" s="29">
        <f>COUNT(Archive[[#This Row],[Candidate Transfer Standard - Zero 1]:[Candidate Transfer Standard - Zero 2]])</f>
        <v>0</v>
      </c>
    </row>
    <row r="565" spans="1:62" x14ac:dyDescent="0.3">
      <c r="A565" s="57"/>
      <c r="BG56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65" s="29" t="e">
        <f>BG565/DEVSQ(Archive[[#This Row],[Higher Level Standard - Zero 1]:[Higher Level Standard - Zero 2]])</f>
        <v>#VALUE!</v>
      </c>
      <c r="BI565" s="29" t="e">
        <f>BG565*(1/COUNT(Archive[[#This Row],[Candidate Transfer Standard - Zero 1]:[Candidate Transfer Standard - Zero 2]])+AVERAGE(Archive[[#This Row],[Higher Level Standard - Zero 1]:[Higher Level Standard - Zero 2]])^2/DEVSQ(Archive[[#This Row],[Higher Level Standard - Zero 1]:[Higher Level Standard - Zero 2]]))</f>
        <v>#VALUE!</v>
      </c>
      <c r="BJ565" s="29">
        <f>COUNT(Archive[[#This Row],[Candidate Transfer Standard - Zero 1]:[Candidate Transfer Standard - Zero 2]])</f>
        <v>0</v>
      </c>
    </row>
    <row r="566" spans="1:62" x14ac:dyDescent="0.3">
      <c r="A566" s="57"/>
      <c r="BG56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66" s="29" t="e">
        <f>BG566/DEVSQ(Archive[[#This Row],[Higher Level Standard - Zero 1]:[Higher Level Standard - Zero 2]])</f>
        <v>#VALUE!</v>
      </c>
      <c r="BI566" s="29" t="e">
        <f>BG566*(1/COUNT(Archive[[#This Row],[Candidate Transfer Standard - Zero 1]:[Candidate Transfer Standard - Zero 2]])+AVERAGE(Archive[[#This Row],[Higher Level Standard - Zero 1]:[Higher Level Standard - Zero 2]])^2/DEVSQ(Archive[[#This Row],[Higher Level Standard - Zero 1]:[Higher Level Standard - Zero 2]]))</f>
        <v>#VALUE!</v>
      </c>
      <c r="BJ566" s="29">
        <f>COUNT(Archive[[#This Row],[Candidate Transfer Standard - Zero 1]:[Candidate Transfer Standard - Zero 2]])</f>
        <v>0</v>
      </c>
    </row>
    <row r="567" spans="1:62" x14ac:dyDescent="0.3">
      <c r="A567" s="57"/>
      <c r="BG56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67" s="29" t="e">
        <f>BG567/DEVSQ(Archive[[#This Row],[Higher Level Standard - Zero 1]:[Higher Level Standard - Zero 2]])</f>
        <v>#VALUE!</v>
      </c>
      <c r="BI567" s="29" t="e">
        <f>BG567*(1/COUNT(Archive[[#This Row],[Candidate Transfer Standard - Zero 1]:[Candidate Transfer Standard - Zero 2]])+AVERAGE(Archive[[#This Row],[Higher Level Standard - Zero 1]:[Higher Level Standard - Zero 2]])^2/DEVSQ(Archive[[#This Row],[Higher Level Standard - Zero 1]:[Higher Level Standard - Zero 2]]))</f>
        <v>#VALUE!</v>
      </c>
      <c r="BJ567" s="29">
        <f>COUNT(Archive[[#This Row],[Candidate Transfer Standard - Zero 1]:[Candidate Transfer Standard - Zero 2]])</f>
        <v>0</v>
      </c>
    </row>
    <row r="568" spans="1:62" x14ac:dyDescent="0.3">
      <c r="A568" s="57"/>
      <c r="BG56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68" s="29" t="e">
        <f>BG568/DEVSQ(Archive[[#This Row],[Higher Level Standard - Zero 1]:[Higher Level Standard - Zero 2]])</f>
        <v>#VALUE!</v>
      </c>
      <c r="BI568" s="29" t="e">
        <f>BG568*(1/COUNT(Archive[[#This Row],[Candidate Transfer Standard - Zero 1]:[Candidate Transfer Standard - Zero 2]])+AVERAGE(Archive[[#This Row],[Higher Level Standard - Zero 1]:[Higher Level Standard - Zero 2]])^2/DEVSQ(Archive[[#This Row],[Higher Level Standard - Zero 1]:[Higher Level Standard - Zero 2]]))</f>
        <v>#VALUE!</v>
      </c>
      <c r="BJ568" s="29">
        <f>COUNT(Archive[[#This Row],[Candidate Transfer Standard - Zero 1]:[Candidate Transfer Standard - Zero 2]])</f>
        <v>0</v>
      </c>
    </row>
    <row r="569" spans="1:62" x14ac:dyDescent="0.3">
      <c r="A569" s="57"/>
      <c r="BG56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69" s="29" t="e">
        <f>BG569/DEVSQ(Archive[[#This Row],[Higher Level Standard - Zero 1]:[Higher Level Standard - Zero 2]])</f>
        <v>#VALUE!</v>
      </c>
      <c r="BI569" s="29" t="e">
        <f>BG569*(1/COUNT(Archive[[#This Row],[Candidate Transfer Standard - Zero 1]:[Candidate Transfer Standard - Zero 2]])+AVERAGE(Archive[[#This Row],[Higher Level Standard - Zero 1]:[Higher Level Standard - Zero 2]])^2/DEVSQ(Archive[[#This Row],[Higher Level Standard - Zero 1]:[Higher Level Standard - Zero 2]]))</f>
        <v>#VALUE!</v>
      </c>
      <c r="BJ569" s="29">
        <f>COUNT(Archive[[#This Row],[Candidate Transfer Standard - Zero 1]:[Candidate Transfer Standard - Zero 2]])</f>
        <v>0</v>
      </c>
    </row>
    <row r="570" spans="1:62" x14ac:dyDescent="0.3">
      <c r="A570" s="57"/>
      <c r="BG57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70" s="29" t="e">
        <f>BG570/DEVSQ(Archive[[#This Row],[Higher Level Standard - Zero 1]:[Higher Level Standard - Zero 2]])</f>
        <v>#VALUE!</v>
      </c>
      <c r="BI570" s="29" t="e">
        <f>BG570*(1/COUNT(Archive[[#This Row],[Candidate Transfer Standard - Zero 1]:[Candidate Transfer Standard - Zero 2]])+AVERAGE(Archive[[#This Row],[Higher Level Standard - Zero 1]:[Higher Level Standard - Zero 2]])^2/DEVSQ(Archive[[#This Row],[Higher Level Standard - Zero 1]:[Higher Level Standard - Zero 2]]))</f>
        <v>#VALUE!</v>
      </c>
      <c r="BJ570" s="29">
        <f>COUNT(Archive[[#This Row],[Candidate Transfer Standard - Zero 1]:[Candidate Transfer Standard - Zero 2]])</f>
        <v>0</v>
      </c>
    </row>
    <row r="571" spans="1:62" x14ac:dyDescent="0.3">
      <c r="A571" s="57"/>
      <c r="BG57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71" s="29" t="e">
        <f>BG571/DEVSQ(Archive[[#This Row],[Higher Level Standard - Zero 1]:[Higher Level Standard - Zero 2]])</f>
        <v>#VALUE!</v>
      </c>
      <c r="BI571" s="29" t="e">
        <f>BG571*(1/COUNT(Archive[[#This Row],[Candidate Transfer Standard - Zero 1]:[Candidate Transfer Standard - Zero 2]])+AVERAGE(Archive[[#This Row],[Higher Level Standard - Zero 1]:[Higher Level Standard - Zero 2]])^2/DEVSQ(Archive[[#This Row],[Higher Level Standard - Zero 1]:[Higher Level Standard - Zero 2]]))</f>
        <v>#VALUE!</v>
      </c>
      <c r="BJ571" s="29">
        <f>COUNT(Archive[[#This Row],[Candidate Transfer Standard - Zero 1]:[Candidate Transfer Standard - Zero 2]])</f>
        <v>0</v>
      </c>
    </row>
    <row r="572" spans="1:62" x14ac:dyDescent="0.3">
      <c r="A572" s="57"/>
      <c r="BG57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72" s="29" t="e">
        <f>BG572/DEVSQ(Archive[[#This Row],[Higher Level Standard - Zero 1]:[Higher Level Standard - Zero 2]])</f>
        <v>#VALUE!</v>
      </c>
      <c r="BI572" s="29" t="e">
        <f>BG572*(1/COUNT(Archive[[#This Row],[Candidate Transfer Standard - Zero 1]:[Candidate Transfer Standard - Zero 2]])+AVERAGE(Archive[[#This Row],[Higher Level Standard - Zero 1]:[Higher Level Standard - Zero 2]])^2/DEVSQ(Archive[[#This Row],[Higher Level Standard - Zero 1]:[Higher Level Standard - Zero 2]]))</f>
        <v>#VALUE!</v>
      </c>
      <c r="BJ572" s="29">
        <f>COUNT(Archive[[#This Row],[Candidate Transfer Standard - Zero 1]:[Candidate Transfer Standard - Zero 2]])</f>
        <v>0</v>
      </c>
    </row>
    <row r="573" spans="1:62" x14ac:dyDescent="0.3">
      <c r="A573" s="57"/>
      <c r="BG57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73" s="29" t="e">
        <f>BG573/DEVSQ(Archive[[#This Row],[Higher Level Standard - Zero 1]:[Higher Level Standard - Zero 2]])</f>
        <v>#VALUE!</v>
      </c>
      <c r="BI573" s="29" t="e">
        <f>BG573*(1/COUNT(Archive[[#This Row],[Candidate Transfer Standard - Zero 1]:[Candidate Transfer Standard - Zero 2]])+AVERAGE(Archive[[#This Row],[Higher Level Standard - Zero 1]:[Higher Level Standard - Zero 2]])^2/DEVSQ(Archive[[#This Row],[Higher Level Standard - Zero 1]:[Higher Level Standard - Zero 2]]))</f>
        <v>#VALUE!</v>
      </c>
      <c r="BJ573" s="29">
        <f>COUNT(Archive[[#This Row],[Candidate Transfer Standard - Zero 1]:[Candidate Transfer Standard - Zero 2]])</f>
        <v>0</v>
      </c>
    </row>
    <row r="574" spans="1:62" x14ac:dyDescent="0.3">
      <c r="A574" s="57"/>
      <c r="BG57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74" s="29" t="e">
        <f>BG574/DEVSQ(Archive[[#This Row],[Higher Level Standard - Zero 1]:[Higher Level Standard - Zero 2]])</f>
        <v>#VALUE!</v>
      </c>
      <c r="BI574" s="29" t="e">
        <f>BG574*(1/COUNT(Archive[[#This Row],[Candidate Transfer Standard - Zero 1]:[Candidate Transfer Standard - Zero 2]])+AVERAGE(Archive[[#This Row],[Higher Level Standard - Zero 1]:[Higher Level Standard - Zero 2]])^2/DEVSQ(Archive[[#This Row],[Higher Level Standard - Zero 1]:[Higher Level Standard - Zero 2]]))</f>
        <v>#VALUE!</v>
      </c>
      <c r="BJ574" s="29">
        <f>COUNT(Archive[[#This Row],[Candidate Transfer Standard - Zero 1]:[Candidate Transfer Standard - Zero 2]])</f>
        <v>0</v>
      </c>
    </row>
    <row r="575" spans="1:62" x14ac:dyDescent="0.3">
      <c r="A575" s="57"/>
      <c r="BG57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75" s="29" t="e">
        <f>BG575/DEVSQ(Archive[[#This Row],[Higher Level Standard - Zero 1]:[Higher Level Standard - Zero 2]])</f>
        <v>#VALUE!</v>
      </c>
      <c r="BI575" s="29" t="e">
        <f>BG575*(1/COUNT(Archive[[#This Row],[Candidate Transfer Standard - Zero 1]:[Candidate Transfer Standard - Zero 2]])+AVERAGE(Archive[[#This Row],[Higher Level Standard - Zero 1]:[Higher Level Standard - Zero 2]])^2/DEVSQ(Archive[[#This Row],[Higher Level Standard - Zero 1]:[Higher Level Standard - Zero 2]]))</f>
        <v>#VALUE!</v>
      </c>
      <c r="BJ575" s="29">
        <f>COUNT(Archive[[#This Row],[Candidate Transfer Standard - Zero 1]:[Candidate Transfer Standard - Zero 2]])</f>
        <v>0</v>
      </c>
    </row>
    <row r="576" spans="1:62" x14ac:dyDescent="0.3">
      <c r="A576" s="57"/>
      <c r="BG57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76" s="29" t="e">
        <f>BG576/DEVSQ(Archive[[#This Row],[Higher Level Standard - Zero 1]:[Higher Level Standard - Zero 2]])</f>
        <v>#VALUE!</v>
      </c>
      <c r="BI576" s="29" t="e">
        <f>BG576*(1/COUNT(Archive[[#This Row],[Candidate Transfer Standard - Zero 1]:[Candidate Transfer Standard - Zero 2]])+AVERAGE(Archive[[#This Row],[Higher Level Standard - Zero 1]:[Higher Level Standard - Zero 2]])^2/DEVSQ(Archive[[#This Row],[Higher Level Standard - Zero 1]:[Higher Level Standard - Zero 2]]))</f>
        <v>#VALUE!</v>
      </c>
      <c r="BJ576" s="29">
        <f>COUNT(Archive[[#This Row],[Candidate Transfer Standard - Zero 1]:[Candidate Transfer Standard - Zero 2]])</f>
        <v>0</v>
      </c>
    </row>
    <row r="577" spans="1:62" x14ac:dyDescent="0.3">
      <c r="A577" s="57"/>
      <c r="BG57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77" s="29" t="e">
        <f>BG577/DEVSQ(Archive[[#This Row],[Higher Level Standard - Zero 1]:[Higher Level Standard - Zero 2]])</f>
        <v>#VALUE!</v>
      </c>
      <c r="BI577" s="29" t="e">
        <f>BG577*(1/COUNT(Archive[[#This Row],[Candidate Transfer Standard - Zero 1]:[Candidate Transfer Standard - Zero 2]])+AVERAGE(Archive[[#This Row],[Higher Level Standard - Zero 1]:[Higher Level Standard - Zero 2]])^2/DEVSQ(Archive[[#This Row],[Higher Level Standard - Zero 1]:[Higher Level Standard - Zero 2]]))</f>
        <v>#VALUE!</v>
      </c>
      <c r="BJ577" s="29">
        <f>COUNT(Archive[[#This Row],[Candidate Transfer Standard - Zero 1]:[Candidate Transfer Standard - Zero 2]])</f>
        <v>0</v>
      </c>
    </row>
    <row r="578" spans="1:62" x14ac:dyDescent="0.3">
      <c r="A578" s="57"/>
      <c r="BG57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78" s="29" t="e">
        <f>BG578/DEVSQ(Archive[[#This Row],[Higher Level Standard - Zero 1]:[Higher Level Standard - Zero 2]])</f>
        <v>#VALUE!</v>
      </c>
      <c r="BI578" s="29" t="e">
        <f>BG578*(1/COUNT(Archive[[#This Row],[Candidate Transfer Standard - Zero 1]:[Candidate Transfer Standard - Zero 2]])+AVERAGE(Archive[[#This Row],[Higher Level Standard - Zero 1]:[Higher Level Standard - Zero 2]])^2/DEVSQ(Archive[[#This Row],[Higher Level Standard - Zero 1]:[Higher Level Standard - Zero 2]]))</f>
        <v>#VALUE!</v>
      </c>
      <c r="BJ578" s="29">
        <f>COUNT(Archive[[#This Row],[Candidate Transfer Standard - Zero 1]:[Candidate Transfer Standard - Zero 2]])</f>
        <v>0</v>
      </c>
    </row>
    <row r="579" spans="1:62" x14ac:dyDescent="0.3">
      <c r="A579" s="57"/>
      <c r="BG57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79" s="29" t="e">
        <f>BG579/DEVSQ(Archive[[#This Row],[Higher Level Standard - Zero 1]:[Higher Level Standard - Zero 2]])</f>
        <v>#VALUE!</v>
      </c>
      <c r="BI579" s="29" t="e">
        <f>BG579*(1/COUNT(Archive[[#This Row],[Candidate Transfer Standard - Zero 1]:[Candidate Transfer Standard - Zero 2]])+AVERAGE(Archive[[#This Row],[Higher Level Standard - Zero 1]:[Higher Level Standard - Zero 2]])^2/DEVSQ(Archive[[#This Row],[Higher Level Standard - Zero 1]:[Higher Level Standard - Zero 2]]))</f>
        <v>#VALUE!</v>
      </c>
      <c r="BJ579" s="29">
        <f>COUNT(Archive[[#This Row],[Candidate Transfer Standard - Zero 1]:[Candidate Transfer Standard - Zero 2]])</f>
        <v>0</v>
      </c>
    </row>
    <row r="580" spans="1:62" x14ac:dyDescent="0.3">
      <c r="A580" s="57"/>
      <c r="BG58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80" s="29" t="e">
        <f>BG580/DEVSQ(Archive[[#This Row],[Higher Level Standard - Zero 1]:[Higher Level Standard - Zero 2]])</f>
        <v>#VALUE!</v>
      </c>
      <c r="BI580" s="29" t="e">
        <f>BG580*(1/COUNT(Archive[[#This Row],[Candidate Transfer Standard - Zero 1]:[Candidate Transfer Standard - Zero 2]])+AVERAGE(Archive[[#This Row],[Higher Level Standard - Zero 1]:[Higher Level Standard - Zero 2]])^2/DEVSQ(Archive[[#This Row],[Higher Level Standard - Zero 1]:[Higher Level Standard - Zero 2]]))</f>
        <v>#VALUE!</v>
      </c>
      <c r="BJ580" s="29">
        <f>COUNT(Archive[[#This Row],[Candidate Transfer Standard - Zero 1]:[Candidate Transfer Standard - Zero 2]])</f>
        <v>0</v>
      </c>
    </row>
    <row r="581" spans="1:62" x14ac:dyDescent="0.3">
      <c r="A581" s="57"/>
      <c r="BG58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81" s="29" t="e">
        <f>BG581/DEVSQ(Archive[[#This Row],[Higher Level Standard - Zero 1]:[Higher Level Standard - Zero 2]])</f>
        <v>#VALUE!</v>
      </c>
      <c r="BI581" s="29" t="e">
        <f>BG581*(1/COUNT(Archive[[#This Row],[Candidate Transfer Standard - Zero 1]:[Candidate Transfer Standard - Zero 2]])+AVERAGE(Archive[[#This Row],[Higher Level Standard - Zero 1]:[Higher Level Standard - Zero 2]])^2/DEVSQ(Archive[[#This Row],[Higher Level Standard - Zero 1]:[Higher Level Standard - Zero 2]]))</f>
        <v>#VALUE!</v>
      </c>
      <c r="BJ581" s="29">
        <f>COUNT(Archive[[#This Row],[Candidate Transfer Standard - Zero 1]:[Candidate Transfer Standard - Zero 2]])</f>
        <v>0</v>
      </c>
    </row>
    <row r="582" spans="1:62" x14ac:dyDescent="0.3">
      <c r="A582" s="57"/>
      <c r="BG58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82" s="29" t="e">
        <f>BG582/DEVSQ(Archive[[#This Row],[Higher Level Standard - Zero 1]:[Higher Level Standard - Zero 2]])</f>
        <v>#VALUE!</v>
      </c>
      <c r="BI582" s="29" t="e">
        <f>BG582*(1/COUNT(Archive[[#This Row],[Candidate Transfer Standard - Zero 1]:[Candidate Transfer Standard - Zero 2]])+AVERAGE(Archive[[#This Row],[Higher Level Standard - Zero 1]:[Higher Level Standard - Zero 2]])^2/DEVSQ(Archive[[#This Row],[Higher Level Standard - Zero 1]:[Higher Level Standard - Zero 2]]))</f>
        <v>#VALUE!</v>
      </c>
      <c r="BJ582" s="29">
        <f>COUNT(Archive[[#This Row],[Candidate Transfer Standard - Zero 1]:[Candidate Transfer Standard - Zero 2]])</f>
        <v>0</v>
      </c>
    </row>
    <row r="583" spans="1:62" x14ac:dyDescent="0.3">
      <c r="A583" s="57"/>
      <c r="BG58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83" s="29" t="e">
        <f>BG583/DEVSQ(Archive[[#This Row],[Higher Level Standard - Zero 1]:[Higher Level Standard - Zero 2]])</f>
        <v>#VALUE!</v>
      </c>
      <c r="BI583" s="29" t="e">
        <f>BG583*(1/COUNT(Archive[[#This Row],[Candidate Transfer Standard - Zero 1]:[Candidate Transfer Standard - Zero 2]])+AVERAGE(Archive[[#This Row],[Higher Level Standard - Zero 1]:[Higher Level Standard - Zero 2]])^2/DEVSQ(Archive[[#This Row],[Higher Level Standard - Zero 1]:[Higher Level Standard - Zero 2]]))</f>
        <v>#VALUE!</v>
      </c>
      <c r="BJ583" s="29">
        <f>COUNT(Archive[[#This Row],[Candidate Transfer Standard - Zero 1]:[Candidate Transfer Standard - Zero 2]])</f>
        <v>0</v>
      </c>
    </row>
    <row r="584" spans="1:62" x14ac:dyDescent="0.3">
      <c r="A584" s="57"/>
      <c r="BG58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84" s="29" t="e">
        <f>BG584/DEVSQ(Archive[[#This Row],[Higher Level Standard - Zero 1]:[Higher Level Standard - Zero 2]])</f>
        <v>#VALUE!</v>
      </c>
      <c r="BI584" s="29" t="e">
        <f>BG584*(1/COUNT(Archive[[#This Row],[Candidate Transfer Standard - Zero 1]:[Candidate Transfer Standard - Zero 2]])+AVERAGE(Archive[[#This Row],[Higher Level Standard - Zero 1]:[Higher Level Standard - Zero 2]])^2/DEVSQ(Archive[[#This Row],[Higher Level Standard - Zero 1]:[Higher Level Standard - Zero 2]]))</f>
        <v>#VALUE!</v>
      </c>
      <c r="BJ584" s="29">
        <f>COUNT(Archive[[#This Row],[Candidate Transfer Standard - Zero 1]:[Candidate Transfer Standard - Zero 2]])</f>
        <v>0</v>
      </c>
    </row>
    <row r="585" spans="1:62" x14ac:dyDescent="0.3">
      <c r="A585" s="57"/>
      <c r="BG58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85" s="29" t="e">
        <f>BG585/DEVSQ(Archive[[#This Row],[Higher Level Standard - Zero 1]:[Higher Level Standard - Zero 2]])</f>
        <v>#VALUE!</v>
      </c>
      <c r="BI585" s="29" t="e">
        <f>BG585*(1/COUNT(Archive[[#This Row],[Candidate Transfer Standard - Zero 1]:[Candidate Transfer Standard - Zero 2]])+AVERAGE(Archive[[#This Row],[Higher Level Standard - Zero 1]:[Higher Level Standard - Zero 2]])^2/DEVSQ(Archive[[#This Row],[Higher Level Standard - Zero 1]:[Higher Level Standard - Zero 2]]))</f>
        <v>#VALUE!</v>
      </c>
      <c r="BJ585" s="29">
        <f>COUNT(Archive[[#This Row],[Candidate Transfer Standard - Zero 1]:[Candidate Transfer Standard - Zero 2]])</f>
        <v>0</v>
      </c>
    </row>
    <row r="586" spans="1:62" x14ac:dyDescent="0.3">
      <c r="A586" s="57"/>
      <c r="BG58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86" s="29" t="e">
        <f>BG586/DEVSQ(Archive[[#This Row],[Higher Level Standard - Zero 1]:[Higher Level Standard - Zero 2]])</f>
        <v>#VALUE!</v>
      </c>
      <c r="BI586" s="29" t="e">
        <f>BG586*(1/COUNT(Archive[[#This Row],[Candidate Transfer Standard - Zero 1]:[Candidate Transfer Standard - Zero 2]])+AVERAGE(Archive[[#This Row],[Higher Level Standard - Zero 1]:[Higher Level Standard - Zero 2]])^2/DEVSQ(Archive[[#This Row],[Higher Level Standard - Zero 1]:[Higher Level Standard - Zero 2]]))</f>
        <v>#VALUE!</v>
      </c>
      <c r="BJ586" s="29">
        <f>COUNT(Archive[[#This Row],[Candidate Transfer Standard - Zero 1]:[Candidate Transfer Standard - Zero 2]])</f>
        <v>0</v>
      </c>
    </row>
    <row r="587" spans="1:62" x14ac:dyDescent="0.3">
      <c r="A587" s="57"/>
      <c r="BG58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87" s="29" t="e">
        <f>BG587/DEVSQ(Archive[[#This Row],[Higher Level Standard - Zero 1]:[Higher Level Standard - Zero 2]])</f>
        <v>#VALUE!</v>
      </c>
      <c r="BI587" s="29" t="e">
        <f>BG587*(1/COUNT(Archive[[#This Row],[Candidate Transfer Standard - Zero 1]:[Candidate Transfer Standard - Zero 2]])+AVERAGE(Archive[[#This Row],[Higher Level Standard - Zero 1]:[Higher Level Standard - Zero 2]])^2/DEVSQ(Archive[[#This Row],[Higher Level Standard - Zero 1]:[Higher Level Standard - Zero 2]]))</f>
        <v>#VALUE!</v>
      </c>
      <c r="BJ587" s="29">
        <f>COUNT(Archive[[#This Row],[Candidate Transfer Standard - Zero 1]:[Candidate Transfer Standard - Zero 2]])</f>
        <v>0</v>
      </c>
    </row>
    <row r="588" spans="1:62" x14ac:dyDescent="0.3">
      <c r="A588" s="57"/>
      <c r="BG58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88" s="29" t="e">
        <f>BG588/DEVSQ(Archive[[#This Row],[Higher Level Standard - Zero 1]:[Higher Level Standard - Zero 2]])</f>
        <v>#VALUE!</v>
      </c>
      <c r="BI588" s="29" t="e">
        <f>BG588*(1/COUNT(Archive[[#This Row],[Candidate Transfer Standard - Zero 1]:[Candidate Transfer Standard - Zero 2]])+AVERAGE(Archive[[#This Row],[Higher Level Standard - Zero 1]:[Higher Level Standard - Zero 2]])^2/DEVSQ(Archive[[#This Row],[Higher Level Standard - Zero 1]:[Higher Level Standard - Zero 2]]))</f>
        <v>#VALUE!</v>
      </c>
      <c r="BJ588" s="29">
        <f>COUNT(Archive[[#This Row],[Candidate Transfer Standard - Zero 1]:[Candidate Transfer Standard - Zero 2]])</f>
        <v>0</v>
      </c>
    </row>
    <row r="589" spans="1:62" x14ac:dyDescent="0.3">
      <c r="A589" s="57"/>
      <c r="BG58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89" s="29" t="e">
        <f>BG589/DEVSQ(Archive[[#This Row],[Higher Level Standard - Zero 1]:[Higher Level Standard - Zero 2]])</f>
        <v>#VALUE!</v>
      </c>
      <c r="BI589" s="29" t="e">
        <f>BG589*(1/COUNT(Archive[[#This Row],[Candidate Transfer Standard - Zero 1]:[Candidate Transfer Standard - Zero 2]])+AVERAGE(Archive[[#This Row],[Higher Level Standard - Zero 1]:[Higher Level Standard - Zero 2]])^2/DEVSQ(Archive[[#This Row],[Higher Level Standard - Zero 1]:[Higher Level Standard - Zero 2]]))</f>
        <v>#VALUE!</v>
      </c>
      <c r="BJ589" s="29">
        <f>COUNT(Archive[[#This Row],[Candidate Transfer Standard - Zero 1]:[Candidate Transfer Standard - Zero 2]])</f>
        <v>0</v>
      </c>
    </row>
    <row r="590" spans="1:62" x14ac:dyDescent="0.3">
      <c r="A590" s="57"/>
      <c r="BG59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90" s="29" t="e">
        <f>BG590/DEVSQ(Archive[[#This Row],[Higher Level Standard - Zero 1]:[Higher Level Standard - Zero 2]])</f>
        <v>#VALUE!</v>
      </c>
      <c r="BI590" s="29" t="e">
        <f>BG590*(1/COUNT(Archive[[#This Row],[Candidate Transfer Standard - Zero 1]:[Candidate Transfer Standard - Zero 2]])+AVERAGE(Archive[[#This Row],[Higher Level Standard - Zero 1]:[Higher Level Standard - Zero 2]])^2/DEVSQ(Archive[[#This Row],[Higher Level Standard - Zero 1]:[Higher Level Standard - Zero 2]]))</f>
        <v>#VALUE!</v>
      </c>
      <c r="BJ590" s="29">
        <f>COUNT(Archive[[#This Row],[Candidate Transfer Standard - Zero 1]:[Candidate Transfer Standard - Zero 2]])</f>
        <v>0</v>
      </c>
    </row>
    <row r="591" spans="1:62" x14ac:dyDescent="0.3">
      <c r="A591" s="57"/>
      <c r="BG59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91" s="29" t="e">
        <f>BG591/DEVSQ(Archive[[#This Row],[Higher Level Standard - Zero 1]:[Higher Level Standard - Zero 2]])</f>
        <v>#VALUE!</v>
      </c>
      <c r="BI591" s="29" t="e">
        <f>BG591*(1/COUNT(Archive[[#This Row],[Candidate Transfer Standard - Zero 1]:[Candidate Transfer Standard - Zero 2]])+AVERAGE(Archive[[#This Row],[Higher Level Standard - Zero 1]:[Higher Level Standard - Zero 2]])^2/DEVSQ(Archive[[#This Row],[Higher Level Standard - Zero 1]:[Higher Level Standard - Zero 2]]))</f>
        <v>#VALUE!</v>
      </c>
      <c r="BJ591" s="29">
        <f>COUNT(Archive[[#This Row],[Candidate Transfer Standard - Zero 1]:[Candidate Transfer Standard - Zero 2]])</f>
        <v>0</v>
      </c>
    </row>
    <row r="592" spans="1:62" x14ac:dyDescent="0.3">
      <c r="A592" s="57"/>
      <c r="BG59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92" s="29" t="e">
        <f>BG592/DEVSQ(Archive[[#This Row],[Higher Level Standard - Zero 1]:[Higher Level Standard - Zero 2]])</f>
        <v>#VALUE!</v>
      </c>
      <c r="BI592" s="29" t="e">
        <f>BG592*(1/COUNT(Archive[[#This Row],[Candidate Transfer Standard - Zero 1]:[Candidate Transfer Standard - Zero 2]])+AVERAGE(Archive[[#This Row],[Higher Level Standard - Zero 1]:[Higher Level Standard - Zero 2]])^2/DEVSQ(Archive[[#This Row],[Higher Level Standard - Zero 1]:[Higher Level Standard - Zero 2]]))</f>
        <v>#VALUE!</v>
      </c>
      <c r="BJ592" s="29">
        <f>COUNT(Archive[[#This Row],[Candidate Transfer Standard - Zero 1]:[Candidate Transfer Standard - Zero 2]])</f>
        <v>0</v>
      </c>
    </row>
    <row r="593" spans="1:62" x14ac:dyDescent="0.3">
      <c r="A593" s="57"/>
      <c r="BG59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93" s="29" t="e">
        <f>BG593/DEVSQ(Archive[[#This Row],[Higher Level Standard - Zero 1]:[Higher Level Standard - Zero 2]])</f>
        <v>#VALUE!</v>
      </c>
      <c r="BI593" s="29" t="e">
        <f>BG593*(1/COUNT(Archive[[#This Row],[Candidate Transfer Standard - Zero 1]:[Candidate Transfer Standard - Zero 2]])+AVERAGE(Archive[[#This Row],[Higher Level Standard - Zero 1]:[Higher Level Standard - Zero 2]])^2/DEVSQ(Archive[[#This Row],[Higher Level Standard - Zero 1]:[Higher Level Standard - Zero 2]]))</f>
        <v>#VALUE!</v>
      </c>
      <c r="BJ593" s="29">
        <f>COUNT(Archive[[#This Row],[Candidate Transfer Standard - Zero 1]:[Candidate Transfer Standard - Zero 2]])</f>
        <v>0</v>
      </c>
    </row>
    <row r="594" spans="1:62" x14ac:dyDescent="0.3">
      <c r="A594" s="57"/>
      <c r="BG59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94" s="29" t="e">
        <f>BG594/DEVSQ(Archive[[#This Row],[Higher Level Standard - Zero 1]:[Higher Level Standard - Zero 2]])</f>
        <v>#VALUE!</v>
      </c>
      <c r="BI594" s="29" t="e">
        <f>BG594*(1/COUNT(Archive[[#This Row],[Candidate Transfer Standard - Zero 1]:[Candidate Transfer Standard - Zero 2]])+AVERAGE(Archive[[#This Row],[Higher Level Standard - Zero 1]:[Higher Level Standard - Zero 2]])^2/DEVSQ(Archive[[#This Row],[Higher Level Standard - Zero 1]:[Higher Level Standard - Zero 2]]))</f>
        <v>#VALUE!</v>
      </c>
      <c r="BJ594" s="29">
        <f>COUNT(Archive[[#This Row],[Candidate Transfer Standard - Zero 1]:[Candidate Transfer Standard - Zero 2]])</f>
        <v>0</v>
      </c>
    </row>
    <row r="595" spans="1:62" x14ac:dyDescent="0.3">
      <c r="A595" s="57"/>
      <c r="BG59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95" s="29" t="e">
        <f>BG595/DEVSQ(Archive[[#This Row],[Higher Level Standard - Zero 1]:[Higher Level Standard - Zero 2]])</f>
        <v>#VALUE!</v>
      </c>
      <c r="BI595" s="29" t="e">
        <f>BG595*(1/COUNT(Archive[[#This Row],[Candidate Transfer Standard - Zero 1]:[Candidate Transfer Standard - Zero 2]])+AVERAGE(Archive[[#This Row],[Higher Level Standard - Zero 1]:[Higher Level Standard - Zero 2]])^2/DEVSQ(Archive[[#This Row],[Higher Level Standard - Zero 1]:[Higher Level Standard - Zero 2]]))</f>
        <v>#VALUE!</v>
      </c>
      <c r="BJ595" s="29">
        <f>COUNT(Archive[[#This Row],[Candidate Transfer Standard - Zero 1]:[Candidate Transfer Standard - Zero 2]])</f>
        <v>0</v>
      </c>
    </row>
    <row r="596" spans="1:62" x14ac:dyDescent="0.3">
      <c r="A596" s="57"/>
      <c r="BG59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96" s="29" t="e">
        <f>BG596/DEVSQ(Archive[[#This Row],[Higher Level Standard - Zero 1]:[Higher Level Standard - Zero 2]])</f>
        <v>#VALUE!</v>
      </c>
      <c r="BI596" s="29" t="e">
        <f>BG596*(1/COUNT(Archive[[#This Row],[Candidate Transfer Standard - Zero 1]:[Candidate Transfer Standard - Zero 2]])+AVERAGE(Archive[[#This Row],[Higher Level Standard - Zero 1]:[Higher Level Standard - Zero 2]])^2/DEVSQ(Archive[[#This Row],[Higher Level Standard - Zero 1]:[Higher Level Standard - Zero 2]]))</f>
        <v>#VALUE!</v>
      </c>
      <c r="BJ596" s="29">
        <f>COUNT(Archive[[#This Row],[Candidate Transfer Standard - Zero 1]:[Candidate Transfer Standard - Zero 2]])</f>
        <v>0</v>
      </c>
    </row>
    <row r="597" spans="1:62" x14ac:dyDescent="0.3">
      <c r="A597" s="57"/>
      <c r="BG59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97" s="29" t="e">
        <f>BG597/DEVSQ(Archive[[#This Row],[Higher Level Standard - Zero 1]:[Higher Level Standard - Zero 2]])</f>
        <v>#VALUE!</v>
      </c>
      <c r="BI597" s="29" t="e">
        <f>BG597*(1/COUNT(Archive[[#This Row],[Candidate Transfer Standard - Zero 1]:[Candidate Transfer Standard - Zero 2]])+AVERAGE(Archive[[#This Row],[Higher Level Standard - Zero 1]:[Higher Level Standard - Zero 2]])^2/DEVSQ(Archive[[#This Row],[Higher Level Standard - Zero 1]:[Higher Level Standard - Zero 2]]))</f>
        <v>#VALUE!</v>
      </c>
      <c r="BJ597" s="29">
        <f>COUNT(Archive[[#This Row],[Candidate Transfer Standard - Zero 1]:[Candidate Transfer Standard - Zero 2]])</f>
        <v>0</v>
      </c>
    </row>
    <row r="598" spans="1:62" x14ac:dyDescent="0.3">
      <c r="A598" s="57"/>
      <c r="BG59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98" s="29" t="e">
        <f>BG598/DEVSQ(Archive[[#This Row],[Higher Level Standard - Zero 1]:[Higher Level Standard - Zero 2]])</f>
        <v>#VALUE!</v>
      </c>
      <c r="BI598" s="29" t="e">
        <f>BG598*(1/COUNT(Archive[[#This Row],[Candidate Transfer Standard - Zero 1]:[Candidate Transfer Standard - Zero 2]])+AVERAGE(Archive[[#This Row],[Higher Level Standard - Zero 1]:[Higher Level Standard - Zero 2]])^2/DEVSQ(Archive[[#This Row],[Higher Level Standard - Zero 1]:[Higher Level Standard - Zero 2]]))</f>
        <v>#VALUE!</v>
      </c>
      <c r="BJ598" s="29">
        <f>COUNT(Archive[[#This Row],[Candidate Transfer Standard - Zero 1]:[Candidate Transfer Standard - Zero 2]])</f>
        <v>0</v>
      </c>
    </row>
    <row r="599" spans="1:62" x14ac:dyDescent="0.3">
      <c r="A599" s="57"/>
      <c r="BG59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599" s="29" t="e">
        <f>BG599/DEVSQ(Archive[[#This Row],[Higher Level Standard - Zero 1]:[Higher Level Standard - Zero 2]])</f>
        <v>#VALUE!</v>
      </c>
      <c r="BI599" s="29" t="e">
        <f>BG599*(1/COUNT(Archive[[#This Row],[Candidate Transfer Standard - Zero 1]:[Candidate Transfer Standard - Zero 2]])+AVERAGE(Archive[[#This Row],[Higher Level Standard - Zero 1]:[Higher Level Standard - Zero 2]])^2/DEVSQ(Archive[[#This Row],[Higher Level Standard - Zero 1]:[Higher Level Standard - Zero 2]]))</f>
        <v>#VALUE!</v>
      </c>
      <c r="BJ599" s="29">
        <f>COUNT(Archive[[#This Row],[Candidate Transfer Standard - Zero 1]:[Candidate Transfer Standard - Zero 2]])</f>
        <v>0</v>
      </c>
    </row>
    <row r="600" spans="1:62" x14ac:dyDescent="0.3">
      <c r="A600" s="57"/>
      <c r="BG60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00" s="29" t="e">
        <f>BG600/DEVSQ(Archive[[#This Row],[Higher Level Standard - Zero 1]:[Higher Level Standard - Zero 2]])</f>
        <v>#VALUE!</v>
      </c>
      <c r="BI600" s="29" t="e">
        <f>BG600*(1/COUNT(Archive[[#This Row],[Candidate Transfer Standard - Zero 1]:[Candidate Transfer Standard - Zero 2]])+AVERAGE(Archive[[#This Row],[Higher Level Standard - Zero 1]:[Higher Level Standard - Zero 2]])^2/DEVSQ(Archive[[#This Row],[Higher Level Standard - Zero 1]:[Higher Level Standard - Zero 2]]))</f>
        <v>#VALUE!</v>
      </c>
      <c r="BJ600" s="29">
        <f>COUNT(Archive[[#This Row],[Candidate Transfer Standard - Zero 1]:[Candidate Transfer Standard - Zero 2]])</f>
        <v>0</v>
      </c>
    </row>
    <row r="601" spans="1:62" x14ac:dyDescent="0.3">
      <c r="A601" s="57"/>
      <c r="BG60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01" s="29" t="e">
        <f>BG601/DEVSQ(Archive[[#This Row],[Higher Level Standard - Zero 1]:[Higher Level Standard - Zero 2]])</f>
        <v>#VALUE!</v>
      </c>
      <c r="BI601" s="29" t="e">
        <f>BG601*(1/COUNT(Archive[[#This Row],[Candidate Transfer Standard - Zero 1]:[Candidate Transfer Standard - Zero 2]])+AVERAGE(Archive[[#This Row],[Higher Level Standard - Zero 1]:[Higher Level Standard - Zero 2]])^2/DEVSQ(Archive[[#This Row],[Higher Level Standard - Zero 1]:[Higher Level Standard - Zero 2]]))</f>
        <v>#VALUE!</v>
      </c>
      <c r="BJ601" s="29">
        <f>COUNT(Archive[[#This Row],[Candidate Transfer Standard - Zero 1]:[Candidate Transfer Standard - Zero 2]])</f>
        <v>0</v>
      </c>
    </row>
    <row r="602" spans="1:62" x14ac:dyDescent="0.3">
      <c r="A602" s="57"/>
      <c r="BG60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02" s="29" t="e">
        <f>BG602/DEVSQ(Archive[[#This Row],[Higher Level Standard - Zero 1]:[Higher Level Standard - Zero 2]])</f>
        <v>#VALUE!</v>
      </c>
      <c r="BI602" s="29" t="e">
        <f>BG602*(1/COUNT(Archive[[#This Row],[Candidate Transfer Standard - Zero 1]:[Candidate Transfer Standard - Zero 2]])+AVERAGE(Archive[[#This Row],[Higher Level Standard - Zero 1]:[Higher Level Standard - Zero 2]])^2/DEVSQ(Archive[[#This Row],[Higher Level Standard - Zero 1]:[Higher Level Standard - Zero 2]]))</f>
        <v>#VALUE!</v>
      </c>
      <c r="BJ602" s="29">
        <f>COUNT(Archive[[#This Row],[Candidate Transfer Standard - Zero 1]:[Candidate Transfer Standard - Zero 2]])</f>
        <v>0</v>
      </c>
    </row>
    <row r="603" spans="1:62" x14ac:dyDescent="0.3">
      <c r="A603" s="57"/>
      <c r="BG60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03" s="29" t="e">
        <f>BG603/DEVSQ(Archive[[#This Row],[Higher Level Standard - Zero 1]:[Higher Level Standard - Zero 2]])</f>
        <v>#VALUE!</v>
      </c>
      <c r="BI603" s="29" t="e">
        <f>BG603*(1/COUNT(Archive[[#This Row],[Candidate Transfer Standard - Zero 1]:[Candidate Transfer Standard - Zero 2]])+AVERAGE(Archive[[#This Row],[Higher Level Standard - Zero 1]:[Higher Level Standard - Zero 2]])^2/DEVSQ(Archive[[#This Row],[Higher Level Standard - Zero 1]:[Higher Level Standard - Zero 2]]))</f>
        <v>#VALUE!</v>
      </c>
      <c r="BJ603" s="29">
        <f>COUNT(Archive[[#This Row],[Candidate Transfer Standard - Zero 1]:[Candidate Transfer Standard - Zero 2]])</f>
        <v>0</v>
      </c>
    </row>
    <row r="604" spans="1:62" x14ac:dyDescent="0.3">
      <c r="A604" s="57"/>
      <c r="BG60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04" s="29" t="e">
        <f>BG604/DEVSQ(Archive[[#This Row],[Higher Level Standard - Zero 1]:[Higher Level Standard - Zero 2]])</f>
        <v>#VALUE!</v>
      </c>
      <c r="BI604" s="29" t="e">
        <f>BG604*(1/COUNT(Archive[[#This Row],[Candidate Transfer Standard - Zero 1]:[Candidate Transfer Standard - Zero 2]])+AVERAGE(Archive[[#This Row],[Higher Level Standard - Zero 1]:[Higher Level Standard - Zero 2]])^2/DEVSQ(Archive[[#This Row],[Higher Level Standard - Zero 1]:[Higher Level Standard - Zero 2]]))</f>
        <v>#VALUE!</v>
      </c>
      <c r="BJ604" s="29">
        <f>COUNT(Archive[[#This Row],[Candidate Transfer Standard - Zero 1]:[Candidate Transfer Standard - Zero 2]])</f>
        <v>0</v>
      </c>
    </row>
    <row r="605" spans="1:62" x14ac:dyDescent="0.3">
      <c r="A605" s="57"/>
      <c r="BG60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05" s="29" t="e">
        <f>BG605/DEVSQ(Archive[[#This Row],[Higher Level Standard - Zero 1]:[Higher Level Standard - Zero 2]])</f>
        <v>#VALUE!</v>
      </c>
      <c r="BI605" s="29" t="e">
        <f>BG605*(1/COUNT(Archive[[#This Row],[Candidate Transfer Standard - Zero 1]:[Candidate Transfer Standard - Zero 2]])+AVERAGE(Archive[[#This Row],[Higher Level Standard - Zero 1]:[Higher Level Standard - Zero 2]])^2/DEVSQ(Archive[[#This Row],[Higher Level Standard - Zero 1]:[Higher Level Standard - Zero 2]]))</f>
        <v>#VALUE!</v>
      </c>
      <c r="BJ605" s="29">
        <f>COUNT(Archive[[#This Row],[Candidate Transfer Standard - Zero 1]:[Candidate Transfer Standard - Zero 2]])</f>
        <v>0</v>
      </c>
    </row>
    <row r="606" spans="1:62" x14ac:dyDescent="0.3">
      <c r="A606" s="57"/>
      <c r="BG60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06" s="29" t="e">
        <f>BG606/DEVSQ(Archive[[#This Row],[Higher Level Standard - Zero 1]:[Higher Level Standard - Zero 2]])</f>
        <v>#VALUE!</v>
      </c>
      <c r="BI606" s="29" t="e">
        <f>BG606*(1/COUNT(Archive[[#This Row],[Candidate Transfer Standard - Zero 1]:[Candidate Transfer Standard - Zero 2]])+AVERAGE(Archive[[#This Row],[Higher Level Standard - Zero 1]:[Higher Level Standard - Zero 2]])^2/DEVSQ(Archive[[#This Row],[Higher Level Standard - Zero 1]:[Higher Level Standard - Zero 2]]))</f>
        <v>#VALUE!</v>
      </c>
      <c r="BJ606" s="29">
        <f>COUNT(Archive[[#This Row],[Candidate Transfer Standard - Zero 1]:[Candidate Transfer Standard - Zero 2]])</f>
        <v>0</v>
      </c>
    </row>
    <row r="607" spans="1:62" x14ac:dyDescent="0.3">
      <c r="A607" s="57"/>
      <c r="BG60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07" s="29" t="e">
        <f>BG607/DEVSQ(Archive[[#This Row],[Higher Level Standard - Zero 1]:[Higher Level Standard - Zero 2]])</f>
        <v>#VALUE!</v>
      </c>
      <c r="BI607" s="29" t="e">
        <f>BG607*(1/COUNT(Archive[[#This Row],[Candidate Transfer Standard - Zero 1]:[Candidate Transfer Standard - Zero 2]])+AVERAGE(Archive[[#This Row],[Higher Level Standard - Zero 1]:[Higher Level Standard - Zero 2]])^2/DEVSQ(Archive[[#This Row],[Higher Level Standard - Zero 1]:[Higher Level Standard - Zero 2]]))</f>
        <v>#VALUE!</v>
      </c>
      <c r="BJ607" s="29">
        <f>COUNT(Archive[[#This Row],[Candidate Transfer Standard - Zero 1]:[Candidate Transfer Standard - Zero 2]])</f>
        <v>0</v>
      </c>
    </row>
    <row r="608" spans="1:62" x14ac:dyDescent="0.3">
      <c r="A608" s="57"/>
      <c r="BG60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08" s="29" t="e">
        <f>BG608/DEVSQ(Archive[[#This Row],[Higher Level Standard - Zero 1]:[Higher Level Standard - Zero 2]])</f>
        <v>#VALUE!</v>
      </c>
      <c r="BI608" s="29" t="e">
        <f>BG608*(1/COUNT(Archive[[#This Row],[Candidate Transfer Standard - Zero 1]:[Candidate Transfer Standard - Zero 2]])+AVERAGE(Archive[[#This Row],[Higher Level Standard - Zero 1]:[Higher Level Standard - Zero 2]])^2/DEVSQ(Archive[[#This Row],[Higher Level Standard - Zero 1]:[Higher Level Standard - Zero 2]]))</f>
        <v>#VALUE!</v>
      </c>
      <c r="BJ608" s="29">
        <f>COUNT(Archive[[#This Row],[Candidate Transfer Standard - Zero 1]:[Candidate Transfer Standard - Zero 2]])</f>
        <v>0</v>
      </c>
    </row>
    <row r="609" spans="1:62" x14ac:dyDescent="0.3">
      <c r="A609" s="57"/>
      <c r="BG60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09" s="29" t="e">
        <f>BG609/DEVSQ(Archive[[#This Row],[Higher Level Standard - Zero 1]:[Higher Level Standard - Zero 2]])</f>
        <v>#VALUE!</v>
      </c>
      <c r="BI609" s="29" t="e">
        <f>BG609*(1/COUNT(Archive[[#This Row],[Candidate Transfer Standard - Zero 1]:[Candidate Transfer Standard - Zero 2]])+AVERAGE(Archive[[#This Row],[Higher Level Standard - Zero 1]:[Higher Level Standard - Zero 2]])^2/DEVSQ(Archive[[#This Row],[Higher Level Standard - Zero 1]:[Higher Level Standard - Zero 2]]))</f>
        <v>#VALUE!</v>
      </c>
      <c r="BJ609" s="29">
        <f>COUNT(Archive[[#This Row],[Candidate Transfer Standard - Zero 1]:[Candidate Transfer Standard - Zero 2]])</f>
        <v>0</v>
      </c>
    </row>
    <row r="610" spans="1:62" x14ac:dyDescent="0.3">
      <c r="A610" s="57"/>
      <c r="BG61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10" s="29" t="e">
        <f>BG610/DEVSQ(Archive[[#This Row],[Higher Level Standard - Zero 1]:[Higher Level Standard - Zero 2]])</f>
        <v>#VALUE!</v>
      </c>
      <c r="BI610" s="29" t="e">
        <f>BG610*(1/COUNT(Archive[[#This Row],[Candidate Transfer Standard - Zero 1]:[Candidate Transfer Standard - Zero 2]])+AVERAGE(Archive[[#This Row],[Higher Level Standard - Zero 1]:[Higher Level Standard - Zero 2]])^2/DEVSQ(Archive[[#This Row],[Higher Level Standard - Zero 1]:[Higher Level Standard - Zero 2]]))</f>
        <v>#VALUE!</v>
      </c>
      <c r="BJ610" s="29">
        <f>COUNT(Archive[[#This Row],[Candidate Transfer Standard - Zero 1]:[Candidate Transfer Standard - Zero 2]])</f>
        <v>0</v>
      </c>
    </row>
    <row r="611" spans="1:62" x14ac:dyDescent="0.3">
      <c r="A611" s="57"/>
      <c r="BG61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11" s="29" t="e">
        <f>BG611/DEVSQ(Archive[[#This Row],[Higher Level Standard - Zero 1]:[Higher Level Standard - Zero 2]])</f>
        <v>#VALUE!</v>
      </c>
      <c r="BI611" s="29" t="e">
        <f>BG611*(1/COUNT(Archive[[#This Row],[Candidate Transfer Standard - Zero 1]:[Candidate Transfer Standard - Zero 2]])+AVERAGE(Archive[[#This Row],[Higher Level Standard - Zero 1]:[Higher Level Standard - Zero 2]])^2/DEVSQ(Archive[[#This Row],[Higher Level Standard - Zero 1]:[Higher Level Standard - Zero 2]]))</f>
        <v>#VALUE!</v>
      </c>
      <c r="BJ611" s="29">
        <f>COUNT(Archive[[#This Row],[Candidate Transfer Standard - Zero 1]:[Candidate Transfer Standard - Zero 2]])</f>
        <v>0</v>
      </c>
    </row>
    <row r="612" spans="1:62" x14ac:dyDescent="0.3">
      <c r="A612" s="57"/>
      <c r="BG61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12" s="29" t="e">
        <f>BG612/DEVSQ(Archive[[#This Row],[Higher Level Standard - Zero 1]:[Higher Level Standard - Zero 2]])</f>
        <v>#VALUE!</v>
      </c>
      <c r="BI612" s="29" t="e">
        <f>BG612*(1/COUNT(Archive[[#This Row],[Candidate Transfer Standard - Zero 1]:[Candidate Transfer Standard - Zero 2]])+AVERAGE(Archive[[#This Row],[Higher Level Standard - Zero 1]:[Higher Level Standard - Zero 2]])^2/DEVSQ(Archive[[#This Row],[Higher Level Standard - Zero 1]:[Higher Level Standard - Zero 2]]))</f>
        <v>#VALUE!</v>
      </c>
      <c r="BJ612" s="29">
        <f>COUNT(Archive[[#This Row],[Candidate Transfer Standard - Zero 1]:[Candidate Transfer Standard - Zero 2]])</f>
        <v>0</v>
      </c>
    </row>
    <row r="613" spans="1:62" x14ac:dyDescent="0.3">
      <c r="A613" s="57"/>
      <c r="BG61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13" s="29" t="e">
        <f>BG613/DEVSQ(Archive[[#This Row],[Higher Level Standard - Zero 1]:[Higher Level Standard - Zero 2]])</f>
        <v>#VALUE!</v>
      </c>
      <c r="BI613" s="29" t="e">
        <f>BG613*(1/COUNT(Archive[[#This Row],[Candidate Transfer Standard - Zero 1]:[Candidate Transfer Standard - Zero 2]])+AVERAGE(Archive[[#This Row],[Higher Level Standard - Zero 1]:[Higher Level Standard - Zero 2]])^2/DEVSQ(Archive[[#This Row],[Higher Level Standard - Zero 1]:[Higher Level Standard - Zero 2]]))</f>
        <v>#VALUE!</v>
      </c>
      <c r="BJ613" s="29">
        <f>COUNT(Archive[[#This Row],[Candidate Transfer Standard - Zero 1]:[Candidate Transfer Standard - Zero 2]])</f>
        <v>0</v>
      </c>
    </row>
    <row r="614" spans="1:62" x14ac:dyDescent="0.3">
      <c r="A614" s="57"/>
      <c r="BG61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14" s="29" t="e">
        <f>BG614/DEVSQ(Archive[[#This Row],[Higher Level Standard - Zero 1]:[Higher Level Standard - Zero 2]])</f>
        <v>#VALUE!</v>
      </c>
      <c r="BI614" s="29" t="e">
        <f>BG614*(1/COUNT(Archive[[#This Row],[Candidate Transfer Standard - Zero 1]:[Candidate Transfer Standard - Zero 2]])+AVERAGE(Archive[[#This Row],[Higher Level Standard - Zero 1]:[Higher Level Standard - Zero 2]])^2/DEVSQ(Archive[[#This Row],[Higher Level Standard - Zero 1]:[Higher Level Standard - Zero 2]]))</f>
        <v>#VALUE!</v>
      </c>
      <c r="BJ614" s="29">
        <f>COUNT(Archive[[#This Row],[Candidate Transfer Standard - Zero 1]:[Candidate Transfer Standard - Zero 2]])</f>
        <v>0</v>
      </c>
    </row>
    <row r="615" spans="1:62" x14ac:dyDescent="0.3">
      <c r="A615" s="57"/>
      <c r="BG61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15" s="29" t="e">
        <f>BG615/DEVSQ(Archive[[#This Row],[Higher Level Standard - Zero 1]:[Higher Level Standard - Zero 2]])</f>
        <v>#VALUE!</v>
      </c>
      <c r="BI615" s="29" t="e">
        <f>BG615*(1/COUNT(Archive[[#This Row],[Candidate Transfer Standard - Zero 1]:[Candidate Transfer Standard - Zero 2]])+AVERAGE(Archive[[#This Row],[Higher Level Standard - Zero 1]:[Higher Level Standard - Zero 2]])^2/DEVSQ(Archive[[#This Row],[Higher Level Standard - Zero 1]:[Higher Level Standard - Zero 2]]))</f>
        <v>#VALUE!</v>
      </c>
      <c r="BJ615" s="29">
        <f>COUNT(Archive[[#This Row],[Candidate Transfer Standard - Zero 1]:[Candidate Transfer Standard - Zero 2]])</f>
        <v>0</v>
      </c>
    </row>
    <row r="616" spans="1:62" x14ac:dyDescent="0.3">
      <c r="A616" s="57"/>
      <c r="BG61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16" s="29" t="e">
        <f>BG616/DEVSQ(Archive[[#This Row],[Higher Level Standard - Zero 1]:[Higher Level Standard - Zero 2]])</f>
        <v>#VALUE!</v>
      </c>
      <c r="BI616" s="29" t="e">
        <f>BG616*(1/COUNT(Archive[[#This Row],[Candidate Transfer Standard - Zero 1]:[Candidate Transfer Standard - Zero 2]])+AVERAGE(Archive[[#This Row],[Higher Level Standard - Zero 1]:[Higher Level Standard - Zero 2]])^2/DEVSQ(Archive[[#This Row],[Higher Level Standard - Zero 1]:[Higher Level Standard - Zero 2]]))</f>
        <v>#VALUE!</v>
      </c>
      <c r="BJ616" s="29">
        <f>COUNT(Archive[[#This Row],[Candidate Transfer Standard - Zero 1]:[Candidate Transfer Standard - Zero 2]])</f>
        <v>0</v>
      </c>
    </row>
    <row r="617" spans="1:62" x14ac:dyDescent="0.3">
      <c r="A617" s="57"/>
      <c r="BG61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17" s="29" t="e">
        <f>BG617/DEVSQ(Archive[[#This Row],[Higher Level Standard - Zero 1]:[Higher Level Standard - Zero 2]])</f>
        <v>#VALUE!</v>
      </c>
      <c r="BI617" s="29" t="e">
        <f>BG617*(1/COUNT(Archive[[#This Row],[Candidate Transfer Standard - Zero 1]:[Candidate Transfer Standard - Zero 2]])+AVERAGE(Archive[[#This Row],[Higher Level Standard - Zero 1]:[Higher Level Standard - Zero 2]])^2/DEVSQ(Archive[[#This Row],[Higher Level Standard - Zero 1]:[Higher Level Standard - Zero 2]]))</f>
        <v>#VALUE!</v>
      </c>
      <c r="BJ617" s="29">
        <f>COUNT(Archive[[#This Row],[Candidate Transfer Standard - Zero 1]:[Candidate Transfer Standard - Zero 2]])</f>
        <v>0</v>
      </c>
    </row>
    <row r="618" spans="1:62" x14ac:dyDescent="0.3">
      <c r="A618" s="57"/>
      <c r="BG61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18" s="29" t="e">
        <f>BG618/DEVSQ(Archive[[#This Row],[Higher Level Standard - Zero 1]:[Higher Level Standard - Zero 2]])</f>
        <v>#VALUE!</v>
      </c>
      <c r="BI618" s="29" t="e">
        <f>BG618*(1/COUNT(Archive[[#This Row],[Candidate Transfer Standard - Zero 1]:[Candidate Transfer Standard - Zero 2]])+AVERAGE(Archive[[#This Row],[Higher Level Standard - Zero 1]:[Higher Level Standard - Zero 2]])^2/DEVSQ(Archive[[#This Row],[Higher Level Standard - Zero 1]:[Higher Level Standard - Zero 2]]))</f>
        <v>#VALUE!</v>
      </c>
      <c r="BJ618" s="29">
        <f>COUNT(Archive[[#This Row],[Candidate Transfer Standard - Zero 1]:[Candidate Transfer Standard - Zero 2]])</f>
        <v>0</v>
      </c>
    </row>
    <row r="619" spans="1:62" x14ac:dyDescent="0.3">
      <c r="A619" s="57"/>
      <c r="BG61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19" s="29" t="e">
        <f>BG619/DEVSQ(Archive[[#This Row],[Higher Level Standard - Zero 1]:[Higher Level Standard - Zero 2]])</f>
        <v>#VALUE!</v>
      </c>
      <c r="BI619" s="29" t="e">
        <f>BG619*(1/COUNT(Archive[[#This Row],[Candidate Transfer Standard - Zero 1]:[Candidate Transfer Standard - Zero 2]])+AVERAGE(Archive[[#This Row],[Higher Level Standard - Zero 1]:[Higher Level Standard - Zero 2]])^2/DEVSQ(Archive[[#This Row],[Higher Level Standard - Zero 1]:[Higher Level Standard - Zero 2]]))</f>
        <v>#VALUE!</v>
      </c>
      <c r="BJ619" s="29">
        <f>COUNT(Archive[[#This Row],[Candidate Transfer Standard - Zero 1]:[Candidate Transfer Standard - Zero 2]])</f>
        <v>0</v>
      </c>
    </row>
    <row r="620" spans="1:62" x14ac:dyDescent="0.3">
      <c r="A620" s="57"/>
      <c r="BG62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20" s="29" t="e">
        <f>BG620/DEVSQ(Archive[[#This Row],[Higher Level Standard - Zero 1]:[Higher Level Standard - Zero 2]])</f>
        <v>#VALUE!</v>
      </c>
      <c r="BI620" s="29" t="e">
        <f>BG620*(1/COUNT(Archive[[#This Row],[Candidate Transfer Standard - Zero 1]:[Candidate Transfer Standard - Zero 2]])+AVERAGE(Archive[[#This Row],[Higher Level Standard - Zero 1]:[Higher Level Standard - Zero 2]])^2/DEVSQ(Archive[[#This Row],[Higher Level Standard - Zero 1]:[Higher Level Standard - Zero 2]]))</f>
        <v>#VALUE!</v>
      </c>
      <c r="BJ620" s="29">
        <f>COUNT(Archive[[#This Row],[Candidate Transfer Standard - Zero 1]:[Candidate Transfer Standard - Zero 2]])</f>
        <v>0</v>
      </c>
    </row>
    <row r="621" spans="1:62" x14ac:dyDescent="0.3">
      <c r="A621" s="57"/>
      <c r="BG62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21" s="29" t="e">
        <f>BG621/DEVSQ(Archive[[#This Row],[Higher Level Standard - Zero 1]:[Higher Level Standard - Zero 2]])</f>
        <v>#VALUE!</v>
      </c>
      <c r="BI621" s="29" t="e">
        <f>BG621*(1/COUNT(Archive[[#This Row],[Candidate Transfer Standard - Zero 1]:[Candidate Transfer Standard - Zero 2]])+AVERAGE(Archive[[#This Row],[Higher Level Standard - Zero 1]:[Higher Level Standard - Zero 2]])^2/DEVSQ(Archive[[#This Row],[Higher Level Standard - Zero 1]:[Higher Level Standard - Zero 2]]))</f>
        <v>#VALUE!</v>
      </c>
      <c r="BJ621" s="29">
        <f>COUNT(Archive[[#This Row],[Candidate Transfer Standard - Zero 1]:[Candidate Transfer Standard - Zero 2]])</f>
        <v>0</v>
      </c>
    </row>
    <row r="622" spans="1:62" x14ac:dyDescent="0.3">
      <c r="A622" s="57"/>
      <c r="BG62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22" s="29" t="e">
        <f>BG622/DEVSQ(Archive[[#This Row],[Higher Level Standard - Zero 1]:[Higher Level Standard - Zero 2]])</f>
        <v>#VALUE!</v>
      </c>
      <c r="BI622" s="29" t="e">
        <f>BG622*(1/COUNT(Archive[[#This Row],[Candidate Transfer Standard - Zero 1]:[Candidate Transfer Standard - Zero 2]])+AVERAGE(Archive[[#This Row],[Higher Level Standard - Zero 1]:[Higher Level Standard - Zero 2]])^2/DEVSQ(Archive[[#This Row],[Higher Level Standard - Zero 1]:[Higher Level Standard - Zero 2]]))</f>
        <v>#VALUE!</v>
      </c>
      <c r="BJ622" s="29">
        <f>COUNT(Archive[[#This Row],[Candidate Transfer Standard - Zero 1]:[Candidate Transfer Standard - Zero 2]])</f>
        <v>0</v>
      </c>
    </row>
    <row r="623" spans="1:62" x14ac:dyDescent="0.3">
      <c r="A623" s="57"/>
      <c r="BG62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23" s="29" t="e">
        <f>BG623/DEVSQ(Archive[[#This Row],[Higher Level Standard - Zero 1]:[Higher Level Standard - Zero 2]])</f>
        <v>#VALUE!</v>
      </c>
      <c r="BI623" s="29" t="e">
        <f>BG623*(1/COUNT(Archive[[#This Row],[Candidate Transfer Standard - Zero 1]:[Candidate Transfer Standard - Zero 2]])+AVERAGE(Archive[[#This Row],[Higher Level Standard - Zero 1]:[Higher Level Standard - Zero 2]])^2/DEVSQ(Archive[[#This Row],[Higher Level Standard - Zero 1]:[Higher Level Standard - Zero 2]]))</f>
        <v>#VALUE!</v>
      </c>
      <c r="BJ623" s="29">
        <f>COUNT(Archive[[#This Row],[Candidate Transfer Standard - Zero 1]:[Candidate Transfer Standard - Zero 2]])</f>
        <v>0</v>
      </c>
    </row>
    <row r="624" spans="1:62" x14ac:dyDescent="0.3">
      <c r="A624" s="57"/>
      <c r="BG62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24" s="29" t="e">
        <f>BG624/DEVSQ(Archive[[#This Row],[Higher Level Standard - Zero 1]:[Higher Level Standard - Zero 2]])</f>
        <v>#VALUE!</v>
      </c>
      <c r="BI624" s="29" t="e">
        <f>BG624*(1/COUNT(Archive[[#This Row],[Candidate Transfer Standard - Zero 1]:[Candidate Transfer Standard - Zero 2]])+AVERAGE(Archive[[#This Row],[Higher Level Standard - Zero 1]:[Higher Level Standard - Zero 2]])^2/DEVSQ(Archive[[#This Row],[Higher Level Standard - Zero 1]:[Higher Level Standard - Zero 2]]))</f>
        <v>#VALUE!</v>
      </c>
      <c r="BJ624" s="29">
        <f>COUNT(Archive[[#This Row],[Candidate Transfer Standard - Zero 1]:[Candidate Transfer Standard - Zero 2]])</f>
        <v>0</v>
      </c>
    </row>
    <row r="625" spans="1:62" x14ac:dyDescent="0.3">
      <c r="A625" s="57"/>
      <c r="BG62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25" s="29" t="e">
        <f>BG625/DEVSQ(Archive[[#This Row],[Higher Level Standard - Zero 1]:[Higher Level Standard - Zero 2]])</f>
        <v>#VALUE!</v>
      </c>
      <c r="BI625" s="29" t="e">
        <f>BG625*(1/COUNT(Archive[[#This Row],[Candidate Transfer Standard - Zero 1]:[Candidate Transfer Standard - Zero 2]])+AVERAGE(Archive[[#This Row],[Higher Level Standard - Zero 1]:[Higher Level Standard - Zero 2]])^2/DEVSQ(Archive[[#This Row],[Higher Level Standard - Zero 1]:[Higher Level Standard - Zero 2]]))</f>
        <v>#VALUE!</v>
      </c>
      <c r="BJ625" s="29">
        <f>COUNT(Archive[[#This Row],[Candidate Transfer Standard - Zero 1]:[Candidate Transfer Standard - Zero 2]])</f>
        <v>0</v>
      </c>
    </row>
    <row r="626" spans="1:62" x14ac:dyDescent="0.3">
      <c r="A626" s="57"/>
      <c r="BG62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26" s="29" t="e">
        <f>BG626/DEVSQ(Archive[[#This Row],[Higher Level Standard - Zero 1]:[Higher Level Standard - Zero 2]])</f>
        <v>#VALUE!</v>
      </c>
      <c r="BI626" s="29" t="e">
        <f>BG626*(1/COUNT(Archive[[#This Row],[Candidate Transfer Standard - Zero 1]:[Candidate Transfer Standard - Zero 2]])+AVERAGE(Archive[[#This Row],[Higher Level Standard - Zero 1]:[Higher Level Standard - Zero 2]])^2/DEVSQ(Archive[[#This Row],[Higher Level Standard - Zero 1]:[Higher Level Standard - Zero 2]]))</f>
        <v>#VALUE!</v>
      </c>
      <c r="BJ626" s="29">
        <f>COUNT(Archive[[#This Row],[Candidate Transfer Standard - Zero 1]:[Candidate Transfer Standard - Zero 2]])</f>
        <v>0</v>
      </c>
    </row>
    <row r="627" spans="1:62" x14ac:dyDescent="0.3">
      <c r="A627" s="57"/>
      <c r="BG62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27" s="29" t="e">
        <f>BG627/DEVSQ(Archive[[#This Row],[Higher Level Standard - Zero 1]:[Higher Level Standard - Zero 2]])</f>
        <v>#VALUE!</v>
      </c>
      <c r="BI627" s="29" t="e">
        <f>BG627*(1/COUNT(Archive[[#This Row],[Candidate Transfer Standard - Zero 1]:[Candidate Transfer Standard - Zero 2]])+AVERAGE(Archive[[#This Row],[Higher Level Standard - Zero 1]:[Higher Level Standard - Zero 2]])^2/DEVSQ(Archive[[#This Row],[Higher Level Standard - Zero 1]:[Higher Level Standard - Zero 2]]))</f>
        <v>#VALUE!</v>
      </c>
      <c r="BJ627" s="29">
        <f>COUNT(Archive[[#This Row],[Candidate Transfer Standard - Zero 1]:[Candidate Transfer Standard - Zero 2]])</f>
        <v>0</v>
      </c>
    </row>
    <row r="628" spans="1:62" x14ac:dyDescent="0.3">
      <c r="A628" s="57"/>
      <c r="BG62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28" s="29" t="e">
        <f>BG628/DEVSQ(Archive[[#This Row],[Higher Level Standard - Zero 1]:[Higher Level Standard - Zero 2]])</f>
        <v>#VALUE!</v>
      </c>
      <c r="BI628" s="29" t="e">
        <f>BG628*(1/COUNT(Archive[[#This Row],[Candidate Transfer Standard - Zero 1]:[Candidate Transfer Standard - Zero 2]])+AVERAGE(Archive[[#This Row],[Higher Level Standard - Zero 1]:[Higher Level Standard - Zero 2]])^2/DEVSQ(Archive[[#This Row],[Higher Level Standard - Zero 1]:[Higher Level Standard - Zero 2]]))</f>
        <v>#VALUE!</v>
      </c>
      <c r="BJ628" s="29">
        <f>COUNT(Archive[[#This Row],[Candidate Transfer Standard - Zero 1]:[Candidate Transfer Standard - Zero 2]])</f>
        <v>0</v>
      </c>
    </row>
    <row r="629" spans="1:62" x14ac:dyDescent="0.3">
      <c r="A629" s="57"/>
      <c r="BG62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29" s="29" t="e">
        <f>BG629/DEVSQ(Archive[[#This Row],[Higher Level Standard - Zero 1]:[Higher Level Standard - Zero 2]])</f>
        <v>#VALUE!</v>
      </c>
      <c r="BI629" s="29" t="e">
        <f>BG629*(1/COUNT(Archive[[#This Row],[Candidate Transfer Standard - Zero 1]:[Candidate Transfer Standard - Zero 2]])+AVERAGE(Archive[[#This Row],[Higher Level Standard - Zero 1]:[Higher Level Standard - Zero 2]])^2/DEVSQ(Archive[[#This Row],[Higher Level Standard - Zero 1]:[Higher Level Standard - Zero 2]]))</f>
        <v>#VALUE!</v>
      </c>
      <c r="BJ629" s="29">
        <f>COUNT(Archive[[#This Row],[Candidate Transfer Standard - Zero 1]:[Candidate Transfer Standard - Zero 2]])</f>
        <v>0</v>
      </c>
    </row>
    <row r="630" spans="1:62" x14ac:dyDescent="0.3">
      <c r="A630" s="57"/>
      <c r="BG63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30" s="29" t="e">
        <f>BG630/DEVSQ(Archive[[#This Row],[Higher Level Standard - Zero 1]:[Higher Level Standard - Zero 2]])</f>
        <v>#VALUE!</v>
      </c>
      <c r="BI630" s="29" t="e">
        <f>BG630*(1/COUNT(Archive[[#This Row],[Candidate Transfer Standard - Zero 1]:[Candidate Transfer Standard - Zero 2]])+AVERAGE(Archive[[#This Row],[Higher Level Standard - Zero 1]:[Higher Level Standard - Zero 2]])^2/DEVSQ(Archive[[#This Row],[Higher Level Standard - Zero 1]:[Higher Level Standard - Zero 2]]))</f>
        <v>#VALUE!</v>
      </c>
      <c r="BJ630" s="29">
        <f>COUNT(Archive[[#This Row],[Candidate Transfer Standard - Zero 1]:[Candidate Transfer Standard - Zero 2]])</f>
        <v>0</v>
      </c>
    </row>
    <row r="631" spans="1:62" x14ac:dyDescent="0.3">
      <c r="A631" s="57"/>
      <c r="BG63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31" s="29" t="e">
        <f>BG631/DEVSQ(Archive[[#This Row],[Higher Level Standard - Zero 1]:[Higher Level Standard - Zero 2]])</f>
        <v>#VALUE!</v>
      </c>
      <c r="BI631" s="29" t="e">
        <f>BG631*(1/COUNT(Archive[[#This Row],[Candidate Transfer Standard - Zero 1]:[Candidate Transfer Standard - Zero 2]])+AVERAGE(Archive[[#This Row],[Higher Level Standard - Zero 1]:[Higher Level Standard - Zero 2]])^2/DEVSQ(Archive[[#This Row],[Higher Level Standard - Zero 1]:[Higher Level Standard - Zero 2]]))</f>
        <v>#VALUE!</v>
      </c>
      <c r="BJ631" s="29">
        <f>COUNT(Archive[[#This Row],[Candidate Transfer Standard - Zero 1]:[Candidate Transfer Standard - Zero 2]])</f>
        <v>0</v>
      </c>
    </row>
    <row r="632" spans="1:62" x14ac:dyDescent="0.3">
      <c r="A632" s="57"/>
      <c r="BG63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32" s="29" t="e">
        <f>BG632/DEVSQ(Archive[[#This Row],[Higher Level Standard - Zero 1]:[Higher Level Standard - Zero 2]])</f>
        <v>#VALUE!</v>
      </c>
      <c r="BI632" s="29" t="e">
        <f>BG632*(1/COUNT(Archive[[#This Row],[Candidate Transfer Standard - Zero 1]:[Candidate Transfer Standard - Zero 2]])+AVERAGE(Archive[[#This Row],[Higher Level Standard - Zero 1]:[Higher Level Standard - Zero 2]])^2/DEVSQ(Archive[[#This Row],[Higher Level Standard - Zero 1]:[Higher Level Standard - Zero 2]]))</f>
        <v>#VALUE!</v>
      </c>
      <c r="BJ632" s="29">
        <f>COUNT(Archive[[#This Row],[Candidate Transfer Standard - Zero 1]:[Candidate Transfer Standard - Zero 2]])</f>
        <v>0</v>
      </c>
    </row>
    <row r="633" spans="1:62" x14ac:dyDescent="0.3">
      <c r="A633" s="57"/>
      <c r="BG63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33" s="29" t="e">
        <f>BG633/DEVSQ(Archive[[#This Row],[Higher Level Standard - Zero 1]:[Higher Level Standard - Zero 2]])</f>
        <v>#VALUE!</v>
      </c>
      <c r="BI633" s="29" t="e">
        <f>BG633*(1/COUNT(Archive[[#This Row],[Candidate Transfer Standard - Zero 1]:[Candidate Transfer Standard - Zero 2]])+AVERAGE(Archive[[#This Row],[Higher Level Standard - Zero 1]:[Higher Level Standard - Zero 2]])^2/DEVSQ(Archive[[#This Row],[Higher Level Standard - Zero 1]:[Higher Level Standard - Zero 2]]))</f>
        <v>#VALUE!</v>
      </c>
      <c r="BJ633" s="29">
        <f>COUNT(Archive[[#This Row],[Candidate Transfer Standard - Zero 1]:[Candidate Transfer Standard - Zero 2]])</f>
        <v>0</v>
      </c>
    </row>
    <row r="634" spans="1:62" x14ac:dyDescent="0.3">
      <c r="A634" s="57"/>
      <c r="BG63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34" s="29" t="e">
        <f>BG634/DEVSQ(Archive[[#This Row],[Higher Level Standard - Zero 1]:[Higher Level Standard - Zero 2]])</f>
        <v>#VALUE!</v>
      </c>
      <c r="BI634" s="29" t="e">
        <f>BG634*(1/COUNT(Archive[[#This Row],[Candidate Transfer Standard - Zero 1]:[Candidate Transfer Standard - Zero 2]])+AVERAGE(Archive[[#This Row],[Higher Level Standard - Zero 1]:[Higher Level Standard - Zero 2]])^2/DEVSQ(Archive[[#This Row],[Higher Level Standard - Zero 1]:[Higher Level Standard - Zero 2]]))</f>
        <v>#VALUE!</v>
      </c>
      <c r="BJ634" s="29">
        <f>COUNT(Archive[[#This Row],[Candidate Transfer Standard - Zero 1]:[Candidate Transfer Standard - Zero 2]])</f>
        <v>0</v>
      </c>
    </row>
    <row r="635" spans="1:62" x14ac:dyDescent="0.3">
      <c r="A635" s="57"/>
      <c r="BG63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35" s="29" t="e">
        <f>BG635/DEVSQ(Archive[[#This Row],[Higher Level Standard - Zero 1]:[Higher Level Standard - Zero 2]])</f>
        <v>#VALUE!</v>
      </c>
      <c r="BI635" s="29" t="e">
        <f>BG635*(1/COUNT(Archive[[#This Row],[Candidate Transfer Standard - Zero 1]:[Candidate Transfer Standard - Zero 2]])+AVERAGE(Archive[[#This Row],[Higher Level Standard - Zero 1]:[Higher Level Standard - Zero 2]])^2/DEVSQ(Archive[[#This Row],[Higher Level Standard - Zero 1]:[Higher Level Standard - Zero 2]]))</f>
        <v>#VALUE!</v>
      </c>
      <c r="BJ635" s="29">
        <f>COUNT(Archive[[#This Row],[Candidate Transfer Standard - Zero 1]:[Candidate Transfer Standard - Zero 2]])</f>
        <v>0</v>
      </c>
    </row>
    <row r="636" spans="1:62" x14ac:dyDescent="0.3">
      <c r="A636" s="57"/>
      <c r="BG63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36" s="29" t="e">
        <f>BG636/DEVSQ(Archive[[#This Row],[Higher Level Standard - Zero 1]:[Higher Level Standard - Zero 2]])</f>
        <v>#VALUE!</v>
      </c>
      <c r="BI636" s="29" t="e">
        <f>BG636*(1/COUNT(Archive[[#This Row],[Candidate Transfer Standard - Zero 1]:[Candidate Transfer Standard - Zero 2]])+AVERAGE(Archive[[#This Row],[Higher Level Standard - Zero 1]:[Higher Level Standard - Zero 2]])^2/DEVSQ(Archive[[#This Row],[Higher Level Standard - Zero 1]:[Higher Level Standard - Zero 2]]))</f>
        <v>#VALUE!</v>
      </c>
      <c r="BJ636" s="29">
        <f>COUNT(Archive[[#This Row],[Candidate Transfer Standard - Zero 1]:[Candidate Transfer Standard - Zero 2]])</f>
        <v>0</v>
      </c>
    </row>
    <row r="637" spans="1:62" x14ac:dyDescent="0.3">
      <c r="A637" s="57"/>
      <c r="BG63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37" s="29" t="e">
        <f>BG637/DEVSQ(Archive[[#This Row],[Higher Level Standard - Zero 1]:[Higher Level Standard - Zero 2]])</f>
        <v>#VALUE!</v>
      </c>
      <c r="BI637" s="29" t="e">
        <f>BG637*(1/COUNT(Archive[[#This Row],[Candidate Transfer Standard - Zero 1]:[Candidate Transfer Standard - Zero 2]])+AVERAGE(Archive[[#This Row],[Higher Level Standard - Zero 1]:[Higher Level Standard - Zero 2]])^2/DEVSQ(Archive[[#This Row],[Higher Level Standard - Zero 1]:[Higher Level Standard - Zero 2]]))</f>
        <v>#VALUE!</v>
      </c>
      <c r="BJ637" s="29">
        <f>COUNT(Archive[[#This Row],[Candidate Transfer Standard - Zero 1]:[Candidate Transfer Standard - Zero 2]])</f>
        <v>0</v>
      </c>
    </row>
    <row r="638" spans="1:62" x14ac:dyDescent="0.3">
      <c r="A638" s="57"/>
      <c r="BG63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38" s="29" t="e">
        <f>BG638/DEVSQ(Archive[[#This Row],[Higher Level Standard - Zero 1]:[Higher Level Standard - Zero 2]])</f>
        <v>#VALUE!</v>
      </c>
      <c r="BI638" s="29" t="e">
        <f>BG638*(1/COUNT(Archive[[#This Row],[Candidate Transfer Standard - Zero 1]:[Candidate Transfer Standard - Zero 2]])+AVERAGE(Archive[[#This Row],[Higher Level Standard - Zero 1]:[Higher Level Standard - Zero 2]])^2/DEVSQ(Archive[[#This Row],[Higher Level Standard - Zero 1]:[Higher Level Standard - Zero 2]]))</f>
        <v>#VALUE!</v>
      </c>
      <c r="BJ638" s="29">
        <f>COUNT(Archive[[#This Row],[Candidate Transfer Standard - Zero 1]:[Candidate Transfer Standard - Zero 2]])</f>
        <v>0</v>
      </c>
    </row>
    <row r="639" spans="1:62" x14ac:dyDescent="0.3">
      <c r="A639" s="57"/>
      <c r="BG63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39" s="29" t="e">
        <f>BG639/DEVSQ(Archive[[#This Row],[Higher Level Standard - Zero 1]:[Higher Level Standard - Zero 2]])</f>
        <v>#VALUE!</v>
      </c>
      <c r="BI639" s="29" t="e">
        <f>BG639*(1/COUNT(Archive[[#This Row],[Candidate Transfer Standard - Zero 1]:[Candidate Transfer Standard - Zero 2]])+AVERAGE(Archive[[#This Row],[Higher Level Standard - Zero 1]:[Higher Level Standard - Zero 2]])^2/DEVSQ(Archive[[#This Row],[Higher Level Standard - Zero 1]:[Higher Level Standard - Zero 2]]))</f>
        <v>#VALUE!</v>
      </c>
      <c r="BJ639" s="29">
        <f>COUNT(Archive[[#This Row],[Candidate Transfer Standard - Zero 1]:[Candidate Transfer Standard - Zero 2]])</f>
        <v>0</v>
      </c>
    </row>
    <row r="640" spans="1:62" x14ac:dyDescent="0.3">
      <c r="A640" s="57"/>
      <c r="BG64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40" s="29" t="e">
        <f>BG640/DEVSQ(Archive[[#This Row],[Higher Level Standard - Zero 1]:[Higher Level Standard - Zero 2]])</f>
        <v>#VALUE!</v>
      </c>
      <c r="BI640" s="29" t="e">
        <f>BG640*(1/COUNT(Archive[[#This Row],[Candidate Transfer Standard - Zero 1]:[Candidate Transfer Standard - Zero 2]])+AVERAGE(Archive[[#This Row],[Higher Level Standard - Zero 1]:[Higher Level Standard - Zero 2]])^2/DEVSQ(Archive[[#This Row],[Higher Level Standard - Zero 1]:[Higher Level Standard - Zero 2]]))</f>
        <v>#VALUE!</v>
      </c>
      <c r="BJ640" s="29">
        <f>COUNT(Archive[[#This Row],[Candidate Transfer Standard - Zero 1]:[Candidate Transfer Standard - Zero 2]])</f>
        <v>0</v>
      </c>
    </row>
    <row r="641" spans="1:62" x14ac:dyDescent="0.3">
      <c r="A641" s="57"/>
      <c r="BG64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41" s="29" t="e">
        <f>BG641/DEVSQ(Archive[[#This Row],[Higher Level Standard - Zero 1]:[Higher Level Standard - Zero 2]])</f>
        <v>#VALUE!</v>
      </c>
      <c r="BI641" s="29" t="e">
        <f>BG641*(1/COUNT(Archive[[#This Row],[Candidate Transfer Standard - Zero 1]:[Candidate Transfer Standard - Zero 2]])+AVERAGE(Archive[[#This Row],[Higher Level Standard - Zero 1]:[Higher Level Standard - Zero 2]])^2/DEVSQ(Archive[[#This Row],[Higher Level Standard - Zero 1]:[Higher Level Standard - Zero 2]]))</f>
        <v>#VALUE!</v>
      </c>
      <c r="BJ641" s="29">
        <f>COUNT(Archive[[#This Row],[Candidate Transfer Standard - Zero 1]:[Candidate Transfer Standard - Zero 2]])</f>
        <v>0</v>
      </c>
    </row>
    <row r="642" spans="1:62" x14ac:dyDescent="0.3">
      <c r="A642" s="57"/>
      <c r="BG64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42" s="29" t="e">
        <f>BG642/DEVSQ(Archive[[#This Row],[Higher Level Standard - Zero 1]:[Higher Level Standard - Zero 2]])</f>
        <v>#VALUE!</v>
      </c>
      <c r="BI642" s="29" t="e">
        <f>BG642*(1/COUNT(Archive[[#This Row],[Candidate Transfer Standard - Zero 1]:[Candidate Transfer Standard - Zero 2]])+AVERAGE(Archive[[#This Row],[Higher Level Standard - Zero 1]:[Higher Level Standard - Zero 2]])^2/DEVSQ(Archive[[#This Row],[Higher Level Standard - Zero 1]:[Higher Level Standard - Zero 2]]))</f>
        <v>#VALUE!</v>
      </c>
      <c r="BJ642" s="29">
        <f>COUNT(Archive[[#This Row],[Candidate Transfer Standard - Zero 1]:[Candidate Transfer Standard - Zero 2]])</f>
        <v>0</v>
      </c>
    </row>
    <row r="643" spans="1:62" x14ac:dyDescent="0.3">
      <c r="A643" s="57"/>
      <c r="BG64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43" s="29" t="e">
        <f>BG643/DEVSQ(Archive[[#This Row],[Higher Level Standard - Zero 1]:[Higher Level Standard - Zero 2]])</f>
        <v>#VALUE!</v>
      </c>
      <c r="BI643" s="29" t="e">
        <f>BG643*(1/COUNT(Archive[[#This Row],[Candidate Transfer Standard - Zero 1]:[Candidate Transfer Standard - Zero 2]])+AVERAGE(Archive[[#This Row],[Higher Level Standard - Zero 1]:[Higher Level Standard - Zero 2]])^2/DEVSQ(Archive[[#This Row],[Higher Level Standard - Zero 1]:[Higher Level Standard - Zero 2]]))</f>
        <v>#VALUE!</v>
      </c>
      <c r="BJ643" s="29">
        <f>COUNT(Archive[[#This Row],[Candidate Transfer Standard - Zero 1]:[Candidate Transfer Standard - Zero 2]])</f>
        <v>0</v>
      </c>
    </row>
    <row r="644" spans="1:62" x14ac:dyDescent="0.3">
      <c r="A644" s="57"/>
      <c r="BG64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44" s="29" t="e">
        <f>BG644/DEVSQ(Archive[[#This Row],[Higher Level Standard - Zero 1]:[Higher Level Standard - Zero 2]])</f>
        <v>#VALUE!</v>
      </c>
      <c r="BI644" s="29" t="e">
        <f>BG644*(1/COUNT(Archive[[#This Row],[Candidate Transfer Standard - Zero 1]:[Candidate Transfer Standard - Zero 2]])+AVERAGE(Archive[[#This Row],[Higher Level Standard - Zero 1]:[Higher Level Standard - Zero 2]])^2/DEVSQ(Archive[[#This Row],[Higher Level Standard - Zero 1]:[Higher Level Standard - Zero 2]]))</f>
        <v>#VALUE!</v>
      </c>
      <c r="BJ644" s="29">
        <f>COUNT(Archive[[#This Row],[Candidate Transfer Standard - Zero 1]:[Candidate Transfer Standard - Zero 2]])</f>
        <v>0</v>
      </c>
    </row>
    <row r="645" spans="1:62" x14ac:dyDescent="0.3">
      <c r="A645" s="57"/>
      <c r="BG64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45" s="29" t="e">
        <f>BG645/DEVSQ(Archive[[#This Row],[Higher Level Standard - Zero 1]:[Higher Level Standard - Zero 2]])</f>
        <v>#VALUE!</v>
      </c>
      <c r="BI645" s="29" t="e">
        <f>BG645*(1/COUNT(Archive[[#This Row],[Candidate Transfer Standard - Zero 1]:[Candidate Transfer Standard - Zero 2]])+AVERAGE(Archive[[#This Row],[Higher Level Standard - Zero 1]:[Higher Level Standard - Zero 2]])^2/DEVSQ(Archive[[#This Row],[Higher Level Standard - Zero 1]:[Higher Level Standard - Zero 2]]))</f>
        <v>#VALUE!</v>
      </c>
      <c r="BJ645" s="29">
        <f>COUNT(Archive[[#This Row],[Candidate Transfer Standard - Zero 1]:[Candidate Transfer Standard - Zero 2]])</f>
        <v>0</v>
      </c>
    </row>
    <row r="646" spans="1:62" x14ac:dyDescent="0.3">
      <c r="A646" s="57"/>
      <c r="BG64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46" s="29" t="e">
        <f>BG646/DEVSQ(Archive[[#This Row],[Higher Level Standard - Zero 1]:[Higher Level Standard - Zero 2]])</f>
        <v>#VALUE!</v>
      </c>
      <c r="BI646" s="29" t="e">
        <f>BG646*(1/COUNT(Archive[[#This Row],[Candidate Transfer Standard - Zero 1]:[Candidate Transfer Standard - Zero 2]])+AVERAGE(Archive[[#This Row],[Higher Level Standard - Zero 1]:[Higher Level Standard - Zero 2]])^2/DEVSQ(Archive[[#This Row],[Higher Level Standard - Zero 1]:[Higher Level Standard - Zero 2]]))</f>
        <v>#VALUE!</v>
      </c>
      <c r="BJ646" s="29">
        <f>COUNT(Archive[[#This Row],[Candidate Transfer Standard - Zero 1]:[Candidate Transfer Standard - Zero 2]])</f>
        <v>0</v>
      </c>
    </row>
    <row r="647" spans="1:62" x14ac:dyDescent="0.3">
      <c r="A647" s="57"/>
      <c r="BG64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47" s="29" t="e">
        <f>BG647/DEVSQ(Archive[[#This Row],[Higher Level Standard - Zero 1]:[Higher Level Standard - Zero 2]])</f>
        <v>#VALUE!</v>
      </c>
      <c r="BI647" s="29" t="e">
        <f>BG647*(1/COUNT(Archive[[#This Row],[Candidate Transfer Standard - Zero 1]:[Candidate Transfer Standard - Zero 2]])+AVERAGE(Archive[[#This Row],[Higher Level Standard - Zero 1]:[Higher Level Standard - Zero 2]])^2/DEVSQ(Archive[[#This Row],[Higher Level Standard - Zero 1]:[Higher Level Standard - Zero 2]]))</f>
        <v>#VALUE!</v>
      </c>
      <c r="BJ647" s="29">
        <f>COUNT(Archive[[#This Row],[Candidate Transfer Standard - Zero 1]:[Candidate Transfer Standard - Zero 2]])</f>
        <v>0</v>
      </c>
    </row>
    <row r="648" spans="1:62" x14ac:dyDescent="0.3">
      <c r="A648" s="57"/>
      <c r="BG64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48" s="29" t="e">
        <f>BG648/DEVSQ(Archive[[#This Row],[Higher Level Standard - Zero 1]:[Higher Level Standard - Zero 2]])</f>
        <v>#VALUE!</v>
      </c>
      <c r="BI648" s="29" t="e">
        <f>BG648*(1/COUNT(Archive[[#This Row],[Candidate Transfer Standard - Zero 1]:[Candidate Transfer Standard - Zero 2]])+AVERAGE(Archive[[#This Row],[Higher Level Standard - Zero 1]:[Higher Level Standard - Zero 2]])^2/DEVSQ(Archive[[#This Row],[Higher Level Standard - Zero 1]:[Higher Level Standard - Zero 2]]))</f>
        <v>#VALUE!</v>
      </c>
      <c r="BJ648" s="29">
        <f>COUNT(Archive[[#This Row],[Candidate Transfer Standard - Zero 1]:[Candidate Transfer Standard - Zero 2]])</f>
        <v>0</v>
      </c>
    </row>
    <row r="649" spans="1:62" x14ac:dyDescent="0.3">
      <c r="A649" s="57"/>
      <c r="BG64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49" s="29" t="e">
        <f>BG649/DEVSQ(Archive[[#This Row],[Higher Level Standard - Zero 1]:[Higher Level Standard - Zero 2]])</f>
        <v>#VALUE!</v>
      </c>
      <c r="BI649" s="29" t="e">
        <f>BG649*(1/COUNT(Archive[[#This Row],[Candidate Transfer Standard - Zero 1]:[Candidate Transfer Standard - Zero 2]])+AVERAGE(Archive[[#This Row],[Higher Level Standard - Zero 1]:[Higher Level Standard - Zero 2]])^2/DEVSQ(Archive[[#This Row],[Higher Level Standard - Zero 1]:[Higher Level Standard - Zero 2]]))</f>
        <v>#VALUE!</v>
      </c>
      <c r="BJ649" s="29">
        <f>COUNT(Archive[[#This Row],[Candidate Transfer Standard - Zero 1]:[Candidate Transfer Standard - Zero 2]])</f>
        <v>0</v>
      </c>
    </row>
    <row r="650" spans="1:62" x14ac:dyDescent="0.3">
      <c r="A650" s="57"/>
      <c r="BG65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50" s="29" t="e">
        <f>BG650/DEVSQ(Archive[[#This Row],[Higher Level Standard - Zero 1]:[Higher Level Standard - Zero 2]])</f>
        <v>#VALUE!</v>
      </c>
      <c r="BI650" s="29" t="e">
        <f>BG650*(1/COUNT(Archive[[#This Row],[Candidate Transfer Standard - Zero 1]:[Candidate Transfer Standard - Zero 2]])+AVERAGE(Archive[[#This Row],[Higher Level Standard - Zero 1]:[Higher Level Standard - Zero 2]])^2/DEVSQ(Archive[[#This Row],[Higher Level Standard - Zero 1]:[Higher Level Standard - Zero 2]]))</f>
        <v>#VALUE!</v>
      </c>
      <c r="BJ650" s="29">
        <f>COUNT(Archive[[#This Row],[Candidate Transfer Standard - Zero 1]:[Candidate Transfer Standard - Zero 2]])</f>
        <v>0</v>
      </c>
    </row>
    <row r="651" spans="1:62" x14ac:dyDescent="0.3">
      <c r="A651" s="57"/>
      <c r="BG65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51" s="29" t="e">
        <f>BG651/DEVSQ(Archive[[#This Row],[Higher Level Standard - Zero 1]:[Higher Level Standard - Zero 2]])</f>
        <v>#VALUE!</v>
      </c>
      <c r="BI651" s="29" t="e">
        <f>BG651*(1/COUNT(Archive[[#This Row],[Candidate Transfer Standard - Zero 1]:[Candidate Transfer Standard - Zero 2]])+AVERAGE(Archive[[#This Row],[Higher Level Standard - Zero 1]:[Higher Level Standard - Zero 2]])^2/DEVSQ(Archive[[#This Row],[Higher Level Standard - Zero 1]:[Higher Level Standard - Zero 2]]))</f>
        <v>#VALUE!</v>
      </c>
      <c r="BJ651" s="29">
        <f>COUNT(Archive[[#This Row],[Candidate Transfer Standard - Zero 1]:[Candidate Transfer Standard - Zero 2]])</f>
        <v>0</v>
      </c>
    </row>
    <row r="652" spans="1:62" x14ac:dyDescent="0.3">
      <c r="A652" s="57"/>
      <c r="BG65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52" s="29" t="e">
        <f>BG652/DEVSQ(Archive[[#This Row],[Higher Level Standard - Zero 1]:[Higher Level Standard - Zero 2]])</f>
        <v>#VALUE!</v>
      </c>
      <c r="BI652" s="29" t="e">
        <f>BG652*(1/COUNT(Archive[[#This Row],[Candidate Transfer Standard - Zero 1]:[Candidate Transfer Standard - Zero 2]])+AVERAGE(Archive[[#This Row],[Higher Level Standard - Zero 1]:[Higher Level Standard - Zero 2]])^2/DEVSQ(Archive[[#This Row],[Higher Level Standard - Zero 1]:[Higher Level Standard - Zero 2]]))</f>
        <v>#VALUE!</v>
      </c>
      <c r="BJ652" s="29">
        <f>COUNT(Archive[[#This Row],[Candidate Transfer Standard - Zero 1]:[Candidate Transfer Standard - Zero 2]])</f>
        <v>0</v>
      </c>
    </row>
    <row r="653" spans="1:62" x14ac:dyDescent="0.3">
      <c r="A653" s="57"/>
      <c r="BG65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53" s="29" t="e">
        <f>BG653/DEVSQ(Archive[[#This Row],[Higher Level Standard - Zero 1]:[Higher Level Standard - Zero 2]])</f>
        <v>#VALUE!</v>
      </c>
      <c r="BI653" s="29" t="e">
        <f>BG653*(1/COUNT(Archive[[#This Row],[Candidate Transfer Standard - Zero 1]:[Candidate Transfer Standard - Zero 2]])+AVERAGE(Archive[[#This Row],[Higher Level Standard - Zero 1]:[Higher Level Standard - Zero 2]])^2/DEVSQ(Archive[[#This Row],[Higher Level Standard - Zero 1]:[Higher Level Standard - Zero 2]]))</f>
        <v>#VALUE!</v>
      </c>
      <c r="BJ653" s="29">
        <f>COUNT(Archive[[#This Row],[Candidate Transfer Standard - Zero 1]:[Candidate Transfer Standard - Zero 2]])</f>
        <v>0</v>
      </c>
    </row>
    <row r="654" spans="1:62" x14ac:dyDescent="0.3">
      <c r="A654" s="57"/>
      <c r="BG65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54" s="29" t="e">
        <f>BG654/DEVSQ(Archive[[#This Row],[Higher Level Standard - Zero 1]:[Higher Level Standard - Zero 2]])</f>
        <v>#VALUE!</v>
      </c>
      <c r="BI654" s="29" t="e">
        <f>BG654*(1/COUNT(Archive[[#This Row],[Candidate Transfer Standard - Zero 1]:[Candidate Transfer Standard - Zero 2]])+AVERAGE(Archive[[#This Row],[Higher Level Standard - Zero 1]:[Higher Level Standard - Zero 2]])^2/DEVSQ(Archive[[#This Row],[Higher Level Standard - Zero 1]:[Higher Level Standard - Zero 2]]))</f>
        <v>#VALUE!</v>
      </c>
      <c r="BJ654" s="29">
        <f>COUNT(Archive[[#This Row],[Candidate Transfer Standard - Zero 1]:[Candidate Transfer Standard - Zero 2]])</f>
        <v>0</v>
      </c>
    </row>
    <row r="655" spans="1:62" x14ac:dyDescent="0.3">
      <c r="A655" s="57"/>
      <c r="BG65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55" s="29" t="e">
        <f>BG655/DEVSQ(Archive[[#This Row],[Higher Level Standard - Zero 1]:[Higher Level Standard - Zero 2]])</f>
        <v>#VALUE!</v>
      </c>
      <c r="BI655" s="29" t="e">
        <f>BG655*(1/COUNT(Archive[[#This Row],[Candidate Transfer Standard - Zero 1]:[Candidate Transfer Standard - Zero 2]])+AVERAGE(Archive[[#This Row],[Higher Level Standard - Zero 1]:[Higher Level Standard - Zero 2]])^2/DEVSQ(Archive[[#This Row],[Higher Level Standard - Zero 1]:[Higher Level Standard - Zero 2]]))</f>
        <v>#VALUE!</v>
      </c>
      <c r="BJ655" s="29">
        <f>COUNT(Archive[[#This Row],[Candidate Transfer Standard - Zero 1]:[Candidate Transfer Standard - Zero 2]])</f>
        <v>0</v>
      </c>
    </row>
    <row r="656" spans="1:62" x14ac:dyDescent="0.3">
      <c r="A656" s="57"/>
      <c r="BG65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56" s="29" t="e">
        <f>BG656/DEVSQ(Archive[[#This Row],[Higher Level Standard - Zero 1]:[Higher Level Standard - Zero 2]])</f>
        <v>#VALUE!</v>
      </c>
      <c r="BI656" s="29" t="e">
        <f>BG656*(1/COUNT(Archive[[#This Row],[Candidate Transfer Standard - Zero 1]:[Candidate Transfer Standard - Zero 2]])+AVERAGE(Archive[[#This Row],[Higher Level Standard - Zero 1]:[Higher Level Standard - Zero 2]])^2/DEVSQ(Archive[[#This Row],[Higher Level Standard - Zero 1]:[Higher Level Standard - Zero 2]]))</f>
        <v>#VALUE!</v>
      </c>
      <c r="BJ656" s="29">
        <f>COUNT(Archive[[#This Row],[Candidate Transfer Standard - Zero 1]:[Candidate Transfer Standard - Zero 2]])</f>
        <v>0</v>
      </c>
    </row>
    <row r="657" spans="1:62" x14ac:dyDescent="0.3">
      <c r="A657" s="57"/>
      <c r="BG65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57" s="29" t="e">
        <f>BG657/DEVSQ(Archive[[#This Row],[Higher Level Standard - Zero 1]:[Higher Level Standard - Zero 2]])</f>
        <v>#VALUE!</v>
      </c>
      <c r="BI657" s="29" t="e">
        <f>BG657*(1/COUNT(Archive[[#This Row],[Candidate Transfer Standard - Zero 1]:[Candidate Transfer Standard - Zero 2]])+AVERAGE(Archive[[#This Row],[Higher Level Standard - Zero 1]:[Higher Level Standard - Zero 2]])^2/DEVSQ(Archive[[#This Row],[Higher Level Standard - Zero 1]:[Higher Level Standard - Zero 2]]))</f>
        <v>#VALUE!</v>
      </c>
      <c r="BJ657" s="29">
        <f>COUNT(Archive[[#This Row],[Candidate Transfer Standard - Zero 1]:[Candidate Transfer Standard - Zero 2]])</f>
        <v>0</v>
      </c>
    </row>
    <row r="658" spans="1:62" x14ac:dyDescent="0.3">
      <c r="A658" s="57"/>
      <c r="BG65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58" s="29" t="e">
        <f>BG658/DEVSQ(Archive[[#This Row],[Higher Level Standard - Zero 1]:[Higher Level Standard - Zero 2]])</f>
        <v>#VALUE!</v>
      </c>
      <c r="BI658" s="29" t="e">
        <f>BG658*(1/COUNT(Archive[[#This Row],[Candidate Transfer Standard - Zero 1]:[Candidate Transfer Standard - Zero 2]])+AVERAGE(Archive[[#This Row],[Higher Level Standard - Zero 1]:[Higher Level Standard - Zero 2]])^2/DEVSQ(Archive[[#This Row],[Higher Level Standard - Zero 1]:[Higher Level Standard - Zero 2]]))</f>
        <v>#VALUE!</v>
      </c>
      <c r="BJ658" s="29">
        <f>COUNT(Archive[[#This Row],[Candidate Transfer Standard - Zero 1]:[Candidate Transfer Standard - Zero 2]])</f>
        <v>0</v>
      </c>
    </row>
    <row r="659" spans="1:62" x14ac:dyDescent="0.3">
      <c r="A659" s="57"/>
      <c r="BG65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59" s="29" t="e">
        <f>BG659/DEVSQ(Archive[[#This Row],[Higher Level Standard - Zero 1]:[Higher Level Standard - Zero 2]])</f>
        <v>#VALUE!</v>
      </c>
      <c r="BI659" s="29" t="e">
        <f>BG659*(1/COUNT(Archive[[#This Row],[Candidate Transfer Standard - Zero 1]:[Candidate Transfer Standard - Zero 2]])+AVERAGE(Archive[[#This Row],[Higher Level Standard - Zero 1]:[Higher Level Standard - Zero 2]])^2/DEVSQ(Archive[[#This Row],[Higher Level Standard - Zero 1]:[Higher Level Standard - Zero 2]]))</f>
        <v>#VALUE!</v>
      </c>
      <c r="BJ659" s="29">
        <f>COUNT(Archive[[#This Row],[Candidate Transfer Standard - Zero 1]:[Candidate Transfer Standard - Zero 2]])</f>
        <v>0</v>
      </c>
    </row>
    <row r="660" spans="1:62" x14ac:dyDescent="0.3">
      <c r="A660" s="57"/>
      <c r="BG66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60" s="29" t="e">
        <f>BG660/DEVSQ(Archive[[#This Row],[Higher Level Standard - Zero 1]:[Higher Level Standard - Zero 2]])</f>
        <v>#VALUE!</v>
      </c>
      <c r="BI660" s="29" t="e">
        <f>BG660*(1/COUNT(Archive[[#This Row],[Candidate Transfer Standard - Zero 1]:[Candidate Transfer Standard - Zero 2]])+AVERAGE(Archive[[#This Row],[Higher Level Standard - Zero 1]:[Higher Level Standard - Zero 2]])^2/DEVSQ(Archive[[#This Row],[Higher Level Standard - Zero 1]:[Higher Level Standard - Zero 2]]))</f>
        <v>#VALUE!</v>
      </c>
      <c r="BJ660" s="29">
        <f>COUNT(Archive[[#This Row],[Candidate Transfer Standard - Zero 1]:[Candidate Transfer Standard - Zero 2]])</f>
        <v>0</v>
      </c>
    </row>
    <row r="661" spans="1:62" x14ac:dyDescent="0.3">
      <c r="A661" s="57"/>
      <c r="BG66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61" s="29" t="e">
        <f>BG661/DEVSQ(Archive[[#This Row],[Higher Level Standard - Zero 1]:[Higher Level Standard - Zero 2]])</f>
        <v>#VALUE!</v>
      </c>
      <c r="BI661" s="29" t="e">
        <f>BG661*(1/COUNT(Archive[[#This Row],[Candidate Transfer Standard - Zero 1]:[Candidate Transfer Standard - Zero 2]])+AVERAGE(Archive[[#This Row],[Higher Level Standard - Zero 1]:[Higher Level Standard - Zero 2]])^2/DEVSQ(Archive[[#This Row],[Higher Level Standard - Zero 1]:[Higher Level Standard - Zero 2]]))</f>
        <v>#VALUE!</v>
      </c>
      <c r="BJ661" s="29">
        <f>COUNT(Archive[[#This Row],[Candidate Transfer Standard - Zero 1]:[Candidate Transfer Standard - Zero 2]])</f>
        <v>0</v>
      </c>
    </row>
    <row r="662" spans="1:62" x14ac:dyDescent="0.3">
      <c r="A662" s="57"/>
      <c r="BG66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62" s="29" t="e">
        <f>BG662/DEVSQ(Archive[[#This Row],[Higher Level Standard - Zero 1]:[Higher Level Standard - Zero 2]])</f>
        <v>#VALUE!</v>
      </c>
      <c r="BI662" s="29" t="e">
        <f>BG662*(1/COUNT(Archive[[#This Row],[Candidate Transfer Standard - Zero 1]:[Candidate Transfer Standard - Zero 2]])+AVERAGE(Archive[[#This Row],[Higher Level Standard - Zero 1]:[Higher Level Standard - Zero 2]])^2/DEVSQ(Archive[[#This Row],[Higher Level Standard - Zero 1]:[Higher Level Standard - Zero 2]]))</f>
        <v>#VALUE!</v>
      </c>
      <c r="BJ662" s="29">
        <f>COUNT(Archive[[#This Row],[Candidate Transfer Standard - Zero 1]:[Candidate Transfer Standard - Zero 2]])</f>
        <v>0</v>
      </c>
    </row>
    <row r="663" spans="1:62" x14ac:dyDescent="0.3">
      <c r="A663" s="57"/>
      <c r="BG66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63" s="29" t="e">
        <f>BG663/DEVSQ(Archive[[#This Row],[Higher Level Standard - Zero 1]:[Higher Level Standard - Zero 2]])</f>
        <v>#VALUE!</v>
      </c>
      <c r="BI663" s="29" t="e">
        <f>BG663*(1/COUNT(Archive[[#This Row],[Candidate Transfer Standard - Zero 1]:[Candidate Transfer Standard - Zero 2]])+AVERAGE(Archive[[#This Row],[Higher Level Standard - Zero 1]:[Higher Level Standard - Zero 2]])^2/DEVSQ(Archive[[#This Row],[Higher Level Standard - Zero 1]:[Higher Level Standard - Zero 2]]))</f>
        <v>#VALUE!</v>
      </c>
      <c r="BJ663" s="29">
        <f>COUNT(Archive[[#This Row],[Candidate Transfer Standard - Zero 1]:[Candidate Transfer Standard - Zero 2]])</f>
        <v>0</v>
      </c>
    </row>
    <row r="664" spans="1:62" x14ac:dyDescent="0.3">
      <c r="A664" s="57"/>
      <c r="BG66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64" s="29" t="e">
        <f>BG664/DEVSQ(Archive[[#This Row],[Higher Level Standard - Zero 1]:[Higher Level Standard - Zero 2]])</f>
        <v>#VALUE!</v>
      </c>
      <c r="BI664" s="29" t="e">
        <f>BG664*(1/COUNT(Archive[[#This Row],[Candidate Transfer Standard - Zero 1]:[Candidate Transfer Standard - Zero 2]])+AVERAGE(Archive[[#This Row],[Higher Level Standard - Zero 1]:[Higher Level Standard - Zero 2]])^2/DEVSQ(Archive[[#This Row],[Higher Level Standard - Zero 1]:[Higher Level Standard - Zero 2]]))</f>
        <v>#VALUE!</v>
      </c>
      <c r="BJ664" s="29">
        <f>COUNT(Archive[[#This Row],[Candidate Transfer Standard - Zero 1]:[Candidate Transfer Standard - Zero 2]])</f>
        <v>0</v>
      </c>
    </row>
    <row r="665" spans="1:62" x14ac:dyDescent="0.3">
      <c r="A665" s="57"/>
      <c r="BG66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65" s="29" t="e">
        <f>BG665/DEVSQ(Archive[[#This Row],[Higher Level Standard - Zero 1]:[Higher Level Standard - Zero 2]])</f>
        <v>#VALUE!</v>
      </c>
      <c r="BI665" s="29" t="e">
        <f>BG665*(1/COUNT(Archive[[#This Row],[Candidate Transfer Standard - Zero 1]:[Candidate Transfer Standard - Zero 2]])+AVERAGE(Archive[[#This Row],[Higher Level Standard - Zero 1]:[Higher Level Standard - Zero 2]])^2/DEVSQ(Archive[[#This Row],[Higher Level Standard - Zero 1]:[Higher Level Standard - Zero 2]]))</f>
        <v>#VALUE!</v>
      </c>
      <c r="BJ665" s="29">
        <f>COUNT(Archive[[#This Row],[Candidate Transfer Standard - Zero 1]:[Candidate Transfer Standard - Zero 2]])</f>
        <v>0</v>
      </c>
    </row>
    <row r="666" spans="1:62" x14ac:dyDescent="0.3">
      <c r="A666" s="57"/>
      <c r="BG66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66" s="29" t="e">
        <f>BG666/DEVSQ(Archive[[#This Row],[Higher Level Standard - Zero 1]:[Higher Level Standard - Zero 2]])</f>
        <v>#VALUE!</v>
      </c>
      <c r="BI666" s="29" t="e">
        <f>BG666*(1/COUNT(Archive[[#This Row],[Candidate Transfer Standard - Zero 1]:[Candidate Transfer Standard - Zero 2]])+AVERAGE(Archive[[#This Row],[Higher Level Standard - Zero 1]:[Higher Level Standard - Zero 2]])^2/DEVSQ(Archive[[#This Row],[Higher Level Standard - Zero 1]:[Higher Level Standard - Zero 2]]))</f>
        <v>#VALUE!</v>
      </c>
      <c r="BJ666" s="29">
        <f>COUNT(Archive[[#This Row],[Candidate Transfer Standard - Zero 1]:[Candidate Transfer Standard - Zero 2]])</f>
        <v>0</v>
      </c>
    </row>
    <row r="667" spans="1:62" x14ac:dyDescent="0.3">
      <c r="A667" s="57"/>
      <c r="BG66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67" s="29" t="e">
        <f>BG667/DEVSQ(Archive[[#This Row],[Higher Level Standard - Zero 1]:[Higher Level Standard - Zero 2]])</f>
        <v>#VALUE!</v>
      </c>
      <c r="BI667" s="29" t="e">
        <f>BG667*(1/COUNT(Archive[[#This Row],[Candidate Transfer Standard - Zero 1]:[Candidate Transfer Standard - Zero 2]])+AVERAGE(Archive[[#This Row],[Higher Level Standard - Zero 1]:[Higher Level Standard - Zero 2]])^2/DEVSQ(Archive[[#This Row],[Higher Level Standard - Zero 1]:[Higher Level Standard - Zero 2]]))</f>
        <v>#VALUE!</v>
      </c>
      <c r="BJ667" s="29">
        <f>COUNT(Archive[[#This Row],[Candidate Transfer Standard - Zero 1]:[Candidate Transfer Standard - Zero 2]])</f>
        <v>0</v>
      </c>
    </row>
    <row r="668" spans="1:62" x14ac:dyDescent="0.3">
      <c r="A668" s="57"/>
      <c r="BG66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68" s="29" t="e">
        <f>BG668/DEVSQ(Archive[[#This Row],[Higher Level Standard - Zero 1]:[Higher Level Standard - Zero 2]])</f>
        <v>#VALUE!</v>
      </c>
      <c r="BI668" s="29" t="e">
        <f>BG668*(1/COUNT(Archive[[#This Row],[Candidate Transfer Standard - Zero 1]:[Candidate Transfer Standard - Zero 2]])+AVERAGE(Archive[[#This Row],[Higher Level Standard - Zero 1]:[Higher Level Standard - Zero 2]])^2/DEVSQ(Archive[[#This Row],[Higher Level Standard - Zero 1]:[Higher Level Standard - Zero 2]]))</f>
        <v>#VALUE!</v>
      </c>
      <c r="BJ668" s="29">
        <f>COUNT(Archive[[#This Row],[Candidate Transfer Standard - Zero 1]:[Candidate Transfer Standard - Zero 2]])</f>
        <v>0</v>
      </c>
    </row>
    <row r="669" spans="1:62" x14ac:dyDescent="0.3">
      <c r="A669" s="57"/>
      <c r="BG66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69" s="29" t="e">
        <f>BG669/DEVSQ(Archive[[#This Row],[Higher Level Standard - Zero 1]:[Higher Level Standard - Zero 2]])</f>
        <v>#VALUE!</v>
      </c>
      <c r="BI669" s="29" t="e">
        <f>BG669*(1/COUNT(Archive[[#This Row],[Candidate Transfer Standard - Zero 1]:[Candidate Transfer Standard - Zero 2]])+AVERAGE(Archive[[#This Row],[Higher Level Standard - Zero 1]:[Higher Level Standard - Zero 2]])^2/DEVSQ(Archive[[#This Row],[Higher Level Standard - Zero 1]:[Higher Level Standard - Zero 2]]))</f>
        <v>#VALUE!</v>
      </c>
      <c r="BJ669" s="29">
        <f>COUNT(Archive[[#This Row],[Candidate Transfer Standard - Zero 1]:[Candidate Transfer Standard - Zero 2]])</f>
        <v>0</v>
      </c>
    </row>
    <row r="670" spans="1:62" x14ac:dyDescent="0.3">
      <c r="A670" s="57"/>
      <c r="BG67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70" s="29" t="e">
        <f>BG670/DEVSQ(Archive[[#This Row],[Higher Level Standard - Zero 1]:[Higher Level Standard - Zero 2]])</f>
        <v>#VALUE!</v>
      </c>
      <c r="BI670" s="29" t="e">
        <f>BG670*(1/COUNT(Archive[[#This Row],[Candidate Transfer Standard - Zero 1]:[Candidate Transfer Standard - Zero 2]])+AVERAGE(Archive[[#This Row],[Higher Level Standard - Zero 1]:[Higher Level Standard - Zero 2]])^2/DEVSQ(Archive[[#This Row],[Higher Level Standard - Zero 1]:[Higher Level Standard - Zero 2]]))</f>
        <v>#VALUE!</v>
      </c>
      <c r="BJ670" s="29">
        <f>COUNT(Archive[[#This Row],[Candidate Transfer Standard - Zero 1]:[Candidate Transfer Standard - Zero 2]])</f>
        <v>0</v>
      </c>
    </row>
    <row r="671" spans="1:62" x14ac:dyDescent="0.3">
      <c r="A671" s="57"/>
      <c r="BG67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71" s="29" t="e">
        <f>BG671/DEVSQ(Archive[[#This Row],[Higher Level Standard - Zero 1]:[Higher Level Standard - Zero 2]])</f>
        <v>#VALUE!</v>
      </c>
      <c r="BI671" s="29" t="e">
        <f>BG671*(1/COUNT(Archive[[#This Row],[Candidate Transfer Standard - Zero 1]:[Candidate Transfer Standard - Zero 2]])+AVERAGE(Archive[[#This Row],[Higher Level Standard - Zero 1]:[Higher Level Standard - Zero 2]])^2/DEVSQ(Archive[[#This Row],[Higher Level Standard - Zero 1]:[Higher Level Standard - Zero 2]]))</f>
        <v>#VALUE!</v>
      </c>
      <c r="BJ671" s="29">
        <f>COUNT(Archive[[#This Row],[Candidate Transfer Standard - Zero 1]:[Candidate Transfer Standard - Zero 2]])</f>
        <v>0</v>
      </c>
    </row>
    <row r="672" spans="1:62" x14ac:dyDescent="0.3">
      <c r="A672" s="57"/>
      <c r="BG67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72" s="29" t="e">
        <f>BG672/DEVSQ(Archive[[#This Row],[Higher Level Standard - Zero 1]:[Higher Level Standard - Zero 2]])</f>
        <v>#VALUE!</v>
      </c>
      <c r="BI672" s="29" t="e">
        <f>BG672*(1/COUNT(Archive[[#This Row],[Candidate Transfer Standard - Zero 1]:[Candidate Transfer Standard - Zero 2]])+AVERAGE(Archive[[#This Row],[Higher Level Standard - Zero 1]:[Higher Level Standard - Zero 2]])^2/DEVSQ(Archive[[#This Row],[Higher Level Standard - Zero 1]:[Higher Level Standard - Zero 2]]))</f>
        <v>#VALUE!</v>
      </c>
      <c r="BJ672" s="29">
        <f>COUNT(Archive[[#This Row],[Candidate Transfer Standard - Zero 1]:[Candidate Transfer Standard - Zero 2]])</f>
        <v>0</v>
      </c>
    </row>
    <row r="673" spans="1:62" x14ac:dyDescent="0.3">
      <c r="A673" s="57"/>
      <c r="BG67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73" s="29" t="e">
        <f>BG673/DEVSQ(Archive[[#This Row],[Higher Level Standard - Zero 1]:[Higher Level Standard - Zero 2]])</f>
        <v>#VALUE!</v>
      </c>
      <c r="BI673" s="29" t="e">
        <f>BG673*(1/COUNT(Archive[[#This Row],[Candidate Transfer Standard - Zero 1]:[Candidate Transfer Standard - Zero 2]])+AVERAGE(Archive[[#This Row],[Higher Level Standard - Zero 1]:[Higher Level Standard - Zero 2]])^2/DEVSQ(Archive[[#This Row],[Higher Level Standard - Zero 1]:[Higher Level Standard - Zero 2]]))</f>
        <v>#VALUE!</v>
      </c>
      <c r="BJ673" s="29">
        <f>COUNT(Archive[[#This Row],[Candidate Transfer Standard - Zero 1]:[Candidate Transfer Standard - Zero 2]])</f>
        <v>0</v>
      </c>
    </row>
    <row r="674" spans="1:62" x14ac:dyDescent="0.3">
      <c r="A674" s="57"/>
      <c r="BG67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74" s="29" t="e">
        <f>BG674/DEVSQ(Archive[[#This Row],[Higher Level Standard - Zero 1]:[Higher Level Standard - Zero 2]])</f>
        <v>#VALUE!</v>
      </c>
      <c r="BI674" s="29" t="e">
        <f>BG674*(1/COUNT(Archive[[#This Row],[Candidate Transfer Standard - Zero 1]:[Candidate Transfer Standard - Zero 2]])+AVERAGE(Archive[[#This Row],[Higher Level Standard - Zero 1]:[Higher Level Standard - Zero 2]])^2/DEVSQ(Archive[[#This Row],[Higher Level Standard - Zero 1]:[Higher Level Standard - Zero 2]]))</f>
        <v>#VALUE!</v>
      </c>
      <c r="BJ674" s="29">
        <f>COUNT(Archive[[#This Row],[Candidate Transfer Standard - Zero 1]:[Candidate Transfer Standard - Zero 2]])</f>
        <v>0</v>
      </c>
    </row>
    <row r="675" spans="1:62" x14ac:dyDescent="0.3">
      <c r="A675" s="57"/>
      <c r="BG67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75" s="29" t="e">
        <f>BG675/DEVSQ(Archive[[#This Row],[Higher Level Standard - Zero 1]:[Higher Level Standard - Zero 2]])</f>
        <v>#VALUE!</v>
      </c>
      <c r="BI675" s="29" t="e">
        <f>BG675*(1/COUNT(Archive[[#This Row],[Candidate Transfer Standard - Zero 1]:[Candidate Transfer Standard - Zero 2]])+AVERAGE(Archive[[#This Row],[Higher Level Standard - Zero 1]:[Higher Level Standard - Zero 2]])^2/DEVSQ(Archive[[#This Row],[Higher Level Standard - Zero 1]:[Higher Level Standard - Zero 2]]))</f>
        <v>#VALUE!</v>
      </c>
      <c r="BJ675" s="29">
        <f>COUNT(Archive[[#This Row],[Candidate Transfer Standard - Zero 1]:[Candidate Transfer Standard - Zero 2]])</f>
        <v>0</v>
      </c>
    </row>
    <row r="676" spans="1:62" x14ac:dyDescent="0.3">
      <c r="A676" s="57"/>
      <c r="BG67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76" s="29" t="e">
        <f>BG676/DEVSQ(Archive[[#This Row],[Higher Level Standard - Zero 1]:[Higher Level Standard - Zero 2]])</f>
        <v>#VALUE!</v>
      </c>
      <c r="BI676" s="29" t="e">
        <f>BG676*(1/COUNT(Archive[[#This Row],[Candidate Transfer Standard - Zero 1]:[Candidate Transfer Standard - Zero 2]])+AVERAGE(Archive[[#This Row],[Higher Level Standard - Zero 1]:[Higher Level Standard - Zero 2]])^2/DEVSQ(Archive[[#This Row],[Higher Level Standard - Zero 1]:[Higher Level Standard - Zero 2]]))</f>
        <v>#VALUE!</v>
      </c>
      <c r="BJ676" s="29">
        <f>COUNT(Archive[[#This Row],[Candidate Transfer Standard - Zero 1]:[Candidate Transfer Standard - Zero 2]])</f>
        <v>0</v>
      </c>
    </row>
    <row r="677" spans="1:62" x14ac:dyDescent="0.3">
      <c r="A677" s="57"/>
      <c r="BG67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77" s="29" t="e">
        <f>BG677/DEVSQ(Archive[[#This Row],[Higher Level Standard - Zero 1]:[Higher Level Standard - Zero 2]])</f>
        <v>#VALUE!</v>
      </c>
      <c r="BI677" s="29" t="e">
        <f>BG677*(1/COUNT(Archive[[#This Row],[Candidate Transfer Standard - Zero 1]:[Candidate Transfer Standard - Zero 2]])+AVERAGE(Archive[[#This Row],[Higher Level Standard - Zero 1]:[Higher Level Standard - Zero 2]])^2/DEVSQ(Archive[[#This Row],[Higher Level Standard - Zero 1]:[Higher Level Standard - Zero 2]]))</f>
        <v>#VALUE!</v>
      </c>
      <c r="BJ677" s="29">
        <f>COUNT(Archive[[#This Row],[Candidate Transfer Standard - Zero 1]:[Candidate Transfer Standard - Zero 2]])</f>
        <v>0</v>
      </c>
    </row>
    <row r="678" spans="1:62" x14ac:dyDescent="0.3">
      <c r="A678" s="57"/>
      <c r="BG67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78" s="29" t="e">
        <f>BG678/DEVSQ(Archive[[#This Row],[Higher Level Standard - Zero 1]:[Higher Level Standard - Zero 2]])</f>
        <v>#VALUE!</v>
      </c>
      <c r="BI678" s="29" t="e">
        <f>BG678*(1/COUNT(Archive[[#This Row],[Candidate Transfer Standard - Zero 1]:[Candidate Transfer Standard - Zero 2]])+AVERAGE(Archive[[#This Row],[Higher Level Standard - Zero 1]:[Higher Level Standard - Zero 2]])^2/DEVSQ(Archive[[#This Row],[Higher Level Standard - Zero 1]:[Higher Level Standard - Zero 2]]))</f>
        <v>#VALUE!</v>
      </c>
      <c r="BJ678" s="29">
        <f>COUNT(Archive[[#This Row],[Candidate Transfer Standard - Zero 1]:[Candidate Transfer Standard - Zero 2]])</f>
        <v>0</v>
      </c>
    </row>
    <row r="679" spans="1:62" x14ac:dyDescent="0.3">
      <c r="A679" s="57"/>
      <c r="BG67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79" s="29" t="e">
        <f>BG679/DEVSQ(Archive[[#This Row],[Higher Level Standard - Zero 1]:[Higher Level Standard - Zero 2]])</f>
        <v>#VALUE!</v>
      </c>
      <c r="BI679" s="29" t="e">
        <f>BG679*(1/COUNT(Archive[[#This Row],[Candidate Transfer Standard - Zero 1]:[Candidate Transfer Standard - Zero 2]])+AVERAGE(Archive[[#This Row],[Higher Level Standard - Zero 1]:[Higher Level Standard - Zero 2]])^2/DEVSQ(Archive[[#This Row],[Higher Level Standard - Zero 1]:[Higher Level Standard - Zero 2]]))</f>
        <v>#VALUE!</v>
      </c>
      <c r="BJ679" s="29">
        <f>COUNT(Archive[[#This Row],[Candidate Transfer Standard - Zero 1]:[Candidate Transfer Standard - Zero 2]])</f>
        <v>0</v>
      </c>
    </row>
    <row r="680" spans="1:62" x14ac:dyDescent="0.3">
      <c r="A680" s="57"/>
      <c r="BG68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80" s="29" t="e">
        <f>BG680/DEVSQ(Archive[[#This Row],[Higher Level Standard - Zero 1]:[Higher Level Standard - Zero 2]])</f>
        <v>#VALUE!</v>
      </c>
      <c r="BI680" s="29" t="e">
        <f>BG680*(1/COUNT(Archive[[#This Row],[Candidate Transfer Standard - Zero 1]:[Candidate Transfer Standard - Zero 2]])+AVERAGE(Archive[[#This Row],[Higher Level Standard - Zero 1]:[Higher Level Standard - Zero 2]])^2/DEVSQ(Archive[[#This Row],[Higher Level Standard - Zero 1]:[Higher Level Standard - Zero 2]]))</f>
        <v>#VALUE!</v>
      </c>
      <c r="BJ680" s="29">
        <f>COUNT(Archive[[#This Row],[Candidate Transfer Standard - Zero 1]:[Candidate Transfer Standard - Zero 2]])</f>
        <v>0</v>
      </c>
    </row>
    <row r="681" spans="1:62" x14ac:dyDescent="0.3">
      <c r="A681" s="57"/>
      <c r="BG68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81" s="29" t="e">
        <f>BG681/DEVSQ(Archive[[#This Row],[Higher Level Standard - Zero 1]:[Higher Level Standard - Zero 2]])</f>
        <v>#VALUE!</v>
      </c>
      <c r="BI681" s="29" t="e">
        <f>BG681*(1/COUNT(Archive[[#This Row],[Candidate Transfer Standard - Zero 1]:[Candidate Transfer Standard - Zero 2]])+AVERAGE(Archive[[#This Row],[Higher Level Standard - Zero 1]:[Higher Level Standard - Zero 2]])^2/DEVSQ(Archive[[#This Row],[Higher Level Standard - Zero 1]:[Higher Level Standard - Zero 2]]))</f>
        <v>#VALUE!</v>
      </c>
      <c r="BJ681" s="29">
        <f>COUNT(Archive[[#This Row],[Candidate Transfer Standard - Zero 1]:[Candidate Transfer Standard - Zero 2]])</f>
        <v>0</v>
      </c>
    </row>
    <row r="682" spans="1:62" x14ac:dyDescent="0.3">
      <c r="A682" s="57"/>
      <c r="BG68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82" s="29" t="e">
        <f>BG682/DEVSQ(Archive[[#This Row],[Higher Level Standard - Zero 1]:[Higher Level Standard - Zero 2]])</f>
        <v>#VALUE!</v>
      </c>
      <c r="BI682" s="29" t="e">
        <f>BG682*(1/COUNT(Archive[[#This Row],[Candidate Transfer Standard - Zero 1]:[Candidate Transfer Standard - Zero 2]])+AVERAGE(Archive[[#This Row],[Higher Level Standard - Zero 1]:[Higher Level Standard - Zero 2]])^2/DEVSQ(Archive[[#This Row],[Higher Level Standard - Zero 1]:[Higher Level Standard - Zero 2]]))</f>
        <v>#VALUE!</v>
      </c>
      <c r="BJ682" s="29">
        <f>COUNT(Archive[[#This Row],[Candidate Transfer Standard - Zero 1]:[Candidate Transfer Standard - Zero 2]])</f>
        <v>0</v>
      </c>
    </row>
    <row r="683" spans="1:62" x14ac:dyDescent="0.3">
      <c r="A683" s="57"/>
      <c r="BG68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83" s="29" t="e">
        <f>BG683/DEVSQ(Archive[[#This Row],[Higher Level Standard - Zero 1]:[Higher Level Standard - Zero 2]])</f>
        <v>#VALUE!</v>
      </c>
      <c r="BI683" s="29" t="e">
        <f>BG683*(1/COUNT(Archive[[#This Row],[Candidate Transfer Standard - Zero 1]:[Candidate Transfer Standard - Zero 2]])+AVERAGE(Archive[[#This Row],[Higher Level Standard - Zero 1]:[Higher Level Standard - Zero 2]])^2/DEVSQ(Archive[[#This Row],[Higher Level Standard - Zero 1]:[Higher Level Standard - Zero 2]]))</f>
        <v>#VALUE!</v>
      </c>
      <c r="BJ683" s="29">
        <f>COUNT(Archive[[#This Row],[Candidate Transfer Standard - Zero 1]:[Candidate Transfer Standard - Zero 2]])</f>
        <v>0</v>
      </c>
    </row>
    <row r="684" spans="1:62" x14ac:dyDescent="0.3">
      <c r="A684" s="57"/>
      <c r="BG68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84" s="29" t="e">
        <f>BG684/DEVSQ(Archive[[#This Row],[Higher Level Standard - Zero 1]:[Higher Level Standard - Zero 2]])</f>
        <v>#VALUE!</v>
      </c>
      <c r="BI684" s="29" t="e">
        <f>BG684*(1/COUNT(Archive[[#This Row],[Candidate Transfer Standard - Zero 1]:[Candidate Transfer Standard - Zero 2]])+AVERAGE(Archive[[#This Row],[Higher Level Standard - Zero 1]:[Higher Level Standard - Zero 2]])^2/DEVSQ(Archive[[#This Row],[Higher Level Standard - Zero 1]:[Higher Level Standard - Zero 2]]))</f>
        <v>#VALUE!</v>
      </c>
      <c r="BJ684" s="29">
        <f>COUNT(Archive[[#This Row],[Candidate Transfer Standard - Zero 1]:[Candidate Transfer Standard - Zero 2]])</f>
        <v>0</v>
      </c>
    </row>
    <row r="685" spans="1:62" x14ac:dyDescent="0.3">
      <c r="A685" s="57"/>
      <c r="BG68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85" s="29" t="e">
        <f>BG685/DEVSQ(Archive[[#This Row],[Higher Level Standard - Zero 1]:[Higher Level Standard - Zero 2]])</f>
        <v>#VALUE!</v>
      </c>
      <c r="BI685" s="29" t="e">
        <f>BG685*(1/COUNT(Archive[[#This Row],[Candidate Transfer Standard - Zero 1]:[Candidate Transfer Standard - Zero 2]])+AVERAGE(Archive[[#This Row],[Higher Level Standard - Zero 1]:[Higher Level Standard - Zero 2]])^2/DEVSQ(Archive[[#This Row],[Higher Level Standard - Zero 1]:[Higher Level Standard - Zero 2]]))</f>
        <v>#VALUE!</v>
      </c>
      <c r="BJ685" s="29">
        <f>COUNT(Archive[[#This Row],[Candidate Transfer Standard - Zero 1]:[Candidate Transfer Standard - Zero 2]])</f>
        <v>0</v>
      </c>
    </row>
    <row r="686" spans="1:62" x14ac:dyDescent="0.3">
      <c r="A686" s="57"/>
      <c r="BG68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86" s="29" t="e">
        <f>BG686/DEVSQ(Archive[[#This Row],[Higher Level Standard - Zero 1]:[Higher Level Standard - Zero 2]])</f>
        <v>#VALUE!</v>
      </c>
      <c r="BI686" s="29" t="e">
        <f>BG686*(1/COUNT(Archive[[#This Row],[Candidate Transfer Standard - Zero 1]:[Candidate Transfer Standard - Zero 2]])+AVERAGE(Archive[[#This Row],[Higher Level Standard - Zero 1]:[Higher Level Standard - Zero 2]])^2/DEVSQ(Archive[[#This Row],[Higher Level Standard - Zero 1]:[Higher Level Standard - Zero 2]]))</f>
        <v>#VALUE!</v>
      </c>
      <c r="BJ686" s="29">
        <f>COUNT(Archive[[#This Row],[Candidate Transfer Standard - Zero 1]:[Candidate Transfer Standard - Zero 2]])</f>
        <v>0</v>
      </c>
    </row>
    <row r="687" spans="1:62" x14ac:dyDescent="0.3">
      <c r="A687" s="57"/>
      <c r="BG68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87" s="29" t="e">
        <f>BG687/DEVSQ(Archive[[#This Row],[Higher Level Standard - Zero 1]:[Higher Level Standard - Zero 2]])</f>
        <v>#VALUE!</v>
      </c>
      <c r="BI687" s="29" t="e">
        <f>BG687*(1/COUNT(Archive[[#This Row],[Candidate Transfer Standard - Zero 1]:[Candidate Transfer Standard - Zero 2]])+AVERAGE(Archive[[#This Row],[Higher Level Standard - Zero 1]:[Higher Level Standard - Zero 2]])^2/DEVSQ(Archive[[#This Row],[Higher Level Standard - Zero 1]:[Higher Level Standard - Zero 2]]))</f>
        <v>#VALUE!</v>
      </c>
      <c r="BJ687" s="29">
        <f>COUNT(Archive[[#This Row],[Candidate Transfer Standard - Zero 1]:[Candidate Transfer Standard - Zero 2]])</f>
        <v>0</v>
      </c>
    </row>
    <row r="688" spans="1:62" x14ac:dyDescent="0.3">
      <c r="A688" s="57"/>
      <c r="BG68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88" s="29" t="e">
        <f>BG688/DEVSQ(Archive[[#This Row],[Higher Level Standard - Zero 1]:[Higher Level Standard - Zero 2]])</f>
        <v>#VALUE!</v>
      </c>
      <c r="BI688" s="29" t="e">
        <f>BG688*(1/COUNT(Archive[[#This Row],[Candidate Transfer Standard - Zero 1]:[Candidate Transfer Standard - Zero 2]])+AVERAGE(Archive[[#This Row],[Higher Level Standard - Zero 1]:[Higher Level Standard - Zero 2]])^2/DEVSQ(Archive[[#This Row],[Higher Level Standard - Zero 1]:[Higher Level Standard - Zero 2]]))</f>
        <v>#VALUE!</v>
      </c>
      <c r="BJ688" s="29">
        <f>COUNT(Archive[[#This Row],[Candidate Transfer Standard - Zero 1]:[Candidate Transfer Standard - Zero 2]])</f>
        <v>0</v>
      </c>
    </row>
    <row r="689" spans="1:62" x14ac:dyDescent="0.3">
      <c r="A689" s="57"/>
      <c r="BG68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89" s="29" t="e">
        <f>BG689/DEVSQ(Archive[[#This Row],[Higher Level Standard - Zero 1]:[Higher Level Standard - Zero 2]])</f>
        <v>#VALUE!</v>
      </c>
      <c r="BI689" s="29" t="e">
        <f>BG689*(1/COUNT(Archive[[#This Row],[Candidate Transfer Standard - Zero 1]:[Candidate Transfer Standard - Zero 2]])+AVERAGE(Archive[[#This Row],[Higher Level Standard - Zero 1]:[Higher Level Standard - Zero 2]])^2/DEVSQ(Archive[[#This Row],[Higher Level Standard - Zero 1]:[Higher Level Standard - Zero 2]]))</f>
        <v>#VALUE!</v>
      </c>
      <c r="BJ689" s="29">
        <f>COUNT(Archive[[#This Row],[Candidate Transfer Standard - Zero 1]:[Candidate Transfer Standard - Zero 2]])</f>
        <v>0</v>
      </c>
    </row>
    <row r="690" spans="1:62" x14ac:dyDescent="0.3">
      <c r="A690" s="57"/>
      <c r="BG69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90" s="29" t="e">
        <f>BG690/DEVSQ(Archive[[#This Row],[Higher Level Standard - Zero 1]:[Higher Level Standard - Zero 2]])</f>
        <v>#VALUE!</v>
      </c>
      <c r="BI690" s="29" t="e">
        <f>BG690*(1/COUNT(Archive[[#This Row],[Candidate Transfer Standard - Zero 1]:[Candidate Transfer Standard - Zero 2]])+AVERAGE(Archive[[#This Row],[Higher Level Standard - Zero 1]:[Higher Level Standard - Zero 2]])^2/DEVSQ(Archive[[#This Row],[Higher Level Standard - Zero 1]:[Higher Level Standard - Zero 2]]))</f>
        <v>#VALUE!</v>
      </c>
      <c r="BJ690" s="29">
        <f>COUNT(Archive[[#This Row],[Candidate Transfer Standard - Zero 1]:[Candidate Transfer Standard - Zero 2]])</f>
        <v>0</v>
      </c>
    </row>
    <row r="691" spans="1:62" x14ac:dyDescent="0.3">
      <c r="A691" s="57"/>
      <c r="BG69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91" s="29" t="e">
        <f>BG691/DEVSQ(Archive[[#This Row],[Higher Level Standard - Zero 1]:[Higher Level Standard - Zero 2]])</f>
        <v>#VALUE!</v>
      </c>
      <c r="BI691" s="29" t="e">
        <f>BG691*(1/COUNT(Archive[[#This Row],[Candidate Transfer Standard - Zero 1]:[Candidate Transfer Standard - Zero 2]])+AVERAGE(Archive[[#This Row],[Higher Level Standard - Zero 1]:[Higher Level Standard - Zero 2]])^2/DEVSQ(Archive[[#This Row],[Higher Level Standard - Zero 1]:[Higher Level Standard - Zero 2]]))</f>
        <v>#VALUE!</v>
      </c>
      <c r="BJ691" s="29">
        <f>COUNT(Archive[[#This Row],[Candidate Transfer Standard - Zero 1]:[Candidate Transfer Standard - Zero 2]])</f>
        <v>0</v>
      </c>
    </row>
    <row r="692" spans="1:62" x14ac:dyDescent="0.3">
      <c r="A692" s="57"/>
      <c r="BG69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92" s="29" t="e">
        <f>BG692/DEVSQ(Archive[[#This Row],[Higher Level Standard - Zero 1]:[Higher Level Standard - Zero 2]])</f>
        <v>#VALUE!</v>
      </c>
      <c r="BI692" s="29" t="e">
        <f>BG692*(1/COUNT(Archive[[#This Row],[Candidate Transfer Standard - Zero 1]:[Candidate Transfer Standard - Zero 2]])+AVERAGE(Archive[[#This Row],[Higher Level Standard - Zero 1]:[Higher Level Standard - Zero 2]])^2/DEVSQ(Archive[[#This Row],[Higher Level Standard - Zero 1]:[Higher Level Standard - Zero 2]]))</f>
        <v>#VALUE!</v>
      </c>
      <c r="BJ692" s="29">
        <f>COUNT(Archive[[#This Row],[Candidate Transfer Standard - Zero 1]:[Candidate Transfer Standard - Zero 2]])</f>
        <v>0</v>
      </c>
    </row>
    <row r="693" spans="1:62" x14ac:dyDescent="0.3">
      <c r="A693" s="57"/>
      <c r="BG69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93" s="29" t="e">
        <f>BG693/DEVSQ(Archive[[#This Row],[Higher Level Standard - Zero 1]:[Higher Level Standard - Zero 2]])</f>
        <v>#VALUE!</v>
      </c>
      <c r="BI693" s="29" t="e">
        <f>BG693*(1/COUNT(Archive[[#This Row],[Candidate Transfer Standard - Zero 1]:[Candidate Transfer Standard - Zero 2]])+AVERAGE(Archive[[#This Row],[Higher Level Standard - Zero 1]:[Higher Level Standard - Zero 2]])^2/DEVSQ(Archive[[#This Row],[Higher Level Standard - Zero 1]:[Higher Level Standard - Zero 2]]))</f>
        <v>#VALUE!</v>
      </c>
      <c r="BJ693" s="29">
        <f>COUNT(Archive[[#This Row],[Candidate Transfer Standard - Zero 1]:[Candidate Transfer Standard - Zero 2]])</f>
        <v>0</v>
      </c>
    </row>
    <row r="694" spans="1:62" x14ac:dyDescent="0.3">
      <c r="A694" s="57"/>
      <c r="BG69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94" s="29" t="e">
        <f>BG694/DEVSQ(Archive[[#This Row],[Higher Level Standard - Zero 1]:[Higher Level Standard - Zero 2]])</f>
        <v>#VALUE!</v>
      </c>
      <c r="BI694" s="29" t="e">
        <f>BG694*(1/COUNT(Archive[[#This Row],[Candidate Transfer Standard - Zero 1]:[Candidate Transfer Standard - Zero 2]])+AVERAGE(Archive[[#This Row],[Higher Level Standard - Zero 1]:[Higher Level Standard - Zero 2]])^2/DEVSQ(Archive[[#This Row],[Higher Level Standard - Zero 1]:[Higher Level Standard - Zero 2]]))</f>
        <v>#VALUE!</v>
      </c>
      <c r="BJ694" s="29">
        <f>COUNT(Archive[[#This Row],[Candidate Transfer Standard - Zero 1]:[Candidate Transfer Standard - Zero 2]])</f>
        <v>0</v>
      </c>
    </row>
    <row r="695" spans="1:62" x14ac:dyDescent="0.3">
      <c r="A695" s="57"/>
      <c r="BG69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95" s="29" t="e">
        <f>BG695/DEVSQ(Archive[[#This Row],[Higher Level Standard - Zero 1]:[Higher Level Standard - Zero 2]])</f>
        <v>#VALUE!</v>
      </c>
      <c r="BI695" s="29" t="e">
        <f>BG695*(1/COUNT(Archive[[#This Row],[Candidate Transfer Standard - Zero 1]:[Candidate Transfer Standard - Zero 2]])+AVERAGE(Archive[[#This Row],[Higher Level Standard - Zero 1]:[Higher Level Standard - Zero 2]])^2/DEVSQ(Archive[[#This Row],[Higher Level Standard - Zero 1]:[Higher Level Standard - Zero 2]]))</f>
        <v>#VALUE!</v>
      </c>
      <c r="BJ695" s="29">
        <f>COUNT(Archive[[#This Row],[Candidate Transfer Standard - Zero 1]:[Candidate Transfer Standard - Zero 2]])</f>
        <v>0</v>
      </c>
    </row>
    <row r="696" spans="1:62" x14ac:dyDescent="0.3">
      <c r="A696" s="57"/>
      <c r="BG69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96" s="29" t="e">
        <f>BG696/DEVSQ(Archive[[#This Row],[Higher Level Standard - Zero 1]:[Higher Level Standard - Zero 2]])</f>
        <v>#VALUE!</v>
      </c>
      <c r="BI696" s="29" t="e">
        <f>BG696*(1/COUNT(Archive[[#This Row],[Candidate Transfer Standard - Zero 1]:[Candidate Transfer Standard - Zero 2]])+AVERAGE(Archive[[#This Row],[Higher Level Standard - Zero 1]:[Higher Level Standard - Zero 2]])^2/DEVSQ(Archive[[#This Row],[Higher Level Standard - Zero 1]:[Higher Level Standard - Zero 2]]))</f>
        <v>#VALUE!</v>
      </c>
      <c r="BJ696" s="29">
        <f>COUNT(Archive[[#This Row],[Candidate Transfer Standard - Zero 1]:[Candidate Transfer Standard - Zero 2]])</f>
        <v>0</v>
      </c>
    </row>
    <row r="697" spans="1:62" x14ac:dyDescent="0.3">
      <c r="A697" s="57"/>
      <c r="BG69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97" s="29" t="e">
        <f>BG697/DEVSQ(Archive[[#This Row],[Higher Level Standard - Zero 1]:[Higher Level Standard - Zero 2]])</f>
        <v>#VALUE!</v>
      </c>
      <c r="BI697" s="29" t="e">
        <f>BG697*(1/COUNT(Archive[[#This Row],[Candidate Transfer Standard - Zero 1]:[Candidate Transfer Standard - Zero 2]])+AVERAGE(Archive[[#This Row],[Higher Level Standard - Zero 1]:[Higher Level Standard - Zero 2]])^2/DEVSQ(Archive[[#This Row],[Higher Level Standard - Zero 1]:[Higher Level Standard - Zero 2]]))</f>
        <v>#VALUE!</v>
      </c>
      <c r="BJ697" s="29">
        <f>COUNT(Archive[[#This Row],[Candidate Transfer Standard - Zero 1]:[Candidate Transfer Standard - Zero 2]])</f>
        <v>0</v>
      </c>
    </row>
    <row r="698" spans="1:62" x14ac:dyDescent="0.3">
      <c r="A698" s="57"/>
      <c r="BG69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98" s="29" t="e">
        <f>BG698/DEVSQ(Archive[[#This Row],[Higher Level Standard - Zero 1]:[Higher Level Standard - Zero 2]])</f>
        <v>#VALUE!</v>
      </c>
      <c r="BI698" s="29" t="e">
        <f>BG698*(1/COUNT(Archive[[#This Row],[Candidate Transfer Standard - Zero 1]:[Candidate Transfer Standard - Zero 2]])+AVERAGE(Archive[[#This Row],[Higher Level Standard - Zero 1]:[Higher Level Standard - Zero 2]])^2/DEVSQ(Archive[[#This Row],[Higher Level Standard - Zero 1]:[Higher Level Standard - Zero 2]]))</f>
        <v>#VALUE!</v>
      </c>
      <c r="BJ698" s="29">
        <f>COUNT(Archive[[#This Row],[Candidate Transfer Standard - Zero 1]:[Candidate Transfer Standard - Zero 2]])</f>
        <v>0</v>
      </c>
    </row>
    <row r="699" spans="1:62" x14ac:dyDescent="0.3">
      <c r="A699" s="57"/>
      <c r="BG69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699" s="29" t="e">
        <f>BG699/DEVSQ(Archive[[#This Row],[Higher Level Standard - Zero 1]:[Higher Level Standard - Zero 2]])</f>
        <v>#VALUE!</v>
      </c>
      <c r="BI699" s="29" t="e">
        <f>BG699*(1/COUNT(Archive[[#This Row],[Candidate Transfer Standard - Zero 1]:[Candidate Transfer Standard - Zero 2]])+AVERAGE(Archive[[#This Row],[Higher Level Standard - Zero 1]:[Higher Level Standard - Zero 2]])^2/DEVSQ(Archive[[#This Row],[Higher Level Standard - Zero 1]:[Higher Level Standard - Zero 2]]))</f>
        <v>#VALUE!</v>
      </c>
      <c r="BJ699" s="29">
        <f>COUNT(Archive[[#This Row],[Candidate Transfer Standard - Zero 1]:[Candidate Transfer Standard - Zero 2]])</f>
        <v>0</v>
      </c>
    </row>
    <row r="700" spans="1:62" x14ac:dyDescent="0.3">
      <c r="A700" s="57"/>
      <c r="BG70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00" s="29" t="e">
        <f>BG700/DEVSQ(Archive[[#This Row],[Higher Level Standard - Zero 1]:[Higher Level Standard - Zero 2]])</f>
        <v>#VALUE!</v>
      </c>
      <c r="BI700" s="29" t="e">
        <f>BG700*(1/COUNT(Archive[[#This Row],[Candidate Transfer Standard - Zero 1]:[Candidate Transfer Standard - Zero 2]])+AVERAGE(Archive[[#This Row],[Higher Level Standard - Zero 1]:[Higher Level Standard - Zero 2]])^2/DEVSQ(Archive[[#This Row],[Higher Level Standard - Zero 1]:[Higher Level Standard - Zero 2]]))</f>
        <v>#VALUE!</v>
      </c>
      <c r="BJ700" s="29">
        <f>COUNT(Archive[[#This Row],[Candidate Transfer Standard - Zero 1]:[Candidate Transfer Standard - Zero 2]])</f>
        <v>0</v>
      </c>
    </row>
    <row r="701" spans="1:62" x14ac:dyDescent="0.3">
      <c r="A701" s="57"/>
      <c r="BG70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01" s="29" t="e">
        <f>BG701/DEVSQ(Archive[[#This Row],[Higher Level Standard - Zero 1]:[Higher Level Standard - Zero 2]])</f>
        <v>#VALUE!</v>
      </c>
      <c r="BI701" s="29" t="e">
        <f>BG701*(1/COUNT(Archive[[#This Row],[Candidate Transfer Standard - Zero 1]:[Candidate Transfer Standard - Zero 2]])+AVERAGE(Archive[[#This Row],[Higher Level Standard - Zero 1]:[Higher Level Standard - Zero 2]])^2/DEVSQ(Archive[[#This Row],[Higher Level Standard - Zero 1]:[Higher Level Standard - Zero 2]]))</f>
        <v>#VALUE!</v>
      </c>
      <c r="BJ701" s="29">
        <f>COUNT(Archive[[#This Row],[Candidate Transfer Standard - Zero 1]:[Candidate Transfer Standard - Zero 2]])</f>
        <v>0</v>
      </c>
    </row>
    <row r="702" spans="1:62" x14ac:dyDescent="0.3">
      <c r="A702" s="57"/>
      <c r="BG70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02" s="29" t="e">
        <f>BG702/DEVSQ(Archive[[#This Row],[Higher Level Standard - Zero 1]:[Higher Level Standard - Zero 2]])</f>
        <v>#VALUE!</v>
      </c>
      <c r="BI702" s="29" t="e">
        <f>BG702*(1/COUNT(Archive[[#This Row],[Candidate Transfer Standard - Zero 1]:[Candidate Transfer Standard - Zero 2]])+AVERAGE(Archive[[#This Row],[Higher Level Standard - Zero 1]:[Higher Level Standard - Zero 2]])^2/DEVSQ(Archive[[#This Row],[Higher Level Standard - Zero 1]:[Higher Level Standard - Zero 2]]))</f>
        <v>#VALUE!</v>
      </c>
      <c r="BJ702" s="29">
        <f>COUNT(Archive[[#This Row],[Candidate Transfer Standard - Zero 1]:[Candidate Transfer Standard - Zero 2]])</f>
        <v>0</v>
      </c>
    </row>
    <row r="703" spans="1:62" x14ac:dyDescent="0.3">
      <c r="A703" s="57"/>
      <c r="BG70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03" s="29" t="e">
        <f>BG703/DEVSQ(Archive[[#This Row],[Higher Level Standard - Zero 1]:[Higher Level Standard - Zero 2]])</f>
        <v>#VALUE!</v>
      </c>
      <c r="BI703" s="29" t="e">
        <f>BG703*(1/COUNT(Archive[[#This Row],[Candidate Transfer Standard - Zero 1]:[Candidate Transfer Standard - Zero 2]])+AVERAGE(Archive[[#This Row],[Higher Level Standard - Zero 1]:[Higher Level Standard - Zero 2]])^2/DEVSQ(Archive[[#This Row],[Higher Level Standard - Zero 1]:[Higher Level Standard - Zero 2]]))</f>
        <v>#VALUE!</v>
      </c>
      <c r="BJ703" s="29">
        <f>COUNT(Archive[[#This Row],[Candidate Transfer Standard - Zero 1]:[Candidate Transfer Standard - Zero 2]])</f>
        <v>0</v>
      </c>
    </row>
    <row r="704" spans="1:62" x14ac:dyDescent="0.3">
      <c r="A704" s="57"/>
      <c r="BG70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04" s="29" t="e">
        <f>BG704/DEVSQ(Archive[[#This Row],[Higher Level Standard - Zero 1]:[Higher Level Standard - Zero 2]])</f>
        <v>#VALUE!</v>
      </c>
      <c r="BI704" s="29" t="e">
        <f>BG704*(1/COUNT(Archive[[#This Row],[Candidate Transfer Standard - Zero 1]:[Candidate Transfer Standard - Zero 2]])+AVERAGE(Archive[[#This Row],[Higher Level Standard - Zero 1]:[Higher Level Standard - Zero 2]])^2/DEVSQ(Archive[[#This Row],[Higher Level Standard - Zero 1]:[Higher Level Standard - Zero 2]]))</f>
        <v>#VALUE!</v>
      </c>
      <c r="BJ704" s="29">
        <f>COUNT(Archive[[#This Row],[Candidate Transfer Standard - Zero 1]:[Candidate Transfer Standard - Zero 2]])</f>
        <v>0</v>
      </c>
    </row>
    <row r="705" spans="1:62" x14ac:dyDescent="0.3">
      <c r="A705" s="57"/>
      <c r="BG70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05" s="29" t="e">
        <f>BG705/DEVSQ(Archive[[#This Row],[Higher Level Standard - Zero 1]:[Higher Level Standard - Zero 2]])</f>
        <v>#VALUE!</v>
      </c>
      <c r="BI705" s="29" t="e">
        <f>BG705*(1/COUNT(Archive[[#This Row],[Candidate Transfer Standard - Zero 1]:[Candidate Transfer Standard - Zero 2]])+AVERAGE(Archive[[#This Row],[Higher Level Standard - Zero 1]:[Higher Level Standard - Zero 2]])^2/DEVSQ(Archive[[#This Row],[Higher Level Standard - Zero 1]:[Higher Level Standard - Zero 2]]))</f>
        <v>#VALUE!</v>
      </c>
      <c r="BJ705" s="29">
        <f>COUNT(Archive[[#This Row],[Candidate Transfer Standard - Zero 1]:[Candidate Transfer Standard - Zero 2]])</f>
        <v>0</v>
      </c>
    </row>
    <row r="706" spans="1:62" x14ac:dyDescent="0.3">
      <c r="A706" s="57"/>
      <c r="BG70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06" s="29" t="e">
        <f>BG706/DEVSQ(Archive[[#This Row],[Higher Level Standard - Zero 1]:[Higher Level Standard - Zero 2]])</f>
        <v>#VALUE!</v>
      </c>
      <c r="BI706" s="29" t="e">
        <f>BG706*(1/COUNT(Archive[[#This Row],[Candidate Transfer Standard - Zero 1]:[Candidate Transfer Standard - Zero 2]])+AVERAGE(Archive[[#This Row],[Higher Level Standard - Zero 1]:[Higher Level Standard - Zero 2]])^2/DEVSQ(Archive[[#This Row],[Higher Level Standard - Zero 1]:[Higher Level Standard - Zero 2]]))</f>
        <v>#VALUE!</v>
      </c>
      <c r="BJ706" s="29">
        <f>COUNT(Archive[[#This Row],[Candidate Transfer Standard - Zero 1]:[Candidate Transfer Standard - Zero 2]])</f>
        <v>0</v>
      </c>
    </row>
    <row r="707" spans="1:62" x14ac:dyDescent="0.3">
      <c r="A707" s="57"/>
      <c r="BG70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07" s="29" t="e">
        <f>BG707/DEVSQ(Archive[[#This Row],[Higher Level Standard - Zero 1]:[Higher Level Standard - Zero 2]])</f>
        <v>#VALUE!</v>
      </c>
      <c r="BI707" s="29" t="e">
        <f>BG707*(1/COUNT(Archive[[#This Row],[Candidate Transfer Standard - Zero 1]:[Candidate Transfer Standard - Zero 2]])+AVERAGE(Archive[[#This Row],[Higher Level Standard - Zero 1]:[Higher Level Standard - Zero 2]])^2/DEVSQ(Archive[[#This Row],[Higher Level Standard - Zero 1]:[Higher Level Standard - Zero 2]]))</f>
        <v>#VALUE!</v>
      </c>
      <c r="BJ707" s="29">
        <f>COUNT(Archive[[#This Row],[Candidate Transfer Standard - Zero 1]:[Candidate Transfer Standard - Zero 2]])</f>
        <v>0</v>
      </c>
    </row>
    <row r="708" spans="1:62" x14ac:dyDescent="0.3">
      <c r="A708" s="57"/>
      <c r="BG70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08" s="29" t="e">
        <f>BG708/DEVSQ(Archive[[#This Row],[Higher Level Standard - Zero 1]:[Higher Level Standard - Zero 2]])</f>
        <v>#VALUE!</v>
      </c>
      <c r="BI708" s="29" t="e">
        <f>BG708*(1/COUNT(Archive[[#This Row],[Candidate Transfer Standard - Zero 1]:[Candidate Transfer Standard - Zero 2]])+AVERAGE(Archive[[#This Row],[Higher Level Standard - Zero 1]:[Higher Level Standard - Zero 2]])^2/DEVSQ(Archive[[#This Row],[Higher Level Standard - Zero 1]:[Higher Level Standard - Zero 2]]))</f>
        <v>#VALUE!</v>
      </c>
      <c r="BJ708" s="29">
        <f>COUNT(Archive[[#This Row],[Candidate Transfer Standard - Zero 1]:[Candidate Transfer Standard - Zero 2]])</f>
        <v>0</v>
      </c>
    </row>
    <row r="709" spans="1:62" x14ac:dyDescent="0.3">
      <c r="A709" s="57"/>
      <c r="BG70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09" s="29" t="e">
        <f>BG709/DEVSQ(Archive[[#This Row],[Higher Level Standard - Zero 1]:[Higher Level Standard - Zero 2]])</f>
        <v>#VALUE!</v>
      </c>
      <c r="BI709" s="29" t="e">
        <f>BG709*(1/COUNT(Archive[[#This Row],[Candidate Transfer Standard - Zero 1]:[Candidate Transfer Standard - Zero 2]])+AVERAGE(Archive[[#This Row],[Higher Level Standard - Zero 1]:[Higher Level Standard - Zero 2]])^2/DEVSQ(Archive[[#This Row],[Higher Level Standard - Zero 1]:[Higher Level Standard - Zero 2]]))</f>
        <v>#VALUE!</v>
      </c>
      <c r="BJ709" s="29">
        <f>COUNT(Archive[[#This Row],[Candidate Transfer Standard - Zero 1]:[Candidate Transfer Standard - Zero 2]])</f>
        <v>0</v>
      </c>
    </row>
    <row r="710" spans="1:62" x14ac:dyDescent="0.3">
      <c r="A710" s="57"/>
      <c r="BG71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10" s="29" t="e">
        <f>BG710/DEVSQ(Archive[[#This Row],[Higher Level Standard - Zero 1]:[Higher Level Standard - Zero 2]])</f>
        <v>#VALUE!</v>
      </c>
      <c r="BI710" s="29" t="e">
        <f>BG710*(1/COUNT(Archive[[#This Row],[Candidate Transfer Standard - Zero 1]:[Candidate Transfer Standard - Zero 2]])+AVERAGE(Archive[[#This Row],[Higher Level Standard - Zero 1]:[Higher Level Standard - Zero 2]])^2/DEVSQ(Archive[[#This Row],[Higher Level Standard - Zero 1]:[Higher Level Standard - Zero 2]]))</f>
        <v>#VALUE!</v>
      </c>
      <c r="BJ710" s="29">
        <f>COUNT(Archive[[#This Row],[Candidate Transfer Standard - Zero 1]:[Candidate Transfer Standard - Zero 2]])</f>
        <v>0</v>
      </c>
    </row>
    <row r="711" spans="1:62" x14ac:dyDescent="0.3">
      <c r="A711" s="57"/>
      <c r="BG71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11" s="29" t="e">
        <f>BG711/DEVSQ(Archive[[#This Row],[Higher Level Standard - Zero 1]:[Higher Level Standard - Zero 2]])</f>
        <v>#VALUE!</v>
      </c>
      <c r="BI711" s="29" t="e">
        <f>BG711*(1/COUNT(Archive[[#This Row],[Candidate Transfer Standard - Zero 1]:[Candidate Transfer Standard - Zero 2]])+AVERAGE(Archive[[#This Row],[Higher Level Standard - Zero 1]:[Higher Level Standard - Zero 2]])^2/DEVSQ(Archive[[#This Row],[Higher Level Standard - Zero 1]:[Higher Level Standard - Zero 2]]))</f>
        <v>#VALUE!</v>
      </c>
      <c r="BJ711" s="29">
        <f>COUNT(Archive[[#This Row],[Candidate Transfer Standard - Zero 1]:[Candidate Transfer Standard - Zero 2]])</f>
        <v>0</v>
      </c>
    </row>
    <row r="712" spans="1:62" x14ac:dyDescent="0.3">
      <c r="A712" s="57"/>
      <c r="BG71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12" s="29" t="e">
        <f>BG712/DEVSQ(Archive[[#This Row],[Higher Level Standard - Zero 1]:[Higher Level Standard - Zero 2]])</f>
        <v>#VALUE!</v>
      </c>
      <c r="BI712" s="29" t="e">
        <f>BG712*(1/COUNT(Archive[[#This Row],[Candidate Transfer Standard - Zero 1]:[Candidate Transfer Standard - Zero 2]])+AVERAGE(Archive[[#This Row],[Higher Level Standard - Zero 1]:[Higher Level Standard - Zero 2]])^2/DEVSQ(Archive[[#This Row],[Higher Level Standard - Zero 1]:[Higher Level Standard - Zero 2]]))</f>
        <v>#VALUE!</v>
      </c>
      <c r="BJ712" s="29">
        <f>COUNT(Archive[[#This Row],[Candidate Transfer Standard - Zero 1]:[Candidate Transfer Standard - Zero 2]])</f>
        <v>0</v>
      </c>
    </row>
    <row r="713" spans="1:62" x14ac:dyDescent="0.3">
      <c r="A713" s="57"/>
      <c r="BG71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13" s="29" t="e">
        <f>BG713/DEVSQ(Archive[[#This Row],[Higher Level Standard - Zero 1]:[Higher Level Standard - Zero 2]])</f>
        <v>#VALUE!</v>
      </c>
      <c r="BI713" s="29" t="e">
        <f>BG713*(1/COUNT(Archive[[#This Row],[Candidate Transfer Standard - Zero 1]:[Candidate Transfer Standard - Zero 2]])+AVERAGE(Archive[[#This Row],[Higher Level Standard - Zero 1]:[Higher Level Standard - Zero 2]])^2/DEVSQ(Archive[[#This Row],[Higher Level Standard - Zero 1]:[Higher Level Standard - Zero 2]]))</f>
        <v>#VALUE!</v>
      </c>
      <c r="BJ713" s="29">
        <f>COUNT(Archive[[#This Row],[Candidate Transfer Standard - Zero 1]:[Candidate Transfer Standard - Zero 2]])</f>
        <v>0</v>
      </c>
    </row>
    <row r="714" spans="1:62" x14ac:dyDescent="0.3">
      <c r="A714" s="57"/>
      <c r="BG71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14" s="29" t="e">
        <f>BG714/DEVSQ(Archive[[#This Row],[Higher Level Standard - Zero 1]:[Higher Level Standard - Zero 2]])</f>
        <v>#VALUE!</v>
      </c>
      <c r="BI714" s="29" t="e">
        <f>BG714*(1/COUNT(Archive[[#This Row],[Candidate Transfer Standard - Zero 1]:[Candidate Transfer Standard - Zero 2]])+AVERAGE(Archive[[#This Row],[Higher Level Standard - Zero 1]:[Higher Level Standard - Zero 2]])^2/DEVSQ(Archive[[#This Row],[Higher Level Standard - Zero 1]:[Higher Level Standard - Zero 2]]))</f>
        <v>#VALUE!</v>
      </c>
      <c r="BJ714" s="29">
        <f>COUNT(Archive[[#This Row],[Candidate Transfer Standard - Zero 1]:[Candidate Transfer Standard - Zero 2]])</f>
        <v>0</v>
      </c>
    </row>
    <row r="715" spans="1:62" x14ac:dyDescent="0.3">
      <c r="A715" s="57"/>
      <c r="BG71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15" s="29" t="e">
        <f>BG715/DEVSQ(Archive[[#This Row],[Higher Level Standard - Zero 1]:[Higher Level Standard - Zero 2]])</f>
        <v>#VALUE!</v>
      </c>
      <c r="BI715" s="29" t="e">
        <f>BG715*(1/COUNT(Archive[[#This Row],[Candidate Transfer Standard - Zero 1]:[Candidate Transfer Standard - Zero 2]])+AVERAGE(Archive[[#This Row],[Higher Level Standard - Zero 1]:[Higher Level Standard - Zero 2]])^2/DEVSQ(Archive[[#This Row],[Higher Level Standard - Zero 1]:[Higher Level Standard - Zero 2]]))</f>
        <v>#VALUE!</v>
      </c>
      <c r="BJ715" s="29">
        <f>COUNT(Archive[[#This Row],[Candidate Transfer Standard - Zero 1]:[Candidate Transfer Standard - Zero 2]])</f>
        <v>0</v>
      </c>
    </row>
    <row r="716" spans="1:62" x14ac:dyDescent="0.3">
      <c r="A716" s="57"/>
      <c r="BG71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16" s="29" t="e">
        <f>BG716/DEVSQ(Archive[[#This Row],[Higher Level Standard - Zero 1]:[Higher Level Standard - Zero 2]])</f>
        <v>#VALUE!</v>
      </c>
      <c r="BI716" s="29" t="e">
        <f>BG716*(1/COUNT(Archive[[#This Row],[Candidate Transfer Standard - Zero 1]:[Candidate Transfer Standard - Zero 2]])+AVERAGE(Archive[[#This Row],[Higher Level Standard - Zero 1]:[Higher Level Standard - Zero 2]])^2/DEVSQ(Archive[[#This Row],[Higher Level Standard - Zero 1]:[Higher Level Standard - Zero 2]]))</f>
        <v>#VALUE!</v>
      </c>
      <c r="BJ716" s="29">
        <f>COUNT(Archive[[#This Row],[Candidate Transfer Standard - Zero 1]:[Candidate Transfer Standard - Zero 2]])</f>
        <v>0</v>
      </c>
    </row>
    <row r="717" spans="1:62" x14ac:dyDescent="0.3">
      <c r="A717" s="57"/>
      <c r="BG71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17" s="29" t="e">
        <f>BG717/DEVSQ(Archive[[#This Row],[Higher Level Standard - Zero 1]:[Higher Level Standard - Zero 2]])</f>
        <v>#VALUE!</v>
      </c>
      <c r="BI717" s="29" t="e">
        <f>BG717*(1/COUNT(Archive[[#This Row],[Candidate Transfer Standard - Zero 1]:[Candidate Transfer Standard - Zero 2]])+AVERAGE(Archive[[#This Row],[Higher Level Standard - Zero 1]:[Higher Level Standard - Zero 2]])^2/DEVSQ(Archive[[#This Row],[Higher Level Standard - Zero 1]:[Higher Level Standard - Zero 2]]))</f>
        <v>#VALUE!</v>
      </c>
      <c r="BJ717" s="29">
        <f>COUNT(Archive[[#This Row],[Candidate Transfer Standard - Zero 1]:[Candidate Transfer Standard - Zero 2]])</f>
        <v>0</v>
      </c>
    </row>
    <row r="718" spans="1:62" x14ac:dyDescent="0.3">
      <c r="A718" s="57"/>
      <c r="BG71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18" s="29" t="e">
        <f>BG718/DEVSQ(Archive[[#This Row],[Higher Level Standard - Zero 1]:[Higher Level Standard - Zero 2]])</f>
        <v>#VALUE!</v>
      </c>
      <c r="BI718" s="29" t="e">
        <f>BG718*(1/COUNT(Archive[[#This Row],[Candidate Transfer Standard - Zero 1]:[Candidate Transfer Standard - Zero 2]])+AVERAGE(Archive[[#This Row],[Higher Level Standard - Zero 1]:[Higher Level Standard - Zero 2]])^2/DEVSQ(Archive[[#This Row],[Higher Level Standard - Zero 1]:[Higher Level Standard - Zero 2]]))</f>
        <v>#VALUE!</v>
      </c>
      <c r="BJ718" s="29">
        <f>COUNT(Archive[[#This Row],[Candidate Transfer Standard - Zero 1]:[Candidate Transfer Standard - Zero 2]])</f>
        <v>0</v>
      </c>
    </row>
    <row r="719" spans="1:62" x14ac:dyDescent="0.3">
      <c r="A719" s="57"/>
      <c r="BG71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19" s="29" t="e">
        <f>BG719/DEVSQ(Archive[[#This Row],[Higher Level Standard - Zero 1]:[Higher Level Standard - Zero 2]])</f>
        <v>#VALUE!</v>
      </c>
      <c r="BI719" s="29" t="e">
        <f>BG719*(1/COUNT(Archive[[#This Row],[Candidate Transfer Standard - Zero 1]:[Candidate Transfer Standard - Zero 2]])+AVERAGE(Archive[[#This Row],[Higher Level Standard - Zero 1]:[Higher Level Standard - Zero 2]])^2/DEVSQ(Archive[[#This Row],[Higher Level Standard - Zero 1]:[Higher Level Standard - Zero 2]]))</f>
        <v>#VALUE!</v>
      </c>
      <c r="BJ719" s="29">
        <f>COUNT(Archive[[#This Row],[Candidate Transfer Standard - Zero 1]:[Candidate Transfer Standard - Zero 2]])</f>
        <v>0</v>
      </c>
    </row>
    <row r="720" spans="1:62" x14ac:dyDescent="0.3">
      <c r="A720" s="57"/>
      <c r="BG72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20" s="29" t="e">
        <f>BG720/DEVSQ(Archive[[#This Row],[Higher Level Standard - Zero 1]:[Higher Level Standard - Zero 2]])</f>
        <v>#VALUE!</v>
      </c>
      <c r="BI720" s="29" t="e">
        <f>BG720*(1/COUNT(Archive[[#This Row],[Candidate Transfer Standard - Zero 1]:[Candidate Transfer Standard - Zero 2]])+AVERAGE(Archive[[#This Row],[Higher Level Standard - Zero 1]:[Higher Level Standard - Zero 2]])^2/DEVSQ(Archive[[#This Row],[Higher Level Standard - Zero 1]:[Higher Level Standard - Zero 2]]))</f>
        <v>#VALUE!</v>
      </c>
      <c r="BJ720" s="29">
        <f>COUNT(Archive[[#This Row],[Candidate Transfer Standard - Zero 1]:[Candidate Transfer Standard - Zero 2]])</f>
        <v>0</v>
      </c>
    </row>
    <row r="721" spans="1:62" x14ac:dyDescent="0.3">
      <c r="A721" s="57"/>
      <c r="BG72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21" s="29" t="e">
        <f>BG721/DEVSQ(Archive[[#This Row],[Higher Level Standard - Zero 1]:[Higher Level Standard - Zero 2]])</f>
        <v>#VALUE!</v>
      </c>
      <c r="BI721" s="29" t="e">
        <f>BG721*(1/COUNT(Archive[[#This Row],[Candidate Transfer Standard - Zero 1]:[Candidate Transfer Standard - Zero 2]])+AVERAGE(Archive[[#This Row],[Higher Level Standard - Zero 1]:[Higher Level Standard - Zero 2]])^2/DEVSQ(Archive[[#This Row],[Higher Level Standard - Zero 1]:[Higher Level Standard - Zero 2]]))</f>
        <v>#VALUE!</v>
      </c>
      <c r="BJ721" s="29">
        <f>COUNT(Archive[[#This Row],[Candidate Transfer Standard - Zero 1]:[Candidate Transfer Standard - Zero 2]])</f>
        <v>0</v>
      </c>
    </row>
    <row r="722" spans="1:62" x14ac:dyDescent="0.3">
      <c r="A722" s="57"/>
      <c r="BG72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22" s="29" t="e">
        <f>BG722/DEVSQ(Archive[[#This Row],[Higher Level Standard - Zero 1]:[Higher Level Standard - Zero 2]])</f>
        <v>#VALUE!</v>
      </c>
      <c r="BI722" s="29" t="e">
        <f>BG722*(1/COUNT(Archive[[#This Row],[Candidate Transfer Standard - Zero 1]:[Candidate Transfer Standard - Zero 2]])+AVERAGE(Archive[[#This Row],[Higher Level Standard - Zero 1]:[Higher Level Standard - Zero 2]])^2/DEVSQ(Archive[[#This Row],[Higher Level Standard - Zero 1]:[Higher Level Standard - Zero 2]]))</f>
        <v>#VALUE!</v>
      </c>
      <c r="BJ722" s="29">
        <f>COUNT(Archive[[#This Row],[Candidate Transfer Standard - Zero 1]:[Candidate Transfer Standard - Zero 2]])</f>
        <v>0</v>
      </c>
    </row>
    <row r="723" spans="1:62" x14ac:dyDescent="0.3">
      <c r="A723" s="57"/>
      <c r="BG72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23" s="29" t="e">
        <f>BG723/DEVSQ(Archive[[#This Row],[Higher Level Standard - Zero 1]:[Higher Level Standard - Zero 2]])</f>
        <v>#VALUE!</v>
      </c>
      <c r="BI723" s="29" t="e">
        <f>BG723*(1/COUNT(Archive[[#This Row],[Candidate Transfer Standard - Zero 1]:[Candidate Transfer Standard - Zero 2]])+AVERAGE(Archive[[#This Row],[Higher Level Standard - Zero 1]:[Higher Level Standard - Zero 2]])^2/DEVSQ(Archive[[#This Row],[Higher Level Standard - Zero 1]:[Higher Level Standard - Zero 2]]))</f>
        <v>#VALUE!</v>
      </c>
      <c r="BJ723" s="29">
        <f>COUNT(Archive[[#This Row],[Candidate Transfer Standard - Zero 1]:[Candidate Transfer Standard - Zero 2]])</f>
        <v>0</v>
      </c>
    </row>
    <row r="724" spans="1:62" x14ac:dyDescent="0.3">
      <c r="A724" s="57"/>
      <c r="BG72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24" s="29" t="e">
        <f>BG724/DEVSQ(Archive[[#This Row],[Higher Level Standard - Zero 1]:[Higher Level Standard - Zero 2]])</f>
        <v>#VALUE!</v>
      </c>
      <c r="BI724" s="29" t="e">
        <f>BG724*(1/COUNT(Archive[[#This Row],[Candidate Transfer Standard - Zero 1]:[Candidate Transfer Standard - Zero 2]])+AVERAGE(Archive[[#This Row],[Higher Level Standard - Zero 1]:[Higher Level Standard - Zero 2]])^2/DEVSQ(Archive[[#This Row],[Higher Level Standard - Zero 1]:[Higher Level Standard - Zero 2]]))</f>
        <v>#VALUE!</v>
      </c>
      <c r="BJ724" s="29">
        <f>COUNT(Archive[[#This Row],[Candidate Transfer Standard - Zero 1]:[Candidate Transfer Standard - Zero 2]])</f>
        <v>0</v>
      </c>
    </row>
    <row r="725" spans="1:62" x14ac:dyDescent="0.3">
      <c r="A725" s="57"/>
      <c r="BG72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25" s="29" t="e">
        <f>BG725/DEVSQ(Archive[[#This Row],[Higher Level Standard - Zero 1]:[Higher Level Standard - Zero 2]])</f>
        <v>#VALUE!</v>
      </c>
      <c r="BI725" s="29" t="e">
        <f>BG725*(1/COUNT(Archive[[#This Row],[Candidate Transfer Standard - Zero 1]:[Candidate Transfer Standard - Zero 2]])+AVERAGE(Archive[[#This Row],[Higher Level Standard - Zero 1]:[Higher Level Standard - Zero 2]])^2/DEVSQ(Archive[[#This Row],[Higher Level Standard - Zero 1]:[Higher Level Standard - Zero 2]]))</f>
        <v>#VALUE!</v>
      </c>
      <c r="BJ725" s="29">
        <f>COUNT(Archive[[#This Row],[Candidate Transfer Standard - Zero 1]:[Candidate Transfer Standard - Zero 2]])</f>
        <v>0</v>
      </c>
    </row>
    <row r="726" spans="1:62" x14ac:dyDescent="0.3">
      <c r="A726" s="57"/>
      <c r="BG72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26" s="29" t="e">
        <f>BG726/DEVSQ(Archive[[#This Row],[Higher Level Standard - Zero 1]:[Higher Level Standard - Zero 2]])</f>
        <v>#VALUE!</v>
      </c>
      <c r="BI726" s="29" t="e">
        <f>BG726*(1/COUNT(Archive[[#This Row],[Candidate Transfer Standard - Zero 1]:[Candidate Transfer Standard - Zero 2]])+AVERAGE(Archive[[#This Row],[Higher Level Standard - Zero 1]:[Higher Level Standard - Zero 2]])^2/DEVSQ(Archive[[#This Row],[Higher Level Standard - Zero 1]:[Higher Level Standard - Zero 2]]))</f>
        <v>#VALUE!</v>
      </c>
      <c r="BJ726" s="29">
        <f>COUNT(Archive[[#This Row],[Candidate Transfer Standard - Zero 1]:[Candidate Transfer Standard - Zero 2]])</f>
        <v>0</v>
      </c>
    </row>
    <row r="727" spans="1:62" x14ac:dyDescent="0.3">
      <c r="A727" s="57"/>
      <c r="BG72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27" s="29" t="e">
        <f>BG727/DEVSQ(Archive[[#This Row],[Higher Level Standard - Zero 1]:[Higher Level Standard - Zero 2]])</f>
        <v>#VALUE!</v>
      </c>
      <c r="BI727" s="29" t="e">
        <f>BG727*(1/COUNT(Archive[[#This Row],[Candidate Transfer Standard - Zero 1]:[Candidate Transfer Standard - Zero 2]])+AVERAGE(Archive[[#This Row],[Higher Level Standard - Zero 1]:[Higher Level Standard - Zero 2]])^2/DEVSQ(Archive[[#This Row],[Higher Level Standard - Zero 1]:[Higher Level Standard - Zero 2]]))</f>
        <v>#VALUE!</v>
      </c>
      <c r="BJ727" s="29">
        <f>COUNT(Archive[[#This Row],[Candidate Transfer Standard - Zero 1]:[Candidate Transfer Standard - Zero 2]])</f>
        <v>0</v>
      </c>
    </row>
    <row r="728" spans="1:62" x14ac:dyDescent="0.3">
      <c r="A728" s="57"/>
      <c r="BG72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28" s="29" t="e">
        <f>BG728/DEVSQ(Archive[[#This Row],[Higher Level Standard - Zero 1]:[Higher Level Standard - Zero 2]])</f>
        <v>#VALUE!</v>
      </c>
      <c r="BI728" s="29" t="e">
        <f>BG728*(1/COUNT(Archive[[#This Row],[Candidate Transfer Standard - Zero 1]:[Candidate Transfer Standard - Zero 2]])+AVERAGE(Archive[[#This Row],[Higher Level Standard - Zero 1]:[Higher Level Standard - Zero 2]])^2/DEVSQ(Archive[[#This Row],[Higher Level Standard - Zero 1]:[Higher Level Standard - Zero 2]]))</f>
        <v>#VALUE!</v>
      </c>
      <c r="BJ728" s="29">
        <f>COUNT(Archive[[#This Row],[Candidate Transfer Standard - Zero 1]:[Candidate Transfer Standard - Zero 2]])</f>
        <v>0</v>
      </c>
    </row>
    <row r="729" spans="1:62" x14ac:dyDescent="0.3">
      <c r="A729" s="57"/>
      <c r="BG72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29" s="29" t="e">
        <f>BG729/DEVSQ(Archive[[#This Row],[Higher Level Standard - Zero 1]:[Higher Level Standard - Zero 2]])</f>
        <v>#VALUE!</v>
      </c>
      <c r="BI729" s="29" t="e">
        <f>BG729*(1/COUNT(Archive[[#This Row],[Candidate Transfer Standard - Zero 1]:[Candidate Transfer Standard - Zero 2]])+AVERAGE(Archive[[#This Row],[Higher Level Standard - Zero 1]:[Higher Level Standard - Zero 2]])^2/DEVSQ(Archive[[#This Row],[Higher Level Standard - Zero 1]:[Higher Level Standard - Zero 2]]))</f>
        <v>#VALUE!</v>
      </c>
      <c r="BJ729" s="29">
        <f>COUNT(Archive[[#This Row],[Candidate Transfer Standard - Zero 1]:[Candidate Transfer Standard - Zero 2]])</f>
        <v>0</v>
      </c>
    </row>
    <row r="730" spans="1:62" x14ac:dyDescent="0.3">
      <c r="A730" s="57"/>
      <c r="BG73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30" s="29" t="e">
        <f>BG730/DEVSQ(Archive[[#This Row],[Higher Level Standard - Zero 1]:[Higher Level Standard - Zero 2]])</f>
        <v>#VALUE!</v>
      </c>
      <c r="BI730" s="29" t="e">
        <f>BG730*(1/COUNT(Archive[[#This Row],[Candidate Transfer Standard - Zero 1]:[Candidate Transfer Standard - Zero 2]])+AVERAGE(Archive[[#This Row],[Higher Level Standard - Zero 1]:[Higher Level Standard - Zero 2]])^2/DEVSQ(Archive[[#This Row],[Higher Level Standard - Zero 1]:[Higher Level Standard - Zero 2]]))</f>
        <v>#VALUE!</v>
      </c>
      <c r="BJ730" s="29">
        <f>COUNT(Archive[[#This Row],[Candidate Transfer Standard - Zero 1]:[Candidate Transfer Standard - Zero 2]])</f>
        <v>0</v>
      </c>
    </row>
    <row r="731" spans="1:62" x14ac:dyDescent="0.3">
      <c r="A731" s="57"/>
      <c r="BG73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31" s="29" t="e">
        <f>BG731/DEVSQ(Archive[[#This Row],[Higher Level Standard - Zero 1]:[Higher Level Standard - Zero 2]])</f>
        <v>#VALUE!</v>
      </c>
      <c r="BI731" s="29" t="e">
        <f>BG731*(1/COUNT(Archive[[#This Row],[Candidate Transfer Standard - Zero 1]:[Candidate Transfer Standard - Zero 2]])+AVERAGE(Archive[[#This Row],[Higher Level Standard - Zero 1]:[Higher Level Standard - Zero 2]])^2/DEVSQ(Archive[[#This Row],[Higher Level Standard - Zero 1]:[Higher Level Standard - Zero 2]]))</f>
        <v>#VALUE!</v>
      </c>
      <c r="BJ731" s="29">
        <f>COUNT(Archive[[#This Row],[Candidate Transfer Standard - Zero 1]:[Candidate Transfer Standard - Zero 2]])</f>
        <v>0</v>
      </c>
    </row>
    <row r="732" spans="1:62" x14ac:dyDescent="0.3">
      <c r="A732" s="57"/>
      <c r="BG73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32" s="29" t="e">
        <f>BG732/DEVSQ(Archive[[#This Row],[Higher Level Standard - Zero 1]:[Higher Level Standard - Zero 2]])</f>
        <v>#VALUE!</v>
      </c>
      <c r="BI732" s="29" t="e">
        <f>BG732*(1/COUNT(Archive[[#This Row],[Candidate Transfer Standard - Zero 1]:[Candidate Transfer Standard - Zero 2]])+AVERAGE(Archive[[#This Row],[Higher Level Standard - Zero 1]:[Higher Level Standard - Zero 2]])^2/DEVSQ(Archive[[#This Row],[Higher Level Standard - Zero 1]:[Higher Level Standard - Zero 2]]))</f>
        <v>#VALUE!</v>
      </c>
      <c r="BJ732" s="29">
        <f>COUNT(Archive[[#This Row],[Candidate Transfer Standard - Zero 1]:[Candidate Transfer Standard - Zero 2]])</f>
        <v>0</v>
      </c>
    </row>
    <row r="733" spans="1:62" x14ac:dyDescent="0.3">
      <c r="A733" s="57"/>
      <c r="BG73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33" s="29" t="e">
        <f>BG733/DEVSQ(Archive[[#This Row],[Higher Level Standard - Zero 1]:[Higher Level Standard - Zero 2]])</f>
        <v>#VALUE!</v>
      </c>
      <c r="BI733" s="29" t="e">
        <f>BG733*(1/COUNT(Archive[[#This Row],[Candidate Transfer Standard - Zero 1]:[Candidate Transfer Standard - Zero 2]])+AVERAGE(Archive[[#This Row],[Higher Level Standard - Zero 1]:[Higher Level Standard - Zero 2]])^2/DEVSQ(Archive[[#This Row],[Higher Level Standard - Zero 1]:[Higher Level Standard - Zero 2]]))</f>
        <v>#VALUE!</v>
      </c>
      <c r="BJ733" s="29">
        <f>COUNT(Archive[[#This Row],[Candidate Transfer Standard - Zero 1]:[Candidate Transfer Standard - Zero 2]])</f>
        <v>0</v>
      </c>
    </row>
    <row r="734" spans="1:62" x14ac:dyDescent="0.3">
      <c r="A734" s="57"/>
      <c r="BG73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34" s="29" t="e">
        <f>BG734/DEVSQ(Archive[[#This Row],[Higher Level Standard - Zero 1]:[Higher Level Standard - Zero 2]])</f>
        <v>#VALUE!</v>
      </c>
      <c r="BI734" s="29" t="e">
        <f>BG734*(1/COUNT(Archive[[#This Row],[Candidate Transfer Standard - Zero 1]:[Candidate Transfer Standard - Zero 2]])+AVERAGE(Archive[[#This Row],[Higher Level Standard - Zero 1]:[Higher Level Standard - Zero 2]])^2/DEVSQ(Archive[[#This Row],[Higher Level Standard - Zero 1]:[Higher Level Standard - Zero 2]]))</f>
        <v>#VALUE!</v>
      </c>
      <c r="BJ734" s="29">
        <f>COUNT(Archive[[#This Row],[Candidate Transfer Standard - Zero 1]:[Candidate Transfer Standard - Zero 2]])</f>
        <v>0</v>
      </c>
    </row>
    <row r="735" spans="1:62" x14ac:dyDescent="0.3">
      <c r="A735" s="57"/>
      <c r="BG73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35" s="29" t="e">
        <f>BG735/DEVSQ(Archive[[#This Row],[Higher Level Standard - Zero 1]:[Higher Level Standard - Zero 2]])</f>
        <v>#VALUE!</v>
      </c>
      <c r="BI735" s="29" t="e">
        <f>BG735*(1/COUNT(Archive[[#This Row],[Candidate Transfer Standard - Zero 1]:[Candidate Transfer Standard - Zero 2]])+AVERAGE(Archive[[#This Row],[Higher Level Standard - Zero 1]:[Higher Level Standard - Zero 2]])^2/DEVSQ(Archive[[#This Row],[Higher Level Standard - Zero 1]:[Higher Level Standard - Zero 2]]))</f>
        <v>#VALUE!</v>
      </c>
      <c r="BJ735" s="29">
        <f>COUNT(Archive[[#This Row],[Candidate Transfer Standard - Zero 1]:[Candidate Transfer Standard - Zero 2]])</f>
        <v>0</v>
      </c>
    </row>
    <row r="736" spans="1:62" x14ac:dyDescent="0.3">
      <c r="A736" s="57"/>
      <c r="BG73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36" s="29" t="e">
        <f>BG736/DEVSQ(Archive[[#This Row],[Higher Level Standard - Zero 1]:[Higher Level Standard - Zero 2]])</f>
        <v>#VALUE!</v>
      </c>
      <c r="BI736" s="29" t="e">
        <f>BG736*(1/COUNT(Archive[[#This Row],[Candidate Transfer Standard - Zero 1]:[Candidate Transfer Standard - Zero 2]])+AVERAGE(Archive[[#This Row],[Higher Level Standard - Zero 1]:[Higher Level Standard - Zero 2]])^2/DEVSQ(Archive[[#This Row],[Higher Level Standard - Zero 1]:[Higher Level Standard - Zero 2]]))</f>
        <v>#VALUE!</v>
      </c>
      <c r="BJ736" s="29">
        <f>COUNT(Archive[[#This Row],[Candidate Transfer Standard - Zero 1]:[Candidate Transfer Standard - Zero 2]])</f>
        <v>0</v>
      </c>
    </row>
    <row r="737" spans="1:62" x14ac:dyDescent="0.3">
      <c r="A737" s="57"/>
      <c r="BG73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37" s="29" t="e">
        <f>BG737/DEVSQ(Archive[[#This Row],[Higher Level Standard - Zero 1]:[Higher Level Standard - Zero 2]])</f>
        <v>#VALUE!</v>
      </c>
      <c r="BI737" s="29" t="e">
        <f>BG737*(1/COUNT(Archive[[#This Row],[Candidate Transfer Standard - Zero 1]:[Candidate Transfer Standard - Zero 2]])+AVERAGE(Archive[[#This Row],[Higher Level Standard - Zero 1]:[Higher Level Standard - Zero 2]])^2/DEVSQ(Archive[[#This Row],[Higher Level Standard - Zero 1]:[Higher Level Standard - Zero 2]]))</f>
        <v>#VALUE!</v>
      </c>
      <c r="BJ737" s="29">
        <f>COUNT(Archive[[#This Row],[Candidate Transfer Standard - Zero 1]:[Candidate Transfer Standard - Zero 2]])</f>
        <v>0</v>
      </c>
    </row>
    <row r="738" spans="1:62" x14ac:dyDescent="0.3">
      <c r="A738" s="57"/>
      <c r="BG73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38" s="29" t="e">
        <f>BG738/DEVSQ(Archive[[#This Row],[Higher Level Standard - Zero 1]:[Higher Level Standard - Zero 2]])</f>
        <v>#VALUE!</v>
      </c>
      <c r="BI738" s="29" t="e">
        <f>BG738*(1/COUNT(Archive[[#This Row],[Candidate Transfer Standard - Zero 1]:[Candidate Transfer Standard - Zero 2]])+AVERAGE(Archive[[#This Row],[Higher Level Standard - Zero 1]:[Higher Level Standard - Zero 2]])^2/DEVSQ(Archive[[#This Row],[Higher Level Standard - Zero 1]:[Higher Level Standard - Zero 2]]))</f>
        <v>#VALUE!</v>
      </c>
      <c r="BJ738" s="29">
        <f>COUNT(Archive[[#This Row],[Candidate Transfer Standard - Zero 1]:[Candidate Transfer Standard - Zero 2]])</f>
        <v>0</v>
      </c>
    </row>
    <row r="739" spans="1:62" x14ac:dyDescent="0.3">
      <c r="A739" s="57"/>
      <c r="BG73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39" s="29" t="e">
        <f>BG739/DEVSQ(Archive[[#This Row],[Higher Level Standard - Zero 1]:[Higher Level Standard - Zero 2]])</f>
        <v>#VALUE!</v>
      </c>
      <c r="BI739" s="29" t="e">
        <f>BG739*(1/COUNT(Archive[[#This Row],[Candidate Transfer Standard - Zero 1]:[Candidate Transfer Standard - Zero 2]])+AVERAGE(Archive[[#This Row],[Higher Level Standard - Zero 1]:[Higher Level Standard - Zero 2]])^2/DEVSQ(Archive[[#This Row],[Higher Level Standard - Zero 1]:[Higher Level Standard - Zero 2]]))</f>
        <v>#VALUE!</v>
      </c>
      <c r="BJ739" s="29">
        <f>COUNT(Archive[[#This Row],[Candidate Transfer Standard - Zero 1]:[Candidate Transfer Standard - Zero 2]])</f>
        <v>0</v>
      </c>
    </row>
    <row r="740" spans="1:62" x14ac:dyDescent="0.3">
      <c r="A740" s="57"/>
      <c r="BG74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40" s="29" t="e">
        <f>BG740/DEVSQ(Archive[[#This Row],[Higher Level Standard - Zero 1]:[Higher Level Standard - Zero 2]])</f>
        <v>#VALUE!</v>
      </c>
      <c r="BI740" s="29" t="e">
        <f>BG740*(1/COUNT(Archive[[#This Row],[Candidate Transfer Standard - Zero 1]:[Candidate Transfer Standard - Zero 2]])+AVERAGE(Archive[[#This Row],[Higher Level Standard - Zero 1]:[Higher Level Standard - Zero 2]])^2/DEVSQ(Archive[[#This Row],[Higher Level Standard - Zero 1]:[Higher Level Standard - Zero 2]]))</f>
        <v>#VALUE!</v>
      </c>
      <c r="BJ740" s="29">
        <f>COUNT(Archive[[#This Row],[Candidate Transfer Standard - Zero 1]:[Candidate Transfer Standard - Zero 2]])</f>
        <v>0</v>
      </c>
    </row>
    <row r="741" spans="1:62" x14ac:dyDescent="0.3">
      <c r="A741" s="57"/>
      <c r="BG74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41" s="29" t="e">
        <f>BG741/DEVSQ(Archive[[#This Row],[Higher Level Standard - Zero 1]:[Higher Level Standard - Zero 2]])</f>
        <v>#VALUE!</v>
      </c>
      <c r="BI741" s="29" t="e">
        <f>BG741*(1/COUNT(Archive[[#This Row],[Candidate Transfer Standard - Zero 1]:[Candidate Transfer Standard - Zero 2]])+AVERAGE(Archive[[#This Row],[Higher Level Standard - Zero 1]:[Higher Level Standard - Zero 2]])^2/DEVSQ(Archive[[#This Row],[Higher Level Standard - Zero 1]:[Higher Level Standard - Zero 2]]))</f>
        <v>#VALUE!</v>
      </c>
      <c r="BJ741" s="29">
        <f>COUNT(Archive[[#This Row],[Candidate Transfer Standard - Zero 1]:[Candidate Transfer Standard - Zero 2]])</f>
        <v>0</v>
      </c>
    </row>
    <row r="742" spans="1:62" x14ac:dyDescent="0.3">
      <c r="A742" s="57"/>
      <c r="BG74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42" s="29" t="e">
        <f>BG742/DEVSQ(Archive[[#This Row],[Higher Level Standard - Zero 1]:[Higher Level Standard - Zero 2]])</f>
        <v>#VALUE!</v>
      </c>
      <c r="BI742" s="29" t="e">
        <f>BG742*(1/COUNT(Archive[[#This Row],[Candidate Transfer Standard - Zero 1]:[Candidate Transfer Standard - Zero 2]])+AVERAGE(Archive[[#This Row],[Higher Level Standard - Zero 1]:[Higher Level Standard - Zero 2]])^2/DEVSQ(Archive[[#This Row],[Higher Level Standard - Zero 1]:[Higher Level Standard - Zero 2]]))</f>
        <v>#VALUE!</v>
      </c>
      <c r="BJ742" s="29">
        <f>COUNT(Archive[[#This Row],[Candidate Transfer Standard - Zero 1]:[Candidate Transfer Standard - Zero 2]])</f>
        <v>0</v>
      </c>
    </row>
    <row r="743" spans="1:62" x14ac:dyDescent="0.3">
      <c r="A743" s="57"/>
      <c r="BG74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43" s="29" t="e">
        <f>BG743/DEVSQ(Archive[[#This Row],[Higher Level Standard - Zero 1]:[Higher Level Standard - Zero 2]])</f>
        <v>#VALUE!</v>
      </c>
      <c r="BI743" s="29" t="e">
        <f>BG743*(1/COUNT(Archive[[#This Row],[Candidate Transfer Standard - Zero 1]:[Candidate Transfer Standard - Zero 2]])+AVERAGE(Archive[[#This Row],[Higher Level Standard - Zero 1]:[Higher Level Standard - Zero 2]])^2/DEVSQ(Archive[[#This Row],[Higher Level Standard - Zero 1]:[Higher Level Standard - Zero 2]]))</f>
        <v>#VALUE!</v>
      </c>
      <c r="BJ743" s="29">
        <f>COUNT(Archive[[#This Row],[Candidate Transfer Standard - Zero 1]:[Candidate Transfer Standard - Zero 2]])</f>
        <v>0</v>
      </c>
    </row>
    <row r="744" spans="1:62" x14ac:dyDescent="0.3">
      <c r="A744" s="57"/>
      <c r="BG74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44" s="29" t="e">
        <f>BG744/DEVSQ(Archive[[#This Row],[Higher Level Standard - Zero 1]:[Higher Level Standard - Zero 2]])</f>
        <v>#VALUE!</v>
      </c>
      <c r="BI744" s="29" t="e">
        <f>BG744*(1/COUNT(Archive[[#This Row],[Candidate Transfer Standard - Zero 1]:[Candidate Transfer Standard - Zero 2]])+AVERAGE(Archive[[#This Row],[Higher Level Standard - Zero 1]:[Higher Level Standard - Zero 2]])^2/DEVSQ(Archive[[#This Row],[Higher Level Standard - Zero 1]:[Higher Level Standard - Zero 2]]))</f>
        <v>#VALUE!</v>
      </c>
      <c r="BJ744" s="29">
        <f>COUNT(Archive[[#This Row],[Candidate Transfer Standard - Zero 1]:[Candidate Transfer Standard - Zero 2]])</f>
        <v>0</v>
      </c>
    </row>
    <row r="745" spans="1:62" x14ac:dyDescent="0.3">
      <c r="A745" s="57"/>
      <c r="BG74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45" s="29" t="e">
        <f>BG745/DEVSQ(Archive[[#This Row],[Higher Level Standard - Zero 1]:[Higher Level Standard - Zero 2]])</f>
        <v>#VALUE!</v>
      </c>
      <c r="BI745" s="29" t="e">
        <f>BG745*(1/COUNT(Archive[[#This Row],[Candidate Transfer Standard - Zero 1]:[Candidate Transfer Standard - Zero 2]])+AVERAGE(Archive[[#This Row],[Higher Level Standard - Zero 1]:[Higher Level Standard - Zero 2]])^2/DEVSQ(Archive[[#This Row],[Higher Level Standard - Zero 1]:[Higher Level Standard - Zero 2]]))</f>
        <v>#VALUE!</v>
      </c>
      <c r="BJ745" s="29">
        <f>COUNT(Archive[[#This Row],[Candidate Transfer Standard - Zero 1]:[Candidate Transfer Standard - Zero 2]])</f>
        <v>0</v>
      </c>
    </row>
    <row r="746" spans="1:62" x14ac:dyDescent="0.3">
      <c r="A746" s="57"/>
      <c r="BG74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46" s="29" t="e">
        <f>BG746/DEVSQ(Archive[[#This Row],[Higher Level Standard - Zero 1]:[Higher Level Standard - Zero 2]])</f>
        <v>#VALUE!</v>
      </c>
      <c r="BI746" s="29" t="e">
        <f>BG746*(1/COUNT(Archive[[#This Row],[Candidate Transfer Standard - Zero 1]:[Candidate Transfer Standard - Zero 2]])+AVERAGE(Archive[[#This Row],[Higher Level Standard - Zero 1]:[Higher Level Standard - Zero 2]])^2/DEVSQ(Archive[[#This Row],[Higher Level Standard - Zero 1]:[Higher Level Standard - Zero 2]]))</f>
        <v>#VALUE!</v>
      </c>
      <c r="BJ746" s="29">
        <f>COUNT(Archive[[#This Row],[Candidate Transfer Standard - Zero 1]:[Candidate Transfer Standard - Zero 2]])</f>
        <v>0</v>
      </c>
    </row>
    <row r="747" spans="1:62" x14ac:dyDescent="0.3">
      <c r="A747" s="57"/>
      <c r="BG74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47" s="29" t="e">
        <f>BG747/DEVSQ(Archive[[#This Row],[Higher Level Standard - Zero 1]:[Higher Level Standard - Zero 2]])</f>
        <v>#VALUE!</v>
      </c>
      <c r="BI747" s="29" t="e">
        <f>BG747*(1/COUNT(Archive[[#This Row],[Candidate Transfer Standard - Zero 1]:[Candidate Transfer Standard - Zero 2]])+AVERAGE(Archive[[#This Row],[Higher Level Standard - Zero 1]:[Higher Level Standard - Zero 2]])^2/DEVSQ(Archive[[#This Row],[Higher Level Standard - Zero 1]:[Higher Level Standard - Zero 2]]))</f>
        <v>#VALUE!</v>
      </c>
      <c r="BJ747" s="29">
        <f>COUNT(Archive[[#This Row],[Candidate Transfer Standard - Zero 1]:[Candidate Transfer Standard - Zero 2]])</f>
        <v>0</v>
      </c>
    </row>
    <row r="748" spans="1:62" x14ac:dyDescent="0.3">
      <c r="A748" s="57"/>
      <c r="BG74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48" s="29" t="e">
        <f>BG748/DEVSQ(Archive[[#This Row],[Higher Level Standard - Zero 1]:[Higher Level Standard - Zero 2]])</f>
        <v>#VALUE!</v>
      </c>
      <c r="BI748" s="29" t="e">
        <f>BG748*(1/COUNT(Archive[[#This Row],[Candidate Transfer Standard - Zero 1]:[Candidate Transfer Standard - Zero 2]])+AVERAGE(Archive[[#This Row],[Higher Level Standard - Zero 1]:[Higher Level Standard - Zero 2]])^2/DEVSQ(Archive[[#This Row],[Higher Level Standard - Zero 1]:[Higher Level Standard - Zero 2]]))</f>
        <v>#VALUE!</v>
      </c>
      <c r="BJ748" s="29">
        <f>COUNT(Archive[[#This Row],[Candidate Transfer Standard - Zero 1]:[Candidate Transfer Standard - Zero 2]])</f>
        <v>0</v>
      </c>
    </row>
    <row r="749" spans="1:62" x14ac:dyDescent="0.3">
      <c r="A749" s="57"/>
      <c r="BG74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49" s="29" t="e">
        <f>BG749/DEVSQ(Archive[[#This Row],[Higher Level Standard - Zero 1]:[Higher Level Standard - Zero 2]])</f>
        <v>#VALUE!</v>
      </c>
      <c r="BI749" s="29" t="e">
        <f>BG749*(1/COUNT(Archive[[#This Row],[Candidate Transfer Standard - Zero 1]:[Candidate Transfer Standard - Zero 2]])+AVERAGE(Archive[[#This Row],[Higher Level Standard - Zero 1]:[Higher Level Standard - Zero 2]])^2/DEVSQ(Archive[[#This Row],[Higher Level Standard - Zero 1]:[Higher Level Standard - Zero 2]]))</f>
        <v>#VALUE!</v>
      </c>
      <c r="BJ749" s="29">
        <f>COUNT(Archive[[#This Row],[Candidate Transfer Standard - Zero 1]:[Candidate Transfer Standard - Zero 2]])</f>
        <v>0</v>
      </c>
    </row>
    <row r="750" spans="1:62" x14ac:dyDescent="0.3">
      <c r="A750" s="57"/>
      <c r="BG75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50" s="29" t="e">
        <f>BG750/DEVSQ(Archive[[#This Row],[Higher Level Standard - Zero 1]:[Higher Level Standard - Zero 2]])</f>
        <v>#VALUE!</v>
      </c>
      <c r="BI750" s="29" t="e">
        <f>BG750*(1/COUNT(Archive[[#This Row],[Candidate Transfer Standard - Zero 1]:[Candidate Transfer Standard - Zero 2]])+AVERAGE(Archive[[#This Row],[Higher Level Standard - Zero 1]:[Higher Level Standard - Zero 2]])^2/DEVSQ(Archive[[#This Row],[Higher Level Standard - Zero 1]:[Higher Level Standard - Zero 2]]))</f>
        <v>#VALUE!</v>
      </c>
      <c r="BJ750" s="29">
        <f>COUNT(Archive[[#This Row],[Candidate Transfer Standard - Zero 1]:[Candidate Transfer Standard - Zero 2]])</f>
        <v>0</v>
      </c>
    </row>
    <row r="751" spans="1:62" x14ac:dyDescent="0.3">
      <c r="A751" s="57"/>
      <c r="BG75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51" s="29" t="e">
        <f>BG751/DEVSQ(Archive[[#This Row],[Higher Level Standard - Zero 1]:[Higher Level Standard - Zero 2]])</f>
        <v>#VALUE!</v>
      </c>
      <c r="BI751" s="29" t="e">
        <f>BG751*(1/COUNT(Archive[[#This Row],[Candidate Transfer Standard - Zero 1]:[Candidate Transfer Standard - Zero 2]])+AVERAGE(Archive[[#This Row],[Higher Level Standard - Zero 1]:[Higher Level Standard - Zero 2]])^2/DEVSQ(Archive[[#This Row],[Higher Level Standard - Zero 1]:[Higher Level Standard - Zero 2]]))</f>
        <v>#VALUE!</v>
      </c>
      <c r="BJ751" s="29">
        <f>COUNT(Archive[[#This Row],[Candidate Transfer Standard - Zero 1]:[Candidate Transfer Standard - Zero 2]])</f>
        <v>0</v>
      </c>
    </row>
    <row r="752" spans="1:62" x14ac:dyDescent="0.3">
      <c r="A752" s="57"/>
      <c r="BG75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52" s="29" t="e">
        <f>BG752/DEVSQ(Archive[[#This Row],[Higher Level Standard - Zero 1]:[Higher Level Standard - Zero 2]])</f>
        <v>#VALUE!</v>
      </c>
      <c r="BI752" s="29" t="e">
        <f>BG752*(1/COUNT(Archive[[#This Row],[Candidate Transfer Standard - Zero 1]:[Candidate Transfer Standard - Zero 2]])+AVERAGE(Archive[[#This Row],[Higher Level Standard - Zero 1]:[Higher Level Standard - Zero 2]])^2/DEVSQ(Archive[[#This Row],[Higher Level Standard - Zero 1]:[Higher Level Standard - Zero 2]]))</f>
        <v>#VALUE!</v>
      </c>
      <c r="BJ752" s="29">
        <f>COUNT(Archive[[#This Row],[Candidate Transfer Standard - Zero 1]:[Candidate Transfer Standard - Zero 2]])</f>
        <v>0</v>
      </c>
    </row>
    <row r="753" spans="1:62" x14ac:dyDescent="0.3">
      <c r="A753" s="57"/>
      <c r="BG75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53" s="29" t="e">
        <f>BG753/DEVSQ(Archive[[#This Row],[Higher Level Standard - Zero 1]:[Higher Level Standard - Zero 2]])</f>
        <v>#VALUE!</v>
      </c>
      <c r="BI753" s="29" t="e">
        <f>BG753*(1/COUNT(Archive[[#This Row],[Candidate Transfer Standard - Zero 1]:[Candidate Transfer Standard - Zero 2]])+AVERAGE(Archive[[#This Row],[Higher Level Standard - Zero 1]:[Higher Level Standard - Zero 2]])^2/DEVSQ(Archive[[#This Row],[Higher Level Standard - Zero 1]:[Higher Level Standard - Zero 2]]))</f>
        <v>#VALUE!</v>
      </c>
      <c r="BJ753" s="29">
        <f>COUNT(Archive[[#This Row],[Candidate Transfer Standard - Zero 1]:[Candidate Transfer Standard - Zero 2]])</f>
        <v>0</v>
      </c>
    </row>
    <row r="754" spans="1:62" x14ac:dyDescent="0.3">
      <c r="A754" s="57"/>
      <c r="BG75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54" s="29" t="e">
        <f>BG754/DEVSQ(Archive[[#This Row],[Higher Level Standard - Zero 1]:[Higher Level Standard - Zero 2]])</f>
        <v>#VALUE!</v>
      </c>
      <c r="BI754" s="29" t="e">
        <f>BG754*(1/COUNT(Archive[[#This Row],[Candidate Transfer Standard - Zero 1]:[Candidate Transfer Standard - Zero 2]])+AVERAGE(Archive[[#This Row],[Higher Level Standard - Zero 1]:[Higher Level Standard - Zero 2]])^2/DEVSQ(Archive[[#This Row],[Higher Level Standard - Zero 1]:[Higher Level Standard - Zero 2]]))</f>
        <v>#VALUE!</v>
      </c>
      <c r="BJ754" s="29">
        <f>COUNT(Archive[[#This Row],[Candidate Transfer Standard - Zero 1]:[Candidate Transfer Standard - Zero 2]])</f>
        <v>0</v>
      </c>
    </row>
    <row r="755" spans="1:62" x14ac:dyDescent="0.3">
      <c r="A755" s="57"/>
      <c r="BG75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55" s="29" t="e">
        <f>BG755/DEVSQ(Archive[[#This Row],[Higher Level Standard - Zero 1]:[Higher Level Standard - Zero 2]])</f>
        <v>#VALUE!</v>
      </c>
      <c r="BI755" s="29" t="e">
        <f>BG755*(1/COUNT(Archive[[#This Row],[Candidate Transfer Standard - Zero 1]:[Candidate Transfer Standard - Zero 2]])+AVERAGE(Archive[[#This Row],[Higher Level Standard - Zero 1]:[Higher Level Standard - Zero 2]])^2/DEVSQ(Archive[[#This Row],[Higher Level Standard - Zero 1]:[Higher Level Standard - Zero 2]]))</f>
        <v>#VALUE!</v>
      </c>
      <c r="BJ755" s="29">
        <f>COUNT(Archive[[#This Row],[Candidate Transfer Standard - Zero 1]:[Candidate Transfer Standard - Zero 2]])</f>
        <v>0</v>
      </c>
    </row>
    <row r="756" spans="1:62" x14ac:dyDescent="0.3">
      <c r="A756" s="57"/>
      <c r="BG75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56" s="29" t="e">
        <f>BG756/DEVSQ(Archive[[#This Row],[Higher Level Standard - Zero 1]:[Higher Level Standard - Zero 2]])</f>
        <v>#VALUE!</v>
      </c>
      <c r="BI756" s="29" t="e">
        <f>BG756*(1/COUNT(Archive[[#This Row],[Candidate Transfer Standard - Zero 1]:[Candidate Transfer Standard - Zero 2]])+AVERAGE(Archive[[#This Row],[Higher Level Standard - Zero 1]:[Higher Level Standard - Zero 2]])^2/DEVSQ(Archive[[#This Row],[Higher Level Standard - Zero 1]:[Higher Level Standard - Zero 2]]))</f>
        <v>#VALUE!</v>
      </c>
      <c r="BJ756" s="29">
        <f>COUNT(Archive[[#This Row],[Candidate Transfer Standard - Zero 1]:[Candidate Transfer Standard - Zero 2]])</f>
        <v>0</v>
      </c>
    </row>
    <row r="757" spans="1:62" x14ac:dyDescent="0.3">
      <c r="A757" s="57"/>
      <c r="BG75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57" s="29" t="e">
        <f>BG757/DEVSQ(Archive[[#This Row],[Higher Level Standard - Zero 1]:[Higher Level Standard - Zero 2]])</f>
        <v>#VALUE!</v>
      </c>
      <c r="BI757" s="29" t="e">
        <f>BG757*(1/COUNT(Archive[[#This Row],[Candidate Transfer Standard - Zero 1]:[Candidate Transfer Standard - Zero 2]])+AVERAGE(Archive[[#This Row],[Higher Level Standard - Zero 1]:[Higher Level Standard - Zero 2]])^2/DEVSQ(Archive[[#This Row],[Higher Level Standard - Zero 1]:[Higher Level Standard - Zero 2]]))</f>
        <v>#VALUE!</v>
      </c>
      <c r="BJ757" s="29">
        <f>COUNT(Archive[[#This Row],[Candidate Transfer Standard - Zero 1]:[Candidate Transfer Standard - Zero 2]])</f>
        <v>0</v>
      </c>
    </row>
    <row r="758" spans="1:62" x14ac:dyDescent="0.3">
      <c r="A758" s="57"/>
      <c r="BG75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58" s="29" t="e">
        <f>BG758/DEVSQ(Archive[[#This Row],[Higher Level Standard - Zero 1]:[Higher Level Standard - Zero 2]])</f>
        <v>#VALUE!</v>
      </c>
      <c r="BI758" s="29" t="e">
        <f>BG758*(1/COUNT(Archive[[#This Row],[Candidate Transfer Standard - Zero 1]:[Candidate Transfer Standard - Zero 2]])+AVERAGE(Archive[[#This Row],[Higher Level Standard - Zero 1]:[Higher Level Standard - Zero 2]])^2/DEVSQ(Archive[[#This Row],[Higher Level Standard - Zero 1]:[Higher Level Standard - Zero 2]]))</f>
        <v>#VALUE!</v>
      </c>
      <c r="BJ758" s="29">
        <f>COUNT(Archive[[#This Row],[Candidate Transfer Standard - Zero 1]:[Candidate Transfer Standard - Zero 2]])</f>
        <v>0</v>
      </c>
    </row>
    <row r="759" spans="1:62" x14ac:dyDescent="0.3">
      <c r="A759" s="57"/>
      <c r="BG75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59" s="29" t="e">
        <f>BG759/DEVSQ(Archive[[#This Row],[Higher Level Standard - Zero 1]:[Higher Level Standard - Zero 2]])</f>
        <v>#VALUE!</v>
      </c>
      <c r="BI759" s="29" t="e">
        <f>BG759*(1/COUNT(Archive[[#This Row],[Candidate Transfer Standard - Zero 1]:[Candidate Transfer Standard - Zero 2]])+AVERAGE(Archive[[#This Row],[Higher Level Standard - Zero 1]:[Higher Level Standard - Zero 2]])^2/DEVSQ(Archive[[#This Row],[Higher Level Standard - Zero 1]:[Higher Level Standard - Zero 2]]))</f>
        <v>#VALUE!</v>
      </c>
      <c r="BJ759" s="29">
        <f>COUNT(Archive[[#This Row],[Candidate Transfer Standard - Zero 1]:[Candidate Transfer Standard - Zero 2]])</f>
        <v>0</v>
      </c>
    </row>
    <row r="760" spans="1:62" x14ac:dyDescent="0.3">
      <c r="A760" s="57"/>
      <c r="BG76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60" s="29" t="e">
        <f>BG760/DEVSQ(Archive[[#This Row],[Higher Level Standard - Zero 1]:[Higher Level Standard - Zero 2]])</f>
        <v>#VALUE!</v>
      </c>
      <c r="BI760" s="29" t="e">
        <f>BG760*(1/COUNT(Archive[[#This Row],[Candidate Transfer Standard - Zero 1]:[Candidate Transfer Standard - Zero 2]])+AVERAGE(Archive[[#This Row],[Higher Level Standard - Zero 1]:[Higher Level Standard - Zero 2]])^2/DEVSQ(Archive[[#This Row],[Higher Level Standard - Zero 1]:[Higher Level Standard - Zero 2]]))</f>
        <v>#VALUE!</v>
      </c>
      <c r="BJ760" s="29">
        <f>COUNT(Archive[[#This Row],[Candidate Transfer Standard - Zero 1]:[Candidate Transfer Standard - Zero 2]])</f>
        <v>0</v>
      </c>
    </row>
    <row r="761" spans="1:62" x14ac:dyDescent="0.3">
      <c r="A761" s="57"/>
      <c r="BG76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61" s="29" t="e">
        <f>BG761/DEVSQ(Archive[[#This Row],[Higher Level Standard - Zero 1]:[Higher Level Standard - Zero 2]])</f>
        <v>#VALUE!</v>
      </c>
      <c r="BI761" s="29" t="e">
        <f>BG761*(1/COUNT(Archive[[#This Row],[Candidate Transfer Standard - Zero 1]:[Candidate Transfer Standard - Zero 2]])+AVERAGE(Archive[[#This Row],[Higher Level Standard - Zero 1]:[Higher Level Standard - Zero 2]])^2/DEVSQ(Archive[[#This Row],[Higher Level Standard - Zero 1]:[Higher Level Standard - Zero 2]]))</f>
        <v>#VALUE!</v>
      </c>
      <c r="BJ761" s="29">
        <f>COUNT(Archive[[#This Row],[Candidate Transfer Standard - Zero 1]:[Candidate Transfer Standard - Zero 2]])</f>
        <v>0</v>
      </c>
    </row>
    <row r="762" spans="1:62" x14ac:dyDescent="0.3">
      <c r="A762" s="57"/>
      <c r="BG76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62" s="29" t="e">
        <f>BG762/DEVSQ(Archive[[#This Row],[Higher Level Standard - Zero 1]:[Higher Level Standard - Zero 2]])</f>
        <v>#VALUE!</v>
      </c>
      <c r="BI762" s="29" t="e">
        <f>BG762*(1/COUNT(Archive[[#This Row],[Candidate Transfer Standard - Zero 1]:[Candidate Transfer Standard - Zero 2]])+AVERAGE(Archive[[#This Row],[Higher Level Standard - Zero 1]:[Higher Level Standard - Zero 2]])^2/DEVSQ(Archive[[#This Row],[Higher Level Standard - Zero 1]:[Higher Level Standard - Zero 2]]))</f>
        <v>#VALUE!</v>
      </c>
      <c r="BJ762" s="29">
        <f>COUNT(Archive[[#This Row],[Candidate Transfer Standard - Zero 1]:[Candidate Transfer Standard - Zero 2]])</f>
        <v>0</v>
      </c>
    </row>
    <row r="763" spans="1:62" x14ac:dyDescent="0.3">
      <c r="A763" s="57"/>
      <c r="BG76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63" s="29" t="e">
        <f>BG763/DEVSQ(Archive[[#This Row],[Higher Level Standard - Zero 1]:[Higher Level Standard - Zero 2]])</f>
        <v>#VALUE!</v>
      </c>
      <c r="BI763" s="29" t="e">
        <f>BG763*(1/COUNT(Archive[[#This Row],[Candidate Transfer Standard - Zero 1]:[Candidate Transfer Standard - Zero 2]])+AVERAGE(Archive[[#This Row],[Higher Level Standard - Zero 1]:[Higher Level Standard - Zero 2]])^2/DEVSQ(Archive[[#This Row],[Higher Level Standard - Zero 1]:[Higher Level Standard - Zero 2]]))</f>
        <v>#VALUE!</v>
      </c>
      <c r="BJ763" s="29">
        <f>COUNT(Archive[[#This Row],[Candidate Transfer Standard - Zero 1]:[Candidate Transfer Standard - Zero 2]])</f>
        <v>0</v>
      </c>
    </row>
    <row r="764" spans="1:62" x14ac:dyDescent="0.3">
      <c r="A764" s="57"/>
      <c r="BG76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64" s="29" t="e">
        <f>BG764/DEVSQ(Archive[[#This Row],[Higher Level Standard - Zero 1]:[Higher Level Standard - Zero 2]])</f>
        <v>#VALUE!</v>
      </c>
      <c r="BI764" s="29" t="e">
        <f>BG764*(1/COUNT(Archive[[#This Row],[Candidate Transfer Standard - Zero 1]:[Candidate Transfer Standard - Zero 2]])+AVERAGE(Archive[[#This Row],[Higher Level Standard - Zero 1]:[Higher Level Standard - Zero 2]])^2/DEVSQ(Archive[[#This Row],[Higher Level Standard - Zero 1]:[Higher Level Standard - Zero 2]]))</f>
        <v>#VALUE!</v>
      </c>
      <c r="BJ764" s="29">
        <f>COUNT(Archive[[#This Row],[Candidate Transfer Standard - Zero 1]:[Candidate Transfer Standard - Zero 2]])</f>
        <v>0</v>
      </c>
    </row>
    <row r="765" spans="1:62" x14ac:dyDescent="0.3">
      <c r="A765" s="57"/>
      <c r="BG76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65" s="29" t="e">
        <f>BG765/DEVSQ(Archive[[#This Row],[Higher Level Standard - Zero 1]:[Higher Level Standard - Zero 2]])</f>
        <v>#VALUE!</v>
      </c>
      <c r="BI765" s="29" t="e">
        <f>BG765*(1/COUNT(Archive[[#This Row],[Candidate Transfer Standard - Zero 1]:[Candidate Transfer Standard - Zero 2]])+AVERAGE(Archive[[#This Row],[Higher Level Standard - Zero 1]:[Higher Level Standard - Zero 2]])^2/DEVSQ(Archive[[#This Row],[Higher Level Standard - Zero 1]:[Higher Level Standard - Zero 2]]))</f>
        <v>#VALUE!</v>
      </c>
      <c r="BJ765" s="29">
        <f>COUNT(Archive[[#This Row],[Candidate Transfer Standard - Zero 1]:[Candidate Transfer Standard - Zero 2]])</f>
        <v>0</v>
      </c>
    </row>
    <row r="766" spans="1:62" x14ac:dyDescent="0.3">
      <c r="A766" s="57"/>
      <c r="BG76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66" s="29" t="e">
        <f>BG766/DEVSQ(Archive[[#This Row],[Higher Level Standard - Zero 1]:[Higher Level Standard - Zero 2]])</f>
        <v>#VALUE!</v>
      </c>
      <c r="BI766" s="29" t="e">
        <f>BG766*(1/COUNT(Archive[[#This Row],[Candidate Transfer Standard - Zero 1]:[Candidate Transfer Standard - Zero 2]])+AVERAGE(Archive[[#This Row],[Higher Level Standard - Zero 1]:[Higher Level Standard - Zero 2]])^2/DEVSQ(Archive[[#This Row],[Higher Level Standard - Zero 1]:[Higher Level Standard - Zero 2]]))</f>
        <v>#VALUE!</v>
      </c>
      <c r="BJ766" s="29">
        <f>COUNT(Archive[[#This Row],[Candidate Transfer Standard - Zero 1]:[Candidate Transfer Standard - Zero 2]])</f>
        <v>0</v>
      </c>
    </row>
    <row r="767" spans="1:62" x14ac:dyDescent="0.3">
      <c r="A767" s="57"/>
      <c r="BG76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67" s="29" t="e">
        <f>BG767/DEVSQ(Archive[[#This Row],[Higher Level Standard - Zero 1]:[Higher Level Standard - Zero 2]])</f>
        <v>#VALUE!</v>
      </c>
      <c r="BI767" s="29" t="e">
        <f>BG767*(1/COUNT(Archive[[#This Row],[Candidate Transfer Standard - Zero 1]:[Candidate Transfer Standard - Zero 2]])+AVERAGE(Archive[[#This Row],[Higher Level Standard - Zero 1]:[Higher Level Standard - Zero 2]])^2/DEVSQ(Archive[[#This Row],[Higher Level Standard - Zero 1]:[Higher Level Standard - Zero 2]]))</f>
        <v>#VALUE!</v>
      </c>
      <c r="BJ767" s="29">
        <f>COUNT(Archive[[#This Row],[Candidate Transfer Standard - Zero 1]:[Candidate Transfer Standard - Zero 2]])</f>
        <v>0</v>
      </c>
    </row>
    <row r="768" spans="1:62" x14ac:dyDescent="0.3">
      <c r="A768" s="57"/>
      <c r="BG76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68" s="29" t="e">
        <f>BG768/DEVSQ(Archive[[#This Row],[Higher Level Standard - Zero 1]:[Higher Level Standard - Zero 2]])</f>
        <v>#VALUE!</v>
      </c>
      <c r="BI768" s="29" t="e">
        <f>BG768*(1/COUNT(Archive[[#This Row],[Candidate Transfer Standard - Zero 1]:[Candidate Transfer Standard - Zero 2]])+AVERAGE(Archive[[#This Row],[Higher Level Standard - Zero 1]:[Higher Level Standard - Zero 2]])^2/DEVSQ(Archive[[#This Row],[Higher Level Standard - Zero 1]:[Higher Level Standard - Zero 2]]))</f>
        <v>#VALUE!</v>
      </c>
      <c r="BJ768" s="29">
        <f>COUNT(Archive[[#This Row],[Candidate Transfer Standard - Zero 1]:[Candidate Transfer Standard - Zero 2]])</f>
        <v>0</v>
      </c>
    </row>
    <row r="769" spans="1:62" x14ac:dyDescent="0.3">
      <c r="A769" s="57"/>
      <c r="BG76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69" s="29" t="e">
        <f>BG769/DEVSQ(Archive[[#This Row],[Higher Level Standard - Zero 1]:[Higher Level Standard - Zero 2]])</f>
        <v>#VALUE!</v>
      </c>
      <c r="BI769" s="29" t="e">
        <f>BG769*(1/COUNT(Archive[[#This Row],[Candidate Transfer Standard - Zero 1]:[Candidate Transfer Standard - Zero 2]])+AVERAGE(Archive[[#This Row],[Higher Level Standard - Zero 1]:[Higher Level Standard - Zero 2]])^2/DEVSQ(Archive[[#This Row],[Higher Level Standard - Zero 1]:[Higher Level Standard - Zero 2]]))</f>
        <v>#VALUE!</v>
      </c>
      <c r="BJ769" s="29">
        <f>COUNT(Archive[[#This Row],[Candidate Transfer Standard - Zero 1]:[Candidate Transfer Standard - Zero 2]])</f>
        <v>0</v>
      </c>
    </row>
    <row r="770" spans="1:62" x14ac:dyDescent="0.3">
      <c r="A770" s="57"/>
      <c r="BG77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70" s="29" t="e">
        <f>BG770/DEVSQ(Archive[[#This Row],[Higher Level Standard - Zero 1]:[Higher Level Standard - Zero 2]])</f>
        <v>#VALUE!</v>
      </c>
      <c r="BI770" s="29" t="e">
        <f>BG770*(1/COUNT(Archive[[#This Row],[Candidate Transfer Standard - Zero 1]:[Candidate Transfer Standard - Zero 2]])+AVERAGE(Archive[[#This Row],[Higher Level Standard - Zero 1]:[Higher Level Standard - Zero 2]])^2/DEVSQ(Archive[[#This Row],[Higher Level Standard - Zero 1]:[Higher Level Standard - Zero 2]]))</f>
        <v>#VALUE!</v>
      </c>
      <c r="BJ770" s="29">
        <f>COUNT(Archive[[#This Row],[Candidate Transfer Standard - Zero 1]:[Candidate Transfer Standard - Zero 2]])</f>
        <v>0</v>
      </c>
    </row>
    <row r="771" spans="1:62" x14ac:dyDescent="0.3">
      <c r="A771" s="57"/>
      <c r="BG77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71" s="29" t="e">
        <f>BG771/DEVSQ(Archive[[#This Row],[Higher Level Standard - Zero 1]:[Higher Level Standard - Zero 2]])</f>
        <v>#VALUE!</v>
      </c>
      <c r="BI771" s="29" t="e">
        <f>BG771*(1/COUNT(Archive[[#This Row],[Candidate Transfer Standard - Zero 1]:[Candidate Transfer Standard - Zero 2]])+AVERAGE(Archive[[#This Row],[Higher Level Standard - Zero 1]:[Higher Level Standard - Zero 2]])^2/DEVSQ(Archive[[#This Row],[Higher Level Standard - Zero 1]:[Higher Level Standard - Zero 2]]))</f>
        <v>#VALUE!</v>
      </c>
      <c r="BJ771" s="29">
        <f>COUNT(Archive[[#This Row],[Candidate Transfer Standard - Zero 1]:[Candidate Transfer Standard - Zero 2]])</f>
        <v>0</v>
      </c>
    </row>
    <row r="772" spans="1:62" x14ac:dyDescent="0.3">
      <c r="A772" s="57"/>
      <c r="BG77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72" s="29" t="e">
        <f>BG772/DEVSQ(Archive[[#This Row],[Higher Level Standard - Zero 1]:[Higher Level Standard - Zero 2]])</f>
        <v>#VALUE!</v>
      </c>
      <c r="BI772" s="29" t="e">
        <f>BG772*(1/COUNT(Archive[[#This Row],[Candidate Transfer Standard - Zero 1]:[Candidate Transfer Standard - Zero 2]])+AVERAGE(Archive[[#This Row],[Higher Level Standard - Zero 1]:[Higher Level Standard - Zero 2]])^2/DEVSQ(Archive[[#This Row],[Higher Level Standard - Zero 1]:[Higher Level Standard - Zero 2]]))</f>
        <v>#VALUE!</v>
      </c>
      <c r="BJ772" s="29">
        <f>COUNT(Archive[[#This Row],[Candidate Transfer Standard - Zero 1]:[Candidate Transfer Standard - Zero 2]])</f>
        <v>0</v>
      </c>
    </row>
    <row r="773" spans="1:62" x14ac:dyDescent="0.3">
      <c r="A773" s="57"/>
      <c r="BG77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73" s="29" t="e">
        <f>BG773/DEVSQ(Archive[[#This Row],[Higher Level Standard - Zero 1]:[Higher Level Standard - Zero 2]])</f>
        <v>#VALUE!</v>
      </c>
      <c r="BI773" s="29" t="e">
        <f>BG773*(1/COUNT(Archive[[#This Row],[Candidate Transfer Standard - Zero 1]:[Candidate Transfer Standard - Zero 2]])+AVERAGE(Archive[[#This Row],[Higher Level Standard - Zero 1]:[Higher Level Standard - Zero 2]])^2/DEVSQ(Archive[[#This Row],[Higher Level Standard - Zero 1]:[Higher Level Standard - Zero 2]]))</f>
        <v>#VALUE!</v>
      </c>
      <c r="BJ773" s="29">
        <f>COUNT(Archive[[#This Row],[Candidate Transfer Standard - Zero 1]:[Candidate Transfer Standard - Zero 2]])</f>
        <v>0</v>
      </c>
    </row>
    <row r="774" spans="1:62" x14ac:dyDescent="0.3">
      <c r="A774" s="57"/>
      <c r="BG77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74" s="29" t="e">
        <f>BG774/DEVSQ(Archive[[#This Row],[Higher Level Standard - Zero 1]:[Higher Level Standard - Zero 2]])</f>
        <v>#VALUE!</v>
      </c>
      <c r="BI774" s="29" t="e">
        <f>BG774*(1/COUNT(Archive[[#This Row],[Candidate Transfer Standard - Zero 1]:[Candidate Transfer Standard - Zero 2]])+AVERAGE(Archive[[#This Row],[Higher Level Standard - Zero 1]:[Higher Level Standard - Zero 2]])^2/DEVSQ(Archive[[#This Row],[Higher Level Standard - Zero 1]:[Higher Level Standard - Zero 2]]))</f>
        <v>#VALUE!</v>
      </c>
      <c r="BJ774" s="29">
        <f>COUNT(Archive[[#This Row],[Candidate Transfer Standard - Zero 1]:[Candidate Transfer Standard - Zero 2]])</f>
        <v>0</v>
      </c>
    </row>
    <row r="775" spans="1:62" x14ac:dyDescent="0.3">
      <c r="A775" s="57"/>
      <c r="BG77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75" s="29" t="e">
        <f>BG775/DEVSQ(Archive[[#This Row],[Higher Level Standard - Zero 1]:[Higher Level Standard - Zero 2]])</f>
        <v>#VALUE!</v>
      </c>
      <c r="BI775" s="29" t="e">
        <f>BG775*(1/COUNT(Archive[[#This Row],[Candidate Transfer Standard - Zero 1]:[Candidate Transfer Standard - Zero 2]])+AVERAGE(Archive[[#This Row],[Higher Level Standard - Zero 1]:[Higher Level Standard - Zero 2]])^2/DEVSQ(Archive[[#This Row],[Higher Level Standard - Zero 1]:[Higher Level Standard - Zero 2]]))</f>
        <v>#VALUE!</v>
      </c>
      <c r="BJ775" s="29">
        <f>COUNT(Archive[[#This Row],[Candidate Transfer Standard - Zero 1]:[Candidate Transfer Standard - Zero 2]])</f>
        <v>0</v>
      </c>
    </row>
    <row r="776" spans="1:62" x14ac:dyDescent="0.3">
      <c r="A776" s="57"/>
      <c r="BG77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76" s="29" t="e">
        <f>BG776/DEVSQ(Archive[[#This Row],[Higher Level Standard - Zero 1]:[Higher Level Standard - Zero 2]])</f>
        <v>#VALUE!</v>
      </c>
      <c r="BI776" s="29" t="e">
        <f>BG776*(1/COUNT(Archive[[#This Row],[Candidate Transfer Standard - Zero 1]:[Candidate Transfer Standard - Zero 2]])+AVERAGE(Archive[[#This Row],[Higher Level Standard - Zero 1]:[Higher Level Standard - Zero 2]])^2/DEVSQ(Archive[[#This Row],[Higher Level Standard - Zero 1]:[Higher Level Standard - Zero 2]]))</f>
        <v>#VALUE!</v>
      </c>
      <c r="BJ776" s="29">
        <f>COUNT(Archive[[#This Row],[Candidate Transfer Standard - Zero 1]:[Candidate Transfer Standard - Zero 2]])</f>
        <v>0</v>
      </c>
    </row>
    <row r="777" spans="1:62" x14ac:dyDescent="0.3">
      <c r="A777" s="57"/>
      <c r="BG77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77" s="29" t="e">
        <f>BG777/DEVSQ(Archive[[#This Row],[Higher Level Standard - Zero 1]:[Higher Level Standard - Zero 2]])</f>
        <v>#VALUE!</v>
      </c>
      <c r="BI777" s="29" t="e">
        <f>BG777*(1/COUNT(Archive[[#This Row],[Candidate Transfer Standard - Zero 1]:[Candidate Transfer Standard - Zero 2]])+AVERAGE(Archive[[#This Row],[Higher Level Standard - Zero 1]:[Higher Level Standard - Zero 2]])^2/DEVSQ(Archive[[#This Row],[Higher Level Standard - Zero 1]:[Higher Level Standard - Zero 2]]))</f>
        <v>#VALUE!</v>
      </c>
      <c r="BJ777" s="29">
        <f>COUNT(Archive[[#This Row],[Candidate Transfer Standard - Zero 1]:[Candidate Transfer Standard - Zero 2]])</f>
        <v>0</v>
      </c>
    </row>
    <row r="778" spans="1:62" x14ac:dyDescent="0.3">
      <c r="A778" s="57"/>
      <c r="BG77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78" s="29" t="e">
        <f>BG778/DEVSQ(Archive[[#This Row],[Higher Level Standard - Zero 1]:[Higher Level Standard - Zero 2]])</f>
        <v>#VALUE!</v>
      </c>
      <c r="BI778" s="29" t="e">
        <f>BG778*(1/COUNT(Archive[[#This Row],[Candidate Transfer Standard - Zero 1]:[Candidate Transfer Standard - Zero 2]])+AVERAGE(Archive[[#This Row],[Higher Level Standard - Zero 1]:[Higher Level Standard - Zero 2]])^2/DEVSQ(Archive[[#This Row],[Higher Level Standard - Zero 1]:[Higher Level Standard - Zero 2]]))</f>
        <v>#VALUE!</v>
      </c>
      <c r="BJ778" s="29">
        <f>COUNT(Archive[[#This Row],[Candidate Transfer Standard - Zero 1]:[Candidate Transfer Standard - Zero 2]])</f>
        <v>0</v>
      </c>
    </row>
    <row r="779" spans="1:62" x14ac:dyDescent="0.3">
      <c r="A779" s="57"/>
      <c r="BG77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79" s="29" t="e">
        <f>BG779/DEVSQ(Archive[[#This Row],[Higher Level Standard - Zero 1]:[Higher Level Standard - Zero 2]])</f>
        <v>#VALUE!</v>
      </c>
      <c r="BI779" s="29" t="e">
        <f>BG779*(1/COUNT(Archive[[#This Row],[Candidate Transfer Standard - Zero 1]:[Candidate Transfer Standard - Zero 2]])+AVERAGE(Archive[[#This Row],[Higher Level Standard - Zero 1]:[Higher Level Standard - Zero 2]])^2/DEVSQ(Archive[[#This Row],[Higher Level Standard - Zero 1]:[Higher Level Standard - Zero 2]]))</f>
        <v>#VALUE!</v>
      </c>
      <c r="BJ779" s="29">
        <f>COUNT(Archive[[#This Row],[Candidate Transfer Standard - Zero 1]:[Candidate Transfer Standard - Zero 2]])</f>
        <v>0</v>
      </c>
    </row>
    <row r="780" spans="1:62" x14ac:dyDescent="0.3">
      <c r="A780" s="57"/>
      <c r="BG78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80" s="29" t="e">
        <f>BG780/DEVSQ(Archive[[#This Row],[Higher Level Standard - Zero 1]:[Higher Level Standard - Zero 2]])</f>
        <v>#VALUE!</v>
      </c>
      <c r="BI780" s="29" t="e">
        <f>BG780*(1/COUNT(Archive[[#This Row],[Candidate Transfer Standard - Zero 1]:[Candidate Transfer Standard - Zero 2]])+AVERAGE(Archive[[#This Row],[Higher Level Standard - Zero 1]:[Higher Level Standard - Zero 2]])^2/DEVSQ(Archive[[#This Row],[Higher Level Standard - Zero 1]:[Higher Level Standard - Zero 2]]))</f>
        <v>#VALUE!</v>
      </c>
      <c r="BJ780" s="29">
        <f>COUNT(Archive[[#This Row],[Candidate Transfer Standard - Zero 1]:[Candidate Transfer Standard - Zero 2]])</f>
        <v>0</v>
      </c>
    </row>
    <row r="781" spans="1:62" x14ac:dyDescent="0.3">
      <c r="A781" s="57"/>
      <c r="BG78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81" s="29" t="e">
        <f>BG781/DEVSQ(Archive[[#This Row],[Higher Level Standard - Zero 1]:[Higher Level Standard - Zero 2]])</f>
        <v>#VALUE!</v>
      </c>
      <c r="BI781" s="29" t="e">
        <f>BG781*(1/COUNT(Archive[[#This Row],[Candidate Transfer Standard - Zero 1]:[Candidate Transfer Standard - Zero 2]])+AVERAGE(Archive[[#This Row],[Higher Level Standard - Zero 1]:[Higher Level Standard - Zero 2]])^2/DEVSQ(Archive[[#This Row],[Higher Level Standard - Zero 1]:[Higher Level Standard - Zero 2]]))</f>
        <v>#VALUE!</v>
      </c>
      <c r="BJ781" s="29">
        <f>COUNT(Archive[[#This Row],[Candidate Transfer Standard - Zero 1]:[Candidate Transfer Standard - Zero 2]])</f>
        <v>0</v>
      </c>
    </row>
    <row r="782" spans="1:62" x14ac:dyDescent="0.3">
      <c r="A782" s="57"/>
      <c r="BG78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82" s="29" t="e">
        <f>BG782/DEVSQ(Archive[[#This Row],[Higher Level Standard - Zero 1]:[Higher Level Standard - Zero 2]])</f>
        <v>#VALUE!</v>
      </c>
      <c r="BI782" s="29" t="e">
        <f>BG782*(1/COUNT(Archive[[#This Row],[Candidate Transfer Standard - Zero 1]:[Candidate Transfer Standard - Zero 2]])+AVERAGE(Archive[[#This Row],[Higher Level Standard - Zero 1]:[Higher Level Standard - Zero 2]])^2/DEVSQ(Archive[[#This Row],[Higher Level Standard - Zero 1]:[Higher Level Standard - Zero 2]]))</f>
        <v>#VALUE!</v>
      </c>
      <c r="BJ782" s="29">
        <f>COUNT(Archive[[#This Row],[Candidate Transfer Standard - Zero 1]:[Candidate Transfer Standard - Zero 2]])</f>
        <v>0</v>
      </c>
    </row>
    <row r="783" spans="1:62" x14ac:dyDescent="0.3">
      <c r="A783" s="57"/>
      <c r="BG78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83" s="29" t="e">
        <f>BG783/DEVSQ(Archive[[#This Row],[Higher Level Standard - Zero 1]:[Higher Level Standard - Zero 2]])</f>
        <v>#VALUE!</v>
      </c>
      <c r="BI783" s="29" t="e">
        <f>BG783*(1/COUNT(Archive[[#This Row],[Candidate Transfer Standard - Zero 1]:[Candidate Transfer Standard - Zero 2]])+AVERAGE(Archive[[#This Row],[Higher Level Standard - Zero 1]:[Higher Level Standard - Zero 2]])^2/DEVSQ(Archive[[#This Row],[Higher Level Standard - Zero 1]:[Higher Level Standard - Zero 2]]))</f>
        <v>#VALUE!</v>
      </c>
      <c r="BJ783" s="29">
        <f>COUNT(Archive[[#This Row],[Candidate Transfer Standard - Zero 1]:[Candidate Transfer Standard - Zero 2]])</f>
        <v>0</v>
      </c>
    </row>
    <row r="784" spans="1:62" x14ac:dyDescent="0.3">
      <c r="A784" s="57"/>
      <c r="BG78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84" s="29" t="e">
        <f>BG784/DEVSQ(Archive[[#This Row],[Higher Level Standard - Zero 1]:[Higher Level Standard - Zero 2]])</f>
        <v>#VALUE!</v>
      </c>
      <c r="BI784" s="29" t="e">
        <f>BG784*(1/COUNT(Archive[[#This Row],[Candidate Transfer Standard - Zero 1]:[Candidate Transfer Standard - Zero 2]])+AVERAGE(Archive[[#This Row],[Higher Level Standard - Zero 1]:[Higher Level Standard - Zero 2]])^2/DEVSQ(Archive[[#This Row],[Higher Level Standard - Zero 1]:[Higher Level Standard - Zero 2]]))</f>
        <v>#VALUE!</v>
      </c>
      <c r="BJ784" s="29">
        <f>COUNT(Archive[[#This Row],[Candidate Transfer Standard - Zero 1]:[Candidate Transfer Standard - Zero 2]])</f>
        <v>0</v>
      </c>
    </row>
    <row r="785" spans="1:62" x14ac:dyDescent="0.3">
      <c r="A785" s="57"/>
      <c r="BG78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85" s="29" t="e">
        <f>BG785/DEVSQ(Archive[[#This Row],[Higher Level Standard - Zero 1]:[Higher Level Standard - Zero 2]])</f>
        <v>#VALUE!</v>
      </c>
      <c r="BI785" s="29" t="e">
        <f>BG785*(1/COUNT(Archive[[#This Row],[Candidate Transfer Standard - Zero 1]:[Candidate Transfer Standard - Zero 2]])+AVERAGE(Archive[[#This Row],[Higher Level Standard - Zero 1]:[Higher Level Standard - Zero 2]])^2/DEVSQ(Archive[[#This Row],[Higher Level Standard - Zero 1]:[Higher Level Standard - Zero 2]]))</f>
        <v>#VALUE!</v>
      </c>
      <c r="BJ785" s="29">
        <f>COUNT(Archive[[#This Row],[Candidate Transfer Standard - Zero 1]:[Candidate Transfer Standard - Zero 2]])</f>
        <v>0</v>
      </c>
    </row>
    <row r="786" spans="1:62" x14ac:dyDescent="0.3">
      <c r="A786" s="57"/>
      <c r="BG78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86" s="29" t="e">
        <f>BG786/DEVSQ(Archive[[#This Row],[Higher Level Standard - Zero 1]:[Higher Level Standard - Zero 2]])</f>
        <v>#VALUE!</v>
      </c>
      <c r="BI786" s="29" t="e">
        <f>BG786*(1/COUNT(Archive[[#This Row],[Candidate Transfer Standard - Zero 1]:[Candidate Transfer Standard - Zero 2]])+AVERAGE(Archive[[#This Row],[Higher Level Standard - Zero 1]:[Higher Level Standard - Zero 2]])^2/DEVSQ(Archive[[#This Row],[Higher Level Standard - Zero 1]:[Higher Level Standard - Zero 2]]))</f>
        <v>#VALUE!</v>
      </c>
      <c r="BJ786" s="29">
        <f>COUNT(Archive[[#This Row],[Candidate Transfer Standard - Zero 1]:[Candidate Transfer Standard - Zero 2]])</f>
        <v>0</v>
      </c>
    </row>
    <row r="787" spans="1:62" x14ac:dyDescent="0.3">
      <c r="A787" s="57"/>
      <c r="BG78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87" s="29" t="e">
        <f>BG787/DEVSQ(Archive[[#This Row],[Higher Level Standard - Zero 1]:[Higher Level Standard - Zero 2]])</f>
        <v>#VALUE!</v>
      </c>
      <c r="BI787" s="29" t="e">
        <f>BG787*(1/COUNT(Archive[[#This Row],[Candidate Transfer Standard - Zero 1]:[Candidate Transfer Standard - Zero 2]])+AVERAGE(Archive[[#This Row],[Higher Level Standard - Zero 1]:[Higher Level Standard - Zero 2]])^2/DEVSQ(Archive[[#This Row],[Higher Level Standard - Zero 1]:[Higher Level Standard - Zero 2]]))</f>
        <v>#VALUE!</v>
      </c>
      <c r="BJ787" s="29">
        <f>COUNT(Archive[[#This Row],[Candidate Transfer Standard - Zero 1]:[Candidate Transfer Standard - Zero 2]])</f>
        <v>0</v>
      </c>
    </row>
    <row r="788" spans="1:62" x14ac:dyDescent="0.3">
      <c r="A788" s="57"/>
      <c r="BG78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88" s="29" t="e">
        <f>BG788/DEVSQ(Archive[[#This Row],[Higher Level Standard - Zero 1]:[Higher Level Standard - Zero 2]])</f>
        <v>#VALUE!</v>
      </c>
      <c r="BI788" s="29" t="e">
        <f>BG788*(1/COUNT(Archive[[#This Row],[Candidate Transfer Standard - Zero 1]:[Candidate Transfer Standard - Zero 2]])+AVERAGE(Archive[[#This Row],[Higher Level Standard - Zero 1]:[Higher Level Standard - Zero 2]])^2/DEVSQ(Archive[[#This Row],[Higher Level Standard - Zero 1]:[Higher Level Standard - Zero 2]]))</f>
        <v>#VALUE!</v>
      </c>
      <c r="BJ788" s="29">
        <f>COUNT(Archive[[#This Row],[Candidate Transfer Standard - Zero 1]:[Candidate Transfer Standard - Zero 2]])</f>
        <v>0</v>
      </c>
    </row>
    <row r="789" spans="1:62" x14ac:dyDescent="0.3">
      <c r="A789" s="57"/>
      <c r="BG78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89" s="29" t="e">
        <f>BG789/DEVSQ(Archive[[#This Row],[Higher Level Standard - Zero 1]:[Higher Level Standard - Zero 2]])</f>
        <v>#VALUE!</v>
      </c>
      <c r="BI789" s="29" t="e">
        <f>BG789*(1/COUNT(Archive[[#This Row],[Candidate Transfer Standard - Zero 1]:[Candidate Transfer Standard - Zero 2]])+AVERAGE(Archive[[#This Row],[Higher Level Standard - Zero 1]:[Higher Level Standard - Zero 2]])^2/DEVSQ(Archive[[#This Row],[Higher Level Standard - Zero 1]:[Higher Level Standard - Zero 2]]))</f>
        <v>#VALUE!</v>
      </c>
      <c r="BJ789" s="29">
        <f>COUNT(Archive[[#This Row],[Candidate Transfer Standard - Zero 1]:[Candidate Transfer Standard - Zero 2]])</f>
        <v>0</v>
      </c>
    </row>
    <row r="790" spans="1:62" x14ac:dyDescent="0.3">
      <c r="A790" s="57"/>
      <c r="BG79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90" s="29" t="e">
        <f>BG790/DEVSQ(Archive[[#This Row],[Higher Level Standard - Zero 1]:[Higher Level Standard - Zero 2]])</f>
        <v>#VALUE!</v>
      </c>
      <c r="BI790" s="29" t="e">
        <f>BG790*(1/COUNT(Archive[[#This Row],[Candidate Transfer Standard - Zero 1]:[Candidate Transfer Standard - Zero 2]])+AVERAGE(Archive[[#This Row],[Higher Level Standard - Zero 1]:[Higher Level Standard - Zero 2]])^2/DEVSQ(Archive[[#This Row],[Higher Level Standard - Zero 1]:[Higher Level Standard - Zero 2]]))</f>
        <v>#VALUE!</v>
      </c>
      <c r="BJ790" s="29">
        <f>COUNT(Archive[[#This Row],[Candidate Transfer Standard - Zero 1]:[Candidate Transfer Standard - Zero 2]])</f>
        <v>0</v>
      </c>
    </row>
    <row r="791" spans="1:62" x14ac:dyDescent="0.3">
      <c r="A791" s="57"/>
      <c r="BG79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91" s="29" t="e">
        <f>BG791/DEVSQ(Archive[[#This Row],[Higher Level Standard - Zero 1]:[Higher Level Standard - Zero 2]])</f>
        <v>#VALUE!</v>
      </c>
      <c r="BI791" s="29" t="e">
        <f>BG791*(1/COUNT(Archive[[#This Row],[Candidate Transfer Standard - Zero 1]:[Candidate Transfer Standard - Zero 2]])+AVERAGE(Archive[[#This Row],[Higher Level Standard - Zero 1]:[Higher Level Standard - Zero 2]])^2/DEVSQ(Archive[[#This Row],[Higher Level Standard - Zero 1]:[Higher Level Standard - Zero 2]]))</f>
        <v>#VALUE!</v>
      </c>
      <c r="BJ791" s="29">
        <f>COUNT(Archive[[#This Row],[Candidate Transfer Standard - Zero 1]:[Candidate Transfer Standard - Zero 2]])</f>
        <v>0</v>
      </c>
    </row>
    <row r="792" spans="1:62" x14ac:dyDescent="0.3">
      <c r="A792" s="57"/>
      <c r="BG79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92" s="29" t="e">
        <f>BG792/DEVSQ(Archive[[#This Row],[Higher Level Standard - Zero 1]:[Higher Level Standard - Zero 2]])</f>
        <v>#VALUE!</v>
      </c>
      <c r="BI792" s="29" t="e">
        <f>BG792*(1/COUNT(Archive[[#This Row],[Candidate Transfer Standard - Zero 1]:[Candidate Transfer Standard - Zero 2]])+AVERAGE(Archive[[#This Row],[Higher Level Standard - Zero 1]:[Higher Level Standard - Zero 2]])^2/DEVSQ(Archive[[#This Row],[Higher Level Standard - Zero 1]:[Higher Level Standard - Zero 2]]))</f>
        <v>#VALUE!</v>
      </c>
      <c r="BJ792" s="29">
        <f>COUNT(Archive[[#This Row],[Candidate Transfer Standard - Zero 1]:[Candidate Transfer Standard - Zero 2]])</f>
        <v>0</v>
      </c>
    </row>
    <row r="793" spans="1:62" x14ac:dyDescent="0.3">
      <c r="A793" s="57"/>
      <c r="BG79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93" s="29" t="e">
        <f>BG793/DEVSQ(Archive[[#This Row],[Higher Level Standard - Zero 1]:[Higher Level Standard - Zero 2]])</f>
        <v>#VALUE!</v>
      </c>
      <c r="BI793" s="29" t="e">
        <f>BG793*(1/COUNT(Archive[[#This Row],[Candidate Transfer Standard - Zero 1]:[Candidate Transfer Standard - Zero 2]])+AVERAGE(Archive[[#This Row],[Higher Level Standard - Zero 1]:[Higher Level Standard - Zero 2]])^2/DEVSQ(Archive[[#This Row],[Higher Level Standard - Zero 1]:[Higher Level Standard - Zero 2]]))</f>
        <v>#VALUE!</v>
      </c>
      <c r="BJ793" s="29">
        <f>COUNT(Archive[[#This Row],[Candidate Transfer Standard - Zero 1]:[Candidate Transfer Standard - Zero 2]])</f>
        <v>0</v>
      </c>
    </row>
    <row r="794" spans="1:62" x14ac:dyDescent="0.3">
      <c r="A794" s="57"/>
      <c r="BG79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94" s="29" t="e">
        <f>BG794/DEVSQ(Archive[[#This Row],[Higher Level Standard - Zero 1]:[Higher Level Standard - Zero 2]])</f>
        <v>#VALUE!</v>
      </c>
      <c r="BI794" s="29" t="e">
        <f>BG794*(1/COUNT(Archive[[#This Row],[Candidate Transfer Standard - Zero 1]:[Candidate Transfer Standard - Zero 2]])+AVERAGE(Archive[[#This Row],[Higher Level Standard - Zero 1]:[Higher Level Standard - Zero 2]])^2/DEVSQ(Archive[[#This Row],[Higher Level Standard - Zero 1]:[Higher Level Standard - Zero 2]]))</f>
        <v>#VALUE!</v>
      </c>
      <c r="BJ794" s="29">
        <f>COUNT(Archive[[#This Row],[Candidate Transfer Standard - Zero 1]:[Candidate Transfer Standard - Zero 2]])</f>
        <v>0</v>
      </c>
    </row>
    <row r="795" spans="1:62" x14ac:dyDescent="0.3">
      <c r="A795" s="57"/>
      <c r="BG79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95" s="29" t="e">
        <f>BG795/DEVSQ(Archive[[#This Row],[Higher Level Standard - Zero 1]:[Higher Level Standard - Zero 2]])</f>
        <v>#VALUE!</v>
      </c>
      <c r="BI795" s="29" t="e">
        <f>BG795*(1/COUNT(Archive[[#This Row],[Candidate Transfer Standard - Zero 1]:[Candidate Transfer Standard - Zero 2]])+AVERAGE(Archive[[#This Row],[Higher Level Standard - Zero 1]:[Higher Level Standard - Zero 2]])^2/DEVSQ(Archive[[#This Row],[Higher Level Standard - Zero 1]:[Higher Level Standard - Zero 2]]))</f>
        <v>#VALUE!</v>
      </c>
      <c r="BJ795" s="29">
        <f>COUNT(Archive[[#This Row],[Candidate Transfer Standard - Zero 1]:[Candidate Transfer Standard - Zero 2]])</f>
        <v>0</v>
      </c>
    </row>
    <row r="796" spans="1:62" x14ac:dyDescent="0.3">
      <c r="A796" s="57"/>
      <c r="BG79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96" s="29" t="e">
        <f>BG796/DEVSQ(Archive[[#This Row],[Higher Level Standard - Zero 1]:[Higher Level Standard - Zero 2]])</f>
        <v>#VALUE!</v>
      </c>
      <c r="BI796" s="29" t="e">
        <f>BG796*(1/COUNT(Archive[[#This Row],[Candidate Transfer Standard - Zero 1]:[Candidate Transfer Standard - Zero 2]])+AVERAGE(Archive[[#This Row],[Higher Level Standard - Zero 1]:[Higher Level Standard - Zero 2]])^2/DEVSQ(Archive[[#This Row],[Higher Level Standard - Zero 1]:[Higher Level Standard - Zero 2]]))</f>
        <v>#VALUE!</v>
      </c>
      <c r="BJ796" s="29">
        <f>COUNT(Archive[[#This Row],[Candidate Transfer Standard - Zero 1]:[Candidate Transfer Standard - Zero 2]])</f>
        <v>0</v>
      </c>
    </row>
    <row r="797" spans="1:62" x14ac:dyDescent="0.3">
      <c r="A797" s="57"/>
      <c r="BG79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97" s="29" t="e">
        <f>BG797/DEVSQ(Archive[[#This Row],[Higher Level Standard - Zero 1]:[Higher Level Standard - Zero 2]])</f>
        <v>#VALUE!</v>
      </c>
      <c r="BI797" s="29" t="e">
        <f>BG797*(1/COUNT(Archive[[#This Row],[Candidate Transfer Standard - Zero 1]:[Candidate Transfer Standard - Zero 2]])+AVERAGE(Archive[[#This Row],[Higher Level Standard - Zero 1]:[Higher Level Standard - Zero 2]])^2/DEVSQ(Archive[[#This Row],[Higher Level Standard - Zero 1]:[Higher Level Standard - Zero 2]]))</f>
        <v>#VALUE!</v>
      </c>
      <c r="BJ797" s="29">
        <f>COUNT(Archive[[#This Row],[Candidate Transfer Standard - Zero 1]:[Candidate Transfer Standard - Zero 2]])</f>
        <v>0</v>
      </c>
    </row>
    <row r="798" spans="1:62" x14ac:dyDescent="0.3">
      <c r="A798" s="57"/>
      <c r="BG79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98" s="29" t="e">
        <f>BG798/DEVSQ(Archive[[#This Row],[Higher Level Standard - Zero 1]:[Higher Level Standard - Zero 2]])</f>
        <v>#VALUE!</v>
      </c>
      <c r="BI798" s="29" t="e">
        <f>BG798*(1/COUNT(Archive[[#This Row],[Candidate Transfer Standard - Zero 1]:[Candidate Transfer Standard - Zero 2]])+AVERAGE(Archive[[#This Row],[Higher Level Standard - Zero 1]:[Higher Level Standard - Zero 2]])^2/DEVSQ(Archive[[#This Row],[Higher Level Standard - Zero 1]:[Higher Level Standard - Zero 2]]))</f>
        <v>#VALUE!</v>
      </c>
      <c r="BJ798" s="29">
        <f>COUNT(Archive[[#This Row],[Candidate Transfer Standard - Zero 1]:[Candidate Transfer Standard - Zero 2]])</f>
        <v>0</v>
      </c>
    </row>
    <row r="799" spans="1:62" x14ac:dyDescent="0.3">
      <c r="A799" s="57"/>
      <c r="BG79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799" s="29" t="e">
        <f>BG799/DEVSQ(Archive[[#This Row],[Higher Level Standard - Zero 1]:[Higher Level Standard - Zero 2]])</f>
        <v>#VALUE!</v>
      </c>
      <c r="BI799" s="29" t="e">
        <f>BG799*(1/COUNT(Archive[[#This Row],[Candidate Transfer Standard - Zero 1]:[Candidate Transfer Standard - Zero 2]])+AVERAGE(Archive[[#This Row],[Higher Level Standard - Zero 1]:[Higher Level Standard - Zero 2]])^2/DEVSQ(Archive[[#This Row],[Higher Level Standard - Zero 1]:[Higher Level Standard - Zero 2]]))</f>
        <v>#VALUE!</v>
      </c>
      <c r="BJ799" s="29">
        <f>COUNT(Archive[[#This Row],[Candidate Transfer Standard - Zero 1]:[Candidate Transfer Standard - Zero 2]])</f>
        <v>0</v>
      </c>
    </row>
    <row r="800" spans="1:62" x14ac:dyDescent="0.3">
      <c r="A800" s="57"/>
      <c r="BG80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00" s="29" t="e">
        <f>BG800/DEVSQ(Archive[[#This Row],[Higher Level Standard - Zero 1]:[Higher Level Standard - Zero 2]])</f>
        <v>#VALUE!</v>
      </c>
      <c r="BI800" s="29" t="e">
        <f>BG800*(1/COUNT(Archive[[#This Row],[Candidate Transfer Standard - Zero 1]:[Candidate Transfer Standard - Zero 2]])+AVERAGE(Archive[[#This Row],[Higher Level Standard - Zero 1]:[Higher Level Standard - Zero 2]])^2/DEVSQ(Archive[[#This Row],[Higher Level Standard - Zero 1]:[Higher Level Standard - Zero 2]]))</f>
        <v>#VALUE!</v>
      </c>
      <c r="BJ800" s="29">
        <f>COUNT(Archive[[#This Row],[Candidate Transfer Standard - Zero 1]:[Candidate Transfer Standard - Zero 2]])</f>
        <v>0</v>
      </c>
    </row>
    <row r="801" spans="1:62" x14ac:dyDescent="0.3">
      <c r="A801" s="57"/>
      <c r="BG80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01" s="29" t="e">
        <f>BG801/DEVSQ(Archive[[#This Row],[Higher Level Standard - Zero 1]:[Higher Level Standard - Zero 2]])</f>
        <v>#VALUE!</v>
      </c>
      <c r="BI801" s="29" t="e">
        <f>BG801*(1/COUNT(Archive[[#This Row],[Candidate Transfer Standard - Zero 1]:[Candidate Transfer Standard - Zero 2]])+AVERAGE(Archive[[#This Row],[Higher Level Standard - Zero 1]:[Higher Level Standard - Zero 2]])^2/DEVSQ(Archive[[#This Row],[Higher Level Standard - Zero 1]:[Higher Level Standard - Zero 2]]))</f>
        <v>#VALUE!</v>
      </c>
      <c r="BJ801" s="29">
        <f>COUNT(Archive[[#This Row],[Candidate Transfer Standard - Zero 1]:[Candidate Transfer Standard - Zero 2]])</f>
        <v>0</v>
      </c>
    </row>
    <row r="802" spans="1:62" x14ac:dyDescent="0.3">
      <c r="A802" s="57"/>
      <c r="BG80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02" s="29" t="e">
        <f>BG802/DEVSQ(Archive[[#This Row],[Higher Level Standard - Zero 1]:[Higher Level Standard - Zero 2]])</f>
        <v>#VALUE!</v>
      </c>
      <c r="BI802" s="29" t="e">
        <f>BG802*(1/COUNT(Archive[[#This Row],[Candidate Transfer Standard - Zero 1]:[Candidate Transfer Standard - Zero 2]])+AVERAGE(Archive[[#This Row],[Higher Level Standard - Zero 1]:[Higher Level Standard - Zero 2]])^2/DEVSQ(Archive[[#This Row],[Higher Level Standard - Zero 1]:[Higher Level Standard - Zero 2]]))</f>
        <v>#VALUE!</v>
      </c>
      <c r="BJ802" s="29">
        <f>COUNT(Archive[[#This Row],[Candidate Transfer Standard - Zero 1]:[Candidate Transfer Standard - Zero 2]])</f>
        <v>0</v>
      </c>
    </row>
    <row r="803" spans="1:62" x14ac:dyDescent="0.3">
      <c r="A803" s="57"/>
      <c r="BG80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03" s="29" t="e">
        <f>BG803/DEVSQ(Archive[[#This Row],[Higher Level Standard - Zero 1]:[Higher Level Standard - Zero 2]])</f>
        <v>#VALUE!</v>
      </c>
      <c r="BI803" s="29" t="e">
        <f>BG803*(1/COUNT(Archive[[#This Row],[Candidate Transfer Standard - Zero 1]:[Candidate Transfer Standard - Zero 2]])+AVERAGE(Archive[[#This Row],[Higher Level Standard - Zero 1]:[Higher Level Standard - Zero 2]])^2/DEVSQ(Archive[[#This Row],[Higher Level Standard - Zero 1]:[Higher Level Standard - Zero 2]]))</f>
        <v>#VALUE!</v>
      </c>
      <c r="BJ803" s="29">
        <f>COUNT(Archive[[#This Row],[Candidate Transfer Standard - Zero 1]:[Candidate Transfer Standard - Zero 2]])</f>
        <v>0</v>
      </c>
    </row>
    <row r="804" spans="1:62" x14ac:dyDescent="0.3">
      <c r="A804" s="57"/>
      <c r="BG80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04" s="29" t="e">
        <f>BG804/DEVSQ(Archive[[#This Row],[Higher Level Standard - Zero 1]:[Higher Level Standard - Zero 2]])</f>
        <v>#VALUE!</v>
      </c>
      <c r="BI804" s="29" t="e">
        <f>BG804*(1/COUNT(Archive[[#This Row],[Candidate Transfer Standard - Zero 1]:[Candidate Transfer Standard - Zero 2]])+AVERAGE(Archive[[#This Row],[Higher Level Standard - Zero 1]:[Higher Level Standard - Zero 2]])^2/DEVSQ(Archive[[#This Row],[Higher Level Standard - Zero 1]:[Higher Level Standard - Zero 2]]))</f>
        <v>#VALUE!</v>
      </c>
      <c r="BJ804" s="29">
        <f>COUNT(Archive[[#This Row],[Candidate Transfer Standard - Zero 1]:[Candidate Transfer Standard - Zero 2]])</f>
        <v>0</v>
      </c>
    </row>
    <row r="805" spans="1:62" x14ac:dyDescent="0.3">
      <c r="A805" s="57"/>
      <c r="BG80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05" s="29" t="e">
        <f>BG805/DEVSQ(Archive[[#This Row],[Higher Level Standard - Zero 1]:[Higher Level Standard - Zero 2]])</f>
        <v>#VALUE!</v>
      </c>
      <c r="BI805" s="29" t="e">
        <f>BG805*(1/COUNT(Archive[[#This Row],[Candidate Transfer Standard - Zero 1]:[Candidate Transfer Standard - Zero 2]])+AVERAGE(Archive[[#This Row],[Higher Level Standard - Zero 1]:[Higher Level Standard - Zero 2]])^2/DEVSQ(Archive[[#This Row],[Higher Level Standard - Zero 1]:[Higher Level Standard - Zero 2]]))</f>
        <v>#VALUE!</v>
      </c>
      <c r="BJ805" s="29">
        <f>COUNT(Archive[[#This Row],[Candidate Transfer Standard - Zero 1]:[Candidate Transfer Standard - Zero 2]])</f>
        <v>0</v>
      </c>
    </row>
    <row r="806" spans="1:62" x14ac:dyDescent="0.3">
      <c r="A806" s="57"/>
      <c r="BG80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06" s="29" t="e">
        <f>BG806/DEVSQ(Archive[[#This Row],[Higher Level Standard - Zero 1]:[Higher Level Standard - Zero 2]])</f>
        <v>#VALUE!</v>
      </c>
      <c r="BI806" s="29" t="e">
        <f>BG806*(1/COUNT(Archive[[#This Row],[Candidate Transfer Standard - Zero 1]:[Candidate Transfer Standard - Zero 2]])+AVERAGE(Archive[[#This Row],[Higher Level Standard - Zero 1]:[Higher Level Standard - Zero 2]])^2/DEVSQ(Archive[[#This Row],[Higher Level Standard - Zero 1]:[Higher Level Standard - Zero 2]]))</f>
        <v>#VALUE!</v>
      </c>
      <c r="BJ806" s="29">
        <f>COUNT(Archive[[#This Row],[Candidate Transfer Standard - Zero 1]:[Candidate Transfer Standard - Zero 2]])</f>
        <v>0</v>
      </c>
    </row>
    <row r="807" spans="1:62" x14ac:dyDescent="0.3">
      <c r="A807" s="57"/>
      <c r="BG80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07" s="29" t="e">
        <f>BG807/DEVSQ(Archive[[#This Row],[Higher Level Standard - Zero 1]:[Higher Level Standard - Zero 2]])</f>
        <v>#VALUE!</v>
      </c>
      <c r="BI807" s="29" t="e">
        <f>BG807*(1/COUNT(Archive[[#This Row],[Candidate Transfer Standard - Zero 1]:[Candidate Transfer Standard - Zero 2]])+AVERAGE(Archive[[#This Row],[Higher Level Standard - Zero 1]:[Higher Level Standard - Zero 2]])^2/DEVSQ(Archive[[#This Row],[Higher Level Standard - Zero 1]:[Higher Level Standard - Zero 2]]))</f>
        <v>#VALUE!</v>
      </c>
      <c r="BJ807" s="29">
        <f>COUNT(Archive[[#This Row],[Candidate Transfer Standard - Zero 1]:[Candidate Transfer Standard - Zero 2]])</f>
        <v>0</v>
      </c>
    </row>
    <row r="808" spans="1:62" x14ac:dyDescent="0.3">
      <c r="A808" s="57"/>
      <c r="BG80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08" s="29" t="e">
        <f>BG808/DEVSQ(Archive[[#This Row],[Higher Level Standard - Zero 1]:[Higher Level Standard - Zero 2]])</f>
        <v>#VALUE!</v>
      </c>
      <c r="BI808" s="29" t="e">
        <f>BG808*(1/COUNT(Archive[[#This Row],[Candidate Transfer Standard - Zero 1]:[Candidate Transfer Standard - Zero 2]])+AVERAGE(Archive[[#This Row],[Higher Level Standard - Zero 1]:[Higher Level Standard - Zero 2]])^2/DEVSQ(Archive[[#This Row],[Higher Level Standard - Zero 1]:[Higher Level Standard - Zero 2]]))</f>
        <v>#VALUE!</v>
      </c>
      <c r="BJ808" s="29">
        <f>COUNT(Archive[[#This Row],[Candidate Transfer Standard - Zero 1]:[Candidate Transfer Standard - Zero 2]])</f>
        <v>0</v>
      </c>
    </row>
    <row r="809" spans="1:62" x14ac:dyDescent="0.3">
      <c r="A809" s="57"/>
      <c r="BG80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09" s="29" t="e">
        <f>BG809/DEVSQ(Archive[[#This Row],[Higher Level Standard - Zero 1]:[Higher Level Standard - Zero 2]])</f>
        <v>#VALUE!</v>
      </c>
      <c r="BI809" s="29" t="e">
        <f>BG809*(1/COUNT(Archive[[#This Row],[Candidate Transfer Standard - Zero 1]:[Candidate Transfer Standard - Zero 2]])+AVERAGE(Archive[[#This Row],[Higher Level Standard - Zero 1]:[Higher Level Standard - Zero 2]])^2/DEVSQ(Archive[[#This Row],[Higher Level Standard - Zero 1]:[Higher Level Standard - Zero 2]]))</f>
        <v>#VALUE!</v>
      </c>
      <c r="BJ809" s="29">
        <f>COUNT(Archive[[#This Row],[Candidate Transfer Standard - Zero 1]:[Candidate Transfer Standard - Zero 2]])</f>
        <v>0</v>
      </c>
    </row>
    <row r="810" spans="1:62" x14ac:dyDescent="0.3">
      <c r="A810" s="57"/>
      <c r="BG81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10" s="29" t="e">
        <f>BG810/DEVSQ(Archive[[#This Row],[Higher Level Standard - Zero 1]:[Higher Level Standard - Zero 2]])</f>
        <v>#VALUE!</v>
      </c>
      <c r="BI810" s="29" t="e">
        <f>BG810*(1/COUNT(Archive[[#This Row],[Candidate Transfer Standard - Zero 1]:[Candidate Transfer Standard - Zero 2]])+AVERAGE(Archive[[#This Row],[Higher Level Standard - Zero 1]:[Higher Level Standard - Zero 2]])^2/DEVSQ(Archive[[#This Row],[Higher Level Standard - Zero 1]:[Higher Level Standard - Zero 2]]))</f>
        <v>#VALUE!</v>
      </c>
      <c r="BJ810" s="29">
        <f>COUNT(Archive[[#This Row],[Candidate Transfer Standard - Zero 1]:[Candidate Transfer Standard - Zero 2]])</f>
        <v>0</v>
      </c>
    </row>
    <row r="811" spans="1:62" x14ac:dyDescent="0.3">
      <c r="A811" s="57"/>
      <c r="BG81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11" s="29" t="e">
        <f>BG811/DEVSQ(Archive[[#This Row],[Higher Level Standard - Zero 1]:[Higher Level Standard - Zero 2]])</f>
        <v>#VALUE!</v>
      </c>
      <c r="BI811" s="29" t="e">
        <f>BG811*(1/COUNT(Archive[[#This Row],[Candidate Transfer Standard - Zero 1]:[Candidate Transfer Standard - Zero 2]])+AVERAGE(Archive[[#This Row],[Higher Level Standard - Zero 1]:[Higher Level Standard - Zero 2]])^2/DEVSQ(Archive[[#This Row],[Higher Level Standard - Zero 1]:[Higher Level Standard - Zero 2]]))</f>
        <v>#VALUE!</v>
      </c>
      <c r="BJ811" s="29">
        <f>COUNT(Archive[[#This Row],[Candidate Transfer Standard - Zero 1]:[Candidate Transfer Standard - Zero 2]])</f>
        <v>0</v>
      </c>
    </row>
    <row r="812" spans="1:62" x14ac:dyDescent="0.3">
      <c r="A812" s="57"/>
      <c r="BG81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12" s="29" t="e">
        <f>BG812/DEVSQ(Archive[[#This Row],[Higher Level Standard - Zero 1]:[Higher Level Standard - Zero 2]])</f>
        <v>#VALUE!</v>
      </c>
      <c r="BI812" s="29" t="e">
        <f>BG812*(1/COUNT(Archive[[#This Row],[Candidate Transfer Standard - Zero 1]:[Candidate Transfer Standard - Zero 2]])+AVERAGE(Archive[[#This Row],[Higher Level Standard - Zero 1]:[Higher Level Standard - Zero 2]])^2/DEVSQ(Archive[[#This Row],[Higher Level Standard - Zero 1]:[Higher Level Standard - Zero 2]]))</f>
        <v>#VALUE!</v>
      </c>
      <c r="BJ812" s="29">
        <f>COUNT(Archive[[#This Row],[Candidate Transfer Standard - Zero 1]:[Candidate Transfer Standard - Zero 2]])</f>
        <v>0</v>
      </c>
    </row>
    <row r="813" spans="1:62" x14ac:dyDescent="0.3">
      <c r="A813" s="57"/>
      <c r="BG81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13" s="29" t="e">
        <f>BG813/DEVSQ(Archive[[#This Row],[Higher Level Standard - Zero 1]:[Higher Level Standard - Zero 2]])</f>
        <v>#VALUE!</v>
      </c>
      <c r="BI813" s="29" t="e">
        <f>BG813*(1/COUNT(Archive[[#This Row],[Candidate Transfer Standard - Zero 1]:[Candidate Transfer Standard - Zero 2]])+AVERAGE(Archive[[#This Row],[Higher Level Standard - Zero 1]:[Higher Level Standard - Zero 2]])^2/DEVSQ(Archive[[#This Row],[Higher Level Standard - Zero 1]:[Higher Level Standard - Zero 2]]))</f>
        <v>#VALUE!</v>
      </c>
      <c r="BJ813" s="29">
        <f>COUNT(Archive[[#This Row],[Candidate Transfer Standard - Zero 1]:[Candidate Transfer Standard - Zero 2]])</f>
        <v>0</v>
      </c>
    </row>
    <row r="814" spans="1:62" x14ac:dyDescent="0.3">
      <c r="A814" s="57"/>
      <c r="BG81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14" s="29" t="e">
        <f>BG814/DEVSQ(Archive[[#This Row],[Higher Level Standard - Zero 1]:[Higher Level Standard - Zero 2]])</f>
        <v>#VALUE!</v>
      </c>
      <c r="BI814" s="29" t="e">
        <f>BG814*(1/COUNT(Archive[[#This Row],[Candidate Transfer Standard - Zero 1]:[Candidate Transfer Standard - Zero 2]])+AVERAGE(Archive[[#This Row],[Higher Level Standard - Zero 1]:[Higher Level Standard - Zero 2]])^2/DEVSQ(Archive[[#This Row],[Higher Level Standard - Zero 1]:[Higher Level Standard - Zero 2]]))</f>
        <v>#VALUE!</v>
      </c>
      <c r="BJ814" s="29">
        <f>COUNT(Archive[[#This Row],[Candidate Transfer Standard - Zero 1]:[Candidate Transfer Standard - Zero 2]])</f>
        <v>0</v>
      </c>
    </row>
    <row r="815" spans="1:62" x14ac:dyDescent="0.3">
      <c r="A815" s="57"/>
      <c r="BG81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15" s="29" t="e">
        <f>BG815/DEVSQ(Archive[[#This Row],[Higher Level Standard - Zero 1]:[Higher Level Standard - Zero 2]])</f>
        <v>#VALUE!</v>
      </c>
      <c r="BI815" s="29" t="e">
        <f>BG815*(1/COUNT(Archive[[#This Row],[Candidate Transfer Standard - Zero 1]:[Candidate Transfer Standard - Zero 2]])+AVERAGE(Archive[[#This Row],[Higher Level Standard - Zero 1]:[Higher Level Standard - Zero 2]])^2/DEVSQ(Archive[[#This Row],[Higher Level Standard - Zero 1]:[Higher Level Standard - Zero 2]]))</f>
        <v>#VALUE!</v>
      </c>
      <c r="BJ815" s="29">
        <f>COUNT(Archive[[#This Row],[Candidate Transfer Standard - Zero 1]:[Candidate Transfer Standard - Zero 2]])</f>
        <v>0</v>
      </c>
    </row>
    <row r="816" spans="1:62" x14ac:dyDescent="0.3">
      <c r="A816" s="57"/>
      <c r="BG81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16" s="29" t="e">
        <f>BG816/DEVSQ(Archive[[#This Row],[Higher Level Standard - Zero 1]:[Higher Level Standard - Zero 2]])</f>
        <v>#VALUE!</v>
      </c>
      <c r="BI816" s="29" t="e">
        <f>BG816*(1/COUNT(Archive[[#This Row],[Candidate Transfer Standard - Zero 1]:[Candidate Transfer Standard - Zero 2]])+AVERAGE(Archive[[#This Row],[Higher Level Standard - Zero 1]:[Higher Level Standard - Zero 2]])^2/DEVSQ(Archive[[#This Row],[Higher Level Standard - Zero 1]:[Higher Level Standard - Zero 2]]))</f>
        <v>#VALUE!</v>
      </c>
      <c r="BJ816" s="29">
        <f>COUNT(Archive[[#This Row],[Candidate Transfer Standard - Zero 1]:[Candidate Transfer Standard - Zero 2]])</f>
        <v>0</v>
      </c>
    </row>
    <row r="817" spans="1:62" x14ac:dyDescent="0.3">
      <c r="A817" s="57"/>
      <c r="BG81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17" s="29" t="e">
        <f>BG817/DEVSQ(Archive[[#This Row],[Higher Level Standard - Zero 1]:[Higher Level Standard - Zero 2]])</f>
        <v>#VALUE!</v>
      </c>
      <c r="BI817" s="29" t="e">
        <f>BG817*(1/COUNT(Archive[[#This Row],[Candidate Transfer Standard - Zero 1]:[Candidate Transfer Standard - Zero 2]])+AVERAGE(Archive[[#This Row],[Higher Level Standard - Zero 1]:[Higher Level Standard - Zero 2]])^2/DEVSQ(Archive[[#This Row],[Higher Level Standard - Zero 1]:[Higher Level Standard - Zero 2]]))</f>
        <v>#VALUE!</v>
      </c>
      <c r="BJ817" s="29">
        <f>COUNT(Archive[[#This Row],[Candidate Transfer Standard - Zero 1]:[Candidate Transfer Standard - Zero 2]])</f>
        <v>0</v>
      </c>
    </row>
    <row r="818" spans="1:62" x14ac:dyDescent="0.3">
      <c r="A818" s="57"/>
      <c r="BG81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18" s="29" t="e">
        <f>BG818/DEVSQ(Archive[[#This Row],[Higher Level Standard - Zero 1]:[Higher Level Standard - Zero 2]])</f>
        <v>#VALUE!</v>
      </c>
      <c r="BI818" s="29" t="e">
        <f>BG818*(1/COUNT(Archive[[#This Row],[Candidate Transfer Standard - Zero 1]:[Candidate Transfer Standard - Zero 2]])+AVERAGE(Archive[[#This Row],[Higher Level Standard - Zero 1]:[Higher Level Standard - Zero 2]])^2/DEVSQ(Archive[[#This Row],[Higher Level Standard - Zero 1]:[Higher Level Standard - Zero 2]]))</f>
        <v>#VALUE!</v>
      </c>
      <c r="BJ818" s="29">
        <f>COUNT(Archive[[#This Row],[Candidate Transfer Standard - Zero 1]:[Candidate Transfer Standard - Zero 2]])</f>
        <v>0</v>
      </c>
    </row>
    <row r="819" spans="1:62" x14ac:dyDescent="0.3">
      <c r="A819" s="57"/>
      <c r="BG81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19" s="29" t="e">
        <f>BG819/DEVSQ(Archive[[#This Row],[Higher Level Standard - Zero 1]:[Higher Level Standard - Zero 2]])</f>
        <v>#VALUE!</v>
      </c>
      <c r="BI819" s="29" t="e">
        <f>BG819*(1/COUNT(Archive[[#This Row],[Candidate Transfer Standard - Zero 1]:[Candidate Transfer Standard - Zero 2]])+AVERAGE(Archive[[#This Row],[Higher Level Standard - Zero 1]:[Higher Level Standard - Zero 2]])^2/DEVSQ(Archive[[#This Row],[Higher Level Standard - Zero 1]:[Higher Level Standard - Zero 2]]))</f>
        <v>#VALUE!</v>
      </c>
      <c r="BJ819" s="29">
        <f>COUNT(Archive[[#This Row],[Candidate Transfer Standard - Zero 1]:[Candidate Transfer Standard - Zero 2]])</f>
        <v>0</v>
      </c>
    </row>
    <row r="820" spans="1:62" x14ac:dyDescent="0.3">
      <c r="A820" s="57"/>
      <c r="BG82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20" s="29" t="e">
        <f>BG820/DEVSQ(Archive[[#This Row],[Higher Level Standard - Zero 1]:[Higher Level Standard - Zero 2]])</f>
        <v>#VALUE!</v>
      </c>
      <c r="BI820" s="29" t="e">
        <f>BG820*(1/COUNT(Archive[[#This Row],[Candidate Transfer Standard - Zero 1]:[Candidate Transfer Standard - Zero 2]])+AVERAGE(Archive[[#This Row],[Higher Level Standard - Zero 1]:[Higher Level Standard - Zero 2]])^2/DEVSQ(Archive[[#This Row],[Higher Level Standard - Zero 1]:[Higher Level Standard - Zero 2]]))</f>
        <v>#VALUE!</v>
      </c>
      <c r="BJ820" s="29">
        <f>COUNT(Archive[[#This Row],[Candidate Transfer Standard - Zero 1]:[Candidate Transfer Standard - Zero 2]])</f>
        <v>0</v>
      </c>
    </row>
    <row r="821" spans="1:62" x14ac:dyDescent="0.3">
      <c r="A821" s="57"/>
      <c r="BG82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21" s="29" t="e">
        <f>BG821/DEVSQ(Archive[[#This Row],[Higher Level Standard - Zero 1]:[Higher Level Standard - Zero 2]])</f>
        <v>#VALUE!</v>
      </c>
      <c r="BI821" s="29" t="e">
        <f>BG821*(1/COUNT(Archive[[#This Row],[Candidate Transfer Standard - Zero 1]:[Candidate Transfer Standard - Zero 2]])+AVERAGE(Archive[[#This Row],[Higher Level Standard - Zero 1]:[Higher Level Standard - Zero 2]])^2/DEVSQ(Archive[[#This Row],[Higher Level Standard - Zero 1]:[Higher Level Standard - Zero 2]]))</f>
        <v>#VALUE!</v>
      </c>
      <c r="BJ821" s="29">
        <f>COUNT(Archive[[#This Row],[Candidate Transfer Standard - Zero 1]:[Candidate Transfer Standard - Zero 2]])</f>
        <v>0</v>
      </c>
    </row>
    <row r="822" spans="1:62" x14ac:dyDescent="0.3">
      <c r="A822" s="57"/>
      <c r="BG82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22" s="29" t="e">
        <f>BG822/DEVSQ(Archive[[#This Row],[Higher Level Standard - Zero 1]:[Higher Level Standard - Zero 2]])</f>
        <v>#VALUE!</v>
      </c>
      <c r="BI822" s="29" t="e">
        <f>BG822*(1/COUNT(Archive[[#This Row],[Candidate Transfer Standard - Zero 1]:[Candidate Transfer Standard - Zero 2]])+AVERAGE(Archive[[#This Row],[Higher Level Standard - Zero 1]:[Higher Level Standard - Zero 2]])^2/DEVSQ(Archive[[#This Row],[Higher Level Standard - Zero 1]:[Higher Level Standard - Zero 2]]))</f>
        <v>#VALUE!</v>
      </c>
      <c r="BJ822" s="29">
        <f>COUNT(Archive[[#This Row],[Candidate Transfer Standard - Zero 1]:[Candidate Transfer Standard - Zero 2]])</f>
        <v>0</v>
      </c>
    </row>
    <row r="823" spans="1:62" x14ac:dyDescent="0.3">
      <c r="A823" s="57"/>
      <c r="BG82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23" s="29" t="e">
        <f>BG823/DEVSQ(Archive[[#This Row],[Higher Level Standard - Zero 1]:[Higher Level Standard - Zero 2]])</f>
        <v>#VALUE!</v>
      </c>
      <c r="BI823" s="29" t="e">
        <f>BG823*(1/COUNT(Archive[[#This Row],[Candidate Transfer Standard - Zero 1]:[Candidate Transfer Standard - Zero 2]])+AVERAGE(Archive[[#This Row],[Higher Level Standard - Zero 1]:[Higher Level Standard - Zero 2]])^2/DEVSQ(Archive[[#This Row],[Higher Level Standard - Zero 1]:[Higher Level Standard - Zero 2]]))</f>
        <v>#VALUE!</v>
      </c>
      <c r="BJ823" s="29">
        <f>COUNT(Archive[[#This Row],[Candidate Transfer Standard - Zero 1]:[Candidate Transfer Standard - Zero 2]])</f>
        <v>0</v>
      </c>
    </row>
    <row r="824" spans="1:62" x14ac:dyDescent="0.3">
      <c r="A824" s="57"/>
      <c r="BG82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24" s="29" t="e">
        <f>BG824/DEVSQ(Archive[[#This Row],[Higher Level Standard - Zero 1]:[Higher Level Standard - Zero 2]])</f>
        <v>#VALUE!</v>
      </c>
      <c r="BI824" s="29" t="e">
        <f>BG824*(1/COUNT(Archive[[#This Row],[Candidate Transfer Standard - Zero 1]:[Candidate Transfer Standard - Zero 2]])+AVERAGE(Archive[[#This Row],[Higher Level Standard - Zero 1]:[Higher Level Standard - Zero 2]])^2/DEVSQ(Archive[[#This Row],[Higher Level Standard - Zero 1]:[Higher Level Standard - Zero 2]]))</f>
        <v>#VALUE!</v>
      </c>
      <c r="BJ824" s="29">
        <f>COUNT(Archive[[#This Row],[Candidate Transfer Standard - Zero 1]:[Candidate Transfer Standard - Zero 2]])</f>
        <v>0</v>
      </c>
    </row>
    <row r="825" spans="1:62" x14ac:dyDescent="0.3">
      <c r="A825" s="57"/>
      <c r="BG82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25" s="29" t="e">
        <f>BG825/DEVSQ(Archive[[#This Row],[Higher Level Standard - Zero 1]:[Higher Level Standard - Zero 2]])</f>
        <v>#VALUE!</v>
      </c>
      <c r="BI825" s="29" t="e">
        <f>BG825*(1/COUNT(Archive[[#This Row],[Candidate Transfer Standard - Zero 1]:[Candidate Transfer Standard - Zero 2]])+AVERAGE(Archive[[#This Row],[Higher Level Standard - Zero 1]:[Higher Level Standard - Zero 2]])^2/DEVSQ(Archive[[#This Row],[Higher Level Standard - Zero 1]:[Higher Level Standard - Zero 2]]))</f>
        <v>#VALUE!</v>
      </c>
      <c r="BJ825" s="29">
        <f>COUNT(Archive[[#This Row],[Candidate Transfer Standard - Zero 1]:[Candidate Transfer Standard - Zero 2]])</f>
        <v>0</v>
      </c>
    </row>
    <row r="826" spans="1:62" x14ac:dyDescent="0.3">
      <c r="A826" s="57"/>
      <c r="BG82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26" s="29" t="e">
        <f>BG826/DEVSQ(Archive[[#This Row],[Higher Level Standard - Zero 1]:[Higher Level Standard - Zero 2]])</f>
        <v>#VALUE!</v>
      </c>
      <c r="BI826" s="29" t="e">
        <f>BG826*(1/COUNT(Archive[[#This Row],[Candidate Transfer Standard - Zero 1]:[Candidate Transfer Standard - Zero 2]])+AVERAGE(Archive[[#This Row],[Higher Level Standard - Zero 1]:[Higher Level Standard - Zero 2]])^2/DEVSQ(Archive[[#This Row],[Higher Level Standard - Zero 1]:[Higher Level Standard - Zero 2]]))</f>
        <v>#VALUE!</v>
      </c>
      <c r="BJ826" s="29">
        <f>COUNT(Archive[[#This Row],[Candidate Transfer Standard - Zero 1]:[Candidate Transfer Standard - Zero 2]])</f>
        <v>0</v>
      </c>
    </row>
    <row r="827" spans="1:62" x14ac:dyDescent="0.3">
      <c r="A827" s="57"/>
      <c r="BG82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27" s="29" t="e">
        <f>BG827/DEVSQ(Archive[[#This Row],[Higher Level Standard - Zero 1]:[Higher Level Standard - Zero 2]])</f>
        <v>#VALUE!</v>
      </c>
      <c r="BI827" s="29" t="e">
        <f>BG827*(1/COUNT(Archive[[#This Row],[Candidate Transfer Standard - Zero 1]:[Candidate Transfer Standard - Zero 2]])+AVERAGE(Archive[[#This Row],[Higher Level Standard - Zero 1]:[Higher Level Standard - Zero 2]])^2/DEVSQ(Archive[[#This Row],[Higher Level Standard - Zero 1]:[Higher Level Standard - Zero 2]]))</f>
        <v>#VALUE!</v>
      </c>
      <c r="BJ827" s="29">
        <f>COUNT(Archive[[#This Row],[Candidate Transfer Standard - Zero 1]:[Candidate Transfer Standard - Zero 2]])</f>
        <v>0</v>
      </c>
    </row>
    <row r="828" spans="1:62" x14ac:dyDescent="0.3">
      <c r="A828" s="57"/>
      <c r="BG82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28" s="29" t="e">
        <f>BG828/DEVSQ(Archive[[#This Row],[Higher Level Standard - Zero 1]:[Higher Level Standard - Zero 2]])</f>
        <v>#VALUE!</v>
      </c>
      <c r="BI828" s="29" t="e">
        <f>BG828*(1/COUNT(Archive[[#This Row],[Candidate Transfer Standard - Zero 1]:[Candidate Transfer Standard - Zero 2]])+AVERAGE(Archive[[#This Row],[Higher Level Standard - Zero 1]:[Higher Level Standard - Zero 2]])^2/DEVSQ(Archive[[#This Row],[Higher Level Standard - Zero 1]:[Higher Level Standard - Zero 2]]))</f>
        <v>#VALUE!</v>
      </c>
      <c r="BJ828" s="29">
        <f>COUNT(Archive[[#This Row],[Candidate Transfer Standard - Zero 1]:[Candidate Transfer Standard - Zero 2]])</f>
        <v>0</v>
      </c>
    </row>
    <row r="829" spans="1:62" x14ac:dyDescent="0.3">
      <c r="A829" s="57"/>
      <c r="BG82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29" s="29" t="e">
        <f>BG829/DEVSQ(Archive[[#This Row],[Higher Level Standard - Zero 1]:[Higher Level Standard - Zero 2]])</f>
        <v>#VALUE!</v>
      </c>
      <c r="BI829" s="29" t="e">
        <f>BG829*(1/COUNT(Archive[[#This Row],[Candidate Transfer Standard - Zero 1]:[Candidate Transfer Standard - Zero 2]])+AVERAGE(Archive[[#This Row],[Higher Level Standard - Zero 1]:[Higher Level Standard - Zero 2]])^2/DEVSQ(Archive[[#This Row],[Higher Level Standard - Zero 1]:[Higher Level Standard - Zero 2]]))</f>
        <v>#VALUE!</v>
      </c>
      <c r="BJ829" s="29">
        <f>COUNT(Archive[[#This Row],[Candidate Transfer Standard - Zero 1]:[Candidate Transfer Standard - Zero 2]])</f>
        <v>0</v>
      </c>
    </row>
    <row r="830" spans="1:62" x14ac:dyDescent="0.3">
      <c r="A830" s="57"/>
      <c r="BG83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30" s="29" t="e">
        <f>BG830/DEVSQ(Archive[[#This Row],[Higher Level Standard - Zero 1]:[Higher Level Standard - Zero 2]])</f>
        <v>#VALUE!</v>
      </c>
      <c r="BI830" s="29" t="e">
        <f>BG830*(1/COUNT(Archive[[#This Row],[Candidate Transfer Standard - Zero 1]:[Candidate Transfer Standard - Zero 2]])+AVERAGE(Archive[[#This Row],[Higher Level Standard - Zero 1]:[Higher Level Standard - Zero 2]])^2/DEVSQ(Archive[[#This Row],[Higher Level Standard - Zero 1]:[Higher Level Standard - Zero 2]]))</f>
        <v>#VALUE!</v>
      </c>
      <c r="BJ830" s="29">
        <f>COUNT(Archive[[#This Row],[Candidate Transfer Standard - Zero 1]:[Candidate Transfer Standard - Zero 2]])</f>
        <v>0</v>
      </c>
    </row>
    <row r="831" spans="1:62" x14ac:dyDescent="0.3">
      <c r="A831" s="57"/>
      <c r="BG83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31" s="29" t="e">
        <f>BG831/DEVSQ(Archive[[#This Row],[Higher Level Standard - Zero 1]:[Higher Level Standard - Zero 2]])</f>
        <v>#VALUE!</v>
      </c>
      <c r="BI831" s="29" t="e">
        <f>BG831*(1/COUNT(Archive[[#This Row],[Candidate Transfer Standard - Zero 1]:[Candidate Transfer Standard - Zero 2]])+AVERAGE(Archive[[#This Row],[Higher Level Standard - Zero 1]:[Higher Level Standard - Zero 2]])^2/DEVSQ(Archive[[#This Row],[Higher Level Standard - Zero 1]:[Higher Level Standard - Zero 2]]))</f>
        <v>#VALUE!</v>
      </c>
      <c r="BJ831" s="29">
        <f>COUNT(Archive[[#This Row],[Candidate Transfer Standard - Zero 1]:[Candidate Transfer Standard - Zero 2]])</f>
        <v>0</v>
      </c>
    </row>
    <row r="832" spans="1:62" x14ac:dyDescent="0.3">
      <c r="A832" s="57"/>
      <c r="BG83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32" s="29" t="e">
        <f>BG832/DEVSQ(Archive[[#This Row],[Higher Level Standard - Zero 1]:[Higher Level Standard - Zero 2]])</f>
        <v>#VALUE!</v>
      </c>
      <c r="BI832" s="29" t="e">
        <f>BG832*(1/COUNT(Archive[[#This Row],[Candidate Transfer Standard - Zero 1]:[Candidate Transfer Standard - Zero 2]])+AVERAGE(Archive[[#This Row],[Higher Level Standard - Zero 1]:[Higher Level Standard - Zero 2]])^2/DEVSQ(Archive[[#This Row],[Higher Level Standard - Zero 1]:[Higher Level Standard - Zero 2]]))</f>
        <v>#VALUE!</v>
      </c>
      <c r="BJ832" s="29">
        <f>COUNT(Archive[[#This Row],[Candidate Transfer Standard - Zero 1]:[Candidate Transfer Standard - Zero 2]])</f>
        <v>0</v>
      </c>
    </row>
    <row r="833" spans="1:62" x14ac:dyDescent="0.3">
      <c r="A833" s="57"/>
      <c r="BG83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33" s="29" t="e">
        <f>BG833/DEVSQ(Archive[[#This Row],[Higher Level Standard - Zero 1]:[Higher Level Standard - Zero 2]])</f>
        <v>#VALUE!</v>
      </c>
      <c r="BI833" s="29" t="e">
        <f>BG833*(1/COUNT(Archive[[#This Row],[Candidate Transfer Standard - Zero 1]:[Candidate Transfer Standard - Zero 2]])+AVERAGE(Archive[[#This Row],[Higher Level Standard - Zero 1]:[Higher Level Standard - Zero 2]])^2/DEVSQ(Archive[[#This Row],[Higher Level Standard - Zero 1]:[Higher Level Standard - Zero 2]]))</f>
        <v>#VALUE!</v>
      </c>
      <c r="BJ833" s="29">
        <f>COUNT(Archive[[#This Row],[Candidate Transfer Standard - Zero 1]:[Candidate Transfer Standard - Zero 2]])</f>
        <v>0</v>
      </c>
    </row>
    <row r="834" spans="1:62" x14ac:dyDescent="0.3">
      <c r="A834" s="57"/>
      <c r="BG83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34" s="29" t="e">
        <f>BG834/DEVSQ(Archive[[#This Row],[Higher Level Standard - Zero 1]:[Higher Level Standard - Zero 2]])</f>
        <v>#VALUE!</v>
      </c>
      <c r="BI834" s="29" t="e">
        <f>BG834*(1/COUNT(Archive[[#This Row],[Candidate Transfer Standard - Zero 1]:[Candidate Transfer Standard - Zero 2]])+AVERAGE(Archive[[#This Row],[Higher Level Standard - Zero 1]:[Higher Level Standard - Zero 2]])^2/DEVSQ(Archive[[#This Row],[Higher Level Standard - Zero 1]:[Higher Level Standard - Zero 2]]))</f>
        <v>#VALUE!</v>
      </c>
      <c r="BJ834" s="29">
        <f>COUNT(Archive[[#This Row],[Candidate Transfer Standard - Zero 1]:[Candidate Transfer Standard - Zero 2]])</f>
        <v>0</v>
      </c>
    </row>
    <row r="835" spans="1:62" x14ac:dyDescent="0.3">
      <c r="A835" s="57"/>
      <c r="BG83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35" s="29" t="e">
        <f>BG835/DEVSQ(Archive[[#This Row],[Higher Level Standard - Zero 1]:[Higher Level Standard - Zero 2]])</f>
        <v>#VALUE!</v>
      </c>
      <c r="BI835" s="29" t="e">
        <f>BG835*(1/COUNT(Archive[[#This Row],[Candidate Transfer Standard - Zero 1]:[Candidate Transfer Standard - Zero 2]])+AVERAGE(Archive[[#This Row],[Higher Level Standard - Zero 1]:[Higher Level Standard - Zero 2]])^2/DEVSQ(Archive[[#This Row],[Higher Level Standard - Zero 1]:[Higher Level Standard - Zero 2]]))</f>
        <v>#VALUE!</v>
      </c>
      <c r="BJ835" s="29">
        <f>COUNT(Archive[[#This Row],[Candidate Transfer Standard - Zero 1]:[Candidate Transfer Standard - Zero 2]])</f>
        <v>0</v>
      </c>
    </row>
    <row r="836" spans="1:62" x14ac:dyDescent="0.3">
      <c r="A836" s="57"/>
      <c r="BG83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36" s="29" t="e">
        <f>BG836/DEVSQ(Archive[[#This Row],[Higher Level Standard - Zero 1]:[Higher Level Standard - Zero 2]])</f>
        <v>#VALUE!</v>
      </c>
      <c r="BI836" s="29" t="e">
        <f>BG836*(1/COUNT(Archive[[#This Row],[Candidate Transfer Standard - Zero 1]:[Candidate Transfer Standard - Zero 2]])+AVERAGE(Archive[[#This Row],[Higher Level Standard - Zero 1]:[Higher Level Standard - Zero 2]])^2/DEVSQ(Archive[[#This Row],[Higher Level Standard - Zero 1]:[Higher Level Standard - Zero 2]]))</f>
        <v>#VALUE!</v>
      </c>
      <c r="BJ836" s="29">
        <f>COUNT(Archive[[#This Row],[Candidate Transfer Standard - Zero 1]:[Candidate Transfer Standard - Zero 2]])</f>
        <v>0</v>
      </c>
    </row>
    <row r="837" spans="1:62" x14ac:dyDescent="0.3">
      <c r="A837" s="57"/>
      <c r="BG83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37" s="29" t="e">
        <f>BG837/DEVSQ(Archive[[#This Row],[Higher Level Standard - Zero 1]:[Higher Level Standard - Zero 2]])</f>
        <v>#VALUE!</v>
      </c>
      <c r="BI837" s="29" t="e">
        <f>BG837*(1/COUNT(Archive[[#This Row],[Candidate Transfer Standard - Zero 1]:[Candidate Transfer Standard - Zero 2]])+AVERAGE(Archive[[#This Row],[Higher Level Standard - Zero 1]:[Higher Level Standard - Zero 2]])^2/DEVSQ(Archive[[#This Row],[Higher Level Standard - Zero 1]:[Higher Level Standard - Zero 2]]))</f>
        <v>#VALUE!</v>
      </c>
      <c r="BJ837" s="29">
        <f>COUNT(Archive[[#This Row],[Candidate Transfer Standard - Zero 1]:[Candidate Transfer Standard - Zero 2]])</f>
        <v>0</v>
      </c>
    </row>
    <row r="838" spans="1:62" x14ac:dyDescent="0.3">
      <c r="A838" s="57"/>
      <c r="BG83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38" s="29" t="e">
        <f>BG838/DEVSQ(Archive[[#This Row],[Higher Level Standard - Zero 1]:[Higher Level Standard - Zero 2]])</f>
        <v>#VALUE!</v>
      </c>
      <c r="BI838" s="29" t="e">
        <f>BG838*(1/COUNT(Archive[[#This Row],[Candidate Transfer Standard - Zero 1]:[Candidate Transfer Standard - Zero 2]])+AVERAGE(Archive[[#This Row],[Higher Level Standard - Zero 1]:[Higher Level Standard - Zero 2]])^2/DEVSQ(Archive[[#This Row],[Higher Level Standard - Zero 1]:[Higher Level Standard - Zero 2]]))</f>
        <v>#VALUE!</v>
      </c>
      <c r="BJ838" s="29">
        <f>COUNT(Archive[[#This Row],[Candidate Transfer Standard - Zero 1]:[Candidate Transfer Standard - Zero 2]])</f>
        <v>0</v>
      </c>
    </row>
    <row r="839" spans="1:62" x14ac:dyDescent="0.3">
      <c r="A839" s="57"/>
      <c r="BG83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39" s="29" t="e">
        <f>BG839/DEVSQ(Archive[[#This Row],[Higher Level Standard - Zero 1]:[Higher Level Standard - Zero 2]])</f>
        <v>#VALUE!</v>
      </c>
      <c r="BI839" s="29" t="e">
        <f>BG839*(1/COUNT(Archive[[#This Row],[Candidate Transfer Standard - Zero 1]:[Candidate Transfer Standard - Zero 2]])+AVERAGE(Archive[[#This Row],[Higher Level Standard - Zero 1]:[Higher Level Standard - Zero 2]])^2/DEVSQ(Archive[[#This Row],[Higher Level Standard - Zero 1]:[Higher Level Standard - Zero 2]]))</f>
        <v>#VALUE!</v>
      </c>
      <c r="BJ839" s="29">
        <f>COUNT(Archive[[#This Row],[Candidate Transfer Standard - Zero 1]:[Candidate Transfer Standard - Zero 2]])</f>
        <v>0</v>
      </c>
    </row>
    <row r="840" spans="1:62" x14ac:dyDescent="0.3">
      <c r="A840" s="57"/>
      <c r="BG84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40" s="29" t="e">
        <f>BG840/DEVSQ(Archive[[#This Row],[Higher Level Standard - Zero 1]:[Higher Level Standard - Zero 2]])</f>
        <v>#VALUE!</v>
      </c>
      <c r="BI840" s="29" t="e">
        <f>BG840*(1/COUNT(Archive[[#This Row],[Candidate Transfer Standard - Zero 1]:[Candidate Transfer Standard - Zero 2]])+AVERAGE(Archive[[#This Row],[Higher Level Standard - Zero 1]:[Higher Level Standard - Zero 2]])^2/DEVSQ(Archive[[#This Row],[Higher Level Standard - Zero 1]:[Higher Level Standard - Zero 2]]))</f>
        <v>#VALUE!</v>
      </c>
      <c r="BJ840" s="29">
        <f>COUNT(Archive[[#This Row],[Candidate Transfer Standard - Zero 1]:[Candidate Transfer Standard - Zero 2]])</f>
        <v>0</v>
      </c>
    </row>
    <row r="841" spans="1:62" x14ac:dyDescent="0.3">
      <c r="A841" s="57"/>
      <c r="BG84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41" s="29" t="e">
        <f>BG841/DEVSQ(Archive[[#This Row],[Higher Level Standard - Zero 1]:[Higher Level Standard - Zero 2]])</f>
        <v>#VALUE!</v>
      </c>
      <c r="BI841" s="29" t="e">
        <f>BG841*(1/COUNT(Archive[[#This Row],[Candidate Transfer Standard - Zero 1]:[Candidate Transfer Standard - Zero 2]])+AVERAGE(Archive[[#This Row],[Higher Level Standard - Zero 1]:[Higher Level Standard - Zero 2]])^2/DEVSQ(Archive[[#This Row],[Higher Level Standard - Zero 1]:[Higher Level Standard - Zero 2]]))</f>
        <v>#VALUE!</v>
      </c>
      <c r="BJ841" s="29">
        <f>COUNT(Archive[[#This Row],[Candidate Transfer Standard - Zero 1]:[Candidate Transfer Standard - Zero 2]])</f>
        <v>0</v>
      </c>
    </row>
    <row r="842" spans="1:62" x14ac:dyDescent="0.3">
      <c r="A842" s="57"/>
      <c r="BG84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42" s="29" t="e">
        <f>BG842/DEVSQ(Archive[[#This Row],[Higher Level Standard - Zero 1]:[Higher Level Standard - Zero 2]])</f>
        <v>#VALUE!</v>
      </c>
      <c r="BI842" s="29" t="e">
        <f>BG842*(1/COUNT(Archive[[#This Row],[Candidate Transfer Standard - Zero 1]:[Candidate Transfer Standard - Zero 2]])+AVERAGE(Archive[[#This Row],[Higher Level Standard - Zero 1]:[Higher Level Standard - Zero 2]])^2/DEVSQ(Archive[[#This Row],[Higher Level Standard - Zero 1]:[Higher Level Standard - Zero 2]]))</f>
        <v>#VALUE!</v>
      </c>
      <c r="BJ842" s="29">
        <f>COUNT(Archive[[#This Row],[Candidate Transfer Standard - Zero 1]:[Candidate Transfer Standard - Zero 2]])</f>
        <v>0</v>
      </c>
    </row>
    <row r="843" spans="1:62" x14ac:dyDescent="0.3">
      <c r="A843" s="57"/>
      <c r="BG84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43" s="29" t="e">
        <f>BG843/DEVSQ(Archive[[#This Row],[Higher Level Standard - Zero 1]:[Higher Level Standard - Zero 2]])</f>
        <v>#VALUE!</v>
      </c>
      <c r="BI843" s="29" t="e">
        <f>BG843*(1/COUNT(Archive[[#This Row],[Candidate Transfer Standard - Zero 1]:[Candidate Transfer Standard - Zero 2]])+AVERAGE(Archive[[#This Row],[Higher Level Standard - Zero 1]:[Higher Level Standard - Zero 2]])^2/DEVSQ(Archive[[#This Row],[Higher Level Standard - Zero 1]:[Higher Level Standard - Zero 2]]))</f>
        <v>#VALUE!</v>
      </c>
      <c r="BJ843" s="29">
        <f>COUNT(Archive[[#This Row],[Candidate Transfer Standard - Zero 1]:[Candidate Transfer Standard - Zero 2]])</f>
        <v>0</v>
      </c>
    </row>
    <row r="844" spans="1:62" x14ac:dyDescent="0.3">
      <c r="A844" s="57"/>
      <c r="BG84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44" s="29" t="e">
        <f>BG844/DEVSQ(Archive[[#This Row],[Higher Level Standard - Zero 1]:[Higher Level Standard - Zero 2]])</f>
        <v>#VALUE!</v>
      </c>
      <c r="BI844" s="29" t="e">
        <f>BG844*(1/COUNT(Archive[[#This Row],[Candidate Transfer Standard - Zero 1]:[Candidate Transfer Standard - Zero 2]])+AVERAGE(Archive[[#This Row],[Higher Level Standard - Zero 1]:[Higher Level Standard - Zero 2]])^2/DEVSQ(Archive[[#This Row],[Higher Level Standard - Zero 1]:[Higher Level Standard - Zero 2]]))</f>
        <v>#VALUE!</v>
      </c>
      <c r="BJ844" s="29">
        <f>COUNT(Archive[[#This Row],[Candidate Transfer Standard - Zero 1]:[Candidate Transfer Standard - Zero 2]])</f>
        <v>0</v>
      </c>
    </row>
    <row r="845" spans="1:62" x14ac:dyDescent="0.3">
      <c r="A845" s="57"/>
      <c r="BG84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45" s="29" t="e">
        <f>BG845/DEVSQ(Archive[[#This Row],[Higher Level Standard - Zero 1]:[Higher Level Standard - Zero 2]])</f>
        <v>#VALUE!</v>
      </c>
      <c r="BI845" s="29" t="e">
        <f>BG845*(1/COUNT(Archive[[#This Row],[Candidate Transfer Standard - Zero 1]:[Candidate Transfer Standard - Zero 2]])+AVERAGE(Archive[[#This Row],[Higher Level Standard - Zero 1]:[Higher Level Standard - Zero 2]])^2/DEVSQ(Archive[[#This Row],[Higher Level Standard - Zero 1]:[Higher Level Standard - Zero 2]]))</f>
        <v>#VALUE!</v>
      </c>
      <c r="BJ845" s="29">
        <f>COUNT(Archive[[#This Row],[Candidate Transfer Standard - Zero 1]:[Candidate Transfer Standard - Zero 2]])</f>
        <v>0</v>
      </c>
    </row>
    <row r="846" spans="1:62" x14ac:dyDescent="0.3">
      <c r="A846" s="57"/>
      <c r="BG84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46" s="29" t="e">
        <f>BG846/DEVSQ(Archive[[#This Row],[Higher Level Standard - Zero 1]:[Higher Level Standard - Zero 2]])</f>
        <v>#VALUE!</v>
      </c>
      <c r="BI846" s="29" t="e">
        <f>BG846*(1/COUNT(Archive[[#This Row],[Candidate Transfer Standard - Zero 1]:[Candidate Transfer Standard - Zero 2]])+AVERAGE(Archive[[#This Row],[Higher Level Standard - Zero 1]:[Higher Level Standard - Zero 2]])^2/DEVSQ(Archive[[#This Row],[Higher Level Standard - Zero 1]:[Higher Level Standard - Zero 2]]))</f>
        <v>#VALUE!</v>
      </c>
      <c r="BJ846" s="29">
        <f>COUNT(Archive[[#This Row],[Candidate Transfer Standard - Zero 1]:[Candidate Transfer Standard - Zero 2]])</f>
        <v>0</v>
      </c>
    </row>
    <row r="847" spans="1:62" x14ac:dyDescent="0.3">
      <c r="A847" s="57"/>
      <c r="BG84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47" s="29" t="e">
        <f>BG847/DEVSQ(Archive[[#This Row],[Higher Level Standard - Zero 1]:[Higher Level Standard - Zero 2]])</f>
        <v>#VALUE!</v>
      </c>
      <c r="BI847" s="29" t="e">
        <f>BG847*(1/COUNT(Archive[[#This Row],[Candidate Transfer Standard - Zero 1]:[Candidate Transfer Standard - Zero 2]])+AVERAGE(Archive[[#This Row],[Higher Level Standard - Zero 1]:[Higher Level Standard - Zero 2]])^2/DEVSQ(Archive[[#This Row],[Higher Level Standard - Zero 1]:[Higher Level Standard - Zero 2]]))</f>
        <v>#VALUE!</v>
      </c>
      <c r="BJ847" s="29">
        <f>COUNT(Archive[[#This Row],[Candidate Transfer Standard - Zero 1]:[Candidate Transfer Standard - Zero 2]])</f>
        <v>0</v>
      </c>
    </row>
    <row r="848" spans="1:62" x14ac:dyDescent="0.3">
      <c r="A848" s="57"/>
      <c r="BG84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48" s="29" t="e">
        <f>BG848/DEVSQ(Archive[[#This Row],[Higher Level Standard - Zero 1]:[Higher Level Standard - Zero 2]])</f>
        <v>#VALUE!</v>
      </c>
      <c r="BI848" s="29" t="e">
        <f>BG848*(1/COUNT(Archive[[#This Row],[Candidate Transfer Standard - Zero 1]:[Candidate Transfer Standard - Zero 2]])+AVERAGE(Archive[[#This Row],[Higher Level Standard - Zero 1]:[Higher Level Standard - Zero 2]])^2/DEVSQ(Archive[[#This Row],[Higher Level Standard - Zero 1]:[Higher Level Standard - Zero 2]]))</f>
        <v>#VALUE!</v>
      </c>
      <c r="BJ848" s="29">
        <f>COUNT(Archive[[#This Row],[Candidate Transfer Standard - Zero 1]:[Candidate Transfer Standard - Zero 2]])</f>
        <v>0</v>
      </c>
    </row>
    <row r="849" spans="1:62" x14ac:dyDescent="0.3">
      <c r="A849" s="57"/>
      <c r="BG84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49" s="29" t="e">
        <f>BG849/DEVSQ(Archive[[#This Row],[Higher Level Standard - Zero 1]:[Higher Level Standard - Zero 2]])</f>
        <v>#VALUE!</v>
      </c>
      <c r="BI849" s="29" t="e">
        <f>BG849*(1/COUNT(Archive[[#This Row],[Candidate Transfer Standard - Zero 1]:[Candidate Transfer Standard - Zero 2]])+AVERAGE(Archive[[#This Row],[Higher Level Standard - Zero 1]:[Higher Level Standard - Zero 2]])^2/DEVSQ(Archive[[#This Row],[Higher Level Standard - Zero 1]:[Higher Level Standard - Zero 2]]))</f>
        <v>#VALUE!</v>
      </c>
      <c r="BJ849" s="29">
        <f>COUNT(Archive[[#This Row],[Candidate Transfer Standard - Zero 1]:[Candidate Transfer Standard - Zero 2]])</f>
        <v>0</v>
      </c>
    </row>
    <row r="850" spans="1:62" x14ac:dyDescent="0.3">
      <c r="A850" s="57"/>
      <c r="BG85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50" s="29" t="e">
        <f>BG850/DEVSQ(Archive[[#This Row],[Higher Level Standard - Zero 1]:[Higher Level Standard - Zero 2]])</f>
        <v>#VALUE!</v>
      </c>
      <c r="BI850" s="29" t="e">
        <f>BG850*(1/COUNT(Archive[[#This Row],[Candidate Transfer Standard - Zero 1]:[Candidate Transfer Standard - Zero 2]])+AVERAGE(Archive[[#This Row],[Higher Level Standard - Zero 1]:[Higher Level Standard - Zero 2]])^2/DEVSQ(Archive[[#This Row],[Higher Level Standard - Zero 1]:[Higher Level Standard - Zero 2]]))</f>
        <v>#VALUE!</v>
      </c>
      <c r="BJ850" s="29">
        <f>COUNT(Archive[[#This Row],[Candidate Transfer Standard - Zero 1]:[Candidate Transfer Standard - Zero 2]])</f>
        <v>0</v>
      </c>
    </row>
    <row r="851" spans="1:62" x14ac:dyDescent="0.3">
      <c r="A851" s="57"/>
      <c r="BG85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51" s="29" t="e">
        <f>BG851/DEVSQ(Archive[[#This Row],[Higher Level Standard - Zero 1]:[Higher Level Standard - Zero 2]])</f>
        <v>#VALUE!</v>
      </c>
      <c r="BI851" s="29" t="e">
        <f>BG851*(1/COUNT(Archive[[#This Row],[Candidate Transfer Standard - Zero 1]:[Candidate Transfer Standard - Zero 2]])+AVERAGE(Archive[[#This Row],[Higher Level Standard - Zero 1]:[Higher Level Standard - Zero 2]])^2/DEVSQ(Archive[[#This Row],[Higher Level Standard - Zero 1]:[Higher Level Standard - Zero 2]]))</f>
        <v>#VALUE!</v>
      </c>
      <c r="BJ851" s="29">
        <f>COUNT(Archive[[#This Row],[Candidate Transfer Standard - Zero 1]:[Candidate Transfer Standard - Zero 2]])</f>
        <v>0</v>
      </c>
    </row>
    <row r="852" spans="1:62" x14ac:dyDescent="0.3">
      <c r="A852" s="57"/>
      <c r="BG85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52" s="29" t="e">
        <f>BG852/DEVSQ(Archive[[#This Row],[Higher Level Standard - Zero 1]:[Higher Level Standard - Zero 2]])</f>
        <v>#VALUE!</v>
      </c>
      <c r="BI852" s="29" t="e">
        <f>BG852*(1/COUNT(Archive[[#This Row],[Candidate Transfer Standard - Zero 1]:[Candidate Transfer Standard - Zero 2]])+AVERAGE(Archive[[#This Row],[Higher Level Standard - Zero 1]:[Higher Level Standard - Zero 2]])^2/DEVSQ(Archive[[#This Row],[Higher Level Standard - Zero 1]:[Higher Level Standard - Zero 2]]))</f>
        <v>#VALUE!</v>
      </c>
      <c r="BJ852" s="29">
        <f>COUNT(Archive[[#This Row],[Candidate Transfer Standard - Zero 1]:[Candidate Transfer Standard - Zero 2]])</f>
        <v>0</v>
      </c>
    </row>
    <row r="853" spans="1:62" x14ac:dyDescent="0.3">
      <c r="A853" s="57"/>
      <c r="BG85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53" s="29" t="e">
        <f>BG853/DEVSQ(Archive[[#This Row],[Higher Level Standard - Zero 1]:[Higher Level Standard - Zero 2]])</f>
        <v>#VALUE!</v>
      </c>
      <c r="BI853" s="29" t="e">
        <f>BG853*(1/COUNT(Archive[[#This Row],[Candidate Transfer Standard - Zero 1]:[Candidate Transfer Standard - Zero 2]])+AVERAGE(Archive[[#This Row],[Higher Level Standard - Zero 1]:[Higher Level Standard - Zero 2]])^2/DEVSQ(Archive[[#This Row],[Higher Level Standard - Zero 1]:[Higher Level Standard - Zero 2]]))</f>
        <v>#VALUE!</v>
      </c>
      <c r="BJ853" s="29">
        <f>COUNT(Archive[[#This Row],[Candidate Transfer Standard - Zero 1]:[Candidate Transfer Standard - Zero 2]])</f>
        <v>0</v>
      </c>
    </row>
    <row r="854" spans="1:62" x14ac:dyDescent="0.3">
      <c r="A854" s="57"/>
      <c r="BG85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54" s="29" t="e">
        <f>BG854/DEVSQ(Archive[[#This Row],[Higher Level Standard - Zero 1]:[Higher Level Standard - Zero 2]])</f>
        <v>#VALUE!</v>
      </c>
      <c r="BI854" s="29" t="e">
        <f>BG854*(1/COUNT(Archive[[#This Row],[Candidate Transfer Standard - Zero 1]:[Candidate Transfer Standard - Zero 2]])+AVERAGE(Archive[[#This Row],[Higher Level Standard - Zero 1]:[Higher Level Standard - Zero 2]])^2/DEVSQ(Archive[[#This Row],[Higher Level Standard - Zero 1]:[Higher Level Standard - Zero 2]]))</f>
        <v>#VALUE!</v>
      </c>
      <c r="BJ854" s="29">
        <f>COUNT(Archive[[#This Row],[Candidate Transfer Standard - Zero 1]:[Candidate Transfer Standard - Zero 2]])</f>
        <v>0</v>
      </c>
    </row>
    <row r="855" spans="1:62" x14ac:dyDescent="0.3">
      <c r="A855" s="57"/>
      <c r="BG85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55" s="29" t="e">
        <f>BG855/DEVSQ(Archive[[#This Row],[Higher Level Standard - Zero 1]:[Higher Level Standard - Zero 2]])</f>
        <v>#VALUE!</v>
      </c>
      <c r="BI855" s="29" t="e">
        <f>BG855*(1/COUNT(Archive[[#This Row],[Candidate Transfer Standard - Zero 1]:[Candidate Transfer Standard - Zero 2]])+AVERAGE(Archive[[#This Row],[Higher Level Standard - Zero 1]:[Higher Level Standard - Zero 2]])^2/DEVSQ(Archive[[#This Row],[Higher Level Standard - Zero 1]:[Higher Level Standard - Zero 2]]))</f>
        <v>#VALUE!</v>
      </c>
      <c r="BJ855" s="29">
        <f>COUNT(Archive[[#This Row],[Candidate Transfer Standard - Zero 1]:[Candidate Transfer Standard - Zero 2]])</f>
        <v>0</v>
      </c>
    </row>
    <row r="856" spans="1:62" x14ac:dyDescent="0.3">
      <c r="A856" s="57"/>
      <c r="BG85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56" s="29" t="e">
        <f>BG856/DEVSQ(Archive[[#This Row],[Higher Level Standard - Zero 1]:[Higher Level Standard - Zero 2]])</f>
        <v>#VALUE!</v>
      </c>
      <c r="BI856" s="29" t="e">
        <f>BG856*(1/COUNT(Archive[[#This Row],[Candidate Transfer Standard - Zero 1]:[Candidate Transfer Standard - Zero 2]])+AVERAGE(Archive[[#This Row],[Higher Level Standard - Zero 1]:[Higher Level Standard - Zero 2]])^2/DEVSQ(Archive[[#This Row],[Higher Level Standard - Zero 1]:[Higher Level Standard - Zero 2]]))</f>
        <v>#VALUE!</v>
      </c>
      <c r="BJ856" s="29">
        <f>COUNT(Archive[[#This Row],[Candidate Transfer Standard - Zero 1]:[Candidate Transfer Standard - Zero 2]])</f>
        <v>0</v>
      </c>
    </row>
    <row r="857" spans="1:62" x14ac:dyDescent="0.3">
      <c r="A857" s="57"/>
      <c r="BG85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57" s="29" t="e">
        <f>BG857/DEVSQ(Archive[[#This Row],[Higher Level Standard - Zero 1]:[Higher Level Standard - Zero 2]])</f>
        <v>#VALUE!</v>
      </c>
      <c r="BI857" s="29" t="e">
        <f>BG857*(1/COUNT(Archive[[#This Row],[Candidate Transfer Standard - Zero 1]:[Candidate Transfer Standard - Zero 2]])+AVERAGE(Archive[[#This Row],[Higher Level Standard - Zero 1]:[Higher Level Standard - Zero 2]])^2/DEVSQ(Archive[[#This Row],[Higher Level Standard - Zero 1]:[Higher Level Standard - Zero 2]]))</f>
        <v>#VALUE!</v>
      </c>
      <c r="BJ857" s="29">
        <f>COUNT(Archive[[#This Row],[Candidate Transfer Standard - Zero 1]:[Candidate Transfer Standard - Zero 2]])</f>
        <v>0</v>
      </c>
    </row>
    <row r="858" spans="1:62" x14ac:dyDescent="0.3">
      <c r="A858" s="57"/>
      <c r="BG85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58" s="29" t="e">
        <f>BG858/DEVSQ(Archive[[#This Row],[Higher Level Standard - Zero 1]:[Higher Level Standard - Zero 2]])</f>
        <v>#VALUE!</v>
      </c>
      <c r="BI858" s="29" t="e">
        <f>BG858*(1/COUNT(Archive[[#This Row],[Candidate Transfer Standard - Zero 1]:[Candidate Transfer Standard - Zero 2]])+AVERAGE(Archive[[#This Row],[Higher Level Standard - Zero 1]:[Higher Level Standard - Zero 2]])^2/DEVSQ(Archive[[#This Row],[Higher Level Standard - Zero 1]:[Higher Level Standard - Zero 2]]))</f>
        <v>#VALUE!</v>
      </c>
      <c r="BJ858" s="29">
        <f>COUNT(Archive[[#This Row],[Candidate Transfer Standard - Zero 1]:[Candidate Transfer Standard - Zero 2]])</f>
        <v>0</v>
      </c>
    </row>
    <row r="859" spans="1:62" x14ac:dyDescent="0.3">
      <c r="A859" s="57"/>
      <c r="BG85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59" s="29" t="e">
        <f>BG859/DEVSQ(Archive[[#This Row],[Higher Level Standard - Zero 1]:[Higher Level Standard - Zero 2]])</f>
        <v>#VALUE!</v>
      </c>
      <c r="BI859" s="29" t="e">
        <f>BG859*(1/COUNT(Archive[[#This Row],[Candidate Transfer Standard - Zero 1]:[Candidate Transfer Standard - Zero 2]])+AVERAGE(Archive[[#This Row],[Higher Level Standard - Zero 1]:[Higher Level Standard - Zero 2]])^2/DEVSQ(Archive[[#This Row],[Higher Level Standard - Zero 1]:[Higher Level Standard - Zero 2]]))</f>
        <v>#VALUE!</v>
      </c>
      <c r="BJ859" s="29">
        <f>COUNT(Archive[[#This Row],[Candidate Transfer Standard - Zero 1]:[Candidate Transfer Standard - Zero 2]])</f>
        <v>0</v>
      </c>
    </row>
    <row r="860" spans="1:62" x14ac:dyDescent="0.3">
      <c r="A860" s="57"/>
      <c r="BG86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60" s="29" t="e">
        <f>BG860/DEVSQ(Archive[[#This Row],[Higher Level Standard - Zero 1]:[Higher Level Standard - Zero 2]])</f>
        <v>#VALUE!</v>
      </c>
      <c r="BI860" s="29" t="e">
        <f>BG860*(1/COUNT(Archive[[#This Row],[Candidate Transfer Standard - Zero 1]:[Candidate Transfer Standard - Zero 2]])+AVERAGE(Archive[[#This Row],[Higher Level Standard - Zero 1]:[Higher Level Standard - Zero 2]])^2/DEVSQ(Archive[[#This Row],[Higher Level Standard - Zero 1]:[Higher Level Standard - Zero 2]]))</f>
        <v>#VALUE!</v>
      </c>
      <c r="BJ860" s="29">
        <f>COUNT(Archive[[#This Row],[Candidate Transfer Standard - Zero 1]:[Candidate Transfer Standard - Zero 2]])</f>
        <v>0</v>
      </c>
    </row>
    <row r="861" spans="1:62" x14ac:dyDescent="0.3">
      <c r="A861" s="57"/>
      <c r="BG86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61" s="29" t="e">
        <f>BG861/DEVSQ(Archive[[#This Row],[Higher Level Standard - Zero 1]:[Higher Level Standard - Zero 2]])</f>
        <v>#VALUE!</v>
      </c>
      <c r="BI861" s="29" t="e">
        <f>BG861*(1/COUNT(Archive[[#This Row],[Candidate Transfer Standard - Zero 1]:[Candidate Transfer Standard - Zero 2]])+AVERAGE(Archive[[#This Row],[Higher Level Standard - Zero 1]:[Higher Level Standard - Zero 2]])^2/DEVSQ(Archive[[#This Row],[Higher Level Standard - Zero 1]:[Higher Level Standard - Zero 2]]))</f>
        <v>#VALUE!</v>
      </c>
      <c r="BJ861" s="29">
        <f>COUNT(Archive[[#This Row],[Candidate Transfer Standard - Zero 1]:[Candidate Transfer Standard - Zero 2]])</f>
        <v>0</v>
      </c>
    </row>
    <row r="862" spans="1:62" x14ac:dyDescent="0.3">
      <c r="A862" s="57"/>
      <c r="BG86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62" s="29" t="e">
        <f>BG862/DEVSQ(Archive[[#This Row],[Higher Level Standard - Zero 1]:[Higher Level Standard - Zero 2]])</f>
        <v>#VALUE!</v>
      </c>
      <c r="BI862" s="29" t="e">
        <f>BG862*(1/COUNT(Archive[[#This Row],[Candidate Transfer Standard - Zero 1]:[Candidate Transfer Standard - Zero 2]])+AVERAGE(Archive[[#This Row],[Higher Level Standard - Zero 1]:[Higher Level Standard - Zero 2]])^2/DEVSQ(Archive[[#This Row],[Higher Level Standard - Zero 1]:[Higher Level Standard - Zero 2]]))</f>
        <v>#VALUE!</v>
      </c>
      <c r="BJ862" s="29">
        <f>COUNT(Archive[[#This Row],[Candidate Transfer Standard - Zero 1]:[Candidate Transfer Standard - Zero 2]])</f>
        <v>0</v>
      </c>
    </row>
    <row r="863" spans="1:62" x14ac:dyDescent="0.3">
      <c r="A863" s="57"/>
      <c r="BG86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63" s="29" t="e">
        <f>BG863/DEVSQ(Archive[[#This Row],[Higher Level Standard - Zero 1]:[Higher Level Standard - Zero 2]])</f>
        <v>#VALUE!</v>
      </c>
      <c r="BI863" s="29" t="e">
        <f>BG863*(1/COUNT(Archive[[#This Row],[Candidate Transfer Standard - Zero 1]:[Candidate Transfer Standard - Zero 2]])+AVERAGE(Archive[[#This Row],[Higher Level Standard - Zero 1]:[Higher Level Standard - Zero 2]])^2/DEVSQ(Archive[[#This Row],[Higher Level Standard - Zero 1]:[Higher Level Standard - Zero 2]]))</f>
        <v>#VALUE!</v>
      </c>
      <c r="BJ863" s="29">
        <f>COUNT(Archive[[#This Row],[Candidate Transfer Standard - Zero 1]:[Candidate Transfer Standard - Zero 2]])</f>
        <v>0</v>
      </c>
    </row>
    <row r="864" spans="1:62" x14ac:dyDescent="0.3">
      <c r="A864" s="57"/>
      <c r="BG86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64" s="29" t="e">
        <f>BG864/DEVSQ(Archive[[#This Row],[Higher Level Standard - Zero 1]:[Higher Level Standard - Zero 2]])</f>
        <v>#VALUE!</v>
      </c>
      <c r="BI864" s="29" t="e">
        <f>BG864*(1/COUNT(Archive[[#This Row],[Candidate Transfer Standard - Zero 1]:[Candidate Transfer Standard - Zero 2]])+AVERAGE(Archive[[#This Row],[Higher Level Standard - Zero 1]:[Higher Level Standard - Zero 2]])^2/DEVSQ(Archive[[#This Row],[Higher Level Standard - Zero 1]:[Higher Level Standard - Zero 2]]))</f>
        <v>#VALUE!</v>
      </c>
      <c r="BJ864" s="29">
        <f>COUNT(Archive[[#This Row],[Candidate Transfer Standard - Zero 1]:[Candidate Transfer Standard - Zero 2]])</f>
        <v>0</v>
      </c>
    </row>
    <row r="865" spans="1:62" x14ac:dyDescent="0.3">
      <c r="A865" s="57"/>
      <c r="BG86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65" s="29" t="e">
        <f>BG865/DEVSQ(Archive[[#This Row],[Higher Level Standard - Zero 1]:[Higher Level Standard - Zero 2]])</f>
        <v>#VALUE!</v>
      </c>
      <c r="BI865" s="29" t="e">
        <f>BG865*(1/COUNT(Archive[[#This Row],[Candidate Transfer Standard - Zero 1]:[Candidate Transfer Standard - Zero 2]])+AVERAGE(Archive[[#This Row],[Higher Level Standard - Zero 1]:[Higher Level Standard - Zero 2]])^2/DEVSQ(Archive[[#This Row],[Higher Level Standard - Zero 1]:[Higher Level Standard - Zero 2]]))</f>
        <v>#VALUE!</v>
      </c>
      <c r="BJ865" s="29">
        <f>COUNT(Archive[[#This Row],[Candidate Transfer Standard - Zero 1]:[Candidate Transfer Standard - Zero 2]])</f>
        <v>0</v>
      </c>
    </row>
    <row r="866" spans="1:62" x14ac:dyDescent="0.3">
      <c r="A866" s="57"/>
      <c r="BG86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66" s="29" t="e">
        <f>BG866/DEVSQ(Archive[[#This Row],[Higher Level Standard - Zero 1]:[Higher Level Standard - Zero 2]])</f>
        <v>#VALUE!</v>
      </c>
      <c r="BI866" s="29" t="e">
        <f>BG866*(1/COUNT(Archive[[#This Row],[Candidate Transfer Standard - Zero 1]:[Candidate Transfer Standard - Zero 2]])+AVERAGE(Archive[[#This Row],[Higher Level Standard - Zero 1]:[Higher Level Standard - Zero 2]])^2/DEVSQ(Archive[[#This Row],[Higher Level Standard - Zero 1]:[Higher Level Standard - Zero 2]]))</f>
        <v>#VALUE!</v>
      </c>
      <c r="BJ866" s="29">
        <f>COUNT(Archive[[#This Row],[Candidate Transfer Standard - Zero 1]:[Candidate Transfer Standard - Zero 2]])</f>
        <v>0</v>
      </c>
    </row>
    <row r="867" spans="1:62" x14ac:dyDescent="0.3">
      <c r="A867" s="57"/>
      <c r="BG86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67" s="29" t="e">
        <f>BG867/DEVSQ(Archive[[#This Row],[Higher Level Standard - Zero 1]:[Higher Level Standard - Zero 2]])</f>
        <v>#VALUE!</v>
      </c>
      <c r="BI867" s="29" t="e">
        <f>BG867*(1/COUNT(Archive[[#This Row],[Candidate Transfer Standard - Zero 1]:[Candidate Transfer Standard - Zero 2]])+AVERAGE(Archive[[#This Row],[Higher Level Standard - Zero 1]:[Higher Level Standard - Zero 2]])^2/DEVSQ(Archive[[#This Row],[Higher Level Standard - Zero 1]:[Higher Level Standard - Zero 2]]))</f>
        <v>#VALUE!</v>
      </c>
      <c r="BJ867" s="29">
        <f>COUNT(Archive[[#This Row],[Candidate Transfer Standard - Zero 1]:[Candidate Transfer Standard - Zero 2]])</f>
        <v>0</v>
      </c>
    </row>
    <row r="868" spans="1:62" x14ac:dyDescent="0.3">
      <c r="A868" s="57"/>
      <c r="BG86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68" s="29" t="e">
        <f>BG868/DEVSQ(Archive[[#This Row],[Higher Level Standard - Zero 1]:[Higher Level Standard - Zero 2]])</f>
        <v>#VALUE!</v>
      </c>
      <c r="BI868" s="29" t="e">
        <f>BG868*(1/COUNT(Archive[[#This Row],[Candidate Transfer Standard - Zero 1]:[Candidate Transfer Standard - Zero 2]])+AVERAGE(Archive[[#This Row],[Higher Level Standard - Zero 1]:[Higher Level Standard - Zero 2]])^2/DEVSQ(Archive[[#This Row],[Higher Level Standard - Zero 1]:[Higher Level Standard - Zero 2]]))</f>
        <v>#VALUE!</v>
      </c>
      <c r="BJ868" s="29">
        <f>COUNT(Archive[[#This Row],[Candidate Transfer Standard - Zero 1]:[Candidate Transfer Standard - Zero 2]])</f>
        <v>0</v>
      </c>
    </row>
    <row r="869" spans="1:62" x14ac:dyDescent="0.3">
      <c r="A869" s="57"/>
      <c r="BG86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69" s="29" t="e">
        <f>BG869/DEVSQ(Archive[[#This Row],[Higher Level Standard - Zero 1]:[Higher Level Standard - Zero 2]])</f>
        <v>#VALUE!</v>
      </c>
      <c r="BI869" s="29" t="e">
        <f>BG869*(1/COUNT(Archive[[#This Row],[Candidate Transfer Standard - Zero 1]:[Candidate Transfer Standard - Zero 2]])+AVERAGE(Archive[[#This Row],[Higher Level Standard - Zero 1]:[Higher Level Standard - Zero 2]])^2/DEVSQ(Archive[[#This Row],[Higher Level Standard - Zero 1]:[Higher Level Standard - Zero 2]]))</f>
        <v>#VALUE!</v>
      </c>
      <c r="BJ869" s="29">
        <f>COUNT(Archive[[#This Row],[Candidate Transfer Standard - Zero 1]:[Candidate Transfer Standard - Zero 2]])</f>
        <v>0</v>
      </c>
    </row>
    <row r="870" spans="1:62" x14ac:dyDescent="0.3">
      <c r="A870" s="57"/>
      <c r="BG87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70" s="29" t="e">
        <f>BG870/DEVSQ(Archive[[#This Row],[Higher Level Standard - Zero 1]:[Higher Level Standard - Zero 2]])</f>
        <v>#VALUE!</v>
      </c>
      <c r="BI870" s="29" t="e">
        <f>BG870*(1/COUNT(Archive[[#This Row],[Candidate Transfer Standard - Zero 1]:[Candidate Transfer Standard - Zero 2]])+AVERAGE(Archive[[#This Row],[Higher Level Standard - Zero 1]:[Higher Level Standard - Zero 2]])^2/DEVSQ(Archive[[#This Row],[Higher Level Standard - Zero 1]:[Higher Level Standard - Zero 2]]))</f>
        <v>#VALUE!</v>
      </c>
      <c r="BJ870" s="29">
        <f>COUNT(Archive[[#This Row],[Candidate Transfer Standard - Zero 1]:[Candidate Transfer Standard - Zero 2]])</f>
        <v>0</v>
      </c>
    </row>
    <row r="871" spans="1:62" x14ac:dyDescent="0.3">
      <c r="A871" s="57"/>
      <c r="BG87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71" s="29" t="e">
        <f>BG871/DEVSQ(Archive[[#This Row],[Higher Level Standard - Zero 1]:[Higher Level Standard - Zero 2]])</f>
        <v>#VALUE!</v>
      </c>
      <c r="BI871" s="29" t="e">
        <f>BG871*(1/COUNT(Archive[[#This Row],[Candidate Transfer Standard - Zero 1]:[Candidate Transfer Standard - Zero 2]])+AVERAGE(Archive[[#This Row],[Higher Level Standard - Zero 1]:[Higher Level Standard - Zero 2]])^2/DEVSQ(Archive[[#This Row],[Higher Level Standard - Zero 1]:[Higher Level Standard - Zero 2]]))</f>
        <v>#VALUE!</v>
      </c>
      <c r="BJ871" s="29">
        <f>COUNT(Archive[[#This Row],[Candidate Transfer Standard - Zero 1]:[Candidate Transfer Standard - Zero 2]])</f>
        <v>0</v>
      </c>
    </row>
    <row r="872" spans="1:62" x14ac:dyDescent="0.3">
      <c r="A872" s="57"/>
      <c r="BG87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72" s="29" t="e">
        <f>BG872/DEVSQ(Archive[[#This Row],[Higher Level Standard - Zero 1]:[Higher Level Standard - Zero 2]])</f>
        <v>#VALUE!</v>
      </c>
      <c r="BI872" s="29" t="e">
        <f>BG872*(1/COUNT(Archive[[#This Row],[Candidate Transfer Standard - Zero 1]:[Candidate Transfer Standard - Zero 2]])+AVERAGE(Archive[[#This Row],[Higher Level Standard - Zero 1]:[Higher Level Standard - Zero 2]])^2/DEVSQ(Archive[[#This Row],[Higher Level Standard - Zero 1]:[Higher Level Standard - Zero 2]]))</f>
        <v>#VALUE!</v>
      </c>
      <c r="BJ872" s="29">
        <f>COUNT(Archive[[#This Row],[Candidate Transfer Standard - Zero 1]:[Candidate Transfer Standard - Zero 2]])</f>
        <v>0</v>
      </c>
    </row>
    <row r="873" spans="1:62" x14ac:dyDescent="0.3">
      <c r="A873" s="57"/>
      <c r="BG87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73" s="29" t="e">
        <f>BG873/DEVSQ(Archive[[#This Row],[Higher Level Standard - Zero 1]:[Higher Level Standard - Zero 2]])</f>
        <v>#VALUE!</v>
      </c>
      <c r="BI873" s="29" t="e">
        <f>BG873*(1/COUNT(Archive[[#This Row],[Candidate Transfer Standard - Zero 1]:[Candidate Transfer Standard - Zero 2]])+AVERAGE(Archive[[#This Row],[Higher Level Standard - Zero 1]:[Higher Level Standard - Zero 2]])^2/DEVSQ(Archive[[#This Row],[Higher Level Standard - Zero 1]:[Higher Level Standard - Zero 2]]))</f>
        <v>#VALUE!</v>
      </c>
      <c r="BJ873" s="29">
        <f>COUNT(Archive[[#This Row],[Candidate Transfer Standard - Zero 1]:[Candidate Transfer Standard - Zero 2]])</f>
        <v>0</v>
      </c>
    </row>
    <row r="874" spans="1:62" x14ac:dyDescent="0.3">
      <c r="A874" s="57"/>
      <c r="BG87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74" s="29" t="e">
        <f>BG874/DEVSQ(Archive[[#This Row],[Higher Level Standard - Zero 1]:[Higher Level Standard - Zero 2]])</f>
        <v>#VALUE!</v>
      </c>
      <c r="BI874" s="29" t="e">
        <f>BG874*(1/COUNT(Archive[[#This Row],[Candidate Transfer Standard - Zero 1]:[Candidate Transfer Standard - Zero 2]])+AVERAGE(Archive[[#This Row],[Higher Level Standard - Zero 1]:[Higher Level Standard - Zero 2]])^2/DEVSQ(Archive[[#This Row],[Higher Level Standard - Zero 1]:[Higher Level Standard - Zero 2]]))</f>
        <v>#VALUE!</v>
      </c>
      <c r="BJ874" s="29">
        <f>COUNT(Archive[[#This Row],[Candidate Transfer Standard - Zero 1]:[Candidate Transfer Standard - Zero 2]])</f>
        <v>0</v>
      </c>
    </row>
    <row r="875" spans="1:62" x14ac:dyDescent="0.3">
      <c r="A875" s="57"/>
      <c r="BG87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75" s="29" t="e">
        <f>BG875/DEVSQ(Archive[[#This Row],[Higher Level Standard - Zero 1]:[Higher Level Standard - Zero 2]])</f>
        <v>#VALUE!</v>
      </c>
      <c r="BI875" s="29" t="e">
        <f>BG875*(1/COUNT(Archive[[#This Row],[Candidate Transfer Standard - Zero 1]:[Candidate Transfer Standard - Zero 2]])+AVERAGE(Archive[[#This Row],[Higher Level Standard - Zero 1]:[Higher Level Standard - Zero 2]])^2/DEVSQ(Archive[[#This Row],[Higher Level Standard - Zero 1]:[Higher Level Standard - Zero 2]]))</f>
        <v>#VALUE!</v>
      </c>
      <c r="BJ875" s="29">
        <f>COUNT(Archive[[#This Row],[Candidate Transfer Standard - Zero 1]:[Candidate Transfer Standard - Zero 2]])</f>
        <v>0</v>
      </c>
    </row>
    <row r="876" spans="1:62" x14ac:dyDescent="0.3">
      <c r="A876" s="57"/>
      <c r="BG87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76" s="29" t="e">
        <f>BG876/DEVSQ(Archive[[#This Row],[Higher Level Standard - Zero 1]:[Higher Level Standard - Zero 2]])</f>
        <v>#VALUE!</v>
      </c>
      <c r="BI876" s="29" t="e">
        <f>BG876*(1/COUNT(Archive[[#This Row],[Candidate Transfer Standard - Zero 1]:[Candidate Transfer Standard - Zero 2]])+AVERAGE(Archive[[#This Row],[Higher Level Standard - Zero 1]:[Higher Level Standard - Zero 2]])^2/DEVSQ(Archive[[#This Row],[Higher Level Standard - Zero 1]:[Higher Level Standard - Zero 2]]))</f>
        <v>#VALUE!</v>
      </c>
      <c r="BJ876" s="29">
        <f>COUNT(Archive[[#This Row],[Candidate Transfer Standard - Zero 1]:[Candidate Transfer Standard - Zero 2]])</f>
        <v>0</v>
      </c>
    </row>
    <row r="877" spans="1:62" x14ac:dyDescent="0.3">
      <c r="A877" s="57"/>
      <c r="BG87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77" s="29" t="e">
        <f>BG877/DEVSQ(Archive[[#This Row],[Higher Level Standard - Zero 1]:[Higher Level Standard - Zero 2]])</f>
        <v>#VALUE!</v>
      </c>
      <c r="BI877" s="29" t="e">
        <f>BG877*(1/COUNT(Archive[[#This Row],[Candidate Transfer Standard - Zero 1]:[Candidate Transfer Standard - Zero 2]])+AVERAGE(Archive[[#This Row],[Higher Level Standard - Zero 1]:[Higher Level Standard - Zero 2]])^2/DEVSQ(Archive[[#This Row],[Higher Level Standard - Zero 1]:[Higher Level Standard - Zero 2]]))</f>
        <v>#VALUE!</v>
      </c>
      <c r="BJ877" s="29">
        <f>COUNT(Archive[[#This Row],[Candidate Transfer Standard - Zero 1]:[Candidate Transfer Standard - Zero 2]])</f>
        <v>0</v>
      </c>
    </row>
    <row r="878" spans="1:62" x14ac:dyDescent="0.3">
      <c r="A878" s="57"/>
      <c r="BG87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78" s="29" t="e">
        <f>BG878/DEVSQ(Archive[[#This Row],[Higher Level Standard - Zero 1]:[Higher Level Standard - Zero 2]])</f>
        <v>#VALUE!</v>
      </c>
      <c r="BI878" s="29" t="e">
        <f>BG878*(1/COUNT(Archive[[#This Row],[Candidate Transfer Standard - Zero 1]:[Candidate Transfer Standard - Zero 2]])+AVERAGE(Archive[[#This Row],[Higher Level Standard - Zero 1]:[Higher Level Standard - Zero 2]])^2/DEVSQ(Archive[[#This Row],[Higher Level Standard - Zero 1]:[Higher Level Standard - Zero 2]]))</f>
        <v>#VALUE!</v>
      </c>
      <c r="BJ878" s="29">
        <f>COUNT(Archive[[#This Row],[Candidate Transfer Standard - Zero 1]:[Candidate Transfer Standard - Zero 2]])</f>
        <v>0</v>
      </c>
    </row>
    <row r="879" spans="1:62" x14ac:dyDescent="0.3">
      <c r="A879" s="57"/>
      <c r="BG87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79" s="29" t="e">
        <f>BG879/DEVSQ(Archive[[#This Row],[Higher Level Standard - Zero 1]:[Higher Level Standard - Zero 2]])</f>
        <v>#VALUE!</v>
      </c>
      <c r="BI879" s="29" t="e">
        <f>BG879*(1/COUNT(Archive[[#This Row],[Candidate Transfer Standard - Zero 1]:[Candidate Transfer Standard - Zero 2]])+AVERAGE(Archive[[#This Row],[Higher Level Standard - Zero 1]:[Higher Level Standard - Zero 2]])^2/DEVSQ(Archive[[#This Row],[Higher Level Standard - Zero 1]:[Higher Level Standard - Zero 2]]))</f>
        <v>#VALUE!</v>
      </c>
      <c r="BJ879" s="29">
        <f>COUNT(Archive[[#This Row],[Candidate Transfer Standard - Zero 1]:[Candidate Transfer Standard - Zero 2]])</f>
        <v>0</v>
      </c>
    </row>
    <row r="880" spans="1:62" x14ac:dyDescent="0.3">
      <c r="A880" s="57"/>
      <c r="BG88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80" s="29" t="e">
        <f>BG880/DEVSQ(Archive[[#This Row],[Higher Level Standard - Zero 1]:[Higher Level Standard - Zero 2]])</f>
        <v>#VALUE!</v>
      </c>
      <c r="BI880" s="29" t="e">
        <f>BG880*(1/COUNT(Archive[[#This Row],[Candidate Transfer Standard - Zero 1]:[Candidate Transfer Standard - Zero 2]])+AVERAGE(Archive[[#This Row],[Higher Level Standard - Zero 1]:[Higher Level Standard - Zero 2]])^2/DEVSQ(Archive[[#This Row],[Higher Level Standard - Zero 1]:[Higher Level Standard - Zero 2]]))</f>
        <v>#VALUE!</v>
      </c>
      <c r="BJ880" s="29">
        <f>COUNT(Archive[[#This Row],[Candidate Transfer Standard - Zero 1]:[Candidate Transfer Standard - Zero 2]])</f>
        <v>0</v>
      </c>
    </row>
    <row r="881" spans="1:62" x14ac:dyDescent="0.3">
      <c r="A881" s="57"/>
      <c r="BG88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81" s="29" t="e">
        <f>BG881/DEVSQ(Archive[[#This Row],[Higher Level Standard - Zero 1]:[Higher Level Standard - Zero 2]])</f>
        <v>#VALUE!</v>
      </c>
      <c r="BI881" s="29" t="e">
        <f>BG881*(1/COUNT(Archive[[#This Row],[Candidate Transfer Standard - Zero 1]:[Candidate Transfer Standard - Zero 2]])+AVERAGE(Archive[[#This Row],[Higher Level Standard - Zero 1]:[Higher Level Standard - Zero 2]])^2/DEVSQ(Archive[[#This Row],[Higher Level Standard - Zero 1]:[Higher Level Standard - Zero 2]]))</f>
        <v>#VALUE!</v>
      </c>
      <c r="BJ881" s="29">
        <f>COUNT(Archive[[#This Row],[Candidate Transfer Standard - Zero 1]:[Candidate Transfer Standard - Zero 2]])</f>
        <v>0</v>
      </c>
    </row>
    <row r="882" spans="1:62" x14ac:dyDescent="0.3">
      <c r="A882" s="57"/>
      <c r="BG88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82" s="29" t="e">
        <f>BG882/DEVSQ(Archive[[#This Row],[Higher Level Standard - Zero 1]:[Higher Level Standard - Zero 2]])</f>
        <v>#VALUE!</v>
      </c>
      <c r="BI882" s="29" t="e">
        <f>BG882*(1/COUNT(Archive[[#This Row],[Candidate Transfer Standard - Zero 1]:[Candidate Transfer Standard - Zero 2]])+AVERAGE(Archive[[#This Row],[Higher Level Standard - Zero 1]:[Higher Level Standard - Zero 2]])^2/DEVSQ(Archive[[#This Row],[Higher Level Standard - Zero 1]:[Higher Level Standard - Zero 2]]))</f>
        <v>#VALUE!</v>
      </c>
      <c r="BJ882" s="29">
        <f>COUNT(Archive[[#This Row],[Candidate Transfer Standard - Zero 1]:[Candidate Transfer Standard - Zero 2]])</f>
        <v>0</v>
      </c>
    </row>
    <row r="883" spans="1:62" x14ac:dyDescent="0.3">
      <c r="A883" s="57"/>
      <c r="BG88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83" s="29" t="e">
        <f>BG883/DEVSQ(Archive[[#This Row],[Higher Level Standard - Zero 1]:[Higher Level Standard - Zero 2]])</f>
        <v>#VALUE!</v>
      </c>
      <c r="BI883" s="29" t="e">
        <f>BG883*(1/COUNT(Archive[[#This Row],[Candidate Transfer Standard - Zero 1]:[Candidate Transfer Standard - Zero 2]])+AVERAGE(Archive[[#This Row],[Higher Level Standard - Zero 1]:[Higher Level Standard - Zero 2]])^2/DEVSQ(Archive[[#This Row],[Higher Level Standard - Zero 1]:[Higher Level Standard - Zero 2]]))</f>
        <v>#VALUE!</v>
      </c>
      <c r="BJ883" s="29">
        <f>COUNT(Archive[[#This Row],[Candidate Transfer Standard - Zero 1]:[Candidate Transfer Standard - Zero 2]])</f>
        <v>0</v>
      </c>
    </row>
    <row r="884" spans="1:62" x14ac:dyDescent="0.3">
      <c r="A884" s="57"/>
      <c r="BG88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84" s="29" t="e">
        <f>BG884/DEVSQ(Archive[[#This Row],[Higher Level Standard - Zero 1]:[Higher Level Standard - Zero 2]])</f>
        <v>#VALUE!</v>
      </c>
      <c r="BI884" s="29" t="e">
        <f>BG884*(1/COUNT(Archive[[#This Row],[Candidate Transfer Standard - Zero 1]:[Candidate Transfer Standard - Zero 2]])+AVERAGE(Archive[[#This Row],[Higher Level Standard - Zero 1]:[Higher Level Standard - Zero 2]])^2/DEVSQ(Archive[[#This Row],[Higher Level Standard - Zero 1]:[Higher Level Standard - Zero 2]]))</f>
        <v>#VALUE!</v>
      </c>
      <c r="BJ884" s="29">
        <f>COUNT(Archive[[#This Row],[Candidate Transfer Standard - Zero 1]:[Candidate Transfer Standard - Zero 2]])</f>
        <v>0</v>
      </c>
    </row>
    <row r="885" spans="1:62" x14ac:dyDescent="0.3">
      <c r="A885" s="57"/>
      <c r="BG88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85" s="29" t="e">
        <f>BG885/DEVSQ(Archive[[#This Row],[Higher Level Standard - Zero 1]:[Higher Level Standard - Zero 2]])</f>
        <v>#VALUE!</v>
      </c>
      <c r="BI885" s="29" t="e">
        <f>BG885*(1/COUNT(Archive[[#This Row],[Candidate Transfer Standard - Zero 1]:[Candidate Transfer Standard - Zero 2]])+AVERAGE(Archive[[#This Row],[Higher Level Standard - Zero 1]:[Higher Level Standard - Zero 2]])^2/DEVSQ(Archive[[#This Row],[Higher Level Standard - Zero 1]:[Higher Level Standard - Zero 2]]))</f>
        <v>#VALUE!</v>
      </c>
      <c r="BJ885" s="29">
        <f>COUNT(Archive[[#This Row],[Candidate Transfer Standard - Zero 1]:[Candidate Transfer Standard - Zero 2]])</f>
        <v>0</v>
      </c>
    </row>
    <row r="886" spans="1:62" x14ac:dyDescent="0.3">
      <c r="A886" s="57"/>
      <c r="BG88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86" s="29" t="e">
        <f>BG886/DEVSQ(Archive[[#This Row],[Higher Level Standard - Zero 1]:[Higher Level Standard - Zero 2]])</f>
        <v>#VALUE!</v>
      </c>
      <c r="BI886" s="29" t="e">
        <f>BG886*(1/COUNT(Archive[[#This Row],[Candidate Transfer Standard - Zero 1]:[Candidate Transfer Standard - Zero 2]])+AVERAGE(Archive[[#This Row],[Higher Level Standard - Zero 1]:[Higher Level Standard - Zero 2]])^2/DEVSQ(Archive[[#This Row],[Higher Level Standard - Zero 1]:[Higher Level Standard - Zero 2]]))</f>
        <v>#VALUE!</v>
      </c>
      <c r="BJ886" s="29">
        <f>COUNT(Archive[[#This Row],[Candidate Transfer Standard - Zero 1]:[Candidate Transfer Standard - Zero 2]])</f>
        <v>0</v>
      </c>
    </row>
    <row r="887" spans="1:62" x14ac:dyDescent="0.3">
      <c r="A887" s="57"/>
      <c r="BG88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87" s="29" t="e">
        <f>BG887/DEVSQ(Archive[[#This Row],[Higher Level Standard - Zero 1]:[Higher Level Standard - Zero 2]])</f>
        <v>#VALUE!</v>
      </c>
      <c r="BI887" s="29" t="e">
        <f>BG887*(1/COUNT(Archive[[#This Row],[Candidate Transfer Standard - Zero 1]:[Candidate Transfer Standard - Zero 2]])+AVERAGE(Archive[[#This Row],[Higher Level Standard - Zero 1]:[Higher Level Standard - Zero 2]])^2/DEVSQ(Archive[[#This Row],[Higher Level Standard - Zero 1]:[Higher Level Standard - Zero 2]]))</f>
        <v>#VALUE!</v>
      </c>
      <c r="BJ887" s="29">
        <f>COUNT(Archive[[#This Row],[Candidate Transfer Standard - Zero 1]:[Candidate Transfer Standard - Zero 2]])</f>
        <v>0</v>
      </c>
    </row>
    <row r="888" spans="1:62" x14ac:dyDescent="0.3">
      <c r="A888" s="57"/>
      <c r="BG88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88" s="29" t="e">
        <f>BG888/DEVSQ(Archive[[#This Row],[Higher Level Standard - Zero 1]:[Higher Level Standard - Zero 2]])</f>
        <v>#VALUE!</v>
      </c>
      <c r="BI888" s="29" t="e">
        <f>BG888*(1/COUNT(Archive[[#This Row],[Candidate Transfer Standard - Zero 1]:[Candidate Transfer Standard - Zero 2]])+AVERAGE(Archive[[#This Row],[Higher Level Standard - Zero 1]:[Higher Level Standard - Zero 2]])^2/DEVSQ(Archive[[#This Row],[Higher Level Standard - Zero 1]:[Higher Level Standard - Zero 2]]))</f>
        <v>#VALUE!</v>
      </c>
      <c r="BJ888" s="29">
        <f>COUNT(Archive[[#This Row],[Candidate Transfer Standard - Zero 1]:[Candidate Transfer Standard - Zero 2]])</f>
        <v>0</v>
      </c>
    </row>
    <row r="889" spans="1:62" x14ac:dyDescent="0.3">
      <c r="A889" s="57"/>
      <c r="BG88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89" s="29" t="e">
        <f>BG889/DEVSQ(Archive[[#This Row],[Higher Level Standard - Zero 1]:[Higher Level Standard - Zero 2]])</f>
        <v>#VALUE!</v>
      </c>
      <c r="BI889" s="29" t="e">
        <f>BG889*(1/COUNT(Archive[[#This Row],[Candidate Transfer Standard - Zero 1]:[Candidate Transfer Standard - Zero 2]])+AVERAGE(Archive[[#This Row],[Higher Level Standard - Zero 1]:[Higher Level Standard - Zero 2]])^2/DEVSQ(Archive[[#This Row],[Higher Level Standard - Zero 1]:[Higher Level Standard - Zero 2]]))</f>
        <v>#VALUE!</v>
      </c>
      <c r="BJ889" s="29">
        <f>COUNT(Archive[[#This Row],[Candidate Transfer Standard - Zero 1]:[Candidate Transfer Standard - Zero 2]])</f>
        <v>0</v>
      </c>
    </row>
    <row r="890" spans="1:62" x14ac:dyDescent="0.3">
      <c r="A890" s="57"/>
      <c r="BG89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90" s="29" t="e">
        <f>BG890/DEVSQ(Archive[[#This Row],[Higher Level Standard - Zero 1]:[Higher Level Standard - Zero 2]])</f>
        <v>#VALUE!</v>
      </c>
      <c r="BI890" s="29" t="e">
        <f>BG890*(1/COUNT(Archive[[#This Row],[Candidate Transfer Standard - Zero 1]:[Candidate Transfer Standard - Zero 2]])+AVERAGE(Archive[[#This Row],[Higher Level Standard - Zero 1]:[Higher Level Standard - Zero 2]])^2/DEVSQ(Archive[[#This Row],[Higher Level Standard - Zero 1]:[Higher Level Standard - Zero 2]]))</f>
        <v>#VALUE!</v>
      </c>
      <c r="BJ890" s="29">
        <f>COUNT(Archive[[#This Row],[Candidate Transfer Standard - Zero 1]:[Candidate Transfer Standard - Zero 2]])</f>
        <v>0</v>
      </c>
    </row>
    <row r="891" spans="1:62" x14ac:dyDescent="0.3">
      <c r="A891" s="57"/>
      <c r="BG89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91" s="29" t="e">
        <f>BG891/DEVSQ(Archive[[#This Row],[Higher Level Standard - Zero 1]:[Higher Level Standard - Zero 2]])</f>
        <v>#VALUE!</v>
      </c>
      <c r="BI891" s="29" t="e">
        <f>BG891*(1/COUNT(Archive[[#This Row],[Candidate Transfer Standard - Zero 1]:[Candidate Transfer Standard - Zero 2]])+AVERAGE(Archive[[#This Row],[Higher Level Standard - Zero 1]:[Higher Level Standard - Zero 2]])^2/DEVSQ(Archive[[#This Row],[Higher Level Standard - Zero 1]:[Higher Level Standard - Zero 2]]))</f>
        <v>#VALUE!</v>
      </c>
      <c r="BJ891" s="29">
        <f>COUNT(Archive[[#This Row],[Candidate Transfer Standard - Zero 1]:[Candidate Transfer Standard - Zero 2]])</f>
        <v>0</v>
      </c>
    </row>
    <row r="892" spans="1:62" x14ac:dyDescent="0.3">
      <c r="A892" s="57"/>
      <c r="BG89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92" s="29" t="e">
        <f>BG892/DEVSQ(Archive[[#This Row],[Higher Level Standard - Zero 1]:[Higher Level Standard - Zero 2]])</f>
        <v>#VALUE!</v>
      </c>
      <c r="BI892" s="29" t="e">
        <f>BG892*(1/COUNT(Archive[[#This Row],[Candidate Transfer Standard - Zero 1]:[Candidate Transfer Standard - Zero 2]])+AVERAGE(Archive[[#This Row],[Higher Level Standard - Zero 1]:[Higher Level Standard - Zero 2]])^2/DEVSQ(Archive[[#This Row],[Higher Level Standard - Zero 1]:[Higher Level Standard - Zero 2]]))</f>
        <v>#VALUE!</v>
      </c>
      <c r="BJ892" s="29">
        <f>COUNT(Archive[[#This Row],[Candidate Transfer Standard - Zero 1]:[Candidate Transfer Standard - Zero 2]])</f>
        <v>0</v>
      </c>
    </row>
    <row r="893" spans="1:62" x14ac:dyDescent="0.3">
      <c r="A893" s="57"/>
      <c r="BG89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93" s="29" t="e">
        <f>BG893/DEVSQ(Archive[[#This Row],[Higher Level Standard - Zero 1]:[Higher Level Standard - Zero 2]])</f>
        <v>#VALUE!</v>
      </c>
      <c r="BI893" s="29" t="e">
        <f>BG893*(1/COUNT(Archive[[#This Row],[Candidate Transfer Standard - Zero 1]:[Candidate Transfer Standard - Zero 2]])+AVERAGE(Archive[[#This Row],[Higher Level Standard - Zero 1]:[Higher Level Standard - Zero 2]])^2/DEVSQ(Archive[[#This Row],[Higher Level Standard - Zero 1]:[Higher Level Standard - Zero 2]]))</f>
        <v>#VALUE!</v>
      </c>
      <c r="BJ893" s="29">
        <f>COUNT(Archive[[#This Row],[Candidate Transfer Standard - Zero 1]:[Candidate Transfer Standard - Zero 2]])</f>
        <v>0</v>
      </c>
    </row>
    <row r="894" spans="1:62" x14ac:dyDescent="0.3">
      <c r="A894" s="57"/>
      <c r="BG89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94" s="29" t="e">
        <f>BG894/DEVSQ(Archive[[#This Row],[Higher Level Standard - Zero 1]:[Higher Level Standard - Zero 2]])</f>
        <v>#VALUE!</v>
      </c>
      <c r="BI894" s="29" t="e">
        <f>BG894*(1/COUNT(Archive[[#This Row],[Candidate Transfer Standard - Zero 1]:[Candidate Transfer Standard - Zero 2]])+AVERAGE(Archive[[#This Row],[Higher Level Standard - Zero 1]:[Higher Level Standard - Zero 2]])^2/DEVSQ(Archive[[#This Row],[Higher Level Standard - Zero 1]:[Higher Level Standard - Zero 2]]))</f>
        <v>#VALUE!</v>
      </c>
      <c r="BJ894" s="29">
        <f>COUNT(Archive[[#This Row],[Candidate Transfer Standard - Zero 1]:[Candidate Transfer Standard - Zero 2]])</f>
        <v>0</v>
      </c>
    </row>
    <row r="895" spans="1:62" x14ac:dyDescent="0.3">
      <c r="A895" s="57"/>
      <c r="BG89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95" s="29" t="e">
        <f>BG895/DEVSQ(Archive[[#This Row],[Higher Level Standard - Zero 1]:[Higher Level Standard - Zero 2]])</f>
        <v>#VALUE!</v>
      </c>
      <c r="BI895" s="29" t="e">
        <f>BG895*(1/COUNT(Archive[[#This Row],[Candidate Transfer Standard - Zero 1]:[Candidate Transfer Standard - Zero 2]])+AVERAGE(Archive[[#This Row],[Higher Level Standard - Zero 1]:[Higher Level Standard - Zero 2]])^2/DEVSQ(Archive[[#This Row],[Higher Level Standard - Zero 1]:[Higher Level Standard - Zero 2]]))</f>
        <v>#VALUE!</v>
      </c>
      <c r="BJ895" s="29">
        <f>COUNT(Archive[[#This Row],[Candidate Transfer Standard - Zero 1]:[Candidate Transfer Standard - Zero 2]])</f>
        <v>0</v>
      </c>
    </row>
    <row r="896" spans="1:62" x14ac:dyDescent="0.3">
      <c r="A896" s="57"/>
      <c r="BG89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96" s="29" t="e">
        <f>BG896/DEVSQ(Archive[[#This Row],[Higher Level Standard - Zero 1]:[Higher Level Standard - Zero 2]])</f>
        <v>#VALUE!</v>
      </c>
      <c r="BI896" s="29" t="e">
        <f>BG896*(1/COUNT(Archive[[#This Row],[Candidate Transfer Standard - Zero 1]:[Candidate Transfer Standard - Zero 2]])+AVERAGE(Archive[[#This Row],[Higher Level Standard - Zero 1]:[Higher Level Standard - Zero 2]])^2/DEVSQ(Archive[[#This Row],[Higher Level Standard - Zero 1]:[Higher Level Standard - Zero 2]]))</f>
        <v>#VALUE!</v>
      </c>
      <c r="BJ896" s="29">
        <f>COUNT(Archive[[#This Row],[Candidate Transfer Standard - Zero 1]:[Candidate Transfer Standard - Zero 2]])</f>
        <v>0</v>
      </c>
    </row>
    <row r="897" spans="1:62" x14ac:dyDescent="0.3">
      <c r="A897" s="57"/>
      <c r="BG89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97" s="29" t="e">
        <f>BG897/DEVSQ(Archive[[#This Row],[Higher Level Standard - Zero 1]:[Higher Level Standard - Zero 2]])</f>
        <v>#VALUE!</v>
      </c>
      <c r="BI897" s="29" t="e">
        <f>BG897*(1/COUNT(Archive[[#This Row],[Candidate Transfer Standard - Zero 1]:[Candidate Transfer Standard - Zero 2]])+AVERAGE(Archive[[#This Row],[Higher Level Standard - Zero 1]:[Higher Level Standard - Zero 2]])^2/DEVSQ(Archive[[#This Row],[Higher Level Standard - Zero 1]:[Higher Level Standard - Zero 2]]))</f>
        <v>#VALUE!</v>
      </c>
      <c r="BJ897" s="29">
        <f>COUNT(Archive[[#This Row],[Candidate Transfer Standard - Zero 1]:[Candidate Transfer Standard - Zero 2]])</f>
        <v>0</v>
      </c>
    </row>
    <row r="898" spans="1:62" x14ac:dyDescent="0.3">
      <c r="A898" s="57"/>
      <c r="BG89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98" s="29" t="e">
        <f>BG898/DEVSQ(Archive[[#This Row],[Higher Level Standard - Zero 1]:[Higher Level Standard - Zero 2]])</f>
        <v>#VALUE!</v>
      </c>
      <c r="BI898" s="29" t="e">
        <f>BG898*(1/COUNT(Archive[[#This Row],[Candidate Transfer Standard - Zero 1]:[Candidate Transfer Standard - Zero 2]])+AVERAGE(Archive[[#This Row],[Higher Level Standard - Zero 1]:[Higher Level Standard - Zero 2]])^2/DEVSQ(Archive[[#This Row],[Higher Level Standard - Zero 1]:[Higher Level Standard - Zero 2]]))</f>
        <v>#VALUE!</v>
      </c>
      <c r="BJ898" s="29">
        <f>COUNT(Archive[[#This Row],[Candidate Transfer Standard - Zero 1]:[Candidate Transfer Standard - Zero 2]])</f>
        <v>0</v>
      </c>
    </row>
    <row r="899" spans="1:62" x14ac:dyDescent="0.3">
      <c r="A899" s="57"/>
      <c r="BG89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899" s="29" t="e">
        <f>BG899/DEVSQ(Archive[[#This Row],[Higher Level Standard - Zero 1]:[Higher Level Standard - Zero 2]])</f>
        <v>#VALUE!</v>
      </c>
      <c r="BI899" s="29" t="e">
        <f>BG899*(1/COUNT(Archive[[#This Row],[Candidate Transfer Standard - Zero 1]:[Candidate Transfer Standard - Zero 2]])+AVERAGE(Archive[[#This Row],[Higher Level Standard - Zero 1]:[Higher Level Standard - Zero 2]])^2/DEVSQ(Archive[[#This Row],[Higher Level Standard - Zero 1]:[Higher Level Standard - Zero 2]]))</f>
        <v>#VALUE!</v>
      </c>
      <c r="BJ899" s="29">
        <f>COUNT(Archive[[#This Row],[Candidate Transfer Standard - Zero 1]:[Candidate Transfer Standard - Zero 2]])</f>
        <v>0</v>
      </c>
    </row>
    <row r="900" spans="1:62" x14ac:dyDescent="0.3">
      <c r="A900" s="57"/>
      <c r="BG90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00" s="29" t="e">
        <f>BG900/DEVSQ(Archive[[#This Row],[Higher Level Standard - Zero 1]:[Higher Level Standard - Zero 2]])</f>
        <v>#VALUE!</v>
      </c>
      <c r="BI900" s="29" t="e">
        <f>BG900*(1/COUNT(Archive[[#This Row],[Candidate Transfer Standard - Zero 1]:[Candidate Transfer Standard - Zero 2]])+AVERAGE(Archive[[#This Row],[Higher Level Standard - Zero 1]:[Higher Level Standard - Zero 2]])^2/DEVSQ(Archive[[#This Row],[Higher Level Standard - Zero 1]:[Higher Level Standard - Zero 2]]))</f>
        <v>#VALUE!</v>
      </c>
      <c r="BJ900" s="29">
        <f>COUNT(Archive[[#This Row],[Candidate Transfer Standard - Zero 1]:[Candidate Transfer Standard - Zero 2]])</f>
        <v>0</v>
      </c>
    </row>
    <row r="901" spans="1:62" x14ac:dyDescent="0.3">
      <c r="A901" s="57"/>
      <c r="BG90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01" s="29" t="e">
        <f>BG901/DEVSQ(Archive[[#This Row],[Higher Level Standard - Zero 1]:[Higher Level Standard - Zero 2]])</f>
        <v>#VALUE!</v>
      </c>
      <c r="BI901" s="29" t="e">
        <f>BG901*(1/COUNT(Archive[[#This Row],[Candidate Transfer Standard - Zero 1]:[Candidate Transfer Standard - Zero 2]])+AVERAGE(Archive[[#This Row],[Higher Level Standard - Zero 1]:[Higher Level Standard - Zero 2]])^2/DEVSQ(Archive[[#This Row],[Higher Level Standard - Zero 1]:[Higher Level Standard - Zero 2]]))</f>
        <v>#VALUE!</v>
      </c>
      <c r="BJ901" s="29">
        <f>COUNT(Archive[[#This Row],[Candidate Transfer Standard - Zero 1]:[Candidate Transfer Standard - Zero 2]])</f>
        <v>0</v>
      </c>
    </row>
    <row r="902" spans="1:62" x14ac:dyDescent="0.3">
      <c r="A902" s="57"/>
      <c r="BG90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02" s="29" t="e">
        <f>BG902/DEVSQ(Archive[[#This Row],[Higher Level Standard - Zero 1]:[Higher Level Standard - Zero 2]])</f>
        <v>#VALUE!</v>
      </c>
      <c r="BI902" s="29" t="e">
        <f>BG902*(1/COUNT(Archive[[#This Row],[Candidate Transfer Standard - Zero 1]:[Candidate Transfer Standard - Zero 2]])+AVERAGE(Archive[[#This Row],[Higher Level Standard - Zero 1]:[Higher Level Standard - Zero 2]])^2/DEVSQ(Archive[[#This Row],[Higher Level Standard - Zero 1]:[Higher Level Standard - Zero 2]]))</f>
        <v>#VALUE!</v>
      </c>
      <c r="BJ902" s="29">
        <f>COUNT(Archive[[#This Row],[Candidate Transfer Standard - Zero 1]:[Candidate Transfer Standard - Zero 2]])</f>
        <v>0</v>
      </c>
    </row>
    <row r="903" spans="1:62" x14ac:dyDescent="0.3">
      <c r="A903" s="57"/>
      <c r="BG90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03" s="29" t="e">
        <f>BG903/DEVSQ(Archive[[#This Row],[Higher Level Standard - Zero 1]:[Higher Level Standard - Zero 2]])</f>
        <v>#VALUE!</v>
      </c>
      <c r="BI903" s="29" t="e">
        <f>BG903*(1/COUNT(Archive[[#This Row],[Candidate Transfer Standard - Zero 1]:[Candidate Transfer Standard - Zero 2]])+AVERAGE(Archive[[#This Row],[Higher Level Standard - Zero 1]:[Higher Level Standard - Zero 2]])^2/DEVSQ(Archive[[#This Row],[Higher Level Standard - Zero 1]:[Higher Level Standard - Zero 2]]))</f>
        <v>#VALUE!</v>
      </c>
      <c r="BJ903" s="29">
        <f>COUNT(Archive[[#This Row],[Candidate Transfer Standard - Zero 1]:[Candidate Transfer Standard - Zero 2]])</f>
        <v>0</v>
      </c>
    </row>
    <row r="904" spans="1:62" x14ac:dyDescent="0.3">
      <c r="A904" s="57"/>
      <c r="BG90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04" s="29" t="e">
        <f>BG904/DEVSQ(Archive[[#This Row],[Higher Level Standard - Zero 1]:[Higher Level Standard - Zero 2]])</f>
        <v>#VALUE!</v>
      </c>
      <c r="BI904" s="29" t="e">
        <f>BG904*(1/COUNT(Archive[[#This Row],[Candidate Transfer Standard - Zero 1]:[Candidate Transfer Standard - Zero 2]])+AVERAGE(Archive[[#This Row],[Higher Level Standard - Zero 1]:[Higher Level Standard - Zero 2]])^2/DEVSQ(Archive[[#This Row],[Higher Level Standard - Zero 1]:[Higher Level Standard - Zero 2]]))</f>
        <v>#VALUE!</v>
      </c>
      <c r="BJ904" s="29">
        <f>COUNT(Archive[[#This Row],[Candidate Transfer Standard - Zero 1]:[Candidate Transfer Standard - Zero 2]])</f>
        <v>0</v>
      </c>
    </row>
    <row r="905" spans="1:62" x14ac:dyDescent="0.3">
      <c r="A905" s="57"/>
      <c r="BG90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05" s="29" t="e">
        <f>BG905/DEVSQ(Archive[[#This Row],[Higher Level Standard - Zero 1]:[Higher Level Standard - Zero 2]])</f>
        <v>#VALUE!</v>
      </c>
      <c r="BI905" s="29" t="e">
        <f>BG905*(1/COUNT(Archive[[#This Row],[Candidate Transfer Standard - Zero 1]:[Candidate Transfer Standard - Zero 2]])+AVERAGE(Archive[[#This Row],[Higher Level Standard - Zero 1]:[Higher Level Standard - Zero 2]])^2/DEVSQ(Archive[[#This Row],[Higher Level Standard - Zero 1]:[Higher Level Standard - Zero 2]]))</f>
        <v>#VALUE!</v>
      </c>
      <c r="BJ905" s="29">
        <f>COUNT(Archive[[#This Row],[Candidate Transfer Standard - Zero 1]:[Candidate Transfer Standard - Zero 2]])</f>
        <v>0</v>
      </c>
    </row>
    <row r="906" spans="1:62" x14ac:dyDescent="0.3">
      <c r="A906" s="57"/>
      <c r="BG90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06" s="29" t="e">
        <f>BG906/DEVSQ(Archive[[#This Row],[Higher Level Standard - Zero 1]:[Higher Level Standard - Zero 2]])</f>
        <v>#VALUE!</v>
      </c>
      <c r="BI906" s="29" t="e">
        <f>BG906*(1/COUNT(Archive[[#This Row],[Candidate Transfer Standard - Zero 1]:[Candidate Transfer Standard - Zero 2]])+AVERAGE(Archive[[#This Row],[Higher Level Standard - Zero 1]:[Higher Level Standard - Zero 2]])^2/DEVSQ(Archive[[#This Row],[Higher Level Standard - Zero 1]:[Higher Level Standard - Zero 2]]))</f>
        <v>#VALUE!</v>
      </c>
      <c r="BJ906" s="29">
        <f>COUNT(Archive[[#This Row],[Candidate Transfer Standard - Zero 1]:[Candidate Transfer Standard - Zero 2]])</f>
        <v>0</v>
      </c>
    </row>
    <row r="907" spans="1:62" x14ac:dyDescent="0.3">
      <c r="A907" s="57"/>
      <c r="BG90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07" s="29" t="e">
        <f>BG907/DEVSQ(Archive[[#This Row],[Higher Level Standard - Zero 1]:[Higher Level Standard - Zero 2]])</f>
        <v>#VALUE!</v>
      </c>
      <c r="BI907" s="29" t="e">
        <f>BG907*(1/COUNT(Archive[[#This Row],[Candidate Transfer Standard - Zero 1]:[Candidate Transfer Standard - Zero 2]])+AVERAGE(Archive[[#This Row],[Higher Level Standard - Zero 1]:[Higher Level Standard - Zero 2]])^2/DEVSQ(Archive[[#This Row],[Higher Level Standard - Zero 1]:[Higher Level Standard - Zero 2]]))</f>
        <v>#VALUE!</v>
      </c>
      <c r="BJ907" s="29">
        <f>COUNT(Archive[[#This Row],[Candidate Transfer Standard - Zero 1]:[Candidate Transfer Standard - Zero 2]])</f>
        <v>0</v>
      </c>
    </row>
    <row r="908" spans="1:62" x14ac:dyDescent="0.3">
      <c r="A908" s="57"/>
      <c r="BG90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08" s="29" t="e">
        <f>BG908/DEVSQ(Archive[[#This Row],[Higher Level Standard - Zero 1]:[Higher Level Standard - Zero 2]])</f>
        <v>#VALUE!</v>
      </c>
      <c r="BI908" s="29" t="e">
        <f>BG908*(1/COUNT(Archive[[#This Row],[Candidate Transfer Standard - Zero 1]:[Candidate Transfer Standard - Zero 2]])+AVERAGE(Archive[[#This Row],[Higher Level Standard - Zero 1]:[Higher Level Standard - Zero 2]])^2/DEVSQ(Archive[[#This Row],[Higher Level Standard - Zero 1]:[Higher Level Standard - Zero 2]]))</f>
        <v>#VALUE!</v>
      </c>
      <c r="BJ908" s="29">
        <f>COUNT(Archive[[#This Row],[Candidate Transfer Standard - Zero 1]:[Candidate Transfer Standard - Zero 2]])</f>
        <v>0</v>
      </c>
    </row>
    <row r="909" spans="1:62" x14ac:dyDescent="0.3">
      <c r="A909" s="57"/>
      <c r="BG90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09" s="29" t="e">
        <f>BG909/DEVSQ(Archive[[#This Row],[Higher Level Standard - Zero 1]:[Higher Level Standard - Zero 2]])</f>
        <v>#VALUE!</v>
      </c>
      <c r="BI909" s="29" t="e">
        <f>BG909*(1/COUNT(Archive[[#This Row],[Candidate Transfer Standard - Zero 1]:[Candidate Transfer Standard - Zero 2]])+AVERAGE(Archive[[#This Row],[Higher Level Standard - Zero 1]:[Higher Level Standard - Zero 2]])^2/DEVSQ(Archive[[#This Row],[Higher Level Standard - Zero 1]:[Higher Level Standard - Zero 2]]))</f>
        <v>#VALUE!</v>
      </c>
      <c r="BJ909" s="29">
        <f>COUNT(Archive[[#This Row],[Candidate Transfer Standard - Zero 1]:[Candidate Transfer Standard - Zero 2]])</f>
        <v>0</v>
      </c>
    </row>
    <row r="910" spans="1:62" x14ac:dyDescent="0.3">
      <c r="A910" s="57"/>
      <c r="BG91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10" s="29" t="e">
        <f>BG910/DEVSQ(Archive[[#This Row],[Higher Level Standard - Zero 1]:[Higher Level Standard - Zero 2]])</f>
        <v>#VALUE!</v>
      </c>
      <c r="BI910" s="29" t="e">
        <f>BG910*(1/COUNT(Archive[[#This Row],[Candidate Transfer Standard - Zero 1]:[Candidate Transfer Standard - Zero 2]])+AVERAGE(Archive[[#This Row],[Higher Level Standard - Zero 1]:[Higher Level Standard - Zero 2]])^2/DEVSQ(Archive[[#This Row],[Higher Level Standard - Zero 1]:[Higher Level Standard - Zero 2]]))</f>
        <v>#VALUE!</v>
      </c>
      <c r="BJ910" s="29">
        <f>COUNT(Archive[[#This Row],[Candidate Transfer Standard - Zero 1]:[Candidate Transfer Standard - Zero 2]])</f>
        <v>0</v>
      </c>
    </row>
    <row r="911" spans="1:62" x14ac:dyDescent="0.3">
      <c r="A911" s="57"/>
      <c r="BG91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11" s="29" t="e">
        <f>BG911/DEVSQ(Archive[[#This Row],[Higher Level Standard - Zero 1]:[Higher Level Standard - Zero 2]])</f>
        <v>#VALUE!</v>
      </c>
      <c r="BI911" s="29" t="e">
        <f>BG911*(1/COUNT(Archive[[#This Row],[Candidate Transfer Standard - Zero 1]:[Candidate Transfer Standard - Zero 2]])+AVERAGE(Archive[[#This Row],[Higher Level Standard - Zero 1]:[Higher Level Standard - Zero 2]])^2/DEVSQ(Archive[[#This Row],[Higher Level Standard - Zero 1]:[Higher Level Standard - Zero 2]]))</f>
        <v>#VALUE!</v>
      </c>
      <c r="BJ911" s="29">
        <f>COUNT(Archive[[#This Row],[Candidate Transfer Standard - Zero 1]:[Candidate Transfer Standard - Zero 2]])</f>
        <v>0</v>
      </c>
    </row>
    <row r="912" spans="1:62" x14ac:dyDescent="0.3">
      <c r="A912" s="57"/>
      <c r="BG91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12" s="29" t="e">
        <f>BG912/DEVSQ(Archive[[#This Row],[Higher Level Standard - Zero 1]:[Higher Level Standard - Zero 2]])</f>
        <v>#VALUE!</v>
      </c>
      <c r="BI912" s="29" t="e">
        <f>BG912*(1/COUNT(Archive[[#This Row],[Candidate Transfer Standard - Zero 1]:[Candidate Transfer Standard - Zero 2]])+AVERAGE(Archive[[#This Row],[Higher Level Standard - Zero 1]:[Higher Level Standard - Zero 2]])^2/DEVSQ(Archive[[#This Row],[Higher Level Standard - Zero 1]:[Higher Level Standard - Zero 2]]))</f>
        <v>#VALUE!</v>
      </c>
      <c r="BJ912" s="29">
        <f>COUNT(Archive[[#This Row],[Candidate Transfer Standard - Zero 1]:[Candidate Transfer Standard - Zero 2]])</f>
        <v>0</v>
      </c>
    </row>
    <row r="913" spans="1:62" x14ac:dyDescent="0.3">
      <c r="A913" s="57"/>
      <c r="BG91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13" s="29" t="e">
        <f>BG913/DEVSQ(Archive[[#This Row],[Higher Level Standard - Zero 1]:[Higher Level Standard - Zero 2]])</f>
        <v>#VALUE!</v>
      </c>
      <c r="BI913" s="29" t="e">
        <f>BG913*(1/COUNT(Archive[[#This Row],[Candidate Transfer Standard - Zero 1]:[Candidate Transfer Standard - Zero 2]])+AVERAGE(Archive[[#This Row],[Higher Level Standard - Zero 1]:[Higher Level Standard - Zero 2]])^2/DEVSQ(Archive[[#This Row],[Higher Level Standard - Zero 1]:[Higher Level Standard - Zero 2]]))</f>
        <v>#VALUE!</v>
      </c>
      <c r="BJ913" s="29">
        <f>COUNT(Archive[[#This Row],[Candidate Transfer Standard - Zero 1]:[Candidate Transfer Standard - Zero 2]])</f>
        <v>0</v>
      </c>
    </row>
    <row r="914" spans="1:62" x14ac:dyDescent="0.3">
      <c r="A914" s="57"/>
      <c r="BG91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14" s="29" t="e">
        <f>BG914/DEVSQ(Archive[[#This Row],[Higher Level Standard - Zero 1]:[Higher Level Standard - Zero 2]])</f>
        <v>#VALUE!</v>
      </c>
      <c r="BI914" s="29" t="e">
        <f>BG914*(1/COUNT(Archive[[#This Row],[Candidate Transfer Standard - Zero 1]:[Candidate Transfer Standard - Zero 2]])+AVERAGE(Archive[[#This Row],[Higher Level Standard - Zero 1]:[Higher Level Standard - Zero 2]])^2/DEVSQ(Archive[[#This Row],[Higher Level Standard - Zero 1]:[Higher Level Standard - Zero 2]]))</f>
        <v>#VALUE!</v>
      </c>
      <c r="BJ914" s="29">
        <f>COUNT(Archive[[#This Row],[Candidate Transfer Standard - Zero 1]:[Candidate Transfer Standard - Zero 2]])</f>
        <v>0</v>
      </c>
    </row>
    <row r="915" spans="1:62" x14ac:dyDescent="0.3">
      <c r="A915" s="57"/>
      <c r="BG91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15" s="29" t="e">
        <f>BG915/DEVSQ(Archive[[#This Row],[Higher Level Standard - Zero 1]:[Higher Level Standard - Zero 2]])</f>
        <v>#VALUE!</v>
      </c>
      <c r="BI915" s="29" t="e">
        <f>BG915*(1/COUNT(Archive[[#This Row],[Candidate Transfer Standard - Zero 1]:[Candidate Transfer Standard - Zero 2]])+AVERAGE(Archive[[#This Row],[Higher Level Standard - Zero 1]:[Higher Level Standard - Zero 2]])^2/DEVSQ(Archive[[#This Row],[Higher Level Standard - Zero 1]:[Higher Level Standard - Zero 2]]))</f>
        <v>#VALUE!</v>
      </c>
      <c r="BJ915" s="29">
        <f>COUNT(Archive[[#This Row],[Candidate Transfer Standard - Zero 1]:[Candidate Transfer Standard - Zero 2]])</f>
        <v>0</v>
      </c>
    </row>
    <row r="916" spans="1:62" x14ac:dyDescent="0.3">
      <c r="A916" s="57"/>
      <c r="BG91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16" s="29" t="e">
        <f>BG916/DEVSQ(Archive[[#This Row],[Higher Level Standard - Zero 1]:[Higher Level Standard - Zero 2]])</f>
        <v>#VALUE!</v>
      </c>
      <c r="BI916" s="29" t="e">
        <f>BG916*(1/COUNT(Archive[[#This Row],[Candidate Transfer Standard - Zero 1]:[Candidate Transfer Standard - Zero 2]])+AVERAGE(Archive[[#This Row],[Higher Level Standard - Zero 1]:[Higher Level Standard - Zero 2]])^2/DEVSQ(Archive[[#This Row],[Higher Level Standard - Zero 1]:[Higher Level Standard - Zero 2]]))</f>
        <v>#VALUE!</v>
      </c>
      <c r="BJ916" s="29">
        <f>COUNT(Archive[[#This Row],[Candidate Transfer Standard - Zero 1]:[Candidate Transfer Standard - Zero 2]])</f>
        <v>0</v>
      </c>
    </row>
    <row r="917" spans="1:62" x14ac:dyDescent="0.3">
      <c r="A917" s="57"/>
      <c r="BG91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17" s="29" t="e">
        <f>BG917/DEVSQ(Archive[[#This Row],[Higher Level Standard - Zero 1]:[Higher Level Standard - Zero 2]])</f>
        <v>#VALUE!</v>
      </c>
      <c r="BI917" s="29" t="e">
        <f>BG917*(1/COUNT(Archive[[#This Row],[Candidate Transfer Standard - Zero 1]:[Candidate Transfer Standard - Zero 2]])+AVERAGE(Archive[[#This Row],[Higher Level Standard - Zero 1]:[Higher Level Standard - Zero 2]])^2/DEVSQ(Archive[[#This Row],[Higher Level Standard - Zero 1]:[Higher Level Standard - Zero 2]]))</f>
        <v>#VALUE!</v>
      </c>
      <c r="BJ917" s="29">
        <f>COUNT(Archive[[#This Row],[Candidate Transfer Standard - Zero 1]:[Candidate Transfer Standard - Zero 2]])</f>
        <v>0</v>
      </c>
    </row>
    <row r="918" spans="1:62" x14ac:dyDescent="0.3">
      <c r="A918" s="57"/>
      <c r="BG91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18" s="29" t="e">
        <f>BG918/DEVSQ(Archive[[#This Row],[Higher Level Standard - Zero 1]:[Higher Level Standard - Zero 2]])</f>
        <v>#VALUE!</v>
      </c>
      <c r="BI918" s="29" t="e">
        <f>BG918*(1/COUNT(Archive[[#This Row],[Candidate Transfer Standard - Zero 1]:[Candidate Transfer Standard - Zero 2]])+AVERAGE(Archive[[#This Row],[Higher Level Standard - Zero 1]:[Higher Level Standard - Zero 2]])^2/DEVSQ(Archive[[#This Row],[Higher Level Standard - Zero 1]:[Higher Level Standard - Zero 2]]))</f>
        <v>#VALUE!</v>
      </c>
      <c r="BJ918" s="29">
        <f>COUNT(Archive[[#This Row],[Candidate Transfer Standard - Zero 1]:[Candidate Transfer Standard - Zero 2]])</f>
        <v>0</v>
      </c>
    </row>
    <row r="919" spans="1:62" x14ac:dyDescent="0.3">
      <c r="A919" s="57"/>
      <c r="BG91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19" s="29" t="e">
        <f>BG919/DEVSQ(Archive[[#This Row],[Higher Level Standard - Zero 1]:[Higher Level Standard - Zero 2]])</f>
        <v>#VALUE!</v>
      </c>
      <c r="BI919" s="29" t="e">
        <f>BG919*(1/COUNT(Archive[[#This Row],[Candidate Transfer Standard - Zero 1]:[Candidate Transfer Standard - Zero 2]])+AVERAGE(Archive[[#This Row],[Higher Level Standard - Zero 1]:[Higher Level Standard - Zero 2]])^2/DEVSQ(Archive[[#This Row],[Higher Level Standard - Zero 1]:[Higher Level Standard - Zero 2]]))</f>
        <v>#VALUE!</v>
      </c>
      <c r="BJ919" s="29">
        <f>COUNT(Archive[[#This Row],[Candidate Transfer Standard - Zero 1]:[Candidate Transfer Standard - Zero 2]])</f>
        <v>0</v>
      </c>
    </row>
    <row r="920" spans="1:62" x14ac:dyDescent="0.3">
      <c r="A920" s="57"/>
      <c r="BG92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20" s="29" t="e">
        <f>BG920/DEVSQ(Archive[[#This Row],[Higher Level Standard - Zero 1]:[Higher Level Standard - Zero 2]])</f>
        <v>#VALUE!</v>
      </c>
      <c r="BI920" s="29" t="e">
        <f>BG920*(1/COUNT(Archive[[#This Row],[Candidate Transfer Standard - Zero 1]:[Candidate Transfer Standard - Zero 2]])+AVERAGE(Archive[[#This Row],[Higher Level Standard - Zero 1]:[Higher Level Standard - Zero 2]])^2/DEVSQ(Archive[[#This Row],[Higher Level Standard - Zero 1]:[Higher Level Standard - Zero 2]]))</f>
        <v>#VALUE!</v>
      </c>
      <c r="BJ920" s="29">
        <f>COUNT(Archive[[#This Row],[Candidate Transfer Standard - Zero 1]:[Candidate Transfer Standard - Zero 2]])</f>
        <v>0</v>
      </c>
    </row>
    <row r="921" spans="1:62" x14ac:dyDescent="0.3">
      <c r="A921" s="57"/>
      <c r="BG92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21" s="29" t="e">
        <f>BG921/DEVSQ(Archive[[#This Row],[Higher Level Standard - Zero 1]:[Higher Level Standard - Zero 2]])</f>
        <v>#VALUE!</v>
      </c>
      <c r="BI921" s="29" t="e">
        <f>BG921*(1/COUNT(Archive[[#This Row],[Candidate Transfer Standard - Zero 1]:[Candidate Transfer Standard - Zero 2]])+AVERAGE(Archive[[#This Row],[Higher Level Standard - Zero 1]:[Higher Level Standard - Zero 2]])^2/DEVSQ(Archive[[#This Row],[Higher Level Standard - Zero 1]:[Higher Level Standard - Zero 2]]))</f>
        <v>#VALUE!</v>
      </c>
      <c r="BJ921" s="29">
        <f>COUNT(Archive[[#This Row],[Candidate Transfer Standard - Zero 1]:[Candidate Transfer Standard - Zero 2]])</f>
        <v>0</v>
      </c>
    </row>
    <row r="922" spans="1:62" x14ac:dyDescent="0.3">
      <c r="A922" s="57"/>
      <c r="BG92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22" s="29" t="e">
        <f>BG922/DEVSQ(Archive[[#This Row],[Higher Level Standard - Zero 1]:[Higher Level Standard - Zero 2]])</f>
        <v>#VALUE!</v>
      </c>
      <c r="BI922" s="29" t="e">
        <f>BG922*(1/COUNT(Archive[[#This Row],[Candidate Transfer Standard - Zero 1]:[Candidate Transfer Standard - Zero 2]])+AVERAGE(Archive[[#This Row],[Higher Level Standard - Zero 1]:[Higher Level Standard - Zero 2]])^2/DEVSQ(Archive[[#This Row],[Higher Level Standard - Zero 1]:[Higher Level Standard - Zero 2]]))</f>
        <v>#VALUE!</v>
      </c>
      <c r="BJ922" s="29">
        <f>COUNT(Archive[[#This Row],[Candidate Transfer Standard - Zero 1]:[Candidate Transfer Standard - Zero 2]])</f>
        <v>0</v>
      </c>
    </row>
    <row r="923" spans="1:62" x14ac:dyDescent="0.3">
      <c r="A923" s="57"/>
      <c r="BG92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23" s="29" t="e">
        <f>BG923/DEVSQ(Archive[[#This Row],[Higher Level Standard - Zero 1]:[Higher Level Standard - Zero 2]])</f>
        <v>#VALUE!</v>
      </c>
      <c r="BI923" s="29" t="e">
        <f>BG923*(1/COUNT(Archive[[#This Row],[Candidate Transfer Standard - Zero 1]:[Candidate Transfer Standard - Zero 2]])+AVERAGE(Archive[[#This Row],[Higher Level Standard - Zero 1]:[Higher Level Standard - Zero 2]])^2/DEVSQ(Archive[[#This Row],[Higher Level Standard - Zero 1]:[Higher Level Standard - Zero 2]]))</f>
        <v>#VALUE!</v>
      </c>
      <c r="BJ923" s="29">
        <f>COUNT(Archive[[#This Row],[Candidate Transfer Standard - Zero 1]:[Candidate Transfer Standard - Zero 2]])</f>
        <v>0</v>
      </c>
    </row>
    <row r="924" spans="1:62" x14ac:dyDescent="0.3">
      <c r="A924" s="57"/>
      <c r="BG92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24" s="29" t="e">
        <f>BG924/DEVSQ(Archive[[#This Row],[Higher Level Standard - Zero 1]:[Higher Level Standard - Zero 2]])</f>
        <v>#VALUE!</v>
      </c>
      <c r="BI924" s="29" t="e">
        <f>BG924*(1/COUNT(Archive[[#This Row],[Candidate Transfer Standard - Zero 1]:[Candidate Transfer Standard - Zero 2]])+AVERAGE(Archive[[#This Row],[Higher Level Standard - Zero 1]:[Higher Level Standard - Zero 2]])^2/DEVSQ(Archive[[#This Row],[Higher Level Standard - Zero 1]:[Higher Level Standard - Zero 2]]))</f>
        <v>#VALUE!</v>
      </c>
      <c r="BJ924" s="29">
        <f>COUNT(Archive[[#This Row],[Candidate Transfer Standard - Zero 1]:[Candidate Transfer Standard - Zero 2]])</f>
        <v>0</v>
      </c>
    </row>
    <row r="925" spans="1:62" x14ac:dyDescent="0.3">
      <c r="A925" s="57"/>
      <c r="BG92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25" s="29" t="e">
        <f>BG925/DEVSQ(Archive[[#This Row],[Higher Level Standard - Zero 1]:[Higher Level Standard - Zero 2]])</f>
        <v>#VALUE!</v>
      </c>
      <c r="BI925" s="29" t="e">
        <f>BG925*(1/COUNT(Archive[[#This Row],[Candidate Transfer Standard - Zero 1]:[Candidate Transfer Standard - Zero 2]])+AVERAGE(Archive[[#This Row],[Higher Level Standard - Zero 1]:[Higher Level Standard - Zero 2]])^2/DEVSQ(Archive[[#This Row],[Higher Level Standard - Zero 1]:[Higher Level Standard - Zero 2]]))</f>
        <v>#VALUE!</v>
      </c>
      <c r="BJ925" s="29">
        <f>COUNT(Archive[[#This Row],[Candidate Transfer Standard - Zero 1]:[Candidate Transfer Standard - Zero 2]])</f>
        <v>0</v>
      </c>
    </row>
    <row r="926" spans="1:62" x14ac:dyDescent="0.3">
      <c r="A926" s="57"/>
      <c r="BG92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26" s="29" t="e">
        <f>BG926/DEVSQ(Archive[[#This Row],[Higher Level Standard - Zero 1]:[Higher Level Standard - Zero 2]])</f>
        <v>#VALUE!</v>
      </c>
      <c r="BI926" s="29" t="e">
        <f>BG926*(1/COUNT(Archive[[#This Row],[Candidate Transfer Standard - Zero 1]:[Candidate Transfer Standard - Zero 2]])+AVERAGE(Archive[[#This Row],[Higher Level Standard - Zero 1]:[Higher Level Standard - Zero 2]])^2/DEVSQ(Archive[[#This Row],[Higher Level Standard - Zero 1]:[Higher Level Standard - Zero 2]]))</f>
        <v>#VALUE!</v>
      </c>
      <c r="BJ926" s="29">
        <f>COUNT(Archive[[#This Row],[Candidate Transfer Standard - Zero 1]:[Candidate Transfer Standard - Zero 2]])</f>
        <v>0</v>
      </c>
    </row>
    <row r="927" spans="1:62" x14ac:dyDescent="0.3">
      <c r="A927" s="57"/>
      <c r="BG92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27" s="29" t="e">
        <f>BG927/DEVSQ(Archive[[#This Row],[Higher Level Standard - Zero 1]:[Higher Level Standard - Zero 2]])</f>
        <v>#VALUE!</v>
      </c>
      <c r="BI927" s="29" t="e">
        <f>BG927*(1/COUNT(Archive[[#This Row],[Candidate Transfer Standard - Zero 1]:[Candidate Transfer Standard - Zero 2]])+AVERAGE(Archive[[#This Row],[Higher Level Standard - Zero 1]:[Higher Level Standard - Zero 2]])^2/DEVSQ(Archive[[#This Row],[Higher Level Standard - Zero 1]:[Higher Level Standard - Zero 2]]))</f>
        <v>#VALUE!</v>
      </c>
      <c r="BJ927" s="29">
        <f>COUNT(Archive[[#This Row],[Candidate Transfer Standard - Zero 1]:[Candidate Transfer Standard - Zero 2]])</f>
        <v>0</v>
      </c>
    </row>
    <row r="928" spans="1:62" x14ac:dyDescent="0.3">
      <c r="A928" s="57"/>
      <c r="BG92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28" s="29" t="e">
        <f>BG928/DEVSQ(Archive[[#This Row],[Higher Level Standard - Zero 1]:[Higher Level Standard - Zero 2]])</f>
        <v>#VALUE!</v>
      </c>
      <c r="BI928" s="29" t="e">
        <f>BG928*(1/COUNT(Archive[[#This Row],[Candidate Transfer Standard - Zero 1]:[Candidate Transfer Standard - Zero 2]])+AVERAGE(Archive[[#This Row],[Higher Level Standard - Zero 1]:[Higher Level Standard - Zero 2]])^2/DEVSQ(Archive[[#This Row],[Higher Level Standard - Zero 1]:[Higher Level Standard - Zero 2]]))</f>
        <v>#VALUE!</v>
      </c>
      <c r="BJ928" s="29">
        <f>COUNT(Archive[[#This Row],[Candidate Transfer Standard - Zero 1]:[Candidate Transfer Standard - Zero 2]])</f>
        <v>0</v>
      </c>
    </row>
    <row r="929" spans="1:62" x14ac:dyDescent="0.3">
      <c r="A929" s="57"/>
      <c r="BG92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29" s="29" t="e">
        <f>BG929/DEVSQ(Archive[[#This Row],[Higher Level Standard - Zero 1]:[Higher Level Standard - Zero 2]])</f>
        <v>#VALUE!</v>
      </c>
      <c r="BI929" s="29" t="e">
        <f>BG929*(1/COUNT(Archive[[#This Row],[Candidate Transfer Standard - Zero 1]:[Candidate Transfer Standard - Zero 2]])+AVERAGE(Archive[[#This Row],[Higher Level Standard - Zero 1]:[Higher Level Standard - Zero 2]])^2/DEVSQ(Archive[[#This Row],[Higher Level Standard - Zero 1]:[Higher Level Standard - Zero 2]]))</f>
        <v>#VALUE!</v>
      </c>
      <c r="BJ929" s="29">
        <f>COUNT(Archive[[#This Row],[Candidate Transfer Standard - Zero 1]:[Candidate Transfer Standard - Zero 2]])</f>
        <v>0</v>
      </c>
    </row>
    <row r="930" spans="1:62" x14ac:dyDescent="0.3">
      <c r="A930" s="57"/>
      <c r="BG93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30" s="29" t="e">
        <f>BG930/DEVSQ(Archive[[#This Row],[Higher Level Standard - Zero 1]:[Higher Level Standard - Zero 2]])</f>
        <v>#VALUE!</v>
      </c>
      <c r="BI930" s="29" t="e">
        <f>BG930*(1/COUNT(Archive[[#This Row],[Candidate Transfer Standard - Zero 1]:[Candidate Transfer Standard - Zero 2]])+AVERAGE(Archive[[#This Row],[Higher Level Standard - Zero 1]:[Higher Level Standard - Zero 2]])^2/DEVSQ(Archive[[#This Row],[Higher Level Standard - Zero 1]:[Higher Level Standard - Zero 2]]))</f>
        <v>#VALUE!</v>
      </c>
      <c r="BJ930" s="29">
        <f>COUNT(Archive[[#This Row],[Candidate Transfer Standard - Zero 1]:[Candidate Transfer Standard - Zero 2]])</f>
        <v>0</v>
      </c>
    </row>
    <row r="931" spans="1:62" x14ac:dyDescent="0.3">
      <c r="A931" s="57"/>
      <c r="BG93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31" s="29" t="e">
        <f>BG931/DEVSQ(Archive[[#This Row],[Higher Level Standard - Zero 1]:[Higher Level Standard - Zero 2]])</f>
        <v>#VALUE!</v>
      </c>
      <c r="BI931" s="29" t="e">
        <f>BG931*(1/COUNT(Archive[[#This Row],[Candidate Transfer Standard - Zero 1]:[Candidate Transfer Standard - Zero 2]])+AVERAGE(Archive[[#This Row],[Higher Level Standard - Zero 1]:[Higher Level Standard - Zero 2]])^2/DEVSQ(Archive[[#This Row],[Higher Level Standard - Zero 1]:[Higher Level Standard - Zero 2]]))</f>
        <v>#VALUE!</v>
      </c>
      <c r="BJ931" s="29">
        <f>COUNT(Archive[[#This Row],[Candidate Transfer Standard - Zero 1]:[Candidate Transfer Standard - Zero 2]])</f>
        <v>0</v>
      </c>
    </row>
    <row r="932" spans="1:62" x14ac:dyDescent="0.3">
      <c r="A932" s="57"/>
      <c r="BG93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32" s="29" t="e">
        <f>BG932/DEVSQ(Archive[[#This Row],[Higher Level Standard - Zero 1]:[Higher Level Standard - Zero 2]])</f>
        <v>#VALUE!</v>
      </c>
      <c r="BI932" s="29" t="e">
        <f>BG932*(1/COUNT(Archive[[#This Row],[Candidate Transfer Standard - Zero 1]:[Candidate Transfer Standard - Zero 2]])+AVERAGE(Archive[[#This Row],[Higher Level Standard - Zero 1]:[Higher Level Standard - Zero 2]])^2/DEVSQ(Archive[[#This Row],[Higher Level Standard - Zero 1]:[Higher Level Standard - Zero 2]]))</f>
        <v>#VALUE!</v>
      </c>
      <c r="BJ932" s="29">
        <f>COUNT(Archive[[#This Row],[Candidate Transfer Standard - Zero 1]:[Candidate Transfer Standard - Zero 2]])</f>
        <v>0</v>
      </c>
    </row>
    <row r="933" spans="1:62" x14ac:dyDescent="0.3">
      <c r="A933" s="57"/>
      <c r="BG93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33" s="29" t="e">
        <f>BG933/DEVSQ(Archive[[#This Row],[Higher Level Standard - Zero 1]:[Higher Level Standard - Zero 2]])</f>
        <v>#VALUE!</v>
      </c>
      <c r="BI933" s="29" t="e">
        <f>BG933*(1/COUNT(Archive[[#This Row],[Candidate Transfer Standard - Zero 1]:[Candidate Transfer Standard - Zero 2]])+AVERAGE(Archive[[#This Row],[Higher Level Standard - Zero 1]:[Higher Level Standard - Zero 2]])^2/DEVSQ(Archive[[#This Row],[Higher Level Standard - Zero 1]:[Higher Level Standard - Zero 2]]))</f>
        <v>#VALUE!</v>
      </c>
      <c r="BJ933" s="29">
        <f>COUNT(Archive[[#This Row],[Candidate Transfer Standard - Zero 1]:[Candidate Transfer Standard - Zero 2]])</f>
        <v>0</v>
      </c>
    </row>
    <row r="934" spans="1:62" x14ac:dyDescent="0.3">
      <c r="A934" s="57"/>
      <c r="BG93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34" s="29" t="e">
        <f>BG934/DEVSQ(Archive[[#This Row],[Higher Level Standard - Zero 1]:[Higher Level Standard - Zero 2]])</f>
        <v>#VALUE!</v>
      </c>
      <c r="BI934" s="29" t="e">
        <f>BG934*(1/COUNT(Archive[[#This Row],[Candidate Transfer Standard - Zero 1]:[Candidate Transfer Standard - Zero 2]])+AVERAGE(Archive[[#This Row],[Higher Level Standard - Zero 1]:[Higher Level Standard - Zero 2]])^2/DEVSQ(Archive[[#This Row],[Higher Level Standard - Zero 1]:[Higher Level Standard - Zero 2]]))</f>
        <v>#VALUE!</v>
      </c>
      <c r="BJ934" s="29">
        <f>COUNT(Archive[[#This Row],[Candidate Transfer Standard - Zero 1]:[Candidate Transfer Standard - Zero 2]])</f>
        <v>0</v>
      </c>
    </row>
    <row r="935" spans="1:62" x14ac:dyDescent="0.3">
      <c r="A935" s="57"/>
      <c r="BG93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35" s="29" t="e">
        <f>BG935/DEVSQ(Archive[[#This Row],[Higher Level Standard - Zero 1]:[Higher Level Standard - Zero 2]])</f>
        <v>#VALUE!</v>
      </c>
      <c r="BI935" s="29" t="e">
        <f>BG935*(1/COUNT(Archive[[#This Row],[Candidate Transfer Standard - Zero 1]:[Candidate Transfer Standard - Zero 2]])+AVERAGE(Archive[[#This Row],[Higher Level Standard - Zero 1]:[Higher Level Standard - Zero 2]])^2/DEVSQ(Archive[[#This Row],[Higher Level Standard - Zero 1]:[Higher Level Standard - Zero 2]]))</f>
        <v>#VALUE!</v>
      </c>
      <c r="BJ935" s="29">
        <f>COUNT(Archive[[#This Row],[Candidate Transfer Standard - Zero 1]:[Candidate Transfer Standard - Zero 2]])</f>
        <v>0</v>
      </c>
    </row>
    <row r="936" spans="1:62" x14ac:dyDescent="0.3">
      <c r="A936" s="57"/>
      <c r="BG93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36" s="29" t="e">
        <f>BG936/DEVSQ(Archive[[#This Row],[Higher Level Standard - Zero 1]:[Higher Level Standard - Zero 2]])</f>
        <v>#VALUE!</v>
      </c>
      <c r="BI936" s="29" t="e">
        <f>BG936*(1/COUNT(Archive[[#This Row],[Candidate Transfer Standard - Zero 1]:[Candidate Transfer Standard - Zero 2]])+AVERAGE(Archive[[#This Row],[Higher Level Standard - Zero 1]:[Higher Level Standard - Zero 2]])^2/DEVSQ(Archive[[#This Row],[Higher Level Standard - Zero 1]:[Higher Level Standard - Zero 2]]))</f>
        <v>#VALUE!</v>
      </c>
      <c r="BJ936" s="29">
        <f>COUNT(Archive[[#This Row],[Candidate Transfer Standard - Zero 1]:[Candidate Transfer Standard - Zero 2]])</f>
        <v>0</v>
      </c>
    </row>
    <row r="937" spans="1:62" x14ac:dyDescent="0.3">
      <c r="A937" s="57"/>
      <c r="BG93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37" s="29" t="e">
        <f>BG937/DEVSQ(Archive[[#This Row],[Higher Level Standard - Zero 1]:[Higher Level Standard - Zero 2]])</f>
        <v>#VALUE!</v>
      </c>
      <c r="BI937" s="29" t="e">
        <f>BG937*(1/COUNT(Archive[[#This Row],[Candidate Transfer Standard - Zero 1]:[Candidate Transfer Standard - Zero 2]])+AVERAGE(Archive[[#This Row],[Higher Level Standard - Zero 1]:[Higher Level Standard - Zero 2]])^2/DEVSQ(Archive[[#This Row],[Higher Level Standard - Zero 1]:[Higher Level Standard - Zero 2]]))</f>
        <v>#VALUE!</v>
      </c>
      <c r="BJ937" s="29">
        <f>COUNT(Archive[[#This Row],[Candidate Transfer Standard - Zero 1]:[Candidate Transfer Standard - Zero 2]])</f>
        <v>0</v>
      </c>
    </row>
    <row r="938" spans="1:62" x14ac:dyDescent="0.3">
      <c r="A938" s="57"/>
      <c r="BG93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38" s="29" t="e">
        <f>BG938/DEVSQ(Archive[[#This Row],[Higher Level Standard - Zero 1]:[Higher Level Standard - Zero 2]])</f>
        <v>#VALUE!</v>
      </c>
      <c r="BI938" s="29" t="e">
        <f>BG938*(1/COUNT(Archive[[#This Row],[Candidate Transfer Standard - Zero 1]:[Candidate Transfer Standard - Zero 2]])+AVERAGE(Archive[[#This Row],[Higher Level Standard - Zero 1]:[Higher Level Standard - Zero 2]])^2/DEVSQ(Archive[[#This Row],[Higher Level Standard - Zero 1]:[Higher Level Standard - Zero 2]]))</f>
        <v>#VALUE!</v>
      </c>
      <c r="BJ938" s="29">
        <f>COUNT(Archive[[#This Row],[Candidate Transfer Standard - Zero 1]:[Candidate Transfer Standard - Zero 2]])</f>
        <v>0</v>
      </c>
    </row>
    <row r="939" spans="1:62" x14ac:dyDescent="0.3">
      <c r="A939" s="57"/>
      <c r="BG93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39" s="29" t="e">
        <f>BG939/DEVSQ(Archive[[#This Row],[Higher Level Standard - Zero 1]:[Higher Level Standard - Zero 2]])</f>
        <v>#VALUE!</v>
      </c>
      <c r="BI939" s="29" t="e">
        <f>BG939*(1/COUNT(Archive[[#This Row],[Candidate Transfer Standard - Zero 1]:[Candidate Transfer Standard - Zero 2]])+AVERAGE(Archive[[#This Row],[Higher Level Standard - Zero 1]:[Higher Level Standard - Zero 2]])^2/DEVSQ(Archive[[#This Row],[Higher Level Standard - Zero 1]:[Higher Level Standard - Zero 2]]))</f>
        <v>#VALUE!</v>
      </c>
      <c r="BJ939" s="29">
        <f>COUNT(Archive[[#This Row],[Candidate Transfer Standard - Zero 1]:[Candidate Transfer Standard - Zero 2]])</f>
        <v>0</v>
      </c>
    </row>
    <row r="940" spans="1:62" x14ac:dyDescent="0.3">
      <c r="A940" s="57"/>
      <c r="BG94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40" s="29" t="e">
        <f>BG940/DEVSQ(Archive[[#This Row],[Higher Level Standard - Zero 1]:[Higher Level Standard - Zero 2]])</f>
        <v>#VALUE!</v>
      </c>
      <c r="BI940" s="29" t="e">
        <f>BG940*(1/COUNT(Archive[[#This Row],[Candidate Transfer Standard - Zero 1]:[Candidate Transfer Standard - Zero 2]])+AVERAGE(Archive[[#This Row],[Higher Level Standard - Zero 1]:[Higher Level Standard - Zero 2]])^2/DEVSQ(Archive[[#This Row],[Higher Level Standard - Zero 1]:[Higher Level Standard - Zero 2]]))</f>
        <v>#VALUE!</v>
      </c>
      <c r="BJ940" s="29">
        <f>COUNT(Archive[[#This Row],[Candidate Transfer Standard - Zero 1]:[Candidate Transfer Standard - Zero 2]])</f>
        <v>0</v>
      </c>
    </row>
    <row r="941" spans="1:62" x14ac:dyDescent="0.3">
      <c r="A941" s="57"/>
      <c r="BG94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41" s="29" t="e">
        <f>BG941/DEVSQ(Archive[[#This Row],[Higher Level Standard - Zero 1]:[Higher Level Standard - Zero 2]])</f>
        <v>#VALUE!</v>
      </c>
      <c r="BI941" s="29" t="e">
        <f>BG941*(1/COUNT(Archive[[#This Row],[Candidate Transfer Standard - Zero 1]:[Candidate Transfer Standard - Zero 2]])+AVERAGE(Archive[[#This Row],[Higher Level Standard - Zero 1]:[Higher Level Standard - Zero 2]])^2/DEVSQ(Archive[[#This Row],[Higher Level Standard - Zero 1]:[Higher Level Standard - Zero 2]]))</f>
        <v>#VALUE!</v>
      </c>
      <c r="BJ941" s="29">
        <f>COUNT(Archive[[#This Row],[Candidate Transfer Standard - Zero 1]:[Candidate Transfer Standard - Zero 2]])</f>
        <v>0</v>
      </c>
    </row>
    <row r="942" spans="1:62" x14ac:dyDescent="0.3">
      <c r="A942" s="57"/>
      <c r="BG94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42" s="29" t="e">
        <f>BG942/DEVSQ(Archive[[#This Row],[Higher Level Standard - Zero 1]:[Higher Level Standard - Zero 2]])</f>
        <v>#VALUE!</v>
      </c>
      <c r="BI942" s="29" t="e">
        <f>BG942*(1/COUNT(Archive[[#This Row],[Candidate Transfer Standard - Zero 1]:[Candidate Transfer Standard - Zero 2]])+AVERAGE(Archive[[#This Row],[Higher Level Standard - Zero 1]:[Higher Level Standard - Zero 2]])^2/DEVSQ(Archive[[#This Row],[Higher Level Standard - Zero 1]:[Higher Level Standard - Zero 2]]))</f>
        <v>#VALUE!</v>
      </c>
      <c r="BJ942" s="29">
        <f>COUNT(Archive[[#This Row],[Candidate Transfer Standard - Zero 1]:[Candidate Transfer Standard - Zero 2]])</f>
        <v>0</v>
      </c>
    </row>
    <row r="943" spans="1:62" x14ac:dyDescent="0.3">
      <c r="A943" s="57"/>
      <c r="BG94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43" s="29" t="e">
        <f>BG943/DEVSQ(Archive[[#This Row],[Higher Level Standard - Zero 1]:[Higher Level Standard - Zero 2]])</f>
        <v>#VALUE!</v>
      </c>
      <c r="BI943" s="29" t="e">
        <f>BG943*(1/COUNT(Archive[[#This Row],[Candidate Transfer Standard - Zero 1]:[Candidate Transfer Standard - Zero 2]])+AVERAGE(Archive[[#This Row],[Higher Level Standard - Zero 1]:[Higher Level Standard - Zero 2]])^2/DEVSQ(Archive[[#This Row],[Higher Level Standard - Zero 1]:[Higher Level Standard - Zero 2]]))</f>
        <v>#VALUE!</v>
      </c>
      <c r="BJ943" s="29">
        <f>COUNT(Archive[[#This Row],[Candidate Transfer Standard - Zero 1]:[Candidate Transfer Standard - Zero 2]])</f>
        <v>0</v>
      </c>
    </row>
    <row r="944" spans="1:62" x14ac:dyDescent="0.3">
      <c r="A944" s="57"/>
      <c r="BG94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44" s="29" t="e">
        <f>BG944/DEVSQ(Archive[[#This Row],[Higher Level Standard - Zero 1]:[Higher Level Standard - Zero 2]])</f>
        <v>#VALUE!</v>
      </c>
      <c r="BI944" s="29" t="e">
        <f>BG944*(1/COUNT(Archive[[#This Row],[Candidate Transfer Standard - Zero 1]:[Candidate Transfer Standard - Zero 2]])+AVERAGE(Archive[[#This Row],[Higher Level Standard - Zero 1]:[Higher Level Standard - Zero 2]])^2/DEVSQ(Archive[[#This Row],[Higher Level Standard - Zero 1]:[Higher Level Standard - Zero 2]]))</f>
        <v>#VALUE!</v>
      </c>
      <c r="BJ944" s="29">
        <f>COUNT(Archive[[#This Row],[Candidate Transfer Standard - Zero 1]:[Candidate Transfer Standard - Zero 2]])</f>
        <v>0</v>
      </c>
    </row>
    <row r="945" spans="1:62" x14ac:dyDescent="0.3">
      <c r="A945" s="57"/>
      <c r="BG94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45" s="29" t="e">
        <f>BG945/DEVSQ(Archive[[#This Row],[Higher Level Standard - Zero 1]:[Higher Level Standard - Zero 2]])</f>
        <v>#VALUE!</v>
      </c>
      <c r="BI945" s="29" t="e">
        <f>BG945*(1/COUNT(Archive[[#This Row],[Candidate Transfer Standard - Zero 1]:[Candidate Transfer Standard - Zero 2]])+AVERAGE(Archive[[#This Row],[Higher Level Standard - Zero 1]:[Higher Level Standard - Zero 2]])^2/DEVSQ(Archive[[#This Row],[Higher Level Standard - Zero 1]:[Higher Level Standard - Zero 2]]))</f>
        <v>#VALUE!</v>
      </c>
      <c r="BJ945" s="29">
        <f>COUNT(Archive[[#This Row],[Candidate Transfer Standard - Zero 1]:[Candidate Transfer Standard - Zero 2]])</f>
        <v>0</v>
      </c>
    </row>
    <row r="946" spans="1:62" x14ac:dyDescent="0.3">
      <c r="A946" s="57"/>
      <c r="BG94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46" s="29" t="e">
        <f>BG946/DEVSQ(Archive[[#This Row],[Higher Level Standard - Zero 1]:[Higher Level Standard - Zero 2]])</f>
        <v>#VALUE!</v>
      </c>
      <c r="BI946" s="29" t="e">
        <f>BG946*(1/COUNT(Archive[[#This Row],[Candidate Transfer Standard - Zero 1]:[Candidate Transfer Standard - Zero 2]])+AVERAGE(Archive[[#This Row],[Higher Level Standard - Zero 1]:[Higher Level Standard - Zero 2]])^2/DEVSQ(Archive[[#This Row],[Higher Level Standard - Zero 1]:[Higher Level Standard - Zero 2]]))</f>
        <v>#VALUE!</v>
      </c>
      <c r="BJ946" s="29">
        <f>COUNT(Archive[[#This Row],[Candidate Transfer Standard - Zero 1]:[Candidate Transfer Standard - Zero 2]])</f>
        <v>0</v>
      </c>
    </row>
    <row r="947" spans="1:62" x14ac:dyDescent="0.3">
      <c r="A947" s="57"/>
      <c r="BG94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47" s="29" t="e">
        <f>BG947/DEVSQ(Archive[[#This Row],[Higher Level Standard - Zero 1]:[Higher Level Standard - Zero 2]])</f>
        <v>#VALUE!</v>
      </c>
      <c r="BI947" s="29" t="e">
        <f>BG947*(1/COUNT(Archive[[#This Row],[Candidate Transfer Standard - Zero 1]:[Candidate Transfer Standard - Zero 2]])+AVERAGE(Archive[[#This Row],[Higher Level Standard - Zero 1]:[Higher Level Standard - Zero 2]])^2/DEVSQ(Archive[[#This Row],[Higher Level Standard - Zero 1]:[Higher Level Standard - Zero 2]]))</f>
        <v>#VALUE!</v>
      </c>
      <c r="BJ947" s="29">
        <f>COUNT(Archive[[#This Row],[Candidate Transfer Standard - Zero 1]:[Candidate Transfer Standard - Zero 2]])</f>
        <v>0</v>
      </c>
    </row>
    <row r="948" spans="1:62" x14ac:dyDescent="0.3">
      <c r="A948" s="57"/>
      <c r="BG94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48" s="29" t="e">
        <f>BG948/DEVSQ(Archive[[#This Row],[Higher Level Standard - Zero 1]:[Higher Level Standard - Zero 2]])</f>
        <v>#VALUE!</v>
      </c>
      <c r="BI948" s="29" t="e">
        <f>BG948*(1/COUNT(Archive[[#This Row],[Candidate Transfer Standard - Zero 1]:[Candidate Transfer Standard - Zero 2]])+AVERAGE(Archive[[#This Row],[Higher Level Standard - Zero 1]:[Higher Level Standard - Zero 2]])^2/DEVSQ(Archive[[#This Row],[Higher Level Standard - Zero 1]:[Higher Level Standard - Zero 2]]))</f>
        <v>#VALUE!</v>
      </c>
      <c r="BJ948" s="29">
        <f>COUNT(Archive[[#This Row],[Candidate Transfer Standard - Zero 1]:[Candidate Transfer Standard - Zero 2]])</f>
        <v>0</v>
      </c>
    </row>
    <row r="949" spans="1:62" x14ac:dyDescent="0.3">
      <c r="A949" s="57"/>
      <c r="BG94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49" s="29" t="e">
        <f>BG949/DEVSQ(Archive[[#This Row],[Higher Level Standard - Zero 1]:[Higher Level Standard - Zero 2]])</f>
        <v>#VALUE!</v>
      </c>
      <c r="BI949" s="29" t="e">
        <f>BG949*(1/COUNT(Archive[[#This Row],[Candidate Transfer Standard - Zero 1]:[Candidate Transfer Standard - Zero 2]])+AVERAGE(Archive[[#This Row],[Higher Level Standard - Zero 1]:[Higher Level Standard - Zero 2]])^2/DEVSQ(Archive[[#This Row],[Higher Level Standard - Zero 1]:[Higher Level Standard - Zero 2]]))</f>
        <v>#VALUE!</v>
      </c>
      <c r="BJ949" s="29">
        <f>COUNT(Archive[[#This Row],[Candidate Transfer Standard - Zero 1]:[Candidate Transfer Standard - Zero 2]])</f>
        <v>0</v>
      </c>
    </row>
    <row r="950" spans="1:62" x14ac:dyDescent="0.3">
      <c r="A950" s="57"/>
      <c r="BG95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50" s="29" t="e">
        <f>BG950/DEVSQ(Archive[[#This Row],[Higher Level Standard - Zero 1]:[Higher Level Standard - Zero 2]])</f>
        <v>#VALUE!</v>
      </c>
      <c r="BI950" s="29" t="e">
        <f>BG950*(1/COUNT(Archive[[#This Row],[Candidate Transfer Standard - Zero 1]:[Candidate Transfer Standard - Zero 2]])+AVERAGE(Archive[[#This Row],[Higher Level Standard - Zero 1]:[Higher Level Standard - Zero 2]])^2/DEVSQ(Archive[[#This Row],[Higher Level Standard - Zero 1]:[Higher Level Standard - Zero 2]]))</f>
        <v>#VALUE!</v>
      </c>
      <c r="BJ950" s="29">
        <f>COUNT(Archive[[#This Row],[Candidate Transfer Standard - Zero 1]:[Candidate Transfer Standard - Zero 2]])</f>
        <v>0</v>
      </c>
    </row>
    <row r="951" spans="1:62" x14ac:dyDescent="0.3">
      <c r="A951" s="57"/>
      <c r="BG95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51" s="29" t="e">
        <f>BG951/DEVSQ(Archive[[#This Row],[Higher Level Standard - Zero 1]:[Higher Level Standard - Zero 2]])</f>
        <v>#VALUE!</v>
      </c>
      <c r="BI951" s="29" t="e">
        <f>BG951*(1/COUNT(Archive[[#This Row],[Candidate Transfer Standard - Zero 1]:[Candidate Transfer Standard - Zero 2]])+AVERAGE(Archive[[#This Row],[Higher Level Standard - Zero 1]:[Higher Level Standard - Zero 2]])^2/DEVSQ(Archive[[#This Row],[Higher Level Standard - Zero 1]:[Higher Level Standard - Zero 2]]))</f>
        <v>#VALUE!</v>
      </c>
      <c r="BJ951" s="29">
        <f>COUNT(Archive[[#This Row],[Candidate Transfer Standard - Zero 1]:[Candidate Transfer Standard - Zero 2]])</f>
        <v>0</v>
      </c>
    </row>
    <row r="952" spans="1:62" x14ac:dyDescent="0.3">
      <c r="A952" s="57"/>
      <c r="BG95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52" s="29" t="e">
        <f>BG952/DEVSQ(Archive[[#This Row],[Higher Level Standard - Zero 1]:[Higher Level Standard - Zero 2]])</f>
        <v>#VALUE!</v>
      </c>
      <c r="BI952" s="29" t="e">
        <f>BG952*(1/COUNT(Archive[[#This Row],[Candidate Transfer Standard - Zero 1]:[Candidate Transfer Standard - Zero 2]])+AVERAGE(Archive[[#This Row],[Higher Level Standard - Zero 1]:[Higher Level Standard - Zero 2]])^2/DEVSQ(Archive[[#This Row],[Higher Level Standard - Zero 1]:[Higher Level Standard - Zero 2]]))</f>
        <v>#VALUE!</v>
      </c>
      <c r="BJ952" s="29">
        <f>COUNT(Archive[[#This Row],[Candidate Transfer Standard - Zero 1]:[Candidate Transfer Standard - Zero 2]])</f>
        <v>0</v>
      </c>
    </row>
    <row r="953" spans="1:62" x14ac:dyDescent="0.3">
      <c r="A953" s="57"/>
      <c r="BG95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53" s="29" t="e">
        <f>BG953/DEVSQ(Archive[[#This Row],[Higher Level Standard - Zero 1]:[Higher Level Standard - Zero 2]])</f>
        <v>#VALUE!</v>
      </c>
      <c r="BI953" s="29" t="e">
        <f>BG953*(1/COUNT(Archive[[#This Row],[Candidate Transfer Standard - Zero 1]:[Candidate Transfer Standard - Zero 2]])+AVERAGE(Archive[[#This Row],[Higher Level Standard - Zero 1]:[Higher Level Standard - Zero 2]])^2/DEVSQ(Archive[[#This Row],[Higher Level Standard - Zero 1]:[Higher Level Standard - Zero 2]]))</f>
        <v>#VALUE!</v>
      </c>
      <c r="BJ953" s="29">
        <f>COUNT(Archive[[#This Row],[Candidate Transfer Standard - Zero 1]:[Candidate Transfer Standard - Zero 2]])</f>
        <v>0</v>
      </c>
    </row>
    <row r="954" spans="1:62" x14ac:dyDescent="0.3">
      <c r="A954" s="57"/>
      <c r="BG95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54" s="29" t="e">
        <f>BG954/DEVSQ(Archive[[#This Row],[Higher Level Standard - Zero 1]:[Higher Level Standard - Zero 2]])</f>
        <v>#VALUE!</v>
      </c>
      <c r="BI954" s="29" t="e">
        <f>BG954*(1/COUNT(Archive[[#This Row],[Candidate Transfer Standard - Zero 1]:[Candidate Transfer Standard - Zero 2]])+AVERAGE(Archive[[#This Row],[Higher Level Standard - Zero 1]:[Higher Level Standard - Zero 2]])^2/DEVSQ(Archive[[#This Row],[Higher Level Standard - Zero 1]:[Higher Level Standard - Zero 2]]))</f>
        <v>#VALUE!</v>
      </c>
      <c r="BJ954" s="29">
        <f>COUNT(Archive[[#This Row],[Candidate Transfer Standard - Zero 1]:[Candidate Transfer Standard - Zero 2]])</f>
        <v>0</v>
      </c>
    </row>
    <row r="955" spans="1:62" x14ac:dyDescent="0.3">
      <c r="A955" s="57"/>
      <c r="BG95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55" s="29" t="e">
        <f>BG955/DEVSQ(Archive[[#This Row],[Higher Level Standard - Zero 1]:[Higher Level Standard - Zero 2]])</f>
        <v>#VALUE!</v>
      </c>
      <c r="BI955" s="29" t="e">
        <f>BG955*(1/COUNT(Archive[[#This Row],[Candidate Transfer Standard - Zero 1]:[Candidate Transfer Standard - Zero 2]])+AVERAGE(Archive[[#This Row],[Higher Level Standard - Zero 1]:[Higher Level Standard - Zero 2]])^2/DEVSQ(Archive[[#This Row],[Higher Level Standard - Zero 1]:[Higher Level Standard - Zero 2]]))</f>
        <v>#VALUE!</v>
      </c>
      <c r="BJ955" s="29">
        <f>COUNT(Archive[[#This Row],[Candidate Transfer Standard - Zero 1]:[Candidate Transfer Standard - Zero 2]])</f>
        <v>0</v>
      </c>
    </row>
    <row r="956" spans="1:62" x14ac:dyDescent="0.3">
      <c r="A956" s="57"/>
      <c r="BG95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56" s="29" t="e">
        <f>BG956/DEVSQ(Archive[[#This Row],[Higher Level Standard - Zero 1]:[Higher Level Standard - Zero 2]])</f>
        <v>#VALUE!</v>
      </c>
      <c r="BI956" s="29" t="e">
        <f>BG956*(1/COUNT(Archive[[#This Row],[Candidate Transfer Standard - Zero 1]:[Candidate Transfer Standard - Zero 2]])+AVERAGE(Archive[[#This Row],[Higher Level Standard - Zero 1]:[Higher Level Standard - Zero 2]])^2/DEVSQ(Archive[[#This Row],[Higher Level Standard - Zero 1]:[Higher Level Standard - Zero 2]]))</f>
        <v>#VALUE!</v>
      </c>
      <c r="BJ956" s="29">
        <f>COUNT(Archive[[#This Row],[Candidate Transfer Standard - Zero 1]:[Candidate Transfer Standard - Zero 2]])</f>
        <v>0</v>
      </c>
    </row>
    <row r="957" spans="1:62" x14ac:dyDescent="0.3">
      <c r="A957" s="57"/>
      <c r="BG95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57" s="29" t="e">
        <f>BG957/DEVSQ(Archive[[#This Row],[Higher Level Standard - Zero 1]:[Higher Level Standard - Zero 2]])</f>
        <v>#VALUE!</v>
      </c>
      <c r="BI957" s="29" t="e">
        <f>BG957*(1/COUNT(Archive[[#This Row],[Candidate Transfer Standard - Zero 1]:[Candidate Transfer Standard - Zero 2]])+AVERAGE(Archive[[#This Row],[Higher Level Standard - Zero 1]:[Higher Level Standard - Zero 2]])^2/DEVSQ(Archive[[#This Row],[Higher Level Standard - Zero 1]:[Higher Level Standard - Zero 2]]))</f>
        <v>#VALUE!</v>
      </c>
      <c r="BJ957" s="29">
        <f>COUNT(Archive[[#This Row],[Candidate Transfer Standard - Zero 1]:[Candidate Transfer Standard - Zero 2]])</f>
        <v>0</v>
      </c>
    </row>
    <row r="958" spans="1:62" x14ac:dyDescent="0.3">
      <c r="A958" s="57"/>
      <c r="BG95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58" s="29" t="e">
        <f>BG958/DEVSQ(Archive[[#This Row],[Higher Level Standard - Zero 1]:[Higher Level Standard - Zero 2]])</f>
        <v>#VALUE!</v>
      </c>
      <c r="BI958" s="29" t="e">
        <f>BG958*(1/COUNT(Archive[[#This Row],[Candidate Transfer Standard - Zero 1]:[Candidate Transfer Standard - Zero 2]])+AVERAGE(Archive[[#This Row],[Higher Level Standard - Zero 1]:[Higher Level Standard - Zero 2]])^2/DEVSQ(Archive[[#This Row],[Higher Level Standard - Zero 1]:[Higher Level Standard - Zero 2]]))</f>
        <v>#VALUE!</v>
      </c>
      <c r="BJ958" s="29">
        <f>COUNT(Archive[[#This Row],[Candidate Transfer Standard - Zero 1]:[Candidate Transfer Standard - Zero 2]])</f>
        <v>0</v>
      </c>
    </row>
    <row r="959" spans="1:62" x14ac:dyDescent="0.3">
      <c r="A959" s="57"/>
      <c r="BG95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59" s="29" t="e">
        <f>BG959/DEVSQ(Archive[[#This Row],[Higher Level Standard - Zero 1]:[Higher Level Standard - Zero 2]])</f>
        <v>#VALUE!</v>
      </c>
      <c r="BI959" s="29" t="e">
        <f>BG959*(1/COUNT(Archive[[#This Row],[Candidate Transfer Standard - Zero 1]:[Candidate Transfer Standard - Zero 2]])+AVERAGE(Archive[[#This Row],[Higher Level Standard - Zero 1]:[Higher Level Standard - Zero 2]])^2/DEVSQ(Archive[[#This Row],[Higher Level Standard - Zero 1]:[Higher Level Standard - Zero 2]]))</f>
        <v>#VALUE!</v>
      </c>
      <c r="BJ959" s="29">
        <f>COUNT(Archive[[#This Row],[Candidate Transfer Standard - Zero 1]:[Candidate Transfer Standard - Zero 2]])</f>
        <v>0</v>
      </c>
    </row>
    <row r="960" spans="1:62" x14ac:dyDescent="0.3">
      <c r="A960" s="57"/>
      <c r="BG96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60" s="29" t="e">
        <f>BG960/DEVSQ(Archive[[#This Row],[Higher Level Standard - Zero 1]:[Higher Level Standard - Zero 2]])</f>
        <v>#VALUE!</v>
      </c>
      <c r="BI960" s="29" t="e">
        <f>BG960*(1/COUNT(Archive[[#This Row],[Candidate Transfer Standard - Zero 1]:[Candidate Transfer Standard - Zero 2]])+AVERAGE(Archive[[#This Row],[Higher Level Standard - Zero 1]:[Higher Level Standard - Zero 2]])^2/DEVSQ(Archive[[#This Row],[Higher Level Standard - Zero 1]:[Higher Level Standard - Zero 2]]))</f>
        <v>#VALUE!</v>
      </c>
      <c r="BJ960" s="29">
        <f>COUNT(Archive[[#This Row],[Candidate Transfer Standard - Zero 1]:[Candidate Transfer Standard - Zero 2]])</f>
        <v>0</v>
      </c>
    </row>
    <row r="961" spans="1:62" x14ac:dyDescent="0.3">
      <c r="A961" s="57"/>
      <c r="BG96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61" s="29" t="e">
        <f>BG961/DEVSQ(Archive[[#This Row],[Higher Level Standard - Zero 1]:[Higher Level Standard - Zero 2]])</f>
        <v>#VALUE!</v>
      </c>
      <c r="BI961" s="29" t="e">
        <f>BG961*(1/COUNT(Archive[[#This Row],[Candidate Transfer Standard - Zero 1]:[Candidate Transfer Standard - Zero 2]])+AVERAGE(Archive[[#This Row],[Higher Level Standard - Zero 1]:[Higher Level Standard - Zero 2]])^2/DEVSQ(Archive[[#This Row],[Higher Level Standard - Zero 1]:[Higher Level Standard - Zero 2]]))</f>
        <v>#VALUE!</v>
      </c>
      <c r="BJ961" s="29">
        <f>COUNT(Archive[[#This Row],[Candidate Transfer Standard - Zero 1]:[Candidate Transfer Standard - Zero 2]])</f>
        <v>0</v>
      </c>
    </row>
    <row r="962" spans="1:62" x14ac:dyDescent="0.3">
      <c r="A962" s="57"/>
      <c r="BG96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62" s="29" t="e">
        <f>BG962/DEVSQ(Archive[[#This Row],[Higher Level Standard - Zero 1]:[Higher Level Standard - Zero 2]])</f>
        <v>#VALUE!</v>
      </c>
      <c r="BI962" s="29" t="e">
        <f>BG962*(1/COUNT(Archive[[#This Row],[Candidate Transfer Standard - Zero 1]:[Candidate Transfer Standard - Zero 2]])+AVERAGE(Archive[[#This Row],[Higher Level Standard - Zero 1]:[Higher Level Standard - Zero 2]])^2/DEVSQ(Archive[[#This Row],[Higher Level Standard - Zero 1]:[Higher Level Standard - Zero 2]]))</f>
        <v>#VALUE!</v>
      </c>
      <c r="BJ962" s="29">
        <f>COUNT(Archive[[#This Row],[Candidate Transfer Standard - Zero 1]:[Candidate Transfer Standard - Zero 2]])</f>
        <v>0</v>
      </c>
    </row>
    <row r="963" spans="1:62" x14ac:dyDescent="0.3">
      <c r="A963" s="57"/>
      <c r="BG96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63" s="29" t="e">
        <f>BG963/DEVSQ(Archive[[#This Row],[Higher Level Standard - Zero 1]:[Higher Level Standard - Zero 2]])</f>
        <v>#VALUE!</v>
      </c>
      <c r="BI963" s="29" t="e">
        <f>BG963*(1/COUNT(Archive[[#This Row],[Candidate Transfer Standard - Zero 1]:[Candidate Transfer Standard - Zero 2]])+AVERAGE(Archive[[#This Row],[Higher Level Standard - Zero 1]:[Higher Level Standard - Zero 2]])^2/DEVSQ(Archive[[#This Row],[Higher Level Standard - Zero 1]:[Higher Level Standard - Zero 2]]))</f>
        <v>#VALUE!</v>
      </c>
      <c r="BJ963" s="29">
        <f>COUNT(Archive[[#This Row],[Candidate Transfer Standard - Zero 1]:[Candidate Transfer Standard - Zero 2]])</f>
        <v>0</v>
      </c>
    </row>
    <row r="964" spans="1:62" x14ac:dyDescent="0.3">
      <c r="A964" s="57"/>
      <c r="BG96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64" s="29" t="e">
        <f>BG964/DEVSQ(Archive[[#This Row],[Higher Level Standard - Zero 1]:[Higher Level Standard - Zero 2]])</f>
        <v>#VALUE!</v>
      </c>
      <c r="BI964" s="29" t="e">
        <f>BG964*(1/COUNT(Archive[[#This Row],[Candidate Transfer Standard - Zero 1]:[Candidate Transfer Standard - Zero 2]])+AVERAGE(Archive[[#This Row],[Higher Level Standard - Zero 1]:[Higher Level Standard - Zero 2]])^2/DEVSQ(Archive[[#This Row],[Higher Level Standard - Zero 1]:[Higher Level Standard - Zero 2]]))</f>
        <v>#VALUE!</v>
      </c>
      <c r="BJ964" s="29">
        <f>COUNT(Archive[[#This Row],[Candidate Transfer Standard - Zero 1]:[Candidate Transfer Standard - Zero 2]])</f>
        <v>0</v>
      </c>
    </row>
    <row r="965" spans="1:62" x14ac:dyDescent="0.3">
      <c r="A965" s="57"/>
      <c r="BG96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65" s="29" t="e">
        <f>BG965/DEVSQ(Archive[[#This Row],[Higher Level Standard - Zero 1]:[Higher Level Standard - Zero 2]])</f>
        <v>#VALUE!</v>
      </c>
      <c r="BI965" s="29" t="e">
        <f>BG965*(1/COUNT(Archive[[#This Row],[Candidate Transfer Standard - Zero 1]:[Candidate Transfer Standard - Zero 2]])+AVERAGE(Archive[[#This Row],[Higher Level Standard - Zero 1]:[Higher Level Standard - Zero 2]])^2/DEVSQ(Archive[[#This Row],[Higher Level Standard - Zero 1]:[Higher Level Standard - Zero 2]]))</f>
        <v>#VALUE!</v>
      </c>
      <c r="BJ965" s="29">
        <f>COUNT(Archive[[#This Row],[Candidate Transfer Standard - Zero 1]:[Candidate Transfer Standard - Zero 2]])</f>
        <v>0</v>
      </c>
    </row>
    <row r="966" spans="1:62" x14ac:dyDescent="0.3">
      <c r="A966" s="57"/>
      <c r="BG96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66" s="29" t="e">
        <f>BG966/DEVSQ(Archive[[#This Row],[Higher Level Standard - Zero 1]:[Higher Level Standard - Zero 2]])</f>
        <v>#VALUE!</v>
      </c>
      <c r="BI966" s="29" t="e">
        <f>BG966*(1/COUNT(Archive[[#This Row],[Candidate Transfer Standard - Zero 1]:[Candidate Transfer Standard - Zero 2]])+AVERAGE(Archive[[#This Row],[Higher Level Standard - Zero 1]:[Higher Level Standard - Zero 2]])^2/DEVSQ(Archive[[#This Row],[Higher Level Standard - Zero 1]:[Higher Level Standard - Zero 2]]))</f>
        <v>#VALUE!</v>
      </c>
      <c r="BJ966" s="29">
        <f>COUNT(Archive[[#This Row],[Candidate Transfer Standard - Zero 1]:[Candidate Transfer Standard - Zero 2]])</f>
        <v>0</v>
      </c>
    </row>
    <row r="967" spans="1:62" x14ac:dyDescent="0.3">
      <c r="A967" s="57"/>
      <c r="BG96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67" s="29" t="e">
        <f>BG967/DEVSQ(Archive[[#This Row],[Higher Level Standard - Zero 1]:[Higher Level Standard - Zero 2]])</f>
        <v>#VALUE!</v>
      </c>
      <c r="BI967" s="29" t="e">
        <f>BG967*(1/COUNT(Archive[[#This Row],[Candidate Transfer Standard - Zero 1]:[Candidate Transfer Standard - Zero 2]])+AVERAGE(Archive[[#This Row],[Higher Level Standard - Zero 1]:[Higher Level Standard - Zero 2]])^2/DEVSQ(Archive[[#This Row],[Higher Level Standard - Zero 1]:[Higher Level Standard - Zero 2]]))</f>
        <v>#VALUE!</v>
      </c>
      <c r="BJ967" s="29">
        <f>COUNT(Archive[[#This Row],[Candidate Transfer Standard - Zero 1]:[Candidate Transfer Standard - Zero 2]])</f>
        <v>0</v>
      </c>
    </row>
    <row r="968" spans="1:62" x14ac:dyDescent="0.3">
      <c r="A968" s="57"/>
      <c r="BG96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68" s="29" t="e">
        <f>BG968/DEVSQ(Archive[[#This Row],[Higher Level Standard - Zero 1]:[Higher Level Standard - Zero 2]])</f>
        <v>#VALUE!</v>
      </c>
      <c r="BI968" s="29" t="e">
        <f>BG968*(1/COUNT(Archive[[#This Row],[Candidate Transfer Standard - Zero 1]:[Candidate Transfer Standard - Zero 2]])+AVERAGE(Archive[[#This Row],[Higher Level Standard - Zero 1]:[Higher Level Standard - Zero 2]])^2/DEVSQ(Archive[[#This Row],[Higher Level Standard - Zero 1]:[Higher Level Standard - Zero 2]]))</f>
        <v>#VALUE!</v>
      </c>
      <c r="BJ968" s="29">
        <f>COUNT(Archive[[#This Row],[Candidate Transfer Standard - Zero 1]:[Candidate Transfer Standard - Zero 2]])</f>
        <v>0</v>
      </c>
    </row>
    <row r="969" spans="1:62" x14ac:dyDescent="0.3">
      <c r="A969" s="57"/>
      <c r="BG96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69" s="29" t="e">
        <f>BG969/DEVSQ(Archive[[#This Row],[Higher Level Standard - Zero 1]:[Higher Level Standard - Zero 2]])</f>
        <v>#VALUE!</v>
      </c>
      <c r="BI969" s="29" t="e">
        <f>BG969*(1/COUNT(Archive[[#This Row],[Candidate Transfer Standard - Zero 1]:[Candidate Transfer Standard - Zero 2]])+AVERAGE(Archive[[#This Row],[Higher Level Standard - Zero 1]:[Higher Level Standard - Zero 2]])^2/DEVSQ(Archive[[#This Row],[Higher Level Standard - Zero 1]:[Higher Level Standard - Zero 2]]))</f>
        <v>#VALUE!</v>
      </c>
      <c r="BJ969" s="29">
        <f>COUNT(Archive[[#This Row],[Candidate Transfer Standard - Zero 1]:[Candidate Transfer Standard - Zero 2]])</f>
        <v>0</v>
      </c>
    </row>
    <row r="970" spans="1:62" x14ac:dyDescent="0.3">
      <c r="A970" s="57"/>
      <c r="BG97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70" s="29" t="e">
        <f>BG970/DEVSQ(Archive[[#This Row],[Higher Level Standard - Zero 1]:[Higher Level Standard - Zero 2]])</f>
        <v>#VALUE!</v>
      </c>
      <c r="BI970" s="29" t="e">
        <f>BG970*(1/COUNT(Archive[[#This Row],[Candidate Transfer Standard - Zero 1]:[Candidate Transfer Standard - Zero 2]])+AVERAGE(Archive[[#This Row],[Higher Level Standard - Zero 1]:[Higher Level Standard - Zero 2]])^2/DEVSQ(Archive[[#This Row],[Higher Level Standard - Zero 1]:[Higher Level Standard - Zero 2]]))</f>
        <v>#VALUE!</v>
      </c>
      <c r="BJ970" s="29">
        <f>COUNT(Archive[[#This Row],[Candidate Transfer Standard - Zero 1]:[Candidate Transfer Standard - Zero 2]])</f>
        <v>0</v>
      </c>
    </row>
    <row r="971" spans="1:62" x14ac:dyDescent="0.3">
      <c r="A971" s="57"/>
      <c r="BG97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71" s="29" t="e">
        <f>BG971/DEVSQ(Archive[[#This Row],[Higher Level Standard - Zero 1]:[Higher Level Standard - Zero 2]])</f>
        <v>#VALUE!</v>
      </c>
      <c r="BI971" s="29" t="e">
        <f>BG971*(1/COUNT(Archive[[#This Row],[Candidate Transfer Standard - Zero 1]:[Candidate Transfer Standard - Zero 2]])+AVERAGE(Archive[[#This Row],[Higher Level Standard - Zero 1]:[Higher Level Standard - Zero 2]])^2/DEVSQ(Archive[[#This Row],[Higher Level Standard - Zero 1]:[Higher Level Standard - Zero 2]]))</f>
        <v>#VALUE!</v>
      </c>
      <c r="BJ971" s="29">
        <f>COUNT(Archive[[#This Row],[Candidate Transfer Standard - Zero 1]:[Candidate Transfer Standard - Zero 2]])</f>
        <v>0</v>
      </c>
    </row>
    <row r="972" spans="1:62" x14ac:dyDescent="0.3">
      <c r="A972" s="57"/>
      <c r="BG97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72" s="29" t="e">
        <f>BG972/DEVSQ(Archive[[#This Row],[Higher Level Standard - Zero 1]:[Higher Level Standard - Zero 2]])</f>
        <v>#VALUE!</v>
      </c>
      <c r="BI972" s="29" t="e">
        <f>BG972*(1/COUNT(Archive[[#This Row],[Candidate Transfer Standard - Zero 1]:[Candidate Transfer Standard - Zero 2]])+AVERAGE(Archive[[#This Row],[Higher Level Standard - Zero 1]:[Higher Level Standard - Zero 2]])^2/DEVSQ(Archive[[#This Row],[Higher Level Standard - Zero 1]:[Higher Level Standard - Zero 2]]))</f>
        <v>#VALUE!</v>
      </c>
      <c r="BJ972" s="29">
        <f>COUNT(Archive[[#This Row],[Candidate Transfer Standard - Zero 1]:[Candidate Transfer Standard - Zero 2]])</f>
        <v>0</v>
      </c>
    </row>
    <row r="973" spans="1:62" x14ac:dyDescent="0.3">
      <c r="A973" s="57"/>
      <c r="BG97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73" s="29" t="e">
        <f>BG973/DEVSQ(Archive[[#This Row],[Higher Level Standard - Zero 1]:[Higher Level Standard - Zero 2]])</f>
        <v>#VALUE!</v>
      </c>
      <c r="BI973" s="29" t="e">
        <f>BG973*(1/COUNT(Archive[[#This Row],[Candidate Transfer Standard - Zero 1]:[Candidate Transfer Standard - Zero 2]])+AVERAGE(Archive[[#This Row],[Higher Level Standard - Zero 1]:[Higher Level Standard - Zero 2]])^2/DEVSQ(Archive[[#This Row],[Higher Level Standard - Zero 1]:[Higher Level Standard - Zero 2]]))</f>
        <v>#VALUE!</v>
      </c>
      <c r="BJ973" s="29">
        <f>COUNT(Archive[[#This Row],[Candidate Transfer Standard - Zero 1]:[Candidate Transfer Standard - Zero 2]])</f>
        <v>0</v>
      </c>
    </row>
    <row r="974" spans="1:62" x14ac:dyDescent="0.3">
      <c r="A974" s="57"/>
      <c r="BG97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74" s="29" t="e">
        <f>BG974/DEVSQ(Archive[[#This Row],[Higher Level Standard - Zero 1]:[Higher Level Standard - Zero 2]])</f>
        <v>#VALUE!</v>
      </c>
      <c r="BI974" s="29" t="e">
        <f>BG974*(1/COUNT(Archive[[#This Row],[Candidate Transfer Standard - Zero 1]:[Candidate Transfer Standard - Zero 2]])+AVERAGE(Archive[[#This Row],[Higher Level Standard - Zero 1]:[Higher Level Standard - Zero 2]])^2/DEVSQ(Archive[[#This Row],[Higher Level Standard - Zero 1]:[Higher Level Standard - Zero 2]]))</f>
        <v>#VALUE!</v>
      </c>
      <c r="BJ974" s="29">
        <f>COUNT(Archive[[#This Row],[Candidate Transfer Standard - Zero 1]:[Candidate Transfer Standard - Zero 2]])</f>
        <v>0</v>
      </c>
    </row>
    <row r="975" spans="1:62" x14ac:dyDescent="0.3">
      <c r="A975" s="57"/>
      <c r="BG97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75" s="29" t="e">
        <f>BG975/DEVSQ(Archive[[#This Row],[Higher Level Standard - Zero 1]:[Higher Level Standard - Zero 2]])</f>
        <v>#VALUE!</v>
      </c>
      <c r="BI975" s="29" t="e">
        <f>BG975*(1/COUNT(Archive[[#This Row],[Candidate Transfer Standard - Zero 1]:[Candidate Transfer Standard - Zero 2]])+AVERAGE(Archive[[#This Row],[Higher Level Standard - Zero 1]:[Higher Level Standard - Zero 2]])^2/DEVSQ(Archive[[#This Row],[Higher Level Standard - Zero 1]:[Higher Level Standard - Zero 2]]))</f>
        <v>#VALUE!</v>
      </c>
      <c r="BJ975" s="29">
        <f>COUNT(Archive[[#This Row],[Candidate Transfer Standard - Zero 1]:[Candidate Transfer Standard - Zero 2]])</f>
        <v>0</v>
      </c>
    </row>
    <row r="976" spans="1:62" x14ac:dyDescent="0.3">
      <c r="A976" s="57"/>
      <c r="BG97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76" s="29" t="e">
        <f>BG976/DEVSQ(Archive[[#This Row],[Higher Level Standard - Zero 1]:[Higher Level Standard - Zero 2]])</f>
        <v>#VALUE!</v>
      </c>
      <c r="BI976" s="29" t="e">
        <f>BG976*(1/COUNT(Archive[[#This Row],[Candidate Transfer Standard - Zero 1]:[Candidate Transfer Standard - Zero 2]])+AVERAGE(Archive[[#This Row],[Higher Level Standard - Zero 1]:[Higher Level Standard - Zero 2]])^2/DEVSQ(Archive[[#This Row],[Higher Level Standard - Zero 1]:[Higher Level Standard - Zero 2]]))</f>
        <v>#VALUE!</v>
      </c>
      <c r="BJ976" s="29">
        <f>COUNT(Archive[[#This Row],[Candidate Transfer Standard - Zero 1]:[Candidate Transfer Standard - Zero 2]])</f>
        <v>0</v>
      </c>
    </row>
    <row r="977" spans="1:62" x14ac:dyDescent="0.3">
      <c r="A977" s="57"/>
      <c r="BG97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77" s="29" t="e">
        <f>BG977/DEVSQ(Archive[[#This Row],[Higher Level Standard - Zero 1]:[Higher Level Standard - Zero 2]])</f>
        <v>#VALUE!</v>
      </c>
      <c r="BI977" s="29" t="e">
        <f>BG977*(1/COUNT(Archive[[#This Row],[Candidate Transfer Standard - Zero 1]:[Candidate Transfer Standard - Zero 2]])+AVERAGE(Archive[[#This Row],[Higher Level Standard - Zero 1]:[Higher Level Standard - Zero 2]])^2/DEVSQ(Archive[[#This Row],[Higher Level Standard - Zero 1]:[Higher Level Standard - Zero 2]]))</f>
        <v>#VALUE!</v>
      </c>
      <c r="BJ977" s="29">
        <f>COUNT(Archive[[#This Row],[Candidate Transfer Standard - Zero 1]:[Candidate Transfer Standard - Zero 2]])</f>
        <v>0</v>
      </c>
    </row>
    <row r="978" spans="1:62" x14ac:dyDescent="0.3">
      <c r="A978" s="57"/>
      <c r="BG97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78" s="29" t="e">
        <f>BG978/DEVSQ(Archive[[#This Row],[Higher Level Standard - Zero 1]:[Higher Level Standard - Zero 2]])</f>
        <v>#VALUE!</v>
      </c>
      <c r="BI978" s="29" t="e">
        <f>BG978*(1/COUNT(Archive[[#This Row],[Candidate Transfer Standard - Zero 1]:[Candidate Transfer Standard - Zero 2]])+AVERAGE(Archive[[#This Row],[Higher Level Standard - Zero 1]:[Higher Level Standard - Zero 2]])^2/DEVSQ(Archive[[#This Row],[Higher Level Standard - Zero 1]:[Higher Level Standard - Zero 2]]))</f>
        <v>#VALUE!</v>
      </c>
      <c r="BJ978" s="29">
        <f>COUNT(Archive[[#This Row],[Candidate Transfer Standard - Zero 1]:[Candidate Transfer Standard - Zero 2]])</f>
        <v>0</v>
      </c>
    </row>
    <row r="979" spans="1:62" x14ac:dyDescent="0.3">
      <c r="A979" s="57"/>
      <c r="BG97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79" s="29" t="e">
        <f>BG979/DEVSQ(Archive[[#This Row],[Higher Level Standard - Zero 1]:[Higher Level Standard - Zero 2]])</f>
        <v>#VALUE!</v>
      </c>
      <c r="BI979" s="29" t="e">
        <f>BG979*(1/COUNT(Archive[[#This Row],[Candidate Transfer Standard - Zero 1]:[Candidate Transfer Standard - Zero 2]])+AVERAGE(Archive[[#This Row],[Higher Level Standard - Zero 1]:[Higher Level Standard - Zero 2]])^2/DEVSQ(Archive[[#This Row],[Higher Level Standard - Zero 1]:[Higher Level Standard - Zero 2]]))</f>
        <v>#VALUE!</v>
      </c>
      <c r="BJ979" s="29">
        <f>COUNT(Archive[[#This Row],[Candidate Transfer Standard - Zero 1]:[Candidate Transfer Standard - Zero 2]])</f>
        <v>0</v>
      </c>
    </row>
    <row r="980" spans="1:62" x14ac:dyDescent="0.3">
      <c r="A980" s="57"/>
      <c r="BG98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80" s="29" t="e">
        <f>BG980/DEVSQ(Archive[[#This Row],[Higher Level Standard - Zero 1]:[Higher Level Standard - Zero 2]])</f>
        <v>#VALUE!</v>
      </c>
      <c r="BI980" s="29" t="e">
        <f>BG980*(1/COUNT(Archive[[#This Row],[Candidate Transfer Standard - Zero 1]:[Candidate Transfer Standard - Zero 2]])+AVERAGE(Archive[[#This Row],[Higher Level Standard - Zero 1]:[Higher Level Standard - Zero 2]])^2/DEVSQ(Archive[[#This Row],[Higher Level Standard - Zero 1]:[Higher Level Standard - Zero 2]]))</f>
        <v>#VALUE!</v>
      </c>
      <c r="BJ980" s="29">
        <f>COUNT(Archive[[#This Row],[Candidate Transfer Standard - Zero 1]:[Candidate Transfer Standard - Zero 2]])</f>
        <v>0</v>
      </c>
    </row>
    <row r="981" spans="1:62" x14ac:dyDescent="0.3">
      <c r="A981" s="57"/>
      <c r="BG98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81" s="29" t="e">
        <f>BG981/DEVSQ(Archive[[#This Row],[Higher Level Standard - Zero 1]:[Higher Level Standard - Zero 2]])</f>
        <v>#VALUE!</v>
      </c>
      <c r="BI981" s="29" t="e">
        <f>BG981*(1/COUNT(Archive[[#This Row],[Candidate Transfer Standard - Zero 1]:[Candidate Transfer Standard - Zero 2]])+AVERAGE(Archive[[#This Row],[Higher Level Standard - Zero 1]:[Higher Level Standard - Zero 2]])^2/DEVSQ(Archive[[#This Row],[Higher Level Standard - Zero 1]:[Higher Level Standard - Zero 2]]))</f>
        <v>#VALUE!</v>
      </c>
      <c r="BJ981" s="29">
        <f>COUNT(Archive[[#This Row],[Candidate Transfer Standard - Zero 1]:[Candidate Transfer Standard - Zero 2]])</f>
        <v>0</v>
      </c>
    </row>
    <row r="982" spans="1:62" x14ac:dyDescent="0.3">
      <c r="A982" s="57"/>
      <c r="BG98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82" s="29" t="e">
        <f>BG982/DEVSQ(Archive[[#This Row],[Higher Level Standard - Zero 1]:[Higher Level Standard - Zero 2]])</f>
        <v>#VALUE!</v>
      </c>
      <c r="BI982" s="29" t="e">
        <f>BG982*(1/COUNT(Archive[[#This Row],[Candidate Transfer Standard - Zero 1]:[Candidate Transfer Standard - Zero 2]])+AVERAGE(Archive[[#This Row],[Higher Level Standard - Zero 1]:[Higher Level Standard - Zero 2]])^2/DEVSQ(Archive[[#This Row],[Higher Level Standard - Zero 1]:[Higher Level Standard - Zero 2]]))</f>
        <v>#VALUE!</v>
      </c>
      <c r="BJ982" s="29">
        <f>COUNT(Archive[[#This Row],[Candidate Transfer Standard - Zero 1]:[Candidate Transfer Standard - Zero 2]])</f>
        <v>0</v>
      </c>
    </row>
    <row r="983" spans="1:62" x14ac:dyDescent="0.3">
      <c r="A983" s="57"/>
      <c r="BG98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83" s="29" t="e">
        <f>BG983/DEVSQ(Archive[[#This Row],[Higher Level Standard - Zero 1]:[Higher Level Standard - Zero 2]])</f>
        <v>#VALUE!</v>
      </c>
      <c r="BI983" s="29" t="e">
        <f>BG983*(1/COUNT(Archive[[#This Row],[Candidate Transfer Standard - Zero 1]:[Candidate Transfer Standard - Zero 2]])+AVERAGE(Archive[[#This Row],[Higher Level Standard - Zero 1]:[Higher Level Standard - Zero 2]])^2/DEVSQ(Archive[[#This Row],[Higher Level Standard - Zero 1]:[Higher Level Standard - Zero 2]]))</f>
        <v>#VALUE!</v>
      </c>
      <c r="BJ983" s="29">
        <f>COUNT(Archive[[#This Row],[Candidate Transfer Standard - Zero 1]:[Candidate Transfer Standard - Zero 2]])</f>
        <v>0</v>
      </c>
    </row>
    <row r="984" spans="1:62" x14ac:dyDescent="0.3">
      <c r="A984" s="57"/>
      <c r="BG98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84" s="29" t="e">
        <f>BG984/DEVSQ(Archive[[#This Row],[Higher Level Standard - Zero 1]:[Higher Level Standard - Zero 2]])</f>
        <v>#VALUE!</v>
      </c>
      <c r="BI984" s="29" t="e">
        <f>BG984*(1/COUNT(Archive[[#This Row],[Candidate Transfer Standard - Zero 1]:[Candidate Transfer Standard - Zero 2]])+AVERAGE(Archive[[#This Row],[Higher Level Standard - Zero 1]:[Higher Level Standard - Zero 2]])^2/DEVSQ(Archive[[#This Row],[Higher Level Standard - Zero 1]:[Higher Level Standard - Zero 2]]))</f>
        <v>#VALUE!</v>
      </c>
      <c r="BJ984" s="29">
        <f>COUNT(Archive[[#This Row],[Candidate Transfer Standard - Zero 1]:[Candidate Transfer Standard - Zero 2]])</f>
        <v>0</v>
      </c>
    </row>
    <row r="985" spans="1:62" x14ac:dyDescent="0.3">
      <c r="A985" s="57"/>
      <c r="BG98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85" s="29" t="e">
        <f>BG985/DEVSQ(Archive[[#This Row],[Higher Level Standard - Zero 1]:[Higher Level Standard - Zero 2]])</f>
        <v>#VALUE!</v>
      </c>
      <c r="BI985" s="29" t="e">
        <f>BG985*(1/COUNT(Archive[[#This Row],[Candidate Transfer Standard - Zero 1]:[Candidate Transfer Standard - Zero 2]])+AVERAGE(Archive[[#This Row],[Higher Level Standard - Zero 1]:[Higher Level Standard - Zero 2]])^2/DEVSQ(Archive[[#This Row],[Higher Level Standard - Zero 1]:[Higher Level Standard - Zero 2]]))</f>
        <v>#VALUE!</v>
      </c>
      <c r="BJ985" s="29">
        <f>COUNT(Archive[[#This Row],[Candidate Transfer Standard - Zero 1]:[Candidate Transfer Standard - Zero 2]])</f>
        <v>0</v>
      </c>
    </row>
    <row r="986" spans="1:62" x14ac:dyDescent="0.3">
      <c r="A986" s="57"/>
      <c r="BG98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86" s="29" t="e">
        <f>BG986/DEVSQ(Archive[[#This Row],[Higher Level Standard - Zero 1]:[Higher Level Standard - Zero 2]])</f>
        <v>#VALUE!</v>
      </c>
      <c r="BI986" s="29" t="e">
        <f>BG986*(1/COUNT(Archive[[#This Row],[Candidate Transfer Standard - Zero 1]:[Candidate Transfer Standard - Zero 2]])+AVERAGE(Archive[[#This Row],[Higher Level Standard - Zero 1]:[Higher Level Standard - Zero 2]])^2/DEVSQ(Archive[[#This Row],[Higher Level Standard - Zero 1]:[Higher Level Standard - Zero 2]]))</f>
        <v>#VALUE!</v>
      </c>
      <c r="BJ986" s="29">
        <f>COUNT(Archive[[#This Row],[Candidate Transfer Standard - Zero 1]:[Candidate Transfer Standard - Zero 2]])</f>
        <v>0</v>
      </c>
    </row>
    <row r="987" spans="1:62" x14ac:dyDescent="0.3">
      <c r="A987" s="57"/>
      <c r="BG98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87" s="29" t="e">
        <f>BG987/DEVSQ(Archive[[#This Row],[Higher Level Standard - Zero 1]:[Higher Level Standard - Zero 2]])</f>
        <v>#VALUE!</v>
      </c>
      <c r="BI987" s="29" t="e">
        <f>BG987*(1/COUNT(Archive[[#This Row],[Candidate Transfer Standard - Zero 1]:[Candidate Transfer Standard - Zero 2]])+AVERAGE(Archive[[#This Row],[Higher Level Standard - Zero 1]:[Higher Level Standard - Zero 2]])^2/DEVSQ(Archive[[#This Row],[Higher Level Standard - Zero 1]:[Higher Level Standard - Zero 2]]))</f>
        <v>#VALUE!</v>
      </c>
      <c r="BJ987" s="29">
        <f>COUNT(Archive[[#This Row],[Candidate Transfer Standard - Zero 1]:[Candidate Transfer Standard - Zero 2]])</f>
        <v>0</v>
      </c>
    </row>
    <row r="988" spans="1:62" x14ac:dyDescent="0.3">
      <c r="A988" s="57"/>
      <c r="BG98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88" s="29" t="e">
        <f>BG988/DEVSQ(Archive[[#This Row],[Higher Level Standard - Zero 1]:[Higher Level Standard - Zero 2]])</f>
        <v>#VALUE!</v>
      </c>
      <c r="BI988" s="29" t="e">
        <f>BG988*(1/COUNT(Archive[[#This Row],[Candidate Transfer Standard - Zero 1]:[Candidate Transfer Standard - Zero 2]])+AVERAGE(Archive[[#This Row],[Higher Level Standard - Zero 1]:[Higher Level Standard - Zero 2]])^2/DEVSQ(Archive[[#This Row],[Higher Level Standard - Zero 1]:[Higher Level Standard - Zero 2]]))</f>
        <v>#VALUE!</v>
      </c>
      <c r="BJ988" s="29">
        <f>COUNT(Archive[[#This Row],[Candidate Transfer Standard - Zero 1]:[Candidate Transfer Standard - Zero 2]])</f>
        <v>0</v>
      </c>
    </row>
    <row r="989" spans="1:62" x14ac:dyDescent="0.3">
      <c r="A989" s="57"/>
      <c r="BG98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89" s="29" t="e">
        <f>BG989/DEVSQ(Archive[[#This Row],[Higher Level Standard - Zero 1]:[Higher Level Standard - Zero 2]])</f>
        <v>#VALUE!</v>
      </c>
      <c r="BI989" s="29" t="e">
        <f>BG989*(1/COUNT(Archive[[#This Row],[Candidate Transfer Standard - Zero 1]:[Candidate Transfer Standard - Zero 2]])+AVERAGE(Archive[[#This Row],[Higher Level Standard - Zero 1]:[Higher Level Standard - Zero 2]])^2/DEVSQ(Archive[[#This Row],[Higher Level Standard - Zero 1]:[Higher Level Standard - Zero 2]]))</f>
        <v>#VALUE!</v>
      </c>
      <c r="BJ989" s="29">
        <f>COUNT(Archive[[#This Row],[Candidate Transfer Standard - Zero 1]:[Candidate Transfer Standard - Zero 2]])</f>
        <v>0</v>
      </c>
    </row>
    <row r="990" spans="1:62" x14ac:dyDescent="0.3">
      <c r="A990" s="57"/>
      <c r="BG99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90" s="29" t="e">
        <f>BG990/DEVSQ(Archive[[#This Row],[Higher Level Standard - Zero 1]:[Higher Level Standard - Zero 2]])</f>
        <v>#VALUE!</v>
      </c>
      <c r="BI990" s="29" t="e">
        <f>BG990*(1/COUNT(Archive[[#This Row],[Candidate Transfer Standard - Zero 1]:[Candidate Transfer Standard - Zero 2]])+AVERAGE(Archive[[#This Row],[Higher Level Standard - Zero 1]:[Higher Level Standard - Zero 2]])^2/DEVSQ(Archive[[#This Row],[Higher Level Standard - Zero 1]:[Higher Level Standard - Zero 2]]))</f>
        <v>#VALUE!</v>
      </c>
      <c r="BJ990" s="29">
        <f>COUNT(Archive[[#This Row],[Candidate Transfer Standard - Zero 1]:[Candidate Transfer Standard - Zero 2]])</f>
        <v>0</v>
      </c>
    </row>
    <row r="991" spans="1:62" x14ac:dyDescent="0.3">
      <c r="A991" s="57"/>
      <c r="BG99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91" s="29" t="e">
        <f>BG991/DEVSQ(Archive[[#This Row],[Higher Level Standard - Zero 1]:[Higher Level Standard - Zero 2]])</f>
        <v>#VALUE!</v>
      </c>
      <c r="BI991" s="29" t="e">
        <f>BG991*(1/COUNT(Archive[[#This Row],[Candidate Transfer Standard - Zero 1]:[Candidate Transfer Standard - Zero 2]])+AVERAGE(Archive[[#This Row],[Higher Level Standard - Zero 1]:[Higher Level Standard - Zero 2]])^2/DEVSQ(Archive[[#This Row],[Higher Level Standard - Zero 1]:[Higher Level Standard - Zero 2]]))</f>
        <v>#VALUE!</v>
      </c>
      <c r="BJ991" s="29">
        <f>COUNT(Archive[[#This Row],[Candidate Transfer Standard - Zero 1]:[Candidate Transfer Standard - Zero 2]])</f>
        <v>0</v>
      </c>
    </row>
    <row r="992" spans="1:62" x14ac:dyDescent="0.3">
      <c r="A992" s="57"/>
      <c r="BG99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92" s="29" t="e">
        <f>BG992/DEVSQ(Archive[[#This Row],[Higher Level Standard - Zero 1]:[Higher Level Standard - Zero 2]])</f>
        <v>#VALUE!</v>
      </c>
      <c r="BI992" s="29" t="e">
        <f>BG992*(1/COUNT(Archive[[#This Row],[Candidate Transfer Standard - Zero 1]:[Candidate Transfer Standard - Zero 2]])+AVERAGE(Archive[[#This Row],[Higher Level Standard - Zero 1]:[Higher Level Standard - Zero 2]])^2/DEVSQ(Archive[[#This Row],[Higher Level Standard - Zero 1]:[Higher Level Standard - Zero 2]]))</f>
        <v>#VALUE!</v>
      </c>
      <c r="BJ992" s="29">
        <f>COUNT(Archive[[#This Row],[Candidate Transfer Standard - Zero 1]:[Candidate Transfer Standard - Zero 2]])</f>
        <v>0</v>
      </c>
    </row>
    <row r="993" spans="1:62" x14ac:dyDescent="0.3">
      <c r="A993" s="57"/>
      <c r="BG99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93" s="29" t="e">
        <f>BG993/DEVSQ(Archive[[#This Row],[Higher Level Standard - Zero 1]:[Higher Level Standard - Zero 2]])</f>
        <v>#VALUE!</v>
      </c>
      <c r="BI993" s="29" t="e">
        <f>BG993*(1/COUNT(Archive[[#This Row],[Candidate Transfer Standard - Zero 1]:[Candidate Transfer Standard - Zero 2]])+AVERAGE(Archive[[#This Row],[Higher Level Standard - Zero 1]:[Higher Level Standard - Zero 2]])^2/DEVSQ(Archive[[#This Row],[Higher Level Standard - Zero 1]:[Higher Level Standard - Zero 2]]))</f>
        <v>#VALUE!</v>
      </c>
      <c r="BJ993" s="29">
        <f>COUNT(Archive[[#This Row],[Candidate Transfer Standard - Zero 1]:[Candidate Transfer Standard - Zero 2]])</f>
        <v>0</v>
      </c>
    </row>
    <row r="994" spans="1:62" x14ac:dyDescent="0.3">
      <c r="A994" s="57"/>
      <c r="BG99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94" s="29" t="e">
        <f>BG994/DEVSQ(Archive[[#This Row],[Higher Level Standard - Zero 1]:[Higher Level Standard - Zero 2]])</f>
        <v>#VALUE!</v>
      </c>
      <c r="BI994" s="29" t="e">
        <f>BG994*(1/COUNT(Archive[[#This Row],[Candidate Transfer Standard - Zero 1]:[Candidate Transfer Standard - Zero 2]])+AVERAGE(Archive[[#This Row],[Higher Level Standard - Zero 1]:[Higher Level Standard - Zero 2]])^2/DEVSQ(Archive[[#This Row],[Higher Level Standard - Zero 1]:[Higher Level Standard - Zero 2]]))</f>
        <v>#VALUE!</v>
      </c>
      <c r="BJ994" s="29">
        <f>COUNT(Archive[[#This Row],[Candidate Transfer Standard - Zero 1]:[Candidate Transfer Standard - Zero 2]])</f>
        <v>0</v>
      </c>
    </row>
    <row r="995" spans="1:62" x14ac:dyDescent="0.3">
      <c r="A995" s="57"/>
      <c r="BG99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95" s="29" t="e">
        <f>BG995/DEVSQ(Archive[[#This Row],[Higher Level Standard - Zero 1]:[Higher Level Standard - Zero 2]])</f>
        <v>#VALUE!</v>
      </c>
      <c r="BI995" s="29" t="e">
        <f>BG995*(1/COUNT(Archive[[#This Row],[Candidate Transfer Standard - Zero 1]:[Candidate Transfer Standard - Zero 2]])+AVERAGE(Archive[[#This Row],[Higher Level Standard - Zero 1]:[Higher Level Standard - Zero 2]])^2/DEVSQ(Archive[[#This Row],[Higher Level Standard - Zero 1]:[Higher Level Standard - Zero 2]]))</f>
        <v>#VALUE!</v>
      </c>
      <c r="BJ995" s="29">
        <f>COUNT(Archive[[#This Row],[Candidate Transfer Standard - Zero 1]:[Candidate Transfer Standard - Zero 2]])</f>
        <v>0</v>
      </c>
    </row>
    <row r="996" spans="1:62" x14ac:dyDescent="0.3">
      <c r="A996" s="57"/>
      <c r="BG99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96" s="29" t="e">
        <f>BG996/DEVSQ(Archive[[#This Row],[Higher Level Standard - Zero 1]:[Higher Level Standard - Zero 2]])</f>
        <v>#VALUE!</v>
      </c>
      <c r="BI996" s="29" t="e">
        <f>BG996*(1/COUNT(Archive[[#This Row],[Candidate Transfer Standard - Zero 1]:[Candidate Transfer Standard - Zero 2]])+AVERAGE(Archive[[#This Row],[Higher Level Standard - Zero 1]:[Higher Level Standard - Zero 2]])^2/DEVSQ(Archive[[#This Row],[Higher Level Standard - Zero 1]:[Higher Level Standard - Zero 2]]))</f>
        <v>#VALUE!</v>
      </c>
      <c r="BJ996" s="29">
        <f>COUNT(Archive[[#This Row],[Candidate Transfer Standard - Zero 1]:[Candidate Transfer Standard - Zero 2]])</f>
        <v>0</v>
      </c>
    </row>
    <row r="997" spans="1:62" x14ac:dyDescent="0.3">
      <c r="A997" s="57"/>
      <c r="BG99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97" s="29" t="e">
        <f>BG997/DEVSQ(Archive[[#This Row],[Higher Level Standard - Zero 1]:[Higher Level Standard - Zero 2]])</f>
        <v>#VALUE!</v>
      </c>
      <c r="BI997" s="29" t="e">
        <f>BG997*(1/COUNT(Archive[[#This Row],[Candidate Transfer Standard - Zero 1]:[Candidate Transfer Standard - Zero 2]])+AVERAGE(Archive[[#This Row],[Higher Level Standard - Zero 1]:[Higher Level Standard - Zero 2]])^2/DEVSQ(Archive[[#This Row],[Higher Level Standard - Zero 1]:[Higher Level Standard - Zero 2]]))</f>
        <v>#VALUE!</v>
      </c>
      <c r="BJ997" s="29">
        <f>COUNT(Archive[[#This Row],[Candidate Transfer Standard - Zero 1]:[Candidate Transfer Standard - Zero 2]])</f>
        <v>0</v>
      </c>
    </row>
    <row r="998" spans="1:62" x14ac:dyDescent="0.3">
      <c r="A998" s="57"/>
      <c r="BG99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98" s="29" t="e">
        <f>BG998/DEVSQ(Archive[[#This Row],[Higher Level Standard - Zero 1]:[Higher Level Standard - Zero 2]])</f>
        <v>#VALUE!</v>
      </c>
      <c r="BI998" s="29" t="e">
        <f>BG998*(1/COUNT(Archive[[#This Row],[Candidate Transfer Standard - Zero 1]:[Candidate Transfer Standard - Zero 2]])+AVERAGE(Archive[[#This Row],[Higher Level Standard - Zero 1]:[Higher Level Standard - Zero 2]])^2/DEVSQ(Archive[[#This Row],[Higher Level Standard - Zero 1]:[Higher Level Standard - Zero 2]]))</f>
        <v>#VALUE!</v>
      </c>
      <c r="BJ998" s="29">
        <f>COUNT(Archive[[#This Row],[Candidate Transfer Standard - Zero 1]:[Candidate Transfer Standard - Zero 2]])</f>
        <v>0</v>
      </c>
    </row>
    <row r="999" spans="1:62" x14ac:dyDescent="0.3">
      <c r="A999" s="57"/>
      <c r="BG99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999" s="29" t="e">
        <f>BG999/DEVSQ(Archive[[#This Row],[Higher Level Standard - Zero 1]:[Higher Level Standard - Zero 2]])</f>
        <v>#VALUE!</v>
      </c>
      <c r="BI999" s="29" t="e">
        <f>BG999*(1/COUNT(Archive[[#This Row],[Candidate Transfer Standard - Zero 1]:[Candidate Transfer Standard - Zero 2]])+AVERAGE(Archive[[#This Row],[Higher Level Standard - Zero 1]:[Higher Level Standard - Zero 2]])^2/DEVSQ(Archive[[#This Row],[Higher Level Standard - Zero 1]:[Higher Level Standard - Zero 2]]))</f>
        <v>#VALUE!</v>
      </c>
      <c r="BJ999" s="29">
        <f>COUNT(Archive[[#This Row],[Candidate Transfer Standard - Zero 1]:[Candidate Transfer Standard - Zero 2]])</f>
        <v>0</v>
      </c>
    </row>
    <row r="1000" spans="1:62" x14ac:dyDescent="0.3">
      <c r="A1000" s="57"/>
      <c r="BG100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00" s="29" t="e">
        <f>BG1000/DEVSQ(Archive[[#This Row],[Higher Level Standard - Zero 1]:[Higher Level Standard - Zero 2]])</f>
        <v>#VALUE!</v>
      </c>
      <c r="BI1000" s="29" t="e">
        <f>BG1000*(1/COUNT(Archive[[#This Row],[Candidate Transfer Standard - Zero 1]:[Candidate Transfer Standard - Zero 2]])+AVERAGE(Archive[[#This Row],[Higher Level Standard - Zero 1]:[Higher Level Standard - Zero 2]])^2/DEVSQ(Archive[[#This Row],[Higher Level Standard - Zero 1]:[Higher Level Standard - Zero 2]]))</f>
        <v>#VALUE!</v>
      </c>
      <c r="BJ1000" s="29">
        <f>COUNT(Archive[[#This Row],[Candidate Transfer Standard - Zero 1]:[Candidate Transfer Standard - Zero 2]])</f>
        <v>0</v>
      </c>
    </row>
    <row r="1001" spans="1:62" x14ac:dyDescent="0.3">
      <c r="A1001" s="57"/>
      <c r="BG100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01" s="29" t="e">
        <f>BG1001/DEVSQ(Archive[[#This Row],[Higher Level Standard - Zero 1]:[Higher Level Standard - Zero 2]])</f>
        <v>#VALUE!</v>
      </c>
      <c r="BI1001" s="29" t="e">
        <f>BG1001*(1/COUNT(Archive[[#This Row],[Candidate Transfer Standard - Zero 1]:[Candidate Transfer Standard - Zero 2]])+AVERAGE(Archive[[#This Row],[Higher Level Standard - Zero 1]:[Higher Level Standard - Zero 2]])^2/DEVSQ(Archive[[#This Row],[Higher Level Standard - Zero 1]:[Higher Level Standard - Zero 2]]))</f>
        <v>#VALUE!</v>
      </c>
      <c r="BJ1001" s="29">
        <f>COUNT(Archive[[#This Row],[Candidate Transfer Standard - Zero 1]:[Candidate Transfer Standard - Zero 2]])</f>
        <v>0</v>
      </c>
    </row>
    <row r="1002" spans="1:62" x14ac:dyDescent="0.3">
      <c r="A1002" s="57"/>
      <c r="BG100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02" s="29" t="e">
        <f>BG1002/DEVSQ(Archive[[#This Row],[Higher Level Standard - Zero 1]:[Higher Level Standard - Zero 2]])</f>
        <v>#VALUE!</v>
      </c>
      <c r="BI1002" s="29" t="e">
        <f>BG1002*(1/COUNT(Archive[[#This Row],[Candidate Transfer Standard - Zero 1]:[Candidate Transfer Standard - Zero 2]])+AVERAGE(Archive[[#This Row],[Higher Level Standard - Zero 1]:[Higher Level Standard - Zero 2]])^2/DEVSQ(Archive[[#This Row],[Higher Level Standard - Zero 1]:[Higher Level Standard - Zero 2]]))</f>
        <v>#VALUE!</v>
      </c>
      <c r="BJ1002" s="29">
        <f>COUNT(Archive[[#This Row],[Candidate Transfer Standard - Zero 1]:[Candidate Transfer Standard - Zero 2]])</f>
        <v>0</v>
      </c>
    </row>
    <row r="1003" spans="1:62" x14ac:dyDescent="0.3">
      <c r="A1003" s="57"/>
      <c r="BG100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03" s="29" t="e">
        <f>BG1003/DEVSQ(Archive[[#This Row],[Higher Level Standard - Zero 1]:[Higher Level Standard - Zero 2]])</f>
        <v>#VALUE!</v>
      </c>
      <c r="BI1003" s="29" t="e">
        <f>BG1003*(1/COUNT(Archive[[#This Row],[Candidate Transfer Standard - Zero 1]:[Candidate Transfer Standard - Zero 2]])+AVERAGE(Archive[[#This Row],[Higher Level Standard - Zero 1]:[Higher Level Standard - Zero 2]])^2/DEVSQ(Archive[[#This Row],[Higher Level Standard - Zero 1]:[Higher Level Standard - Zero 2]]))</f>
        <v>#VALUE!</v>
      </c>
      <c r="BJ1003" s="29">
        <f>COUNT(Archive[[#This Row],[Candidate Transfer Standard - Zero 1]:[Candidate Transfer Standard - Zero 2]])</f>
        <v>0</v>
      </c>
    </row>
    <row r="1004" spans="1:62" x14ac:dyDescent="0.3">
      <c r="A1004" s="57"/>
      <c r="BG100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04" s="29" t="e">
        <f>BG1004/DEVSQ(Archive[[#This Row],[Higher Level Standard - Zero 1]:[Higher Level Standard - Zero 2]])</f>
        <v>#VALUE!</v>
      </c>
      <c r="BI1004" s="29" t="e">
        <f>BG1004*(1/COUNT(Archive[[#This Row],[Candidate Transfer Standard - Zero 1]:[Candidate Transfer Standard - Zero 2]])+AVERAGE(Archive[[#This Row],[Higher Level Standard - Zero 1]:[Higher Level Standard - Zero 2]])^2/DEVSQ(Archive[[#This Row],[Higher Level Standard - Zero 1]:[Higher Level Standard - Zero 2]]))</f>
        <v>#VALUE!</v>
      </c>
      <c r="BJ1004" s="29">
        <f>COUNT(Archive[[#This Row],[Candidate Transfer Standard - Zero 1]:[Candidate Transfer Standard - Zero 2]])</f>
        <v>0</v>
      </c>
    </row>
    <row r="1005" spans="1:62" x14ac:dyDescent="0.3">
      <c r="A1005" s="57"/>
      <c r="BG100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05" s="29" t="e">
        <f>BG1005/DEVSQ(Archive[[#This Row],[Higher Level Standard - Zero 1]:[Higher Level Standard - Zero 2]])</f>
        <v>#VALUE!</v>
      </c>
      <c r="BI1005" s="29" t="e">
        <f>BG1005*(1/COUNT(Archive[[#This Row],[Candidate Transfer Standard - Zero 1]:[Candidate Transfer Standard - Zero 2]])+AVERAGE(Archive[[#This Row],[Higher Level Standard - Zero 1]:[Higher Level Standard - Zero 2]])^2/DEVSQ(Archive[[#This Row],[Higher Level Standard - Zero 1]:[Higher Level Standard - Zero 2]]))</f>
        <v>#VALUE!</v>
      </c>
      <c r="BJ1005" s="29">
        <f>COUNT(Archive[[#This Row],[Candidate Transfer Standard - Zero 1]:[Candidate Transfer Standard - Zero 2]])</f>
        <v>0</v>
      </c>
    </row>
    <row r="1006" spans="1:62" x14ac:dyDescent="0.3">
      <c r="A1006" s="57"/>
      <c r="BG100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06" s="29" t="e">
        <f>BG1006/DEVSQ(Archive[[#This Row],[Higher Level Standard - Zero 1]:[Higher Level Standard - Zero 2]])</f>
        <v>#VALUE!</v>
      </c>
      <c r="BI1006" s="29" t="e">
        <f>BG1006*(1/COUNT(Archive[[#This Row],[Candidate Transfer Standard - Zero 1]:[Candidate Transfer Standard - Zero 2]])+AVERAGE(Archive[[#This Row],[Higher Level Standard - Zero 1]:[Higher Level Standard - Zero 2]])^2/DEVSQ(Archive[[#This Row],[Higher Level Standard - Zero 1]:[Higher Level Standard - Zero 2]]))</f>
        <v>#VALUE!</v>
      </c>
      <c r="BJ1006" s="29">
        <f>COUNT(Archive[[#This Row],[Candidate Transfer Standard - Zero 1]:[Candidate Transfer Standard - Zero 2]])</f>
        <v>0</v>
      </c>
    </row>
    <row r="1007" spans="1:62" x14ac:dyDescent="0.3">
      <c r="A1007" s="57"/>
      <c r="BG100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07" s="29" t="e">
        <f>BG1007/DEVSQ(Archive[[#This Row],[Higher Level Standard - Zero 1]:[Higher Level Standard - Zero 2]])</f>
        <v>#VALUE!</v>
      </c>
      <c r="BI1007" s="29" t="e">
        <f>BG1007*(1/COUNT(Archive[[#This Row],[Candidate Transfer Standard - Zero 1]:[Candidate Transfer Standard - Zero 2]])+AVERAGE(Archive[[#This Row],[Higher Level Standard - Zero 1]:[Higher Level Standard - Zero 2]])^2/DEVSQ(Archive[[#This Row],[Higher Level Standard - Zero 1]:[Higher Level Standard - Zero 2]]))</f>
        <v>#VALUE!</v>
      </c>
      <c r="BJ1007" s="29">
        <f>COUNT(Archive[[#This Row],[Candidate Transfer Standard - Zero 1]:[Candidate Transfer Standard - Zero 2]])</f>
        <v>0</v>
      </c>
    </row>
    <row r="1008" spans="1:62" x14ac:dyDescent="0.3">
      <c r="A1008" s="57"/>
      <c r="BG100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08" s="29" t="e">
        <f>BG1008/DEVSQ(Archive[[#This Row],[Higher Level Standard - Zero 1]:[Higher Level Standard - Zero 2]])</f>
        <v>#VALUE!</v>
      </c>
      <c r="BI1008" s="29" t="e">
        <f>BG1008*(1/COUNT(Archive[[#This Row],[Candidate Transfer Standard - Zero 1]:[Candidate Transfer Standard - Zero 2]])+AVERAGE(Archive[[#This Row],[Higher Level Standard - Zero 1]:[Higher Level Standard - Zero 2]])^2/DEVSQ(Archive[[#This Row],[Higher Level Standard - Zero 1]:[Higher Level Standard - Zero 2]]))</f>
        <v>#VALUE!</v>
      </c>
      <c r="BJ1008" s="29">
        <f>COUNT(Archive[[#This Row],[Candidate Transfer Standard - Zero 1]:[Candidate Transfer Standard - Zero 2]])</f>
        <v>0</v>
      </c>
    </row>
    <row r="1009" spans="1:62" x14ac:dyDescent="0.3">
      <c r="A1009" s="57"/>
      <c r="BG100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09" s="29" t="e">
        <f>BG1009/DEVSQ(Archive[[#This Row],[Higher Level Standard - Zero 1]:[Higher Level Standard - Zero 2]])</f>
        <v>#VALUE!</v>
      </c>
      <c r="BI1009" s="29" t="e">
        <f>BG1009*(1/COUNT(Archive[[#This Row],[Candidate Transfer Standard - Zero 1]:[Candidate Transfer Standard - Zero 2]])+AVERAGE(Archive[[#This Row],[Higher Level Standard - Zero 1]:[Higher Level Standard - Zero 2]])^2/DEVSQ(Archive[[#This Row],[Higher Level Standard - Zero 1]:[Higher Level Standard - Zero 2]]))</f>
        <v>#VALUE!</v>
      </c>
      <c r="BJ1009" s="29">
        <f>COUNT(Archive[[#This Row],[Candidate Transfer Standard - Zero 1]:[Candidate Transfer Standard - Zero 2]])</f>
        <v>0</v>
      </c>
    </row>
    <row r="1010" spans="1:62" x14ac:dyDescent="0.3">
      <c r="A1010" s="57"/>
      <c r="BG101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10" s="29" t="e">
        <f>BG1010/DEVSQ(Archive[[#This Row],[Higher Level Standard - Zero 1]:[Higher Level Standard - Zero 2]])</f>
        <v>#VALUE!</v>
      </c>
      <c r="BI1010" s="29" t="e">
        <f>BG1010*(1/COUNT(Archive[[#This Row],[Candidate Transfer Standard - Zero 1]:[Candidate Transfer Standard - Zero 2]])+AVERAGE(Archive[[#This Row],[Higher Level Standard - Zero 1]:[Higher Level Standard - Zero 2]])^2/DEVSQ(Archive[[#This Row],[Higher Level Standard - Zero 1]:[Higher Level Standard - Zero 2]]))</f>
        <v>#VALUE!</v>
      </c>
      <c r="BJ1010" s="29">
        <f>COUNT(Archive[[#This Row],[Candidate Transfer Standard - Zero 1]:[Candidate Transfer Standard - Zero 2]])</f>
        <v>0</v>
      </c>
    </row>
    <row r="1011" spans="1:62" x14ac:dyDescent="0.3">
      <c r="A1011" s="57"/>
      <c r="BG101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11" s="29" t="e">
        <f>BG1011/DEVSQ(Archive[[#This Row],[Higher Level Standard - Zero 1]:[Higher Level Standard - Zero 2]])</f>
        <v>#VALUE!</v>
      </c>
      <c r="BI1011" s="29" t="e">
        <f>BG1011*(1/COUNT(Archive[[#This Row],[Candidate Transfer Standard - Zero 1]:[Candidate Transfer Standard - Zero 2]])+AVERAGE(Archive[[#This Row],[Higher Level Standard - Zero 1]:[Higher Level Standard - Zero 2]])^2/DEVSQ(Archive[[#This Row],[Higher Level Standard - Zero 1]:[Higher Level Standard - Zero 2]]))</f>
        <v>#VALUE!</v>
      </c>
      <c r="BJ1011" s="29">
        <f>COUNT(Archive[[#This Row],[Candidate Transfer Standard - Zero 1]:[Candidate Transfer Standard - Zero 2]])</f>
        <v>0</v>
      </c>
    </row>
    <row r="1012" spans="1:62" x14ac:dyDescent="0.3">
      <c r="A1012" s="57"/>
      <c r="BG101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12" s="29" t="e">
        <f>BG1012/DEVSQ(Archive[[#This Row],[Higher Level Standard - Zero 1]:[Higher Level Standard - Zero 2]])</f>
        <v>#VALUE!</v>
      </c>
      <c r="BI1012" s="29" t="e">
        <f>BG1012*(1/COUNT(Archive[[#This Row],[Candidate Transfer Standard - Zero 1]:[Candidate Transfer Standard - Zero 2]])+AVERAGE(Archive[[#This Row],[Higher Level Standard - Zero 1]:[Higher Level Standard - Zero 2]])^2/DEVSQ(Archive[[#This Row],[Higher Level Standard - Zero 1]:[Higher Level Standard - Zero 2]]))</f>
        <v>#VALUE!</v>
      </c>
      <c r="BJ1012" s="29">
        <f>COUNT(Archive[[#This Row],[Candidate Transfer Standard - Zero 1]:[Candidate Transfer Standard - Zero 2]])</f>
        <v>0</v>
      </c>
    </row>
    <row r="1013" spans="1:62" x14ac:dyDescent="0.3">
      <c r="A1013" s="57"/>
      <c r="BG101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13" s="29" t="e">
        <f>BG1013/DEVSQ(Archive[[#This Row],[Higher Level Standard - Zero 1]:[Higher Level Standard - Zero 2]])</f>
        <v>#VALUE!</v>
      </c>
      <c r="BI1013" s="29" t="e">
        <f>BG1013*(1/COUNT(Archive[[#This Row],[Candidate Transfer Standard - Zero 1]:[Candidate Transfer Standard - Zero 2]])+AVERAGE(Archive[[#This Row],[Higher Level Standard - Zero 1]:[Higher Level Standard - Zero 2]])^2/DEVSQ(Archive[[#This Row],[Higher Level Standard - Zero 1]:[Higher Level Standard - Zero 2]]))</f>
        <v>#VALUE!</v>
      </c>
      <c r="BJ1013" s="29">
        <f>COUNT(Archive[[#This Row],[Candidate Transfer Standard - Zero 1]:[Candidate Transfer Standard - Zero 2]])</f>
        <v>0</v>
      </c>
    </row>
    <row r="1014" spans="1:62" x14ac:dyDescent="0.3">
      <c r="A1014" s="57"/>
      <c r="BG101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14" s="29" t="e">
        <f>BG1014/DEVSQ(Archive[[#This Row],[Higher Level Standard - Zero 1]:[Higher Level Standard - Zero 2]])</f>
        <v>#VALUE!</v>
      </c>
      <c r="BI1014" s="29" t="e">
        <f>BG1014*(1/COUNT(Archive[[#This Row],[Candidate Transfer Standard - Zero 1]:[Candidate Transfer Standard - Zero 2]])+AVERAGE(Archive[[#This Row],[Higher Level Standard - Zero 1]:[Higher Level Standard - Zero 2]])^2/DEVSQ(Archive[[#This Row],[Higher Level Standard - Zero 1]:[Higher Level Standard - Zero 2]]))</f>
        <v>#VALUE!</v>
      </c>
      <c r="BJ1014" s="29">
        <f>COUNT(Archive[[#This Row],[Candidate Transfer Standard - Zero 1]:[Candidate Transfer Standard - Zero 2]])</f>
        <v>0</v>
      </c>
    </row>
    <row r="1015" spans="1:62" x14ac:dyDescent="0.3">
      <c r="A1015" s="57"/>
      <c r="BG101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15" s="29" t="e">
        <f>BG1015/DEVSQ(Archive[[#This Row],[Higher Level Standard - Zero 1]:[Higher Level Standard - Zero 2]])</f>
        <v>#VALUE!</v>
      </c>
      <c r="BI1015" s="29" t="e">
        <f>BG1015*(1/COUNT(Archive[[#This Row],[Candidate Transfer Standard - Zero 1]:[Candidate Transfer Standard - Zero 2]])+AVERAGE(Archive[[#This Row],[Higher Level Standard - Zero 1]:[Higher Level Standard - Zero 2]])^2/DEVSQ(Archive[[#This Row],[Higher Level Standard - Zero 1]:[Higher Level Standard - Zero 2]]))</f>
        <v>#VALUE!</v>
      </c>
      <c r="BJ1015" s="29">
        <f>COUNT(Archive[[#This Row],[Candidate Transfer Standard - Zero 1]:[Candidate Transfer Standard - Zero 2]])</f>
        <v>0</v>
      </c>
    </row>
    <row r="1016" spans="1:62" x14ac:dyDescent="0.3">
      <c r="A1016" s="57"/>
      <c r="BG101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16" s="29" t="e">
        <f>BG1016/DEVSQ(Archive[[#This Row],[Higher Level Standard - Zero 1]:[Higher Level Standard - Zero 2]])</f>
        <v>#VALUE!</v>
      </c>
      <c r="BI1016" s="29" t="e">
        <f>BG1016*(1/COUNT(Archive[[#This Row],[Candidate Transfer Standard - Zero 1]:[Candidate Transfer Standard - Zero 2]])+AVERAGE(Archive[[#This Row],[Higher Level Standard - Zero 1]:[Higher Level Standard - Zero 2]])^2/DEVSQ(Archive[[#This Row],[Higher Level Standard - Zero 1]:[Higher Level Standard - Zero 2]]))</f>
        <v>#VALUE!</v>
      </c>
      <c r="BJ1016" s="29">
        <f>COUNT(Archive[[#This Row],[Candidate Transfer Standard - Zero 1]:[Candidate Transfer Standard - Zero 2]])</f>
        <v>0</v>
      </c>
    </row>
    <row r="1017" spans="1:62" x14ac:dyDescent="0.3">
      <c r="A1017" s="57"/>
      <c r="BG101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17" s="29" t="e">
        <f>BG1017/DEVSQ(Archive[[#This Row],[Higher Level Standard - Zero 1]:[Higher Level Standard - Zero 2]])</f>
        <v>#VALUE!</v>
      </c>
      <c r="BI1017" s="29" t="e">
        <f>BG1017*(1/COUNT(Archive[[#This Row],[Candidate Transfer Standard - Zero 1]:[Candidate Transfer Standard - Zero 2]])+AVERAGE(Archive[[#This Row],[Higher Level Standard - Zero 1]:[Higher Level Standard - Zero 2]])^2/DEVSQ(Archive[[#This Row],[Higher Level Standard - Zero 1]:[Higher Level Standard - Zero 2]]))</f>
        <v>#VALUE!</v>
      </c>
      <c r="BJ1017" s="29">
        <f>COUNT(Archive[[#This Row],[Candidate Transfer Standard - Zero 1]:[Candidate Transfer Standard - Zero 2]])</f>
        <v>0</v>
      </c>
    </row>
    <row r="1018" spans="1:62" x14ac:dyDescent="0.3">
      <c r="A1018" s="57"/>
      <c r="BG101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18" s="29" t="e">
        <f>BG1018/DEVSQ(Archive[[#This Row],[Higher Level Standard - Zero 1]:[Higher Level Standard - Zero 2]])</f>
        <v>#VALUE!</v>
      </c>
      <c r="BI1018" s="29" t="e">
        <f>BG1018*(1/COUNT(Archive[[#This Row],[Candidate Transfer Standard - Zero 1]:[Candidate Transfer Standard - Zero 2]])+AVERAGE(Archive[[#This Row],[Higher Level Standard - Zero 1]:[Higher Level Standard - Zero 2]])^2/DEVSQ(Archive[[#This Row],[Higher Level Standard - Zero 1]:[Higher Level Standard - Zero 2]]))</f>
        <v>#VALUE!</v>
      </c>
      <c r="BJ1018" s="29">
        <f>COUNT(Archive[[#This Row],[Candidate Transfer Standard - Zero 1]:[Candidate Transfer Standard - Zero 2]])</f>
        <v>0</v>
      </c>
    </row>
    <row r="1019" spans="1:62" x14ac:dyDescent="0.3">
      <c r="A1019" s="57"/>
      <c r="BG101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19" s="29" t="e">
        <f>BG1019/DEVSQ(Archive[[#This Row],[Higher Level Standard - Zero 1]:[Higher Level Standard - Zero 2]])</f>
        <v>#VALUE!</v>
      </c>
      <c r="BI1019" s="29" t="e">
        <f>BG1019*(1/COUNT(Archive[[#This Row],[Candidate Transfer Standard - Zero 1]:[Candidate Transfer Standard - Zero 2]])+AVERAGE(Archive[[#This Row],[Higher Level Standard - Zero 1]:[Higher Level Standard - Zero 2]])^2/DEVSQ(Archive[[#This Row],[Higher Level Standard - Zero 1]:[Higher Level Standard - Zero 2]]))</f>
        <v>#VALUE!</v>
      </c>
      <c r="BJ1019" s="29">
        <f>COUNT(Archive[[#This Row],[Candidate Transfer Standard - Zero 1]:[Candidate Transfer Standard - Zero 2]])</f>
        <v>0</v>
      </c>
    </row>
    <row r="1020" spans="1:62" x14ac:dyDescent="0.3">
      <c r="A1020" s="57"/>
      <c r="BG102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20" s="29" t="e">
        <f>BG1020/DEVSQ(Archive[[#This Row],[Higher Level Standard - Zero 1]:[Higher Level Standard - Zero 2]])</f>
        <v>#VALUE!</v>
      </c>
      <c r="BI1020" s="29" t="e">
        <f>BG1020*(1/COUNT(Archive[[#This Row],[Candidate Transfer Standard - Zero 1]:[Candidate Transfer Standard - Zero 2]])+AVERAGE(Archive[[#This Row],[Higher Level Standard - Zero 1]:[Higher Level Standard - Zero 2]])^2/DEVSQ(Archive[[#This Row],[Higher Level Standard - Zero 1]:[Higher Level Standard - Zero 2]]))</f>
        <v>#VALUE!</v>
      </c>
      <c r="BJ1020" s="29">
        <f>COUNT(Archive[[#This Row],[Candidate Transfer Standard - Zero 1]:[Candidate Transfer Standard - Zero 2]])</f>
        <v>0</v>
      </c>
    </row>
    <row r="1021" spans="1:62" x14ac:dyDescent="0.3">
      <c r="A1021" s="57"/>
      <c r="BG102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21" s="29" t="e">
        <f>BG1021/DEVSQ(Archive[[#This Row],[Higher Level Standard - Zero 1]:[Higher Level Standard - Zero 2]])</f>
        <v>#VALUE!</v>
      </c>
      <c r="BI1021" s="29" t="e">
        <f>BG1021*(1/COUNT(Archive[[#This Row],[Candidate Transfer Standard - Zero 1]:[Candidate Transfer Standard - Zero 2]])+AVERAGE(Archive[[#This Row],[Higher Level Standard - Zero 1]:[Higher Level Standard - Zero 2]])^2/DEVSQ(Archive[[#This Row],[Higher Level Standard - Zero 1]:[Higher Level Standard - Zero 2]]))</f>
        <v>#VALUE!</v>
      </c>
      <c r="BJ1021" s="29">
        <f>COUNT(Archive[[#This Row],[Candidate Transfer Standard - Zero 1]:[Candidate Transfer Standard - Zero 2]])</f>
        <v>0</v>
      </c>
    </row>
    <row r="1022" spans="1:62" x14ac:dyDescent="0.3">
      <c r="A1022" s="57"/>
      <c r="BG102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22" s="29" t="e">
        <f>BG1022/DEVSQ(Archive[[#This Row],[Higher Level Standard - Zero 1]:[Higher Level Standard - Zero 2]])</f>
        <v>#VALUE!</v>
      </c>
      <c r="BI1022" s="29" t="e">
        <f>BG1022*(1/COUNT(Archive[[#This Row],[Candidate Transfer Standard - Zero 1]:[Candidate Transfer Standard - Zero 2]])+AVERAGE(Archive[[#This Row],[Higher Level Standard - Zero 1]:[Higher Level Standard - Zero 2]])^2/DEVSQ(Archive[[#This Row],[Higher Level Standard - Zero 1]:[Higher Level Standard - Zero 2]]))</f>
        <v>#VALUE!</v>
      </c>
      <c r="BJ1022" s="29">
        <f>COUNT(Archive[[#This Row],[Candidate Transfer Standard - Zero 1]:[Candidate Transfer Standard - Zero 2]])</f>
        <v>0</v>
      </c>
    </row>
    <row r="1023" spans="1:62" x14ac:dyDescent="0.3">
      <c r="A1023" s="57"/>
      <c r="BG102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23" s="29" t="e">
        <f>BG1023/DEVSQ(Archive[[#This Row],[Higher Level Standard - Zero 1]:[Higher Level Standard - Zero 2]])</f>
        <v>#VALUE!</v>
      </c>
      <c r="BI1023" s="29" t="e">
        <f>BG1023*(1/COUNT(Archive[[#This Row],[Candidate Transfer Standard - Zero 1]:[Candidate Transfer Standard - Zero 2]])+AVERAGE(Archive[[#This Row],[Higher Level Standard - Zero 1]:[Higher Level Standard - Zero 2]])^2/DEVSQ(Archive[[#This Row],[Higher Level Standard - Zero 1]:[Higher Level Standard - Zero 2]]))</f>
        <v>#VALUE!</v>
      </c>
      <c r="BJ1023" s="29">
        <f>COUNT(Archive[[#This Row],[Candidate Transfer Standard - Zero 1]:[Candidate Transfer Standard - Zero 2]])</f>
        <v>0</v>
      </c>
    </row>
    <row r="1024" spans="1:62" x14ac:dyDescent="0.3">
      <c r="A1024" s="57"/>
      <c r="BG102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24" s="29" t="e">
        <f>BG1024/DEVSQ(Archive[[#This Row],[Higher Level Standard - Zero 1]:[Higher Level Standard - Zero 2]])</f>
        <v>#VALUE!</v>
      </c>
      <c r="BI1024" s="29" t="e">
        <f>BG1024*(1/COUNT(Archive[[#This Row],[Candidate Transfer Standard - Zero 1]:[Candidate Transfer Standard - Zero 2]])+AVERAGE(Archive[[#This Row],[Higher Level Standard - Zero 1]:[Higher Level Standard - Zero 2]])^2/DEVSQ(Archive[[#This Row],[Higher Level Standard - Zero 1]:[Higher Level Standard - Zero 2]]))</f>
        <v>#VALUE!</v>
      </c>
      <c r="BJ1024" s="29">
        <f>COUNT(Archive[[#This Row],[Candidate Transfer Standard - Zero 1]:[Candidate Transfer Standard - Zero 2]])</f>
        <v>0</v>
      </c>
    </row>
    <row r="1025" spans="1:62" x14ac:dyDescent="0.3">
      <c r="A1025" s="57"/>
      <c r="BG102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25" s="29" t="e">
        <f>BG1025/DEVSQ(Archive[[#This Row],[Higher Level Standard - Zero 1]:[Higher Level Standard - Zero 2]])</f>
        <v>#VALUE!</v>
      </c>
      <c r="BI1025" s="29" t="e">
        <f>BG1025*(1/COUNT(Archive[[#This Row],[Candidate Transfer Standard - Zero 1]:[Candidate Transfer Standard - Zero 2]])+AVERAGE(Archive[[#This Row],[Higher Level Standard - Zero 1]:[Higher Level Standard - Zero 2]])^2/DEVSQ(Archive[[#This Row],[Higher Level Standard - Zero 1]:[Higher Level Standard - Zero 2]]))</f>
        <v>#VALUE!</v>
      </c>
      <c r="BJ1025" s="29">
        <f>COUNT(Archive[[#This Row],[Candidate Transfer Standard - Zero 1]:[Candidate Transfer Standard - Zero 2]])</f>
        <v>0</v>
      </c>
    </row>
    <row r="1026" spans="1:62" x14ac:dyDescent="0.3">
      <c r="A1026" s="57"/>
      <c r="BG102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26" s="29" t="e">
        <f>BG1026/DEVSQ(Archive[[#This Row],[Higher Level Standard - Zero 1]:[Higher Level Standard - Zero 2]])</f>
        <v>#VALUE!</v>
      </c>
      <c r="BI1026" s="29" t="e">
        <f>BG1026*(1/COUNT(Archive[[#This Row],[Candidate Transfer Standard - Zero 1]:[Candidate Transfer Standard - Zero 2]])+AVERAGE(Archive[[#This Row],[Higher Level Standard - Zero 1]:[Higher Level Standard - Zero 2]])^2/DEVSQ(Archive[[#This Row],[Higher Level Standard - Zero 1]:[Higher Level Standard - Zero 2]]))</f>
        <v>#VALUE!</v>
      </c>
      <c r="BJ1026" s="29">
        <f>COUNT(Archive[[#This Row],[Candidate Transfer Standard - Zero 1]:[Candidate Transfer Standard - Zero 2]])</f>
        <v>0</v>
      </c>
    </row>
    <row r="1027" spans="1:62" x14ac:dyDescent="0.3">
      <c r="A1027" s="57"/>
      <c r="BG102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27" s="29" t="e">
        <f>BG1027/DEVSQ(Archive[[#This Row],[Higher Level Standard - Zero 1]:[Higher Level Standard - Zero 2]])</f>
        <v>#VALUE!</v>
      </c>
      <c r="BI1027" s="29" t="e">
        <f>BG1027*(1/COUNT(Archive[[#This Row],[Candidate Transfer Standard - Zero 1]:[Candidate Transfer Standard - Zero 2]])+AVERAGE(Archive[[#This Row],[Higher Level Standard - Zero 1]:[Higher Level Standard - Zero 2]])^2/DEVSQ(Archive[[#This Row],[Higher Level Standard - Zero 1]:[Higher Level Standard - Zero 2]]))</f>
        <v>#VALUE!</v>
      </c>
      <c r="BJ1027" s="29">
        <f>COUNT(Archive[[#This Row],[Candidate Transfer Standard - Zero 1]:[Candidate Transfer Standard - Zero 2]])</f>
        <v>0</v>
      </c>
    </row>
    <row r="1028" spans="1:62" x14ac:dyDescent="0.3">
      <c r="A1028" s="57"/>
      <c r="BG102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28" s="29" t="e">
        <f>BG1028/DEVSQ(Archive[[#This Row],[Higher Level Standard - Zero 1]:[Higher Level Standard - Zero 2]])</f>
        <v>#VALUE!</v>
      </c>
      <c r="BI1028" s="29" t="e">
        <f>BG1028*(1/COUNT(Archive[[#This Row],[Candidate Transfer Standard - Zero 1]:[Candidate Transfer Standard - Zero 2]])+AVERAGE(Archive[[#This Row],[Higher Level Standard - Zero 1]:[Higher Level Standard - Zero 2]])^2/DEVSQ(Archive[[#This Row],[Higher Level Standard - Zero 1]:[Higher Level Standard - Zero 2]]))</f>
        <v>#VALUE!</v>
      </c>
      <c r="BJ1028" s="29">
        <f>COUNT(Archive[[#This Row],[Candidate Transfer Standard - Zero 1]:[Candidate Transfer Standard - Zero 2]])</f>
        <v>0</v>
      </c>
    </row>
    <row r="1029" spans="1:62" x14ac:dyDescent="0.3">
      <c r="A1029" s="57"/>
      <c r="BG102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29" s="29" t="e">
        <f>BG1029/DEVSQ(Archive[[#This Row],[Higher Level Standard - Zero 1]:[Higher Level Standard - Zero 2]])</f>
        <v>#VALUE!</v>
      </c>
      <c r="BI1029" s="29" t="e">
        <f>BG1029*(1/COUNT(Archive[[#This Row],[Candidate Transfer Standard - Zero 1]:[Candidate Transfer Standard - Zero 2]])+AVERAGE(Archive[[#This Row],[Higher Level Standard - Zero 1]:[Higher Level Standard - Zero 2]])^2/DEVSQ(Archive[[#This Row],[Higher Level Standard - Zero 1]:[Higher Level Standard - Zero 2]]))</f>
        <v>#VALUE!</v>
      </c>
      <c r="BJ1029" s="29">
        <f>COUNT(Archive[[#This Row],[Candidate Transfer Standard - Zero 1]:[Candidate Transfer Standard - Zero 2]])</f>
        <v>0</v>
      </c>
    </row>
    <row r="1030" spans="1:62" x14ac:dyDescent="0.3">
      <c r="A1030" s="57"/>
      <c r="BG103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30" s="29" t="e">
        <f>BG1030/DEVSQ(Archive[[#This Row],[Higher Level Standard - Zero 1]:[Higher Level Standard - Zero 2]])</f>
        <v>#VALUE!</v>
      </c>
      <c r="BI1030" s="29" t="e">
        <f>BG1030*(1/COUNT(Archive[[#This Row],[Candidate Transfer Standard - Zero 1]:[Candidate Transfer Standard - Zero 2]])+AVERAGE(Archive[[#This Row],[Higher Level Standard - Zero 1]:[Higher Level Standard - Zero 2]])^2/DEVSQ(Archive[[#This Row],[Higher Level Standard - Zero 1]:[Higher Level Standard - Zero 2]]))</f>
        <v>#VALUE!</v>
      </c>
      <c r="BJ1030" s="29">
        <f>COUNT(Archive[[#This Row],[Candidate Transfer Standard - Zero 1]:[Candidate Transfer Standard - Zero 2]])</f>
        <v>0</v>
      </c>
    </row>
    <row r="1031" spans="1:62" x14ac:dyDescent="0.3">
      <c r="A1031" s="57"/>
      <c r="BG103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31" s="29" t="e">
        <f>BG1031/DEVSQ(Archive[[#This Row],[Higher Level Standard - Zero 1]:[Higher Level Standard - Zero 2]])</f>
        <v>#VALUE!</v>
      </c>
      <c r="BI1031" s="29" t="e">
        <f>BG1031*(1/COUNT(Archive[[#This Row],[Candidate Transfer Standard - Zero 1]:[Candidate Transfer Standard - Zero 2]])+AVERAGE(Archive[[#This Row],[Higher Level Standard - Zero 1]:[Higher Level Standard - Zero 2]])^2/DEVSQ(Archive[[#This Row],[Higher Level Standard - Zero 1]:[Higher Level Standard - Zero 2]]))</f>
        <v>#VALUE!</v>
      </c>
      <c r="BJ1031" s="29">
        <f>COUNT(Archive[[#This Row],[Candidate Transfer Standard - Zero 1]:[Candidate Transfer Standard - Zero 2]])</f>
        <v>0</v>
      </c>
    </row>
    <row r="1032" spans="1:62" x14ac:dyDescent="0.3">
      <c r="A1032" s="57"/>
      <c r="BG103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32" s="29" t="e">
        <f>BG1032/DEVSQ(Archive[[#This Row],[Higher Level Standard - Zero 1]:[Higher Level Standard - Zero 2]])</f>
        <v>#VALUE!</v>
      </c>
      <c r="BI1032" s="29" t="e">
        <f>BG1032*(1/COUNT(Archive[[#This Row],[Candidate Transfer Standard - Zero 1]:[Candidate Transfer Standard - Zero 2]])+AVERAGE(Archive[[#This Row],[Higher Level Standard - Zero 1]:[Higher Level Standard - Zero 2]])^2/DEVSQ(Archive[[#This Row],[Higher Level Standard - Zero 1]:[Higher Level Standard - Zero 2]]))</f>
        <v>#VALUE!</v>
      </c>
      <c r="BJ1032" s="29">
        <f>COUNT(Archive[[#This Row],[Candidate Transfer Standard - Zero 1]:[Candidate Transfer Standard - Zero 2]])</f>
        <v>0</v>
      </c>
    </row>
    <row r="1033" spans="1:62" x14ac:dyDescent="0.3">
      <c r="A1033" s="57"/>
      <c r="BG103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33" s="29" t="e">
        <f>BG1033/DEVSQ(Archive[[#This Row],[Higher Level Standard - Zero 1]:[Higher Level Standard - Zero 2]])</f>
        <v>#VALUE!</v>
      </c>
      <c r="BI1033" s="29" t="e">
        <f>BG1033*(1/COUNT(Archive[[#This Row],[Candidate Transfer Standard - Zero 1]:[Candidate Transfer Standard - Zero 2]])+AVERAGE(Archive[[#This Row],[Higher Level Standard - Zero 1]:[Higher Level Standard - Zero 2]])^2/DEVSQ(Archive[[#This Row],[Higher Level Standard - Zero 1]:[Higher Level Standard - Zero 2]]))</f>
        <v>#VALUE!</v>
      </c>
      <c r="BJ1033" s="29">
        <f>COUNT(Archive[[#This Row],[Candidate Transfer Standard - Zero 1]:[Candidate Transfer Standard - Zero 2]])</f>
        <v>0</v>
      </c>
    </row>
    <row r="1034" spans="1:62" x14ac:dyDescent="0.3">
      <c r="A1034" s="57"/>
      <c r="BG103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34" s="29" t="e">
        <f>BG1034/DEVSQ(Archive[[#This Row],[Higher Level Standard - Zero 1]:[Higher Level Standard - Zero 2]])</f>
        <v>#VALUE!</v>
      </c>
      <c r="BI1034" s="29" t="e">
        <f>BG1034*(1/COUNT(Archive[[#This Row],[Candidate Transfer Standard - Zero 1]:[Candidate Transfer Standard - Zero 2]])+AVERAGE(Archive[[#This Row],[Higher Level Standard - Zero 1]:[Higher Level Standard - Zero 2]])^2/DEVSQ(Archive[[#This Row],[Higher Level Standard - Zero 1]:[Higher Level Standard - Zero 2]]))</f>
        <v>#VALUE!</v>
      </c>
      <c r="BJ1034" s="29">
        <f>COUNT(Archive[[#This Row],[Candidate Transfer Standard - Zero 1]:[Candidate Transfer Standard - Zero 2]])</f>
        <v>0</v>
      </c>
    </row>
    <row r="1035" spans="1:62" x14ac:dyDescent="0.3">
      <c r="A1035" s="57"/>
      <c r="BG103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35" s="29" t="e">
        <f>BG1035/DEVSQ(Archive[[#This Row],[Higher Level Standard - Zero 1]:[Higher Level Standard - Zero 2]])</f>
        <v>#VALUE!</v>
      </c>
      <c r="BI1035" s="29" t="e">
        <f>BG1035*(1/COUNT(Archive[[#This Row],[Candidate Transfer Standard - Zero 1]:[Candidate Transfer Standard - Zero 2]])+AVERAGE(Archive[[#This Row],[Higher Level Standard - Zero 1]:[Higher Level Standard - Zero 2]])^2/DEVSQ(Archive[[#This Row],[Higher Level Standard - Zero 1]:[Higher Level Standard - Zero 2]]))</f>
        <v>#VALUE!</v>
      </c>
      <c r="BJ1035" s="29">
        <f>COUNT(Archive[[#This Row],[Candidate Transfer Standard - Zero 1]:[Candidate Transfer Standard - Zero 2]])</f>
        <v>0</v>
      </c>
    </row>
    <row r="1036" spans="1:62" x14ac:dyDescent="0.3">
      <c r="A1036" s="57"/>
      <c r="BG103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36" s="29" t="e">
        <f>BG1036/DEVSQ(Archive[[#This Row],[Higher Level Standard - Zero 1]:[Higher Level Standard - Zero 2]])</f>
        <v>#VALUE!</v>
      </c>
      <c r="BI1036" s="29" t="e">
        <f>BG1036*(1/COUNT(Archive[[#This Row],[Candidate Transfer Standard - Zero 1]:[Candidate Transfer Standard - Zero 2]])+AVERAGE(Archive[[#This Row],[Higher Level Standard - Zero 1]:[Higher Level Standard - Zero 2]])^2/DEVSQ(Archive[[#This Row],[Higher Level Standard - Zero 1]:[Higher Level Standard - Zero 2]]))</f>
        <v>#VALUE!</v>
      </c>
      <c r="BJ1036" s="29">
        <f>COUNT(Archive[[#This Row],[Candidate Transfer Standard - Zero 1]:[Candidate Transfer Standard - Zero 2]])</f>
        <v>0</v>
      </c>
    </row>
    <row r="1037" spans="1:62" x14ac:dyDescent="0.3">
      <c r="A1037" s="57"/>
      <c r="BG103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37" s="29" t="e">
        <f>BG1037/DEVSQ(Archive[[#This Row],[Higher Level Standard - Zero 1]:[Higher Level Standard - Zero 2]])</f>
        <v>#VALUE!</v>
      </c>
      <c r="BI1037" s="29" t="e">
        <f>BG1037*(1/COUNT(Archive[[#This Row],[Candidate Transfer Standard - Zero 1]:[Candidate Transfer Standard - Zero 2]])+AVERAGE(Archive[[#This Row],[Higher Level Standard - Zero 1]:[Higher Level Standard - Zero 2]])^2/DEVSQ(Archive[[#This Row],[Higher Level Standard - Zero 1]:[Higher Level Standard - Zero 2]]))</f>
        <v>#VALUE!</v>
      </c>
      <c r="BJ1037" s="29">
        <f>COUNT(Archive[[#This Row],[Candidate Transfer Standard - Zero 1]:[Candidate Transfer Standard - Zero 2]])</f>
        <v>0</v>
      </c>
    </row>
    <row r="1038" spans="1:62" x14ac:dyDescent="0.3">
      <c r="A1038" s="57"/>
      <c r="BG103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38" s="29" t="e">
        <f>BG1038/DEVSQ(Archive[[#This Row],[Higher Level Standard - Zero 1]:[Higher Level Standard - Zero 2]])</f>
        <v>#VALUE!</v>
      </c>
      <c r="BI1038" s="29" t="e">
        <f>BG1038*(1/COUNT(Archive[[#This Row],[Candidate Transfer Standard - Zero 1]:[Candidate Transfer Standard - Zero 2]])+AVERAGE(Archive[[#This Row],[Higher Level Standard - Zero 1]:[Higher Level Standard - Zero 2]])^2/DEVSQ(Archive[[#This Row],[Higher Level Standard - Zero 1]:[Higher Level Standard - Zero 2]]))</f>
        <v>#VALUE!</v>
      </c>
      <c r="BJ1038" s="29">
        <f>COUNT(Archive[[#This Row],[Candidate Transfer Standard - Zero 1]:[Candidate Transfer Standard - Zero 2]])</f>
        <v>0</v>
      </c>
    </row>
    <row r="1039" spans="1:62" x14ac:dyDescent="0.3">
      <c r="A1039" s="57"/>
      <c r="BG103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39" s="29" t="e">
        <f>BG1039/DEVSQ(Archive[[#This Row],[Higher Level Standard - Zero 1]:[Higher Level Standard - Zero 2]])</f>
        <v>#VALUE!</v>
      </c>
      <c r="BI1039" s="29" t="e">
        <f>BG1039*(1/COUNT(Archive[[#This Row],[Candidate Transfer Standard - Zero 1]:[Candidate Transfer Standard - Zero 2]])+AVERAGE(Archive[[#This Row],[Higher Level Standard - Zero 1]:[Higher Level Standard - Zero 2]])^2/DEVSQ(Archive[[#This Row],[Higher Level Standard - Zero 1]:[Higher Level Standard - Zero 2]]))</f>
        <v>#VALUE!</v>
      </c>
      <c r="BJ1039" s="29">
        <f>COUNT(Archive[[#This Row],[Candidate Transfer Standard - Zero 1]:[Candidate Transfer Standard - Zero 2]])</f>
        <v>0</v>
      </c>
    </row>
    <row r="1040" spans="1:62" x14ac:dyDescent="0.3">
      <c r="A1040" s="57"/>
      <c r="BG104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40" s="29" t="e">
        <f>BG1040/DEVSQ(Archive[[#This Row],[Higher Level Standard - Zero 1]:[Higher Level Standard - Zero 2]])</f>
        <v>#VALUE!</v>
      </c>
      <c r="BI1040" s="29" t="e">
        <f>BG1040*(1/COUNT(Archive[[#This Row],[Candidate Transfer Standard - Zero 1]:[Candidate Transfer Standard - Zero 2]])+AVERAGE(Archive[[#This Row],[Higher Level Standard - Zero 1]:[Higher Level Standard - Zero 2]])^2/DEVSQ(Archive[[#This Row],[Higher Level Standard - Zero 1]:[Higher Level Standard - Zero 2]]))</f>
        <v>#VALUE!</v>
      </c>
      <c r="BJ1040" s="29">
        <f>COUNT(Archive[[#This Row],[Candidate Transfer Standard - Zero 1]:[Candidate Transfer Standard - Zero 2]])</f>
        <v>0</v>
      </c>
    </row>
    <row r="1041" spans="1:62" x14ac:dyDescent="0.3">
      <c r="A1041" s="57"/>
      <c r="BG104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41" s="29" t="e">
        <f>BG1041/DEVSQ(Archive[[#This Row],[Higher Level Standard - Zero 1]:[Higher Level Standard - Zero 2]])</f>
        <v>#VALUE!</v>
      </c>
      <c r="BI1041" s="29" t="e">
        <f>BG1041*(1/COUNT(Archive[[#This Row],[Candidate Transfer Standard - Zero 1]:[Candidate Transfer Standard - Zero 2]])+AVERAGE(Archive[[#This Row],[Higher Level Standard - Zero 1]:[Higher Level Standard - Zero 2]])^2/DEVSQ(Archive[[#This Row],[Higher Level Standard - Zero 1]:[Higher Level Standard - Zero 2]]))</f>
        <v>#VALUE!</v>
      </c>
      <c r="BJ1041" s="29">
        <f>COUNT(Archive[[#This Row],[Candidate Transfer Standard - Zero 1]:[Candidate Transfer Standard - Zero 2]])</f>
        <v>0</v>
      </c>
    </row>
    <row r="1042" spans="1:62" x14ac:dyDescent="0.3">
      <c r="A1042" s="57"/>
      <c r="BG104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42" s="29" t="e">
        <f>BG1042/DEVSQ(Archive[[#This Row],[Higher Level Standard - Zero 1]:[Higher Level Standard - Zero 2]])</f>
        <v>#VALUE!</v>
      </c>
      <c r="BI1042" s="29" t="e">
        <f>BG1042*(1/COUNT(Archive[[#This Row],[Candidate Transfer Standard - Zero 1]:[Candidate Transfer Standard - Zero 2]])+AVERAGE(Archive[[#This Row],[Higher Level Standard - Zero 1]:[Higher Level Standard - Zero 2]])^2/DEVSQ(Archive[[#This Row],[Higher Level Standard - Zero 1]:[Higher Level Standard - Zero 2]]))</f>
        <v>#VALUE!</v>
      </c>
      <c r="BJ1042" s="29">
        <f>COUNT(Archive[[#This Row],[Candidate Transfer Standard - Zero 1]:[Candidate Transfer Standard - Zero 2]])</f>
        <v>0</v>
      </c>
    </row>
    <row r="1043" spans="1:62" x14ac:dyDescent="0.3">
      <c r="A1043" s="57"/>
      <c r="BG104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43" s="29" t="e">
        <f>BG1043/DEVSQ(Archive[[#This Row],[Higher Level Standard - Zero 1]:[Higher Level Standard - Zero 2]])</f>
        <v>#VALUE!</v>
      </c>
      <c r="BI1043" s="29" t="e">
        <f>BG1043*(1/COUNT(Archive[[#This Row],[Candidate Transfer Standard - Zero 1]:[Candidate Transfer Standard - Zero 2]])+AVERAGE(Archive[[#This Row],[Higher Level Standard - Zero 1]:[Higher Level Standard - Zero 2]])^2/DEVSQ(Archive[[#This Row],[Higher Level Standard - Zero 1]:[Higher Level Standard - Zero 2]]))</f>
        <v>#VALUE!</v>
      </c>
      <c r="BJ1043" s="29">
        <f>COUNT(Archive[[#This Row],[Candidate Transfer Standard - Zero 1]:[Candidate Transfer Standard - Zero 2]])</f>
        <v>0</v>
      </c>
    </row>
    <row r="1044" spans="1:62" x14ac:dyDescent="0.3">
      <c r="A1044" s="57"/>
      <c r="BG104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44" s="29" t="e">
        <f>BG1044/DEVSQ(Archive[[#This Row],[Higher Level Standard - Zero 1]:[Higher Level Standard - Zero 2]])</f>
        <v>#VALUE!</v>
      </c>
      <c r="BI1044" s="29" t="e">
        <f>BG1044*(1/COUNT(Archive[[#This Row],[Candidate Transfer Standard - Zero 1]:[Candidate Transfer Standard - Zero 2]])+AVERAGE(Archive[[#This Row],[Higher Level Standard - Zero 1]:[Higher Level Standard - Zero 2]])^2/DEVSQ(Archive[[#This Row],[Higher Level Standard - Zero 1]:[Higher Level Standard - Zero 2]]))</f>
        <v>#VALUE!</v>
      </c>
      <c r="BJ1044" s="29">
        <f>COUNT(Archive[[#This Row],[Candidate Transfer Standard - Zero 1]:[Candidate Transfer Standard - Zero 2]])</f>
        <v>0</v>
      </c>
    </row>
    <row r="1045" spans="1:62" x14ac:dyDescent="0.3">
      <c r="A1045" s="57"/>
      <c r="BG104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45" s="29" t="e">
        <f>BG1045/DEVSQ(Archive[[#This Row],[Higher Level Standard - Zero 1]:[Higher Level Standard - Zero 2]])</f>
        <v>#VALUE!</v>
      </c>
      <c r="BI1045" s="29" t="e">
        <f>BG1045*(1/COUNT(Archive[[#This Row],[Candidate Transfer Standard - Zero 1]:[Candidate Transfer Standard - Zero 2]])+AVERAGE(Archive[[#This Row],[Higher Level Standard - Zero 1]:[Higher Level Standard - Zero 2]])^2/DEVSQ(Archive[[#This Row],[Higher Level Standard - Zero 1]:[Higher Level Standard - Zero 2]]))</f>
        <v>#VALUE!</v>
      </c>
      <c r="BJ1045" s="29">
        <f>COUNT(Archive[[#This Row],[Candidate Transfer Standard - Zero 1]:[Candidate Transfer Standard - Zero 2]])</f>
        <v>0</v>
      </c>
    </row>
    <row r="1046" spans="1:62" x14ac:dyDescent="0.3">
      <c r="A1046" s="57"/>
      <c r="BG104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46" s="29" t="e">
        <f>BG1046/DEVSQ(Archive[[#This Row],[Higher Level Standard - Zero 1]:[Higher Level Standard - Zero 2]])</f>
        <v>#VALUE!</v>
      </c>
      <c r="BI1046" s="29" t="e">
        <f>BG1046*(1/COUNT(Archive[[#This Row],[Candidate Transfer Standard - Zero 1]:[Candidate Transfer Standard - Zero 2]])+AVERAGE(Archive[[#This Row],[Higher Level Standard - Zero 1]:[Higher Level Standard - Zero 2]])^2/DEVSQ(Archive[[#This Row],[Higher Level Standard - Zero 1]:[Higher Level Standard - Zero 2]]))</f>
        <v>#VALUE!</v>
      </c>
      <c r="BJ1046" s="29">
        <f>COUNT(Archive[[#This Row],[Candidate Transfer Standard - Zero 1]:[Candidate Transfer Standard - Zero 2]])</f>
        <v>0</v>
      </c>
    </row>
    <row r="1047" spans="1:62" x14ac:dyDescent="0.3">
      <c r="A1047" s="57"/>
      <c r="BG104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47" s="29" t="e">
        <f>BG1047/DEVSQ(Archive[[#This Row],[Higher Level Standard - Zero 1]:[Higher Level Standard - Zero 2]])</f>
        <v>#VALUE!</v>
      </c>
      <c r="BI1047" s="29" t="e">
        <f>BG1047*(1/COUNT(Archive[[#This Row],[Candidate Transfer Standard - Zero 1]:[Candidate Transfer Standard - Zero 2]])+AVERAGE(Archive[[#This Row],[Higher Level Standard - Zero 1]:[Higher Level Standard - Zero 2]])^2/DEVSQ(Archive[[#This Row],[Higher Level Standard - Zero 1]:[Higher Level Standard - Zero 2]]))</f>
        <v>#VALUE!</v>
      </c>
      <c r="BJ1047" s="29">
        <f>COUNT(Archive[[#This Row],[Candidate Transfer Standard - Zero 1]:[Candidate Transfer Standard - Zero 2]])</f>
        <v>0</v>
      </c>
    </row>
    <row r="1048" spans="1:62" x14ac:dyDescent="0.3">
      <c r="A1048" s="57"/>
      <c r="BG104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48" s="29" t="e">
        <f>BG1048/DEVSQ(Archive[[#This Row],[Higher Level Standard - Zero 1]:[Higher Level Standard - Zero 2]])</f>
        <v>#VALUE!</v>
      </c>
      <c r="BI1048" s="29" t="e">
        <f>BG1048*(1/COUNT(Archive[[#This Row],[Candidate Transfer Standard - Zero 1]:[Candidate Transfer Standard - Zero 2]])+AVERAGE(Archive[[#This Row],[Higher Level Standard - Zero 1]:[Higher Level Standard - Zero 2]])^2/DEVSQ(Archive[[#This Row],[Higher Level Standard - Zero 1]:[Higher Level Standard - Zero 2]]))</f>
        <v>#VALUE!</v>
      </c>
      <c r="BJ1048" s="29">
        <f>COUNT(Archive[[#This Row],[Candidate Transfer Standard - Zero 1]:[Candidate Transfer Standard - Zero 2]])</f>
        <v>0</v>
      </c>
    </row>
    <row r="1049" spans="1:62" x14ac:dyDescent="0.3">
      <c r="A1049" s="57"/>
      <c r="BG104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49" s="29" t="e">
        <f>BG1049/DEVSQ(Archive[[#This Row],[Higher Level Standard - Zero 1]:[Higher Level Standard - Zero 2]])</f>
        <v>#VALUE!</v>
      </c>
      <c r="BI1049" s="29" t="e">
        <f>BG1049*(1/COUNT(Archive[[#This Row],[Candidate Transfer Standard - Zero 1]:[Candidate Transfer Standard - Zero 2]])+AVERAGE(Archive[[#This Row],[Higher Level Standard - Zero 1]:[Higher Level Standard - Zero 2]])^2/DEVSQ(Archive[[#This Row],[Higher Level Standard - Zero 1]:[Higher Level Standard - Zero 2]]))</f>
        <v>#VALUE!</v>
      </c>
      <c r="BJ1049" s="29">
        <f>COUNT(Archive[[#This Row],[Candidate Transfer Standard - Zero 1]:[Candidate Transfer Standard - Zero 2]])</f>
        <v>0</v>
      </c>
    </row>
    <row r="1050" spans="1:62" x14ac:dyDescent="0.3">
      <c r="A1050" s="57"/>
      <c r="BG105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50" s="29" t="e">
        <f>BG1050/DEVSQ(Archive[[#This Row],[Higher Level Standard - Zero 1]:[Higher Level Standard - Zero 2]])</f>
        <v>#VALUE!</v>
      </c>
      <c r="BI1050" s="29" t="e">
        <f>BG1050*(1/COUNT(Archive[[#This Row],[Candidate Transfer Standard - Zero 1]:[Candidate Transfer Standard - Zero 2]])+AVERAGE(Archive[[#This Row],[Higher Level Standard - Zero 1]:[Higher Level Standard - Zero 2]])^2/DEVSQ(Archive[[#This Row],[Higher Level Standard - Zero 1]:[Higher Level Standard - Zero 2]]))</f>
        <v>#VALUE!</v>
      </c>
      <c r="BJ1050" s="29">
        <f>COUNT(Archive[[#This Row],[Candidate Transfer Standard - Zero 1]:[Candidate Transfer Standard - Zero 2]])</f>
        <v>0</v>
      </c>
    </row>
    <row r="1051" spans="1:62" x14ac:dyDescent="0.3">
      <c r="A1051" s="57"/>
      <c r="BG105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51" s="29" t="e">
        <f>BG1051/DEVSQ(Archive[[#This Row],[Higher Level Standard - Zero 1]:[Higher Level Standard - Zero 2]])</f>
        <v>#VALUE!</v>
      </c>
      <c r="BI1051" s="29" t="e">
        <f>BG1051*(1/COUNT(Archive[[#This Row],[Candidate Transfer Standard - Zero 1]:[Candidate Transfer Standard - Zero 2]])+AVERAGE(Archive[[#This Row],[Higher Level Standard - Zero 1]:[Higher Level Standard - Zero 2]])^2/DEVSQ(Archive[[#This Row],[Higher Level Standard - Zero 1]:[Higher Level Standard - Zero 2]]))</f>
        <v>#VALUE!</v>
      </c>
      <c r="BJ1051" s="29">
        <f>COUNT(Archive[[#This Row],[Candidate Transfer Standard - Zero 1]:[Candidate Transfer Standard - Zero 2]])</f>
        <v>0</v>
      </c>
    </row>
    <row r="1052" spans="1:62" x14ac:dyDescent="0.3">
      <c r="A1052" s="57"/>
      <c r="BG105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52" s="29" t="e">
        <f>BG1052/DEVSQ(Archive[[#This Row],[Higher Level Standard - Zero 1]:[Higher Level Standard - Zero 2]])</f>
        <v>#VALUE!</v>
      </c>
      <c r="BI1052" s="29" t="e">
        <f>BG1052*(1/COUNT(Archive[[#This Row],[Candidate Transfer Standard - Zero 1]:[Candidate Transfer Standard - Zero 2]])+AVERAGE(Archive[[#This Row],[Higher Level Standard - Zero 1]:[Higher Level Standard - Zero 2]])^2/DEVSQ(Archive[[#This Row],[Higher Level Standard - Zero 1]:[Higher Level Standard - Zero 2]]))</f>
        <v>#VALUE!</v>
      </c>
      <c r="BJ1052" s="29">
        <f>COUNT(Archive[[#This Row],[Candidate Transfer Standard - Zero 1]:[Candidate Transfer Standard - Zero 2]])</f>
        <v>0</v>
      </c>
    </row>
    <row r="1053" spans="1:62" x14ac:dyDescent="0.3">
      <c r="A1053" s="57"/>
      <c r="BG105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53" s="29" t="e">
        <f>BG1053/DEVSQ(Archive[[#This Row],[Higher Level Standard - Zero 1]:[Higher Level Standard - Zero 2]])</f>
        <v>#VALUE!</v>
      </c>
      <c r="BI1053" s="29" t="e">
        <f>BG1053*(1/COUNT(Archive[[#This Row],[Candidate Transfer Standard - Zero 1]:[Candidate Transfer Standard - Zero 2]])+AVERAGE(Archive[[#This Row],[Higher Level Standard - Zero 1]:[Higher Level Standard - Zero 2]])^2/DEVSQ(Archive[[#This Row],[Higher Level Standard - Zero 1]:[Higher Level Standard - Zero 2]]))</f>
        <v>#VALUE!</v>
      </c>
      <c r="BJ1053" s="29">
        <f>COUNT(Archive[[#This Row],[Candidate Transfer Standard - Zero 1]:[Candidate Transfer Standard - Zero 2]])</f>
        <v>0</v>
      </c>
    </row>
    <row r="1054" spans="1:62" x14ac:dyDescent="0.3">
      <c r="A1054" s="57"/>
      <c r="BG105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54" s="29" t="e">
        <f>BG1054/DEVSQ(Archive[[#This Row],[Higher Level Standard - Zero 1]:[Higher Level Standard - Zero 2]])</f>
        <v>#VALUE!</v>
      </c>
      <c r="BI1054" s="29" t="e">
        <f>BG1054*(1/COUNT(Archive[[#This Row],[Candidate Transfer Standard - Zero 1]:[Candidate Transfer Standard - Zero 2]])+AVERAGE(Archive[[#This Row],[Higher Level Standard - Zero 1]:[Higher Level Standard - Zero 2]])^2/DEVSQ(Archive[[#This Row],[Higher Level Standard - Zero 1]:[Higher Level Standard - Zero 2]]))</f>
        <v>#VALUE!</v>
      </c>
      <c r="BJ1054" s="29">
        <f>COUNT(Archive[[#This Row],[Candidate Transfer Standard - Zero 1]:[Candidate Transfer Standard - Zero 2]])</f>
        <v>0</v>
      </c>
    </row>
    <row r="1055" spans="1:62" x14ac:dyDescent="0.3">
      <c r="A1055" s="57"/>
      <c r="BG105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55" s="29" t="e">
        <f>BG1055/DEVSQ(Archive[[#This Row],[Higher Level Standard - Zero 1]:[Higher Level Standard - Zero 2]])</f>
        <v>#VALUE!</v>
      </c>
      <c r="BI1055" s="29" t="e">
        <f>BG1055*(1/COUNT(Archive[[#This Row],[Candidate Transfer Standard - Zero 1]:[Candidate Transfer Standard - Zero 2]])+AVERAGE(Archive[[#This Row],[Higher Level Standard - Zero 1]:[Higher Level Standard - Zero 2]])^2/DEVSQ(Archive[[#This Row],[Higher Level Standard - Zero 1]:[Higher Level Standard - Zero 2]]))</f>
        <v>#VALUE!</v>
      </c>
      <c r="BJ1055" s="29">
        <f>COUNT(Archive[[#This Row],[Candidate Transfer Standard - Zero 1]:[Candidate Transfer Standard - Zero 2]])</f>
        <v>0</v>
      </c>
    </row>
    <row r="1056" spans="1:62" x14ac:dyDescent="0.3">
      <c r="A1056" s="57"/>
      <c r="BG105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56" s="29" t="e">
        <f>BG1056/DEVSQ(Archive[[#This Row],[Higher Level Standard - Zero 1]:[Higher Level Standard - Zero 2]])</f>
        <v>#VALUE!</v>
      </c>
      <c r="BI1056" s="29" t="e">
        <f>BG1056*(1/COUNT(Archive[[#This Row],[Candidate Transfer Standard - Zero 1]:[Candidate Transfer Standard - Zero 2]])+AVERAGE(Archive[[#This Row],[Higher Level Standard - Zero 1]:[Higher Level Standard - Zero 2]])^2/DEVSQ(Archive[[#This Row],[Higher Level Standard - Zero 1]:[Higher Level Standard - Zero 2]]))</f>
        <v>#VALUE!</v>
      </c>
      <c r="BJ1056" s="29">
        <f>COUNT(Archive[[#This Row],[Candidate Transfer Standard - Zero 1]:[Candidate Transfer Standard - Zero 2]])</f>
        <v>0</v>
      </c>
    </row>
    <row r="1057" spans="1:62" x14ac:dyDescent="0.3">
      <c r="A1057" s="57"/>
      <c r="BG105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57" s="29" t="e">
        <f>BG1057/DEVSQ(Archive[[#This Row],[Higher Level Standard - Zero 1]:[Higher Level Standard - Zero 2]])</f>
        <v>#VALUE!</v>
      </c>
      <c r="BI1057" s="29" t="e">
        <f>BG1057*(1/COUNT(Archive[[#This Row],[Candidate Transfer Standard - Zero 1]:[Candidate Transfer Standard - Zero 2]])+AVERAGE(Archive[[#This Row],[Higher Level Standard - Zero 1]:[Higher Level Standard - Zero 2]])^2/DEVSQ(Archive[[#This Row],[Higher Level Standard - Zero 1]:[Higher Level Standard - Zero 2]]))</f>
        <v>#VALUE!</v>
      </c>
      <c r="BJ1057" s="29">
        <f>COUNT(Archive[[#This Row],[Candidate Transfer Standard - Zero 1]:[Candidate Transfer Standard - Zero 2]])</f>
        <v>0</v>
      </c>
    </row>
    <row r="1058" spans="1:62" x14ac:dyDescent="0.3">
      <c r="A1058" s="57"/>
      <c r="BG105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58" s="29" t="e">
        <f>BG1058/DEVSQ(Archive[[#This Row],[Higher Level Standard - Zero 1]:[Higher Level Standard - Zero 2]])</f>
        <v>#VALUE!</v>
      </c>
      <c r="BI1058" s="29" t="e">
        <f>BG1058*(1/COUNT(Archive[[#This Row],[Candidate Transfer Standard - Zero 1]:[Candidate Transfer Standard - Zero 2]])+AVERAGE(Archive[[#This Row],[Higher Level Standard - Zero 1]:[Higher Level Standard - Zero 2]])^2/DEVSQ(Archive[[#This Row],[Higher Level Standard - Zero 1]:[Higher Level Standard - Zero 2]]))</f>
        <v>#VALUE!</v>
      </c>
      <c r="BJ1058" s="29">
        <f>COUNT(Archive[[#This Row],[Candidate Transfer Standard - Zero 1]:[Candidate Transfer Standard - Zero 2]])</f>
        <v>0</v>
      </c>
    </row>
    <row r="1059" spans="1:62" x14ac:dyDescent="0.3">
      <c r="A1059" s="57"/>
      <c r="BG105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59" s="29" t="e">
        <f>BG1059/DEVSQ(Archive[[#This Row],[Higher Level Standard - Zero 1]:[Higher Level Standard - Zero 2]])</f>
        <v>#VALUE!</v>
      </c>
      <c r="BI1059" s="29" t="e">
        <f>BG1059*(1/COUNT(Archive[[#This Row],[Candidate Transfer Standard - Zero 1]:[Candidate Transfer Standard - Zero 2]])+AVERAGE(Archive[[#This Row],[Higher Level Standard - Zero 1]:[Higher Level Standard - Zero 2]])^2/DEVSQ(Archive[[#This Row],[Higher Level Standard - Zero 1]:[Higher Level Standard - Zero 2]]))</f>
        <v>#VALUE!</v>
      </c>
      <c r="BJ1059" s="29">
        <f>COUNT(Archive[[#This Row],[Candidate Transfer Standard - Zero 1]:[Candidate Transfer Standard - Zero 2]])</f>
        <v>0</v>
      </c>
    </row>
    <row r="1060" spans="1:62" x14ac:dyDescent="0.3">
      <c r="A1060" s="57"/>
      <c r="BG106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60" s="29" t="e">
        <f>BG1060/DEVSQ(Archive[[#This Row],[Higher Level Standard - Zero 1]:[Higher Level Standard - Zero 2]])</f>
        <v>#VALUE!</v>
      </c>
      <c r="BI1060" s="29" t="e">
        <f>BG1060*(1/COUNT(Archive[[#This Row],[Candidate Transfer Standard - Zero 1]:[Candidate Transfer Standard - Zero 2]])+AVERAGE(Archive[[#This Row],[Higher Level Standard - Zero 1]:[Higher Level Standard - Zero 2]])^2/DEVSQ(Archive[[#This Row],[Higher Level Standard - Zero 1]:[Higher Level Standard - Zero 2]]))</f>
        <v>#VALUE!</v>
      </c>
      <c r="BJ1060" s="29">
        <f>COUNT(Archive[[#This Row],[Candidate Transfer Standard - Zero 1]:[Candidate Transfer Standard - Zero 2]])</f>
        <v>0</v>
      </c>
    </row>
    <row r="1061" spans="1:62" x14ac:dyDescent="0.3">
      <c r="A1061" s="57"/>
      <c r="BG106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61" s="29" t="e">
        <f>BG1061/DEVSQ(Archive[[#This Row],[Higher Level Standard - Zero 1]:[Higher Level Standard - Zero 2]])</f>
        <v>#VALUE!</v>
      </c>
      <c r="BI1061" s="29" t="e">
        <f>BG1061*(1/COUNT(Archive[[#This Row],[Candidate Transfer Standard - Zero 1]:[Candidate Transfer Standard - Zero 2]])+AVERAGE(Archive[[#This Row],[Higher Level Standard - Zero 1]:[Higher Level Standard - Zero 2]])^2/DEVSQ(Archive[[#This Row],[Higher Level Standard - Zero 1]:[Higher Level Standard - Zero 2]]))</f>
        <v>#VALUE!</v>
      </c>
      <c r="BJ1061" s="29">
        <f>COUNT(Archive[[#This Row],[Candidate Transfer Standard - Zero 1]:[Candidate Transfer Standard - Zero 2]])</f>
        <v>0</v>
      </c>
    </row>
    <row r="1062" spans="1:62" x14ac:dyDescent="0.3">
      <c r="A1062" s="57"/>
      <c r="BG106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62" s="29" t="e">
        <f>BG1062/DEVSQ(Archive[[#This Row],[Higher Level Standard - Zero 1]:[Higher Level Standard - Zero 2]])</f>
        <v>#VALUE!</v>
      </c>
      <c r="BI1062" s="29" t="e">
        <f>BG1062*(1/COUNT(Archive[[#This Row],[Candidate Transfer Standard - Zero 1]:[Candidate Transfer Standard - Zero 2]])+AVERAGE(Archive[[#This Row],[Higher Level Standard - Zero 1]:[Higher Level Standard - Zero 2]])^2/DEVSQ(Archive[[#This Row],[Higher Level Standard - Zero 1]:[Higher Level Standard - Zero 2]]))</f>
        <v>#VALUE!</v>
      </c>
      <c r="BJ1062" s="29">
        <f>COUNT(Archive[[#This Row],[Candidate Transfer Standard - Zero 1]:[Candidate Transfer Standard - Zero 2]])</f>
        <v>0</v>
      </c>
    </row>
    <row r="1063" spans="1:62" x14ac:dyDescent="0.3">
      <c r="A1063" s="57"/>
      <c r="BG106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63" s="29" t="e">
        <f>BG1063/DEVSQ(Archive[[#This Row],[Higher Level Standard - Zero 1]:[Higher Level Standard - Zero 2]])</f>
        <v>#VALUE!</v>
      </c>
      <c r="BI1063" s="29" t="e">
        <f>BG1063*(1/COUNT(Archive[[#This Row],[Candidate Transfer Standard - Zero 1]:[Candidate Transfer Standard - Zero 2]])+AVERAGE(Archive[[#This Row],[Higher Level Standard - Zero 1]:[Higher Level Standard - Zero 2]])^2/DEVSQ(Archive[[#This Row],[Higher Level Standard - Zero 1]:[Higher Level Standard - Zero 2]]))</f>
        <v>#VALUE!</v>
      </c>
      <c r="BJ1063" s="29">
        <f>COUNT(Archive[[#This Row],[Candidate Transfer Standard - Zero 1]:[Candidate Transfer Standard - Zero 2]])</f>
        <v>0</v>
      </c>
    </row>
    <row r="1064" spans="1:62" x14ac:dyDescent="0.3">
      <c r="A1064" s="57"/>
      <c r="BG106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64" s="29" t="e">
        <f>BG1064/DEVSQ(Archive[[#This Row],[Higher Level Standard - Zero 1]:[Higher Level Standard - Zero 2]])</f>
        <v>#VALUE!</v>
      </c>
      <c r="BI1064" s="29" t="e">
        <f>BG1064*(1/COUNT(Archive[[#This Row],[Candidate Transfer Standard - Zero 1]:[Candidate Transfer Standard - Zero 2]])+AVERAGE(Archive[[#This Row],[Higher Level Standard - Zero 1]:[Higher Level Standard - Zero 2]])^2/DEVSQ(Archive[[#This Row],[Higher Level Standard - Zero 1]:[Higher Level Standard - Zero 2]]))</f>
        <v>#VALUE!</v>
      </c>
      <c r="BJ1064" s="29">
        <f>COUNT(Archive[[#This Row],[Candidate Transfer Standard - Zero 1]:[Candidate Transfer Standard - Zero 2]])</f>
        <v>0</v>
      </c>
    </row>
    <row r="1065" spans="1:62" x14ac:dyDescent="0.3">
      <c r="A1065" s="57"/>
      <c r="BG106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65" s="29" t="e">
        <f>BG1065/DEVSQ(Archive[[#This Row],[Higher Level Standard - Zero 1]:[Higher Level Standard - Zero 2]])</f>
        <v>#VALUE!</v>
      </c>
      <c r="BI1065" s="29" t="e">
        <f>BG1065*(1/COUNT(Archive[[#This Row],[Candidate Transfer Standard - Zero 1]:[Candidate Transfer Standard - Zero 2]])+AVERAGE(Archive[[#This Row],[Higher Level Standard - Zero 1]:[Higher Level Standard - Zero 2]])^2/DEVSQ(Archive[[#This Row],[Higher Level Standard - Zero 1]:[Higher Level Standard - Zero 2]]))</f>
        <v>#VALUE!</v>
      </c>
      <c r="BJ1065" s="29">
        <f>COUNT(Archive[[#This Row],[Candidate Transfer Standard - Zero 1]:[Candidate Transfer Standard - Zero 2]])</f>
        <v>0</v>
      </c>
    </row>
    <row r="1066" spans="1:62" x14ac:dyDescent="0.3">
      <c r="A1066" s="57"/>
      <c r="BG106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66" s="29" t="e">
        <f>BG1066/DEVSQ(Archive[[#This Row],[Higher Level Standard - Zero 1]:[Higher Level Standard - Zero 2]])</f>
        <v>#VALUE!</v>
      </c>
      <c r="BI1066" s="29" t="e">
        <f>BG1066*(1/COUNT(Archive[[#This Row],[Candidate Transfer Standard - Zero 1]:[Candidate Transfer Standard - Zero 2]])+AVERAGE(Archive[[#This Row],[Higher Level Standard - Zero 1]:[Higher Level Standard - Zero 2]])^2/DEVSQ(Archive[[#This Row],[Higher Level Standard - Zero 1]:[Higher Level Standard - Zero 2]]))</f>
        <v>#VALUE!</v>
      </c>
      <c r="BJ1066" s="29">
        <f>COUNT(Archive[[#This Row],[Candidate Transfer Standard - Zero 1]:[Candidate Transfer Standard - Zero 2]])</f>
        <v>0</v>
      </c>
    </row>
    <row r="1067" spans="1:62" x14ac:dyDescent="0.3">
      <c r="A1067" s="57"/>
      <c r="BG106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67" s="29" t="e">
        <f>BG1067/DEVSQ(Archive[[#This Row],[Higher Level Standard - Zero 1]:[Higher Level Standard - Zero 2]])</f>
        <v>#VALUE!</v>
      </c>
      <c r="BI1067" s="29" t="e">
        <f>BG1067*(1/COUNT(Archive[[#This Row],[Candidate Transfer Standard - Zero 1]:[Candidate Transfer Standard - Zero 2]])+AVERAGE(Archive[[#This Row],[Higher Level Standard - Zero 1]:[Higher Level Standard - Zero 2]])^2/DEVSQ(Archive[[#This Row],[Higher Level Standard - Zero 1]:[Higher Level Standard - Zero 2]]))</f>
        <v>#VALUE!</v>
      </c>
      <c r="BJ1067" s="29">
        <f>COUNT(Archive[[#This Row],[Candidate Transfer Standard - Zero 1]:[Candidate Transfer Standard - Zero 2]])</f>
        <v>0</v>
      </c>
    </row>
    <row r="1068" spans="1:62" x14ac:dyDescent="0.3">
      <c r="A1068" s="57"/>
      <c r="BG106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68" s="29" t="e">
        <f>BG1068/DEVSQ(Archive[[#This Row],[Higher Level Standard - Zero 1]:[Higher Level Standard - Zero 2]])</f>
        <v>#VALUE!</v>
      </c>
      <c r="BI1068" s="29" t="e">
        <f>BG1068*(1/COUNT(Archive[[#This Row],[Candidate Transfer Standard - Zero 1]:[Candidate Transfer Standard - Zero 2]])+AVERAGE(Archive[[#This Row],[Higher Level Standard - Zero 1]:[Higher Level Standard - Zero 2]])^2/DEVSQ(Archive[[#This Row],[Higher Level Standard - Zero 1]:[Higher Level Standard - Zero 2]]))</f>
        <v>#VALUE!</v>
      </c>
      <c r="BJ1068" s="29">
        <f>COUNT(Archive[[#This Row],[Candidate Transfer Standard - Zero 1]:[Candidate Transfer Standard - Zero 2]])</f>
        <v>0</v>
      </c>
    </row>
    <row r="1069" spans="1:62" x14ac:dyDescent="0.3">
      <c r="A1069" s="57"/>
      <c r="BG106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69" s="29" t="e">
        <f>BG1069/DEVSQ(Archive[[#This Row],[Higher Level Standard - Zero 1]:[Higher Level Standard - Zero 2]])</f>
        <v>#VALUE!</v>
      </c>
      <c r="BI1069" s="29" t="e">
        <f>BG1069*(1/COUNT(Archive[[#This Row],[Candidate Transfer Standard - Zero 1]:[Candidate Transfer Standard - Zero 2]])+AVERAGE(Archive[[#This Row],[Higher Level Standard - Zero 1]:[Higher Level Standard - Zero 2]])^2/DEVSQ(Archive[[#This Row],[Higher Level Standard - Zero 1]:[Higher Level Standard - Zero 2]]))</f>
        <v>#VALUE!</v>
      </c>
      <c r="BJ1069" s="29">
        <f>COUNT(Archive[[#This Row],[Candidate Transfer Standard - Zero 1]:[Candidate Transfer Standard - Zero 2]])</f>
        <v>0</v>
      </c>
    </row>
    <row r="1070" spans="1:62" x14ac:dyDescent="0.3">
      <c r="A1070" s="57"/>
      <c r="BG107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70" s="29" t="e">
        <f>BG1070/DEVSQ(Archive[[#This Row],[Higher Level Standard - Zero 1]:[Higher Level Standard - Zero 2]])</f>
        <v>#VALUE!</v>
      </c>
      <c r="BI1070" s="29" t="e">
        <f>BG1070*(1/COUNT(Archive[[#This Row],[Candidate Transfer Standard - Zero 1]:[Candidate Transfer Standard - Zero 2]])+AVERAGE(Archive[[#This Row],[Higher Level Standard - Zero 1]:[Higher Level Standard - Zero 2]])^2/DEVSQ(Archive[[#This Row],[Higher Level Standard - Zero 1]:[Higher Level Standard - Zero 2]]))</f>
        <v>#VALUE!</v>
      </c>
      <c r="BJ1070" s="29">
        <f>COUNT(Archive[[#This Row],[Candidate Transfer Standard - Zero 1]:[Candidate Transfer Standard - Zero 2]])</f>
        <v>0</v>
      </c>
    </row>
    <row r="1071" spans="1:62" x14ac:dyDescent="0.3">
      <c r="A1071" s="57"/>
      <c r="BG107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71" s="29" t="e">
        <f>BG1071/DEVSQ(Archive[[#This Row],[Higher Level Standard - Zero 1]:[Higher Level Standard - Zero 2]])</f>
        <v>#VALUE!</v>
      </c>
      <c r="BI1071" s="29" t="e">
        <f>BG1071*(1/COUNT(Archive[[#This Row],[Candidate Transfer Standard - Zero 1]:[Candidate Transfer Standard - Zero 2]])+AVERAGE(Archive[[#This Row],[Higher Level Standard - Zero 1]:[Higher Level Standard - Zero 2]])^2/DEVSQ(Archive[[#This Row],[Higher Level Standard - Zero 1]:[Higher Level Standard - Zero 2]]))</f>
        <v>#VALUE!</v>
      </c>
      <c r="BJ1071" s="29">
        <f>COUNT(Archive[[#This Row],[Candidate Transfer Standard - Zero 1]:[Candidate Transfer Standard - Zero 2]])</f>
        <v>0</v>
      </c>
    </row>
    <row r="1072" spans="1:62" x14ac:dyDescent="0.3">
      <c r="A1072" s="57"/>
      <c r="BG107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72" s="29" t="e">
        <f>BG1072/DEVSQ(Archive[[#This Row],[Higher Level Standard - Zero 1]:[Higher Level Standard - Zero 2]])</f>
        <v>#VALUE!</v>
      </c>
      <c r="BI1072" s="29" t="e">
        <f>BG1072*(1/COUNT(Archive[[#This Row],[Candidate Transfer Standard - Zero 1]:[Candidate Transfer Standard - Zero 2]])+AVERAGE(Archive[[#This Row],[Higher Level Standard - Zero 1]:[Higher Level Standard - Zero 2]])^2/DEVSQ(Archive[[#This Row],[Higher Level Standard - Zero 1]:[Higher Level Standard - Zero 2]]))</f>
        <v>#VALUE!</v>
      </c>
      <c r="BJ1072" s="29">
        <f>COUNT(Archive[[#This Row],[Candidate Transfer Standard - Zero 1]:[Candidate Transfer Standard - Zero 2]])</f>
        <v>0</v>
      </c>
    </row>
    <row r="1073" spans="1:62" x14ac:dyDescent="0.3">
      <c r="A1073" s="57"/>
      <c r="BG107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73" s="29" t="e">
        <f>BG1073/DEVSQ(Archive[[#This Row],[Higher Level Standard - Zero 1]:[Higher Level Standard - Zero 2]])</f>
        <v>#VALUE!</v>
      </c>
      <c r="BI1073" s="29" t="e">
        <f>BG1073*(1/COUNT(Archive[[#This Row],[Candidate Transfer Standard - Zero 1]:[Candidate Transfer Standard - Zero 2]])+AVERAGE(Archive[[#This Row],[Higher Level Standard - Zero 1]:[Higher Level Standard - Zero 2]])^2/DEVSQ(Archive[[#This Row],[Higher Level Standard - Zero 1]:[Higher Level Standard - Zero 2]]))</f>
        <v>#VALUE!</v>
      </c>
      <c r="BJ1073" s="29">
        <f>COUNT(Archive[[#This Row],[Candidate Transfer Standard - Zero 1]:[Candidate Transfer Standard - Zero 2]])</f>
        <v>0</v>
      </c>
    </row>
    <row r="1074" spans="1:62" x14ac:dyDescent="0.3">
      <c r="A1074" s="57"/>
      <c r="BG107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74" s="29" t="e">
        <f>BG1074/DEVSQ(Archive[[#This Row],[Higher Level Standard - Zero 1]:[Higher Level Standard - Zero 2]])</f>
        <v>#VALUE!</v>
      </c>
      <c r="BI1074" s="29" t="e">
        <f>BG1074*(1/COUNT(Archive[[#This Row],[Candidate Transfer Standard - Zero 1]:[Candidate Transfer Standard - Zero 2]])+AVERAGE(Archive[[#This Row],[Higher Level Standard - Zero 1]:[Higher Level Standard - Zero 2]])^2/DEVSQ(Archive[[#This Row],[Higher Level Standard - Zero 1]:[Higher Level Standard - Zero 2]]))</f>
        <v>#VALUE!</v>
      </c>
      <c r="BJ1074" s="29">
        <f>COUNT(Archive[[#This Row],[Candidate Transfer Standard - Zero 1]:[Candidate Transfer Standard - Zero 2]])</f>
        <v>0</v>
      </c>
    </row>
    <row r="1075" spans="1:62" x14ac:dyDescent="0.3">
      <c r="A1075" s="57"/>
      <c r="BG107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75" s="29" t="e">
        <f>BG1075/DEVSQ(Archive[[#This Row],[Higher Level Standard - Zero 1]:[Higher Level Standard - Zero 2]])</f>
        <v>#VALUE!</v>
      </c>
      <c r="BI1075" s="29" t="e">
        <f>BG1075*(1/COUNT(Archive[[#This Row],[Candidate Transfer Standard - Zero 1]:[Candidate Transfer Standard - Zero 2]])+AVERAGE(Archive[[#This Row],[Higher Level Standard - Zero 1]:[Higher Level Standard - Zero 2]])^2/DEVSQ(Archive[[#This Row],[Higher Level Standard - Zero 1]:[Higher Level Standard - Zero 2]]))</f>
        <v>#VALUE!</v>
      </c>
      <c r="BJ1075" s="29">
        <f>COUNT(Archive[[#This Row],[Candidate Transfer Standard - Zero 1]:[Candidate Transfer Standard - Zero 2]])</f>
        <v>0</v>
      </c>
    </row>
    <row r="1076" spans="1:62" x14ac:dyDescent="0.3">
      <c r="A1076" s="57"/>
      <c r="BG107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76" s="29" t="e">
        <f>BG1076/DEVSQ(Archive[[#This Row],[Higher Level Standard - Zero 1]:[Higher Level Standard - Zero 2]])</f>
        <v>#VALUE!</v>
      </c>
      <c r="BI1076" s="29" t="e">
        <f>BG1076*(1/COUNT(Archive[[#This Row],[Candidate Transfer Standard - Zero 1]:[Candidate Transfer Standard - Zero 2]])+AVERAGE(Archive[[#This Row],[Higher Level Standard - Zero 1]:[Higher Level Standard - Zero 2]])^2/DEVSQ(Archive[[#This Row],[Higher Level Standard - Zero 1]:[Higher Level Standard - Zero 2]]))</f>
        <v>#VALUE!</v>
      </c>
      <c r="BJ1076" s="29">
        <f>COUNT(Archive[[#This Row],[Candidate Transfer Standard - Zero 1]:[Candidate Transfer Standard - Zero 2]])</f>
        <v>0</v>
      </c>
    </row>
    <row r="1077" spans="1:62" x14ac:dyDescent="0.3">
      <c r="A1077" s="57"/>
      <c r="BG107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77" s="29" t="e">
        <f>BG1077/DEVSQ(Archive[[#This Row],[Higher Level Standard - Zero 1]:[Higher Level Standard - Zero 2]])</f>
        <v>#VALUE!</v>
      </c>
      <c r="BI1077" s="29" t="e">
        <f>BG1077*(1/COUNT(Archive[[#This Row],[Candidate Transfer Standard - Zero 1]:[Candidate Transfer Standard - Zero 2]])+AVERAGE(Archive[[#This Row],[Higher Level Standard - Zero 1]:[Higher Level Standard - Zero 2]])^2/DEVSQ(Archive[[#This Row],[Higher Level Standard - Zero 1]:[Higher Level Standard - Zero 2]]))</f>
        <v>#VALUE!</v>
      </c>
      <c r="BJ1077" s="29">
        <f>COUNT(Archive[[#This Row],[Candidate Transfer Standard - Zero 1]:[Candidate Transfer Standard - Zero 2]])</f>
        <v>0</v>
      </c>
    </row>
    <row r="1078" spans="1:62" x14ac:dyDescent="0.3">
      <c r="A1078" s="57"/>
      <c r="BG107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78" s="29" t="e">
        <f>BG1078/DEVSQ(Archive[[#This Row],[Higher Level Standard - Zero 1]:[Higher Level Standard - Zero 2]])</f>
        <v>#VALUE!</v>
      </c>
      <c r="BI1078" s="29" t="e">
        <f>BG1078*(1/COUNT(Archive[[#This Row],[Candidate Transfer Standard - Zero 1]:[Candidate Transfer Standard - Zero 2]])+AVERAGE(Archive[[#This Row],[Higher Level Standard - Zero 1]:[Higher Level Standard - Zero 2]])^2/DEVSQ(Archive[[#This Row],[Higher Level Standard - Zero 1]:[Higher Level Standard - Zero 2]]))</f>
        <v>#VALUE!</v>
      </c>
      <c r="BJ1078" s="29">
        <f>COUNT(Archive[[#This Row],[Candidate Transfer Standard - Zero 1]:[Candidate Transfer Standard - Zero 2]])</f>
        <v>0</v>
      </c>
    </row>
    <row r="1079" spans="1:62" x14ac:dyDescent="0.3">
      <c r="A1079" s="57"/>
      <c r="BG107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79" s="29" t="e">
        <f>BG1079/DEVSQ(Archive[[#This Row],[Higher Level Standard - Zero 1]:[Higher Level Standard - Zero 2]])</f>
        <v>#VALUE!</v>
      </c>
      <c r="BI1079" s="29" t="e">
        <f>BG1079*(1/COUNT(Archive[[#This Row],[Candidate Transfer Standard - Zero 1]:[Candidate Transfer Standard - Zero 2]])+AVERAGE(Archive[[#This Row],[Higher Level Standard - Zero 1]:[Higher Level Standard - Zero 2]])^2/DEVSQ(Archive[[#This Row],[Higher Level Standard - Zero 1]:[Higher Level Standard - Zero 2]]))</f>
        <v>#VALUE!</v>
      </c>
      <c r="BJ1079" s="29">
        <f>COUNT(Archive[[#This Row],[Candidate Transfer Standard - Zero 1]:[Candidate Transfer Standard - Zero 2]])</f>
        <v>0</v>
      </c>
    </row>
    <row r="1080" spans="1:62" x14ac:dyDescent="0.3">
      <c r="A1080" s="57"/>
      <c r="BG108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80" s="29" t="e">
        <f>BG1080/DEVSQ(Archive[[#This Row],[Higher Level Standard - Zero 1]:[Higher Level Standard - Zero 2]])</f>
        <v>#VALUE!</v>
      </c>
      <c r="BI1080" s="29" t="e">
        <f>BG1080*(1/COUNT(Archive[[#This Row],[Candidate Transfer Standard - Zero 1]:[Candidate Transfer Standard - Zero 2]])+AVERAGE(Archive[[#This Row],[Higher Level Standard - Zero 1]:[Higher Level Standard - Zero 2]])^2/DEVSQ(Archive[[#This Row],[Higher Level Standard - Zero 1]:[Higher Level Standard - Zero 2]]))</f>
        <v>#VALUE!</v>
      </c>
      <c r="BJ1080" s="29">
        <f>COUNT(Archive[[#This Row],[Candidate Transfer Standard - Zero 1]:[Candidate Transfer Standard - Zero 2]])</f>
        <v>0</v>
      </c>
    </row>
    <row r="1081" spans="1:62" x14ac:dyDescent="0.3">
      <c r="A1081" s="57"/>
      <c r="BG108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81" s="29" t="e">
        <f>BG1081/DEVSQ(Archive[[#This Row],[Higher Level Standard - Zero 1]:[Higher Level Standard - Zero 2]])</f>
        <v>#VALUE!</v>
      </c>
      <c r="BI1081" s="29" t="e">
        <f>BG1081*(1/COUNT(Archive[[#This Row],[Candidate Transfer Standard - Zero 1]:[Candidate Transfer Standard - Zero 2]])+AVERAGE(Archive[[#This Row],[Higher Level Standard - Zero 1]:[Higher Level Standard - Zero 2]])^2/DEVSQ(Archive[[#This Row],[Higher Level Standard - Zero 1]:[Higher Level Standard - Zero 2]]))</f>
        <v>#VALUE!</v>
      </c>
      <c r="BJ1081" s="29">
        <f>COUNT(Archive[[#This Row],[Candidate Transfer Standard - Zero 1]:[Candidate Transfer Standard - Zero 2]])</f>
        <v>0</v>
      </c>
    </row>
    <row r="1082" spans="1:62" x14ac:dyDescent="0.3">
      <c r="A1082" s="57"/>
      <c r="BG108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82" s="29" t="e">
        <f>BG1082/DEVSQ(Archive[[#This Row],[Higher Level Standard - Zero 1]:[Higher Level Standard - Zero 2]])</f>
        <v>#VALUE!</v>
      </c>
      <c r="BI1082" s="29" t="e">
        <f>BG1082*(1/COUNT(Archive[[#This Row],[Candidate Transfer Standard - Zero 1]:[Candidate Transfer Standard - Zero 2]])+AVERAGE(Archive[[#This Row],[Higher Level Standard - Zero 1]:[Higher Level Standard - Zero 2]])^2/DEVSQ(Archive[[#This Row],[Higher Level Standard - Zero 1]:[Higher Level Standard - Zero 2]]))</f>
        <v>#VALUE!</v>
      </c>
      <c r="BJ1082" s="29">
        <f>COUNT(Archive[[#This Row],[Candidate Transfer Standard - Zero 1]:[Candidate Transfer Standard - Zero 2]])</f>
        <v>0</v>
      </c>
    </row>
    <row r="1083" spans="1:62" x14ac:dyDescent="0.3">
      <c r="A1083" s="57"/>
      <c r="BG108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83" s="29" t="e">
        <f>BG1083/DEVSQ(Archive[[#This Row],[Higher Level Standard - Zero 1]:[Higher Level Standard - Zero 2]])</f>
        <v>#VALUE!</v>
      </c>
      <c r="BI1083" s="29" t="e">
        <f>BG1083*(1/COUNT(Archive[[#This Row],[Candidate Transfer Standard - Zero 1]:[Candidate Transfer Standard - Zero 2]])+AVERAGE(Archive[[#This Row],[Higher Level Standard - Zero 1]:[Higher Level Standard - Zero 2]])^2/DEVSQ(Archive[[#This Row],[Higher Level Standard - Zero 1]:[Higher Level Standard - Zero 2]]))</f>
        <v>#VALUE!</v>
      </c>
      <c r="BJ1083" s="29">
        <f>COUNT(Archive[[#This Row],[Candidate Transfer Standard - Zero 1]:[Candidate Transfer Standard - Zero 2]])</f>
        <v>0</v>
      </c>
    </row>
    <row r="1084" spans="1:62" x14ac:dyDescent="0.3">
      <c r="A1084" s="57"/>
      <c r="BG108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84" s="29" t="e">
        <f>BG1084/DEVSQ(Archive[[#This Row],[Higher Level Standard - Zero 1]:[Higher Level Standard - Zero 2]])</f>
        <v>#VALUE!</v>
      </c>
      <c r="BI1084" s="29" t="e">
        <f>BG1084*(1/COUNT(Archive[[#This Row],[Candidate Transfer Standard - Zero 1]:[Candidate Transfer Standard - Zero 2]])+AVERAGE(Archive[[#This Row],[Higher Level Standard - Zero 1]:[Higher Level Standard - Zero 2]])^2/DEVSQ(Archive[[#This Row],[Higher Level Standard - Zero 1]:[Higher Level Standard - Zero 2]]))</f>
        <v>#VALUE!</v>
      </c>
      <c r="BJ1084" s="29">
        <f>COUNT(Archive[[#This Row],[Candidate Transfer Standard - Zero 1]:[Candidate Transfer Standard - Zero 2]])</f>
        <v>0</v>
      </c>
    </row>
    <row r="1085" spans="1:62" x14ac:dyDescent="0.3">
      <c r="A1085" s="57"/>
      <c r="BG108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85" s="29" t="e">
        <f>BG1085/DEVSQ(Archive[[#This Row],[Higher Level Standard - Zero 1]:[Higher Level Standard - Zero 2]])</f>
        <v>#VALUE!</v>
      </c>
      <c r="BI1085" s="29" t="e">
        <f>BG1085*(1/COUNT(Archive[[#This Row],[Candidate Transfer Standard - Zero 1]:[Candidate Transfer Standard - Zero 2]])+AVERAGE(Archive[[#This Row],[Higher Level Standard - Zero 1]:[Higher Level Standard - Zero 2]])^2/DEVSQ(Archive[[#This Row],[Higher Level Standard - Zero 1]:[Higher Level Standard - Zero 2]]))</f>
        <v>#VALUE!</v>
      </c>
      <c r="BJ1085" s="29">
        <f>COUNT(Archive[[#This Row],[Candidate Transfer Standard - Zero 1]:[Candidate Transfer Standard - Zero 2]])</f>
        <v>0</v>
      </c>
    </row>
    <row r="1086" spans="1:62" x14ac:dyDescent="0.3">
      <c r="A1086" s="57"/>
      <c r="BG108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86" s="29" t="e">
        <f>BG1086/DEVSQ(Archive[[#This Row],[Higher Level Standard - Zero 1]:[Higher Level Standard - Zero 2]])</f>
        <v>#VALUE!</v>
      </c>
      <c r="BI1086" s="29" t="e">
        <f>BG1086*(1/COUNT(Archive[[#This Row],[Candidate Transfer Standard - Zero 1]:[Candidate Transfer Standard - Zero 2]])+AVERAGE(Archive[[#This Row],[Higher Level Standard - Zero 1]:[Higher Level Standard - Zero 2]])^2/DEVSQ(Archive[[#This Row],[Higher Level Standard - Zero 1]:[Higher Level Standard - Zero 2]]))</f>
        <v>#VALUE!</v>
      </c>
      <c r="BJ1086" s="29">
        <f>COUNT(Archive[[#This Row],[Candidate Transfer Standard - Zero 1]:[Candidate Transfer Standard - Zero 2]])</f>
        <v>0</v>
      </c>
    </row>
    <row r="1087" spans="1:62" x14ac:dyDescent="0.3">
      <c r="A1087" s="57"/>
      <c r="BG108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87" s="29" t="e">
        <f>BG1087/DEVSQ(Archive[[#This Row],[Higher Level Standard - Zero 1]:[Higher Level Standard - Zero 2]])</f>
        <v>#VALUE!</v>
      </c>
      <c r="BI1087" s="29" t="e">
        <f>BG1087*(1/COUNT(Archive[[#This Row],[Candidate Transfer Standard - Zero 1]:[Candidate Transfer Standard - Zero 2]])+AVERAGE(Archive[[#This Row],[Higher Level Standard - Zero 1]:[Higher Level Standard - Zero 2]])^2/DEVSQ(Archive[[#This Row],[Higher Level Standard - Zero 1]:[Higher Level Standard - Zero 2]]))</f>
        <v>#VALUE!</v>
      </c>
      <c r="BJ1087" s="29">
        <f>COUNT(Archive[[#This Row],[Candidate Transfer Standard - Zero 1]:[Candidate Transfer Standard - Zero 2]])</f>
        <v>0</v>
      </c>
    </row>
    <row r="1088" spans="1:62" x14ac:dyDescent="0.3">
      <c r="A1088" s="57"/>
      <c r="BG108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88" s="29" t="e">
        <f>BG1088/DEVSQ(Archive[[#This Row],[Higher Level Standard - Zero 1]:[Higher Level Standard - Zero 2]])</f>
        <v>#VALUE!</v>
      </c>
      <c r="BI1088" s="29" t="e">
        <f>BG1088*(1/COUNT(Archive[[#This Row],[Candidate Transfer Standard - Zero 1]:[Candidate Transfer Standard - Zero 2]])+AVERAGE(Archive[[#This Row],[Higher Level Standard - Zero 1]:[Higher Level Standard - Zero 2]])^2/DEVSQ(Archive[[#This Row],[Higher Level Standard - Zero 1]:[Higher Level Standard - Zero 2]]))</f>
        <v>#VALUE!</v>
      </c>
      <c r="BJ1088" s="29">
        <f>COUNT(Archive[[#This Row],[Candidate Transfer Standard - Zero 1]:[Candidate Transfer Standard - Zero 2]])</f>
        <v>0</v>
      </c>
    </row>
    <row r="1089" spans="1:62" x14ac:dyDescent="0.3">
      <c r="A1089" s="57"/>
      <c r="BG108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89" s="29" t="e">
        <f>BG1089/DEVSQ(Archive[[#This Row],[Higher Level Standard - Zero 1]:[Higher Level Standard - Zero 2]])</f>
        <v>#VALUE!</v>
      </c>
      <c r="BI1089" s="29" t="e">
        <f>BG1089*(1/COUNT(Archive[[#This Row],[Candidate Transfer Standard - Zero 1]:[Candidate Transfer Standard - Zero 2]])+AVERAGE(Archive[[#This Row],[Higher Level Standard - Zero 1]:[Higher Level Standard - Zero 2]])^2/DEVSQ(Archive[[#This Row],[Higher Level Standard - Zero 1]:[Higher Level Standard - Zero 2]]))</f>
        <v>#VALUE!</v>
      </c>
      <c r="BJ1089" s="29">
        <f>COUNT(Archive[[#This Row],[Candidate Transfer Standard - Zero 1]:[Candidate Transfer Standard - Zero 2]])</f>
        <v>0</v>
      </c>
    </row>
    <row r="1090" spans="1:62" x14ac:dyDescent="0.3">
      <c r="A1090" s="57"/>
      <c r="BG109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90" s="29" t="e">
        <f>BG1090/DEVSQ(Archive[[#This Row],[Higher Level Standard - Zero 1]:[Higher Level Standard - Zero 2]])</f>
        <v>#VALUE!</v>
      </c>
      <c r="BI1090" s="29" t="e">
        <f>BG1090*(1/COUNT(Archive[[#This Row],[Candidate Transfer Standard - Zero 1]:[Candidate Transfer Standard - Zero 2]])+AVERAGE(Archive[[#This Row],[Higher Level Standard - Zero 1]:[Higher Level Standard - Zero 2]])^2/DEVSQ(Archive[[#This Row],[Higher Level Standard - Zero 1]:[Higher Level Standard - Zero 2]]))</f>
        <v>#VALUE!</v>
      </c>
      <c r="BJ1090" s="29">
        <f>COUNT(Archive[[#This Row],[Candidate Transfer Standard - Zero 1]:[Candidate Transfer Standard - Zero 2]])</f>
        <v>0</v>
      </c>
    </row>
    <row r="1091" spans="1:62" x14ac:dyDescent="0.3">
      <c r="A1091" s="57"/>
      <c r="BG109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91" s="29" t="e">
        <f>BG1091/DEVSQ(Archive[[#This Row],[Higher Level Standard - Zero 1]:[Higher Level Standard - Zero 2]])</f>
        <v>#VALUE!</v>
      </c>
      <c r="BI1091" s="29" t="e">
        <f>BG1091*(1/COUNT(Archive[[#This Row],[Candidate Transfer Standard - Zero 1]:[Candidate Transfer Standard - Zero 2]])+AVERAGE(Archive[[#This Row],[Higher Level Standard - Zero 1]:[Higher Level Standard - Zero 2]])^2/DEVSQ(Archive[[#This Row],[Higher Level Standard - Zero 1]:[Higher Level Standard - Zero 2]]))</f>
        <v>#VALUE!</v>
      </c>
      <c r="BJ1091" s="29">
        <f>COUNT(Archive[[#This Row],[Candidate Transfer Standard - Zero 1]:[Candidate Transfer Standard - Zero 2]])</f>
        <v>0</v>
      </c>
    </row>
    <row r="1092" spans="1:62" x14ac:dyDescent="0.3">
      <c r="A1092" s="57"/>
      <c r="BG109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92" s="29" t="e">
        <f>BG1092/DEVSQ(Archive[[#This Row],[Higher Level Standard - Zero 1]:[Higher Level Standard - Zero 2]])</f>
        <v>#VALUE!</v>
      </c>
      <c r="BI1092" s="29" t="e">
        <f>BG1092*(1/COUNT(Archive[[#This Row],[Candidate Transfer Standard - Zero 1]:[Candidate Transfer Standard - Zero 2]])+AVERAGE(Archive[[#This Row],[Higher Level Standard - Zero 1]:[Higher Level Standard - Zero 2]])^2/DEVSQ(Archive[[#This Row],[Higher Level Standard - Zero 1]:[Higher Level Standard - Zero 2]]))</f>
        <v>#VALUE!</v>
      </c>
      <c r="BJ1092" s="29">
        <f>COUNT(Archive[[#This Row],[Candidate Transfer Standard - Zero 1]:[Candidate Transfer Standard - Zero 2]])</f>
        <v>0</v>
      </c>
    </row>
    <row r="1093" spans="1:62" x14ac:dyDescent="0.3">
      <c r="A1093" s="57"/>
      <c r="BG109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93" s="29" t="e">
        <f>BG1093/DEVSQ(Archive[[#This Row],[Higher Level Standard - Zero 1]:[Higher Level Standard - Zero 2]])</f>
        <v>#VALUE!</v>
      </c>
      <c r="BI1093" s="29" t="e">
        <f>BG1093*(1/COUNT(Archive[[#This Row],[Candidate Transfer Standard - Zero 1]:[Candidate Transfer Standard - Zero 2]])+AVERAGE(Archive[[#This Row],[Higher Level Standard - Zero 1]:[Higher Level Standard - Zero 2]])^2/DEVSQ(Archive[[#This Row],[Higher Level Standard - Zero 1]:[Higher Level Standard - Zero 2]]))</f>
        <v>#VALUE!</v>
      </c>
      <c r="BJ1093" s="29">
        <f>COUNT(Archive[[#This Row],[Candidate Transfer Standard - Zero 1]:[Candidate Transfer Standard - Zero 2]])</f>
        <v>0</v>
      </c>
    </row>
    <row r="1094" spans="1:62" x14ac:dyDescent="0.3">
      <c r="A1094" s="57"/>
      <c r="BG109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94" s="29" t="e">
        <f>BG1094/DEVSQ(Archive[[#This Row],[Higher Level Standard - Zero 1]:[Higher Level Standard - Zero 2]])</f>
        <v>#VALUE!</v>
      </c>
      <c r="BI1094" s="29" t="e">
        <f>BG1094*(1/COUNT(Archive[[#This Row],[Candidate Transfer Standard - Zero 1]:[Candidate Transfer Standard - Zero 2]])+AVERAGE(Archive[[#This Row],[Higher Level Standard - Zero 1]:[Higher Level Standard - Zero 2]])^2/DEVSQ(Archive[[#This Row],[Higher Level Standard - Zero 1]:[Higher Level Standard - Zero 2]]))</f>
        <v>#VALUE!</v>
      </c>
      <c r="BJ1094" s="29">
        <f>COUNT(Archive[[#This Row],[Candidate Transfer Standard - Zero 1]:[Candidate Transfer Standard - Zero 2]])</f>
        <v>0</v>
      </c>
    </row>
    <row r="1095" spans="1:62" x14ac:dyDescent="0.3">
      <c r="A1095" s="57"/>
      <c r="BG109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95" s="29" t="e">
        <f>BG1095/DEVSQ(Archive[[#This Row],[Higher Level Standard - Zero 1]:[Higher Level Standard - Zero 2]])</f>
        <v>#VALUE!</v>
      </c>
      <c r="BI1095" s="29" t="e">
        <f>BG1095*(1/COUNT(Archive[[#This Row],[Candidate Transfer Standard - Zero 1]:[Candidate Transfer Standard - Zero 2]])+AVERAGE(Archive[[#This Row],[Higher Level Standard - Zero 1]:[Higher Level Standard - Zero 2]])^2/DEVSQ(Archive[[#This Row],[Higher Level Standard - Zero 1]:[Higher Level Standard - Zero 2]]))</f>
        <v>#VALUE!</v>
      </c>
      <c r="BJ1095" s="29">
        <f>COUNT(Archive[[#This Row],[Candidate Transfer Standard - Zero 1]:[Candidate Transfer Standard - Zero 2]])</f>
        <v>0</v>
      </c>
    </row>
    <row r="1096" spans="1:62" x14ac:dyDescent="0.3">
      <c r="A1096" s="57"/>
      <c r="BG109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96" s="29" t="e">
        <f>BG1096/DEVSQ(Archive[[#This Row],[Higher Level Standard - Zero 1]:[Higher Level Standard - Zero 2]])</f>
        <v>#VALUE!</v>
      </c>
      <c r="BI1096" s="29" t="e">
        <f>BG1096*(1/COUNT(Archive[[#This Row],[Candidate Transfer Standard - Zero 1]:[Candidate Transfer Standard - Zero 2]])+AVERAGE(Archive[[#This Row],[Higher Level Standard - Zero 1]:[Higher Level Standard - Zero 2]])^2/DEVSQ(Archive[[#This Row],[Higher Level Standard - Zero 1]:[Higher Level Standard - Zero 2]]))</f>
        <v>#VALUE!</v>
      </c>
      <c r="BJ1096" s="29">
        <f>COUNT(Archive[[#This Row],[Candidate Transfer Standard - Zero 1]:[Candidate Transfer Standard - Zero 2]])</f>
        <v>0</v>
      </c>
    </row>
    <row r="1097" spans="1:62" x14ac:dyDescent="0.3">
      <c r="A1097" s="57"/>
      <c r="BG109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97" s="29" t="e">
        <f>BG1097/DEVSQ(Archive[[#This Row],[Higher Level Standard - Zero 1]:[Higher Level Standard - Zero 2]])</f>
        <v>#VALUE!</v>
      </c>
      <c r="BI1097" s="29" t="e">
        <f>BG1097*(1/COUNT(Archive[[#This Row],[Candidate Transfer Standard - Zero 1]:[Candidate Transfer Standard - Zero 2]])+AVERAGE(Archive[[#This Row],[Higher Level Standard - Zero 1]:[Higher Level Standard - Zero 2]])^2/DEVSQ(Archive[[#This Row],[Higher Level Standard - Zero 1]:[Higher Level Standard - Zero 2]]))</f>
        <v>#VALUE!</v>
      </c>
      <c r="BJ1097" s="29">
        <f>COUNT(Archive[[#This Row],[Candidate Transfer Standard - Zero 1]:[Candidate Transfer Standard - Zero 2]])</f>
        <v>0</v>
      </c>
    </row>
    <row r="1098" spans="1:62" x14ac:dyDescent="0.3">
      <c r="A1098" s="57"/>
      <c r="BG109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98" s="29" t="e">
        <f>BG1098/DEVSQ(Archive[[#This Row],[Higher Level Standard - Zero 1]:[Higher Level Standard - Zero 2]])</f>
        <v>#VALUE!</v>
      </c>
      <c r="BI1098" s="29" t="e">
        <f>BG1098*(1/COUNT(Archive[[#This Row],[Candidate Transfer Standard - Zero 1]:[Candidate Transfer Standard - Zero 2]])+AVERAGE(Archive[[#This Row],[Higher Level Standard - Zero 1]:[Higher Level Standard - Zero 2]])^2/DEVSQ(Archive[[#This Row],[Higher Level Standard - Zero 1]:[Higher Level Standard - Zero 2]]))</f>
        <v>#VALUE!</v>
      </c>
      <c r="BJ1098" s="29">
        <f>COUNT(Archive[[#This Row],[Candidate Transfer Standard - Zero 1]:[Candidate Transfer Standard - Zero 2]])</f>
        <v>0</v>
      </c>
    </row>
    <row r="1099" spans="1:62" x14ac:dyDescent="0.3">
      <c r="A1099" s="57"/>
      <c r="BG109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099" s="29" t="e">
        <f>BG1099/DEVSQ(Archive[[#This Row],[Higher Level Standard - Zero 1]:[Higher Level Standard - Zero 2]])</f>
        <v>#VALUE!</v>
      </c>
      <c r="BI1099" s="29" t="e">
        <f>BG1099*(1/COUNT(Archive[[#This Row],[Candidate Transfer Standard - Zero 1]:[Candidate Transfer Standard - Zero 2]])+AVERAGE(Archive[[#This Row],[Higher Level Standard - Zero 1]:[Higher Level Standard - Zero 2]])^2/DEVSQ(Archive[[#This Row],[Higher Level Standard - Zero 1]:[Higher Level Standard - Zero 2]]))</f>
        <v>#VALUE!</v>
      </c>
      <c r="BJ1099" s="29">
        <f>COUNT(Archive[[#This Row],[Candidate Transfer Standard - Zero 1]:[Candidate Transfer Standard - Zero 2]])</f>
        <v>0</v>
      </c>
    </row>
    <row r="1100" spans="1:62" x14ac:dyDescent="0.3">
      <c r="A1100" s="57"/>
      <c r="BG110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00" s="29" t="e">
        <f>BG1100/DEVSQ(Archive[[#This Row],[Higher Level Standard - Zero 1]:[Higher Level Standard - Zero 2]])</f>
        <v>#VALUE!</v>
      </c>
      <c r="BI1100" s="29" t="e">
        <f>BG1100*(1/COUNT(Archive[[#This Row],[Candidate Transfer Standard - Zero 1]:[Candidate Transfer Standard - Zero 2]])+AVERAGE(Archive[[#This Row],[Higher Level Standard - Zero 1]:[Higher Level Standard - Zero 2]])^2/DEVSQ(Archive[[#This Row],[Higher Level Standard - Zero 1]:[Higher Level Standard - Zero 2]]))</f>
        <v>#VALUE!</v>
      </c>
      <c r="BJ1100" s="29">
        <f>COUNT(Archive[[#This Row],[Candidate Transfer Standard - Zero 1]:[Candidate Transfer Standard - Zero 2]])</f>
        <v>0</v>
      </c>
    </row>
    <row r="1101" spans="1:62" x14ac:dyDescent="0.3">
      <c r="A1101" s="57"/>
      <c r="BG110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01" s="29" t="e">
        <f>BG1101/DEVSQ(Archive[[#This Row],[Higher Level Standard - Zero 1]:[Higher Level Standard - Zero 2]])</f>
        <v>#VALUE!</v>
      </c>
      <c r="BI1101" s="29" t="e">
        <f>BG1101*(1/COUNT(Archive[[#This Row],[Candidate Transfer Standard - Zero 1]:[Candidate Transfer Standard - Zero 2]])+AVERAGE(Archive[[#This Row],[Higher Level Standard - Zero 1]:[Higher Level Standard - Zero 2]])^2/DEVSQ(Archive[[#This Row],[Higher Level Standard - Zero 1]:[Higher Level Standard - Zero 2]]))</f>
        <v>#VALUE!</v>
      </c>
      <c r="BJ1101" s="29">
        <f>COUNT(Archive[[#This Row],[Candidate Transfer Standard - Zero 1]:[Candidate Transfer Standard - Zero 2]])</f>
        <v>0</v>
      </c>
    </row>
    <row r="1102" spans="1:62" x14ac:dyDescent="0.3">
      <c r="A1102" s="57"/>
      <c r="BG110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02" s="29" t="e">
        <f>BG1102/DEVSQ(Archive[[#This Row],[Higher Level Standard - Zero 1]:[Higher Level Standard - Zero 2]])</f>
        <v>#VALUE!</v>
      </c>
      <c r="BI1102" s="29" t="e">
        <f>BG1102*(1/COUNT(Archive[[#This Row],[Candidate Transfer Standard - Zero 1]:[Candidate Transfer Standard - Zero 2]])+AVERAGE(Archive[[#This Row],[Higher Level Standard - Zero 1]:[Higher Level Standard - Zero 2]])^2/DEVSQ(Archive[[#This Row],[Higher Level Standard - Zero 1]:[Higher Level Standard - Zero 2]]))</f>
        <v>#VALUE!</v>
      </c>
      <c r="BJ1102" s="29">
        <f>COUNT(Archive[[#This Row],[Candidate Transfer Standard - Zero 1]:[Candidate Transfer Standard - Zero 2]])</f>
        <v>0</v>
      </c>
    </row>
    <row r="1103" spans="1:62" x14ac:dyDescent="0.3">
      <c r="A1103" s="57"/>
      <c r="BG110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03" s="29" t="e">
        <f>BG1103/DEVSQ(Archive[[#This Row],[Higher Level Standard - Zero 1]:[Higher Level Standard - Zero 2]])</f>
        <v>#VALUE!</v>
      </c>
      <c r="BI1103" s="29" t="e">
        <f>BG1103*(1/COUNT(Archive[[#This Row],[Candidate Transfer Standard - Zero 1]:[Candidate Transfer Standard - Zero 2]])+AVERAGE(Archive[[#This Row],[Higher Level Standard - Zero 1]:[Higher Level Standard - Zero 2]])^2/DEVSQ(Archive[[#This Row],[Higher Level Standard - Zero 1]:[Higher Level Standard - Zero 2]]))</f>
        <v>#VALUE!</v>
      </c>
      <c r="BJ1103" s="29">
        <f>COUNT(Archive[[#This Row],[Candidate Transfer Standard - Zero 1]:[Candidate Transfer Standard - Zero 2]])</f>
        <v>0</v>
      </c>
    </row>
    <row r="1104" spans="1:62" x14ac:dyDescent="0.3">
      <c r="A1104" s="57"/>
      <c r="BG110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04" s="29" t="e">
        <f>BG1104/DEVSQ(Archive[[#This Row],[Higher Level Standard - Zero 1]:[Higher Level Standard - Zero 2]])</f>
        <v>#VALUE!</v>
      </c>
      <c r="BI1104" s="29" t="e">
        <f>BG1104*(1/COUNT(Archive[[#This Row],[Candidate Transfer Standard - Zero 1]:[Candidate Transfer Standard - Zero 2]])+AVERAGE(Archive[[#This Row],[Higher Level Standard - Zero 1]:[Higher Level Standard - Zero 2]])^2/DEVSQ(Archive[[#This Row],[Higher Level Standard - Zero 1]:[Higher Level Standard - Zero 2]]))</f>
        <v>#VALUE!</v>
      </c>
      <c r="BJ1104" s="29">
        <f>COUNT(Archive[[#This Row],[Candidate Transfer Standard - Zero 1]:[Candidate Transfer Standard - Zero 2]])</f>
        <v>0</v>
      </c>
    </row>
    <row r="1105" spans="1:62" x14ac:dyDescent="0.3">
      <c r="A1105" s="57"/>
      <c r="BG110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05" s="29" t="e">
        <f>BG1105/DEVSQ(Archive[[#This Row],[Higher Level Standard - Zero 1]:[Higher Level Standard - Zero 2]])</f>
        <v>#VALUE!</v>
      </c>
      <c r="BI1105" s="29" t="e">
        <f>BG1105*(1/COUNT(Archive[[#This Row],[Candidate Transfer Standard - Zero 1]:[Candidate Transfer Standard - Zero 2]])+AVERAGE(Archive[[#This Row],[Higher Level Standard - Zero 1]:[Higher Level Standard - Zero 2]])^2/DEVSQ(Archive[[#This Row],[Higher Level Standard - Zero 1]:[Higher Level Standard - Zero 2]]))</f>
        <v>#VALUE!</v>
      </c>
      <c r="BJ1105" s="29">
        <f>COUNT(Archive[[#This Row],[Candidate Transfer Standard - Zero 1]:[Candidate Transfer Standard - Zero 2]])</f>
        <v>0</v>
      </c>
    </row>
    <row r="1106" spans="1:62" x14ac:dyDescent="0.3">
      <c r="A1106" s="57"/>
      <c r="BG110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06" s="29" t="e">
        <f>BG1106/DEVSQ(Archive[[#This Row],[Higher Level Standard - Zero 1]:[Higher Level Standard - Zero 2]])</f>
        <v>#VALUE!</v>
      </c>
      <c r="BI1106" s="29" t="e">
        <f>BG1106*(1/COUNT(Archive[[#This Row],[Candidate Transfer Standard - Zero 1]:[Candidate Transfer Standard - Zero 2]])+AVERAGE(Archive[[#This Row],[Higher Level Standard - Zero 1]:[Higher Level Standard - Zero 2]])^2/DEVSQ(Archive[[#This Row],[Higher Level Standard - Zero 1]:[Higher Level Standard - Zero 2]]))</f>
        <v>#VALUE!</v>
      </c>
      <c r="BJ1106" s="29">
        <f>COUNT(Archive[[#This Row],[Candidate Transfer Standard - Zero 1]:[Candidate Transfer Standard - Zero 2]])</f>
        <v>0</v>
      </c>
    </row>
    <row r="1107" spans="1:62" x14ac:dyDescent="0.3">
      <c r="A1107" s="57"/>
      <c r="BG110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07" s="29" t="e">
        <f>BG1107/DEVSQ(Archive[[#This Row],[Higher Level Standard - Zero 1]:[Higher Level Standard - Zero 2]])</f>
        <v>#VALUE!</v>
      </c>
      <c r="BI1107" s="29" t="e">
        <f>BG1107*(1/COUNT(Archive[[#This Row],[Candidate Transfer Standard - Zero 1]:[Candidate Transfer Standard - Zero 2]])+AVERAGE(Archive[[#This Row],[Higher Level Standard - Zero 1]:[Higher Level Standard - Zero 2]])^2/DEVSQ(Archive[[#This Row],[Higher Level Standard - Zero 1]:[Higher Level Standard - Zero 2]]))</f>
        <v>#VALUE!</v>
      </c>
      <c r="BJ1107" s="29">
        <f>COUNT(Archive[[#This Row],[Candidate Transfer Standard - Zero 1]:[Candidate Transfer Standard - Zero 2]])</f>
        <v>0</v>
      </c>
    </row>
    <row r="1108" spans="1:62" x14ac:dyDescent="0.3">
      <c r="A1108" s="57"/>
      <c r="BG110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08" s="29" t="e">
        <f>BG1108/DEVSQ(Archive[[#This Row],[Higher Level Standard - Zero 1]:[Higher Level Standard - Zero 2]])</f>
        <v>#VALUE!</v>
      </c>
      <c r="BI1108" s="29" t="e">
        <f>BG1108*(1/COUNT(Archive[[#This Row],[Candidate Transfer Standard - Zero 1]:[Candidate Transfer Standard - Zero 2]])+AVERAGE(Archive[[#This Row],[Higher Level Standard - Zero 1]:[Higher Level Standard - Zero 2]])^2/DEVSQ(Archive[[#This Row],[Higher Level Standard - Zero 1]:[Higher Level Standard - Zero 2]]))</f>
        <v>#VALUE!</v>
      </c>
      <c r="BJ1108" s="29">
        <f>COUNT(Archive[[#This Row],[Candidate Transfer Standard - Zero 1]:[Candidate Transfer Standard - Zero 2]])</f>
        <v>0</v>
      </c>
    </row>
    <row r="1109" spans="1:62" x14ac:dyDescent="0.3">
      <c r="A1109" s="57"/>
      <c r="BG110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09" s="29" t="e">
        <f>BG1109/DEVSQ(Archive[[#This Row],[Higher Level Standard - Zero 1]:[Higher Level Standard - Zero 2]])</f>
        <v>#VALUE!</v>
      </c>
      <c r="BI1109" s="29" t="e">
        <f>BG1109*(1/COUNT(Archive[[#This Row],[Candidate Transfer Standard - Zero 1]:[Candidate Transfer Standard - Zero 2]])+AVERAGE(Archive[[#This Row],[Higher Level Standard - Zero 1]:[Higher Level Standard - Zero 2]])^2/DEVSQ(Archive[[#This Row],[Higher Level Standard - Zero 1]:[Higher Level Standard - Zero 2]]))</f>
        <v>#VALUE!</v>
      </c>
      <c r="BJ1109" s="29">
        <f>COUNT(Archive[[#This Row],[Candidate Transfer Standard - Zero 1]:[Candidate Transfer Standard - Zero 2]])</f>
        <v>0</v>
      </c>
    </row>
    <row r="1110" spans="1:62" x14ac:dyDescent="0.3">
      <c r="A1110" s="57"/>
      <c r="BG111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10" s="29" t="e">
        <f>BG1110/DEVSQ(Archive[[#This Row],[Higher Level Standard - Zero 1]:[Higher Level Standard - Zero 2]])</f>
        <v>#VALUE!</v>
      </c>
      <c r="BI1110" s="29" t="e">
        <f>BG1110*(1/COUNT(Archive[[#This Row],[Candidate Transfer Standard - Zero 1]:[Candidate Transfer Standard - Zero 2]])+AVERAGE(Archive[[#This Row],[Higher Level Standard - Zero 1]:[Higher Level Standard - Zero 2]])^2/DEVSQ(Archive[[#This Row],[Higher Level Standard - Zero 1]:[Higher Level Standard - Zero 2]]))</f>
        <v>#VALUE!</v>
      </c>
      <c r="BJ1110" s="29">
        <f>COUNT(Archive[[#This Row],[Candidate Transfer Standard - Zero 1]:[Candidate Transfer Standard - Zero 2]])</f>
        <v>0</v>
      </c>
    </row>
    <row r="1111" spans="1:62" x14ac:dyDescent="0.3">
      <c r="A1111" s="57"/>
      <c r="BG111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11" s="29" t="e">
        <f>BG1111/DEVSQ(Archive[[#This Row],[Higher Level Standard - Zero 1]:[Higher Level Standard - Zero 2]])</f>
        <v>#VALUE!</v>
      </c>
      <c r="BI1111" s="29" t="e">
        <f>BG1111*(1/COUNT(Archive[[#This Row],[Candidate Transfer Standard - Zero 1]:[Candidate Transfer Standard - Zero 2]])+AVERAGE(Archive[[#This Row],[Higher Level Standard - Zero 1]:[Higher Level Standard - Zero 2]])^2/DEVSQ(Archive[[#This Row],[Higher Level Standard - Zero 1]:[Higher Level Standard - Zero 2]]))</f>
        <v>#VALUE!</v>
      </c>
      <c r="BJ1111" s="29">
        <f>COUNT(Archive[[#This Row],[Candidate Transfer Standard - Zero 1]:[Candidate Transfer Standard - Zero 2]])</f>
        <v>0</v>
      </c>
    </row>
    <row r="1112" spans="1:62" x14ac:dyDescent="0.3">
      <c r="A1112" s="57"/>
      <c r="BG111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12" s="29" t="e">
        <f>BG1112/DEVSQ(Archive[[#This Row],[Higher Level Standard - Zero 1]:[Higher Level Standard - Zero 2]])</f>
        <v>#VALUE!</v>
      </c>
      <c r="BI1112" s="29" t="e">
        <f>BG1112*(1/COUNT(Archive[[#This Row],[Candidate Transfer Standard - Zero 1]:[Candidate Transfer Standard - Zero 2]])+AVERAGE(Archive[[#This Row],[Higher Level Standard - Zero 1]:[Higher Level Standard - Zero 2]])^2/DEVSQ(Archive[[#This Row],[Higher Level Standard - Zero 1]:[Higher Level Standard - Zero 2]]))</f>
        <v>#VALUE!</v>
      </c>
      <c r="BJ1112" s="29">
        <f>COUNT(Archive[[#This Row],[Candidate Transfer Standard - Zero 1]:[Candidate Transfer Standard - Zero 2]])</f>
        <v>0</v>
      </c>
    </row>
    <row r="1113" spans="1:62" x14ac:dyDescent="0.3">
      <c r="A1113" s="57"/>
      <c r="BG111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13" s="29" t="e">
        <f>BG1113/DEVSQ(Archive[[#This Row],[Higher Level Standard - Zero 1]:[Higher Level Standard - Zero 2]])</f>
        <v>#VALUE!</v>
      </c>
      <c r="BI1113" s="29" t="e">
        <f>BG1113*(1/COUNT(Archive[[#This Row],[Candidate Transfer Standard - Zero 1]:[Candidate Transfer Standard - Zero 2]])+AVERAGE(Archive[[#This Row],[Higher Level Standard - Zero 1]:[Higher Level Standard - Zero 2]])^2/DEVSQ(Archive[[#This Row],[Higher Level Standard - Zero 1]:[Higher Level Standard - Zero 2]]))</f>
        <v>#VALUE!</v>
      </c>
      <c r="BJ1113" s="29">
        <f>COUNT(Archive[[#This Row],[Candidate Transfer Standard - Zero 1]:[Candidate Transfer Standard - Zero 2]])</f>
        <v>0</v>
      </c>
    </row>
    <row r="1114" spans="1:62" x14ac:dyDescent="0.3">
      <c r="A1114" s="57"/>
      <c r="BG111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14" s="29" t="e">
        <f>BG1114/DEVSQ(Archive[[#This Row],[Higher Level Standard - Zero 1]:[Higher Level Standard - Zero 2]])</f>
        <v>#VALUE!</v>
      </c>
      <c r="BI1114" s="29" t="e">
        <f>BG1114*(1/COUNT(Archive[[#This Row],[Candidate Transfer Standard - Zero 1]:[Candidate Transfer Standard - Zero 2]])+AVERAGE(Archive[[#This Row],[Higher Level Standard - Zero 1]:[Higher Level Standard - Zero 2]])^2/DEVSQ(Archive[[#This Row],[Higher Level Standard - Zero 1]:[Higher Level Standard - Zero 2]]))</f>
        <v>#VALUE!</v>
      </c>
      <c r="BJ1114" s="29">
        <f>COUNT(Archive[[#This Row],[Candidate Transfer Standard - Zero 1]:[Candidate Transfer Standard - Zero 2]])</f>
        <v>0</v>
      </c>
    </row>
    <row r="1115" spans="1:62" x14ac:dyDescent="0.3">
      <c r="A1115" s="57"/>
      <c r="BG111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15" s="29" t="e">
        <f>BG1115/DEVSQ(Archive[[#This Row],[Higher Level Standard - Zero 1]:[Higher Level Standard - Zero 2]])</f>
        <v>#VALUE!</v>
      </c>
      <c r="BI1115" s="29" t="e">
        <f>BG1115*(1/COUNT(Archive[[#This Row],[Candidate Transfer Standard - Zero 1]:[Candidate Transfer Standard - Zero 2]])+AVERAGE(Archive[[#This Row],[Higher Level Standard - Zero 1]:[Higher Level Standard - Zero 2]])^2/DEVSQ(Archive[[#This Row],[Higher Level Standard - Zero 1]:[Higher Level Standard - Zero 2]]))</f>
        <v>#VALUE!</v>
      </c>
      <c r="BJ1115" s="29">
        <f>COUNT(Archive[[#This Row],[Candidate Transfer Standard - Zero 1]:[Candidate Transfer Standard - Zero 2]])</f>
        <v>0</v>
      </c>
    </row>
    <row r="1116" spans="1:62" x14ac:dyDescent="0.3">
      <c r="A1116" s="57"/>
      <c r="BG111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16" s="29" t="e">
        <f>BG1116/DEVSQ(Archive[[#This Row],[Higher Level Standard - Zero 1]:[Higher Level Standard - Zero 2]])</f>
        <v>#VALUE!</v>
      </c>
      <c r="BI1116" s="29" t="e">
        <f>BG1116*(1/COUNT(Archive[[#This Row],[Candidate Transfer Standard - Zero 1]:[Candidate Transfer Standard - Zero 2]])+AVERAGE(Archive[[#This Row],[Higher Level Standard - Zero 1]:[Higher Level Standard - Zero 2]])^2/DEVSQ(Archive[[#This Row],[Higher Level Standard - Zero 1]:[Higher Level Standard - Zero 2]]))</f>
        <v>#VALUE!</v>
      </c>
      <c r="BJ1116" s="29">
        <f>COUNT(Archive[[#This Row],[Candidate Transfer Standard - Zero 1]:[Candidate Transfer Standard - Zero 2]])</f>
        <v>0</v>
      </c>
    </row>
    <row r="1117" spans="1:62" x14ac:dyDescent="0.3">
      <c r="A1117" s="57"/>
      <c r="BG111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17" s="29" t="e">
        <f>BG1117/DEVSQ(Archive[[#This Row],[Higher Level Standard - Zero 1]:[Higher Level Standard - Zero 2]])</f>
        <v>#VALUE!</v>
      </c>
      <c r="BI1117" s="29" t="e">
        <f>BG1117*(1/COUNT(Archive[[#This Row],[Candidate Transfer Standard - Zero 1]:[Candidate Transfer Standard - Zero 2]])+AVERAGE(Archive[[#This Row],[Higher Level Standard - Zero 1]:[Higher Level Standard - Zero 2]])^2/DEVSQ(Archive[[#This Row],[Higher Level Standard - Zero 1]:[Higher Level Standard - Zero 2]]))</f>
        <v>#VALUE!</v>
      </c>
      <c r="BJ1117" s="29">
        <f>COUNT(Archive[[#This Row],[Candidate Transfer Standard - Zero 1]:[Candidate Transfer Standard - Zero 2]])</f>
        <v>0</v>
      </c>
    </row>
    <row r="1118" spans="1:62" x14ac:dyDescent="0.3">
      <c r="A1118" s="57"/>
      <c r="BG111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18" s="29" t="e">
        <f>BG1118/DEVSQ(Archive[[#This Row],[Higher Level Standard - Zero 1]:[Higher Level Standard - Zero 2]])</f>
        <v>#VALUE!</v>
      </c>
      <c r="BI1118" s="29" t="e">
        <f>BG1118*(1/COUNT(Archive[[#This Row],[Candidate Transfer Standard - Zero 1]:[Candidate Transfer Standard - Zero 2]])+AVERAGE(Archive[[#This Row],[Higher Level Standard - Zero 1]:[Higher Level Standard - Zero 2]])^2/DEVSQ(Archive[[#This Row],[Higher Level Standard - Zero 1]:[Higher Level Standard - Zero 2]]))</f>
        <v>#VALUE!</v>
      </c>
      <c r="BJ1118" s="29">
        <f>COUNT(Archive[[#This Row],[Candidate Transfer Standard - Zero 1]:[Candidate Transfer Standard - Zero 2]])</f>
        <v>0</v>
      </c>
    </row>
    <row r="1119" spans="1:62" x14ac:dyDescent="0.3">
      <c r="A1119" s="57"/>
      <c r="BG111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19" s="29" t="e">
        <f>BG1119/DEVSQ(Archive[[#This Row],[Higher Level Standard - Zero 1]:[Higher Level Standard - Zero 2]])</f>
        <v>#VALUE!</v>
      </c>
      <c r="BI1119" s="29" t="e">
        <f>BG1119*(1/COUNT(Archive[[#This Row],[Candidate Transfer Standard - Zero 1]:[Candidate Transfer Standard - Zero 2]])+AVERAGE(Archive[[#This Row],[Higher Level Standard - Zero 1]:[Higher Level Standard - Zero 2]])^2/DEVSQ(Archive[[#This Row],[Higher Level Standard - Zero 1]:[Higher Level Standard - Zero 2]]))</f>
        <v>#VALUE!</v>
      </c>
      <c r="BJ1119" s="29">
        <f>COUNT(Archive[[#This Row],[Candidate Transfer Standard - Zero 1]:[Candidate Transfer Standard - Zero 2]])</f>
        <v>0</v>
      </c>
    </row>
    <row r="1120" spans="1:62" x14ac:dyDescent="0.3">
      <c r="A1120" s="57"/>
      <c r="BG112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20" s="29" t="e">
        <f>BG1120/DEVSQ(Archive[[#This Row],[Higher Level Standard - Zero 1]:[Higher Level Standard - Zero 2]])</f>
        <v>#VALUE!</v>
      </c>
      <c r="BI1120" s="29" t="e">
        <f>BG1120*(1/COUNT(Archive[[#This Row],[Candidate Transfer Standard - Zero 1]:[Candidate Transfer Standard - Zero 2]])+AVERAGE(Archive[[#This Row],[Higher Level Standard - Zero 1]:[Higher Level Standard - Zero 2]])^2/DEVSQ(Archive[[#This Row],[Higher Level Standard - Zero 1]:[Higher Level Standard - Zero 2]]))</f>
        <v>#VALUE!</v>
      </c>
      <c r="BJ1120" s="29">
        <f>COUNT(Archive[[#This Row],[Candidate Transfer Standard - Zero 1]:[Candidate Transfer Standard - Zero 2]])</f>
        <v>0</v>
      </c>
    </row>
    <row r="1121" spans="1:62" x14ac:dyDescent="0.3">
      <c r="A1121" s="57"/>
      <c r="BG112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21" s="29" t="e">
        <f>BG1121/DEVSQ(Archive[[#This Row],[Higher Level Standard - Zero 1]:[Higher Level Standard - Zero 2]])</f>
        <v>#VALUE!</v>
      </c>
      <c r="BI1121" s="29" t="e">
        <f>BG1121*(1/COUNT(Archive[[#This Row],[Candidate Transfer Standard - Zero 1]:[Candidate Transfer Standard - Zero 2]])+AVERAGE(Archive[[#This Row],[Higher Level Standard - Zero 1]:[Higher Level Standard - Zero 2]])^2/DEVSQ(Archive[[#This Row],[Higher Level Standard - Zero 1]:[Higher Level Standard - Zero 2]]))</f>
        <v>#VALUE!</v>
      </c>
      <c r="BJ1121" s="29">
        <f>COUNT(Archive[[#This Row],[Candidate Transfer Standard - Zero 1]:[Candidate Transfer Standard - Zero 2]])</f>
        <v>0</v>
      </c>
    </row>
    <row r="1122" spans="1:62" x14ac:dyDescent="0.3">
      <c r="A1122" s="57"/>
      <c r="BG112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22" s="29" t="e">
        <f>BG1122/DEVSQ(Archive[[#This Row],[Higher Level Standard - Zero 1]:[Higher Level Standard - Zero 2]])</f>
        <v>#VALUE!</v>
      </c>
      <c r="BI1122" s="29" t="e">
        <f>BG1122*(1/COUNT(Archive[[#This Row],[Candidate Transfer Standard - Zero 1]:[Candidate Transfer Standard - Zero 2]])+AVERAGE(Archive[[#This Row],[Higher Level Standard - Zero 1]:[Higher Level Standard - Zero 2]])^2/DEVSQ(Archive[[#This Row],[Higher Level Standard - Zero 1]:[Higher Level Standard - Zero 2]]))</f>
        <v>#VALUE!</v>
      </c>
      <c r="BJ1122" s="29">
        <f>COUNT(Archive[[#This Row],[Candidate Transfer Standard - Zero 1]:[Candidate Transfer Standard - Zero 2]])</f>
        <v>0</v>
      </c>
    </row>
    <row r="1123" spans="1:62" x14ac:dyDescent="0.3">
      <c r="A1123" s="57"/>
      <c r="BG112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23" s="29" t="e">
        <f>BG1123/DEVSQ(Archive[[#This Row],[Higher Level Standard - Zero 1]:[Higher Level Standard - Zero 2]])</f>
        <v>#VALUE!</v>
      </c>
      <c r="BI1123" s="29" t="e">
        <f>BG1123*(1/COUNT(Archive[[#This Row],[Candidate Transfer Standard - Zero 1]:[Candidate Transfer Standard - Zero 2]])+AVERAGE(Archive[[#This Row],[Higher Level Standard - Zero 1]:[Higher Level Standard - Zero 2]])^2/DEVSQ(Archive[[#This Row],[Higher Level Standard - Zero 1]:[Higher Level Standard - Zero 2]]))</f>
        <v>#VALUE!</v>
      </c>
      <c r="BJ1123" s="29">
        <f>COUNT(Archive[[#This Row],[Candidate Transfer Standard - Zero 1]:[Candidate Transfer Standard - Zero 2]])</f>
        <v>0</v>
      </c>
    </row>
    <row r="1124" spans="1:62" x14ac:dyDescent="0.3">
      <c r="A1124" s="57"/>
      <c r="BG112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24" s="29" t="e">
        <f>BG1124/DEVSQ(Archive[[#This Row],[Higher Level Standard - Zero 1]:[Higher Level Standard - Zero 2]])</f>
        <v>#VALUE!</v>
      </c>
      <c r="BI1124" s="29" t="e">
        <f>BG1124*(1/COUNT(Archive[[#This Row],[Candidate Transfer Standard - Zero 1]:[Candidate Transfer Standard - Zero 2]])+AVERAGE(Archive[[#This Row],[Higher Level Standard - Zero 1]:[Higher Level Standard - Zero 2]])^2/DEVSQ(Archive[[#This Row],[Higher Level Standard - Zero 1]:[Higher Level Standard - Zero 2]]))</f>
        <v>#VALUE!</v>
      </c>
      <c r="BJ1124" s="29">
        <f>COUNT(Archive[[#This Row],[Candidate Transfer Standard - Zero 1]:[Candidate Transfer Standard - Zero 2]])</f>
        <v>0</v>
      </c>
    </row>
    <row r="1125" spans="1:62" x14ac:dyDescent="0.3">
      <c r="A1125" s="57"/>
      <c r="BG112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25" s="29" t="e">
        <f>BG1125/DEVSQ(Archive[[#This Row],[Higher Level Standard - Zero 1]:[Higher Level Standard - Zero 2]])</f>
        <v>#VALUE!</v>
      </c>
      <c r="BI1125" s="29" t="e">
        <f>BG1125*(1/COUNT(Archive[[#This Row],[Candidate Transfer Standard - Zero 1]:[Candidate Transfer Standard - Zero 2]])+AVERAGE(Archive[[#This Row],[Higher Level Standard - Zero 1]:[Higher Level Standard - Zero 2]])^2/DEVSQ(Archive[[#This Row],[Higher Level Standard - Zero 1]:[Higher Level Standard - Zero 2]]))</f>
        <v>#VALUE!</v>
      </c>
      <c r="BJ1125" s="29">
        <f>COUNT(Archive[[#This Row],[Candidate Transfer Standard - Zero 1]:[Candidate Transfer Standard - Zero 2]])</f>
        <v>0</v>
      </c>
    </row>
    <row r="1126" spans="1:62" x14ac:dyDescent="0.3">
      <c r="A1126" s="57"/>
      <c r="BG112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26" s="29" t="e">
        <f>BG1126/DEVSQ(Archive[[#This Row],[Higher Level Standard - Zero 1]:[Higher Level Standard - Zero 2]])</f>
        <v>#VALUE!</v>
      </c>
      <c r="BI1126" s="29" t="e">
        <f>BG1126*(1/COUNT(Archive[[#This Row],[Candidate Transfer Standard - Zero 1]:[Candidate Transfer Standard - Zero 2]])+AVERAGE(Archive[[#This Row],[Higher Level Standard - Zero 1]:[Higher Level Standard - Zero 2]])^2/DEVSQ(Archive[[#This Row],[Higher Level Standard - Zero 1]:[Higher Level Standard - Zero 2]]))</f>
        <v>#VALUE!</v>
      </c>
      <c r="BJ1126" s="29">
        <f>COUNT(Archive[[#This Row],[Candidate Transfer Standard - Zero 1]:[Candidate Transfer Standard - Zero 2]])</f>
        <v>0</v>
      </c>
    </row>
    <row r="1127" spans="1:62" x14ac:dyDescent="0.3">
      <c r="A1127" s="57"/>
      <c r="BG112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27" s="29" t="e">
        <f>BG1127/DEVSQ(Archive[[#This Row],[Higher Level Standard - Zero 1]:[Higher Level Standard - Zero 2]])</f>
        <v>#VALUE!</v>
      </c>
      <c r="BI1127" s="29" t="e">
        <f>BG1127*(1/COUNT(Archive[[#This Row],[Candidate Transfer Standard - Zero 1]:[Candidate Transfer Standard - Zero 2]])+AVERAGE(Archive[[#This Row],[Higher Level Standard - Zero 1]:[Higher Level Standard - Zero 2]])^2/DEVSQ(Archive[[#This Row],[Higher Level Standard - Zero 1]:[Higher Level Standard - Zero 2]]))</f>
        <v>#VALUE!</v>
      </c>
      <c r="BJ1127" s="29">
        <f>COUNT(Archive[[#This Row],[Candidate Transfer Standard - Zero 1]:[Candidate Transfer Standard - Zero 2]])</f>
        <v>0</v>
      </c>
    </row>
    <row r="1128" spans="1:62" x14ac:dyDescent="0.3">
      <c r="A1128" s="57"/>
      <c r="BG112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28" s="29" t="e">
        <f>BG1128/DEVSQ(Archive[[#This Row],[Higher Level Standard - Zero 1]:[Higher Level Standard - Zero 2]])</f>
        <v>#VALUE!</v>
      </c>
      <c r="BI1128" s="29" t="e">
        <f>BG1128*(1/COUNT(Archive[[#This Row],[Candidate Transfer Standard - Zero 1]:[Candidate Transfer Standard - Zero 2]])+AVERAGE(Archive[[#This Row],[Higher Level Standard - Zero 1]:[Higher Level Standard - Zero 2]])^2/DEVSQ(Archive[[#This Row],[Higher Level Standard - Zero 1]:[Higher Level Standard - Zero 2]]))</f>
        <v>#VALUE!</v>
      </c>
      <c r="BJ1128" s="29">
        <f>COUNT(Archive[[#This Row],[Candidate Transfer Standard - Zero 1]:[Candidate Transfer Standard - Zero 2]])</f>
        <v>0</v>
      </c>
    </row>
    <row r="1129" spans="1:62" x14ac:dyDescent="0.3">
      <c r="A1129" s="57"/>
      <c r="BG112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29" s="29" t="e">
        <f>BG1129/DEVSQ(Archive[[#This Row],[Higher Level Standard - Zero 1]:[Higher Level Standard - Zero 2]])</f>
        <v>#VALUE!</v>
      </c>
      <c r="BI1129" s="29" t="e">
        <f>BG1129*(1/COUNT(Archive[[#This Row],[Candidate Transfer Standard - Zero 1]:[Candidate Transfer Standard - Zero 2]])+AVERAGE(Archive[[#This Row],[Higher Level Standard - Zero 1]:[Higher Level Standard - Zero 2]])^2/DEVSQ(Archive[[#This Row],[Higher Level Standard - Zero 1]:[Higher Level Standard - Zero 2]]))</f>
        <v>#VALUE!</v>
      </c>
      <c r="BJ1129" s="29">
        <f>COUNT(Archive[[#This Row],[Candidate Transfer Standard - Zero 1]:[Candidate Transfer Standard - Zero 2]])</f>
        <v>0</v>
      </c>
    </row>
    <row r="1130" spans="1:62" x14ac:dyDescent="0.3">
      <c r="A1130" s="57"/>
      <c r="BG113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30" s="29" t="e">
        <f>BG1130/DEVSQ(Archive[[#This Row],[Higher Level Standard - Zero 1]:[Higher Level Standard - Zero 2]])</f>
        <v>#VALUE!</v>
      </c>
      <c r="BI1130" s="29" t="e">
        <f>BG1130*(1/COUNT(Archive[[#This Row],[Candidate Transfer Standard - Zero 1]:[Candidate Transfer Standard - Zero 2]])+AVERAGE(Archive[[#This Row],[Higher Level Standard - Zero 1]:[Higher Level Standard - Zero 2]])^2/DEVSQ(Archive[[#This Row],[Higher Level Standard - Zero 1]:[Higher Level Standard - Zero 2]]))</f>
        <v>#VALUE!</v>
      </c>
      <c r="BJ1130" s="29">
        <f>COUNT(Archive[[#This Row],[Candidate Transfer Standard - Zero 1]:[Candidate Transfer Standard - Zero 2]])</f>
        <v>0</v>
      </c>
    </row>
    <row r="1131" spans="1:62" x14ac:dyDescent="0.3">
      <c r="A1131" s="57"/>
      <c r="BG113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31" s="29" t="e">
        <f>BG1131/DEVSQ(Archive[[#This Row],[Higher Level Standard - Zero 1]:[Higher Level Standard - Zero 2]])</f>
        <v>#VALUE!</v>
      </c>
      <c r="BI1131" s="29" t="e">
        <f>BG1131*(1/COUNT(Archive[[#This Row],[Candidate Transfer Standard - Zero 1]:[Candidate Transfer Standard - Zero 2]])+AVERAGE(Archive[[#This Row],[Higher Level Standard - Zero 1]:[Higher Level Standard - Zero 2]])^2/DEVSQ(Archive[[#This Row],[Higher Level Standard - Zero 1]:[Higher Level Standard - Zero 2]]))</f>
        <v>#VALUE!</v>
      </c>
      <c r="BJ1131" s="29">
        <f>COUNT(Archive[[#This Row],[Candidate Transfer Standard - Zero 1]:[Candidate Transfer Standard - Zero 2]])</f>
        <v>0</v>
      </c>
    </row>
    <row r="1132" spans="1:62" x14ac:dyDescent="0.3">
      <c r="A1132" s="57"/>
      <c r="BG113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32" s="29" t="e">
        <f>BG1132/DEVSQ(Archive[[#This Row],[Higher Level Standard - Zero 1]:[Higher Level Standard - Zero 2]])</f>
        <v>#VALUE!</v>
      </c>
      <c r="BI1132" s="29" t="e">
        <f>BG1132*(1/COUNT(Archive[[#This Row],[Candidate Transfer Standard - Zero 1]:[Candidate Transfer Standard - Zero 2]])+AVERAGE(Archive[[#This Row],[Higher Level Standard - Zero 1]:[Higher Level Standard - Zero 2]])^2/DEVSQ(Archive[[#This Row],[Higher Level Standard - Zero 1]:[Higher Level Standard - Zero 2]]))</f>
        <v>#VALUE!</v>
      </c>
      <c r="BJ1132" s="29">
        <f>COUNT(Archive[[#This Row],[Candidate Transfer Standard - Zero 1]:[Candidate Transfer Standard - Zero 2]])</f>
        <v>0</v>
      </c>
    </row>
    <row r="1133" spans="1:62" x14ac:dyDescent="0.3">
      <c r="A1133" s="57"/>
      <c r="BG113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33" s="29" t="e">
        <f>BG1133/DEVSQ(Archive[[#This Row],[Higher Level Standard - Zero 1]:[Higher Level Standard - Zero 2]])</f>
        <v>#VALUE!</v>
      </c>
      <c r="BI1133" s="29" t="e">
        <f>BG1133*(1/COUNT(Archive[[#This Row],[Candidate Transfer Standard - Zero 1]:[Candidate Transfer Standard - Zero 2]])+AVERAGE(Archive[[#This Row],[Higher Level Standard - Zero 1]:[Higher Level Standard - Zero 2]])^2/DEVSQ(Archive[[#This Row],[Higher Level Standard - Zero 1]:[Higher Level Standard - Zero 2]]))</f>
        <v>#VALUE!</v>
      </c>
      <c r="BJ1133" s="29">
        <f>COUNT(Archive[[#This Row],[Candidate Transfer Standard - Zero 1]:[Candidate Transfer Standard - Zero 2]])</f>
        <v>0</v>
      </c>
    </row>
    <row r="1134" spans="1:62" x14ac:dyDescent="0.3">
      <c r="A1134" s="57"/>
      <c r="BG113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34" s="29" t="e">
        <f>BG1134/DEVSQ(Archive[[#This Row],[Higher Level Standard - Zero 1]:[Higher Level Standard - Zero 2]])</f>
        <v>#VALUE!</v>
      </c>
      <c r="BI1134" s="29" t="e">
        <f>BG1134*(1/COUNT(Archive[[#This Row],[Candidate Transfer Standard - Zero 1]:[Candidate Transfer Standard - Zero 2]])+AVERAGE(Archive[[#This Row],[Higher Level Standard - Zero 1]:[Higher Level Standard - Zero 2]])^2/DEVSQ(Archive[[#This Row],[Higher Level Standard - Zero 1]:[Higher Level Standard - Zero 2]]))</f>
        <v>#VALUE!</v>
      </c>
      <c r="BJ1134" s="29">
        <f>COUNT(Archive[[#This Row],[Candidate Transfer Standard - Zero 1]:[Candidate Transfer Standard - Zero 2]])</f>
        <v>0</v>
      </c>
    </row>
    <row r="1135" spans="1:62" x14ac:dyDescent="0.3">
      <c r="A1135" s="57"/>
      <c r="BG113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35" s="29" t="e">
        <f>BG1135/DEVSQ(Archive[[#This Row],[Higher Level Standard - Zero 1]:[Higher Level Standard - Zero 2]])</f>
        <v>#VALUE!</v>
      </c>
      <c r="BI1135" s="29" t="e">
        <f>BG1135*(1/COUNT(Archive[[#This Row],[Candidate Transfer Standard - Zero 1]:[Candidate Transfer Standard - Zero 2]])+AVERAGE(Archive[[#This Row],[Higher Level Standard - Zero 1]:[Higher Level Standard - Zero 2]])^2/DEVSQ(Archive[[#This Row],[Higher Level Standard - Zero 1]:[Higher Level Standard - Zero 2]]))</f>
        <v>#VALUE!</v>
      </c>
      <c r="BJ1135" s="29">
        <f>COUNT(Archive[[#This Row],[Candidate Transfer Standard - Zero 1]:[Candidate Transfer Standard - Zero 2]])</f>
        <v>0</v>
      </c>
    </row>
    <row r="1136" spans="1:62" x14ac:dyDescent="0.3">
      <c r="A1136" s="57"/>
      <c r="BG113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36" s="29" t="e">
        <f>BG1136/DEVSQ(Archive[[#This Row],[Higher Level Standard - Zero 1]:[Higher Level Standard - Zero 2]])</f>
        <v>#VALUE!</v>
      </c>
      <c r="BI1136" s="29" t="e">
        <f>BG1136*(1/COUNT(Archive[[#This Row],[Candidate Transfer Standard - Zero 1]:[Candidate Transfer Standard - Zero 2]])+AVERAGE(Archive[[#This Row],[Higher Level Standard - Zero 1]:[Higher Level Standard - Zero 2]])^2/DEVSQ(Archive[[#This Row],[Higher Level Standard - Zero 1]:[Higher Level Standard - Zero 2]]))</f>
        <v>#VALUE!</v>
      </c>
      <c r="BJ1136" s="29">
        <f>COUNT(Archive[[#This Row],[Candidate Transfer Standard - Zero 1]:[Candidate Transfer Standard - Zero 2]])</f>
        <v>0</v>
      </c>
    </row>
    <row r="1137" spans="1:62" x14ac:dyDescent="0.3">
      <c r="A1137" s="57"/>
      <c r="BG113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37" s="29" t="e">
        <f>BG1137/DEVSQ(Archive[[#This Row],[Higher Level Standard - Zero 1]:[Higher Level Standard - Zero 2]])</f>
        <v>#VALUE!</v>
      </c>
      <c r="BI1137" s="29" t="e">
        <f>BG1137*(1/COUNT(Archive[[#This Row],[Candidate Transfer Standard - Zero 1]:[Candidate Transfer Standard - Zero 2]])+AVERAGE(Archive[[#This Row],[Higher Level Standard - Zero 1]:[Higher Level Standard - Zero 2]])^2/DEVSQ(Archive[[#This Row],[Higher Level Standard - Zero 1]:[Higher Level Standard - Zero 2]]))</f>
        <v>#VALUE!</v>
      </c>
      <c r="BJ1137" s="29">
        <f>COUNT(Archive[[#This Row],[Candidate Transfer Standard - Zero 1]:[Candidate Transfer Standard - Zero 2]])</f>
        <v>0</v>
      </c>
    </row>
    <row r="1138" spans="1:62" x14ac:dyDescent="0.3">
      <c r="A1138" s="57"/>
      <c r="BG113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38" s="29" t="e">
        <f>BG1138/DEVSQ(Archive[[#This Row],[Higher Level Standard - Zero 1]:[Higher Level Standard - Zero 2]])</f>
        <v>#VALUE!</v>
      </c>
      <c r="BI1138" s="29" t="e">
        <f>BG1138*(1/COUNT(Archive[[#This Row],[Candidate Transfer Standard - Zero 1]:[Candidate Transfer Standard - Zero 2]])+AVERAGE(Archive[[#This Row],[Higher Level Standard - Zero 1]:[Higher Level Standard - Zero 2]])^2/DEVSQ(Archive[[#This Row],[Higher Level Standard - Zero 1]:[Higher Level Standard - Zero 2]]))</f>
        <v>#VALUE!</v>
      </c>
      <c r="BJ1138" s="29">
        <f>COUNT(Archive[[#This Row],[Candidate Transfer Standard - Zero 1]:[Candidate Transfer Standard - Zero 2]])</f>
        <v>0</v>
      </c>
    </row>
    <row r="1139" spans="1:62" x14ac:dyDescent="0.3">
      <c r="A1139" s="57"/>
      <c r="BG113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39" s="29" t="e">
        <f>BG1139/DEVSQ(Archive[[#This Row],[Higher Level Standard - Zero 1]:[Higher Level Standard - Zero 2]])</f>
        <v>#VALUE!</v>
      </c>
      <c r="BI1139" s="29" t="e">
        <f>BG1139*(1/COUNT(Archive[[#This Row],[Candidate Transfer Standard - Zero 1]:[Candidate Transfer Standard - Zero 2]])+AVERAGE(Archive[[#This Row],[Higher Level Standard - Zero 1]:[Higher Level Standard - Zero 2]])^2/DEVSQ(Archive[[#This Row],[Higher Level Standard - Zero 1]:[Higher Level Standard - Zero 2]]))</f>
        <v>#VALUE!</v>
      </c>
      <c r="BJ1139" s="29">
        <f>COUNT(Archive[[#This Row],[Candidate Transfer Standard - Zero 1]:[Candidate Transfer Standard - Zero 2]])</f>
        <v>0</v>
      </c>
    </row>
    <row r="1140" spans="1:62" x14ac:dyDescent="0.3">
      <c r="A1140" s="57"/>
      <c r="BG114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40" s="29" t="e">
        <f>BG1140/DEVSQ(Archive[[#This Row],[Higher Level Standard - Zero 1]:[Higher Level Standard - Zero 2]])</f>
        <v>#VALUE!</v>
      </c>
      <c r="BI1140" s="29" t="e">
        <f>BG1140*(1/COUNT(Archive[[#This Row],[Candidate Transfer Standard - Zero 1]:[Candidate Transfer Standard - Zero 2]])+AVERAGE(Archive[[#This Row],[Higher Level Standard - Zero 1]:[Higher Level Standard - Zero 2]])^2/DEVSQ(Archive[[#This Row],[Higher Level Standard - Zero 1]:[Higher Level Standard - Zero 2]]))</f>
        <v>#VALUE!</v>
      </c>
      <c r="BJ1140" s="29">
        <f>COUNT(Archive[[#This Row],[Candidate Transfer Standard - Zero 1]:[Candidate Transfer Standard - Zero 2]])</f>
        <v>0</v>
      </c>
    </row>
    <row r="1141" spans="1:62" x14ac:dyDescent="0.3">
      <c r="A1141" s="57"/>
      <c r="BG114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41" s="29" t="e">
        <f>BG1141/DEVSQ(Archive[[#This Row],[Higher Level Standard - Zero 1]:[Higher Level Standard - Zero 2]])</f>
        <v>#VALUE!</v>
      </c>
      <c r="BI1141" s="29" t="e">
        <f>BG1141*(1/COUNT(Archive[[#This Row],[Candidate Transfer Standard - Zero 1]:[Candidate Transfer Standard - Zero 2]])+AVERAGE(Archive[[#This Row],[Higher Level Standard - Zero 1]:[Higher Level Standard - Zero 2]])^2/DEVSQ(Archive[[#This Row],[Higher Level Standard - Zero 1]:[Higher Level Standard - Zero 2]]))</f>
        <v>#VALUE!</v>
      </c>
      <c r="BJ1141" s="29">
        <f>COUNT(Archive[[#This Row],[Candidate Transfer Standard - Zero 1]:[Candidate Transfer Standard - Zero 2]])</f>
        <v>0</v>
      </c>
    </row>
    <row r="1142" spans="1:62" x14ac:dyDescent="0.3">
      <c r="A1142" s="57"/>
      <c r="BG114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42" s="29" t="e">
        <f>BG1142/DEVSQ(Archive[[#This Row],[Higher Level Standard - Zero 1]:[Higher Level Standard - Zero 2]])</f>
        <v>#VALUE!</v>
      </c>
      <c r="BI1142" s="29" t="e">
        <f>BG1142*(1/COUNT(Archive[[#This Row],[Candidate Transfer Standard - Zero 1]:[Candidate Transfer Standard - Zero 2]])+AVERAGE(Archive[[#This Row],[Higher Level Standard - Zero 1]:[Higher Level Standard - Zero 2]])^2/DEVSQ(Archive[[#This Row],[Higher Level Standard - Zero 1]:[Higher Level Standard - Zero 2]]))</f>
        <v>#VALUE!</v>
      </c>
      <c r="BJ1142" s="29">
        <f>COUNT(Archive[[#This Row],[Candidate Transfer Standard - Zero 1]:[Candidate Transfer Standard - Zero 2]])</f>
        <v>0</v>
      </c>
    </row>
    <row r="1143" spans="1:62" x14ac:dyDescent="0.3">
      <c r="A1143" s="57"/>
      <c r="BG114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43" s="29" t="e">
        <f>BG1143/DEVSQ(Archive[[#This Row],[Higher Level Standard - Zero 1]:[Higher Level Standard - Zero 2]])</f>
        <v>#VALUE!</v>
      </c>
      <c r="BI1143" s="29" t="e">
        <f>BG1143*(1/COUNT(Archive[[#This Row],[Candidate Transfer Standard - Zero 1]:[Candidate Transfer Standard - Zero 2]])+AVERAGE(Archive[[#This Row],[Higher Level Standard - Zero 1]:[Higher Level Standard - Zero 2]])^2/DEVSQ(Archive[[#This Row],[Higher Level Standard - Zero 1]:[Higher Level Standard - Zero 2]]))</f>
        <v>#VALUE!</v>
      </c>
      <c r="BJ1143" s="29">
        <f>COUNT(Archive[[#This Row],[Candidate Transfer Standard - Zero 1]:[Candidate Transfer Standard - Zero 2]])</f>
        <v>0</v>
      </c>
    </row>
    <row r="1144" spans="1:62" x14ac:dyDescent="0.3">
      <c r="A1144" s="57"/>
      <c r="BG114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44" s="29" t="e">
        <f>BG1144/DEVSQ(Archive[[#This Row],[Higher Level Standard - Zero 1]:[Higher Level Standard - Zero 2]])</f>
        <v>#VALUE!</v>
      </c>
      <c r="BI1144" s="29" t="e">
        <f>BG1144*(1/COUNT(Archive[[#This Row],[Candidate Transfer Standard - Zero 1]:[Candidate Transfer Standard - Zero 2]])+AVERAGE(Archive[[#This Row],[Higher Level Standard - Zero 1]:[Higher Level Standard - Zero 2]])^2/DEVSQ(Archive[[#This Row],[Higher Level Standard - Zero 1]:[Higher Level Standard - Zero 2]]))</f>
        <v>#VALUE!</v>
      </c>
      <c r="BJ1144" s="29">
        <f>COUNT(Archive[[#This Row],[Candidate Transfer Standard - Zero 1]:[Candidate Transfer Standard - Zero 2]])</f>
        <v>0</v>
      </c>
    </row>
    <row r="1145" spans="1:62" x14ac:dyDescent="0.3">
      <c r="A1145" s="57"/>
      <c r="BG114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45" s="29" t="e">
        <f>BG1145/DEVSQ(Archive[[#This Row],[Higher Level Standard - Zero 1]:[Higher Level Standard - Zero 2]])</f>
        <v>#VALUE!</v>
      </c>
      <c r="BI1145" s="29" t="e">
        <f>BG1145*(1/COUNT(Archive[[#This Row],[Candidate Transfer Standard - Zero 1]:[Candidate Transfer Standard - Zero 2]])+AVERAGE(Archive[[#This Row],[Higher Level Standard - Zero 1]:[Higher Level Standard - Zero 2]])^2/DEVSQ(Archive[[#This Row],[Higher Level Standard - Zero 1]:[Higher Level Standard - Zero 2]]))</f>
        <v>#VALUE!</v>
      </c>
      <c r="BJ1145" s="29">
        <f>COUNT(Archive[[#This Row],[Candidate Transfer Standard - Zero 1]:[Candidate Transfer Standard - Zero 2]])</f>
        <v>0</v>
      </c>
    </row>
    <row r="1146" spans="1:62" x14ac:dyDescent="0.3">
      <c r="A1146" s="57"/>
      <c r="BG114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46" s="29" t="e">
        <f>BG1146/DEVSQ(Archive[[#This Row],[Higher Level Standard - Zero 1]:[Higher Level Standard - Zero 2]])</f>
        <v>#VALUE!</v>
      </c>
      <c r="BI1146" s="29" t="e">
        <f>BG1146*(1/COUNT(Archive[[#This Row],[Candidate Transfer Standard - Zero 1]:[Candidate Transfer Standard - Zero 2]])+AVERAGE(Archive[[#This Row],[Higher Level Standard - Zero 1]:[Higher Level Standard - Zero 2]])^2/DEVSQ(Archive[[#This Row],[Higher Level Standard - Zero 1]:[Higher Level Standard - Zero 2]]))</f>
        <v>#VALUE!</v>
      </c>
      <c r="BJ1146" s="29">
        <f>COUNT(Archive[[#This Row],[Candidate Transfer Standard - Zero 1]:[Candidate Transfer Standard - Zero 2]])</f>
        <v>0</v>
      </c>
    </row>
    <row r="1147" spans="1:62" x14ac:dyDescent="0.3">
      <c r="A1147" s="57"/>
      <c r="BG114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47" s="29" t="e">
        <f>BG1147/DEVSQ(Archive[[#This Row],[Higher Level Standard - Zero 1]:[Higher Level Standard - Zero 2]])</f>
        <v>#VALUE!</v>
      </c>
      <c r="BI1147" s="29" t="e">
        <f>BG1147*(1/COUNT(Archive[[#This Row],[Candidate Transfer Standard - Zero 1]:[Candidate Transfer Standard - Zero 2]])+AVERAGE(Archive[[#This Row],[Higher Level Standard - Zero 1]:[Higher Level Standard - Zero 2]])^2/DEVSQ(Archive[[#This Row],[Higher Level Standard - Zero 1]:[Higher Level Standard - Zero 2]]))</f>
        <v>#VALUE!</v>
      </c>
      <c r="BJ1147" s="29">
        <f>COUNT(Archive[[#This Row],[Candidate Transfer Standard - Zero 1]:[Candidate Transfer Standard - Zero 2]])</f>
        <v>0</v>
      </c>
    </row>
    <row r="1148" spans="1:62" x14ac:dyDescent="0.3">
      <c r="A1148" s="57"/>
      <c r="BG114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48" s="29" t="e">
        <f>BG1148/DEVSQ(Archive[[#This Row],[Higher Level Standard - Zero 1]:[Higher Level Standard - Zero 2]])</f>
        <v>#VALUE!</v>
      </c>
      <c r="BI1148" s="29" t="e">
        <f>BG1148*(1/COUNT(Archive[[#This Row],[Candidate Transfer Standard - Zero 1]:[Candidate Transfer Standard - Zero 2]])+AVERAGE(Archive[[#This Row],[Higher Level Standard - Zero 1]:[Higher Level Standard - Zero 2]])^2/DEVSQ(Archive[[#This Row],[Higher Level Standard - Zero 1]:[Higher Level Standard - Zero 2]]))</f>
        <v>#VALUE!</v>
      </c>
      <c r="BJ1148" s="29">
        <f>COUNT(Archive[[#This Row],[Candidate Transfer Standard - Zero 1]:[Candidate Transfer Standard - Zero 2]])</f>
        <v>0</v>
      </c>
    </row>
    <row r="1149" spans="1:62" x14ac:dyDescent="0.3">
      <c r="A1149" s="57"/>
      <c r="BG114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49" s="29" t="e">
        <f>BG1149/DEVSQ(Archive[[#This Row],[Higher Level Standard - Zero 1]:[Higher Level Standard - Zero 2]])</f>
        <v>#VALUE!</v>
      </c>
      <c r="BI1149" s="29" t="e">
        <f>BG1149*(1/COUNT(Archive[[#This Row],[Candidate Transfer Standard - Zero 1]:[Candidate Transfer Standard - Zero 2]])+AVERAGE(Archive[[#This Row],[Higher Level Standard - Zero 1]:[Higher Level Standard - Zero 2]])^2/DEVSQ(Archive[[#This Row],[Higher Level Standard - Zero 1]:[Higher Level Standard - Zero 2]]))</f>
        <v>#VALUE!</v>
      </c>
      <c r="BJ1149" s="29">
        <f>COUNT(Archive[[#This Row],[Candidate Transfer Standard - Zero 1]:[Candidate Transfer Standard - Zero 2]])</f>
        <v>0</v>
      </c>
    </row>
    <row r="1150" spans="1:62" x14ac:dyDescent="0.3">
      <c r="A1150" s="57"/>
      <c r="BG115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50" s="29" t="e">
        <f>BG1150/DEVSQ(Archive[[#This Row],[Higher Level Standard - Zero 1]:[Higher Level Standard - Zero 2]])</f>
        <v>#VALUE!</v>
      </c>
      <c r="BI1150" s="29" t="e">
        <f>BG1150*(1/COUNT(Archive[[#This Row],[Candidate Transfer Standard - Zero 1]:[Candidate Transfer Standard - Zero 2]])+AVERAGE(Archive[[#This Row],[Higher Level Standard - Zero 1]:[Higher Level Standard - Zero 2]])^2/DEVSQ(Archive[[#This Row],[Higher Level Standard - Zero 1]:[Higher Level Standard - Zero 2]]))</f>
        <v>#VALUE!</v>
      </c>
      <c r="BJ1150" s="29">
        <f>COUNT(Archive[[#This Row],[Candidate Transfer Standard - Zero 1]:[Candidate Transfer Standard - Zero 2]])</f>
        <v>0</v>
      </c>
    </row>
    <row r="1151" spans="1:62" x14ac:dyDescent="0.3">
      <c r="A1151" s="57"/>
      <c r="BG115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51" s="29" t="e">
        <f>BG1151/DEVSQ(Archive[[#This Row],[Higher Level Standard - Zero 1]:[Higher Level Standard - Zero 2]])</f>
        <v>#VALUE!</v>
      </c>
      <c r="BI1151" s="29" t="e">
        <f>BG1151*(1/COUNT(Archive[[#This Row],[Candidate Transfer Standard - Zero 1]:[Candidate Transfer Standard - Zero 2]])+AVERAGE(Archive[[#This Row],[Higher Level Standard - Zero 1]:[Higher Level Standard - Zero 2]])^2/DEVSQ(Archive[[#This Row],[Higher Level Standard - Zero 1]:[Higher Level Standard - Zero 2]]))</f>
        <v>#VALUE!</v>
      </c>
      <c r="BJ1151" s="29">
        <f>COUNT(Archive[[#This Row],[Candidate Transfer Standard - Zero 1]:[Candidate Transfer Standard - Zero 2]])</f>
        <v>0</v>
      </c>
    </row>
    <row r="1152" spans="1:62" x14ac:dyDescent="0.3">
      <c r="A1152" s="57"/>
      <c r="BG115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52" s="29" t="e">
        <f>BG1152/DEVSQ(Archive[[#This Row],[Higher Level Standard - Zero 1]:[Higher Level Standard - Zero 2]])</f>
        <v>#VALUE!</v>
      </c>
      <c r="BI1152" s="29" t="e">
        <f>BG1152*(1/COUNT(Archive[[#This Row],[Candidate Transfer Standard - Zero 1]:[Candidate Transfer Standard - Zero 2]])+AVERAGE(Archive[[#This Row],[Higher Level Standard - Zero 1]:[Higher Level Standard - Zero 2]])^2/DEVSQ(Archive[[#This Row],[Higher Level Standard - Zero 1]:[Higher Level Standard - Zero 2]]))</f>
        <v>#VALUE!</v>
      </c>
      <c r="BJ1152" s="29">
        <f>COUNT(Archive[[#This Row],[Candidate Transfer Standard - Zero 1]:[Candidate Transfer Standard - Zero 2]])</f>
        <v>0</v>
      </c>
    </row>
    <row r="1153" spans="1:62" x14ac:dyDescent="0.3">
      <c r="A1153" s="57"/>
      <c r="BG115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53" s="29" t="e">
        <f>BG1153/DEVSQ(Archive[[#This Row],[Higher Level Standard - Zero 1]:[Higher Level Standard - Zero 2]])</f>
        <v>#VALUE!</v>
      </c>
      <c r="BI1153" s="29" t="e">
        <f>BG1153*(1/COUNT(Archive[[#This Row],[Candidate Transfer Standard - Zero 1]:[Candidate Transfer Standard - Zero 2]])+AVERAGE(Archive[[#This Row],[Higher Level Standard - Zero 1]:[Higher Level Standard - Zero 2]])^2/DEVSQ(Archive[[#This Row],[Higher Level Standard - Zero 1]:[Higher Level Standard - Zero 2]]))</f>
        <v>#VALUE!</v>
      </c>
      <c r="BJ1153" s="29">
        <f>COUNT(Archive[[#This Row],[Candidate Transfer Standard - Zero 1]:[Candidate Transfer Standard - Zero 2]])</f>
        <v>0</v>
      </c>
    </row>
    <row r="1154" spans="1:62" x14ac:dyDescent="0.3">
      <c r="A1154" s="57"/>
      <c r="BG115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54" s="29" t="e">
        <f>BG1154/DEVSQ(Archive[[#This Row],[Higher Level Standard - Zero 1]:[Higher Level Standard - Zero 2]])</f>
        <v>#VALUE!</v>
      </c>
      <c r="BI1154" s="29" t="e">
        <f>BG1154*(1/COUNT(Archive[[#This Row],[Candidate Transfer Standard - Zero 1]:[Candidate Transfer Standard - Zero 2]])+AVERAGE(Archive[[#This Row],[Higher Level Standard - Zero 1]:[Higher Level Standard - Zero 2]])^2/DEVSQ(Archive[[#This Row],[Higher Level Standard - Zero 1]:[Higher Level Standard - Zero 2]]))</f>
        <v>#VALUE!</v>
      </c>
      <c r="BJ1154" s="29">
        <f>COUNT(Archive[[#This Row],[Candidate Transfer Standard - Zero 1]:[Candidate Transfer Standard - Zero 2]])</f>
        <v>0</v>
      </c>
    </row>
    <row r="1155" spans="1:62" x14ac:dyDescent="0.3">
      <c r="A1155" s="57"/>
      <c r="BG115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55" s="29" t="e">
        <f>BG1155/DEVSQ(Archive[[#This Row],[Higher Level Standard - Zero 1]:[Higher Level Standard - Zero 2]])</f>
        <v>#VALUE!</v>
      </c>
      <c r="BI1155" s="29" t="e">
        <f>BG1155*(1/COUNT(Archive[[#This Row],[Candidate Transfer Standard - Zero 1]:[Candidate Transfer Standard - Zero 2]])+AVERAGE(Archive[[#This Row],[Higher Level Standard - Zero 1]:[Higher Level Standard - Zero 2]])^2/DEVSQ(Archive[[#This Row],[Higher Level Standard - Zero 1]:[Higher Level Standard - Zero 2]]))</f>
        <v>#VALUE!</v>
      </c>
      <c r="BJ1155" s="29">
        <f>COUNT(Archive[[#This Row],[Candidate Transfer Standard - Zero 1]:[Candidate Transfer Standard - Zero 2]])</f>
        <v>0</v>
      </c>
    </row>
    <row r="1156" spans="1:62" x14ac:dyDescent="0.3">
      <c r="A1156" s="57"/>
      <c r="BG115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56" s="29" t="e">
        <f>BG1156/DEVSQ(Archive[[#This Row],[Higher Level Standard - Zero 1]:[Higher Level Standard - Zero 2]])</f>
        <v>#VALUE!</v>
      </c>
      <c r="BI1156" s="29" t="e">
        <f>BG1156*(1/COUNT(Archive[[#This Row],[Candidate Transfer Standard - Zero 1]:[Candidate Transfer Standard - Zero 2]])+AVERAGE(Archive[[#This Row],[Higher Level Standard - Zero 1]:[Higher Level Standard - Zero 2]])^2/DEVSQ(Archive[[#This Row],[Higher Level Standard - Zero 1]:[Higher Level Standard - Zero 2]]))</f>
        <v>#VALUE!</v>
      </c>
      <c r="BJ1156" s="29">
        <f>COUNT(Archive[[#This Row],[Candidate Transfer Standard - Zero 1]:[Candidate Transfer Standard - Zero 2]])</f>
        <v>0</v>
      </c>
    </row>
    <row r="1157" spans="1:62" x14ac:dyDescent="0.3">
      <c r="A1157" s="57"/>
      <c r="BG115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57" s="29" t="e">
        <f>BG1157/DEVSQ(Archive[[#This Row],[Higher Level Standard - Zero 1]:[Higher Level Standard - Zero 2]])</f>
        <v>#VALUE!</v>
      </c>
      <c r="BI1157" s="29" t="e">
        <f>BG1157*(1/COUNT(Archive[[#This Row],[Candidate Transfer Standard - Zero 1]:[Candidate Transfer Standard - Zero 2]])+AVERAGE(Archive[[#This Row],[Higher Level Standard - Zero 1]:[Higher Level Standard - Zero 2]])^2/DEVSQ(Archive[[#This Row],[Higher Level Standard - Zero 1]:[Higher Level Standard - Zero 2]]))</f>
        <v>#VALUE!</v>
      </c>
      <c r="BJ1157" s="29">
        <f>COUNT(Archive[[#This Row],[Candidate Transfer Standard - Zero 1]:[Candidate Transfer Standard - Zero 2]])</f>
        <v>0</v>
      </c>
    </row>
    <row r="1158" spans="1:62" x14ac:dyDescent="0.3">
      <c r="A1158" s="57"/>
      <c r="BG115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58" s="29" t="e">
        <f>BG1158/DEVSQ(Archive[[#This Row],[Higher Level Standard - Zero 1]:[Higher Level Standard - Zero 2]])</f>
        <v>#VALUE!</v>
      </c>
      <c r="BI1158" s="29" t="e">
        <f>BG1158*(1/COUNT(Archive[[#This Row],[Candidate Transfer Standard - Zero 1]:[Candidate Transfer Standard - Zero 2]])+AVERAGE(Archive[[#This Row],[Higher Level Standard - Zero 1]:[Higher Level Standard - Zero 2]])^2/DEVSQ(Archive[[#This Row],[Higher Level Standard - Zero 1]:[Higher Level Standard - Zero 2]]))</f>
        <v>#VALUE!</v>
      </c>
      <c r="BJ1158" s="29">
        <f>COUNT(Archive[[#This Row],[Candidate Transfer Standard - Zero 1]:[Candidate Transfer Standard - Zero 2]])</f>
        <v>0</v>
      </c>
    </row>
    <row r="1159" spans="1:62" x14ac:dyDescent="0.3">
      <c r="A1159" s="57"/>
      <c r="BG115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59" s="29" t="e">
        <f>BG1159/DEVSQ(Archive[[#This Row],[Higher Level Standard - Zero 1]:[Higher Level Standard - Zero 2]])</f>
        <v>#VALUE!</v>
      </c>
      <c r="BI1159" s="29" t="e">
        <f>BG1159*(1/COUNT(Archive[[#This Row],[Candidate Transfer Standard - Zero 1]:[Candidate Transfer Standard - Zero 2]])+AVERAGE(Archive[[#This Row],[Higher Level Standard - Zero 1]:[Higher Level Standard - Zero 2]])^2/DEVSQ(Archive[[#This Row],[Higher Level Standard - Zero 1]:[Higher Level Standard - Zero 2]]))</f>
        <v>#VALUE!</v>
      </c>
      <c r="BJ1159" s="29">
        <f>COUNT(Archive[[#This Row],[Candidate Transfer Standard - Zero 1]:[Candidate Transfer Standard - Zero 2]])</f>
        <v>0</v>
      </c>
    </row>
    <row r="1160" spans="1:62" x14ac:dyDescent="0.3">
      <c r="A1160" s="57"/>
      <c r="BG116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60" s="29" t="e">
        <f>BG1160/DEVSQ(Archive[[#This Row],[Higher Level Standard - Zero 1]:[Higher Level Standard - Zero 2]])</f>
        <v>#VALUE!</v>
      </c>
      <c r="BI1160" s="29" t="e">
        <f>BG1160*(1/COUNT(Archive[[#This Row],[Candidate Transfer Standard - Zero 1]:[Candidate Transfer Standard - Zero 2]])+AVERAGE(Archive[[#This Row],[Higher Level Standard - Zero 1]:[Higher Level Standard - Zero 2]])^2/DEVSQ(Archive[[#This Row],[Higher Level Standard - Zero 1]:[Higher Level Standard - Zero 2]]))</f>
        <v>#VALUE!</v>
      </c>
      <c r="BJ1160" s="29">
        <f>COUNT(Archive[[#This Row],[Candidate Transfer Standard - Zero 1]:[Candidate Transfer Standard - Zero 2]])</f>
        <v>0</v>
      </c>
    </row>
    <row r="1161" spans="1:62" x14ac:dyDescent="0.3">
      <c r="A1161" s="57"/>
      <c r="BG116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61" s="29" t="e">
        <f>BG1161/DEVSQ(Archive[[#This Row],[Higher Level Standard - Zero 1]:[Higher Level Standard - Zero 2]])</f>
        <v>#VALUE!</v>
      </c>
      <c r="BI1161" s="29" t="e">
        <f>BG1161*(1/COUNT(Archive[[#This Row],[Candidate Transfer Standard - Zero 1]:[Candidate Transfer Standard - Zero 2]])+AVERAGE(Archive[[#This Row],[Higher Level Standard - Zero 1]:[Higher Level Standard - Zero 2]])^2/DEVSQ(Archive[[#This Row],[Higher Level Standard - Zero 1]:[Higher Level Standard - Zero 2]]))</f>
        <v>#VALUE!</v>
      </c>
      <c r="BJ1161" s="29">
        <f>COUNT(Archive[[#This Row],[Candidate Transfer Standard - Zero 1]:[Candidate Transfer Standard - Zero 2]])</f>
        <v>0</v>
      </c>
    </row>
    <row r="1162" spans="1:62" x14ac:dyDescent="0.3">
      <c r="A1162" s="57"/>
      <c r="BG116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62" s="29" t="e">
        <f>BG1162/DEVSQ(Archive[[#This Row],[Higher Level Standard - Zero 1]:[Higher Level Standard - Zero 2]])</f>
        <v>#VALUE!</v>
      </c>
      <c r="BI1162" s="29" t="e">
        <f>BG1162*(1/COUNT(Archive[[#This Row],[Candidate Transfer Standard - Zero 1]:[Candidate Transfer Standard - Zero 2]])+AVERAGE(Archive[[#This Row],[Higher Level Standard - Zero 1]:[Higher Level Standard - Zero 2]])^2/DEVSQ(Archive[[#This Row],[Higher Level Standard - Zero 1]:[Higher Level Standard - Zero 2]]))</f>
        <v>#VALUE!</v>
      </c>
      <c r="BJ1162" s="29">
        <f>COUNT(Archive[[#This Row],[Candidate Transfer Standard - Zero 1]:[Candidate Transfer Standard - Zero 2]])</f>
        <v>0</v>
      </c>
    </row>
    <row r="1163" spans="1:62" x14ac:dyDescent="0.3">
      <c r="A1163" s="57"/>
      <c r="BG116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63" s="29" t="e">
        <f>BG1163/DEVSQ(Archive[[#This Row],[Higher Level Standard - Zero 1]:[Higher Level Standard - Zero 2]])</f>
        <v>#VALUE!</v>
      </c>
      <c r="BI1163" s="29" t="e">
        <f>BG1163*(1/COUNT(Archive[[#This Row],[Candidate Transfer Standard - Zero 1]:[Candidate Transfer Standard - Zero 2]])+AVERAGE(Archive[[#This Row],[Higher Level Standard - Zero 1]:[Higher Level Standard - Zero 2]])^2/DEVSQ(Archive[[#This Row],[Higher Level Standard - Zero 1]:[Higher Level Standard - Zero 2]]))</f>
        <v>#VALUE!</v>
      </c>
      <c r="BJ1163" s="29">
        <f>COUNT(Archive[[#This Row],[Candidate Transfer Standard - Zero 1]:[Candidate Transfer Standard - Zero 2]])</f>
        <v>0</v>
      </c>
    </row>
    <row r="1164" spans="1:62" x14ac:dyDescent="0.3">
      <c r="A1164" s="57"/>
      <c r="BG116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64" s="29" t="e">
        <f>BG1164/DEVSQ(Archive[[#This Row],[Higher Level Standard - Zero 1]:[Higher Level Standard - Zero 2]])</f>
        <v>#VALUE!</v>
      </c>
      <c r="BI1164" s="29" t="e">
        <f>BG1164*(1/COUNT(Archive[[#This Row],[Candidate Transfer Standard - Zero 1]:[Candidate Transfer Standard - Zero 2]])+AVERAGE(Archive[[#This Row],[Higher Level Standard - Zero 1]:[Higher Level Standard - Zero 2]])^2/DEVSQ(Archive[[#This Row],[Higher Level Standard - Zero 1]:[Higher Level Standard - Zero 2]]))</f>
        <v>#VALUE!</v>
      </c>
      <c r="BJ1164" s="29">
        <f>COUNT(Archive[[#This Row],[Candidate Transfer Standard - Zero 1]:[Candidate Transfer Standard - Zero 2]])</f>
        <v>0</v>
      </c>
    </row>
    <row r="1165" spans="1:62" x14ac:dyDescent="0.3">
      <c r="A1165" s="57"/>
      <c r="BG1165"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65" s="29" t="e">
        <f>BG1165/DEVSQ(Archive[[#This Row],[Higher Level Standard - Zero 1]:[Higher Level Standard - Zero 2]])</f>
        <v>#VALUE!</v>
      </c>
      <c r="BI1165" s="29" t="e">
        <f>BG1165*(1/COUNT(Archive[[#This Row],[Candidate Transfer Standard - Zero 1]:[Candidate Transfer Standard - Zero 2]])+AVERAGE(Archive[[#This Row],[Higher Level Standard - Zero 1]:[Higher Level Standard - Zero 2]])^2/DEVSQ(Archive[[#This Row],[Higher Level Standard - Zero 1]:[Higher Level Standard - Zero 2]]))</f>
        <v>#VALUE!</v>
      </c>
      <c r="BJ1165" s="29">
        <f>COUNT(Archive[[#This Row],[Candidate Transfer Standard - Zero 1]:[Candidate Transfer Standard - Zero 2]])</f>
        <v>0</v>
      </c>
    </row>
    <row r="1166" spans="1:62" x14ac:dyDescent="0.3">
      <c r="A1166" s="57"/>
      <c r="BG1166"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66" s="29" t="e">
        <f>BG1166/DEVSQ(Archive[[#This Row],[Higher Level Standard - Zero 1]:[Higher Level Standard - Zero 2]])</f>
        <v>#VALUE!</v>
      </c>
      <c r="BI1166" s="29" t="e">
        <f>BG1166*(1/COUNT(Archive[[#This Row],[Candidate Transfer Standard - Zero 1]:[Candidate Transfer Standard - Zero 2]])+AVERAGE(Archive[[#This Row],[Higher Level Standard - Zero 1]:[Higher Level Standard - Zero 2]])^2/DEVSQ(Archive[[#This Row],[Higher Level Standard - Zero 1]:[Higher Level Standard - Zero 2]]))</f>
        <v>#VALUE!</v>
      </c>
      <c r="BJ1166" s="29">
        <f>COUNT(Archive[[#This Row],[Candidate Transfer Standard - Zero 1]:[Candidate Transfer Standard - Zero 2]])</f>
        <v>0</v>
      </c>
    </row>
    <row r="1167" spans="1:62" x14ac:dyDescent="0.3">
      <c r="A1167" s="57"/>
      <c r="BG1167"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67" s="29" t="e">
        <f>BG1167/DEVSQ(Archive[[#This Row],[Higher Level Standard - Zero 1]:[Higher Level Standard - Zero 2]])</f>
        <v>#VALUE!</v>
      </c>
      <c r="BI1167" s="29" t="e">
        <f>BG1167*(1/COUNT(Archive[[#This Row],[Candidate Transfer Standard - Zero 1]:[Candidate Transfer Standard - Zero 2]])+AVERAGE(Archive[[#This Row],[Higher Level Standard - Zero 1]:[Higher Level Standard - Zero 2]])^2/DEVSQ(Archive[[#This Row],[Higher Level Standard - Zero 1]:[Higher Level Standard - Zero 2]]))</f>
        <v>#VALUE!</v>
      </c>
      <c r="BJ1167" s="29">
        <f>COUNT(Archive[[#This Row],[Candidate Transfer Standard - Zero 1]:[Candidate Transfer Standard - Zero 2]])</f>
        <v>0</v>
      </c>
    </row>
    <row r="1168" spans="1:62" x14ac:dyDescent="0.3">
      <c r="A1168" s="57"/>
      <c r="BG1168"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68" s="29" t="e">
        <f>BG1168/DEVSQ(Archive[[#This Row],[Higher Level Standard - Zero 1]:[Higher Level Standard - Zero 2]])</f>
        <v>#VALUE!</v>
      </c>
      <c r="BI1168" s="29" t="e">
        <f>BG1168*(1/COUNT(Archive[[#This Row],[Candidate Transfer Standard - Zero 1]:[Candidate Transfer Standard - Zero 2]])+AVERAGE(Archive[[#This Row],[Higher Level Standard - Zero 1]:[Higher Level Standard - Zero 2]])^2/DEVSQ(Archive[[#This Row],[Higher Level Standard - Zero 1]:[Higher Level Standard - Zero 2]]))</f>
        <v>#VALUE!</v>
      </c>
      <c r="BJ1168" s="29">
        <f>COUNT(Archive[[#This Row],[Candidate Transfer Standard - Zero 1]:[Candidate Transfer Standard - Zero 2]])</f>
        <v>0</v>
      </c>
    </row>
    <row r="1169" spans="1:62" x14ac:dyDescent="0.3">
      <c r="A1169" s="57"/>
      <c r="BG1169"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69" s="29" t="e">
        <f>BG1169/DEVSQ(Archive[[#This Row],[Higher Level Standard - Zero 1]:[Higher Level Standard - Zero 2]])</f>
        <v>#VALUE!</v>
      </c>
      <c r="BI1169" s="29" t="e">
        <f>BG1169*(1/COUNT(Archive[[#This Row],[Candidate Transfer Standard - Zero 1]:[Candidate Transfer Standard - Zero 2]])+AVERAGE(Archive[[#This Row],[Higher Level Standard - Zero 1]:[Higher Level Standard - Zero 2]])^2/DEVSQ(Archive[[#This Row],[Higher Level Standard - Zero 1]:[Higher Level Standard - Zero 2]]))</f>
        <v>#VALUE!</v>
      </c>
      <c r="BJ1169" s="29">
        <f>COUNT(Archive[[#This Row],[Candidate Transfer Standard - Zero 1]:[Candidate Transfer Standard - Zero 2]])</f>
        <v>0</v>
      </c>
    </row>
    <row r="1170" spans="1:62" x14ac:dyDescent="0.3">
      <c r="A1170" s="57"/>
      <c r="BG1170"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70" s="29" t="e">
        <f>BG1170/DEVSQ(Archive[[#This Row],[Higher Level Standard - Zero 1]:[Higher Level Standard - Zero 2]])</f>
        <v>#VALUE!</v>
      </c>
      <c r="BI1170" s="29" t="e">
        <f>BG1170*(1/COUNT(Archive[[#This Row],[Candidate Transfer Standard - Zero 1]:[Candidate Transfer Standard - Zero 2]])+AVERAGE(Archive[[#This Row],[Higher Level Standard - Zero 1]:[Higher Level Standard - Zero 2]])^2/DEVSQ(Archive[[#This Row],[Higher Level Standard - Zero 1]:[Higher Level Standard - Zero 2]]))</f>
        <v>#VALUE!</v>
      </c>
      <c r="BJ1170" s="29">
        <f>COUNT(Archive[[#This Row],[Candidate Transfer Standard - Zero 1]:[Candidate Transfer Standard - Zero 2]])</f>
        <v>0</v>
      </c>
    </row>
    <row r="1171" spans="1:62" x14ac:dyDescent="0.3">
      <c r="A1171" s="57"/>
      <c r="BG1171"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71" s="29" t="e">
        <f>BG1171/DEVSQ(Archive[[#This Row],[Higher Level Standard - Zero 1]:[Higher Level Standard - Zero 2]])</f>
        <v>#VALUE!</v>
      </c>
      <c r="BI1171" s="29" t="e">
        <f>BG1171*(1/COUNT(Archive[[#This Row],[Candidate Transfer Standard - Zero 1]:[Candidate Transfer Standard - Zero 2]])+AVERAGE(Archive[[#This Row],[Higher Level Standard - Zero 1]:[Higher Level Standard - Zero 2]])^2/DEVSQ(Archive[[#This Row],[Higher Level Standard - Zero 1]:[Higher Level Standard - Zero 2]]))</f>
        <v>#VALUE!</v>
      </c>
      <c r="BJ1171" s="29">
        <f>COUNT(Archive[[#This Row],[Candidate Transfer Standard - Zero 1]:[Candidate Transfer Standard - Zero 2]])</f>
        <v>0</v>
      </c>
    </row>
    <row r="1172" spans="1:62" x14ac:dyDescent="0.3">
      <c r="A1172" s="57"/>
      <c r="BG1172"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72" s="29" t="e">
        <f>BG1172/DEVSQ(Archive[[#This Row],[Higher Level Standard - Zero 1]:[Higher Level Standard - Zero 2]])</f>
        <v>#VALUE!</v>
      </c>
      <c r="BI1172" s="29" t="e">
        <f>BG1172*(1/COUNT(Archive[[#This Row],[Candidate Transfer Standard - Zero 1]:[Candidate Transfer Standard - Zero 2]])+AVERAGE(Archive[[#This Row],[Higher Level Standard - Zero 1]:[Higher Level Standard - Zero 2]])^2/DEVSQ(Archive[[#This Row],[Higher Level Standard - Zero 1]:[Higher Level Standard - Zero 2]]))</f>
        <v>#VALUE!</v>
      </c>
      <c r="BJ1172" s="29">
        <f>COUNT(Archive[[#This Row],[Candidate Transfer Standard - Zero 1]:[Candidate Transfer Standard - Zero 2]])</f>
        <v>0</v>
      </c>
    </row>
    <row r="1173" spans="1:62" x14ac:dyDescent="0.3">
      <c r="A1173" s="57"/>
      <c r="BG1173"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73" s="29" t="e">
        <f>BG1173/DEVSQ(Archive[[#This Row],[Higher Level Standard - Zero 1]:[Higher Level Standard - Zero 2]])</f>
        <v>#VALUE!</v>
      </c>
      <c r="BI1173" s="29" t="e">
        <f>BG1173*(1/COUNT(Archive[[#This Row],[Candidate Transfer Standard - Zero 1]:[Candidate Transfer Standard - Zero 2]])+AVERAGE(Archive[[#This Row],[Higher Level Standard - Zero 1]:[Higher Level Standard - Zero 2]])^2/DEVSQ(Archive[[#This Row],[Higher Level Standard - Zero 1]:[Higher Level Standard - Zero 2]]))</f>
        <v>#VALUE!</v>
      </c>
      <c r="BJ1173" s="29">
        <f>COUNT(Archive[[#This Row],[Candidate Transfer Standard - Zero 1]:[Candidate Transfer Standard - Zero 2]])</f>
        <v>0</v>
      </c>
    </row>
    <row r="1174" spans="1:62" x14ac:dyDescent="0.3">
      <c r="A1174" s="57"/>
      <c r="BG1174" s="29" t="e">
        <f>(DEVSQ(Archive[[#This Row],[Candidate Transfer Standard - Zero 1]:[Candidate Transfer Standard - Zero 2]])-Archive[[#This Row],[Regression Slope]]*SQRT(RSQ(Archive[[#This Row],[Candidate Transfer Standard - Zero 1]:[Candidate Transfer Standard - Zero 2]], Archive[[#This Row],[Higher Level Standard - Zero 1]:[Higher Level Standard - Zero 2]])*DEVSQ(Archive[[#This Row],[Higher Level Standard - Zero 1]:[Higher Level Standard - Zero 2]])*DEVSQ(Archive[[#This Row],[Candidate Transfer Standard - Zero 1]:[Candidate Transfer Standard - Zero 2]])))/(COUNT(Archive[[#This Row],[Candidate Transfer Standard - Zero 1]:[Candidate Transfer Standard - Zero 2]])-2)</f>
        <v>#VALUE!</v>
      </c>
      <c r="BH1174" s="29" t="e">
        <f>BG1174/DEVSQ(Archive[[#This Row],[Higher Level Standard - Zero 1]:[Higher Level Standard - Zero 2]])</f>
        <v>#VALUE!</v>
      </c>
      <c r="BI1174" s="29" t="e">
        <f>BG1174*(1/COUNT(Archive[[#This Row],[Candidate Transfer Standard - Zero 1]:[Candidate Transfer Standard - Zero 2]])+AVERAGE(Archive[[#This Row],[Higher Level Standard - Zero 1]:[Higher Level Standard - Zero 2]])^2/DEVSQ(Archive[[#This Row],[Higher Level Standard - Zero 1]:[Higher Level Standard - Zero 2]]))</f>
        <v>#VALUE!</v>
      </c>
      <c r="BJ1174" s="29">
        <f>COUNT(Archive[[#This Row],[Candidate Transfer Standard - Zero 1]:[Candidate Transfer Standard - Zero 2]])</f>
        <v>0</v>
      </c>
    </row>
    <row r="1175" spans="1:62" x14ac:dyDescent="0.3">
      <c r="A1175" s="57"/>
    </row>
    <row r="1176" spans="1:62" x14ac:dyDescent="0.3">
      <c r="A1176" s="57"/>
    </row>
    <row r="1177" spans="1:62" x14ac:dyDescent="0.3">
      <c r="A1177" s="57"/>
    </row>
    <row r="1178" spans="1:62" x14ac:dyDescent="0.3">
      <c r="A1178" s="57"/>
    </row>
    <row r="1179" spans="1:62" x14ac:dyDescent="0.3">
      <c r="A1179" s="57"/>
    </row>
    <row r="1180" spans="1:62" x14ac:dyDescent="0.3">
      <c r="A1180" s="57"/>
    </row>
    <row r="1181" spans="1:62" x14ac:dyDescent="0.3">
      <c r="A1181" s="57"/>
    </row>
    <row r="1182" spans="1:62" x14ac:dyDescent="0.3">
      <c r="A1182" s="57"/>
    </row>
    <row r="1183" spans="1:62" x14ac:dyDescent="0.3">
      <c r="A1183" s="57"/>
    </row>
    <row r="1184" spans="1:62" x14ac:dyDescent="0.3">
      <c r="A1184" s="57"/>
    </row>
    <row r="1185" spans="1:1" x14ac:dyDescent="0.3">
      <c r="A1185" s="57"/>
    </row>
    <row r="1186" spans="1:1" x14ac:dyDescent="0.3">
      <c r="A1186" s="57"/>
    </row>
    <row r="1187" spans="1:1" x14ac:dyDescent="0.3">
      <c r="A1187" s="57"/>
    </row>
    <row r="1188" spans="1:1" x14ac:dyDescent="0.3">
      <c r="A1188" s="57"/>
    </row>
    <row r="1189" spans="1:1" x14ac:dyDescent="0.3">
      <c r="A1189" s="57"/>
    </row>
    <row r="1190" spans="1:1" x14ac:dyDescent="0.3">
      <c r="A1190" s="57"/>
    </row>
    <row r="1191" spans="1:1" x14ac:dyDescent="0.3">
      <c r="A1191" s="57"/>
    </row>
    <row r="1192" spans="1:1" x14ac:dyDescent="0.3">
      <c r="A1192" s="57"/>
    </row>
  </sheetData>
  <sheetProtection algorithmName="SHA-512" hashValue="DUG6SyIQ46Ys/M6CyILnvlCI5xhgDnJXJciYISs+jBwFlCu0YX6LJmvtV9ZEiRbjVNdrEzC5vfm90dVJ+lZS/Q==" saltValue="m+Zm9vpGp2fSUHaabmwRzA==" spinCount="100000" sheet="1" objects="1" scenarios="1"/>
  <phoneticPr fontId="18" type="noConversion"/>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8D03F-1B75-4AA8-9C2F-4F5E3DEFA495}">
  <sheetPr codeName="Sheet5"/>
  <dimension ref="A1:D6"/>
  <sheetViews>
    <sheetView showFormulas="1" workbookViewId="0">
      <selection activeCell="A3" sqref="A3"/>
    </sheetView>
  </sheetViews>
  <sheetFormatPr defaultColWidth="8.88671875" defaultRowHeight="14.4" x14ac:dyDescent="0.3"/>
  <cols>
    <col min="1" max="1" width="19.109375" customWidth="1"/>
  </cols>
  <sheetData>
    <row r="1" spans="1:4" x14ac:dyDescent="0.3">
      <c r="A1" s="1" t="s">
        <v>115</v>
      </c>
      <c r="B1" t="s">
        <v>179</v>
      </c>
      <c r="C1" t="s">
        <v>140</v>
      </c>
      <c r="D1" t="s">
        <v>180</v>
      </c>
    </row>
    <row r="2" spans="1:4" x14ac:dyDescent="0.3">
      <c r="A2" s="1" t="s">
        <v>181</v>
      </c>
      <c r="B2">
        <v>1</v>
      </c>
      <c r="C2" t="s">
        <v>182</v>
      </c>
      <c r="D2">
        <v>1</v>
      </c>
    </row>
    <row r="3" spans="1:4" x14ac:dyDescent="0.3">
      <c r="A3" s="1" t="s">
        <v>183</v>
      </c>
      <c r="B3">
        <v>2</v>
      </c>
      <c r="C3" t="s">
        <v>182</v>
      </c>
      <c r="D3">
        <v>1</v>
      </c>
    </row>
    <row r="4" spans="1:4" x14ac:dyDescent="0.3">
      <c r="A4" s="1" t="s">
        <v>184</v>
      </c>
      <c r="B4">
        <v>3</v>
      </c>
      <c r="C4" t="s">
        <v>185</v>
      </c>
      <c r="D4">
        <v>0.5</v>
      </c>
    </row>
    <row r="5" spans="1:4" x14ac:dyDescent="0.3">
      <c r="A5" s="1" t="s">
        <v>186</v>
      </c>
      <c r="B5">
        <v>4</v>
      </c>
      <c r="C5" t="s">
        <v>182</v>
      </c>
      <c r="D5">
        <v>1</v>
      </c>
    </row>
    <row r="6" spans="1:4" x14ac:dyDescent="0.3">
      <c r="A6" s="1" t="s">
        <v>187</v>
      </c>
      <c r="B6">
        <v>5</v>
      </c>
      <c r="C6" t="s">
        <v>185</v>
      </c>
      <c r="D6">
        <v>0.5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Source xmlns="http://schemas.microsoft.com/sharepoint/v3/fields" xsi:nil="true"/>
    <Language xmlns="http://schemas.microsoft.com/sharepoint/v3">English</Language>
    <j747ac98061d40f0aa7bd47e1db5675d xmlns="4ffa91fb-a0ff-4ac5-b2db-65c790d184a4">
      <Terms xmlns="http://schemas.microsoft.com/office/infopath/2007/PartnerControls"/>
    </j747ac98061d40f0aa7bd47e1db5675d>
    <External_x0020_Contributor xmlns="4ffa91fb-a0ff-4ac5-b2db-65c790d184a4" xsi:nil="true"/>
    <TaxKeywordTaxHTField xmlns="4ffa91fb-a0ff-4ac5-b2db-65c790d184a4">
      <Terms xmlns="http://schemas.microsoft.com/office/infopath/2007/PartnerControls"/>
    </TaxKeywordTaxHTField>
    <Record xmlns="4ffa91fb-a0ff-4ac5-b2db-65c790d184a4">Shared</Record>
    <Rights xmlns="4ffa91fb-a0ff-4ac5-b2db-65c790d184a4" xsi:nil="true"/>
    <Document_x0020_Creation_x0020_Date xmlns="4ffa91fb-a0ff-4ac5-b2db-65c790d184a4">2020-02-07T16:18:15+00:00</Document_x0020_Creation_x0020_Date>
    <EPA_x0020_Office xmlns="4ffa91fb-a0ff-4ac5-b2db-65c790d184a4" xsi:nil="true"/>
    <CategoryDescription xmlns="http://schemas.microsoft.com/sharepoint.v3" xsi:nil="true"/>
    <Identifier xmlns="4ffa91fb-a0ff-4ac5-b2db-65c790d184a4" xsi:nil="true"/>
    <_Coverage xmlns="http://schemas.microsoft.com/sharepoint/v3/fields" xsi:nil="true"/>
    <Creator xmlns="4ffa91fb-a0ff-4ac5-b2db-65c790d184a4">
      <UserInfo>
        <DisplayName/>
        <AccountId xsi:nil="true"/>
        <AccountType/>
      </UserInfo>
    </Creator>
    <EPA_x0020_Related_x0020_Documents xmlns="4ffa91fb-a0ff-4ac5-b2db-65c790d184a4" xsi:nil="true"/>
    <EPA_x0020_Contributor xmlns="4ffa91fb-a0ff-4ac5-b2db-65c790d184a4">
      <UserInfo>
        <DisplayName/>
        <AccountId xsi:nil="true"/>
        <AccountType/>
      </UserInfo>
    </EPA_x0020_Contributor>
    <TaxCatchAll xmlns="4ffa91fb-a0ff-4ac5-b2db-65c790d184a4" xsi:nil="true"/>
    <_ip_UnifiedCompliancePolicyUIAction xmlns="http://schemas.microsoft.com/sharepoint/v3" xsi:nil="true"/>
    <_ip_UnifiedCompliancePolicyProperties xmlns="http://schemas.microsoft.com/sharepoint/v3" xsi:nil="true"/>
    <e3f09c3df709400db2417a7161762d62 xmlns="22d004a6-2f8d-4a75-9f1d-859e2ae55add">
      <Terms xmlns="http://schemas.microsoft.com/office/infopath/2007/PartnerControls"/>
    </e3f09c3df709400db2417a7161762d62>
    <lcf76f155ced4ddcb4097134ff3c332f xmlns="47eab5cf-fde9-424c-b3b8-178016a7c112">
      <Terms xmlns="http://schemas.microsoft.com/office/infopath/2007/PartnerControls"/>
    </lcf76f155ced4ddcb4097134ff3c332f>
    <SharedWithUsers xmlns="22d004a6-2f8d-4a75-9f1d-859e2ae55add">
      <UserInfo>
        <DisplayName>Hamilton, Scott</DisplayName>
        <AccountId>3274</AccountId>
        <AccountType/>
      </UserInfo>
      <UserInfo>
        <DisplayName>Smalley, Allison</DisplayName>
        <AccountId>13840</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9832EDA71D35A4FB9BE3F79441C9B2B" ma:contentTypeVersion="23" ma:contentTypeDescription="Create a new document." ma:contentTypeScope="" ma:versionID="f46a0ea9a13f4f038b6a38d57d59133d">
  <xsd:schema xmlns:xsd="http://www.w3.org/2001/XMLSchema" xmlns:xs="http://www.w3.org/2001/XMLSchema" xmlns:p="http://schemas.microsoft.com/office/2006/metadata/properties" xmlns:ns1="http://schemas.microsoft.com/sharepoint/v3" xmlns:ns2="4ffa91fb-a0ff-4ac5-b2db-65c790d184a4" xmlns:ns3="http://schemas.microsoft.com/sharepoint.v3" xmlns:ns4="http://schemas.microsoft.com/sharepoint/v3/fields" xmlns:ns5="22d004a6-2f8d-4a75-9f1d-859e2ae55add" xmlns:ns6="a1f15235-80d2-48a0-a833-0fd2dbd1804b" xmlns:ns7="47eab5cf-fde9-424c-b3b8-178016a7c112" targetNamespace="http://schemas.microsoft.com/office/2006/metadata/properties" ma:root="true" ma:fieldsID="b1e78f14544787b16fe6928ab8a69864" ns1:_="" ns2:_="" ns3:_="" ns4:_="" ns5:_="" ns6:_="" ns7:_="">
    <xsd:import namespace="http://schemas.microsoft.com/sharepoint/v3"/>
    <xsd:import namespace="4ffa91fb-a0ff-4ac5-b2db-65c790d184a4"/>
    <xsd:import namespace="http://schemas.microsoft.com/sharepoint.v3"/>
    <xsd:import namespace="http://schemas.microsoft.com/sharepoint/v3/fields"/>
    <xsd:import namespace="22d004a6-2f8d-4a75-9f1d-859e2ae55add"/>
    <xsd:import namespace="a1f15235-80d2-48a0-a833-0fd2dbd1804b"/>
    <xsd:import namespace="47eab5cf-fde9-424c-b3b8-178016a7c112"/>
    <xsd:element name="properties">
      <xsd:complexType>
        <xsd:sequence>
          <xsd:element name="documentManagement">
            <xsd:complexType>
              <xsd:all>
                <xsd:element ref="ns2:Document_x0020_Creation_x0020_Date" minOccurs="0"/>
                <xsd:element ref="ns2:Creator" minOccurs="0"/>
                <xsd:element ref="ns2:EPA_x0020_Office" minOccurs="0"/>
                <xsd:element ref="ns2:Record" minOccurs="0"/>
                <xsd:element ref="ns3:CategoryDescription" minOccurs="0"/>
                <xsd:element ref="ns2:Identifier" minOccurs="0"/>
                <xsd:element ref="ns2:EPA_x0020_Contributor" minOccurs="0"/>
                <xsd:element ref="ns2:External_x0020_Contributor" minOccurs="0"/>
                <xsd:element ref="ns4:_Coverage" minOccurs="0"/>
                <xsd:element ref="ns2:EPA_x0020_Related_x0020_Documents" minOccurs="0"/>
                <xsd:element ref="ns4:_Source" minOccurs="0"/>
                <xsd:element ref="ns2:Rights" minOccurs="0"/>
                <xsd:element ref="ns1:Language" minOccurs="0"/>
                <xsd:element ref="ns2:j747ac98061d40f0aa7bd47e1db5675d" minOccurs="0"/>
                <xsd:element ref="ns2:TaxKeywordTaxHTField" minOccurs="0"/>
                <xsd:element ref="ns2:TaxCatchAllLabel" minOccurs="0"/>
                <xsd:element ref="ns2:TaxCatchAll" minOccurs="0"/>
                <xsd:element ref="ns5:e3f09c3df709400db2417a7161762d62" minOccurs="0"/>
                <xsd:element ref="ns5:SharedWithUsers" minOccurs="0"/>
                <xsd:element ref="ns5:SharedWithDetails" minOccurs="0"/>
                <xsd:element ref="ns6:LastSharedByUser" minOccurs="0"/>
                <xsd:element ref="ns6:LastSharedByTime" minOccurs="0"/>
                <xsd:element ref="ns7:MediaServiceMetadata" minOccurs="0"/>
                <xsd:element ref="ns7:MediaServiceFastMetadata" minOccurs="0"/>
                <xsd:element ref="ns7:MediaServiceEventHashCode" minOccurs="0"/>
                <xsd:element ref="ns7:MediaServiceGenerationTime" minOccurs="0"/>
                <xsd:element ref="ns7:MediaServiceAutoTags" minOccurs="0"/>
                <xsd:element ref="ns7:MediaServiceOCR" minOccurs="0"/>
                <xsd:element ref="ns7:MediaServiceDateTaken" minOccurs="0"/>
                <xsd:element ref="ns7:MediaServiceAutoKeyPoints" minOccurs="0"/>
                <xsd:element ref="ns7:MediaServiceKeyPoints" minOccurs="0"/>
                <xsd:element ref="ns1:_ip_UnifiedCompliancePolicyProperties" minOccurs="0"/>
                <xsd:element ref="ns1:_ip_UnifiedCompliancePolicyUIAction" minOccurs="0"/>
                <xsd:element ref="ns7: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Language" ma:index="17" nillable="true" ma:displayName="Language" ma:default="English" ma:description="Select the document language from the drop down." ma:format="Dropdown" ma:internalName="Language" ma:readOnly="false">
      <xsd:simpleType>
        <xsd:restriction base="dms:Choice">
          <xsd:enumeration value="Arabic (Saudi Arabia)"/>
          <xsd:enumeration value="Bulgarian (Bulgaria)"/>
          <xsd:enumeration value="Chinese (Hong Kong S.A.R.)"/>
          <xsd:enumeration value="Chinese (People's Republic of China)"/>
          <xsd:enumeration value="Chinese (Taiwan)"/>
          <xsd:enumeration value="Croatian (Croatia)"/>
          <xsd:enumeration value="Czech (Czech Republic)"/>
          <xsd:enumeration value="Danish (Denmark)"/>
          <xsd:enumeration value="Dutch (Netherlands)"/>
          <xsd:enumeration value="English"/>
          <xsd:enumeration value="Estonian (Estonia)"/>
          <xsd:enumeration value="Finnish (Finland)"/>
          <xsd:enumeration value="French (France)"/>
          <xsd:enumeration value="German (Germany)"/>
          <xsd:enumeration value="Greek (Greece)"/>
          <xsd:enumeration value="Hebrew (Israel)"/>
          <xsd:enumeration value="Hindi (India)"/>
          <xsd:enumeration value="Hungarian (Hungary)"/>
          <xsd:enumeration value="Indonesian (Indonesia)"/>
          <xsd:enumeration value="Italian (Italy)"/>
          <xsd:enumeration value="Japanese (Japan)"/>
          <xsd:enumeration value="Korean (Korea)"/>
          <xsd:enumeration value="Latvian (Latvia)"/>
          <xsd:enumeration value="Lithuanian (Lithuania)"/>
          <xsd:enumeration value="Malay (Malaysia)"/>
          <xsd:enumeration value="Norwegian (Bokmal) (Norway)"/>
          <xsd:enumeration value="Polish (Poland)"/>
          <xsd:enumeration value="Portuguese (Brazil)"/>
          <xsd:enumeration value="Portuguese (Portugal)"/>
          <xsd:enumeration value="Romanian (Romania)"/>
          <xsd:enumeration value="Russian (Russia)"/>
          <xsd:enumeration value="Serbian (Latin) (Serbia)"/>
          <xsd:enumeration value="Slovak (Slovakia)"/>
          <xsd:enumeration value="Slovenian (Slovenia)"/>
          <xsd:enumeration value="Spanish (Spain)"/>
          <xsd:enumeration value="Swedish (Sweden)"/>
          <xsd:enumeration value="Thai (Thailand)"/>
          <xsd:enumeration value="Turkish (Turkey)"/>
          <xsd:enumeration value="Ukrainian (Ukraine)"/>
          <xsd:enumeration value="Urdu (Islamic Republic of Pakistan)"/>
          <xsd:enumeration value="Vietnamese (Vietnam)"/>
        </xsd:restriction>
      </xsd:simpleType>
    </xsd:element>
    <xsd:element name="_ip_UnifiedCompliancePolicyProperties" ma:index="42" nillable="true" ma:displayName="Unified Compliance Policy Properties" ma:hidden="true" ma:internalName="_ip_UnifiedCompliancePolicyProperties">
      <xsd:simpleType>
        <xsd:restriction base="dms:Note"/>
      </xsd:simpleType>
    </xsd:element>
    <xsd:element name="_ip_UnifiedCompliancePolicyUIAction" ma:index="4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fa91fb-a0ff-4ac5-b2db-65c790d184a4" elementFormDefault="qualified">
    <xsd:import namespace="http://schemas.microsoft.com/office/2006/documentManagement/types"/>
    <xsd:import namespace="http://schemas.microsoft.com/office/infopath/2007/PartnerControls"/>
    <xsd:element name="Document_x0020_Creation_x0020_Date" ma:index="2" nillable="true" ma:displayName="Document Date" ma:default="[today]" ma:description="Enter the date this document was last modified. The upload date has been entered by default." ma:format="DateOnly" ma:internalName="Document_x0020_Creation_x0020_Date" ma:readOnly="false">
      <xsd:simpleType>
        <xsd:restriction base="dms:DateTime"/>
      </xsd:simpleType>
    </xsd:element>
    <xsd:element name="Creator" ma:index="3" nillable="true" ma:displayName="Creator" ma:description="Enter the person primarily responsible for the document. The name of the person uploading the document has been entered by default." ma:list="UserInfo" ma:SharePointGroup="0" ma:internalName="Creat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PA_x0020_Office" ma:index="4" nillable="true" ma:displayName="EPA Office" ma:description="Enter the EPA organization primarily responsible for the document. The office of the person uploading the document has been entered by default." ma:internalName="EPA_x0020_Office">
      <xsd:simpleType>
        <xsd:restriction base="dms:Text">
          <xsd:maxLength value="255"/>
        </xsd:restriction>
      </xsd:simpleType>
    </xsd:element>
    <xsd:element name="Record" ma:index="5" nillable="true" ma:displayName="Record" ma:default="Shared" ma:description="For documents that provide evidence of EPA decisions and actions, select &quot;Shared&quot; (open access) or &quot;Private&quot; (restricted access)." ma:format="Dropdown" ma:internalName="Record">
      <xsd:simpleType>
        <xsd:restriction base="dms:Choice">
          <xsd:enumeration value="None"/>
          <xsd:enumeration value="Shared"/>
          <xsd:enumeration value="Private"/>
        </xsd:restriction>
      </xsd:simpleType>
    </xsd:element>
    <xsd:element name="Identifier" ma:index="9" nillable="true" ma:displayName="Identifier" ma:description="Enter all EPA identification numbers applicable to this document, one on each line." ma:internalName="Identifier" ma:readOnly="false">
      <xsd:simpleType>
        <xsd:restriction base="dms:Note">
          <xsd:maxLength value="255"/>
        </xsd:restriction>
      </xsd:simpleType>
    </xsd:element>
    <xsd:element name="EPA_x0020_Contributor" ma:index="11" nillable="true" ma:displayName="EPA Contributor" ma:description="Enter an EPA person who contributed to the creation of the document but is not the primary author." ma:list="UserInfo" ma:SharePointGroup="0" ma:internalName="EPA_x0020_Contribu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ternal_x0020_Contributor" ma:index="12" nillable="true" ma:displayName="External Contributor" ma:description="Enter a non-EPA person who contributed to the creation of the document but is not the primary author." ma:internalName="External_x0020_Contributor" ma:readOnly="false">
      <xsd:simpleType>
        <xsd:restriction base="dms:Note">
          <xsd:maxLength value="255"/>
        </xsd:restriction>
      </xsd:simpleType>
    </xsd:element>
    <xsd:element name="EPA_x0020_Related_x0020_Documents" ma:index="14" nillable="true" ma:displayName="Other Related Documents" ma:description="Enter any related document." ma:internalName="EPA_x0020_Related_x0020_Documents">
      <xsd:simpleType>
        <xsd:restriction base="dms:Note">
          <xsd:maxLength value="255"/>
        </xsd:restriction>
      </xsd:simpleType>
    </xsd:element>
    <xsd:element name="Rights" ma:index="16" nillable="true" ma:displayName="Rights" ma:description="Enter information about intellectual property rights held over the document (e.g. copyright, patent, trademark)." ma:internalName="Rights" ma:readOnly="false">
      <xsd:simpleType>
        <xsd:restriction base="dms:Note">
          <xsd:maxLength value="255"/>
        </xsd:restriction>
      </xsd:simpleType>
    </xsd:element>
    <xsd:element name="j747ac98061d40f0aa7bd47e1db5675d" ma:index="19" nillable="true" ma:taxonomy="true" ma:internalName="j747ac98061d40f0aa7bd47e1db5675d" ma:taxonomyFieldName="Document_x0020_Type" ma:displayName="Document Type" ma:readOnly="false" ma:default="" ma:fieldId="{3747ac98-061d-40f0-aa7b-d47e1db5675d}" ma:sspId="29f62856-1543-49d4-a736-4569d363f533" ma:termSetId="e06cd6a9-a175-4da0-81cb-8dba7aa394ab" ma:anchorId="00000000-0000-0000-0000-000000000000" ma:open="false" ma:isKeyword="false">
      <xsd:complexType>
        <xsd:sequence>
          <xsd:element ref="pc:Terms" minOccurs="0" maxOccurs="1"/>
        </xsd:sequence>
      </xsd:complexType>
    </xsd:element>
    <xsd:element name="TaxKeywordTaxHTField" ma:index="21" nillable="true" ma:taxonomy="true" ma:internalName="TaxKeywordTaxHTField" ma:taxonomyFieldName="TaxKeyword" ma:displayName="Enterprise Keywords" ma:readOnly="false" ma:fieldId="{23f27201-bee3-471e-b2e7-b64fd8b7ca38}" ma:taxonomyMulti="true" ma:sspId="29f62856-1543-49d4-a736-4569d363f533" ma:termSetId="00000000-0000-0000-0000-000000000000" ma:anchorId="00000000-0000-0000-0000-000000000000" ma:open="true" ma:isKeyword="true">
      <xsd:complexType>
        <xsd:sequence>
          <xsd:element ref="pc:Terms" minOccurs="0" maxOccurs="1"/>
        </xsd:sequence>
      </xsd:complexType>
    </xsd:element>
    <xsd:element name="TaxCatchAllLabel" ma:index="23" nillable="true" ma:displayName="Taxonomy Catch All Column1" ma:description="" ma:hidden="true" ma:list="{54f485cd-92c0-4abe-a378-745fe4335b12}" ma:internalName="TaxCatchAllLabel" ma:readOnly="true" ma:showField="CatchAllDataLabel" ma:web="22d004a6-2f8d-4a75-9f1d-859e2ae55add">
      <xsd:complexType>
        <xsd:complexContent>
          <xsd:extension base="dms:MultiChoiceLookup">
            <xsd:sequence>
              <xsd:element name="Value" type="dms:Lookup" maxOccurs="unbounded" minOccurs="0" nillable="true"/>
            </xsd:sequence>
          </xsd:extension>
        </xsd:complexContent>
      </xsd:complexType>
    </xsd:element>
    <xsd:element name="TaxCatchAll" ma:index="24" nillable="true" ma:displayName="Taxonomy Catch All Column" ma:description="" ma:hidden="true" ma:list="{54f485cd-92c0-4abe-a378-745fe4335b12}" ma:internalName="TaxCatchAll" ma:showField="CatchAllData" ma:web="22d004a6-2f8d-4a75-9f1d-859e2ae55ad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ategoryDescription" ma:index="6" nillable="true" ma:displayName="Description" ma:description="Enter a brief description." ma:internalName="CategoryDescription"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Coverage" ma:index="13" nillable="true" ma:displayName="Coverage" ma:description="Enter the geographic location, jurisdiction, or time period for which the document is relevant." ma:internalName="_Coverage" ma:readOnly="false">
      <xsd:simpleType>
        <xsd:restriction base="dms:Text">
          <xsd:maxLength value="255"/>
        </xsd:restriction>
      </xsd:simpleType>
    </xsd:element>
    <xsd:element name="_Source" ma:index="15" nillable="true" ma:displayName="Source" ma:description="Enter a source from which the document is derived." ma:internalName="_Source"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2d004a6-2f8d-4a75-9f1d-859e2ae55add" elementFormDefault="qualified">
    <xsd:import namespace="http://schemas.microsoft.com/office/2006/documentManagement/types"/>
    <xsd:import namespace="http://schemas.microsoft.com/office/infopath/2007/PartnerControls"/>
    <xsd:element name="e3f09c3df709400db2417a7161762d62" ma:index="28" nillable="true" ma:taxonomy="true" ma:internalName="e3f09c3df709400db2417a7161762d62" ma:taxonomyFieldName="EPA_x0020_Subject" ma:displayName="EPA Subject" ma:readOnly="false" ma:default="" ma:fieldId="{e3f09c3d-f709-400d-b241-7a7161762d62}" ma:taxonomyMulti="true" ma:sspId="29f62856-1543-49d4-a736-4569d363f533" ma:termSetId="7a3d4ae0-7e62-45a2-a406-c6a8a6a8eee3" ma:anchorId="00000000-0000-0000-0000-000000000000" ma:open="false" ma:isKeyword="false">
      <xsd:complexType>
        <xsd:sequence>
          <xsd:element ref="pc:Terms" minOccurs="0" maxOccurs="1"/>
        </xsd:sequence>
      </xsd:complexType>
    </xsd:element>
    <xsd:element name="SharedWithUsers" ma:index="2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0"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1f15235-80d2-48a0-a833-0fd2dbd1804b" elementFormDefault="qualified">
    <xsd:import namespace="http://schemas.microsoft.com/office/2006/documentManagement/types"/>
    <xsd:import namespace="http://schemas.microsoft.com/office/infopath/2007/PartnerControls"/>
    <xsd:element name="LastSharedByUser" ma:index="31" nillable="true" ma:displayName="Last Shared By User" ma:description="" ma:internalName="LastSharedByUser" ma:readOnly="true">
      <xsd:simpleType>
        <xsd:restriction base="dms:Note">
          <xsd:maxLength value="255"/>
        </xsd:restriction>
      </xsd:simpleType>
    </xsd:element>
    <xsd:element name="LastSharedByTime" ma:index="3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7eab5cf-fde9-424c-b3b8-178016a7c112" elementFormDefault="qualified">
    <xsd:import namespace="http://schemas.microsoft.com/office/2006/documentManagement/types"/>
    <xsd:import namespace="http://schemas.microsoft.com/office/infopath/2007/PartnerControls"/>
    <xsd:element name="MediaServiceMetadata" ma:index="33" nillable="true" ma:displayName="MediaServiceMetadata" ma:description="" ma:hidden="true" ma:internalName="MediaServiceMetadata" ma:readOnly="true">
      <xsd:simpleType>
        <xsd:restriction base="dms:Note"/>
      </xsd:simpleType>
    </xsd:element>
    <xsd:element name="MediaServiceFastMetadata" ma:index="34" nillable="true" ma:displayName="MediaServiceFastMetadata" ma:description="" ma:hidden="true" ma:internalName="MediaServiceFastMetadata" ma:readOnly="true">
      <xsd:simpleType>
        <xsd:restriction base="dms:Note"/>
      </xsd:simpleType>
    </xsd:element>
    <xsd:element name="MediaServiceEventHashCode" ma:index="35" nillable="true" ma:displayName="MediaServiceEventHashCode" ma:hidden="true" ma:internalName="MediaServiceEventHashCode" ma:readOnly="true">
      <xsd:simpleType>
        <xsd:restriction base="dms:Text"/>
      </xsd:simpleType>
    </xsd:element>
    <xsd:element name="MediaServiceGenerationTime" ma:index="36" nillable="true" ma:displayName="MediaServiceGenerationTime" ma:hidden="true" ma:internalName="MediaServiceGenerationTime" ma:readOnly="true">
      <xsd:simpleType>
        <xsd:restriction base="dms:Text"/>
      </xsd:simpleType>
    </xsd:element>
    <xsd:element name="MediaServiceAutoTags" ma:index="37" nillable="true" ma:displayName="Tags" ma:internalName="MediaServiceAutoTags" ma:readOnly="true">
      <xsd:simpleType>
        <xsd:restriction base="dms:Text"/>
      </xsd:simpleType>
    </xsd:element>
    <xsd:element name="MediaServiceOCR" ma:index="38" nillable="true" ma:displayName="Extracted Text" ma:internalName="MediaServiceOCR" ma:readOnly="true">
      <xsd:simpleType>
        <xsd:restriction base="dms:Note">
          <xsd:maxLength value="255"/>
        </xsd:restriction>
      </xsd:simpleType>
    </xsd:element>
    <xsd:element name="MediaServiceDateTaken" ma:index="39" nillable="true" ma:displayName="MediaServiceDateTaken" ma:hidden="true" ma:internalName="MediaServiceDateTaken" ma:readOnly="true">
      <xsd:simpleType>
        <xsd:restriction base="dms:Text"/>
      </xsd:simpleType>
    </xsd:element>
    <xsd:element name="MediaServiceAutoKeyPoints" ma:index="40" nillable="true" ma:displayName="MediaServiceAutoKeyPoints" ma:hidden="true" ma:internalName="MediaServiceAutoKeyPoints" ma:readOnly="true">
      <xsd:simpleType>
        <xsd:restriction base="dms:Note"/>
      </xsd:simpleType>
    </xsd:element>
    <xsd:element name="MediaServiceKeyPoints" ma:index="41" nillable="true" ma:displayName="KeyPoints" ma:internalName="MediaServiceKeyPoints" ma:readOnly="true">
      <xsd:simpleType>
        <xsd:restriction base="dms:Note">
          <xsd:maxLength value="255"/>
        </xsd:restriction>
      </xsd:simpleType>
    </xsd:element>
    <xsd:element name="lcf76f155ced4ddcb4097134ff3c332f" ma:index="45" nillable="true" ma:taxonomy="true" ma:internalName="lcf76f155ced4ddcb4097134ff3c332f" ma:taxonomyFieldName="MediaServiceImageTags" ma:displayName="Image Tags" ma:readOnly="false" ma:fieldId="{5cf76f15-5ced-4ddc-b409-7134ff3c332f}" ma:taxonomyMulti="true" ma:sspId="29f62856-1543-49d4-a736-4569d363f533"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29f62856-1543-49d4-a736-4569d363f533" ContentTypeId="0x0101"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6C81672-7273-418F-ABC7-9AAAC7313C7F}">
  <ds:schemaRefs>
    <ds:schemaRef ds:uri="http://schemas.openxmlformats.org/package/2006/metadata/core-properties"/>
    <ds:schemaRef ds:uri="http://purl.org/dc/terms/"/>
    <ds:schemaRef ds:uri="http://schemas.microsoft.com/office/2006/documentManagement/types"/>
    <ds:schemaRef ds:uri="http://schemas.microsoft.com/office/2006/metadata/properties"/>
    <ds:schemaRef ds:uri="http://schemas.microsoft.com/office/infopath/2007/PartnerControls"/>
    <ds:schemaRef ds:uri="47eab5cf-fde9-424c-b3b8-178016a7c112"/>
    <ds:schemaRef ds:uri="a1f15235-80d2-48a0-a833-0fd2dbd1804b"/>
    <ds:schemaRef ds:uri="http://schemas.microsoft.com/sharepoint/v3"/>
    <ds:schemaRef ds:uri="22d004a6-2f8d-4a75-9f1d-859e2ae55add"/>
    <ds:schemaRef ds:uri="http://schemas.microsoft.com/sharepoint.v3"/>
    <ds:schemaRef ds:uri="http://purl.org/dc/elements/1.1/"/>
    <ds:schemaRef ds:uri="http://www.w3.org/XML/1998/namespace"/>
    <ds:schemaRef ds:uri="http://schemas.microsoft.com/sharepoint/v3/fields"/>
    <ds:schemaRef ds:uri="4ffa91fb-a0ff-4ac5-b2db-65c790d184a4"/>
    <ds:schemaRef ds:uri="http://purl.org/dc/dcmitype/"/>
  </ds:schemaRefs>
</ds:datastoreItem>
</file>

<file path=customXml/itemProps2.xml><?xml version="1.0" encoding="utf-8"?>
<ds:datastoreItem xmlns:ds="http://schemas.openxmlformats.org/officeDocument/2006/customXml" ds:itemID="{F1E7D7A5-DCCB-427A-819B-85A10ED057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ffa91fb-a0ff-4ac5-b2db-65c790d184a4"/>
    <ds:schemaRef ds:uri="http://schemas.microsoft.com/sharepoint.v3"/>
    <ds:schemaRef ds:uri="http://schemas.microsoft.com/sharepoint/v3/fields"/>
    <ds:schemaRef ds:uri="22d004a6-2f8d-4a75-9f1d-859e2ae55add"/>
    <ds:schemaRef ds:uri="a1f15235-80d2-48a0-a833-0fd2dbd1804b"/>
    <ds:schemaRef ds:uri="47eab5cf-fde9-424c-b3b8-178016a7c1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EC21617-74B7-43CD-A6B3-EA7EB8720E09}">
  <ds:schemaRefs>
    <ds:schemaRef ds:uri="Microsoft.SharePoint.Taxonomy.ContentTypeSync"/>
  </ds:schemaRefs>
</ds:datastoreItem>
</file>

<file path=customXml/itemProps4.xml><?xml version="1.0" encoding="utf-8"?>
<ds:datastoreItem xmlns:ds="http://schemas.openxmlformats.org/officeDocument/2006/customXml" ds:itemID="{357F80F3-37E5-4DC5-A025-37556BD6C8C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Instructions</vt:lpstr>
      <vt:lpstr>Summary</vt:lpstr>
      <vt:lpstr>Graphs</vt:lpstr>
      <vt:lpstr>Verification</vt:lpstr>
      <vt:lpstr>Reverification</vt:lpstr>
      <vt:lpstr>Archive</vt:lpstr>
      <vt:lpstr>TS Role Table</vt:lpstr>
      <vt:lpstr>Summary!_Toc33534445</vt:lpstr>
      <vt:lpstr>Summary!CandidateTransferStandardRole</vt:lpstr>
      <vt:lpstr>Reverification!Print_Area</vt:lpstr>
      <vt:lpstr>Summary!Print_Area</vt:lpstr>
      <vt:lpstr>Verification!Print_Area</vt:lpstr>
      <vt:lpstr>Summary!TransferStandardRole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Hamilton, Scott</dc:creator>
  <cp:keywords/>
  <dc:description/>
  <cp:lastModifiedBy>Smalley, Allison</cp:lastModifiedBy>
  <cp:revision/>
  <dcterms:created xsi:type="dcterms:W3CDTF">2020-02-07T16:00:43Z</dcterms:created>
  <dcterms:modified xsi:type="dcterms:W3CDTF">2023-01-30T21:04:06Z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0x01010029832EDA71D35A4FB9BE3F79441C9B2B</vt:lpwstr>
  </property>
  <property fmtid="{D5CDD505-2E9C-101B-9397-08002B2CF9AE}" pid="3" name="TaxKeyword">
    <vt:lpwstr/>
  </property>
  <property fmtid="{D5CDD505-2E9C-101B-9397-08002B2CF9AE}" pid="4" name="EPA Subject">
    <vt:lpwstr/>
  </property>
  <property fmtid="{D5CDD505-2E9C-101B-9397-08002B2CF9AE}" pid="5" name="Document Type">
    <vt:lpwstr/>
  </property>
  <property fmtid="{D5CDD505-2E9C-101B-9397-08002B2CF9AE}" pid="6" name="e3f09c3df709400db2417a7161762d62">
    <vt:lpwstr/>
  </property>
  <property fmtid="{D5CDD505-2E9C-101B-9397-08002B2CF9AE}" pid="7" name="MediaServiceImageTags">
    <vt:lpwstr/>
  </property>
</Properties>
</file>